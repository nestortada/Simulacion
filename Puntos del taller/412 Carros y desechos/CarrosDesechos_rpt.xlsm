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nisabanaedu-my.sharepoint.com/personal/nestortada_unisabana_edu_co/Documents/Universidad/2025-1/Simulación/Puntos del taller/412 Carros y desechos/"/>
    </mc:Choice>
  </mc:AlternateContent>
  <xr:revisionPtr revIDLastSave="84" documentId="13_ncr:1_{325E12FA-5483-41CA-B36F-0BB911A2EF96}" xr6:coauthVersionLast="47" xr6:coauthVersionMax="47" xr10:uidLastSave="{A6C0EE90-701D-4FEC-A293-F5E69330F306}"/>
  <bookViews>
    <workbookView xWindow="-120" yWindow="-120" windowWidth="20730" windowHeight="1116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ContinuousTimeStatsByRep!$A$1:$L$169</definedName>
    <definedName name="ExternalData_1" localSheetId="4" hidden="1">CounterStatsByRep!$A$1:$G$2</definedName>
    <definedName name="ExternalData_1" localSheetId="2" hidden="1">DiscreteTimeStatsByRep!$A$1:$K$325</definedName>
    <definedName name="ExternalData_1" localSheetId="6" hidden="1">FrequencyStatsByRep!$A$1:$K$2</definedName>
    <definedName name="ExternalData_1" localSheetId="5" hidden="1">OutputStatsByRep!$A$1:$H$253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O170" i="20" s="1" a="1"/>
  <c r="O170" i="20" s="1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O45" i="20" s="1" a="1"/>
  <c r="O45" i="20" s="1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P73" i="20" s="1" a="1"/>
  <c r="P73" i="20" s="1"/>
  <c r="I74" i="20"/>
  <c r="I75" i="20"/>
  <c r="I76" i="20"/>
  <c r="I77" i="20"/>
  <c r="O77" i="20" s="1" a="1"/>
  <c r="O77" i="20" s="1"/>
  <c r="I78" i="20"/>
  <c r="I79" i="20"/>
  <c r="I80" i="20"/>
  <c r="I81" i="20"/>
  <c r="I82" i="20"/>
  <c r="I83" i="20"/>
  <c r="I84" i="20"/>
  <c r="I85" i="20"/>
  <c r="I86" i="20"/>
  <c r="I87" i="20"/>
  <c r="I88" i="20"/>
  <c r="I89" i="20"/>
  <c r="P89" i="20" s="1" a="1"/>
  <c r="P89" i="20" s="1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P113" i="20" s="1" a="1"/>
  <c r="P113" i="20" s="1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O141" i="20" s="1" a="1"/>
  <c r="O141" i="20" s="1"/>
  <c r="I142" i="20"/>
  <c r="I143" i="20"/>
  <c r="I144" i="20"/>
  <c r="I145" i="20"/>
  <c r="P145" i="20" s="1" a="1"/>
  <c r="P145" i="20" s="1"/>
  <c r="I146" i="20"/>
  <c r="I147" i="20"/>
  <c r="I148" i="20"/>
  <c r="I149" i="20"/>
  <c r="I150" i="20"/>
  <c r="I151" i="20"/>
  <c r="I152" i="20"/>
  <c r="I153" i="20"/>
  <c r="P153" i="20" s="1" a="1"/>
  <c r="P153" i="20" s="1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P177" i="20" s="1" a="1"/>
  <c r="P177" i="20" s="1"/>
  <c r="I178" i="20"/>
  <c r="I179" i="20"/>
  <c r="I180" i="20"/>
  <c r="I181" i="20"/>
  <c r="I182" i="20"/>
  <c r="I183" i="20"/>
  <c r="I184" i="20"/>
  <c r="I185" i="20"/>
  <c r="P185" i="20" s="1" a="1"/>
  <c r="P185" i="20" s="1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P209" i="20" s="1" a="1"/>
  <c r="P209" i="20" s="1"/>
  <c r="I210" i="20"/>
  <c r="I211" i="20"/>
  <c r="I212" i="20"/>
  <c r="I213" i="20"/>
  <c r="I214" i="20"/>
  <c r="I215" i="20"/>
  <c r="I216" i="20"/>
  <c r="I217" i="20"/>
  <c r="P217" i="20" s="1" a="1"/>
  <c r="P217" i="20" s="1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O237" i="20" s="1" a="1"/>
  <c r="O237" i="20" s="1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J2" i="20" a="1"/>
  <c r="J2" i="20" s="1"/>
  <c r="J3" i="20" a="1"/>
  <c r="J3" i="20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/>
  <c r="J18" i="20" a="1"/>
  <c r="J18" i="20" s="1"/>
  <c r="J19" i="20" a="1"/>
  <c r="J19" i="20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/>
  <c r="J34" i="20" a="1"/>
  <c r="J34" i="20" s="1"/>
  <c r="J35" i="20" a="1"/>
  <c r="J35" i="20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/>
  <c r="J50" i="20" a="1"/>
  <c r="J50" i="20" s="1"/>
  <c r="J51" i="20" a="1"/>
  <c r="J51" i="20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/>
  <c r="J66" i="20" a="1"/>
  <c r="J66" i="20" s="1"/>
  <c r="J67" i="20" a="1"/>
  <c r="J67" i="20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/>
  <c r="J82" i="20" a="1"/>
  <c r="J82" i="20" s="1"/>
  <c r="J83" i="20" a="1"/>
  <c r="J83" i="20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/>
  <c r="J98" i="20" a="1"/>
  <c r="J98" i="20" s="1"/>
  <c r="J99" i="20" a="1"/>
  <c r="J99" i="20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/>
  <c r="J114" i="20" a="1"/>
  <c r="J114" i="20" s="1"/>
  <c r="J115" i="20" a="1"/>
  <c r="J115" i="20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/>
  <c r="J130" i="20" a="1"/>
  <c r="J130" i="20" s="1"/>
  <c r="J131" i="20" a="1"/>
  <c r="J131" i="20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/>
  <c r="J146" i="20" a="1"/>
  <c r="J146" i="20" s="1"/>
  <c r="J147" i="20" a="1"/>
  <c r="J147" i="20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/>
  <c r="J162" i="20" a="1"/>
  <c r="J162" i="20" s="1"/>
  <c r="J163" i="20" a="1"/>
  <c r="J163" i="20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/>
  <c r="J174" i="20" a="1"/>
  <c r="J174" i="20" s="1"/>
  <c r="J175" i="20" a="1"/>
  <c r="J175" i="20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/>
  <c r="J182" i="20" a="1"/>
  <c r="J182" i="20" s="1"/>
  <c r="J183" i="20" a="1"/>
  <c r="J183" i="20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/>
  <c r="J190" i="20" a="1"/>
  <c r="J190" i="20" s="1"/>
  <c r="J191" i="20" a="1"/>
  <c r="J191" i="20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/>
  <c r="J198" i="20" a="1"/>
  <c r="J198" i="20" s="1"/>
  <c r="J199" i="20" a="1"/>
  <c r="J199" i="20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/>
  <c r="J206" i="20" a="1"/>
  <c r="J206" i="20" s="1"/>
  <c r="J207" i="20" a="1"/>
  <c r="J207" i="20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/>
  <c r="J214" i="20" a="1"/>
  <c r="J214" i="20" s="1"/>
  <c r="J215" i="20" a="1"/>
  <c r="J215" i="20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/>
  <c r="J222" i="20" a="1"/>
  <c r="J222" i="20" s="1"/>
  <c r="J223" i="20" a="1"/>
  <c r="J223" i="20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/>
  <c r="J230" i="20" a="1"/>
  <c r="J230" i="20" s="1"/>
  <c r="J231" i="20" a="1"/>
  <c r="J231" i="20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/>
  <c r="J238" i="20" a="1"/>
  <c r="J238" i="20" s="1"/>
  <c r="J239" i="20" a="1"/>
  <c r="J239" i="20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/>
  <c r="J246" i="20" a="1"/>
  <c r="J246" i="20" s="1"/>
  <c r="J247" i="20" a="1"/>
  <c r="J247" i="20"/>
  <c r="J248" i="20" a="1"/>
  <c r="J248" i="20" s="1"/>
  <c r="J249" i="20" a="1"/>
  <c r="J249" i="20" s="1"/>
  <c r="J250" i="20" a="1"/>
  <c r="J250" i="20" s="1"/>
  <c r="J251" i="20" a="1"/>
  <c r="J251" i="20" s="1"/>
  <c r="J252" i="20" a="1"/>
  <c r="J252" i="20" s="1"/>
  <c r="J253" i="20" a="1"/>
  <c r="J253" i="20"/>
  <c r="L218" i="20" a="1"/>
  <c r="L218" i="20" s="1"/>
  <c r="N218" i="20" s="1"/>
  <c r="M2" i="20" a="1"/>
  <c r="M2" i="20" s="1"/>
  <c r="M3" i="20" a="1"/>
  <c r="M3" i="20" s="1"/>
  <c r="M4" i="20" a="1"/>
  <c r="M4" i="20" s="1"/>
  <c r="M5" i="20" a="1"/>
  <c r="M5" i="20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/>
  <c r="M44" i="20" a="1"/>
  <c r="M44" i="20" s="1"/>
  <c r="M45" i="20" a="1"/>
  <c r="M45" i="20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/>
  <c r="M60" i="20" a="1"/>
  <c r="M60" i="20" s="1"/>
  <c r="M61" i="20" a="1"/>
  <c r="M61" i="20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 s="1"/>
  <c r="M69" i="20" a="1"/>
  <c r="M69" i="20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/>
  <c r="M108" i="20" a="1"/>
  <c r="M108" i="20" s="1"/>
  <c r="M109" i="20" a="1"/>
  <c r="M109" i="20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/>
  <c r="M124" i="20" a="1"/>
  <c r="M124" i="20" s="1"/>
  <c r="M125" i="20" a="1"/>
  <c r="M125" i="20"/>
  <c r="M126" i="20" a="1"/>
  <c r="M126" i="20" s="1"/>
  <c r="M127" i="20" a="1"/>
  <c r="M127" i="20" s="1"/>
  <c r="M128" i="20" a="1"/>
  <c r="M128" i="20" s="1"/>
  <c r="M129" i="20" a="1"/>
  <c r="M129" i="20"/>
  <c r="M130" i="20" a="1"/>
  <c r="M130" i="20" s="1"/>
  <c r="M131" i="20" a="1"/>
  <c r="M131" i="20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/>
  <c r="M138" i="20" a="1"/>
  <c r="M138" i="20" s="1"/>
  <c r="M139" i="20" a="1"/>
  <c r="M139" i="20" s="1"/>
  <c r="M140" i="20" a="1"/>
  <c r="M140" i="20" s="1"/>
  <c r="M141" i="20" a="1"/>
  <c r="M141" i="20"/>
  <c r="M142" i="20" a="1"/>
  <c r="M142" i="20" s="1"/>
  <c r="M143" i="20" a="1"/>
  <c r="M143" i="20" s="1"/>
  <c r="M144" i="20" a="1"/>
  <c r="M144" i="20" s="1"/>
  <c r="M145" i="20" a="1"/>
  <c r="M145" i="20" s="1"/>
  <c r="M146" i="20" a="1"/>
  <c r="M146" i="20" s="1"/>
  <c r="M147" i="20" a="1"/>
  <c r="M147" i="20"/>
  <c r="M148" i="20" a="1"/>
  <c r="M148" i="20" s="1"/>
  <c r="M149" i="20" a="1"/>
  <c r="M149" i="20" s="1"/>
  <c r="M150" i="20" a="1"/>
  <c r="M150" i="20" s="1"/>
  <c r="M151" i="20" a="1"/>
  <c r="M151" i="20" s="1"/>
  <c r="M152" i="20" a="1"/>
  <c r="M152" i="20" s="1"/>
  <c r="M153" i="20" a="1"/>
  <c r="M153" i="20"/>
  <c r="M154" i="20" a="1"/>
  <c r="M154" i="20" s="1"/>
  <c r="M155" i="20" a="1"/>
  <c r="M155" i="20" s="1"/>
  <c r="M156" i="20" a="1"/>
  <c r="M156" i="20" s="1"/>
  <c r="M157" i="20" a="1"/>
  <c r="M157" i="20" s="1"/>
  <c r="M158" i="20" a="1"/>
  <c r="M158" i="20" s="1"/>
  <c r="M159" i="20" a="1"/>
  <c r="M159" i="20" s="1"/>
  <c r="M160" i="20" a="1"/>
  <c r="M160" i="20" s="1"/>
  <c r="M161" i="20" a="1"/>
  <c r="M161" i="20" s="1"/>
  <c r="M162" i="20" a="1"/>
  <c r="M162" i="20" s="1"/>
  <c r="M163" i="20" a="1"/>
  <c r="M163" i="20"/>
  <c r="M164" i="20" a="1"/>
  <c r="M164" i="20" s="1"/>
  <c r="M165" i="20" a="1"/>
  <c r="M165" i="20"/>
  <c r="M166" i="20" a="1"/>
  <c r="M166" i="20" s="1"/>
  <c r="M167" i="20" a="1"/>
  <c r="M167" i="20" s="1"/>
  <c r="M168" i="20" a="1"/>
  <c r="M168" i="20" s="1"/>
  <c r="M169" i="20" a="1"/>
  <c r="M169" i="20"/>
  <c r="M170" i="20" a="1"/>
  <c r="M170" i="20" s="1"/>
  <c r="M171" i="20" a="1"/>
  <c r="M171" i="20" s="1"/>
  <c r="M172" i="20" a="1"/>
  <c r="M172" i="20" s="1"/>
  <c r="M173" i="20" a="1"/>
  <c r="M173" i="20" s="1"/>
  <c r="M174" i="20" a="1"/>
  <c r="M174" i="20" s="1"/>
  <c r="M175" i="20" a="1"/>
  <c r="M175" i="20" s="1"/>
  <c r="M176" i="20" a="1"/>
  <c r="M176" i="20" s="1"/>
  <c r="M177" i="20" a="1"/>
  <c r="M177" i="20" s="1"/>
  <c r="M178" i="20" a="1"/>
  <c r="M178" i="20" s="1"/>
  <c r="M179" i="20" a="1"/>
  <c r="M179" i="20" s="1"/>
  <c r="M180" i="20" a="1"/>
  <c r="M180" i="20" s="1"/>
  <c r="M181" i="20" a="1"/>
  <c r="M181" i="20"/>
  <c r="M182" i="20" a="1"/>
  <c r="M182" i="20" s="1"/>
  <c r="M183" i="20" a="1"/>
  <c r="M183" i="20" s="1"/>
  <c r="M184" i="20" a="1"/>
  <c r="M184" i="20" s="1"/>
  <c r="M185" i="20" a="1"/>
  <c r="M185" i="20" s="1"/>
  <c r="M186" i="20" a="1"/>
  <c r="M186" i="20" s="1"/>
  <c r="M187" i="20" a="1"/>
  <c r="M187" i="20" s="1"/>
  <c r="M188" i="20" a="1"/>
  <c r="M188" i="20" s="1"/>
  <c r="M189" i="20" a="1"/>
  <c r="M189" i="20"/>
  <c r="M190" i="20" a="1"/>
  <c r="M190" i="20" s="1"/>
  <c r="M191" i="20" a="1"/>
  <c r="M191" i="20" s="1"/>
  <c r="M192" i="20" a="1"/>
  <c r="M192" i="20" s="1"/>
  <c r="M193" i="20" a="1"/>
  <c r="M193" i="20" s="1"/>
  <c r="M194" i="20" a="1"/>
  <c r="M194" i="20" s="1"/>
  <c r="M195" i="20" a="1"/>
  <c r="M195" i="20" s="1"/>
  <c r="M196" i="20" a="1"/>
  <c r="M196" i="20" s="1"/>
  <c r="M197" i="20" a="1"/>
  <c r="M197" i="20"/>
  <c r="M198" i="20" a="1"/>
  <c r="M198" i="20" s="1"/>
  <c r="M199" i="20" a="1"/>
  <c r="M199" i="20" s="1"/>
  <c r="M200" i="20" a="1"/>
  <c r="M200" i="20" s="1"/>
  <c r="M201" i="20" a="1"/>
  <c r="M201" i="20" s="1"/>
  <c r="M202" i="20" a="1"/>
  <c r="M202" i="20" s="1"/>
  <c r="M203" i="20" a="1"/>
  <c r="M203" i="20" s="1"/>
  <c r="M204" i="20" a="1"/>
  <c r="M204" i="20" s="1"/>
  <c r="M205" i="20" a="1"/>
  <c r="M205" i="20" s="1"/>
  <c r="M206" i="20" a="1"/>
  <c r="M206" i="20" s="1"/>
  <c r="M207" i="20" a="1"/>
  <c r="M207" i="20" s="1"/>
  <c r="M208" i="20" a="1"/>
  <c r="M208" i="20" s="1"/>
  <c r="M209" i="20" a="1"/>
  <c r="M209" i="20" s="1"/>
  <c r="M210" i="20" a="1"/>
  <c r="M210" i="20" s="1"/>
  <c r="M211" i="20" a="1"/>
  <c r="M211" i="20"/>
  <c r="M212" i="20" a="1"/>
  <c r="M212" i="20" s="1"/>
  <c r="M213" i="20" a="1"/>
  <c r="M213" i="20"/>
  <c r="M214" i="20" a="1"/>
  <c r="M214" i="20" s="1"/>
  <c r="M215" i="20" a="1"/>
  <c r="M215" i="20" s="1"/>
  <c r="M216" i="20" a="1"/>
  <c r="M216" i="20" s="1"/>
  <c r="M217" i="20" a="1"/>
  <c r="M217" i="20"/>
  <c r="M218" i="20" a="1"/>
  <c r="M218" i="20" s="1"/>
  <c r="M219" i="20" a="1"/>
  <c r="M219" i="20"/>
  <c r="M220" i="20" a="1"/>
  <c r="M220" i="20" s="1"/>
  <c r="M221" i="20" a="1"/>
  <c r="M221" i="20"/>
  <c r="M222" i="20" a="1"/>
  <c r="M222" i="20" s="1"/>
  <c r="M223" i="20" a="1"/>
  <c r="M223" i="20" s="1"/>
  <c r="M224" i="20" a="1"/>
  <c r="M224" i="20" s="1"/>
  <c r="M225" i="20" a="1"/>
  <c r="M225" i="20"/>
  <c r="M226" i="20" a="1"/>
  <c r="M226" i="20" s="1"/>
  <c r="M227" i="20" a="1"/>
  <c r="M227" i="20"/>
  <c r="M228" i="20" a="1"/>
  <c r="M228" i="20" s="1"/>
  <c r="M229" i="20" a="1"/>
  <c r="M229" i="20" s="1"/>
  <c r="M230" i="20" a="1"/>
  <c r="M230" i="20" s="1"/>
  <c r="M231" i="20" a="1"/>
  <c r="M231" i="20" s="1"/>
  <c r="M232" i="20" a="1"/>
  <c r="M232" i="20" s="1"/>
  <c r="M233" i="20" a="1"/>
  <c r="M233" i="20"/>
  <c r="M234" i="20" a="1"/>
  <c r="M234" i="20" s="1"/>
  <c r="M235" i="20" a="1"/>
  <c r="M235" i="20" s="1"/>
  <c r="M236" i="20" a="1"/>
  <c r="M236" i="20" s="1"/>
  <c r="M237" i="20" a="1"/>
  <c r="M237" i="20"/>
  <c r="M238" i="20" a="1"/>
  <c r="M238" i="20" s="1"/>
  <c r="M239" i="20" a="1"/>
  <c r="M239" i="20" s="1"/>
  <c r="M240" i="20" a="1"/>
  <c r="M240" i="20" s="1"/>
  <c r="M241" i="20" a="1"/>
  <c r="M241" i="20" s="1"/>
  <c r="M242" i="20" a="1"/>
  <c r="M242" i="20" s="1"/>
  <c r="M243" i="20" a="1"/>
  <c r="M243" i="20" s="1"/>
  <c r="M244" i="20" a="1"/>
  <c r="M244" i="20" s="1"/>
  <c r="M245" i="20" a="1"/>
  <c r="M245" i="20"/>
  <c r="M246" i="20" a="1"/>
  <c r="M246" i="20" s="1"/>
  <c r="M247" i="20" a="1"/>
  <c r="M247" i="20" s="1"/>
  <c r="M248" i="20" a="1"/>
  <c r="M248" i="20" s="1"/>
  <c r="M249" i="20" a="1"/>
  <c r="M249" i="20" s="1"/>
  <c r="M250" i="20" a="1"/>
  <c r="M250" i="20" s="1"/>
  <c r="M251" i="20" a="1"/>
  <c r="M251" i="20"/>
  <c r="M252" i="20" a="1"/>
  <c r="M252" i="20" s="1"/>
  <c r="M253" i="20" a="1"/>
  <c r="M253" i="20"/>
  <c r="O109" i="20" a="1"/>
  <c r="O109" i="20" s="1"/>
  <c r="O191" i="20" a="1"/>
  <c r="O191" i="20" s="1"/>
  <c r="O227" i="20" a="1"/>
  <c r="O227" i="20" s="1"/>
  <c r="P12" i="20" a="1"/>
  <c r="P12" i="20" s="1"/>
  <c r="P49" i="20" a="1"/>
  <c r="P49" i="20" s="1"/>
  <c r="P79" i="20" a="1"/>
  <c r="P79" i="20" s="1"/>
  <c r="P94" i="20" a="1"/>
  <c r="P94" i="20" s="1"/>
  <c r="P111" i="20" a="1"/>
  <c r="P111" i="20" s="1"/>
  <c r="P121" i="20" a="1"/>
  <c r="P121" i="20" s="1"/>
  <c r="P130" i="20" a="1"/>
  <c r="P130" i="20" s="1"/>
  <c r="P139" i="20" a="1"/>
  <c r="P139" i="20" s="1"/>
  <c r="P148" i="20" a="1"/>
  <c r="P148" i="20" s="1"/>
  <c r="P156" i="20" a="1"/>
  <c r="P156" i="20" s="1"/>
  <c r="P166" i="20" a="1"/>
  <c r="P166" i="20" s="1"/>
  <c r="P175" i="20" a="1"/>
  <c r="P175" i="20" s="1"/>
  <c r="P183" i="20" a="1"/>
  <c r="P183" i="20" s="1"/>
  <c r="P194" i="20" a="1"/>
  <c r="P194" i="20" s="1"/>
  <c r="P202" i="20" a="1"/>
  <c r="P202" i="20" s="1"/>
  <c r="P212" i="20" a="1"/>
  <c r="P212" i="20" s="1"/>
  <c r="P220" i="20" a="1"/>
  <c r="P220" i="20" s="1"/>
  <c r="P230" i="20" a="1"/>
  <c r="P230" i="20" s="1"/>
  <c r="P252" i="20" a="1"/>
  <c r="P252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P23" i="18" s="1" a="1"/>
  <c r="P23" i="18" s="1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P129" i="18" s="1" a="1"/>
  <c r="P129" i="18" s="1"/>
  <c r="M130" i="18"/>
  <c r="M131" i="18"/>
  <c r="M132" i="18"/>
  <c r="M133" i="18"/>
  <c r="M134" i="18"/>
  <c r="M135" i="18"/>
  <c r="M136" i="18"/>
  <c r="M137" i="18"/>
  <c r="S67" i="18" s="1" a="1"/>
  <c r="S67" i="18" s="1"/>
  <c r="M138" i="18"/>
  <c r="M139" i="18"/>
  <c r="M140" i="18"/>
  <c r="M141" i="18"/>
  <c r="M142" i="18"/>
  <c r="M143" i="18"/>
  <c r="M144" i="18"/>
  <c r="M145" i="18"/>
  <c r="S133" i="18" s="1" a="1"/>
  <c r="S133" i="18" s="1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S35" i="18" s="1" a="1"/>
  <c r="S35" i="18" s="1"/>
  <c r="M158" i="18"/>
  <c r="M159" i="18"/>
  <c r="M160" i="18"/>
  <c r="M161" i="18"/>
  <c r="M162" i="18"/>
  <c r="M163" i="18"/>
  <c r="M164" i="18"/>
  <c r="M165" i="18"/>
  <c r="T29" i="18" s="1" a="1"/>
  <c r="T29" i="18" s="1"/>
  <c r="M166" i="18"/>
  <c r="M167" i="18"/>
  <c r="M168" i="18"/>
  <c r="M169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/>
  <c r="N114" i="18" a="1"/>
  <c r="N114" i="18" s="1"/>
  <c r="N115" i="18" a="1"/>
  <c r="N115" i="18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/>
  <c r="N130" i="18" a="1"/>
  <c r="N130" i="18" s="1"/>
  <c r="N131" i="18" a="1"/>
  <c r="N131" i="18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/>
  <c r="N146" i="18" a="1"/>
  <c r="N146" i="18" s="1"/>
  <c r="N147" i="18" a="1"/>
  <c r="N147" i="18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/>
  <c r="N162" i="18" a="1"/>
  <c r="N162" i="18" s="1"/>
  <c r="N163" i="18" a="1"/>
  <c r="N163" i="18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/>
  <c r="P86" i="18" a="1"/>
  <c r="P86" i="18" s="1"/>
  <c r="Q2" i="18" a="1"/>
  <c r="Q2" i="18" s="1"/>
  <c r="Q3" i="18" a="1"/>
  <c r="Q3" i="18"/>
  <c r="Q4" i="18" a="1"/>
  <c r="Q4" i="18" s="1"/>
  <c r="Q5" i="18" a="1"/>
  <c r="Q5" i="18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 s="1"/>
  <c r="Q14" i="18" a="1"/>
  <c r="Q14" i="18" s="1"/>
  <c r="Q15" i="18" a="1"/>
  <c r="Q15" i="18" s="1"/>
  <c r="Q16" i="18" a="1"/>
  <c r="Q16" i="18" s="1"/>
  <c r="Q17" i="18" a="1"/>
  <c r="Q17" i="18" s="1"/>
  <c r="Q18" i="18" a="1"/>
  <c r="Q18" i="18" s="1"/>
  <c r="Q19" i="18" a="1"/>
  <c r="Q19" i="18"/>
  <c r="Q20" i="18" a="1"/>
  <c r="Q20" i="18" s="1"/>
  <c r="Q21" i="18" a="1"/>
  <c r="Q21" i="18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/>
  <c r="Q36" i="18" a="1"/>
  <c r="Q36" i="18" s="1"/>
  <c r="Q37" i="18" a="1"/>
  <c r="Q37" i="18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/>
  <c r="Q52" i="18" a="1"/>
  <c r="Q52" i="18" s="1"/>
  <c r="Q53" i="18" a="1"/>
  <c r="Q53" i="18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/>
  <c r="Q68" i="18" a="1"/>
  <c r="Q68" i="18" s="1"/>
  <c r="Q69" i="18" a="1"/>
  <c r="Q69" i="18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/>
  <c r="Q76" i="18" a="1"/>
  <c r="Q76" i="18" s="1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/>
  <c r="Q84" i="18" a="1"/>
  <c r="Q84" i="18" s="1"/>
  <c r="Q85" i="18" a="1"/>
  <c r="Q85" i="18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/>
  <c r="Q92" i="18" a="1"/>
  <c r="Q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/>
  <c r="Q100" i="18" a="1"/>
  <c r="Q100" i="18" s="1"/>
  <c r="Q101" i="18" a="1"/>
  <c r="Q101" i="18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/>
  <c r="Q116" i="18" a="1"/>
  <c r="Q116" i="18" s="1"/>
  <c r="Q117" i="18" a="1"/>
  <c r="Q117" i="18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/>
  <c r="Q132" i="18" a="1"/>
  <c r="Q132" i="18" s="1"/>
  <c r="Q133" i="18" a="1"/>
  <c r="Q133" i="18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 s="1"/>
  <c r="Q146" i="18" a="1"/>
  <c r="Q146" i="18" s="1"/>
  <c r="Q147" i="18" a="1"/>
  <c r="Q147" i="18"/>
  <c r="Q148" i="18" a="1"/>
  <c r="Q148" i="18" s="1"/>
  <c r="Q149" i="18" a="1"/>
  <c r="Q149" i="18"/>
  <c r="Q150" i="18" a="1"/>
  <c r="Q150" i="18" s="1"/>
  <c r="Q151" i="18" a="1"/>
  <c r="Q151" i="18" s="1"/>
  <c r="Q152" i="18" a="1"/>
  <c r="Q152" i="18" s="1"/>
  <c r="Q153" i="18" a="1"/>
  <c r="Q153" i="18" s="1"/>
  <c r="Q154" i="18" a="1"/>
  <c r="Q154" i="18" s="1"/>
  <c r="Q155" i="18" a="1"/>
  <c r="Q155" i="18"/>
  <c r="Q156" i="18" a="1"/>
  <c r="Q156" i="18" s="1"/>
  <c r="Q157" i="18" a="1"/>
  <c r="Q157" i="18" s="1"/>
  <c r="Q158" i="18" a="1"/>
  <c r="Q158" i="18" s="1"/>
  <c r="Q159" i="18" a="1"/>
  <c r="Q159" i="18" s="1"/>
  <c r="Q160" i="18" a="1"/>
  <c r="Q160" i="18" s="1"/>
  <c r="Q161" i="18" a="1"/>
  <c r="Q161" i="18" s="1"/>
  <c r="Q162" i="18" a="1"/>
  <c r="Q162" i="18"/>
  <c r="Q163" i="18" a="1"/>
  <c r="Q163" i="18" s="1"/>
  <c r="Q164" i="18" a="1"/>
  <c r="Q164" i="18"/>
  <c r="Q165" i="18" a="1"/>
  <c r="Q165" i="18" s="1"/>
  <c r="Q166" i="18" a="1"/>
  <c r="Q166" i="18" s="1"/>
  <c r="Q167" i="18" a="1"/>
  <c r="Q167" i="18" s="1"/>
  <c r="Q168" i="18" a="1"/>
  <c r="Q168" i="18"/>
  <c r="Q169" i="18" a="1"/>
  <c r="Q169" i="18" s="1"/>
  <c r="S51" i="18" a="1"/>
  <c r="S51" i="18" s="1"/>
  <c r="S122" i="18" a="1"/>
  <c r="S122" i="18" s="1"/>
  <c r="S154" i="18" a="1"/>
  <c r="S154" i="18" s="1"/>
  <c r="S165" i="18" a="1"/>
  <c r="S165" i="18" s="1"/>
  <c r="T18" i="18" a="1"/>
  <c r="T18" i="18" s="1"/>
  <c r="T50" i="18" a="1"/>
  <c r="T50" i="18" s="1"/>
  <c r="T61" i="18" a="1"/>
  <c r="T61" i="18" s="1"/>
  <c r="T64" i="18" a="1"/>
  <c r="T64" i="18" s="1"/>
  <c r="T68" i="18" a="1"/>
  <c r="T68" i="18" s="1"/>
  <c r="T75" i="18" a="1"/>
  <c r="T75" i="18" s="1"/>
  <c r="T79" i="18" a="1"/>
  <c r="T79" i="18" s="1"/>
  <c r="T82" i="18" a="1"/>
  <c r="T82" i="18" s="1"/>
  <c r="T93" i="18" a="1"/>
  <c r="T93" i="18" s="1"/>
  <c r="T96" i="18" a="1"/>
  <c r="T96" i="18" s="1"/>
  <c r="T100" i="18" a="1"/>
  <c r="T100" i="18" s="1"/>
  <c r="T107" i="18" a="1"/>
  <c r="T107" i="18" s="1"/>
  <c r="T111" i="18" a="1"/>
  <c r="T111" i="18" s="1"/>
  <c r="T114" i="18" a="1"/>
  <c r="T114" i="18" s="1"/>
  <c r="T125" i="18" a="1"/>
  <c r="T125" i="18" s="1"/>
  <c r="T128" i="18" a="1"/>
  <c r="T128" i="18" s="1"/>
  <c r="T132" i="18" a="1"/>
  <c r="T132" i="18" s="1"/>
  <c r="T139" i="18" a="1"/>
  <c r="T139" i="18" s="1"/>
  <c r="T143" i="18" a="1"/>
  <c r="T143" i="18" s="1"/>
  <c r="T146" i="18" a="1"/>
  <c r="T146" i="18" s="1"/>
  <c r="T157" i="18" a="1"/>
  <c r="T157" i="18" s="1"/>
  <c r="T160" i="18" a="1"/>
  <c r="T160" i="18" s="1"/>
  <c r="T164" i="18" a="1"/>
  <c r="T164" i="18" s="1"/>
  <c r="L2" i="17"/>
  <c r="L3" i="17"/>
  <c r="L4" i="17"/>
  <c r="L5" i="17"/>
  <c r="L6" i="17"/>
  <c r="L7" i="17"/>
  <c r="L74" i="17"/>
  <c r="L75" i="17"/>
  <c r="L76" i="17"/>
  <c r="L77" i="17"/>
  <c r="L78" i="17"/>
  <c r="L79" i="17"/>
  <c r="L146" i="17"/>
  <c r="L147" i="17"/>
  <c r="L148" i="17"/>
  <c r="L182" i="17"/>
  <c r="L194" i="17"/>
  <c r="L206" i="17"/>
  <c r="L218" i="17"/>
  <c r="L219" i="17"/>
  <c r="L220" i="17"/>
  <c r="L254" i="17"/>
  <c r="L266" i="17"/>
  <c r="L267" i="17"/>
  <c r="L268" i="17"/>
  <c r="L302" i="17"/>
  <c r="L314" i="17"/>
  <c r="L8" i="17"/>
  <c r="L9" i="17"/>
  <c r="L10" i="17"/>
  <c r="L11" i="17"/>
  <c r="L12" i="17"/>
  <c r="L13" i="17"/>
  <c r="L80" i="17"/>
  <c r="L81" i="17"/>
  <c r="L82" i="17"/>
  <c r="L83" i="17"/>
  <c r="L84" i="17"/>
  <c r="L85" i="17"/>
  <c r="L149" i="17"/>
  <c r="L150" i="17"/>
  <c r="L151" i="17"/>
  <c r="L183" i="17"/>
  <c r="L195" i="17"/>
  <c r="L207" i="17"/>
  <c r="L221" i="17"/>
  <c r="L222" i="17"/>
  <c r="L223" i="17"/>
  <c r="L255" i="17"/>
  <c r="L269" i="17"/>
  <c r="L270" i="17"/>
  <c r="L271" i="17"/>
  <c r="L303" i="17"/>
  <c r="L315" i="17"/>
  <c r="L14" i="17"/>
  <c r="L15" i="17"/>
  <c r="L16" i="17"/>
  <c r="L17" i="17"/>
  <c r="L18" i="17"/>
  <c r="L19" i="17"/>
  <c r="L86" i="17"/>
  <c r="L87" i="17"/>
  <c r="L88" i="17"/>
  <c r="L89" i="17"/>
  <c r="L90" i="17"/>
  <c r="L91" i="17"/>
  <c r="L152" i="17"/>
  <c r="L153" i="17"/>
  <c r="L154" i="17"/>
  <c r="L184" i="17"/>
  <c r="L196" i="17"/>
  <c r="L208" i="17"/>
  <c r="L224" i="17"/>
  <c r="L225" i="17"/>
  <c r="L226" i="17"/>
  <c r="L256" i="17"/>
  <c r="L272" i="17"/>
  <c r="L273" i="17"/>
  <c r="L274" i="17"/>
  <c r="L304" i="17"/>
  <c r="L316" i="17"/>
  <c r="L20" i="17"/>
  <c r="L21" i="17"/>
  <c r="L22" i="17"/>
  <c r="L23" i="17"/>
  <c r="L24" i="17"/>
  <c r="L25" i="17"/>
  <c r="L92" i="17"/>
  <c r="L93" i="17"/>
  <c r="L94" i="17"/>
  <c r="L95" i="17"/>
  <c r="L96" i="17"/>
  <c r="L97" i="17"/>
  <c r="L155" i="17"/>
  <c r="L156" i="17"/>
  <c r="L157" i="17"/>
  <c r="L185" i="17"/>
  <c r="L197" i="17"/>
  <c r="L209" i="17"/>
  <c r="L227" i="17"/>
  <c r="L228" i="17"/>
  <c r="L229" i="17"/>
  <c r="L257" i="17"/>
  <c r="L275" i="17"/>
  <c r="L276" i="17"/>
  <c r="L277" i="17"/>
  <c r="L305" i="17"/>
  <c r="L317" i="17"/>
  <c r="L26" i="17"/>
  <c r="L27" i="17"/>
  <c r="L28" i="17"/>
  <c r="L29" i="17"/>
  <c r="L30" i="17"/>
  <c r="L31" i="17"/>
  <c r="L98" i="17"/>
  <c r="L99" i="17"/>
  <c r="L100" i="17"/>
  <c r="L101" i="17"/>
  <c r="L102" i="17"/>
  <c r="L103" i="17"/>
  <c r="L158" i="17"/>
  <c r="L159" i="17"/>
  <c r="L160" i="17"/>
  <c r="L186" i="17"/>
  <c r="L198" i="17"/>
  <c r="L210" i="17"/>
  <c r="L230" i="17"/>
  <c r="L231" i="17"/>
  <c r="L232" i="17"/>
  <c r="L258" i="17"/>
  <c r="L278" i="17"/>
  <c r="L279" i="17"/>
  <c r="L280" i="17"/>
  <c r="L306" i="17"/>
  <c r="L318" i="17"/>
  <c r="L32" i="17"/>
  <c r="L33" i="17"/>
  <c r="L34" i="17"/>
  <c r="L35" i="17"/>
  <c r="L36" i="17"/>
  <c r="L37" i="17"/>
  <c r="L104" i="17"/>
  <c r="L105" i="17"/>
  <c r="L106" i="17"/>
  <c r="L107" i="17"/>
  <c r="L108" i="17"/>
  <c r="L109" i="17"/>
  <c r="L161" i="17"/>
  <c r="L162" i="17"/>
  <c r="L163" i="17"/>
  <c r="L187" i="17"/>
  <c r="L199" i="17"/>
  <c r="L211" i="17"/>
  <c r="L233" i="17"/>
  <c r="L234" i="17"/>
  <c r="L235" i="17"/>
  <c r="L259" i="17"/>
  <c r="L281" i="17"/>
  <c r="L282" i="17"/>
  <c r="L283" i="17"/>
  <c r="L307" i="17"/>
  <c r="L319" i="17"/>
  <c r="L38" i="17"/>
  <c r="L39" i="17"/>
  <c r="L40" i="17"/>
  <c r="L41" i="17"/>
  <c r="L42" i="17"/>
  <c r="L43" i="17"/>
  <c r="L110" i="17"/>
  <c r="L111" i="17"/>
  <c r="L112" i="17"/>
  <c r="L113" i="17"/>
  <c r="L114" i="17"/>
  <c r="L115" i="17"/>
  <c r="L164" i="17"/>
  <c r="L165" i="17"/>
  <c r="L166" i="17"/>
  <c r="L188" i="17"/>
  <c r="L200" i="17"/>
  <c r="L212" i="17"/>
  <c r="L236" i="17"/>
  <c r="L237" i="17"/>
  <c r="L238" i="17"/>
  <c r="L260" i="17"/>
  <c r="L284" i="17"/>
  <c r="L285" i="17"/>
  <c r="L286" i="17"/>
  <c r="L308" i="17"/>
  <c r="L320" i="17"/>
  <c r="L44" i="17"/>
  <c r="L45" i="17"/>
  <c r="L46" i="17"/>
  <c r="L47" i="17"/>
  <c r="L48" i="17"/>
  <c r="L49" i="17"/>
  <c r="L116" i="17"/>
  <c r="L117" i="17"/>
  <c r="L118" i="17"/>
  <c r="L119" i="17"/>
  <c r="L120" i="17"/>
  <c r="L121" i="17"/>
  <c r="L167" i="17"/>
  <c r="L168" i="17"/>
  <c r="L169" i="17"/>
  <c r="L189" i="17"/>
  <c r="L201" i="17"/>
  <c r="L213" i="17"/>
  <c r="L239" i="17"/>
  <c r="L240" i="17"/>
  <c r="L241" i="17"/>
  <c r="L261" i="17"/>
  <c r="L287" i="17"/>
  <c r="L288" i="17"/>
  <c r="L289" i="17"/>
  <c r="L309" i="17"/>
  <c r="L321" i="17"/>
  <c r="L50" i="17"/>
  <c r="L51" i="17"/>
  <c r="L52" i="17"/>
  <c r="L53" i="17"/>
  <c r="L54" i="17"/>
  <c r="L55" i="17"/>
  <c r="L122" i="17"/>
  <c r="L123" i="17"/>
  <c r="L124" i="17"/>
  <c r="L125" i="17"/>
  <c r="L126" i="17"/>
  <c r="L127" i="17"/>
  <c r="L170" i="17"/>
  <c r="L171" i="17"/>
  <c r="L172" i="17"/>
  <c r="L190" i="17"/>
  <c r="L202" i="17"/>
  <c r="L214" i="17"/>
  <c r="L242" i="17"/>
  <c r="L243" i="17"/>
  <c r="L244" i="17"/>
  <c r="L262" i="17"/>
  <c r="L290" i="17"/>
  <c r="L291" i="17"/>
  <c r="L292" i="17"/>
  <c r="L310" i="17"/>
  <c r="L322" i="17"/>
  <c r="L56" i="17"/>
  <c r="L57" i="17"/>
  <c r="L58" i="17"/>
  <c r="L59" i="17"/>
  <c r="L60" i="17"/>
  <c r="L61" i="17"/>
  <c r="L128" i="17"/>
  <c r="L129" i="17"/>
  <c r="L130" i="17"/>
  <c r="L131" i="17"/>
  <c r="L132" i="17"/>
  <c r="L133" i="17"/>
  <c r="L173" i="17"/>
  <c r="L174" i="17"/>
  <c r="L175" i="17"/>
  <c r="L191" i="17"/>
  <c r="L203" i="17"/>
  <c r="L215" i="17"/>
  <c r="L245" i="17"/>
  <c r="L246" i="17"/>
  <c r="L247" i="17"/>
  <c r="L263" i="17"/>
  <c r="L293" i="17"/>
  <c r="L294" i="17"/>
  <c r="L295" i="17"/>
  <c r="L311" i="17"/>
  <c r="L323" i="17"/>
  <c r="L62" i="17"/>
  <c r="L63" i="17"/>
  <c r="L64" i="17"/>
  <c r="L65" i="17"/>
  <c r="L66" i="17"/>
  <c r="L67" i="17"/>
  <c r="L134" i="17"/>
  <c r="L135" i="17"/>
  <c r="L136" i="17"/>
  <c r="L137" i="17"/>
  <c r="L138" i="17"/>
  <c r="L139" i="17"/>
  <c r="L176" i="17"/>
  <c r="L177" i="17"/>
  <c r="L178" i="17"/>
  <c r="L192" i="17"/>
  <c r="L204" i="17"/>
  <c r="L216" i="17"/>
  <c r="L248" i="17"/>
  <c r="L249" i="17"/>
  <c r="L250" i="17"/>
  <c r="L264" i="17"/>
  <c r="L296" i="17"/>
  <c r="L297" i="17"/>
  <c r="L298" i="17"/>
  <c r="L312" i="17"/>
  <c r="L324" i="17"/>
  <c r="L68" i="17"/>
  <c r="L69" i="17"/>
  <c r="L70" i="17"/>
  <c r="L71" i="17"/>
  <c r="L72" i="17"/>
  <c r="L73" i="17"/>
  <c r="L140" i="17"/>
  <c r="L141" i="17"/>
  <c r="L142" i="17"/>
  <c r="L143" i="17"/>
  <c r="L144" i="17"/>
  <c r="L145" i="17"/>
  <c r="L179" i="17"/>
  <c r="L180" i="17"/>
  <c r="L181" i="17"/>
  <c r="L193" i="17"/>
  <c r="L205" i="17"/>
  <c r="L217" i="17"/>
  <c r="L251" i="17"/>
  <c r="L252" i="17"/>
  <c r="L253" i="17"/>
  <c r="L265" i="17"/>
  <c r="L299" i="17"/>
  <c r="L300" i="17"/>
  <c r="L301" i="17"/>
  <c r="L313" i="17"/>
  <c r="L325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74" i="17" a="1"/>
  <c r="M74" i="17" s="1"/>
  <c r="M75" i="17" a="1"/>
  <c r="M75" i="17"/>
  <c r="M76" i="17" a="1"/>
  <c r="M76" i="17" s="1"/>
  <c r="M77" i="17" a="1"/>
  <c r="M77" i="17" s="1"/>
  <c r="M78" i="17" a="1"/>
  <c r="M78" i="17" s="1"/>
  <c r="M79" i="17" a="1"/>
  <c r="M79" i="17" s="1"/>
  <c r="M146" i="17" a="1"/>
  <c r="M146" i="17" s="1"/>
  <c r="M147" i="17" a="1"/>
  <c r="M147" i="17" s="1"/>
  <c r="M148" i="17" a="1"/>
  <c r="M148" i="17" s="1"/>
  <c r="M182" i="17" a="1"/>
  <c r="M182" i="17"/>
  <c r="M194" i="17" a="1"/>
  <c r="M194" i="17" s="1"/>
  <c r="M206" i="17" a="1"/>
  <c r="M206" i="17" s="1"/>
  <c r="M218" i="17" a="1"/>
  <c r="M218" i="17" s="1"/>
  <c r="M219" i="17" a="1"/>
  <c r="M219" i="17" s="1"/>
  <c r="M220" i="17" a="1"/>
  <c r="M220" i="17" s="1"/>
  <c r="M254" i="17" a="1"/>
  <c r="M254" i="17" s="1"/>
  <c r="M266" i="17" a="1"/>
  <c r="M266" i="17" s="1"/>
  <c r="M267" i="17" a="1"/>
  <c r="M267" i="17"/>
  <c r="M268" i="17" a="1"/>
  <c r="M268" i="17" s="1"/>
  <c r="M302" i="17" a="1"/>
  <c r="M302" i="17" s="1"/>
  <c r="M314" i="17" a="1"/>
  <c r="M314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/>
  <c r="M13" i="17" a="1"/>
  <c r="M13" i="17" s="1"/>
  <c r="M80" i="17" a="1"/>
  <c r="M80" i="17"/>
  <c r="M81" i="17" a="1"/>
  <c r="M81" i="17" s="1"/>
  <c r="M82" i="17" a="1"/>
  <c r="M82" i="17" s="1"/>
  <c r="M83" i="17" a="1"/>
  <c r="M83" i="17" s="1"/>
  <c r="M84" i="17" a="1"/>
  <c r="M84" i="17" s="1"/>
  <c r="M85" i="17" a="1"/>
  <c r="M85" i="17" s="1"/>
  <c r="M149" i="17" a="1"/>
  <c r="M149" i="17"/>
  <c r="M150" i="17" a="1"/>
  <c r="M150" i="17" s="1"/>
  <c r="M151" i="17" a="1"/>
  <c r="M151" i="17"/>
  <c r="M183" i="17" a="1"/>
  <c r="M183" i="17" s="1"/>
  <c r="M195" i="17" a="1"/>
  <c r="M195" i="17" s="1"/>
  <c r="M207" i="17" a="1"/>
  <c r="M207" i="17" s="1"/>
  <c r="M221" i="17" a="1"/>
  <c r="M221" i="17" s="1"/>
  <c r="M222" i="17" a="1"/>
  <c r="M222" i="17" s="1"/>
  <c r="M223" i="17" a="1"/>
  <c r="M223" i="17"/>
  <c r="M255" i="17" a="1"/>
  <c r="M255" i="17" s="1"/>
  <c r="M269" i="17" a="1"/>
  <c r="M269" i="17"/>
  <c r="M270" i="17" a="1"/>
  <c r="M270" i="17" s="1"/>
  <c r="M271" i="17" a="1"/>
  <c r="M271" i="17" s="1"/>
  <c r="M303" i="17" a="1"/>
  <c r="M303" i="17" s="1"/>
  <c r="M315" i="17" a="1"/>
  <c r="M315" i="17" s="1"/>
  <c r="M14" i="17" a="1"/>
  <c r="M14" i="17" s="1"/>
  <c r="M15" i="17" a="1"/>
  <c r="M15" i="17"/>
  <c r="M16" i="17" a="1"/>
  <c r="M16" i="17" s="1"/>
  <c r="M17" i="17" a="1"/>
  <c r="M17" i="17"/>
  <c r="M18" i="17" a="1"/>
  <c r="M18" i="17" s="1"/>
  <c r="M19" i="17" a="1"/>
  <c r="M19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152" i="17" a="1"/>
  <c r="M152" i="17" s="1"/>
  <c r="M153" i="17" a="1"/>
  <c r="M153" i="17"/>
  <c r="M154" i="17" a="1"/>
  <c r="M154" i="17" s="1"/>
  <c r="M184" i="17" a="1"/>
  <c r="M184" i="17" s="1"/>
  <c r="M196" i="17" a="1"/>
  <c r="M196" i="17" s="1"/>
  <c r="M208" i="17" a="1"/>
  <c r="M208" i="17" s="1"/>
  <c r="M224" i="17" a="1"/>
  <c r="M224" i="17" s="1"/>
  <c r="M225" i="17" a="1"/>
  <c r="M225" i="17"/>
  <c r="M226" i="17" a="1"/>
  <c r="M226" i="17" s="1"/>
  <c r="M256" i="17" a="1"/>
  <c r="M256" i="17" s="1"/>
  <c r="M272" i="17" a="1"/>
  <c r="M272" i="17" s="1"/>
  <c r="M273" i="17" a="1"/>
  <c r="M273" i="17" s="1"/>
  <c r="M274" i="17" a="1"/>
  <c r="M274" i="17" s="1"/>
  <c r="M304" i="17" a="1"/>
  <c r="M304" i="17" s="1"/>
  <c r="M316" i="17" a="1"/>
  <c r="M316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155" i="17" a="1"/>
  <c r="M155" i="17" s="1"/>
  <c r="M156" i="17" a="1"/>
  <c r="M156" i="17" s="1"/>
  <c r="M157" i="17" a="1"/>
  <c r="M157" i="17" s="1"/>
  <c r="M185" i="17" a="1"/>
  <c r="M185" i="17" s="1"/>
  <c r="M197" i="17" a="1"/>
  <c r="M197" i="17" s="1"/>
  <c r="M209" i="17" a="1"/>
  <c r="M209" i="17" s="1"/>
  <c r="M227" i="17" a="1"/>
  <c r="M227" i="17" s="1"/>
  <c r="M228" i="17" a="1"/>
  <c r="M228" i="17" s="1"/>
  <c r="M229" i="17" a="1"/>
  <c r="M229" i="17" s="1"/>
  <c r="M257" i="17" a="1"/>
  <c r="M257" i="17" s="1"/>
  <c r="M275" i="17" a="1"/>
  <c r="M275" i="17" s="1"/>
  <c r="M276" i="17" a="1"/>
  <c r="M276" i="17" s="1"/>
  <c r="M277" i="17" a="1"/>
  <c r="M277" i="17"/>
  <c r="M305" i="17" a="1"/>
  <c r="M305" i="17" s="1"/>
  <c r="M317" i="17" a="1"/>
  <c r="M317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58" i="17" a="1"/>
  <c r="M158" i="17" s="1"/>
  <c r="M159" i="17" a="1"/>
  <c r="M159" i="17" s="1"/>
  <c r="M160" i="17" a="1"/>
  <c r="M160" i="17" s="1"/>
  <c r="M186" i="17" a="1"/>
  <c r="M186" i="17"/>
  <c r="M198" i="17" a="1"/>
  <c r="M198" i="17" s="1"/>
  <c r="M210" i="17" a="1"/>
  <c r="M210" i="17"/>
  <c r="M230" i="17" a="1"/>
  <c r="M230" i="17" s="1"/>
  <c r="M231" i="17" a="1"/>
  <c r="M231" i="17" s="1"/>
  <c r="M232" i="17" a="1"/>
  <c r="M232" i="17" s="1"/>
  <c r="M258" i="17" a="1"/>
  <c r="M258" i="17" s="1"/>
  <c r="M278" i="17" a="1"/>
  <c r="M278" i="17" s="1"/>
  <c r="M279" i="17" a="1"/>
  <c r="M279" i="17" s="1"/>
  <c r="M280" i="17" a="1"/>
  <c r="M280" i="17" s="1"/>
  <c r="M306" i="17" a="1"/>
  <c r="M306" i="17" s="1"/>
  <c r="M318" i="17" a="1"/>
  <c r="M318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104" i="17" a="1"/>
  <c r="M104" i="17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161" i="17" a="1"/>
  <c r="M161" i="17"/>
  <c r="M162" i="17" a="1"/>
  <c r="M162" i="17" s="1"/>
  <c r="M163" i="17" a="1"/>
  <c r="M163" i="17" s="1"/>
  <c r="M187" i="17" a="1"/>
  <c r="M187" i="17" s="1"/>
  <c r="M199" i="17" a="1"/>
  <c r="M199" i="17" s="1"/>
  <c r="M211" i="17" a="1"/>
  <c r="M211" i="17" s="1"/>
  <c r="M233" i="17" a="1"/>
  <c r="M233" i="17" s="1"/>
  <c r="M234" i="17" a="1"/>
  <c r="M234" i="17" s="1"/>
  <c r="M235" i="17" a="1"/>
  <c r="M235" i="17" s="1"/>
  <c r="M259" i="17" a="1"/>
  <c r="M259" i="17" s="1"/>
  <c r="M281" i="17" a="1"/>
  <c r="M281" i="17" s="1"/>
  <c r="M282" i="17" a="1"/>
  <c r="M282" i="17" s="1"/>
  <c r="M283" i="17" a="1"/>
  <c r="M283" i="17" s="1"/>
  <c r="M307" i="17" a="1"/>
  <c r="M307" i="17" s="1"/>
  <c r="M319" i="17" a="1"/>
  <c r="M319" i="17" s="1"/>
  <c r="M38" i="17" a="1"/>
  <c r="M38" i="17" s="1"/>
  <c r="M39" i="17" a="1"/>
  <c r="M39" i="17" s="1"/>
  <c r="M40" i="17" a="1"/>
  <c r="M40" i="17" s="1"/>
  <c r="M41" i="17" a="1"/>
  <c r="M41" i="17"/>
  <c r="M42" i="17" a="1"/>
  <c r="M42" i="17" s="1"/>
  <c r="M43" i="17" a="1"/>
  <c r="M43" i="17" s="1"/>
  <c r="M110" i="17" a="1"/>
  <c r="M110" i="17" s="1"/>
  <c r="M111" i="17" a="1"/>
  <c r="M111" i="17" s="1"/>
  <c r="M112" i="17" a="1"/>
  <c r="M112" i="17" s="1"/>
  <c r="M113" i="17" a="1"/>
  <c r="M113" i="17"/>
  <c r="M114" i="17" a="1"/>
  <c r="M114" i="17" s="1"/>
  <c r="M115" i="17" a="1"/>
  <c r="M115" i="17" s="1"/>
  <c r="M164" i="17" a="1"/>
  <c r="M164" i="17" s="1"/>
  <c r="M165" i="17" a="1"/>
  <c r="M165" i="17" s="1"/>
  <c r="M166" i="17" a="1"/>
  <c r="M166" i="17" s="1"/>
  <c r="M188" i="17" a="1"/>
  <c r="M188" i="17"/>
  <c r="M200" i="17" a="1"/>
  <c r="M200" i="17" s="1"/>
  <c r="M212" i="17" a="1"/>
  <c r="M212" i="17" s="1"/>
  <c r="M236" i="17" a="1"/>
  <c r="M236" i="17" s="1"/>
  <c r="M237" i="17" a="1"/>
  <c r="M237" i="17"/>
  <c r="M238" i="17" a="1"/>
  <c r="M238" i="17" s="1"/>
  <c r="M260" i="17" a="1"/>
  <c r="M260" i="17" s="1"/>
  <c r="M284" i="17" a="1"/>
  <c r="M284" i="17" s="1"/>
  <c r="M285" i="17" a="1"/>
  <c r="M285" i="17" s="1"/>
  <c r="M286" i="17" a="1"/>
  <c r="M286" i="17" s="1"/>
  <c r="M308" i="17" a="1"/>
  <c r="M308" i="17" s="1"/>
  <c r="M320" i="17" a="1"/>
  <c r="M320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116" i="17" a="1"/>
  <c r="M116" i="17"/>
  <c r="M117" i="17" a="1"/>
  <c r="M117" i="17" s="1"/>
  <c r="M118" i="17" a="1"/>
  <c r="M118" i="17"/>
  <c r="M119" i="17" a="1"/>
  <c r="M119" i="17" s="1"/>
  <c r="M120" i="17" a="1"/>
  <c r="M120" i="17" s="1"/>
  <c r="M121" i="17" a="1"/>
  <c r="M121" i="17" s="1"/>
  <c r="M167" i="17" a="1"/>
  <c r="M167" i="17"/>
  <c r="M168" i="17" a="1"/>
  <c r="M168" i="17" s="1"/>
  <c r="M169" i="17" a="1"/>
  <c r="M169" i="17" s="1"/>
  <c r="M189" i="17" a="1"/>
  <c r="M189" i="17" s="1"/>
  <c r="M201" i="17" a="1"/>
  <c r="M201" i="17" s="1"/>
  <c r="M213" i="17" a="1"/>
  <c r="M213" i="17" s="1"/>
  <c r="M239" i="17" a="1"/>
  <c r="M239" i="17" s="1"/>
  <c r="M240" i="17" a="1"/>
  <c r="M240" i="17" s="1"/>
  <c r="M241" i="17" a="1"/>
  <c r="M241" i="17" s="1"/>
  <c r="M261" i="17" a="1"/>
  <c r="M261" i="17" s="1"/>
  <c r="M287" i="17" a="1"/>
  <c r="M287" i="17" s="1"/>
  <c r="M288" i="17" a="1"/>
  <c r="M288" i="17" s="1"/>
  <c r="M289" i="17" a="1"/>
  <c r="M289" i="17" s="1"/>
  <c r="M309" i="17" a="1"/>
  <c r="M309" i="17" s="1"/>
  <c r="M321" i="17" a="1"/>
  <c r="M321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 s="1"/>
  <c r="M127" i="17" a="1"/>
  <c r="M127" i="17" s="1"/>
  <c r="M170" i="17" a="1"/>
  <c r="M170" i="17" s="1"/>
  <c r="M171" i="17" a="1"/>
  <c r="M171" i="17"/>
  <c r="M172" i="17" a="1"/>
  <c r="M172" i="17" s="1"/>
  <c r="M190" i="17" a="1"/>
  <c r="M190" i="17" s="1"/>
  <c r="M202" i="17" a="1"/>
  <c r="M202" i="17" s="1"/>
  <c r="M214" i="17" a="1"/>
  <c r="M214" i="17" s="1"/>
  <c r="M242" i="17" a="1"/>
  <c r="M242" i="17" s="1"/>
  <c r="M243" i="17" a="1"/>
  <c r="M243" i="17" s="1"/>
  <c r="M244" i="17" a="1"/>
  <c r="M244" i="17" s="1"/>
  <c r="M262" i="17" a="1"/>
  <c r="M262" i="17" s="1"/>
  <c r="M290" i="17" a="1"/>
  <c r="M290" i="17" s="1"/>
  <c r="M291" i="17" a="1"/>
  <c r="M291" i="17" s="1"/>
  <c r="M292" i="17" a="1"/>
  <c r="M292" i="17" s="1"/>
  <c r="M310" i="17" a="1"/>
  <c r="M310" i="17" s="1"/>
  <c r="M322" i="17" a="1"/>
  <c r="M322" i="17" s="1"/>
  <c r="M56" i="17" a="1"/>
  <c r="M56" i="17"/>
  <c r="M57" i="17" a="1"/>
  <c r="M57" i="17" s="1"/>
  <c r="M58" i="17" a="1"/>
  <c r="M58" i="17"/>
  <c r="M59" i="17" a="1"/>
  <c r="M59" i="17" s="1"/>
  <c r="M60" i="17" a="1"/>
  <c r="M60" i="17" s="1"/>
  <c r="M61" i="17" a="1"/>
  <c r="M61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173" i="17" a="1"/>
  <c r="M173" i="17" s="1"/>
  <c r="M174" i="17" a="1"/>
  <c r="M174" i="17" s="1"/>
  <c r="M175" i="17" a="1"/>
  <c r="M175" i="17" s="1"/>
  <c r="M191" i="17" a="1"/>
  <c r="M191" i="17" s="1"/>
  <c r="M203" i="17" a="1"/>
  <c r="M203" i="17" s="1"/>
  <c r="M215" i="17" a="1"/>
  <c r="M215" i="17" s="1"/>
  <c r="M245" i="17" a="1"/>
  <c r="M245" i="17"/>
  <c r="M246" i="17" a="1"/>
  <c r="M246" i="17" s="1"/>
  <c r="M247" i="17" a="1"/>
  <c r="M247" i="17" s="1"/>
  <c r="M263" i="17" a="1"/>
  <c r="M263" i="17" s="1"/>
  <c r="M293" i="17" a="1"/>
  <c r="M293" i="17" s="1"/>
  <c r="M294" i="17" a="1"/>
  <c r="M294" i="17" s="1"/>
  <c r="M295" i="17" a="1"/>
  <c r="M295" i="17" s="1"/>
  <c r="M311" i="17" a="1"/>
  <c r="M311" i="17" s="1"/>
  <c r="M323" i="17" a="1"/>
  <c r="M323" i="17" s="1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176" i="17" a="1"/>
  <c r="M176" i="17" s="1"/>
  <c r="M177" i="17" a="1"/>
  <c r="M177" i="17" s="1"/>
  <c r="M178" i="17" a="1"/>
  <c r="M178" i="17" s="1"/>
  <c r="M192" i="17" a="1"/>
  <c r="M192" i="17" s="1"/>
  <c r="M204" i="17" a="1"/>
  <c r="M204" i="17" s="1"/>
  <c r="M216" i="17" a="1"/>
  <c r="M216" i="17" s="1"/>
  <c r="M248" i="17" a="1"/>
  <c r="M248" i="17" s="1"/>
  <c r="M249" i="17" a="1"/>
  <c r="M249" i="17" s="1"/>
  <c r="M250" i="17" a="1"/>
  <c r="M250" i="17" s="1"/>
  <c r="M264" i="17" a="1"/>
  <c r="M264" i="17" s="1"/>
  <c r="M296" i="17" a="1"/>
  <c r="M296" i="17" s="1"/>
  <c r="M297" i="17" a="1"/>
  <c r="M297" i="17"/>
  <c r="M298" i="17" a="1"/>
  <c r="M298" i="17" s="1"/>
  <c r="M312" i="17" a="1"/>
  <c r="M312" i="17" s="1"/>
  <c r="M324" i="17" a="1"/>
  <c r="M324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/>
  <c r="M145" i="17" a="1"/>
  <c r="M145" i="17" s="1"/>
  <c r="M179" i="17" a="1"/>
  <c r="M179" i="17" s="1"/>
  <c r="M180" i="17" a="1"/>
  <c r="M180" i="17" s="1"/>
  <c r="M181" i="17" a="1"/>
  <c r="M181" i="17" s="1"/>
  <c r="M193" i="17" a="1"/>
  <c r="M193" i="17" s="1"/>
  <c r="M205" i="17" a="1"/>
  <c r="M205" i="17" s="1"/>
  <c r="M217" i="17" a="1"/>
  <c r="M217" i="17" s="1"/>
  <c r="M251" i="17" a="1"/>
  <c r="M251" i="17" s="1"/>
  <c r="M252" i="17" a="1"/>
  <c r="M252" i="17" s="1"/>
  <c r="M253" i="17" a="1"/>
  <c r="M253" i="17" s="1"/>
  <c r="M265" i="17" a="1"/>
  <c r="M265" i="17" s="1"/>
  <c r="M299" i="17" a="1"/>
  <c r="M299" i="17" s="1"/>
  <c r="M300" i="17" a="1"/>
  <c r="M300" i="17" s="1"/>
  <c r="M301" i="17" a="1"/>
  <c r="M301" i="17" s="1"/>
  <c r="M313" i="17" a="1"/>
  <c r="M313" i="17" s="1"/>
  <c r="M325" i="17" a="1"/>
  <c r="M325" i="17" s="1"/>
  <c r="N286" i="17" a="1"/>
  <c r="N286" i="17" s="1"/>
  <c r="N50" i="17" a="1"/>
  <c r="N50" i="17" s="1"/>
  <c r="N134" i="17" a="1"/>
  <c r="N134" i="17" s="1"/>
  <c r="N250" i="17" a="1"/>
  <c r="N250" i="17" s="1"/>
  <c r="O76" i="17" a="1"/>
  <c r="O76" i="17" s="1"/>
  <c r="O267" i="17" a="1"/>
  <c r="O267" i="17" s="1"/>
  <c r="O154" i="17" a="1"/>
  <c r="O154" i="17" s="1"/>
  <c r="O21" i="17" a="1"/>
  <c r="O21" i="17" s="1"/>
  <c r="O98" i="17" a="1"/>
  <c r="O98" i="17" s="1"/>
  <c r="O160" i="17" a="1"/>
  <c r="O160" i="17" s="1"/>
  <c r="O106" i="17" a="1"/>
  <c r="O106" i="17" s="1"/>
  <c r="O162" i="17" a="1"/>
  <c r="O162" i="17" s="1"/>
  <c r="O40" i="17" a="1"/>
  <c r="O40" i="17" s="1"/>
  <c r="O43" i="17" a="1"/>
  <c r="O43" i="17" s="1"/>
  <c r="O200" i="17" a="1"/>
  <c r="O200" i="17" s="1"/>
  <c r="O238" i="17" a="1"/>
  <c r="O238" i="17" s="1"/>
  <c r="O49" i="17" a="1"/>
  <c r="O49" i="17" s="1"/>
  <c r="O240" i="17" a="1"/>
  <c r="O240" i="17" s="1"/>
  <c r="O288" i="17" a="1"/>
  <c r="O288" i="17" s="1"/>
  <c r="O124" i="17" a="1"/>
  <c r="O124" i="17" s="1"/>
  <c r="O170" i="17" a="1"/>
  <c r="O170" i="17" s="1"/>
  <c r="O291" i="17" a="1"/>
  <c r="O291" i="17" s="1"/>
  <c r="O56" i="17" a="1"/>
  <c r="O56" i="17" s="1"/>
  <c r="O133" i="17" a="1"/>
  <c r="O133" i="17" s="1"/>
  <c r="O191" i="17" a="1"/>
  <c r="O191" i="17" s="1"/>
  <c r="O311" i="17" a="1"/>
  <c r="O311" i="17" s="1"/>
  <c r="O323" i="17" a="1"/>
  <c r="O323" i="17" s="1"/>
  <c r="O65" i="17" a="1"/>
  <c r="O65" i="17" s="1"/>
  <c r="O134" i="17" a="1"/>
  <c r="O134" i="17" s="1"/>
  <c r="O135" i="17" a="1"/>
  <c r="O135" i="17" s="1"/>
  <c r="O138" i="17" a="1"/>
  <c r="O138" i="17" s="1"/>
  <c r="O177" i="17" a="1"/>
  <c r="O177" i="17" s="1"/>
  <c r="O178" i="17" a="1"/>
  <c r="O178" i="17" s="1"/>
  <c r="O216" i="17" a="1"/>
  <c r="O216" i="17" s="1"/>
  <c r="O250" i="17" a="1"/>
  <c r="O250" i="17" s="1"/>
  <c r="O264" i="17" a="1"/>
  <c r="O264" i="17" s="1"/>
  <c r="O298" i="17" a="1"/>
  <c r="O298" i="17" s="1"/>
  <c r="O68" i="17" a="1"/>
  <c r="O68" i="17" s="1"/>
  <c r="O69" i="17" a="1"/>
  <c r="O69" i="17" s="1"/>
  <c r="O72" i="17" a="1"/>
  <c r="O72" i="17" s="1"/>
  <c r="O73" i="17" a="1"/>
  <c r="O73" i="17" s="1"/>
  <c r="O142" i="17" a="1"/>
  <c r="O142" i="17" s="1"/>
  <c r="O143" i="17" a="1"/>
  <c r="O143" i="17" s="1"/>
  <c r="O145" i="17" a="1"/>
  <c r="O145" i="17" s="1"/>
  <c r="O179" i="17" a="1"/>
  <c r="O179" i="17" s="1"/>
  <c r="O193" i="17" a="1"/>
  <c r="O193" i="17" s="1"/>
  <c r="O205" i="17" a="1"/>
  <c r="O205" i="17" s="1"/>
  <c r="O252" i="17" a="1"/>
  <c r="O252" i="17" s="1"/>
  <c r="O253" i="17" a="1"/>
  <c r="O253" i="17" s="1"/>
  <c r="O300" i="17" a="1"/>
  <c r="O300" i="17" s="1"/>
  <c r="O301" i="17" a="1"/>
  <c r="O30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146" i="17" a="1"/>
  <c r="P146" i="17" s="1"/>
  <c r="P147" i="17" a="1"/>
  <c r="P147" i="17" s="1"/>
  <c r="P148" i="17" a="1"/>
  <c r="P148" i="17" s="1"/>
  <c r="P182" i="17" a="1"/>
  <c r="P182" i="17" s="1"/>
  <c r="P194" i="17" a="1"/>
  <c r="P194" i="17" s="1"/>
  <c r="P206" i="17" a="1"/>
  <c r="P206" i="17" s="1"/>
  <c r="P218" i="17" a="1"/>
  <c r="P218" i="17" s="1"/>
  <c r="P219" i="17" a="1"/>
  <c r="P219" i="17" s="1"/>
  <c r="P220" i="17" a="1"/>
  <c r="P220" i="17" s="1"/>
  <c r="P254" i="17" a="1"/>
  <c r="P254" i="17" s="1"/>
  <c r="P266" i="17" a="1"/>
  <c r="P266" i="17" s="1"/>
  <c r="P267" i="17" a="1"/>
  <c r="P267" i="17"/>
  <c r="P268" i="17" a="1"/>
  <c r="P268" i="17" s="1"/>
  <c r="P302" i="17" a="1"/>
  <c r="P302" i="17" s="1"/>
  <c r="P314" i="17" a="1"/>
  <c r="P314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149" i="17" a="1"/>
  <c r="P149" i="17"/>
  <c r="P150" i="17" a="1"/>
  <c r="P150" i="17" s="1"/>
  <c r="P151" i="17" a="1"/>
  <c r="P151" i="17" s="1"/>
  <c r="P183" i="17" a="1"/>
  <c r="P183" i="17" s="1"/>
  <c r="P195" i="17" a="1"/>
  <c r="P195" i="17" s="1"/>
  <c r="P207" i="17" a="1"/>
  <c r="P207" i="17" s="1"/>
  <c r="P221" i="17" a="1"/>
  <c r="P221" i="17" s="1"/>
  <c r="P222" i="17" a="1"/>
  <c r="P222" i="17" s="1"/>
  <c r="P223" i="17" a="1"/>
  <c r="P223" i="17" s="1"/>
  <c r="P255" i="17" a="1"/>
  <c r="P255" i="17" s="1"/>
  <c r="P269" i="17" a="1"/>
  <c r="P269" i="17"/>
  <c r="P270" i="17" a="1"/>
  <c r="P270" i="17" s="1"/>
  <c r="P271" i="17" a="1"/>
  <c r="P271" i="17" s="1"/>
  <c r="P303" i="17" a="1"/>
  <c r="P303" i="17" s="1"/>
  <c r="P315" i="17" a="1"/>
  <c r="P315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86" i="17" a="1"/>
  <c r="P86" i="17" s="1"/>
  <c r="P87" i="17" a="1"/>
  <c r="P87" i="17" s="1"/>
  <c r="P88" i="17" a="1"/>
  <c r="P88" i="17" s="1"/>
  <c r="P89" i="17" a="1"/>
  <c r="P89" i="17"/>
  <c r="P90" i="17" a="1"/>
  <c r="P90" i="17" s="1"/>
  <c r="P91" i="17" a="1"/>
  <c r="P91" i="17" s="1"/>
  <c r="P152" i="17" a="1"/>
  <c r="P152" i="17" s="1"/>
  <c r="P153" i="17" a="1"/>
  <c r="P153" i="17" s="1"/>
  <c r="P154" i="17" a="1"/>
  <c r="P154" i="17" s="1"/>
  <c r="P184" i="17" a="1"/>
  <c r="P184" i="17" s="1"/>
  <c r="P196" i="17" a="1"/>
  <c r="P196" i="17" s="1"/>
  <c r="P208" i="17" a="1"/>
  <c r="P208" i="17" s="1"/>
  <c r="P224" i="17" a="1"/>
  <c r="P224" i="17" s="1"/>
  <c r="P225" i="17" a="1"/>
  <c r="P225" i="17" s="1"/>
  <c r="P226" i="17" a="1"/>
  <c r="P226" i="17" s="1"/>
  <c r="P256" i="17" a="1"/>
  <c r="P256" i="17" s="1"/>
  <c r="P272" i="17" a="1"/>
  <c r="P272" i="17" s="1"/>
  <c r="P273" i="17" a="1"/>
  <c r="P273" i="17" s="1"/>
  <c r="P274" i="17" a="1"/>
  <c r="P274" i="17" s="1"/>
  <c r="P304" i="17" a="1"/>
  <c r="P304" i="17" s="1"/>
  <c r="P316" i="17" a="1"/>
  <c r="P316" i="17" s="1"/>
  <c r="P20" i="17" a="1"/>
  <c r="P20" i="17" s="1"/>
  <c r="P21" i="17" a="1"/>
  <c r="P21" i="17" s="1"/>
  <c r="P22" i="17" a="1"/>
  <c r="P22" i="17" s="1"/>
  <c r="P23" i="17" a="1"/>
  <c r="P23" i="17" s="1"/>
  <c r="P24" i="17" a="1"/>
  <c r="P24" i="17" s="1"/>
  <c r="P25" i="17" a="1"/>
  <c r="P25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55" i="17" a="1"/>
  <c r="P155" i="17" s="1"/>
  <c r="P156" i="17" a="1"/>
  <c r="P156" i="17" s="1"/>
  <c r="P157" i="17" a="1"/>
  <c r="P157" i="17" s="1"/>
  <c r="P185" i="17" a="1"/>
  <c r="P185" i="17" s="1"/>
  <c r="P197" i="17" a="1"/>
  <c r="P197" i="17"/>
  <c r="P209" i="17" a="1"/>
  <c r="P209" i="17" s="1"/>
  <c r="P227" i="17" a="1"/>
  <c r="P227" i="17" s="1"/>
  <c r="P228" i="17" a="1"/>
  <c r="P228" i="17" s="1"/>
  <c r="P229" i="17" a="1"/>
  <c r="P229" i="17" s="1"/>
  <c r="P257" i="17" a="1"/>
  <c r="P257" i="17" s="1"/>
  <c r="P275" i="17" a="1"/>
  <c r="P275" i="17"/>
  <c r="P276" i="17" a="1"/>
  <c r="P276" i="17" s="1"/>
  <c r="P277" i="17" a="1"/>
  <c r="P277" i="17" s="1"/>
  <c r="P305" i="17" a="1"/>
  <c r="P305" i="17" s="1"/>
  <c r="P317" i="17" a="1"/>
  <c r="P317" i="17" s="1"/>
  <c r="P26" i="17" a="1"/>
  <c r="P26" i="17" s="1"/>
  <c r="P27" i="17" a="1"/>
  <c r="P27" i="17" s="1"/>
  <c r="P28" i="17" a="1"/>
  <c r="P28" i="17" s="1"/>
  <c r="P29" i="17" a="1"/>
  <c r="P29" i="17"/>
  <c r="P30" i="17" a="1"/>
  <c r="P30" i="17" s="1"/>
  <c r="P31" i="17" a="1"/>
  <c r="P31" i="17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58" i="17" a="1"/>
  <c r="P158" i="17" s="1"/>
  <c r="P159" i="17" a="1"/>
  <c r="P159" i="17" s="1"/>
  <c r="P160" i="17" a="1"/>
  <c r="P160" i="17" s="1"/>
  <c r="P186" i="17" a="1"/>
  <c r="P186" i="17" s="1"/>
  <c r="P198" i="17" a="1"/>
  <c r="P198" i="17" s="1"/>
  <c r="P210" i="17" a="1"/>
  <c r="P210" i="17" s="1"/>
  <c r="P230" i="17" a="1"/>
  <c r="P230" i="17" s="1"/>
  <c r="P231" i="17" a="1"/>
  <c r="P231" i="17"/>
  <c r="P232" i="17" a="1"/>
  <c r="P232" i="17" s="1"/>
  <c r="P258" i="17" a="1"/>
  <c r="P258" i="17" s="1"/>
  <c r="P278" i="17" a="1"/>
  <c r="P278" i="17" s="1"/>
  <c r="P279" i="17" a="1"/>
  <c r="P279" i="17" s="1"/>
  <c r="P280" i="17" a="1"/>
  <c r="P280" i="17" s="1"/>
  <c r="P306" i="17" a="1"/>
  <c r="P306" i="17" s="1"/>
  <c r="P318" i="17" a="1"/>
  <c r="P318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161" i="17" a="1"/>
  <c r="P161" i="17" s="1"/>
  <c r="P162" i="17" a="1"/>
  <c r="P162" i="17" s="1"/>
  <c r="P163" i="17" a="1"/>
  <c r="P163" i="17" s="1"/>
  <c r="P187" i="17" a="1"/>
  <c r="P187" i="17" s="1"/>
  <c r="P199" i="17" a="1"/>
  <c r="P199" i="17"/>
  <c r="P211" i="17" a="1"/>
  <c r="P211" i="17" s="1"/>
  <c r="P233" i="17" a="1"/>
  <c r="P233" i="17" s="1"/>
  <c r="P234" i="17" a="1"/>
  <c r="P234" i="17" s="1"/>
  <c r="P235" i="17" a="1"/>
  <c r="P235" i="17" s="1"/>
  <c r="P259" i="17" a="1"/>
  <c r="P259" i="17" s="1"/>
  <c r="P281" i="17" a="1"/>
  <c r="P281" i="17" s="1"/>
  <c r="P282" i="17" a="1"/>
  <c r="P282" i="17" s="1"/>
  <c r="P283" i="17" a="1"/>
  <c r="P283" i="17" s="1"/>
  <c r="P307" i="17" a="1"/>
  <c r="P307" i="17" s="1"/>
  <c r="P319" i="17" a="1"/>
  <c r="P319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164" i="17" a="1"/>
  <c r="P164" i="17" s="1"/>
  <c r="P165" i="17" a="1"/>
  <c r="P165" i="17" s="1"/>
  <c r="P166" i="17" a="1"/>
  <c r="P166" i="17" s="1"/>
  <c r="P188" i="17" a="1"/>
  <c r="P188" i="17"/>
  <c r="P200" i="17" a="1"/>
  <c r="P200" i="17" s="1"/>
  <c r="P212" i="17" a="1"/>
  <c r="P212" i="17" s="1"/>
  <c r="P236" i="17" a="1"/>
  <c r="P236" i="17" s="1"/>
  <c r="P237" i="17" a="1"/>
  <c r="P237" i="17" s="1"/>
  <c r="P238" i="17" a="1"/>
  <c r="P238" i="17" s="1"/>
  <c r="P260" i="17" a="1"/>
  <c r="P260" i="17" s="1"/>
  <c r="P284" i="17" a="1"/>
  <c r="P284" i="17" s="1"/>
  <c r="P285" i="17" a="1"/>
  <c r="P285" i="17" s="1"/>
  <c r="P286" i="17" a="1"/>
  <c r="P286" i="17" s="1"/>
  <c r="P308" i="17" a="1"/>
  <c r="P308" i="17" s="1"/>
  <c r="P320" i="17" a="1"/>
  <c r="P320" i="17" s="1"/>
  <c r="P44" i="17" a="1"/>
  <c r="P44" i="17" s="1"/>
  <c r="P45" i="17" a="1"/>
  <c r="P45" i="17" s="1"/>
  <c r="P46" i="17" a="1"/>
  <c r="P46" i="17"/>
  <c r="P47" i="17" a="1"/>
  <c r="P47" i="17" s="1"/>
  <c r="P48" i="17" a="1"/>
  <c r="P48" i="17" s="1"/>
  <c r="P49" i="17" a="1"/>
  <c r="P49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167" i="17" a="1"/>
  <c r="P167" i="17" s="1"/>
  <c r="P168" i="17" a="1"/>
  <c r="P168" i="17" s="1"/>
  <c r="P169" i="17" a="1"/>
  <c r="P169" i="17" s="1"/>
  <c r="P189" i="17" a="1"/>
  <c r="P189" i="17" s="1"/>
  <c r="P201" i="17" a="1"/>
  <c r="P201" i="17" s="1"/>
  <c r="P213" i="17" a="1"/>
  <c r="P213" i="17" s="1"/>
  <c r="P239" i="17" a="1"/>
  <c r="P239" i="17" s="1"/>
  <c r="P240" i="17" a="1"/>
  <c r="P240" i="17" s="1"/>
  <c r="P241" i="17" a="1"/>
  <c r="P241" i="17" s="1"/>
  <c r="P261" i="17" a="1"/>
  <c r="P261" i="17" s="1"/>
  <c r="P287" i="17" a="1"/>
  <c r="P287" i="17" s="1"/>
  <c r="P288" i="17" a="1"/>
  <c r="P288" i="17" s="1"/>
  <c r="P289" i="17" a="1"/>
  <c r="P289" i="17" s="1"/>
  <c r="P309" i="17" a="1"/>
  <c r="P309" i="17" s="1"/>
  <c r="P321" i="17" a="1"/>
  <c r="P321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122" i="17" a="1"/>
  <c r="P122" i="17" s="1"/>
  <c r="P123" i="17" a="1"/>
  <c r="P123" i="17" s="1"/>
  <c r="P124" i="17" a="1"/>
  <c r="P124" i="17" s="1"/>
  <c r="P125" i="17" a="1"/>
  <c r="P125" i="17"/>
  <c r="P126" i="17" a="1"/>
  <c r="P126" i="17" s="1"/>
  <c r="P127" i="17" a="1"/>
  <c r="P127" i="17" s="1"/>
  <c r="P170" i="17" a="1"/>
  <c r="P170" i="17" s="1"/>
  <c r="P171" i="17" a="1"/>
  <c r="P171" i="17" s="1"/>
  <c r="P172" i="17" a="1"/>
  <c r="P172" i="17" s="1"/>
  <c r="P190" i="17" a="1"/>
  <c r="P190" i="17"/>
  <c r="P202" i="17" a="1"/>
  <c r="P202" i="17" s="1"/>
  <c r="P214" i="17" a="1"/>
  <c r="P214" i="17" s="1"/>
  <c r="P242" i="17" a="1"/>
  <c r="P242" i="17" s="1"/>
  <c r="P243" i="17" a="1"/>
  <c r="P243" i="17" s="1"/>
  <c r="P244" i="17" a="1"/>
  <c r="P244" i="17" s="1"/>
  <c r="P262" i="17" a="1"/>
  <c r="P262" i="17" s="1"/>
  <c r="P290" i="17" a="1"/>
  <c r="P290" i="17" s="1"/>
  <c r="P291" i="17" a="1"/>
  <c r="P291" i="17" s="1"/>
  <c r="P292" i="17" a="1"/>
  <c r="P292" i="17" s="1"/>
  <c r="P310" i="17" a="1"/>
  <c r="P310" i="17" s="1"/>
  <c r="P322" i="17" a="1"/>
  <c r="P322" i="17" s="1"/>
  <c r="P56" i="17" a="1"/>
  <c r="P56" i="17" s="1"/>
  <c r="P57" i="17" a="1"/>
  <c r="P57" i="17" s="1"/>
  <c r="P58" i="17" a="1"/>
  <c r="P58" i="17" s="1"/>
  <c r="P59" i="17" a="1"/>
  <c r="P59" i="17" s="1"/>
  <c r="P60" i="17" a="1"/>
  <c r="P60" i="17" s="1"/>
  <c r="P61" i="17" a="1"/>
  <c r="P61" i="17" s="1"/>
  <c r="P128" i="17" a="1"/>
  <c r="P128" i="17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173" i="17" a="1"/>
  <c r="P173" i="17" s="1"/>
  <c r="P174" i="17" a="1"/>
  <c r="P174" i="17" s="1"/>
  <c r="P175" i="17" a="1"/>
  <c r="P175" i="17" s="1"/>
  <c r="P191" i="17" a="1"/>
  <c r="P191" i="17" s="1"/>
  <c r="P203" i="17" a="1"/>
  <c r="P203" i="17" s="1"/>
  <c r="P215" i="17" a="1"/>
  <c r="P215" i="17" s="1"/>
  <c r="P245" i="17" a="1"/>
  <c r="P245" i="17" s="1"/>
  <c r="P246" i="17" a="1"/>
  <c r="P246" i="17" s="1"/>
  <c r="P247" i="17" a="1"/>
  <c r="P247" i="17" s="1"/>
  <c r="P263" i="17" a="1"/>
  <c r="P263" i="17" s="1"/>
  <c r="P293" i="17" a="1"/>
  <c r="P293" i="17" s="1"/>
  <c r="P294" i="17" a="1"/>
  <c r="P294" i="17" s="1"/>
  <c r="P295" i="17" a="1"/>
  <c r="P295" i="17" s="1"/>
  <c r="P311" i="17" a="1"/>
  <c r="P311" i="17" s="1"/>
  <c r="P323" i="17" a="1"/>
  <c r="P323" i="17" s="1"/>
  <c r="P62" i="17" a="1"/>
  <c r="P62" i="17" s="1"/>
  <c r="P63" i="17" a="1"/>
  <c r="P63" i="17" s="1"/>
  <c r="P64" i="17" a="1"/>
  <c r="P64" i="17" s="1"/>
  <c r="P65" i="17" a="1"/>
  <c r="P65" i="17"/>
  <c r="P66" i="17" a="1"/>
  <c r="P66" i="17" s="1"/>
  <c r="P67" i="17" a="1"/>
  <c r="P67" i="17" s="1"/>
  <c r="P134" i="17" a="1"/>
  <c r="P134" i="17" s="1"/>
  <c r="P135" i="17" a="1"/>
  <c r="P135" i="17" s="1"/>
  <c r="P136" i="17" a="1"/>
  <c r="P136" i="17" s="1"/>
  <c r="P137" i="17" a="1"/>
  <c r="P137" i="17" s="1"/>
  <c r="P138" i="17" a="1"/>
  <c r="P138" i="17" s="1"/>
  <c r="P139" i="17" a="1"/>
  <c r="P139" i="17" s="1"/>
  <c r="P176" i="17" a="1"/>
  <c r="P176" i="17" s="1"/>
  <c r="P177" i="17" a="1"/>
  <c r="P177" i="17" s="1"/>
  <c r="P178" i="17" a="1"/>
  <c r="P178" i="17" s="1"/>
  <c r="P192" i="17" a="1"/>
  <c r="P192" i="17" s="1"/>
  <c r="P204" i="17" a="1"/>
  <c r="P204" i="17" s="1"/>
  <c r="P216" i="17" a="1"/>
  <c r="P216" i="17" s="1"/>
  <c r="P248" i="17" a="1"/>
  <c r="P248" i="17" s="1"/>
  <c r="P249" i="17" a="1"/>
  <c r="P249" i="17"/>
  <c r="P250" i="17" a="1"/>
  <c r="P250" i="17" s="1"/>
  <c r="P264" i="17" a="1"/>
  <c r="P264" i="17" s="1"/>
  <c r="P296" i="17" a="1"/>
  <c r="P296" i="17" s="1"/>
  <c r="P297" i="17" a="1"/>
  <c r="P297" i="17" s="1"/>
  <c r="P298" i="17" a="1"/>
  <c r="P298" i="17" s="1"/>
  <c r="P312" i="17" a="1"/>
  <c r="P312" i="17" s="1"/>
  <c r="P324" i="17" a="1"/>
  <c r="P324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40" i="17" a="1"/>
  <c r="P140" i="17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179" i="17" a="1"/>
  <c r="P179" i="17" s="1"/>
  <c r="P180" i="17" a="1"/>
  <c r="P180" i="17" s="1"/>
  <c r="P181" i="17" a="1"/>
  <c r="P181" i="17" s="1"/>
  <c r="P193" i="17" a="1"/>
  <c r="P193" i="17" s="1"/>
  <c r="P205" i="17" a="1"/>
  <c r="P205" i="17"/>
  <c r="P217" i="17" a="1"/>
  <c r="P217" i="17" s="1"/>
  <c r="P251" i="17" a="1"/>
  <c r="P251" i="17" s="1"/>
  <c r="P252" i="17" a="1"/>
  <c r="P252" i="17" s="1"/>
  <c r="P253" i="17" a="1"/>
  <c r="P253" i="17" s="1"/>
  <c r="P265" i="17" a="1"/>
  <c r="P265" i="17" s="1"/>
  <c r="P299" i="17" a="1"/>
  <c r="P299" i="17"/>
  <c r="P300" i="17" a="1"/>
  <c r="P300" i="17" s="1"/>
  <c r="P301" i="17" a="1"/>
  <c r="P301" i="17" s="1"/>
  <c r="P313" i="17" a="1"/>
  <c r="P313" i="17" s="1"/>
  <c r="P325" i="17" a="1"/>
  <c r="P325" i="17" s="1"/>
  <c r="R2" i="17" a="1"/>
  <c r="R2" i="17" s="1"/>
  <c r="R3" i="17" a="1"/>
  <c r="R3" i="17" s="1"/>
  <c r="R4" i="17" a="1"/>
  <c r="R4" i="17" s="1"/>
  <c r="R5" i="17" a="1"/>
  <c r="R5" i="17" s="1"/>
  <c r="R6" i="17" a="1"/>
  <c r="R6" i="17" s="1"/>
  <c r="R7" i="17" a="1"/>
  <c r="R7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146" i="17" a="1"/>
  <c r="R146" i="17" s="1"/>
  <c r="R147" i="17" a="1"/>
  <c r="R147" i="17" s="1"/>
  <c r="R148" i="17" a="1"/>
  <c r="R148" i="17" s="1"/>
  <c r="R182" i="17" a="1"/>
  <c r="R182" i="17" s="1"/>
  <c r="R194" i="17" a="1"/>
  <c r="R194" i="17" s="1"/>
  <c r="R206" i="17" a="1"/>
  <c r="R206" i="17" s="1"/>
  <c r="R218" i="17" a="1"/>
  <c r="R218" i="17" s="1"/>
  <c r="R219" i="17" a="1"/>
  <c r="R219" i="17" s="1"/>
  <c r="R220" i="17" a="1"/>
  <c r="R220" i="17" s="1"/>
  <c r="R254" i="17" a="1"/>
  <c r="R254" i="17" s="1"/>
  <c r="R266" i="17" a="1"/>
  <c r="R266" i="17" s="1"/>
  <c r="R267" i="17" a="1"/>
  <c r="R267" i="17" s="1"/>
  <c r="R268" i="17" a="1"/>
  <c r="R268" i="17" s="1"/>
  <c r="R302" i="17" a="1"/>
  <c r="R302" i="17" s="1"/>
  <c r="R314" i="17" a="1"/>
  <c r="R314" i="17" s="1"/>
  <c r="R8" i="17" a="1"/>
  <c r="R8" i="17" s="1"/>
  <c r="R9" i="17" a="1"/>
  <c r="R9" i="17" s="1"/>
  <c r="R10" i="17" a="1"/>
  <c r="R10" i="17" s="1"/>
  <c r="R11" i="17" a="1"/>
  <c r="R11" i="17" s="1"/>
  <c r="R12" i="17" a="1"/>
  <c r="R12" i="17" s="1"/>
  <c r="R13" i="17" a="1"/>
  <c r="R13" i="17"/>
  <c r="R80" i="17" a="1"/>
  <c r="R80" i="17" s="1"/>
  <c r="R81" i="17" a="1"/>
  <c r="R81" i="17"/>
  <c r="R82" i="17" a="1"/>
  <c r="R82" i="17" s="1"/>
  <c r="R83" i="17" a="1"/>
  <c r="R83" i="17" s="1"/>
  <c r="R84" i="17" a="1"/>
  <c r="R84" i="17" s="1"/>
  <c r="R85" i="17" a="1"/>
  <c r="R85" i="17" s="1"/>
  <c r="R149" i="17" a="1"/>
  <c r="R149" i="17" s="1"/>
  <c r="R150" i="17" a="1"/>
  <c r="R150" i="17" s="1"/>
  <c r="R151" i="17" a="1"/>
  <c r="R151" i="17" s="1"/>
  <c r="R183" i="17" a="1"/>
  <c r="R183" i="17" s="1"/>
  <c r="R195" i="17" a="1"/>
  <c r="R195" i="17" s="1"/>
  <c r="R207" i="17" a="1"/>
  <c r="R207" i="17" s="1"/>
  <c r="R221" i="17" a="1"/>
  <c r="R221" i="17" s="1"/>
  <c r="R222" i="17" a="1"/>
  <c r="R222" i="17" s="1"/>
  <c r="R223" i="17" a="1"/>
  <c r="R223" i="17" s="1"/>
  <c r="R255" i="17" a="1"/>
  <c r="R255" i="17" s="1"/>
  <c r="R269" i="17" a="1"/>
  <c r="R269" i="17" s="1"/>
  <c r="R270" i="17" a="1"/>
  <c r="R270" i="17" s="1"/>
  <c r="R271" i="17" a="1"/>
  <c r="R271" i="17" s="1"/>
  <c r="R303" i="17" a="1"/>
  <c r="R303" i="17" s="1"/>
  <c r="R315" i="17" a="1"/>
  <c r="R315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152" i="17" a="1"/>
  <c r="R152" i="17" s="1"/>
  <c r="R153" i="17" a="1"/>
  <c r="R153" i="17" s="1"/>
  <c r="R154" i="17" a="1"/>
  <c r="R154" i="17" s="1"/>
  <c r="R184" i="17" a="1"/>
  <c r="R184" i="17" s="1"/>
  <c r="R196" i="17" a="1"/>
  <c r="R196" i="17" s="1"/>
  <c r="R208" i="17" a="1"/>
  <c r="R208" i="17" s="1"/>
  <c r="R224" i="17" a="1"/>
  <c r="R224" i="17" s="1"/>
  <c r="R225" i="17" a="1"/>
  <c r="R225" i="17" s="1"/>
  <c r="R226" i="17" a="1"/>
  <c r="R226" i="17" s="1"/>
  <c r="R256" i="17" a="1"/>
  <c r="R256" i="17" s="1"/>
  <c r="R272" i="17" a="1"/>
  <c r="R272" i="17" s="1"/>
  <c r="R273" i="17" a="1"/>
  <c r="R273" i="17" s="1"/>
  <c r="R274" i="17" a="1"/>
  <c r="R274" i="17" s="1"/>
  <c r="R304" i="17" a="1"/>
  <c r="R304" i="17" s="1"/>
  <c r="R316" i="17" a="1"/>
  <c r="R316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155" i="17" a="1"/>
  <c r="R155" i="17" s="1"/>
  <c r="R156" i="17" a="1"/>
  <c r="R156" i="17" s="1"/>
  <c r="R157" i="17" a="1"/>
  <c r="R157" i="17" s="1"/>
  <c r="R185" i="17" a="1"/>
  <c r="R185" i="17" s="1"/>
  <c r="R197" i="17" a="1"/>
  <c r="R197" i="17" s="1"/>
  <c r="R209" i="17" a="1"/>
  <c r="R209" i="17" s="1"/>
  <c r="R227" i="17" a="1"/>
  <c r="R227" i="17" s="1"/>
  <c r="R228" i="17" a="1"/>
  <c r="R228" i="17" s="1"/>
  <c r="R229" i="17" a="1"/>
  <c r="R229" i="17" s="1"/>
  <c r="R257" i="17" a="1"/>
  <c r="R257" i="17" s="1"/>
  <c r="R275" i="17" a="1"/>
  <c r="R275" i="17" s="1"/>
  <c r="R276" i="17" a="1"/>
  <c r="R276" i="17"/>
  <c r="R277" i="17" a="1"/>
  <c r="R277" i="17" s="1"/>
  <c r="R305" i="17" a="1"/>
  <c r="R305" i="17" s="1"/>
  <c r="R317" i="17" a="1"/>
  <c r="R317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158" i="17" a="1"/>
  <c r="R158" i="17" s="1"/>
  <c r="R159" i="17" a="1"/>
  <c r="R159" i="17" s="1"/>
  <c r="R160" i="17" a="1"/>
  <c r="R160" i="17" s="1"/>
  <c r="R186" i="17" a="1"/>
  <c r="R186" i="17" s="1"/>
  <c r="R198" i="17" a="1"/>
  <c r="R198" i="17" s="1"/>
  <c r="R210" i="17" a="1"/>
  <c r="R210" i="17" s="1"/>
  <c r="R230" i="17" a="1"/>
  <c r="R230" i="17" s="1"/>
  <c r="R231" i="17" a="1"/>
  <c r="R231" i="17" s="1"/>
  <c r="R232" i="17" a="1"/>
  <c r="R232" i="17" s="1"/>
  <c r="R258" i="17" a="1"/>
  <c r="R258" i="17" s="1"/>
  <c r="R278" i="17" a="1"/>
  <c r="R278" i="17" s="1"/>
  <c r="R279" i="17" a="1"/>
  <c r="R279" i="17" s="1"/>
  <c r="R280" i="17" a="1"/>
  <c r="R280" i="17" s="1"/>
  <c r="R306" i="17" a="1"/>
  <c r="R306" i="17" s="1"/>
  <c r="R318" i="17" a="1"/>
  <c r="R318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161" i="17" a="1"/>
  <c r="R161" i="17" s="1"/>
  <c r="R162" i="17" a="1"/>
  <c r="R162" i="17" s="1"/>
  <c r="R163" i="17" a="1"/>
  <c r="R163" i="17" s="1"/>
  <c r="R187" i="17" a="1"/>
  <c r="R187" i="17" s="1"/>
  <c r="R199" i="17" a="1"/>
  <c r="R199" i="17" s="1"/>
  <c r="R211" i="17" a="1"/>
  <c r="R211" i="17" s="1"/>
  <c r="R233" i="17" a="1"/>
  <c r="R233" i="17" s="1"/>
  <c r="R234" i="17" a="1"/>
  <c r="R234" i="17" s="1"/>
  <c r="R235" i="17" a="1"/>
  <c r="R235" i="17" s="1"/>
  <c r="R259" i="17" a="1"/>
  <c r="R259" i="17" s="1"/>
  <c r="R281" i="17" a="1"/>
  <c r="R281" i="17" s="1"/>
  <c r="R282" i="17" a="1"/>
  <c r="R282" i="17" s="1"/>
  <c r="R283" i="17" a="1"/>
  <c r="R283" i="17" s="1"/>
  <c r="R307" i="17" a="1"/>
  <c r="R307" i="17" s="1"/>
  <c r="R319" i="17" a="1"/>
  <c r="R319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110" i="17" a="1"/>
  <c r="R110" i="17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164" i="17" a="1"/>
  <c r="R164" i="17" s="1"/>
  <c r="R165" i="17" a="1"/>
  <c r="R165" i="17" s="1"/>
  <c r="R166" i="17" a="1"/>
  <c r="R166" i="17" s="1"/>
  <c r="R188" i="17" a="1"/>
  <c r="R188" i="17" s="1"/>
  <c r="R200" i="17" a="1"/>
  <c r="R200" i="17" s="1"/>
  <c r="R212" i="17" a="1"/>
  <c r="R212" i="17" s="1"/>
  <c r="R236" i="17" a="1"/>
  <c r="R236" i="17" s="1"/>
  <c r="R237" i="17" a="1"/>
  <c r="R237" i="17" s="1"/>
  <c r="R238" i="17" a="1"/>
  <c r="R238" i="17" s="1"/>
  <c r="R260" i="17" a="1"/>
  <c r="R260" i="17" s="1"/>
  <c r="R284" i="17" a="1"/>
  <c r="R284" i="17" s="1"/>
  <c r="R285" i="17" a="1"/>
  <c r="R285" i="17" s="1"/>
  <c r="R286" i="17" a="1"/>
  <c r="R286" i="17" s="1"/>
  <c r="R308" i="17" a="1"/>
  <c r="R308" i="17" s="1"/>
  <c r="R320" i="17" a="1"/>
  <c r="R320" i="17" s="1"/>
  <c r="R44" i="17" a="1"/>
  <c r="R44" i="17" s="1"/>
  <c r="R45" i="17" a="1"/>
  <c r="R45" i="17" s="1"/>
  <c r="R46" i="17" a="1"/>
  <c r="R46" i="17" s="1"/>
  <c r="R47" i="17" a="1"/>
  <c r="R47" i="17"/>
  <c r="R48" i="17" a="1"/>
  <c r="R48" i="17" s="1"/>
  <c r="R49" i="17" a="1"/>
  <c r="R49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167" i="17" a="1"/>
  <c r="R167" i="17" s="1"/>
  <c r="R168" i="17" a="1"/>
  <c r="R168" i="17" s="1"/>
  <c r="R169" i="17" a="1"/>
  <c r="R169" i="17" s="1"/>
  <c r="R189" i="17" a="1"/>
  <c r="R189" i="17" s="1"/>
  <c r="R201" i="17" a="1"/>
  <c r="R201" i="17" s="1"/>
  <c r="R213" i="17" a="1"/>
  <c r="R213" i="17" s="1"/>
  <c r="R239" i="17" a="1"/>
  <c r="R239" i="17" s="1"/>
  <c r="R240" i="17" a="1"/>
  <c r="R240" i="17" s="1"/>
  <c r="R241" i="17" a="1"/>
  <c r="R241" i="17" s="1"/>
  <c r="R261" i="17" a="1"/>
  <c r="R261" i="17" s="1"/>
  <c r="R287" i="17" a="1"/>
  <c r="R287" i="17" s="1"/>
  <c r="R288" i="17" a="1"/>
  <c r="R288" i="17" s="1"/>
  <c r="R289" i="17" a="1"/>
  <c r="R289" i="17" s="1"/>
  <c r="R309" i="17" a="1"/>
  <c r="R309" i="17" s="1"/>
  <c r="R321" i="17" a="1"/>
  <c r="R321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170" i="17" a="1"/>
  <c r="R170" i="17" s="1"/>
  <c r="R171" i="17" a="1"/>
  <c r="R171" i="17" s="1"/>
  <c r="R172" i="17" a="1"/>
  <c r="R172" i="17" s="1"/>
  <c r="R190" i="17" a="1"/>
  <c r="R190" i="17" s="1"/>
  <c r="R202" i="17" a="1"/>
  <c r="R202" i="17"/>
  <c r="R214" i="17" a="1"/>
  <c r="R214" i="17" s="1"/>
  <c r="R242" i="17" a="1"/>
  <c r="R242" i="17" s="1"/>
  <c r="R243" i="17" a="1"/>
  <c r="R243" i="17" s="1"/>
  <c r="R244" i="17" a="1"/>
  <c r="R244" i="17" s="1"/>
  <c r="R262" i="17" a="1"/>
  <c r="R262" i="17" s="1"/>
  <c r="R290" i="17" a="1"/>
  <c r="R290" i="17" s="1"/>
  <c r="R291" i="17" a="1"/>
  <c r="R291" i="17" s="1"/>
  <c r="R292" i="17" a="1"/>
  <c r="R292" i="17"/>
  <c r="R310" i="17" a="1"/>
  <c r="R310" i="17" s="1"/>
  <c r="R322" i="17" a="1"/>
  <c r="R322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173" i="17" a="1"/>
  <c r="R173" i="17" s="1"/>
  <c r="R174" i="17" a="1"/>
  <c r="R174" i="17" s="1"/>
  <c r="R175" i="17" a="1"/>
  <c r="R175" i="17" s="1"/>
  <c r="R191" i="17" a="1"/>
  <c r="R191" i="17" s="1"/>
  <c r="R203" i="17" a="1"/>
  <c r="R203" i="17" s="1"/>
  <c r="R215" i="17" a="1"/>
  <c r="R215" i="17" s="1"/>
  <c r="R245" i="17" a="1"/>
  <c r="R245" i="17" s="1"/>
  <c r="R246" i="17" a="1"/>
  <c r="R246" i="17" s="1"/>
  <c r="R247" i="17" a="1"/>
  <c r="R247" i="17" s="1"/>
  <c r="R263" i="17" a="1"/>
  <c r="R263" i="17" s="1"/>
  <c r="R293" i="17" a="1"/>
  <c r="R293" i="17" s="1"/>
  <c r="R294" i="17" a="1"/>
  <c r="R294" i="17" s="1"/>
  <c r="R295" i="17" a="1"/>
  <c r="R295" i="17" s="1"/>
  <c r="R311" i="17" a="1"/>
  <c r="R311" i="17" s="1"/>
  <c r="R323" i="17" a="1"/>
  <c r="R323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176" i="17" a="1"/>
  <c r="R176" i="17" s="1"/>
  <c r="R177" i="17" a="1"/>
  <c r="R177" i="17" s="1"/>
  <c r="R178" i="17" a="1"/>
  <c r="R178" i="17" s="1"/>
  <c r="R192" i="17" a="1"/>
  <c r="R192" i="17" s="1"/>
  <c r="R204" i="17" a="1"/>
  <c r="R204" i="17" s="1"/>
  <c r="R216" i="17" a="1"/>
  <c r="R216" i="17" s="1"/>
  <c r="R248" i="17" a="1"/>
  <c r="R248" i="17" s="1"/>
  <c r="R249" i="17" a="1"/>
  <c r="R249" i="17" s="1"/>
  <c r="R250" i="17" a="1"/>
  <c r="R250" i="17" s="1"/>
  <c r="R264" i="17" a="1"/>
  <c r="R264" i="17" s="1"/>
  <c r="R296" i="17" a="1"/>
  <c r="R296" i="17" s="1"/>
  <c r="R297" i="17" a="1"/>
  <c r="R297" i="17" s="1"/>
  <c r="R298" i="17" a="1"/>
  <c r="R298" i="17" s="1"/>
  <c r="R312" i="17" a="1"/>
  <c r="R312" i="17" s="1"/>
  <c r="R324" i="17" a="1"/>
  <c r="R324" i="17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179" i="17" a="1"/>
  <c r="R179" i="17" s="1"/>
  <c r="R180" i="17" a="1"/>
  <c r="R180" i="17" s="1"/>
  <c r="R181" i="17" a="1"/>
  <c r="R181" i="17" s="1"/>
  <c r="R193" i="17" a="1"/>
  <c r="R193" i="17" s="1"/>
  <c r="R205" i="17" a="1"/>
  <c r="R205" i="17" s="1"/>
  <c r="R217" i="17" a="1"/>
  <c r="R217" i="17" s="1"/>
  <c r="R251" i="17" a="1"/>
  <c r="R251" i="17" s="1"/>
  <c r="R252" i="17" a="1"/>
  <c r="R252" i="17" s="1"/>
  <c r="R253" i="17" a="1"/>
  <c r="R253" i="17" s="1"/>
  <c r="R265" i="17" a="1"/>
  <c r="R265" i="17" s="1"/>
  <c r="R299" i="17" a="1"/>
  <c r="R299" i="17" s="1"/>
  <c r="R300" i="17" a="1"/>
  <c r="R300" i="17"/>
  <c r="R301" i="17" a="1"/>
  <c r="R301" i="17" s="1"/>
  <c r="R313" i="17" a="1"/>
  <c r="R313" i="17" s="1"/>
  <c r="R325" i="17" a="1"/>
  <c r="R325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146" i="17" a="1"/>
  <c r="S146" i="17" s="1"/>
  <c r="S147" i="17" a="1"/>
  <c r="S147" i="17" s="1"/>
  <c r="S148" i="17" a="1"/>
  <c r="S148" i="17" s="1"/>
  <c r="S182" i="17" a="1"/>
  <c r="S182" i="17" s="1"/>
  <c r="S194" i="17" a="1"/>
  <c r="S194" i="17" s="1"/>
  <c r="S206" i="17" a="1"/>
  <c r="S206" i="17" s="1"/>
  <c r="S218" i="17" a="1"/>
  <c r="S218" i="17" s="1"/>
  <c r="S219" i="17" a="1"/>
  <c r="S219" i="17" s="1"/>
  <c r="S220" i="17" a="1"/>
  <c r="S220" i="17" s="1"/>
  <c r="S254" i="17" a="1"/>
  <c r="S254" i="17" s="1"/>
  <c r="S266" i="17" a="1"/>
  <c r="S266" i="17" s="1"/>
  <c r="S267" i="17" a="1"/>
  <c r="S267" i="17" s="1"/>
  <c r="S268" i="17" a="1"/>
  <c r="S268" i="17" s="1"/>
  <c r="S302" i="17" a="1"/>
  <c r="S302" i="17" s="1"/>
  <c r="S314" i="17" a="1"/>
  <c r="S314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149" i="17" a="1"/>
  <c r="S149" i="17" s="1"/>
  <c r="S150" i="17" a="1"/>
  <c r="S150" i="17" s="1"/>
  <c r="S151" i="17" a="1"/>
  <c r="S151" i="17" s="1"/>
  <c r="S183" i="17" a="1"/>
  <c r="S183" i="17"/>
  <c r="S195" i="17" a="1"/>
  <c r="S195" i="17" s="1"/>
  <c r="S207" i="17" a="1"/>
  <c r="S207" i="17" s="1"/>
  <c r="S221" i="17" a="1"/>
  <c r="S221" i="17" s="1"/>
  <c r="S222" i="17" a="1"/>
  <c r="S222" i="17" s="1"/>
  <c r="S223" i="17" a="1"/>
  <c r="S223" i="17" s="1"/>
  <c r="S255" i="17" a="1"/>
  <c r="S255" i="17" s="1"/>
  <c r="S269" i="17" a="1"/>
  <c r="S269" i="17" s="1"/>
  <c r="S270" i="17" a="1"/>
  <c r="S270" i="17" s="1"/>
  <c r="S271" i="17" a="1"/>
  <c r="S271" i="17" s="1"/>
  <c r="S303" i="17" a="1"/>
  <c r="S303" i="17"/>
  <c r="S315" i="17" a="1"/>
  <c r="S315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/>
  <c r="S19" i="17" a="1"/>
  <c r="S19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152" i="17" a="1"/>
  <c r="S152" i="17"/>
  <c r="S153" i="17" a="1"/>
  <c r="S153" i="17" s="1"/>
  <c r="S154" i="17" a="1"/>
  <c r="S154" i="17"/>
  <c r="S184" i="17" a="1"/>
  <c r="S184" i="17" s="1"/>
  <c r="S196" i="17" a="1"/>
  <c r="S196" i="17" s="1"/>
  <c r="S208" i="17" a="1"/>
  <c r="S208" i="17" s="1"/>
  <c r="S224" i="17" a="1"/>
  <c r="S224" i="17" s="1"/>
  <c r="S225" i="17" a="1"/>
  <c r="S225" i="17" s="1"/>
  <c r="S226" i="17" a="1"/>
  <c r="S226" i="17" s="1"/>
  <c r="S256" i="17" a="1"/>
  <c r="S256" i="17" s="1"/>
  <c r="S272" i="17" a="1"/>
  <c r="S272" i="17" s="1"/>
  <c r="S273" i="17" a="1"/>
  <c r="S273" i="17" s="1"/>
  <c r="S274" i="17" a="1"/>
  <c r="S274" i="17" s="1"/>
  <c r="S304" i="17" a="1"/>
  <c r="S304" i="17" s="1"/>
  <c r="S316" i="17" a="1"/>
  <c r="S316" i="17" s="1"/>
  <c r="S20" i="17" a="1"/>
  <c r="S20" i="17" s="1"/>
  <c r="S21" i="17" a="1"/>
  <c r="S21" i="17"/>
  <c r="S22" i="17" a="1"/>
  <c r="S22" i="17" s="1"/>
  <c r="S23" i="17" a="1"/>
  <c r="S23" i="17" s="1"/>
  <c r="S24" i="17" a="1"/>
  <c r="S24" i="17" s="1"/>
  <c r="S25" i="17" a="1"/>
  <c r="S25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155" i="17" a="1"/>
  <c r="S155" i="17" s="1"/>
  <c r="S156" i="17" a="1"/>
  <c r="S156" i="17" s="1"/>
  <c r="S157" i="17" a="1"/>
  <c r="S157" i="17" s="1"/>
  <c r="S185" i="17" a="1"/>
  <c r="S185" i="17" s="1"/>
  <c r="S197" i="17" a="1"/>
  <c r="S197" i="17" s="1"/>
  <c r="S209" i="17" a="1"/>
  <c r="S209" i="17" s="1"/>
  <c r="S227" i="17" a="1"/>
  <c r="S227" i="17" s="1"/>
  <c r="S228" i="17" a="1"/>
  <c r="S228" i="17" s="1"/>
  <c r="S229" i="17" a="1"/>
  <c r="S229" i="17" s="1"/>
  <c r="S257" i="17" a="1"/>
  <c r="S257" i="17" s="1"/>
  <c r="S275" i="17" a="1"/>
  <c r="S275" i="17" s="1"/>
  <c r="S276" i="17" a="1"/>
  <c r="S276" i="17"/>
  <c r="S277" i="17" a="1"/>
  <c r="S277" i="17" s="1"/>
  <c r="S305" i="17" a="1"/>
  <c r="S305" i="17" s="1"/>
  <c r="S317" i="17" a="1"/>
  <c r="S317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158" i="17" a="1"/>
  <c r="S158" i="17" s="1"/>
  <c r="S159" i="17" a="1"/>
  <c r="S159" i="17" s="1"/>
  <c r="S160" i="17" a="1"/>
  <c r="S160" i="17" s="1"/>
  <c r="S186" i="17" a="1"/>
  <c r="S186" i="17" s="1"/>
  <c r="S198" i="17" a="1"/>
  <c r="S198" i="17" s="1"/>
  <c r="S210" i="17" a="1"/>
  <c r="S210" i="17" s="1"/>
  <c r="S230" i="17" a="1"/>
  <c r="S230" i="17" s="1"/>
  <c r="S231" i="17" a="1"/>
  <c r="S231" i="17" s="1"/>
  <c r="S232" i="17" a="1"/>
  <c r="S232" i="17" s="1"/>
  <c r="S258" i="17" a="1"/>
  <c r="S258" i="17" s="1"/>
  <c r="S278" i="17" a="1"/>
  <c r="S278" i="17" s="1"/>
  <c r="S279" i="17" a="1"/>
  <c r="S279" i="17" s="1"/>
  <c r="S280" i="17" a="1"/>
  <c r="S280" i="17" s="1"/>
  <c r="S306" i="17" a="1"/>
  <c r="S306" i="17" s="1"/>
  <c r="S318" i="17" a="1"/>
  <c r="S318" i="17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104" i="17" a="1"/>
  <c r="S104" i="17" s="1"/>
  <c r="S105" i="17" a="1"/>
  <c r="S105" i="17"/>
  <c r="S106" i="17" a="1"/>
  <c r="S106" i="17" s="1"/>
  <c r="S107" i="17" a="1"/>
  <c r="S107" i="17" s="1"/>
  <c r="S108" i="17" a="1"/>
  <c r="S108" i="17" s="1"/>
  <c r="S109" i="17" a="1"/>
  <c r="S109" i="17" s="1"/>
  <c r="S161" i="17" a="1"/>
  <c r="S161" i="17" s="1"/>
  <c r="S162" i="17" a="1"/>
  <c r="S162" i="17" s="1"/>
  <c r="S163" i="17" a="1"/>
  <c r="S163" i="17" s="1"/>
  <c r="S187" i="17" a="1"/>
  <c r="S187" i="17" s="1"/>
  <c r="S199" i="17" a="1"/>
  <c r="S199" i="17" s="1"/>
  <c r="S211" i="17" a="1"/>
  <c r="S211" i="17" s="1"/>
  <c r="S233" i="17" a="1"/>
  <c r="S233" i="17" s="1"/>
  <c r="S234" i="17" a="1"/>
  <c r="S234" i="17" s="1"/>
  <c r="S235" i="17" a="1"/>
  <c r="S235" i="17" s="1"/>
  <c r="S259" i="17" a="1"/>
  <c r="S259" i="17" s="1"/>
  <c r="S281" i="17" a="1"/>
  <c r="S281" i="17" s="1"/>
  <c r="S282" i="17" a="1"/>
  <c r="S282" i="17" s="1"/>
  <c r="S283" i="17" a="1"/>
  <c r="S283" i="17" s="1"/>
  <c r="S307" i="17" a="1"/>
  <c r="S307" i="17" s="1"/>
  <c r="S319" i="17" a="1"/>
  <c r="S319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164" i="17" a="1"/>
  <c r="S164" i="17" s="1"/>
  <c r="S165" i="17" a="1"/>
  <c r="S165" i="17" s="1"/>
  <c r="S166" i="17" a="1"/>
  <c r="S166" i="17" s="1"/>
  <c r="S188" i="17" a="1"/>
  <c r="S188" i="17" s="1"/>
  <c r="S200" i="17" a="1"/>
  <c r="S200" i="17" s="1"/>
  <c r="S212" i="17" a="1"/>
  <c r="S212" i="17" s="1"/>
  <c r="S236" i="17" a="1"/>
  <c r="S236" i="17" s="1"/>
  <c r="S237" i="17" a="1"/>
  <c r="S237" i="17" s="1"/>
  <c r="S238" i="17" a="1"/>
  <c r="S238" i="17" s="1"/>
  <c r="S260" i="17" a="1"/>
  <c r="S260" i="17" s="1"/>
  <c r="S284" i="17" a="1"/>
  <c r="S284" i="17" s="1"/>
  <c r="S285" i="17" a="1"/>
  <c r="S285" i="17" s="1"/>
  <c r="S286" i="17" a="1"/>
  <c r="S286" i="17" s="1"/>
  <c r="S308" i="17" a="1"/>
  <c r="S308" i="17" s="1"/>
  <c r="S320" i="17" a="1"/>
  <c r="S320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167" i="17" a="1"/>
  <c r="S167" i="17" s="1"/>
  <c r="S168" i="17" a="1"/>
  <c r="S168" i="17" s="1"/>
  <c r="S169" i="17" a="1"/>
  <c r="S169" i="17" s="1"/>
  <c r="S189" i="17" a="1"/>
  <c r="S189" i="17" s="1"/>
  <c r="S201" i="17" a="1"/>
  <c r="S201" i="17" s="1"/>
  <c r="S213" i="17" a="1"/>
  <c r="S213" i="17" s="1"/>
  <c r="S239" i="17" a="1"/>
  <c r="S239" i="17" s="1"/>
  <c r="S240" i="17" a="1"/>
  <c r="S240" i="17" s="1"/>
  <c r="S241" i="17" a="1"/>
  <c r="S241" i="17" s="1"/>
  <c r="S261" i="17" a="1"/>
  <c r="S261" i="17" s="1"/>
  <c r="S287" i="17" a="1"/>
  <c r="S287" i="17" s="1"/>
  <c r="S288" i="17" a="1"/>
  <c r="S288" i="17" s="1"/>
  <c r="S289" i="17" a="1"/>
  <c r="S289" i="17" s="1"/>
  <c r="S309" i="17" a="1"/>
  <c r="S309" i="17" s="1"/>
  <c r="S321" i="17" a="1"/>
  <c r="S321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122" i="17" a="1"/>
  <c r="S122" i="17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170" i="17" a="1"/>
  <c r="S170" i="17" s="1"/>
  <c r="S171" i="17" a="1"/>
  <c r="S171" i="17" s="1"/>
  <c r="S172" i="17" a="1"/>
  <c r="S172" i="17" s="1"/>
  <c r="S190" i="17" a="1"/>
  <c r="S190" i="17" s="1"/>
  <c r="S202" i="17" a="1"/>
  <c r="S202" i="17" s="1"/>
  <c r="S214" i="17" a="1"/>
  <c r="S214" i="17" s="1"/>
  <c r="S242" i="17" a="1"/>
  <c r="S242" i="17" s="1"/>
  <c r="S243" i="17" a="1"/>
  <c r="S243" i="17" s="1"/>
  <c r="S244" i="17" a="1"/>
  <c r="S244" i="17" s="1"/>
  <c r="S262" i="17" a="1"/>
  <c r="S262" i="17" s="1"/>
  <c r="S290" i="17" a="1"/>
  <c r="S290" i="17" s="1"/>
  <c r="S291" i="17" a="1"/>
  <c r="S291" i="17" s="1"/>
  <c r="S292" i="17" a="1"/>
  <c r="S292" i="17" s="1"/>
  <c r="S310" i="17" a="1"/>
  <c r="S310" i="17" s="1"/>
  <c r="S322" i="17" a="1"/>
  <c r="S322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173" i="17" a="1"/>
  <c r="S173" i="17" s="1"/>
  <c r="S174" i="17" a="1"/>
  <c r="S174" i="17" s="1"/>
  <c r="S175" i="17" a="1"/>
  <c r="S175" i="17" s="1"/>
  <c r="S191" i="17" a="1"/>
  <c r="S191" i="17" s="1"/>
  <c r="S203" i="17" a="1"/>
  <c r="S203" i="17" s="1"/>
  <c r="S215" i="17" a="1"/>
  <c r="S215" i="17" s="1"/>
  <c r="S245" i="17" a="1"/>
  <c r="S245" i="17" s="1"/>
  <c r="S246" i="17" a="1"/>
  <c r="S246" i="17" s="1"/>
  <c r="S247" i="17" a="1"/>
  <c r="S247" i="17" s="1"/>
  <c r="S263" i="17" a="1"/>
  <c r="S263" i="17" s="1"/>
  <c r="S293" i="17" a="1"/>
  <c r="S293" i="17" s="1"/>
  <c r="S294" i="17" a="1"/>
  <c r="S294" i="17" s="1"/>
  <c r="S295" i="17" a="1"/>
  <c r="S295" i="17" s="1"/>
  <c r="S311" i="17" a="1"/>
  <c r="S311" i="17" s="1"/>
  <c r="S323" i="17" a="1"/>
  <c r="S323" i="17" s="1"/>
  <c r="S62" i="17" a="1"/>
  <c r="S62" i="17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134" i="17" a="1"/>
  <c r="S134" i="17" s="1"/>
  <c r="S135" i="17" a="1"/>
  <c r="S135" i="17" s="1"/>
  <c r="S136" i="17" a="1"/>
  <c r="S136" i="17"/>
  <c r="S137" i="17" a="1"/>
  <c r="S137" i="17" s="1"/>
  <c r="S138" i="17" a="1"/>
  <c r="S138" i="17" s="1"/>
  <c r="S139" i="17" a="1"/>
  <c r="S139" i="17" s="1"/>
  <c r="S176" i="17" a="1"/>
  <c r="S176" i="17" s="1"/>
  <c r="S177" i="17" a="1"/>
  <c r="S177" i="17" s="1"/>
  <c r="S178" i="17" a="1"/>
  <c r="S178" i="17" s="1"/>
  <c r="S192" i="17" a="1"/>
  <c r="S192" i="17" s="1"/>
  <c r="S204" i="17" a="1"/>
  <c r="S204" i="17" s="1"/>
  <c r="S216" i="17" a="1"/>
  <c r="S216" i="17" s="1"/>
  <c r="S248" i="17" a="1"/>
  <c r="S248" i="17" s="1"/>
  <c r="S249" i="17" a="1"/>
  <c r="S249" i="17" s="1"/>
  <c r="S250" i="17" a="1"/>
  <c r="S250" i="17" s="1"/>
  <c r="S264" i="17" a="1"/>
  <c r="S264" i="17" s="1"/>
  <c r="S296" i="17" a="1"/>
  <c r="S296" i="17" s="1"/>
  <c r="S297" i="17" a="1"/>
  <c r="S297" i="17" s="1"/>
  <c r="S298" i="17" a="1"/>
  <c r="S298" i="17" s="1"/>
  <c r="S312" i="17" a="1"/>
  <c r="S312" i="17" s="1"/>
  <c r="S324" i="17" a="1"/>
  <c r="S324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179" i="17" a="1"/>
  <c r="S179" i="17" s="1"/>
  <c r="S180" i="17" a="1"/>
  <c r="S180" i="17" s="1"/>
  <c r="S181" i="17" a="1"/>
  <c r="S181" i="17" s="1"/>
  <c r="S193" i="17" a="1"/>
  <c r="S193" i="17" s="1"/>
  <c r="S205" i="17" a="1"/>
  <c r="S205" i="17" s="1"/>
  <c r="S217" i="17" a="1"/>
  <c r="S217" i="17" s="1"/>
  <c r="S251" i="17" a="1"/>
  <c r="S251" i="17" s="1"/>
  <c r="S252" i="17" a="1"/>
  <c r="S252" i="17" s="1"/>
  <c r="S253" i="17" a="1"/>
  <c r="S253" i="17" s="1"/>
  <c r="S265" i="17" a="1"/>
  <c r="S265" i="17" s="1"/>
  <c r="S299" i="17" a="1"/>
  <c r="S299" i="17" s="1"/>
  <c r="S300" i="17" a="1"/>
  <c r="S300" i="17" s="1"/>
  <c r="S301" i="17" a="1"/>
  <c r="S301" i="17" s="1"/>
  <c r="S313" i="17" a="1"/>
  <c r="S313" i="17" s="1"/>
  <c r="S325" i="17" a="1"/>
  <c r="S325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146" i="17" a="1"/>
  <c r="T146" i="17" s="1"/>
  <c r="T147" i="17" a="1"/>
  <c r="T147" i="17" s="1"/>
  <c r="T148" i="17" a="1"/>
  <c r="T148" i="17" s="1"/>
  <c r="T182" i="17" a="1"/>
  <c r="T182" i="17" s="1"/>
  <c r="T194" i="17" a="1"/>
  <c r="T194" i="17" s="1"/>
  <c r="T206" i="17" a="1"/>
  <c r="T206" i="17" s="1"/>
  <c r="T218" i="17" a="1"/>
  <c r="T218" i="17" s="1"/>
  <c r="T219" i="17" a="1"/>
  <c r="T219" i="17" s="1"/>
  <c r="T220" i="17" a="1"/>
  <c r="T220" i="17" s="1"/>
  <c r="T254" i="17" a="1"/>
  <c r="T254" i="17" s="1"/>
  <c r="T266" i="17" a="1"/>
  <c r="T266" i="17" s="1"/>
  <c r="T267" i="17" a="1"/>
  <c r="T267" i="17" s="1"/>
  <c r="T268" i="17" a="1"/>
  <c r="T268" i="17" s="1"/>
  <c r="T302" i="17" a="1"/>
  <c r="T302" i="17" s="1"/>
  <c r="T314" i="17" a="1"/>
  <c r="T314" i="17" s="1"/>
  <c r="T8" i="17" a="1"/>
  <c r="T8" i="17" s="1"/>
  <c r="T9" i="17" a="1"/>
  <c r="T9" i="17" s="1"/>
  <c r="T10" i="17" a="1"/>
  <c r="T10" i="17" s="1"/>
  <c r="T11" i="17" a="1"/>
  <c r="T11" i="17"/>
  <c r="T12" i="17" a="1"/>
  <c r="T12" i="17" s="1"/>
  <c r="T13" i="17" a="1"/>
  <c r="T13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149" i="17" a="1"/>
  <c r="T149" i="17" s="1"/>
  <c r="T150" i="17" a="1"/>
  <c r="T150" i="17" s="1"/>
  <c r="T151" i="17" a="1"/>
  <c r="T151" i="17" s="1"/>
  <c r="T183" i="17" a="1"/>
  <c r="T183" i="17" s="1"/>
  <c r="T195" i="17" a="1"/>
  <c r="T195" i="17" s="1"/>
  <c r="T207" i="17" a="1"/>
  <c r="T207" i="17" s="1"/>
  <c r="T221" i="17" a="1"/>
  <c r="T221" i="17" s="1"/>
  <c r="T222" i="17" a="1"/>
  <c r="T222" i="17" s="1"/>
  <c r="T223" i="17" a="1"/>
  <c r="T223" i="17" s="1"/>
  <c r="T255" i="17" a="1"/>
  <c r="T255" i="17" s="1"/>
  <c r="T269" i="17" a="1"/>
  <c r="T269" i="17" s="1"/>
  <c r="T270" i="17" a="1"/>
  <c r="T270" i="17" s="1"/>
  <c r="T271" i="17" a="1"/>
  <c r="T271" i="17" s="1"/>
  <c r="T303" i="17" a="1"/>
  <c r="T303" i="17" s="1"/>
  <c r="T315" i="17" a="1"/>
  <c r="T315" i="17" s="1"/>
  <c r="T14" i="17" a="1"/>
  <c r="T14" i="17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152" i="17" a="1"/>
  <c r="T152" i="17" s="1"/>
  <c r="T153" i="17" a="1"/>
  <c r="T153" i="17" s="1"/>
  <c r="T154" i="17" a="1"/>
  <c r="T154" i="17" s="1"/>
  <c r="T184" i="17" a="1"/>
  <c r="T184" i="17" s="1"/>
  <c r="T196" i="17" a="1"/>
  <c r="T196" i="17" s="1"/>
  <c r="T208" i="17" a="1"/>
  <c r="T208" i="17" s="1"/>
  <c r="T224" i="17" a="1"/>
  <c r="T224" i="17" s="1"/>
  <c r="T225" i="17" a="1"/>
  <c r="T225" i="17" s="1"/>
  <c r="T226" i="17" a="1"/>
  <c r="T226" i="17" s="1"/>
  <c r="T256" i="17" a="1"/>
  <c r="T256" i="17" s="1"/>
  <c r="T272" i="17" a="1"/>
  <c r="T272" i="17" s="1"/>
  <c r="T273" i="17" a="1"/>
  <c r="T273" i="17" s="1"/>
  <c r="T274" i="17" a="1"/>
  <c r="T274" i="17" s="1"/>
  <c r="T304" i="17" a="1"/>
  <c r="T304" i="17" s="1"/>
  <c r="T316" i="17" a="1"/>
  <c r="T316" i="17" s="1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92" i="17" a="1"/>
  <c r="T92" i="17" s="1"/>
  <c r="T93" i="17" a="1"/>
  <c r="T93" i="17" s="1"/>
  <c r="T94" i="17" a="1"/>
  <c r="T94" i="17" s="1"/>
  <c r="T95" i="17" a="1"/>
  <c r="T95" i="17" s="1"/>
  <c r="T96" i="17" a="1"/>
  <c r="T96" i="17" s="1"/>
  <c r="T97" i="17" a="1"/>
  <c r="T97" i="17" s="1"/>
  <c r="T155" i="17" a="1"/>
  <c r="T155" i="17" s="1"/>
  <c r="T156" i="17" a="1"/>
  <c r="T156" i="17" s="1"/>
  <c r="T157" i="17" a="1"/>
  <c r="T157" i="17" s="1"/>
  <c r="T185" i="17" a="1"/>
  <c r="T185" i="17" s="1"/>
  <c r="T197" i="17" a="1"/>
  <c r="T197" i="17" s="1"/>
  <c r="T209" i="17" a="1"/>
  <c r="T209" i="17" s="1"/>
  <c r="T227" i="17" a="1"/>
  <c r="T227" i="17" s="1"/>
  <c r="T228" i="17" a="1"/>
  <c r="T228" i="17" s="1"/>
  <c r="T229" i="17" a="1"/>
  <c r="T229" i="17" s="1"/>
  <c r="T257" i="17" a="1"/>
  <c r="T257" i="17"/>
  <c r="T275" i="17" a="1"/>
  <c r="T275" i="17" s="1"/>
  <c r="T276" i="17" a="1"/>
  <c r="T276" i="17" s="1"/>
  <c r="T277" i="17" a="1"/>
  <c r="T277" i="17" s="1"/>
  <c r="T305" i="17" a="1"/>
  <c r="T305" i="17" s="1"/>
  <c r="T317" i="17" a="1"/>
  <c r="T317" i="17" s="1"/>
  <c r="T26" i="17" a="1"/>
  <c r="T26" i="17" s="1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/>
  <c r="T103" i="17" a="1"/>
  <c r="T103" i="17" s="1"/>
  <c r="T158" i="17" a="1"/>
  <c r="T158" i="17" s="1"/>
  <c r="T159" i="17" a="1"/>
  <c r="T159" i="17" s="1"/>
  <c r="T160" i="17" a="1"/>
  <c r="T160" i="17" s="1"/>
  <c r="T186" i="17" a="1"/>
  <c r="T186" i="17" s="1"/>
  <c r="T198" i="17" a="1"/>
  <c r="T198" i="17" s="1"/>
  <c r="T210" i="17" a="1"/>
  <c r="T210" i="17" s="1"/>
  <c r="T230" i="17" a="1"/>
  <c r="T230" i="17" s="1"/>
  <c r="T231" i="17" a="1"/>
  <c r="T231" i="17" s="1"/>
  <c r="T232" i="17" a="1"/>
  <c r="T232" i="17" s="1"/>
  <c r="T258" i="17" a="1"/>
  <c r="T258" i="17" s="1"/>
  <c r="T278" i="17" a="1"/>
  <c r="T278" i="17" s="1"/>
  <c r="T279" i="17" a="1"/>
  <c r="T279" i="17" s="1"/>
  <c r="T280" i="17" a="1"/>
  <c r="T280" i="17" s="1"/>
  <c r="T306" i="17" a="1"/>
  <c r="T306" i="17" s="1"/>
  <c r="T318" i="17" a="1"/>
  <c r="T318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161" i="17" a="1"/>
  <c r="T161" i="17" s="1"/>
  <c r="T162" i="17" a="1"/>
  <c r="T162" i="17" s="1"/>
  <c r="T163" i="17" a="1"/>
  <c r="T163" i="17" s="1"/>
  <c r="T187" i="17" a="1"/>
  <c r="T187" i="17" s="1"/>
  <c r="T199" i="17" a="1"/>
  <c r="T199" i="17" s="1"/>
  <c r="T211" i="17" a="1"/>
  <c r="T211" i="17" s="1"/>
  <c r="T233" i="17" a="1"/>
  <c r="T233" i="17" s="1"/>
  <c r="T234" i="17" a="1"/>
  <c r="T234" i="17" s="1"/>
  <c r="T235" i="17" a="1"/>
  <c r="T235" i="17" s="1"/>
  <c r="T259" i="17" a="1"/>
  <c r="T259" i="17" s="1"/>
  <c r="T281" i="17" a="1"/>
  <c r="T281" i="17" s="1"/>
  <c r="T282" i="17" a="1"/>
  <c r="T282" i="17" s="1"/>
  <c r="T283" i="17" a="1"/>
  <c r="T283" i="17" s="1"/>
  <c r="T307" i="17" a="1"/>
  <c r="T307" i="17" s="1"/>
  <c r="T319" i="17" a="1"/>
  <c r="T319" i="17" s="1"/>
  <c r="T38" i="17" a="1"/>
  <c r="T38" i="17" s="1"/>
  <c r="T39" i="17" a="1"/>
  <c r="T39" i="17" s="1"/>
  <c r="T40" i="17" a="1"/>
  <c r="T40" i="17" s="1"/>
  <c r="T41" i="17" a="1"/>
  <c r="T41" i="17" s="1"/>
  <c r="T42" i="17" a="1"/>
  <c r="T42" i="17"/>
  <c r="T43" i="17" a="1"/>
  <c r="T43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164" i="17" a="1"/>
  <c r="T164" i="17"/>
  <c r="T165" i="17" a="1"/>
  <c r="T165" i="17" s="1"/>
  <c r="T166" i="17" a="1"/>
  <c r="T166" i="17" s="1"/>
  <c r="T188" i="17" a="1"/>
  <c r="T188" i="17" s="1"/>
  <c r="T200" i="17" a="1"/>
  <c r="T200" i="17" s="1"/>
  <c r="T212" i="17" a="1"/>
  <c r="T212" i="17" s="1"/>
  <c r="T236" i="17" a="1"/>
  <c r="T236" i="17" s="1"/>
  <c r="T237" i="17" a="1"/>
  <c r="T237" i="17" s="1"/>
  <c r="T238" i="17" a="1"/>
  <c r="T238" i="17" s="1"/>
  <c r="T260" i="17" a="1"/>
  <c r="T260" i="17" s="1"/>
  <c r="T284" i="17" a="1"/>
  <c r="T284" i="17" s="1"/>
  <c r="T285" i="17" a="1"/>
  <c r="T285" i="17" s="1"/>
  <c r="T286" i="17" a="1"/>
  <c r="T286" i="17" s="1"/>
  <c r="T308" i="17" a="1"/>
  <c r="T308" i="17" s="1"/>
  <c r="T320" i="17" a="1"/>
  <c r="T320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116" i="17" a="1"/>
  <c r="T116" i="17" s="1"/>
  <c r="T117" i="17" a="1"/>
  <c r="T117" i="17" s="1"/>
  <c r="T118" i="17" a="1"/>
  <c r="T118" i="17" s="1"/>
  <c r="T119" i="17" a="1"/>
  <c r="T119" i="17"/>
  <c r="T120" i="17" a="1"/>
  <c r="T120" i="17" s="1"/>
  <c r="T121" i="17" a="1"/>
  <c r="T121" i="17" s="1"/>
  <c r="T167" i="17" a="1"/>
  <c r="T167" i="17" s="1"/>
  <c r="T168" i="17" a="1"/>
  <c r="T168" i="17" s="1"/>
  <c r="T169" i="17" a="1"/>
  <c r="T169" i="17" s="1"/>
  <c r="T189" i="17" a="1"/>
  <c r="T189" i="17" s="1"/>
  <c r="T201" i="17" a="1"/>
  <c r="T201" i="17" s="1"/>
  <c r="T213" i="17" a="1"/>
  <c r="T213" i="17" s="1"/>
  <c r="T239" i="17" a="1"/>
  <c r="T239" i="17" s="1"/>
  <c r="T240" i="17" a="1"/>
  <c r="T240" i="17" s="1"/>
  <c r="T241" i="17" a="1"/>
  <c r="T241" i="17" s="1"/>
  <c r="T261" i="17" a="1"/>
  <c r="T261" i="17" s="1"/>
  <c r="T287" i="17" a="1"/>
  <c r="T287" i="17" s="1"/>
  <c r="T288" i="17" a="1"/>
  <c r="T288" i="17" s="1"/>
  <c r="T289" i="17" a="1"/>
  <c r="T289" i="17" s="1"/>
  <c r="T309" i="17" a="1"/>
  <c r="T309" i="17" s="1"/>
  <c r="T321" i="17" a="1"/>
  <c r="T321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122" i="17" a="1"/>
  <c r="T122" i="17" s="1"/>
  <c r="T123" i="17" a="1"/>
  <c r="T123" i="17" s="1"/>
  <c r="T124" i="17" a="1"/>
  <c r="T124" i="17"/>
  <c r="T125" i="17" a="1"/>
  <c r="T125" i="17" s="1"/>
  <c r="T126" i="17" a="1"/>
  <c r="T126" i="17" s="1"/>
  <c r="T127" i="17" a="1"/>
  <c r="T127" i="17" s="1"/>
  <c r="T170" i="17" a="1"/>
  <c r="T170" i="17" s="1"/>
  <c r="T171" i="17" a="1"/>
  <c r="T171" i="17" s="1"/>
  <c r="T172" i="17" a="1"/>
  <c r="T172" i="17" s="1"/>
  <c r="T190" i="17" a="1"/>
  <c r="T190" i="17" s="1"/>
  <c r="T202" i="17" a="1"/>
  <c r="T202" i="17" s="1"/>
  <c r="T214" i="17" a="1"/>
  <c r="T214" i="17" s="1"/>
  <c r="T242" i="17" a="1"/>
  <c r="T242" i="17" s="1"/>
  <c r="T243" i="17" a="1"/>
  <c r="T243" i="17" s="1"/>
  <c r="T244" i="17" a="1"/>
  <c r="T244" i="17" s="1"/>
  <c r="T262" i="17" a="1"/>
  <c r="T262" i="17" s="1"/>
  <c r="T290" i="17" a="1"/>
  <c r="T290" i="17" s="1"/>
  <c r="T291" i="17" a="1"/>
  <c r="T291" i="17" s="1"/>
  <c r="T292" i="17" a="1"/>
  <c r="T292" i="17"/>
  <c r="T310" i="17" a="1"/>
  <c r="T310" i="17" s="1"/>
  <c r="T322" i="17" a="1"/>
  <c r="T322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173" i="17" a="1"/>
  <c r="T173" i="17" s="1"/>
  <c r="T174" i="17" a="1"/>
  <c r="T174" i="17" s="1"/>
  <c r="T175" i="17" a="1"/>
  <c r="T175" i="17" s="1"/>
  <c r="T191" i="17" a="1"/>
  <c r="T191" i="17" s="1"/>
  <c r="T203" i="17" a="1"/>
  <c r="T203" i="17" s="1"/>
  <c r="T215" i="17" a="1"/>
  <c r="T215" i="17" s="1"/>
  <c r="T245" i="17" a="1"/>
  <c r="T245" i="17" s="1"/>
  <c r="T246" i="17" a="1"/>
  <c r="T246" i="17"/>
  <c r="T247" i="17" a="1"/>
  <c r="T247" i="17" s="1"/>
  <c r="T263" i="17" a="1"/>
  <c r="T263" i="17" s="1"/>
  <c r="T293" i="17" a="1"/>
  <c r="T293" i="17" s="1"/>
  <c r="T294" i="17" a="1"/>
  <c r="T294" i="17"/>
  <c r="T295" i="17" a="1"/>
  <c r="T295" i="17" s="1"/>
  <c r="T311" i="17" a="1"/>
  <c r="T311" i="17" s="1"/>
  <c r="T323" i="17" a="1"/>
  <c r="T323" i="17" s="1"/>
  <c r="T62" i="17" a="1"/>
  <c r="T62" i="17" s="1"/>
  <c r="T63" i="17" a="1"/>
  <c r="T63" i="17" s="1"/>
  <c r="T64" i="17" a="1"/>
  <c r="T64" i="17"/>
  <c r="T65" i="17" a="1"/>
  <c r="T65" i="17" s="1"/>
  <c r="T66" i="17" a="1"/>
  <c r="T66" i="17" s="1"/>
  <c r="T67" i="17" a="1"/>
  <c r="T67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176" i="17" a="1"/>
  <c r="T176" i="17" s="1"/>
  <c r="T177" i="17" a="1"/>
  <c r="T177" i="17" s="1"/>
  <c r="T178" i="17" a="1"/>
  <c r="T178" i="17" s="1"/>
  <c r="T192" i="17" a="1"/>
  <c r="T192" i="17" s="1"/>
  <c r="T204" i="17" a="1"/>
  <c r="T204" i="17"/>
  <c r="T216" i="17" a="1"/>
  <c r="T216" i="17" s="1"/>
  <c r="T248" i="17" a="1"/>
  <c r="T248" i="17" s="1"/>
  <c r="T249" i="17" a="1"/>
  <c r="T249" i="17" s="1"/>
  <c r="T250" i="17" a="1"/>
  <c r="T250" i="17"/>
  <c r="T264" i="17" a="1"/>
  <c r="T264" i="17" s="1"/>
  <c r="T296" i="17" a="1"/>
  <c r="T296" i="17" s="1"/>
  <c r="T297" i="17" a="1"/>
  <c r="T297" i="17" s="1"/>
  <c r="T298" i="17" a="1"/>
  <c r="T298" i="17" s="1"/>
  <c r="T312" i="17" a="1"/>
  <c r="T312" i="17" s="1"/>
  <c r="T324" i="17" a="1"/>
  <c r="T324" i="17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140" i="17" a="1"/>
  <c r="T140" i="17" s="1"/>
  <c r="T141" i="17" a="1"/>
  <c r="T141" i="17" s="1"/>
  <c r="T142" i="17" a="1"/>
  <c r="T142" i="17" s="1"/>
  <c r="T143" i="17" a="1"/>
  <c r="T143" i="17"/>
  <c r="T144" i="17" a="1"/>
  <c r="T144" i="17" s="1"/>
  <c r="T145" i="17" a="1"/>
  <c r="T145" i="17" s="1"/>
  <c r="T179" i="17" a="1"/>
  <c r="T179" i="17" s="1"/>
  <c r="T180" i="17" a="1"/>
  <c r="T180" i="17" s="1"/>
  <c r="T181" i="17" a="1"/>
  <c r="T181" i="17" s="1"/>
  <c r="T193" i="17" a="1"/>
  <c r="T193" i="17"/>
  <c r="T205" i="17" a="1"/>
  <c r="T205" i="17" s="1"/>
  <c r="T217" i="17" a="1"/>
  <c r="T217" i="17" s="1"/>
  <c r="T251" i="17" a="1"/>
  <c r="T251" i="17" s="1"/>
  <c r="T252" i="17" a="1"/>
  <c r="T252" i="17" s="1"/>
  <c r="T253" i="17" a="1"/>
  <c r="T253" i="17" s="1"/>
  <c r="T265" i="17" a="1"/>
  <c r="T265" i="17"/>
  <c r="T299" i="17" a="1"/>
  <c r="T299" i="17" s="1"/>
  <c r="T300" i="17" a="1"/>
  <c r="T300" i="17" s="1"/>
  <c r="T301" i="17" a="1"/>
  <c r="T301" i="17" s="1"/>
  <c r="T313" i="17" a="1"/>
  <c r="T313" i="17" s="1"/>
  <c r="T325" i="17" a="1"/>
  <c r="T325" i="17" s="1"/>
  <c r="U2" i="17" a="1"/>
  <c r="U2" i="17" s="1"/>
  <c r="U3" i="17" a="1"/>
  <c r="U3" i="17" s="1"/>
  <c r="U4" i="17" a="1"/>
  <c r="U4" i="17"/>
  <c r="U5" i="17" a="1"/>
  <c r="U5" i="17" s="1"/>
  <c r="U6" i="17" a="1"/>
  <c r="U6" i="17" s="1"/>
  <c r="U7" i="17" a="1"/>
  <c r="U7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146" i="17" a="1"/>
  <c r="U146" i="17"/>
  <c r="U147" i="17" a="1"/>
  <c r="U147" i="17" s="1"/>
  <c r="U148" i="17" a="1"/>
  <c r="U148" i="17" s="1"/>
  <c r="U182" i="17" a="1"/>
  <c r="U182" i="17" s="1"/>
  <c r="U194" i="17" a="1"/>
  <c r="U194" i="17" s="1"/>
  <c r="U206" i="17" a="1"/>
  <c r="U206" i="17" s="1"/>
  <c r="U218" i="17" a="1"/>
  <c r="U218" i="17"/>
  <c r="U219" i="17" a="1"/>
  <c r="U219" i="17" s="1"/>
  <c r="U220" i="17" a="1"/>
  <c r="U220" i="17" s="1"/>
  <c r="U254" i="17" a="1"/>
  <c r="U254" i="17" s="1"/>
  <c r="U266" i="17" a="1"/>
  <c r="U266" i="17" s="1"/>
  <c r="U267" i="17" a="1"/>
  <c r="U267" i="17" s="1"/>
  <c r="U268" i="17" a="1"/>
  <c r="U268" i="17" s="1"/>
  <c r="U302" i="17" a="1"/>
  <c r="U302" i="17" s="1"/>
  <c r="U314" i="17" a="1"/>
  <c r="U314" i="17"/>
  <c r="U8" i="17" a="1"/>
  <c r="U8" i="17" s="1"/>
  <c r="U9" i="17" a="1"/>
  <c r="U9" i="17" s="1"/>
  <c r="U10" i="17" a="1"/>
  <c r="U10" i="17" s="1"/>
  <c r="U11" i="17" a="1"/>
  <c r="U11" i="17" s="1"/>
  <c r="U12" i="17" a="1"/>
  <c r="U12" i="17" s="1"/>
  <c r="U13" i="17" a="1"/>
  <c r="U13" i="17" s="1"/>
  <c r="U80" i="17" a="1"/>
  <c r="U80" i="17" s="1"/>
  <c r="U81" i="17" a="1"/>
  <c r="U81" i="17" s="1"/>
  <c r="U82" i="17" a="1"/>
  <c r="U82" i="17" s="1"/>
  <c r="U83" i="17" a="1"/>
  <c r="U83" i="17"/>
  <c r="U84" i="17" a="1"/>
  <c r="U84" i="17" s="1"/>
  <c r="U85" i="17" a="1"/>
  <c r="U85" i="17" s="1"/>
  <c r="U149" i="17" a="1"/>
  <c r="U149" i="17" s="1"/>
  <c r="U150" i="17" a="1"/>
  <c r="U150" i="17" s="1"/>
  <c r="U151" i="17" a="1"/>
  <c r="U151" i="17" s="1"/>
  <c r="U183" i="17" a="1"/>
  <c r="U183" i="17"/>
  <c r="U195" i="17" a="1"/>
  <c r="U195" i="17" s="1"/>
  <c r="U207" i="17" a="1"/>
  <c r="U207" i="17" s="1"/>
  <c r="U221" i="17" a="1"/>
  <c r="U221" i="17" s="1"/>
  <c r="U222" i="17" a="1"/>
  <c r="U222" i="17" s="1"/>
  <c r="U223" i="17" a="1"/>
  <c r="U223" i="17" s="1"/>
  <c r="U255" i="17" a="1"/>
  <c r="U255" i="17" s="1"/>
  <c r="U269" i="17" a="1"/>
  <c r="U269" i="17" s="1"/>
  <c r="U270" i="17" a="1"/>
  <c r="U270" i="17"/>
  <c r="U271" i="17" a="1"/>
  <c r="U271" i="17" s="1"/>
  <c r="U303" i="17" a="1"/>
  <c r="U303" i="17" s="1"/>
  <c r="U315" i="17" a="1"/>
  <c r="U315" i="17" s="1"/>
  <c r="U14" i="17" a="1"/>
  <c r="U14" i="17" s="1"/>
  <c r="U15" i="17" a="1"/>
  <c r="U15" i="17" s="1"/>
  <c r="U16" i="17" a="1"/>
  <c r="U16" i="17" s="1"/>
  <c r="U17" i="17" a="1"/>
  <c r="U17" i="17" s="1"/>
  <c r="U18" i="17" a="1"/>
  <c r="U18" i="17" s="1"/>
  <c r="U19" i="17" a="1"/>
  <c r="U19" i="17" s="1"/>
  <c r="U86" i="17" a="1"/>
  <c r="U86" i="17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152" i="17" a="1"/>
  <c r="U152" i="17" s="1"/>
  <c r="U153" i="17" a="1"/>
  <c r="U153" i="17" s="1"/>
  <c r="U154" i="17" a="1"/>
  <c r="U154" i="17" s="1"/>
  <c r="U184" i="17" a="1"/>
  <c r="U184" i="17" s="1"/>
  <c r="U196" i="17" a="1"/>
  <c r="U196" i="17" s="1"/>
  <c r="U208" i="17" a="1"/>
  <c r="U208" i="17" s="1"/>
  <c r="U224" i="17" a="1"/>
  <c r="U224" i="17" s="1"/>
  <c r="U225" i="17" a="1"/>
  <c r="U225" i="17" s="1"/>
  <c r="U226" i="17" a="1"/>
  <c r="U226" i="17"/>
  <c r="U256" i="17" a="1"/>
  <c r="U256" i="17" s="1"/>
  <c r="U272" i="17" a="1"/>
  <c r="U272" i="17" s="1"/>
  <c r="U273" i="17" a="1"/>
  <c r="U273" i="17" s="1"/>
  <c r="U274" i="17" a="1"/>
  <c r="U274" i="17" s="1"/>
  <c r="U304" i="17" a="1"/>
  <c r="U304" i="17" s="1"/>
  <c r="U316" i="17" a="1"/>
  <c r="U316" i="17" s="1"/>
  <c r="U20" i="17" a="1"/>
  <c r="U20" i="17" s="1"/>
  <c r="U21" i="17" a="1"/>
  <c r="U21" i="17"/>
  <c r="U22" i="17" a="1"/>
  <c r="U22" i="17" s="1"/>
  <c r="U23" i="17" a="1"/>
  <c r="U23" i="17" s="1"/>
  <c r="U24" i="17" a="1"/>
  <c r="U24" i="17" s="1"/>
  <c r="U25" i="17" a="1"/>
  <c r="U25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155" i="17" a="1"/>
  <c r="U155" i="17" s="1"/>
  <c r="U156" i="17" a="1"/>
  <c r="U156" i="17" s="1"/>
  <c r="U157" i="17" a="1"/>
  <c r="U157" i="17" s="1"/>
  <c r="U185" i="17" a="1"/>
  <c r="U185" i="17" s="1"/>
  <c r="U197" i="17" a="1"/>
  <c r="U197" i="17" s="1"/>
  <c r="U209" i="17" a="1"/>
  <c r="U209" i="17" s="1"/>
  <c r="U227" i="17" a="1"/>
  <c r="U227" i="17" s="1"/>
  <c r="U228" i="17" a="1"/>
  <c r="U228" i="17" s="1"/>
  <c r="U229" i="17" a="1"/>
  <c r="U229" i="17" s="1"/>
  <c r="U257" i="17" a="1"/>
  <c r="U257" i="17" s="1"/>
  <c r="U275" i="17" a="1"/>
  <c r="U275" i="17" s="1"/>
  <c r="U276" i="17" a="1"/>
  <c r="U276" i="17" s="1"/>
  <c r="U277" i="17" a="1"/>
  <c r="U277" i="17" s="1"/>
  <c r="U305" i="17" a="1"/>
  <c r="U305" i="17" s="1"/>
  <c r="U317" i="17" a="1"/>
  <c r="U317" i="17" s="1"/>
  <c r="U26" i="17" a="1"/>
  <c r="U26" i="17" s="1"/>
  <c r="U27" i="17" a="1"/>
  <c r="U27" i="17" s="1"/>
  <c r="U28" i="17" a="1"/>
  <c r="U28" i="17" s="1"/>
  <c r="U29" i="17" a="1"/>
  <c r="U29" i="17" s="1"/>
  <c r="U30" i="17" a="1"/>
  <c r="U30" i="17" s="1"/>
  <c r="U31" i="17" a="1"/>
  <c r="U31" i="17" s="1"/>
  <c r="U98" i="17" a="1"/>
  <c r="U98" i="17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158" i="17" a="1"/>
  <c r="U158" i="17" s="1"/>
  <c r="U159" i="17" a="1"/>
  <c r="U159" i="17" s="1"/>
  <c r="U160" i="17" a="1"/>
  <c r="U160" i="17" s="1"/>
  <c r="U186" i="17" a="1"/>
  <c r="U186" i="17" s="1"/>
  <c r="U198" i="17" a="1"/>
  <c r="U198" i="17" s="1"/>
  <c r="U210" i="17" a="1"/>
  <c r="U210" i="17" s="1"/>
  <c r="U230" i="17" a="1"/>
  <c r="U230" i="17" s="1"/>
  <c r="U231" i="17" a="1"/>
  <c r="U231" i="17" s="1"/>
  <c r="U232" i="17" a="1"/>
  <c r="U232" i="17"/>
  <c r="U258" i="17" a="1"/>
  <c r="U258" i="17" s="1"/>
  <c r="U278" i="17" a="1"/>
  <c r="U278" i="17" s="1"/>
  <c r="U279" i="17" a="1"/>
  <c r="U279" i="17" s="1"/>
  <c r="U280" i="17" a="1"/>
  <c r="U280" i="17" s="1"/>
  <c r="U306" i="17" a="1"/>
  <c r="U306" i="17" s="1"/>
  <c r="U318" i="17" a="1"/>
  <c r="U318" i="17" s="1"/>
  <c r="U32" i="17" a="1"/>
  <c r="U32" i="17" s="1"/>
  <c r="U33" i="17" a="1"/>
  <c r="U33" i="17" s="1"/>
  <c r="U34" i="17" a="1"/>
  <c r="U34" i="17" s="1"/>
  <c r="U35" i="17" a="1"/>
  <c r="U35" i="17"/>
  <c r="U36" i="17" a="1"/>
  <c r="U36" i="17" s="1"/>
  <c r="U37" i="17" a="1"/>
  <c r="U37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161" i="17" a="1"/>
  <c r="U161" i="17" s="1"/>
  <c r="U162" i="17" a="1"/>
  <c r="U162" i="17" s="1"/>
  <c r="U163" i="17" a="1"/>
  <c r="U163" i="17" s="1"/>
  <c r="U187" i="17" a="1"/>
  <c r="U187" i="17" s="1"/>
  <c r="U199" i="17" a="1"/>
  <c r="U199" i="17" s="1"/>
  <c r="U211" i="17" a="1"/>
  <c r="U211" i="17"/>
  <c r="U233" i="17" a="1"/>
  <c r="U233" i="17" s="1"/>
  <c r="U234" i="17" a="1"/>
  <c r="U234" i="17" s="1"/>
  <c r="U235" i="17" a="1"/>
  <c r="U235" i="17" s="1"/>
  <c r="U259" i="17" a="1"/>
  <c r="U259" i="17" s="1"/>
  <c r="U281" i="17" a="1"/>
  <c r="U281" i="17" s="1"/>
  <c r="U282" i="17" a="1"/>
  <c r="U282" i="17" s="1"/>
  <c r="U283" i="17" a="1"/>
  <c r="U283" i="17" s="1"/>
  <c r="U307" i="17" a="1"/>
  <c r="U307" i="17" s="1"/>
  <c r="U319" i="17" a="1"/>
  <c r="U319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110" i="17" a="1"/>
  <c r="U110" i="17" s="1"/>
  <c r="U111" i="17" a="1"/>
  <c r="U111" i="17" s="1"/>
  <c r="U112" i="17" a="1"/>
  <c r="U112" i="17"/>
  <c r="U113" i="17" a="1"/>
  <c r="U113" i="17" s="1"/>
  <c r="U114" i="17" a="1"/>
  <c r="U114" i="17" s="1"/>
  <c r="U115" i="17" a="1"/>
  <c r="U115" i="17" s="1"/>
  <c r="U164" i="17" a="1"/>
  <c r="U164" i="17" s="1"/>
  <c r="U165" i="17" a="1"/>
  <c r="U165" i="17" s="1"/>
  <c r="U166" i="17" a="1"/>
  <c r="U166" i="17" s="1"/>
  <c r="U188" i="17" a="1"/>
  <c r="U188" i="17" s="1"/>
  <c r="U200" i="17" a="1"/>
  <c r="U200" i="17" s="1"/>
  <c r="U212" i="17" a="1"/>
  <c r="U212" i="17" s="1"/>
  <c r="U236" i="17" a="1"/>
  <c r="U236" i="17" s="1"/>
  <c r="U237" i="17" a="1"/>
  <c r="U237" i="17" s="1"/>
  <c r="U238" i="17" a="1"/>
  <c r="U238" i="17" s="1"/>
  <c r="U260" i="17" a="1"/>
  <c r="U260" i="17" s="1"/>
  <c r="U284" i="17" a="1"/>
  <c r="U284" i="17" s="1"/>
  <c r="U285" i="17" a="1"/>
  <c r="U285" i="17" s="1"/>
  <c r="U286" i="17" a="1"/>
  <c r="U286" i="17" s="1"/>
  <c r="U308" i="17" a="1"/>
  <c r="U308" i="17" s="1"/>
  <c r="U320" i="17" a="1"/>
  <c r="U320" i="17" s="1"/>
  <c r="U44" i="17" a="1"/>
  <c r="U44" i="17" s="1"/>
  <c r="U45" i="17" a="1"/>
  <c r="U45" i="17" s="1"/>
  <c r="U46" i="17" a="1"/>
  <c r="U46" i="17" s="1"/>
  <c r="U47" i="17" a="1"/>
  <c r="U47" i="17"/>
  <c r="U48" i="17" a="1"/>
  <c r="U48" i="17" s="1"/>
  <c r="U49" i="17" a="1"/>
  <c r="U49" i="17" s="1"/>
  <c r="U116" i="17" a="1"/>
  <c r="U116" i="17" s="1"/>
  <c r="U117" i="17" a="1"/>
  <c r="U117" i="17" s="1"/>
  <c r="U118" i="17" a="1"/>
  <c r="U118" i="17" s="1"/>
  <c r="U119" i="17" a="1"/>
  <c r="U119" i="17" s="1"/>
  <c r="U120" i="17" a="1"/>
  <c r="U120" i="17" s="1"/>
  <c r="U121" i="17" a="1"/>
  <c r="U121" i="17" s="1"/>
  <c r="U167" i="17" a="1"/>
  <c r="U167" i="17" s="1"/>
  <c r="U168" i="17" a="1"/>
  <c r="U168" i="17" s="1"/>
  <c r="U169" i="17" a="1"/>
  <c r="U169" i="17" s="1"/>
  <c r="U189" i="17" a="1"/>
  <c r="U189" i="17" s="1"/>
  <c r="U201" i="17" a="1"/>
  <c r="U201" i="17" s="1"/>
  <c r="U213" i="17" a="1"/>
  <c r="U213" i="17" s="1"/>
  <c r="U239" i="17" a="1"/>
  <c r="U239" i="17" s="1"/>
  <c r="U240" i="17" a="1"/>
  <c r="U240" i="17" s="1"/>
  <c r="U241" i="17" a="1"/>
  <c r="U241" i="17" s="1"/>
  <c r="U261" i="17" a="1"/>
  <c r="U261" i="17" s="1"/>
  <c r="U287" i="17" a="1"/>
  <c r="U287" i="17" s="1"/>
  <c r="U288" i="17" a="1"/>
  <c r="U288" i="17" s="1"/>
  <c r="U289" i="17" a="1"/>
  <c r="U289" i="17" s="1"/>
  <c r="U309" i="17" a="1"/>
  <c r="U309" i="17" s="1"/>
  <c r="U321" i="17" a="1"/>
  <c r="U321" i="17" s="1"/>
  <c r="U50" i="17" a="1"/>
  <c r="U50" i="17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 s="1"/>
  <c r="U170" i="17" a="1"/>
  <c r="U170" i="17" s="1"/>
  <c r="U171" i="17" a="1"/>
  <c r="U171" i="17" s="1"/>
  <c r="U172" i="17" a="1"/>
  <c r="U172" i="17" s="1"/>
  <c r="U190" i="17" a="1"/>
  <c r="U190" i="17" s="1"/>
  <c r="U202" i="17" a="1"/>
  <c r="U202" i="17" s="1"/>
  <c r="U214" i="17" a="1"/>
  <c r="U214" i="17" s="1"/>
  <c r="U242" i="17" a="1"/>
  <c r="U242" i="17" s="1"/>
  <c r="U243" i="17" a="1"/>
  <c r="U243" i="17" s="1"/>
  <c r="U244" i="17" a="1"/>
  <c r="U244" i="17" s="1"/>
  <c r="U262" i="17" a="1"/>
  <c r="U262" i="17" s="1"/>
  <c r="U290" i="17" a="1"/>
  <c r="U290" i="17" s="1"/>
  <c r="U291" i="17" a="1"/>
  <c r="U291" i="17" s="1"/>
  <c r="U292" i="17" a="1"/>
  <c r="U292" i="17" s="1"/>
  <c r="U310" i="17" a="1"/>
  <c r="U310" i="17" s="1"/>
  <c r="U322" i="17" a="1"/>
  <c r="U322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173" i="17" a="1"/>
  <c r="U173" i="17" s="1"/>
  <c r="U174" i="17" a="1"/>
  <c r="U174" i="17" s="1"/>
  <c r="U175" i="17" a="1"/>
  <c r="U175" i="17" s="1"/>
  <c r="U191" i="17" a="1"/>
  <c r="U191" i="17" s="1"/>
  <c r="U203" i="17" a="1"/>
  <c r="U203" i="17" s="1"/>
  <c r="U215" i="17" a="1"/>
  <c r="U215" i="17" s="1"/>
  <c r="U245" i="17" a="1"/>
  <c r="U245" i="17" s="1"/>
  <c r="U246" i="17" a="1"/>
  <c r="U246" i="17" s="1"/>
  <c r="U247" i="17" a="1"/>
  <c r="U247" i="17" s="1"/>
  <c r="U263" i="17" a="1"/>
  <c r="U263" i="17" s="1"/>
  <c r="U293" i="17" a="1"/>
  <c r="U293" i="17" s="1"/>
  <c r="U294" i="17" a="1"/>
  <c r="U294" i="17" s="1"/>
  <c r="U295" i="17" a="1"/>
  <c r="U295" i="17" s="1"/>
  <c r="U311" i="17" a="1"/>
  <c r="U311" i="17"/>
  <c r="U323" i="17" a="1"/>
  <c r="U323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176" i="17" a="1"/>
  <c r="U176" i="17" s="1"/>
  <c r="U177" i="17" a="1"/>
  <c r="U177" i="17" s="1"/>
  <c r="U178" i="17" a="1"/>
  <c r="U178" i="17"/>
  <c r="U192" i="17" a="1"/>
  <c r="U192" i="17" s="1"/>
  <c r="U204" i="17" a="1"/>
  <c r="U204" i="17" s="1"/>
  <c r="U216" i="17" a="1"/>
  <c r="U216" i="17" s="1"/>
  <c r="U248" i="17" a="1"/>
  <c r="U248" i="17" s="1"/>
  <c r="U249" i="17" a="1"/>
  <c r="U249" i="17" s="1"/>
  <c r="U250" i="17" a="1"/>
  <c r="U250" i="17" s="1"/>
  <c r="U264" i="17" a="1"/>
  <c r="U264" i="17" s="1"/>
  <c r="U296" i="17" a="1"/>
  <c r="U296" i="17" s="1"/>
  <c r="U297" i="17" a="1"/>
  <c r="U297" i="17" s="1"/>
  <c r="U298" i="17" a="1"/>
  <c r="U298" i="17" s="1"/>
  <c r="U312" i="17" a="1"/>
  <c r="U312" i="17" s="1"/>
  <c r="U324" i="17" a="1"/>
  <c r="U324" i="17" s="1"/>
  <c r="U68" i="17" a="1"/>
  <c r="U68" i="17" s="1"/>
  <c r="U69" i="17" a="1"/>
  <c r="U69" i="17" s="1"/>
  <c r="U70" i="17" a="1"/>
  <c r="U70" i="17" s="1"/>
  <c r="U71" i="17" a="1"/>
  <c r="U71" i="17"/>
  <c r="U72" i="17" a="1"/>
  <c r="U72" i="17" s="1"/>
  <c r="U73" i="17" a="1"/>
  <c r="U73" i="17" s="1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179" i="17" a="1"/>
  <c r="U179" i="17" s="1"/>
  <c r="U180" i="17" a="1"/>
  <c r="U180" i="17" s="1"/>
  <c r="U181" i="17" a="1"/>
  <c r="U181" i="17" s="1"/>
  <c r="U193" i="17" a="1"/>
  <c r="U193" i="17" s="1"/>
  <c r="U205" i="17" a="1"/>
  <c r="U205" i="17" s="1"/>
  <c r="U217" i="17" a="1"/>
  <c r="U217" i="17" s="1"/>
  <c r="U251" i="17" a="1"/>
  <c r="U251" i="17" s="1"/>
  <c r="U252" i="17" a="1"/>
  <c r="U252" i="17"/>
  <c r="U253" i="17" a="1"/>
  <c r="U253" i="17"/>
  <c r="U265" i="17" a="1"/>
  <c r="U265" i="17" s="1"/>
  <c r="U299" i="17" a="1"/>
  <c r="U299" i="17" s="1"/>
  <c r="U300" i="17" a="1"/>
  <c r="U300" i="17" s="1"/>
  <c r="U301" i="17" a="1"/>
  <c r="U301" i="17" s="1"/>
  <c r="U313" i="17" a="1"/>
  <c r="U313" i="17" s="1"/>
  <c r="U325" i="17" a="1"/>
  <c r="U325" i="17" s="1"/>
  <c r="V2" i="17" a="1"/>
  <c r="V2" i="17" s="1"/>
  <c r="V3" i="17" a="1"/>
  <c r="V3" i="17"/>
  <c r="V4" i="17" a="1"/>
  <c r="V4" i="17" s="1"/>
  <c r="V5" i="17" a="1"/>
  <c r="V5" i="17" s="1"/>
  <c r="V6" i="17" a="1"/>
  <c r="V6" i="17" s="1"/>
  <c r="V7" i="17" a="1"/>
  <c r="V7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146" i="17" a="1"/>
  <c r="V146" i="17" s="1"/>
  <c r="V147" i="17" a="1"/>
  <c r="V147" i="17" s="1"/>
  <c r="V148" i="17" a="1"/>
  <c r="V148" i="17" s="1"/>
  <c r="V182" i="17" a="1"/>
  <c r="V182" i="17" s="1"/>
  <c r="V194" i="17" a="1"/>
  <c r="V194" i="17" s="1"/>
  <c r="V206" i="17" a="1"/>
  <c r="V206" i="17" s="1"/>
  <c r="V218" i="17" a="1"/>
  <c r="V218" i="17" s="1"/>
  <c r="V219" i="17" a="1"/>
  <c r="V219" i="17" s="1"/>
  <c r="V220" i="17" a="1"/>
  <c r="V220" i="17" s="1"/>
  <c r="V254" i="17" a="1"/>
  <c r="V254" i="17" s="1"/>
  <c r="V266" i="17" a="1"/>
  <c r="V266" i="17" s="1"/>
  <c r="V267" i="17" a="1"/>
  <c r="V267" i="17" s="1"/>
  <c r="V268" i="17" a="1"/>
  <c r="V268" i="17" s="1"/>
  <c r="V302" i="17" a="1"/>
  <c r="V302" i="17" s="1"/>
  <c r="V314" i="17" a="1"/>
  <c r="V314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149" i="17" a="1"/>
  <c r="V149" i="17" s="1"/>
  <c r="V150" i="17" a="1"/>
  <c r="V150" i="17" s="1"/>
  <c r="V151" i="17" a="1"/>
  <c r="V151" i="17" s="1"/>
  <c r="V183" i="17" a="1"/>
  <c r="V183" i="17" s="1"/>
  <c r="V195" i="17" a="1"/>
  <c r="V195" i="17" s="1"/>
  <c r="V207" i="17" a="1"/>
  <c r="V207" i="17" s="1"/>
  <c r="V221" i="17" a="1"/>
  <c r="V221" i="17" s="1"/>
  <c r="V222" i="17" a="1"/>
  <c r="V222" i="17" s="1"/>
  <c r="V223" i="17" a="1"/>
  <c r="V223" i="17" s="1"/>
  <c r="V255" i="17" a="1"/>
  <c r="V255" i="17" s="1"/>
  <c r="V269" i="17" a="1"/>
  <c r="V269" i="17" s="1"/>
  <c r="V270" i="17" a="1"/>
  <c r="V270" i="17" s="1"/>
  <c r="V271" i="17" a="1"/>
  <c r="V271" i="17" s="1"/>
  <c r="V303" i="17" a="1"/>
  <c r="V303" i="17" s="1"/>
  <c r="V315" i="17" a="1"/>
  <c r="V315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86" i="17" a="1"/>
  <c r="V86" i="17" s="1"/>
  <c r="V87" i="17" a="1"/>
  <c r="V87" i="17" s="1"/>
  <c r="V88" i="17" a="1"/>
  <c r="V88" i="17" s="1"/>
  <c r="V89" i="17" a="1"/>
  <c r="V89" i="17" s="1"/>
  <c r="V90" i="17" a="1"/>
  <c r="V90" i="17" s="1"/>
  <c r="V91" i="17" a="1"/>
  <c r="V91" i="17" s="1"/>
  <c r="V152" i="17" a="1"/>
  <c r="V152" i="17" s="1"/>
  <c r="V153" i="17" a="1"/>
  <c r="V153" i="17" s="1"/>
  <c r="V154" i="17" a="1"/>
  <c r="V154" i="17" s="1"/>
  <c r="V184" i="17" a="1"/>
  <c r="V184" i="17" s="1"/>
  <c r="V196" i="17" a="1"/>
  <c r="V196" i="17" s="1"/>
  <c r="V208" i="17" a="1"/>
  <c r="V208" i="17" s="1"/>
  <c r="V224" i="17" a="1"/>
  <c r="V224" i="17" s="1"/>
  <c r="V225" i="17" a="1"/>
  <c r="V225" i="17" s="1"/>
  <c r="V226" i="17" a="1"/>
  <c r="V226" i="17" s="1"/>
  <c r="V256" i="17" a="1"/>
  <c r="V256" i="17" s="1"/>
  <c r="V272" i="17" a="1"/>
  <c r="V272" i="17" s="1"/>
  <c r="V273" i="17" a="1"/>
  <c r="V273" i="17" s="1"/>
  <c r="V274" i="17" a="1"/>
  <c r="V274" i="17" s="1"/>
  <c r="V304" i="17" a="1"/>
  <c r="V304" i="17" s="1"/>
  <c r="V316" i="17" a="1"/>
  <c r="V316" i="17" s="1"/>
  <c r="V20" i="17" a="1"/>
  <c r="V20" i="17" s="1"/>
  <c r="V21" i="17" a="1"/>
  <c r="V21" i="17" s="1"/>
  <c r="V22" i="17" a="1"/>
  <c r="V22" i="17" s="1"/>
  <c r="V23" i="17" a="1"/>
  <c r="V23" i="17" s="1"/>
  <c r="V24" i="17" a="1"/>
  <c r="V24" i="17" s="1"/>
  <c r="V25" i="17" a="1"/>
  <c r="V25" i="17" s="1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155" i="17" a="1"/>
  <c r="V155" i="17" s="1"/>
  <c r="V156" i="17" a="1"/>
  <c r="V156" i="17" s="1"/>
  <c r="V157" i="17" a="1"/>
  <c r="V157" i="17" s="1"/>
  <c r="V185" i="17" a="1"/>
  <c r="V185" i="17" s="1"/>
  <c r="V197" i="17" a="1"/>
  <c r="V197" i="17" s="1"/>
  <c r="V209" i="17" a="1"/>
  <c r="V209" i="17" s="1"/>
  <c r="V227" i="17" a="1"/>
  <c r="V227" i="17" s="1"/>
  <c r="V228" i="17" a="1"/>
  <c r="V228" i="17" s="1"/>
  <c r="V229" i="17" a="1"/>
  <c r="V229" i="17" s="1"/>
  <c r="V257" i="17" a="1"/>
  <c r="V257" i="17" s="1"/>
  <c r="V275" i="17" a="1"/>
  <c r="V275" i="17" s="1"/>
  <c r="V276" i="17" a="1"/>
  <c r="V276" i="17" s="1"/>
  <c r="V277" i="17" a="1"/>
  <c r="V277" i="17" s="1"/>
  <c r="V305" i="17" a="1"/>
  <c r="V305" i="17" s="1"/>
  <c r="V317" i="17" a="1"/>
  <c r="V317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 s="1"/>
  <c r="V103" i="17" a="1"/>
  <c r="V103" i="17" s="1"/>
  <c r="V158" i="17" a="1"/>
  <c r="V158" i="17" s="1"/>
  <c r="V159" i="17" a="1"/>
  <c r="V159" i="17" s="1"/>
  <c r="V160" i="17" a="1"/>
  <c r="V160" i="17" s="1"/>
  <c r="V186" i="17" a="1"/>
  <c r="V186" i="17" s="1"/>
  <c r="V198" i="17" a="1"/>
  <c r="V198" i="17" s="1"/>
  <c r="V210" i="17" a="1"/>
  <c r="V210" i="17" s="1"/>
  <c r="V230" i="17" a="1"/>
  <c r="V230" i="17" s="1"/>
  <c r="V231" i="17" a="1"/>
  <c r="V231" i="17" s="1"/>
  <c r="V232" i="17" a="1"/>
  <c r="V232" i="17" s="1"/>
  <c r="V258" i="17" a="1"/>
  <c r="V258" i="17" s="1"/>
  <c r="V278" i="17" a="1"/>
  <c r="V278" i="17" s="1"/>
  <c r="V279" i="17" a="1"/>
  <c r="V279" i="17" s="1"/>
  <c r="V280" i="17" a="1"/>
  <c r="V280" i="17" s="1"/>
  <c r="V306" i="17" a="1"/>
  <c r="V306" i="17" s="1"/>
  <c r="V318" i="17" a="1"/>
  <c r="V318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161" i="17" a="1"/>
  <c r="V161" i="17" s="1"/>
  <c r="V162" i="17" a="1"/>
  <c r="V162" i="17" s="1"/>
  <c r="V163" i="17" a="1"/>
  <c r="V163" i="17" s="1"/>
  <c r="V187" i="17" a="1"/>
  <c r="V187" i="17" s="1"/>
  <c r="V199" i="17" a="1"/>
  <c r="V199" i="17" s="1"/>
  <c r="V211" i="17" a="1"/>
  <c r="V211" i="17" s="1"/>
  <c r="V233" i="17" a="1"/>
  <c r="V233" i="17" s="1"/>
  <c r="V234" i="17" a="1"/>
  <c r="V234" i="17" s="1"/>
  <c r="V235" i="17" a="1"/>
  <c r="V235" i="17" s="1"/>
  <c r="V259" i="17" a="1"/>
  <c r="V259" i="17" s="1"/>
  <c r="V281" i="17" a="1"/>
  <c r="V281" i="17" s="1"/>
  <c r="V282" i="17" a="1"/>
  <c r="V282" i="17" s="1"/>
  <c r="V283" i="17" a="1"/>
  <c r="V283" i="17" s="1"/>
  <c r="V307" i="17" a="1"/>
  <c r="V307" i="17" s="1"/>
  <c r="V319" i="17" a="1"/>
  <c r="V319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110" i="17" a="1"/>
  <c r="V110" i="17" s="1"/>
  <c r="V111" i="17" a="1"/>
  <c r="V111" i="17" s="1"/>
  <c r="V112" i="17" a="1"/>
  <c r="V112" i="17" s="1"/>
  <c r="V113" i="17" a="1"/>
  <c r="V113" i="17"/>
  <c r="V114" i="17" a="1"/>
  <c r="V114" i="17" s="1"/>
  <c r="V115" i="17" a="1"/>
  <c r="V115" i="17" s="1"/>
  <c r="V164" i="17" a="1"/>
  <c r="V164" i="17" s="1"/>
  <c r="V165" i="17" a="1"/>
  <c r="V165" i="17" s="1"/>
  <c r="V166" i="17" a="1"/>
  <c r="V166" i="17" s="1"/>
  <c r="V188" i="17" a="1"/>
  <c r="V188" i="17" s="1"/>
  <c r="V200" i="17" a="1"/>
  <c r="V200" i="17" s="1"/>
  <c r="V212" i="17" a="1"/>
  <c r="V212" i="17" s="1"/>
  <c r="V236" i="17" a="1"/>
  <c r="V236" i="17" s="1"/>
  <c r="V237" i="17" a="1"/>
  <c r="V237" i="17" s="1"/>
  <c r="V238" i="17" a="1"/>
  <c r="V238" i="17" s="1"/>
  <c r="V260" i="17" a="1"/>
  <c r="V260" i="17" s="1"/>
  <c r="V284" i="17" a="1"/>
  <c r="V284" i="17" s="1"/>
  <c r="V285" i="17" a="1"/>
  <c r="V285" i="17" s="1"/>
  <c r="V286" i="17" a="1"/>
  <c r="V286" i="17" s="1"/>
  <c r="V308" i="17" a="1"/>
  <c r="V308" i="17" s="1"/>
  <c r="V320" i="17" a="1"/>
  <c r="V320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/>
  <c r="V121" i="17" a="1"/>
  <c r="V121" i="17" s="1"/>
  <c r="V167" i="17" a="1"/>
  <c r="V167" i="17" s="1"/>
  <c r="V168" i="17" a="1"/>
  <c r="V168" i="17" s="1"/>
  <c r="V169" i="17" a="1"/>
  <c r="V169" i="17" s="1"/>
  <c r="V189" i="17" a="1"/>
  <c r="V189" i="17" s="1"/>
  <c r="V201" i="17" a="1"/>
  <c r="V201" i="17" s="1"/>
  <c r="V213" i="17" a="1"/>
  <c r="V213" i="17" s="1"/>
  <c r="V239" i="17" a="1"/>
  <c r="V239" i="17" s="1"/>
  <c r="V240" i="17" a="1"/>
  <c r="V240" i="17" s="1"/>
  <c r="V241" i="17" a="1"/>
  <c r="V241" i="17" s="1"/>
  <c r="V261" i="17" a="1"/>
  <c r="V261" i="17" s="1"/>
  <c r="V287" i="17" a="1"/>
  <c r="V287" i="17" s="1"/>
  <c r="V288" i="17" a="1"/>
  <c r="V288" i="17" s="1"/>
  <c r="V289" i="17" a="1"/>
  <c r="V289" i="17" s="1"/>
  <c r="V309" i="17" a="1"/>
  <c r="V309" i="17" s="1"/>
  <c r="V321" i="17" a="1"/>
  <c r="V321" i="17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170" i="17" a="1"/>
  <c r="V170" i="17" s="1"/>
  <c r="V171" i="17" a="1"/>
  <c r="V171" i="17" s="1"/>
  <c r="V172" i="17" a="1"/>
  <c r="V172" i="17" s="1"/>
  <c r="V190" i="17" a="1"/>
  <c r="V190" i="17" s="1"/>
  <c r="V202" i="17" a="1"/>
  <c r="V202" i="17" s="1"/>
  <c r="V214" i="17" a="1"/>
  <c r="V214" i="17" s="1"/>
  <c r="V242" i="17" a="1"/>
  <c r="V242" i="17" s="1"/>
  <c r="V243" i="17" a="1"/>
  <c r="V243" i="17" s="1"/>
  <c r="V244" i="17" a="1"/>
  <c r="V244" i="17" s="1"/>
  <c r="V262" i="17" a="1"/>
  <c r="V262" i="17" s="1"/>
  <c r="V290" i="17" a="1"/>
  <c r="V290" i="17" s="1"/>
  <c r="V291" i="17" a="1"/>
  <c r="V291" i="17"/>
  <c r="V292" i="17" a="1"/>
  <c r="V292" i="17" s="1"/>
  <c r="V310" i="17" a="1"/>
  <c r="V310" i="17" s="1"/>
  <c r="V322" i="17" a="1"/>
  <c r="V322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173" i="17" a="1"/>
  <c r="V173" i="17" s="1"/>
  <c r="V174" i="17" a="1"/>
  <c r="V174" i="17" s="1"/>
  <c r="V175" i="17" a="1"/>
  <c r="V175" i="17" s="1"/>
  <c r="V191" i="17" a="1"/>
  <c r="V191" i="17" s="1"/>
  <c r="V203" i="17" a="1"/>
  <c r="V203" i="17" s="1"/>
  <c r="V215" i="17" a="1"/>
  <c r="V215" i="17" s="1"/>
  <c r="V245" i="17" a="1"/>
  <c r="V245" i="17" s="1"/>
  <c r="V246" i="17" a="1"/>
  <c r="V246" i="17" s="1"/>
  <c r="V247" i="17" a="1"/>
  <c r="V247" i="17"/>
  <c r="V263" i="17" a="1"/>
  <c r="V263" i="17" s="1"/>
  <c r="V293" i="17" a="1"/>
  <c r="V293" i="17" s="1"/>
  <c r="V294" i="17" a="1"/>
  <c r="V294" i="17" s="1"/>
  <c r="V295" i="17" a="1"/>
  <c r="V295" i="17" s="1"/>
  <c r="V311" i="17" a="1"/>
  <c r="V311" i="17" s="1"/>
  <c r="V323" i="17" a="1"/>
  <c r="V323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134" i="17" a="1"/>
  <c r="V134" i="17" s="1"/>
  <c r="V135" i="17" a="1"/>
  <c r="V135" i="17" s="1"/>
  <c r="V136" i="17" a="1"/>
  <c r="V136" i="17" s="1"/>
  <c r="V137" i="17" a="1"/>
  <c r="V137" i="17"/>
  <c r="V138" i="17" a="1"/>
  <c r="V138" i="17" s="1"/>
  <c r="V139" i="17" a="1"/>
  <c r="V139" i="17" s="1"/>
  <c r="V176" i="17" a="1"/>
  <c r="V176" i="17" s="1"/>
  <c r="V177" i="17" a="1"/>
  <c r="V177" i="17" s="1"/>
  <c r="V178" i="17" a="1"/>
  <c r="V178" i="17" s="1"/>
  <c r="V192" i="17" a="1"/>
  <c r="V192" i="17" s="1"/>
  <c r="V204" i="17" a="1"/>
  <c r="V204" i="17" s="1"/>
  <c r="V216" i="17" a="1"/>
  <c r="V216" i="17" s="1"/>
  <c r="V248" i="17" a="1"/>
  <c r="V248" i="17" s="1"/>
  <c r="V249" i="17" a="1"/>
  <c r="V249" i="17" s="1"/>
  <c r="V250" i="17" a="1"/>
  <c r="V250" i="17" s="1"/>
  <c r="V264" i="17" a="1"/>
  <c r="V264" i="17" s="1"/>
  <c r="V296" i="17" a="1"/>
  <c r="V296" i="17" s="1"/>
  <c r="V297" i="17" a="1"/>
  <c r="V297" i="17" s="1"/>
  <c r="V298" i="17" a="1"/>
  <c r="V298" i="17" s="1"/>
  <c r="V312" i="17" a="1"/>
  <c r="V312" i="17" s="1"/>
  <c r="V324" i="17" a="1"/>
  <c r="V324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140" i="17" a="1"/>
  <c r="V140" i="17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179" i="17" a="1"/>
  <c r="V179" i="17" s="1"/>
  <c r="V180" i="17" a="1"/>
  <c r="V180" i="17" s="1"/>
  <c r="V181" i="17" a="1"/>
  <c r="V181" i="17"/>
  <c r="V193" i="17" a="1"/>
  <c r="V193" i="17" s="1"/>
  <c r="V205" i="17" a="1"/>
  <c r="V205" i="17" s="1"/>
  <c r="V217" i="17" a="1"/>
  <c r="V217" i="17" s="1"/>
  <c r="V251" i="17" a="1"/>
  <c r="V251" i="17" s="1"/>
  <c r="V252" i="17" a="1"/>
  <c r="V252" i="17" s="1"/>
  <c r="V253" i="17" a="1"/>
  <c r="V253" i="17" s="1"/>
  <c r="V265" i="17" a="1"/>
  <c r="V265" i="17" s="1"/>
  <c r="V299" i="17" a="1"/>
  <c r="V299" i="17" s="1"/>
  <c r="V300" i="17" a="1"/>
  <c r="V300" i="17" s="1"/>
  <c r="V301" i="17" a="1"/>
  <c r="V301" i="17" s="1"/>
  <c r="V313" i="17" a="1"/>
  <c r="V313" i="17" s="1"/>
  <c r="V325" i="17" a="1"/>
  <c r="V325" i="17" s="1"/>
  <c r="X2" i="17" a="1"/>
  <c r="X2" i="17" s="1"/>
  <c r="X3" i="17" a="1"/>
  <c r="X3" i="17"/>
  <c r="Y3" i="17" s="1"/>
  <c r="X4" i="17" a="1"/>
  <c r="X4" i="17" s="1"/>
  <c r="X5" i="17" a="1"/>
  <c r="X5" i="17" s="1"/>
  <c r="Y5" i="17" s="1"/>
  <c r="X6" i="17" a="1"/>
  <c r="X6" i="17" s="1"/>
  <c r="X7" i="17" a="1"/>
  <c r="X7" i="17" s="1"/>
  <c r="Y7" i="17" s="1"/>
  <c r="X74" i="17" a="1"/>
  <c r="X74" i="17" s="1"/>
  <c r="X75" i="17" a="1"/>
  <c r="X75" i="17" s="1"/>
  <c r="Y75" i="17" s="1"/>
  <c r="X76" i="17" a="1"/>
  <c r="X76" i="17" s="1"/>
  <c r="X77" i="17" a="1"/>
  <c r="X77" i="17" s="1"/>
  <c r="Y77" i="17" s="1"/>
  <c r="X78" i="17" a="1"/>
  <c r="X78" i="17" s="1"/>
  <c r="X79" i="17" a="1"/>
  <c r="X79" i="17" s="1"/>
  <c r="Y79" i="17" s="1"/>
  <c r="X146" i="17" a="1"/>
  <c r="X146" i="17" s="1"/>
  <c r="X147" i="17" a="1"/>
  <c r="X147" i="17" s="1"/>
  <c r="Y147" i="17" s="1"/>
  <c r="X148" i="17" a="1"/>
  <c r="X148" i="17" s="1"/>
  <c r="X182" i="17" a="1"/>
  <c r="X182" i="17" s="1"/>
  <c r="Y182" i="17" s="1"/>
  <c r="X194" i="17" a="1"/>
  <c r="X194" i="17" s="1"/>
  <c r="X206" i="17" a="1"/>
  <c r="X206" i="17"/>
  <c r="Y206" i="17" s="1"/>
  <c r="X218" i="17" a="1"/>
  <c r="X218" i="17" s="1"/>
  <c r="X219" i="17" a="1"/>
  <c r="X219" i="17" s="1"/>
  <c r="Y219" i="17" s="1"/>
  <c r="X220" i="17" a="1"/>
  <c r="X220" i="17" s="1"/>
  <c r="X254" i="17" a="1"/>
  <c r="X254" i="17" s="1"/>
  <c r="Y254" i="17" s="1"/>
  <c r="X266" i="17" a="1"/>
  <c r="X266" i="17" s="1"/>
  <c r="X267" i="17" a="1"/>
  <c r="X267" i="17" s="1"/>
  <c r="Y267" i="17" s="1"/>
  <c r="Q267" i="17" s="1"/>
  <c r="W267" i="17" s="1"/>
  <c r="X268" i="17" a="1"/>
  <c r="X268" i="17" s="1"/>
  <c r="X302" i="17" a="1"/>
  <c r="X302" i="17"/>
  <c r="Y302" i="17" s="1"/>
  <c r="X314" i="17" a="1"/>
  <c r="X314" i="17" s="1"/>
  <c r="X8" i="17" a="1"/>
  <c r="X8" i="17" s="1"/>
  <c r="Y8" i="17" s="1"/>
  <c r="X9" i="17" a="1"/>
  <c r="X9" i="17" s="1"/>
  <c r="X10" i="17" a="1"/>
  <c r="X10" i="17" s="1"/>
  <c r="Y10" i="17" s="1"/>
  <c r="X11" i="17" a="1"/>
  <c r="X11" i="17" s="1"/>
  <c r="X12" i="17" a="1"/>
  <c r="X12" i="17" s="1"/>
  <c r="Y12" i="17" s="1"/>
  <c r="X13" i="17" a="1"/>
  <c r="X13" i="17" s="1"/>
  <c r="X80" i="17" a="1"/>
  <c r="X80" i="17" s="1"/>
  <c r="Y80" i="17" s="1"/>
  <c r="X81" i="17" a="1"/>
  <c r="X81" i="17" s="1"/>
  <c r="X82" i="17" a="1"/>
  <c r="X82" i="17" s="1"/>
  <c r="Y82" i="17" s="1"/>
  <c r="X83" i="17" a="1"/>
  <c r="X83" i="17" s="1"/>
  <c r="Y83" i="17" s="1"/>
  <c r="X84" i="17" a="1"/>
  <c r="X84" i="17" s="1"/>
  <c r="Y84" i="17" s="1"/>
  <c r="X85" i="17" a="1"/>
  <c r="X85" i="17" s="1"/>
  <c r="X149" i="17" a="1"/>
  <c r="X149" i="17" s="1"/>
  <c r="Y149" i="17" s="1"/>
  <c r="X150" i="17" a="1"/>
  <c r="X150" i="17" s="1"/>
  <c r="X151" i="17" a="1"/>
  <c r="X151" i="17" s="1"/>
  <c r="Y151" i="17" s="1"/>
  <c r="X183" i="17" a="1"/>
  <c r="X183" i="17" s="1"/>
  <c r="X195" i="17" a="1"/>
  <c r="X195" i="17" s="1"/>
  <c r="Y195" i="17" s="1"/>
  <c r="X207" i="17" a="1"/>
  <c r="X207" i="17" s="1"/>
  <c r="Y207" i="17" s="1"/>
  <c r="X221" i="17" a="1"/>
  <c r="X221" i="17" s="1"/>
  <c r="Y221" i="17" s="1"/>
  <c r="X222" i="17" a="1"/>
  <c r="X222" i="17" s="1"/>
  <c r="X223" i="17" a="1"/>
  <c r="X223" i="17" s="1"/>
  <c r="Y223" i="17" s="1"/>
  <c r="X255" i="17" a="1"/>
  <c r="X255" i="17" s="1"/>
  <c r="X269" i="17" a="1"/>
  <c r="X269" i="17"/>
  <c r="Y269" i="17" s="1"/>
  <c r="X270" i="17" a="1"/>
  <c r="X270" i="17" s="1"/>
  <c r="X271" i="17" a="1"/>
  <c r="X271" i="17" s="1"/>
  <c r="Y271" i="17" s="1"/>
  <c r="X303" i="17" a="1"/>
  <c r="X303" i="17" s="1"/>
  <c r="X315" i="17" a="1"/>
  <c r="X315" i="17" s="1"/>
  <c r="Y315" i="17" s="1"/>
  <c r="X14" i="17" a="1"/>
  <c r="X14" i="17" s="1"/>
  <c r="X15" i="17" a="1"/>
  <c r="X15" i="17" s="1"/>
  <c r="Y15" i="17" s="1"/>
  <c r="X16" i="17" a="1"/>
  <c r="X16" i="17" s="1"/>
  <c r="X17" i="17" a="1"/>
  <c r="X17" i="17"/>
  <c r="Y17" i="17" s="1"/>
  <c r="X18" i="17" a="1"/>
  <c r="X18" i="17" s="1"/>
  <c r="X19" i="17" a="1"/>
  <c r="X19" i="17" s="1"/>
  <c r="Y19" i="17" s="1"/>
  <c r="X86" i="17" a="1"/>
  <c r="X86" i="17" s="1"/>
  <c r="X87" i="17" a="1"/>
  <c r="X87" i="17" s="1"/>
  <c r="Y87" i="17" s="1"/>
  <c r="X88" i="17" a="1"/>
  <c r="X88" i="17" s="1"/>
  <c r="Y88" i="17" s="1"/>
  <c r="X89" i="17" a="1"/>
  <c r="X89" i="17" s="1"/>
  <c r="Y89" i="17" s="1"/>
  <c r="X90" i="17" a="1"/>
  <c r="X90" i="17" s="1"/>
  <c r="X91" i="17" a="1"/>
  <c r="X91" i="17" s="1"/>
  <c r="Y91" i="17" s="1"/>
  <c r="X152" i="17" a="1"/>
  <c r="X152" i="17" s="1"/>
  <c r="X153" i="17" a="1"/>
  <c r="X153" i="17"/>
  <c r="Y153" i="17" s="1"/>
  <c r="X154" i="17" a="1"/>
  <c r="X154" i="17" s="1"/>
  <c r="X184" i="17" a="1"/>
  <c r="X184" i="17" s="1"/>
  <c r="Y184" i="17" s="1"/>
  <c r="X196" i="17" a="1"/>
  <c r="X196" i="17" s="1"/>
  <c r="X208" i="17" a="1"/>
  <c r="X208" i="17" s="1"/>
  <c r="Y208" i="17" s="1"/>
  <c r="X224" i="17" a="1"/>
  <c r="X224" i="17" s="1"/>
  <c r="X225" i="17" a="1"/>
  <c r="X225" i="17" s="1"/>
  <c r="Y225" i="17" s="1"/>
  <c r="X226" i="17" a="1"/>
  <c r="X226" i="17" s="1"/>
  <c r="X256" i="17" a="1"/>
  <c r="X256" i="17"/>
  <c r="Y256" i="17" s="1"/>
  <c r="X272" i="17" a="1"/>
  <c r="X272" i="17" s="1"/>
  <c r="X273" i="17" a="1"/>
  <c r="X273" i="17" s="1"/>
  <c r="Y273" i="17" s="1"/>
  <c r="X274" i="17" a="1"/>
  <c r="X274" i="17" s="1"/>
  <c r="Y274" i="17" s="1"/>
  <c r="X304" i="17" a="1"/>
  <c r="X304" i="17" s="1"/>
  <c r="Y304" i="17" s="1"/>
  <c r="X316" i="17" a="1"/>
  <c r="X316" i="17" s="1"/>
  <c r="Y316" i="17" s="1"/>
  <c r="X20" i="17" a="1"/>
  <c r="X20" i="17"/>
  <c r="Y20" i="17" s="1"/>
  <c r="X21" i="17" a="1"/>
  <c r="X21" i="17" s="1"/>
  <c r="X22" i="17" a="1"/>
  <c r="X22" i="17" s="1"/>
  <c r="Y22" i="17" s="1"/>
  <c r="X23" i="17" a="1"/>
  <c r="X23" i="17" s="1"/>
  <c r="X24" i="17" a="1"/>
  <c r="X24" i="17" s="1"/>
  <c r="Y24" i="17" s="1"/>
  <c r="X25" i="17" a="1"/>
  <c r="X25" i="17" s="1"/>
  <c r="Y25" i="17" s="1"/>
  <c r="X92" i="17" a="1"/>
  <c r="X92" i="17" s="1"/>
  <c r="Y92" i="17" s="1"/>
  <c r="X93" i="17" a="1"/>
  <c r="X93" i="17" s="1"/>
  <c r="X94" i="17" a="1"/>
  <c r="X94" i="17" s="1"/>
  <c r="Y94" i="17" s="1"/>
  <c r="X95" i="17" a="1"/>
  <c r="X95" i="17" s="1"/>
  <c r="X96" i="17" a="1"/>
  <c r="X96" i="17"/>
  <c r="Y96" i="17" s="1"/>
  <c r="X97" i="17" a="1"/>
  <c r="X97" i="17" s="1"/>
  <c r="Y97" i="17" s="1"/>
  <c r="X155" i="17" a="1"/>
  <c r="X155" i="17" s="1"/>
  <c r="Y155" i="17" s="1"/>
  <c r="X156" i="17" a="1"/>
  <c r="X156" i="17" s="1"/>
  <c r="Y156" i="17" s="1"/>
  <c r="X157" i="17" a="1"/>
  <c r="X157" i="17" s="1"/>
  <c r="Y157" i="17" s="1"/>
  <c r="X185" i="17" a="1"/>
  <c r="X185" i="17" s="1"/>
  <c r="X197" i="17" a="1"/>
  <c r="X197" i="17" s="1"/>
  <c r="Y197" i="17" s="1"/>
  <c r="X209" i="17" a="1"/>
  <c r="X209" i="17" s="1"/>
  <c r="X227" i="17" a="1"/>
  <c r="X227" i="17"/>
  <c r="Y227" i="17" s="1"/>
  <c r="X228" i="17" a="1"/>
  <c r="X228" i="17" s="1"/>
  <c r="X229" i="17" a="1"/>
  <c r="X229" i="17" s="1"/>
  <c r="Y229" i="17" s="1"/>
  <c r="X257" i="17" a="1"/>
  <c r="X257" i="17" s="1"/>
  <c r="X275" i="17" a="1"/>
  <c r="X275" i="17" s="1"/>
  <c r="Y275" i="17" s="1"/>
  <c r="X276" i="17" a="1"/>
  <c r="X276" i="17" s="1"/>
  <c r="X277" i="17" a="1"/>
  <c r="X277" i="17" s="1"/>
  <c r="Y277" i="17" s="1"/>
  <c r="X305" i="17" a="1"/>
  <c r="X305" i="17" s="1"/>
  <c r="X317" i="17" a="1"/>
  <c r="X317" i="17" s="1"/>
  <c r="Y317" i="17" s="1"/>
  <c r="X26" i="17" a="1"/>
  <c r="X26" i="17" s="1"/>
  <c r="Y26" i="17" s="1"/>
  <c r="X27" i="17" a="1"/>
  <c r="X27" i="17" s="1"/>
  <c r="Y27" i="17" s="1"/>
  <c r="X28" i="17" a="1"/>
  <c r="X28" i="17" s="1"/>
  <c r="Y28" i="17" s="1"/>
  <c r="X29" i="17" a="1"/>
  <c r="X29" i="17" s="1"/>
  <c r="Y29" i="17" s="1"/>
  <c r="X30" i="17" a="1"/>
  <c r="X30" i="17" s="1"/>
  <c r="X31" i="17" a="1"/>
  <c r="X31" i="17"/>
  <c r="Y31" i="17" s="1"/>
  <c r="X98" i="17" a="1"/>
  <c r="X98" i="17" s="1"/>
  <c r="Y98" i="17" s="1"/>
  <c r="Q98" i="17" s="1"/>
  <c r="W98" i="17" s="1"/>
  <c r="X99" i="17" a="1"/>
  <c r="X99" i="17"/>
  <c r="Y99" i="17" s="1"/>
  <c r="X100" i="17" a="1"/>
  <c r="X100" i="17" s="1"/>
  <c r="Y100" i="17" s="1"/>
  <c r="X101" i="17" a="1"/>
  <c r="X101" i="17" s="1"/>
  <c r="Y101" i="17" s="1"/>
  <c r="X102" i="17" a="1"/>
  <c r="X102" i="17" s="1"/>
  <c r="X103" i="17" a="1"/>
  <c r="X103" i="17" s="1"/>
  <c r="Y103" i="17" s="1"/>
  <c r="X158" i="17" a="1"/>
  <c r="X158" i="17" s="1"/>
  <c r="X159" i="17" a="1"/>
  <c r="X159" i="17" s="1"/>
  <c r="Y159" i="17" s="1"/>
  <c r="X160" i="17" a="1"/>
  <c r="X160" i="17" s="1"/>
  <c r="X186" i="17" a="1"/>
  <c r="X186" i="17"/>
  <c r="Y186" i="17" s="1"/>
  <c r="X198" i="17" a="1"/>
  <c r="X198" i="17" s="1"/>
  <c r="Y198" i="17" s="1"/>
  <c r="X210" i="17" a="1"/>
  <c r="X210" i="17" s="1"/>
  <c r="Y210" i="17" s="1"/>
  <c r="X230" i="17" a="1"/>
  <c r="X230" i="17" s="1"/>
  <c r="Y230" i="17" s="1"/>
  <c r="X231" i="17" a="1"/>
  <c r="X231" i="17" s="1"/>
  <c r="Y231" i="17" s="1"/>
  <c r="X232" i="17" a="1"/>
  <c r="X232" i="17" s="1"/>
  <c r="X258" i="17" a="1"/>
  <c r="X258" i="17"/>
  <c r="Y258" i="17" s="1"/>
  <c r="X278" i="17" a="1"/>
  <c r="X278" i="17" s="1"/>
  <c r="X279" i="17" a="1"/>
  <c r="X279" i="17"/>
  <c r="Y279" i="17" s="1"/>
  <c r="X280" i="17" a="1"/>
  <c r="X280" i="17" s="1"/>
  <c r="Y280" i="17" s="1"/>
  <c r="X306" i="17" a="1"/>
  <c r="X306" i="17" s="1"/>
  <c r="Y306" i="17" s="1"/>
  <c r="X318" i="17" a="1"/>
  <c r="X318" i="17" s="1"/>
  <c r="X32" i="17" a="1"/>
  <c r="X32" i="17" s="1"/>
  <c r="Y32" i="17" s="1"/>
  <c r="X33" i="17" a="1"/>
  <c r="X33" i="17" s="1"/>
  <c r="Y33" i="17" s="1"/>
  <c r="X34" i="17" a="1"/>
  <c r="X34" i="17" s="1"/>
  <c r="Y34" i="17" s="1"/>
  <c r="X35" i="17" a="1"/>
  <c r="X35" i="17" s="1"/>
  <c r="X36" i="17" a="1"/>
  <c r="X36" i="17"/>
  <c r="X37" i="17" a="1"/>
  <c r="X37" i="17" s="1"/>
  <c r="Y37" i="17" s="1"/>
  <c r="X104" i="17" a="1"/>
  <c r="X104" i="17" s="1"/>
  <c r="Y104" i="17" s="1"/>
  <c r="X105" i="17" a="1"/>
  <c r="X105" i="17" s="1"/>
  <c r="Y105" i="17" s="1"/>
  <c r="X106" i="17" a="1"/>
  <c r="X106" i="17" s="1"/>
  <c r="Y106" i="17" s="1"/>
  <c r="Q106" i="17" s="1"/>
  <c r="W106" i="17" s="1"/>
  <c r="X107" i="17" a="1"/>
  <c r="X107" i="17" s="1"/>
  <c r="X108" i="17" a="1"/>
  <c r="X108" i="17"/>
  <c r="Y108" i="17" s="1"/>
  <c r="X109" i="17" a="1"/>
  <c r="X109" i="17" s="1"/>
  <c r="Y109" i="17" s="1"/>
  <c r="X161" i="17" a="1"/>
  <c r="X161" i="17" s="1"/>
  <c r="Y161" i="17" s="1"/>
  <c r="X162" i="17" a="1"/>
  <c r="X162" i="17" s="1"/>
  <c r="Y162" i="17" s="1"/>
  <c r="Q162" i="17" s="1"/>
  <c r="W162" i="17" s="1"/>
  <c r="X163" i="17" a="1"/>
  <c r="X163" i="17" s="1"/>
  <c r="Y163" i="17" s="1"/>
  <c r="X187" i="17" a="1"/>
  <c r="X187" i="17" s="1"/>
  <c r="Y187" i="17" s="1"/>
  <c r="X199" i="17" a="1"/>
  <c r="X199" i="17" s="1"/>
  <c r="Y199" i="17" s="1"/>
  <c r="X211" i="17" a="1"/>
  <c r="X211" i="17" s="1"/>
  <c r="X233" i="17" a="1"/>
  <c r="X233" i="17" s="1"/>
  <c r="Y233" i="17" s="1"/>
  <c r="X234" i="17" a="1"/>
  <c r="X234" i="17" s="1"/>
  <c r="X235" i="17" a="1"/>
  <c r="X235" i="17"/>
  <c r="Y235" i="17" s="1"/>
  <c r="X259" i="17" a="1"/>
  <c r="X259" i="17" s="1"/>
  <c r="Y259" i="17" s="1"/>
  <c r="X281" i="17" a="1"/>
  <c r="X281" i="17" s="1"/>
  <c r="Y281" i="17" s="1"/>
  <c r="X282" i="17" a="1"/>
  <c r="X282" i="17" s="1"/>
  <c r="Y282" i="17" s="1"/>
  <c r="X283" i="17" a="1"/>
  <c r="X283" i="17" s="1"/>
  <c r="Y283" i="17" s="1"/>
  <c r="X307" i="17" a="1"/>
  <c r="X307" i="17" s="1"/>
  <c r="Y307" i="17" s="1"/>
  <c r="X319" i="17" a="1"/>
  <c r="X319" i="17" s="1"/>
  <c r="Y319" i="17" s="1"/>
  <c r="X38" i="17" a="1"/>
  <c r="X38" i="17" s="1"/>
  <c r="X39" i="17" a="1"/>
  <c r="X39" i="17"/>
  <c r="Y39" i="17" s="1"/>
  <c r="X40" i="17" a="1"/>
  <c r="X40" i="17" s="1"/>
  <c r="Y40" i="17" s="1"/>
  <c r="Q40" i="17" s="1"/>
  <c r="W40" i="17" s="1"/>
  <c r="X41" i="17" a="1"/>
  <c r="X41" i="17" s="1"/>
  <c r="Y41" i="17" s="1"/>
  <c r="X42" i="17" a="1"/>
  <c r="X42" i="17" s="1"/>
  <c r="X43" i="17" a="1"/>
  <c r="X43" i="17" s="1"/>
  <c r="Y43" i="17" s="1"/>
  <c r="Q43" i="17" s="1"/>
  <c r="W43" i="17" s="1"/>
  <c r="X110" i="17" a="1"/>
  <c r="X110" i="17" s="1"/>
  <c r="X111" i="17" a="1"/>
  <c r="X111" i="17" s="1"/>
  <c r="Y111" i="17" s="1"/>
  <c r="X112" i="17" a="1"/>
  <c r="X112" i="17" s="1"/>
  <c r="X113" i="17" a="1"/>
  <c r="X113" i="17" s="1"/>
  <c r="Y113" i="17" s="1"/>
  <c r="X114" i="17" a="1"/>
  <c r="X114" i="17" s="1"/>
  <c r="Y114" i="17" s="1"/>
  <c r="X115" i="17" a="1"/>
  <c r="X115" i="17" s="1"/>
  <c r="Y115" i="17" s="1"/>
  <c r="X164" i="17" a="1"/>
  <c r="X164" i="17" s="1"/>
  <c r="Y164" i="17" s="1"/>
  <c r="X165" i="17" a="1"/>
  <c r="X165" i="17" s="1"/>
  <c r="Y165" i="17" s="1"/>
  <c r="X166" i="17" a="1"/>
  <c r="X166" i="17" s="1"/>
  <c r="X188" i="17" a="1"/>
  <c r="X188" i="17" s="1"/>
  <c r="Y188" i="17" s="1"/>
  <c r="X200" i="17" a="1"/>
  <c r="X200" i="17" s="1"/>
  <c r="Y200" i="17" s="1"/>
  <c r="Q200" i="17" s="1"/>
  <c r="W200" i="17" s="1"/>
  <c r="X212" i="17" a="1"/>
  <c r="X212" i="17"/>
  <c r="Y212" i="17" s="1"/>
  <c r="X236" i="17" a="1"/>
  <c r="X236" i="17" s="1"/>
  <c r="Y236" i="17" s="1"/>
  <c r="X237" i="17" a="1"/>
  <c r="X237" i="17" s="1"/>
  <c r="Y237" i="17" s="1"/>
  <c r="X238" i="17" a="1"/>
  <c r="X238" i="17" s="1"/>
  <c r="X260" i="17" a="1"/>
  <c r="X260" i="17" s="1"/>
  <c r="Y260" i="17" s="1"/>
  <c r="X284" i="17" a="1"/>
  <c r="X284" i="17" s="1"/>
  <c r="X285" i="17" a="1"/>
  <c r="X285" i="17" s="1"/>
  <c r="Y285" i="17" s="1"/>
  <c r="X286" i="17" a="1"/>
  <c r="X286" i="17" s="1"/>
  <c r="X308" i="17" a="1"/>
  <c r="X308" i="17" s="1"/>
  <c r="Y308" i="17" s="1"/>
  <c r="X320" i="17" a="1"/>
  <c r="X320" i="17" s="1"/>
  <c r="Y320" i="17" s="1"/>
  <c r="X44" i="17" a="1"/>
  <c r="X44" i="17" s="1"/>
  <c r="Y44" i="17" s="1"/>
  <c r="X45" i="17" a="1"/>
  <c r="X45" i="17" s="1"/>
  <c r="Y45" i="17" s="1"/>
  <c r="X46" i="17" a="1"/>
  <c r="X46" i="17" s="1"/>
  <c r="Y46" i="17" s="1"/>
  <c r="X47" i="17" a="1"/>
  <c r="X47" i="17" s="1"/>
  <c r="X48" i="17" a="1"/>
  <c r="X48" i="17"/>
  <c r="Y48" i="17" s="1"/>
  <c r="X49" i="17" a="1"/>
  <c r="X49" i="17" s="1"/>
  <c r="X116" i="17" a="1"/>
  <c r="X116" i="17"/>
  <c r="Y116" i="17" s="1"/>
  <c r="X117" i="17" a="1"/>
  <c r="X117" i="17" s="1"/>
  <c r="Y117" i="17" s="1"/>
  <c r="X118" i="17" a="1"/>
  <c r="X118" i="17" s="1"/>
  <c r="Y118" i="17" s="1"/>
  <c r="X119" i="17" a="1"/>
  <c r="X119" i="17" s="1"/>
  <c r="X120" i="17" a="1"/>
  <c r="X120" i="17" s="1"/>
  <c r="Y120" i="17" s="1"/>
  <c r="X121" i="17" a="1"/>
  <c r="X121" i="17" s="1"/>
  <c r="Y121" i="17" s="1"/>
  <c r="X167" i="17" a="1"/>
  <c r="X167" i="17" s="1"/>
  <c r="Y167" i="17" s="1"/>
  <c r="X168" i="17" a="1"/>
  <c r="X168" i="17" s="1"/>
  <c r="X169" i="17" a="1"/>
  <c r="X169" i="17"/>
  <c r="X189" i="17" a="1"/>
  <c r="X189" i="17" s="1"/>
  <c r="Y189" i="17" s="1"/>
  <c r="X201" i="17" a="1"/>
  <c r="X201" i="17" s="1"/>
  <c r="Y201" i="17" s="1"/>
  <c r="X213" i="17" a="1"/>
  <c r="X213" i="17" s="1"/>
  <c r="Y213" i="17" s="1"/>
  <c r="X239" i="17" a="1"/>
  <c r="X239" i="17" s="1"/>
  <c r="Y239" i="17" s="1"/>
  <c r="X240" i="17" a="1"/>
  <c r="X240" i="17" s="1"/>
  <c r="X241" i="17" a="1"/>
  <c r="X241" i="17"/>
  <c r="Y241" i="17" s="1"/>
  <c r="X261" i="17" a="1"/>
  <c r="X261" i="17" s="1"/>
  <c r="Y261" i="17" s="1"/>
  <c r="X287" i="17" a="1"/>
  <c r="X287" i="17" s="1"/>
  <c r="Y287" i="17" s="1"/>
  <c r="X288" i="17" a="1"/>
  <c r="X288" i="17" s="1"/>
  <c r="Y288" i="17" s="1"/>
  <c r="Q288" i="17" s="1"/>
  <c r="W288" i="17" s="1"/>
  <c r="X289" i="17" a="1"/>
  <c r="X289" i="17" s="1"/>
  <c r="Y289" i="17" s="1"/>
  <c r="X309" i="17" a="1"/>
  <c r="X309" i="17" s="1"/>
  <c r="X321" i="17" a="1"/>
  <c r="X321" i="17" s="1"/>
  <c r="Y321" i="17" s="1"/>
  <c r="X50" i="17" a="1"/>
  <c r="X50" i="17" s="1"/>
  <c r="Y50" i="17" s="1"/>
  <c r="X51" i="17" a="1"/>
  <c r="X51" i="17" s="1"/>
  <c r="Y51" i="17" s="1"/>
  <c r="X52" i="17" a="1"/>
  <c r="X52" i="17" s="1"/>
  <c r="X53" i="17" a="1"/>
  <c r="X53" i="17"/>
  <c r="Y53" i="17" s="1"/>
  <c r="X54" i="17" a="1"/>
  <c r="X54" i="17" s="1"/>
  <c r="Y54" i="17" s="1"/>
  <c r="X55" i="17" a="1"/>
  <c r="X55" i="17" s="1"/>
  <c r="Y55" i="17" s="1"/>
  <c r="X122" i="17" a="1"/>
  <c r="X122" i="17" s="1"/>
  <c r="Y122" i="17" s="1"/>
  <c r="X123" i="17" a="1"/>
  <c r="X123" i="17" s="1"/>
  <c r="Y123" i="17" s="1"/>
  <c r="X124" i="17" a="1"/>
  <c r="X124" i="17" s="1"/>
  <c r="X125" i="17" a="1"/>
  <c r="X125" i="17" s="1"/>
  <c r="Y125" i="17" s="1"/>
  <c r="X126" i="17" a="1"/>
  <c r="X126" i="17" s="1"/>
  <c r="X127" i="17" a="1"/>
  <c r="X127" i="17" s="1"/>
  <c r="Y127" i="17" s="1"/>
  <c r="X170" i="17" a="1"/>
  <c r="X170" i="17" s="1"/>
  <c r="Y170" i="17" s="1"/>
  <c r="Q170" i="17" s="1"/>
  <c r="W170" i="17" s="1"/>
  <c r="X171" i="17" a="1"/>
  <c r="X171" i="17" s="1"/>
  <c r="Y171" i="17" s="1"/>
  <c r="X172" i="17" a="1"/>
  <c r="X172" i="17" s="1"/>
  <c r="Y172" i="17" s="1"/>
  <c r="X190" i="17" a="1"/>
  <c r="X190" i="17" s="1"/>
  <c r="Y190" i="17" s="1"/>
  <c r="X202" i="17" a="1"/>
  <c r="X202" i="17" s="1"/>
  <c r="Y202" i="17" s="1"/>
  <c r="X214" i="17" a="1"/>
  <c r="X214" i="17" s="1"/>
  <c r="Y214" i="17" s="1"/>
  <c r="X242" i="17" a="1"/>
  <c r="X242" i="17" s="1"/>
  <c r="Y242" i="17" s="1"/>
  <c r="X243" i="17" a="1"/>
  <c r="X243" i="17" s="1"/>
  <c r="X244" i="17" a="1"/>
  <c r="X244" i="17" s="1"/>
  <c r="Y244" i="17" s="1"/>
  <c r="X262" i="17" a="1"/>
  <c r="X262" i="17" s="1"/>
  <c r="Y262" i="17" s="1"/>
  <c r="X290" i="17" a="1"/>
  <c r="X290" i="17" s="1"/>
  <c r="Y290" i="17" s="1"/>
  <c r="X291" i="17" a="1"/>
  <c r="X291" i="17" s="1"/>
  <c r="Y291" i="17" s="1"/>
  <c r="Q291" i="17" s="1"/>
  <c r="W291" i="17" s="1"/>
  <c r="X292" i="17" a="1"/>
  <c r="X292" i="17" s="1"/>
  <c r="X310" i="17" a="1"/>
  <c r="X310" i="17"/>
  <c r="Y310" i="17" s="1"/>
  <c r="X322" i="17" a="1"/>
  <c r="X322" i="17" s="1"/>
  <c r="Y322" i="17" s="1"/>
  <c r="X56" i="17" a="1"/>
  <c r="X56" i="17"/>
  <c r="Y56" i="17" s="1"/>
  <c r="Q56" i="17" s="1"/>
  <c r="W56" i="17" s="1"/>
  <c r="X57" i="17" a="1"/>
  <c r="X57" i="17" s="1"/>
  <c r="Y57" i="17" s="1"/>
  <c r="X58" i="17" a="1"/>
  <c r="X58" i="17" s="1"/>
  <c r="Y58" i="17" s="1"/>
  <c r="X59" i="17" a="1"/>
  <c r="X59" i="17" s="1"/>
  <c r="Y59" i="17" s="1"/>
  <c r="X60" i="17" a="1"/>
  <c r="X60" i="17" s="1"/>
  <c r="Y60" i="17" s="1"/>
  <c r="X61" i="17" a="1"/>
  <c r="X61" i="17" s="1"/>
  <c r="Y61" i="17" s="1"/>
  <c r="X128" i="17" a="1"/>
  <c r="X128" i="17" s="1"/>
  <c r="Y128" i="17" s="1"/>
  <c r="X129" i="17" a="1"/>
  <c r="X129" i="17" s="1"/>
  <c r="X130" i="17" a="1"/>
  <c r="X130" i="17"/>
  <c r="Y130" i="17" s="1"/>
  <c r="X131" i="17" a="1"/>
  <c r="X131" i="17" s="1"/>
  <c r="Y131" i="17" s="1"/>
  <c r="X132" i="17" a="1"/>
  <c r="X132" i="17" s="1"/>
  <c r="Y132" i="17" s="1"/>
  <c r="X133" i="17" a="1"/>
  <c r="X133" i="17" s="1"/>
  <c r="Y133" i="17" s="1"/>
  <c r="Q133" i="17" s="1"/>
  <c r="W133" i="17" s="1"/>
  <c r="X173" i="17" a="1"/>
  <c r="X173" i="17" s="1"/>
  <c r="Y173" i="17" s="1"/>
  <c r="X174" i="17" a="1"/>
  <c r="X174" i="17" s="1"/>
  <c r="X175" i="17" a="1"/>
  <c r="X175" i="17" s="1"/>
  <c r="Y175" i="17" s="1"/>
  <c r="X191" i="17" a="1"/>
  <c r="X191" i="17" s="1"/>
  <c r="Y191" i="17" s="1"/>
  <c r="Q191" i="17" s="1"/>
  <c r="W191" i="17" s="1"/>
  <c r="X203" i="17" a="1"/>
  <c r="X203" i="17"/>
  <c r="Y203" i="17" s="1"/>
  <c r="X215" i="17" a="1"/>
  <c r="X215" i="17" s="1"/>
  <c r="Y215" i="17" s="1"/>
  <c r="X245" i="17" a="1"/>
  <c r="X245" i="17" s="1"/>
  <c r="Y245" i="17" s="1"/>
  <c r="X246" i="17" a="1"/>
  <c r="X246" i="17" s="1"/>
  <c r="X247" i="17" a="1"/>
  <c r="X247" i="17" s="1"/>
  <c r="Y247" i="17" s="1"/>
  <c r="X263" i="17" a="1"/>
  <c r="X263" i="17" s="1"/>
  <c r="Y263" i="17" s="1"/>
  <c r="X293" i="17" a="1"/>
  <c r="X293" i="17" s="1"/>
  <c r="Y293" i="17" s="1"/>
  <c r="X294" i="17" a="1"/>
  <c r="X294" i="17" s="1"/>
  <c r="X295" i="17" a="1"/>
  <c r="X295" i="17" s="1"/>
  <c r="Y295" i="17" s="1"/>
  <c r="X311" i="17" a="1"/>
  <c r="X311" i="17" s="1"/>
  <c r="Y311" i="17" s="1"/>
  <c r="Q311" i="17" s="1"/>
  <c r="W311" i="17" s="1"/>
  <c r="X323" i="17" a="1"/>
  <c r="X323" i="17" s="1"/>
  <c r="Y323" i="17" s="1"/>
  <c r="X62" i="17" a="1"/>
  <c r="X62" i="17" s="1"/>
  <c r="Y62" i="17" s="1"/>
  <c r="X63" i="17" a="1"/>
  <c r="X63" i="17" s="1"/>
  <c r="Y63" i="17" s="1"/>
  <c r="X64" i="17" a="1"/>
  <c r="X64" i="17" s="1"/>
  <c r="Y64" i="17" s="1"/>
  <c r="X65" i="17" a="1"/>
  <c r="X65" i="17"/>
  <c r="Y65" i="17" s="1"/>
  <c r="Q65" i="17" s="1"/>
  <c r="W65" i="17" s="1"/>
  <c r="X66" i="17" a="1"/>
  <c r="X66" i="17" s="1"/>
  <c r="Y66" i="17" s="1"/>
  <c r="X67" i="17" a="1"/>
  <c r="X67" i="17" s="1"/>
  <c r="Y67" i="17" s="1"/>
  <c r="X134" i="17" a="1"/>
  <c r="X134" i="17" s="1"/>
  <c r="Y134" i="17" s="1"/>
  <c r="Q134" i="17" s="1"/>
  <c r="W134" i="17" s="1"/>
  <c r="X135" i="17" a="1"/>
  <c r="X135" i="17" s="1"/>
  <c r="Y135" i="17" s="1"/>
  <c r="Q135" i="17" s="1"/>
  <c r="W135" i="17" s="1"/>
  <c r="X136" i="17" a="1"/>
  <c r="X136" i="17" s="1"/>
  <c r="X137" i="17" a="1"/>
  <c r="X137" i="17" s="1"/>
  <c r="Y137" i="17" s="1"/>
  <c r="X138" i="17" a="1"/>
  <c r="X138" i="17" s="1"/>
  <c r="X139" i="17" a="1"/>
  <c r="X139" i="17" s="1"/>
  <c r="Y139" i="17" s="1"/>
  <c r="X176" i="17" a="1"/>
  <c r="X176" i="17" s="1"/>
  <c r="X177" i="17" a="1"/>
  <c r="X177" i="17"/>
  <c r="Y177" i="17" s="1"/>
  <c r="Q177" i="17" s="1"/>
  <c r="W177" i="17" s="1"/>
  <c r="X178" i="17" a="1"/>
  <c r="X178" i="17" s="1"/>
  <c r="Y178" i="17" s="1"/>
  <c r="Q178" i="17" s="1"/>
  <c r="W178" i="17" s="1"/>
  <c r="X192" i="17" a="1"/>
  <c r="X192" i="17" s="1"/>
  <c r="Y192" i="17" s="1"/>
  <c r="X204" i="17" a="1"/>
  <c r="X204" i="17" s="1"/>
  <c r="Y204" i="17" s="1"/>
  <c r="X216" i="17" a="1"/>
  <c r="X216" i="17" s="1"/>
  <c r="Y216" i="17" s="1"/>
  <c r="Q216" i="17" s="1"/>
  <c r="W216" i="17" s="1"/>
  <c r="X248" i="17" a="1"/>
  <c r="X248" i="17" s="1"/>
  <c r="Y248" i="17" s="1"/>
  <c r="X249" i="17" a="1"/>
  <c r="X249" i="17" s="1"/>
  <c r="Y249" i="17" s="1"/>
  <c r="X250" i="17" a="1"/>
  <c r="X250" i="17" s="1"/>
  <c r="Y250" i="17" s="1"/>
  <c r="Q250" i="17" s="1"/>
  <c r="W250" i="17" s="1"/>
  <c r="X264" i="17" a="1"/>
  <c r="X264" i="17"/>
  <c r="Y264" i="17" s="1"/>
  <c r="Q264" i="17" s="1"/>
  <c r="W264" i="17" s="1"/>
  <c r="X296" i="17" a="1"/>
  <c r="X296" i="17" s="1"/>
  <c r="Y296" i="17" s="1"/>
  <c r="X297" i="17" a="1"/>
  <c r="X297" i="17" s="1"/>
  <c r="Y297" i="17" s="1"/>
  <c r="X298" i="17" a="1"/>
  <c r="X298" i="17" s="1"/>
  <c r="X312" i="17" a="1"/>
  <c r="X312" i="17" s="1"/>
  <c r="Y312" i="17" s="1"/>
  <c r="X324" i="17" a="1"/>
  <c r="X324" i="17" s="1"/>
  <c r="Y324" i="17" s="1"/>
  <c r="X68" i="17" a="1"/>
  <c r="X68" i="17" s="1"/>
  <c r="Y68" i="17" s="1"/>
  <c r="Q68" i="17" s="1"/>
  <c r="W68" i="17" s="1"/>
  <c r="X69" i="17" a="1"/>
  <c r="X69" i="17" s="1"/>
  <c r="X70" i="17" a="1"/>
  <c r="X70" i="17" s="1"/>
  <c r="Y70" i="17" s="1"/>
  <c r="X71" i="17" a="1"/>
  <c r="X71" i="17" s="1"/>
  <c r="Y71" i="17" s="1"/>
  <c r="X72" i="17" a="1"/>
  <c r="X72" i="17" s="1"/>
  <c r="Y72" i="17" s="1"/>
  <c r="X73" i="17" a="1"/>
  <c r="X73" i="17" s="1"/>
  <c r="Y73" i="17" s="1"/>
  <c r="Q73" i="17" s="1"/>
  <c r="W73" i="17" s="1"/>
  <c r="X140" i="17" a="1"/>
  <c r="X140" i="17" s="1"/>
  <c r="Y140" i="17" s="1"/>
  <c r="X141" i="17" a="1"/>
  <c r="X141" i="17" s="1"/>
  <c r="Y141" i="17" s="1"/>
  <c r="X142" i="17" a="1"/>
  <c r="X142" i="17" s="1"/>
  <c r="Y142" i="17" s="1"/>
  <c r="Q142" i="17" s="1"/>
  <c r="W142" i="17" s="1"/>
  <c r="X143" i="17" a="1"/>
  <c r="X143" i="17" s="1"/>
  <c r="Y143" i="17" s="1"/>
  <c r="Q143" i="17" s="1"/>
  <c r="W143" i="17" s="1"/>
  <c r="X144" i="17" a="1"/>
  <c r="X144" i="17"/>
  <c r="Y144" i="17" s="1"/>
  <c r="X145" i="17" a="1"/>
  <c r="X145" i="17" s="1"/>
  <c r="Y145" i="17" s="1"/>
  <c r="Q145" i="17" s="1"/>
  <c r="W145" i="17" s="1"/>
  <c r="X179" i="17" a="1"/>
  <c r="X179" i="17" s="1"/>
  <c r="Y179" i="17" s="1"/>
  <c r="X180" i="17" a="1"/>
  <c r="X180" i="17" s="1"/>
  <c r="Y180" i="17" s="1"/>
  <c r="X181" i="17" a="1"/>
  <c r="X181" i="17" s="1"/>
  <c r="Y181" i="17" s="1"/>
  <c r="X193" i="17" a="1"/>
  <c r="X193" i="17" s="1"/>
  <c r="X205" i="17" a="1"/>
  <c r="X205" i="17" s="1"/>
  <c r="Y205" i="17" s="1"/>
  <c r="Q205" i="17" s="1"/>
  <c r="W205" i="17" s="1"/>
  <c r="X217" i="17" a="1"/>
  <c r="X217" i="17" s="1"/>
  <c r="Y217" i="17" s="1"/>
  <c r="X251" i="17" a="1"/>
  <c r="X251" i="17" s="1"/>
  <c r="Y251" i="17" s="1"/>
  <c r="X252" i="17" a="1"/>
  <c r="X252" i="17" s="1"/>
  <c r="Y252" i="17" s="1"/>
  <c r="Q252" i="17" s="1"/>
  <c r="W252" i="17" s="1"/>
  <c r="X253" i="17" a="1"/>
  <c r="X253" i="17" s="1"/>
  <c r="Y253" i="17" s="1"/>
  <c r="X265" i="17" a="1"/>
  <c r="X265" i="17" s="1"/>
  <c r="Y265" i="17" s="1"/>
  <c r="X299" i="17" a="1"/>
  <c r="X299" i="17" s="1"/>
  <c r="Y299" i="17" s="1"/>
  <c r="X300" i="17" a="1"/>
  <c r="X300" i="17" s="1"/>
  <c r="X301" i="17" a="1"/>
  <c r="X301" i="17"/>
  <c r="Y301" i="17" s="1"/>
  <c r="Q301" i="17" s="1"/>
  <c r="W301" i="17" s="1"/>
  <c r="X313" i="17" a="1"/>
  <c r="X313" i="17" s="1"/>
  <c r="X325" i="17" a="1"/>
  <c r="X325" i="17"/>
  <c r="Y325" i="17" s="1"/>
  <c r="Y2" i="17"/>
  <c r="Y4" i="17"/>
  <c r="Y6" i="17"/>
  <c r="Y74" i="17"/>
  <c r="Y76" i="17"/>
  <c r="Q76" i="17" s="1"/>
  <c r="W76" i="17" s="1"/>
  <c r="Y78" i="17"/>
  <c r="Y146" i="17"/>
  <c r="Y148" i="17"/>
  <c r="Y194" i="17"/>
  <c r="Y218" i="17"/>
  <c r="Y220" i="17"/>
  <c r="Y266" i="17"/>
  <c r="Y268" i="17"/>
  <c r="Y314" i="17"/>
  <c r="Y9" i="17"/>
  <c r="Y11" i="17"/>
  <c r="Y13" i="17"/>
  <c r="Y81" i="17"/>
  <c r="Y85" i="17"/>
  <c r="Y150" i="17"/>
  <c r="Y183" i="17"/>
  <c r="Y222" i="17"/>
  <c r="Y255" i="17"/>
  <c r="Y270" i="17"/>
  <c r="Y303" i="17"/>
  <c r="Y14" i="17"/>
  <c r="Y16" i="17"/>
  <c r="Y18" i="17"/>
  <c r="Y86" i="17"/>
  <c r="Y90" i="17"/>
  <c r="Y152" i="17"/>
  <c r="Y154" i="17"/>
  <c r="Q154" i="17" s="1"/>
  <c r="W154" i="17" s="1"/>
  <c r="Y196" i="17"/>
  <c r="Y224" i="17"/>
  <c r="Y226" i="17"/>
  <c r="Y272" i="17"/>
  <c r="Y21" i="17"/>
  <c r="Q21" i="17" s="1"/>
  <c r="W21" i="17" s="1"/>
  <c r="Y23" i="17"/>
  <c r="Y93" i="17"/>
  <c r="Y95" i="17"/>
  <c r="Y185" i="17"/>
  <c r="Y209" i="17"/>
  <c r="Y228" i="17"/>
  <c r="Y257" i="17"/>
  <c r="Y276" i="17"/>
  <c r="Y305" i="17"/>
  <c r="Y30" i="17"/>
  <c r="Y102" i="17"/>
  <c r="Y158" i="17"/>
  <c r="Y160" i="17"/>
  <c r="Q160" i="17" s="1"/>
  <c r="W160" i="17" s="1"/>
  <c r="Y232" i="17"/>
  <c r="Y278" i="17"/>
  <c r="Y318" i="17"/>
  <c r="Y35" i="17"/>
  <c r="Y36" i="17"/>
  <c r="Y107" i="17"/>
  <c r="Y211" i="17"/>
  <c r="Y234" i="17"/>
  <c r="Y38" i="17"/>
  <c r="Y42" i="17"/>
  <c r="Y110" i="17"/>
  <c r="Y112" i="17"/>
  <c r="Y166" i="17"/>
  <c r="Y238" i="17"/>
  <c r="Q238" i="17" s="1"/>
  <c r="W238" i="17" s="1"/>
  <c r="Y284" i="17"/>
  <c r="Y286" i="17"/>
  <c r="Y47" i="17"/>
  <c r="Y49" i="17"/>
  <c r="Q49" i="17" s="1"/>
  <c r="W49" i="17" s="1"/>
  <c r="Y119" i="17"/>
  <c r="Y168" i="17"/>
  <c r="Y169" i="17"/>
  <c r="Y240" i="17"/>
  <c r="Q240" i="17" s="1"/>
  <c r="W240" i="17" s="1"/>
  <c r="Y309" i="17"/>
  <c r="Y52" i="17"/>
  <c r="Y124" i="17"/>
  <c r="Q124" i="17" s="1"/>
  <c r="W124" i="17" s="1"/>
  <c r="Y126" i="17"/>
  <c r="Y243" i="17"/>
  <c r="Y292" i="17"/>
  <c r="Y129" i="17"/>
  <c r="Y174" i="17"/>
  <c r="Y246" i="17"/>
  <c r="Y294" i="17"/>
  <c r="Y136" i="17"/>
  <c r="Y138" i="17"/>
  <c r="Q138" i="17" s="1"/>
  <c r="W138" i="17" s="1"/>
  <c r="Y176" i="17"/>
  <c r="Y298" i="17"/>
  <c r="Q298" i="17" s="1"/>
  <c r="W298" i="17" s="1"/>
  <c r="Y69" i="17"/>
  <c r="Q69" i="17" s="1"/>
  <c r="W69" i="17" s="1"/>
  <c r="Y193" i="17"/>
  <c r="Q193" i="17" s="1"/>
  <c r="W193" i="17" s="1"/>
  <c r="Y300" i="17"/>
  <c r="Q300" i="17" s="1"/>
  <c r="W300" i="17" s="1"/>
  <c r="Y313" i="17"/>
  <c r="G2" i="16"/>
  <c r="G44" i="22"/>
  <c r="F44" i="22"/>
  <c r="G41" i="22"/>
  <c r="F41" i="22"/>
  <c r="G38" i="22"/>
  <c r="F38" i="22"/>
  <c r="L38" i="22"/>
  <c r="K38" i="22"/>
  <c r="L35" i="22"/>
  <c r="K35" i="22"/>
  <c r="L32" i="22"/>
  <c r="K32" i="22"/>
  <c r="G35" i="22"/>
  <c r="F35" i="22"/>
  <c r="G34" i="22"/>
  <c r="F34" i="22"/>
  <c r="L253" i="20" l="1" a="1"/>
  <c r="L253" i="20" s="1"/>
  <c r="O253" i="20" a="1"/>
  <c r="O253" i="20" s="1"/>
  <c r="P225" i="20" a="1"/>
  <c r="P225" i="20" s="1"/>
  <c r="O213" i="20" a="1"/>
  <c r="O213" i="20" s="1"/>
  <c r="P201" i="20" a="1"/>
  <c r="P201" i="20" s="1"/>
  <c r="L197" i="20" a="1"/>
  <c r="L197" i="20" s="1"/>
  <c r="O197" i="20" a="1"/>
  <c r="O197" i="20" s="1"/>
  <c r="P193" i="20" a="1"/>
  <c r="P193" i="20" s="1"/>
  <c r="O181" i="20" a="1"/>
  <c r="O181" i="20" s="1"/>
  <c r="P169" i="20" a="1"/>
  <c r="P169" i="20" s="1"/>
  <c r="P161" i="20" a="1"/>
  <c r="P161" i="20" s="1"/>
  <c r="O149" i="20" a="1"/>
  <c r="O149" i="20" s="1"/>
  <c r="O133" i="20" a="1"/>
  <c r="O133" i="20" s="1"/>
  <c r="O125" i="20" a="1"/>
  <c r="O125" i="20" s="1"/>
  <c r="P105" i="20" a="1"/>
  <c r="P105" i="20" s="1"/>
  <c r="P97" i="20" a="1"/>
  <c r="P97" i="20" s="1"/>
  <c r="O85" i="20" a="1"/>
  <c r="O85" i="20" s="1"/>
  <c r="P65" i="20" a="1"/>
  <c r="P65" i="20" s="1"/>
  <c r="P57" i="20" a="1"/>
  <c r="P57" i="20" s="1"/>
  <c r="P41" i="20" a="1"/>
  <c r="P41" i="20" s="1"/>
  <c r="P33" i="20" a="1"/>
  <c r="P33" i="20" s="1"/>
  <c r="P25" i="20" a="1"/>
  <c r="P25" i="20" s="1"/>
  <c r="P9" i="20" a="1"/>
  <c r="P9" i="20" s="1"/>
  <c r="P248" i="20" a="1"/>
  <c r="P248" i="20" s="1"/>
  <c r="P190" i="20" a="1"/>
  <c r="P190" i="20" s="1"/>
  <c r="P163" i="20" a="1"/>
  <c r="P163" i="20" s="1"/>
  <c r="P135" i="20" a="1"/>
  <c r="P135" i="20" s="1"/>
  <c r="P108" i="20" a="1"/>
  <c r="P108" i="20" s="1"/>
  <c r="P90" i="20" a="1"/>
  <c r="P90" i="20" s="1"/>
  <c r="P3" i="20" a="1"/>
  <c r="P3" i="20" s="1"/>
  <c r="P240" i="20" a="1"/>
  <c r="P240" i="20" s="1"/>
  <c r="P228" i="20" a="1"/>
  <c r="P228" i="20" s="1"/>
  <c r="P196" i="20" a="1"/>
  <c r="P196" i="20" s="1"/>
  <c r="O176" i="20" a="1"/>
  <c r="O176" i="20" s="1"/>
  <c r="P164" i="20" a="1"/>
  <c r="P164" i="20" s="1"/>
  <c r="O144" i="20" a="1"/>
  <c r="O144" i="20" s="1"/>
  <c r="P124" i="20" a="1"/>
  <c r="P124" i="20" s="1"/>
  <c r="P100" i="20" a="1"/>
  <c r="P100" i="20" s="1"/>
  <c r="P236" i="20" a="1"/>
  <c r="P236" i="20" s="1"/>
  <c r="P215" i="20" a="1"/>
  <c r="P215" i="20" s="1"/>
  <c r="P198" i="20" a="1"/>
  <c r="P198" i="20" s="1"/>
  <c r="P188" i="20" a="1"/>
  <c r="P188" i="20" s="1"/>
  <c r="P170" i="20" a="1"/>
  <c r="P170" i="20" s="1"/>
  <c r="P162" i="20" a="1"/>
  <c r="P162" i="20" s="1"/>
  <c r="P151" i="20" a="1"/>
  <c r="P151" i="20" s="1"/>
  <c r="P143" i="20" a="1"/>
  <c r="P143" i="20" s="1"/>
  <c r="P126" i="20" a="1"/>
  <c r="P126" i="20" s="1"/>
  <c r="P116" i="20" a="1"/>
  <c r="P116" i="20" s="1"/>
  <c r="P107" i="20" a="1"/>
  <c r="P107" i="20" s="1"/>
  <c r="P98" i="20" a="1"/>
  <c r="P98" i="20" s="1"/>
  <c r="P67" i="20" a="1"/>
  <c r="P67" i="20" s="1"/>
  <c r="O246" i="20" a="1"/>
  <c r="O246" i="20" s="1"/>
  <c r="O210" i="20" a="1"/>
  <c r="O210" i="20" s="1"/>
  <c r="O245" i="20" a="1"/>
  <c r="O245" i="20" s="1"/>
  <c r="L229" i="20" a="1"/>
  <c r="L229" i="20" s="1"/>
  <c r="O229" i="20" a="1"/>
  <c r="O229" i="20" s="1"/>
  <c r="O221" i="20" a="1"/>
  <c r="O221" i="20" s="1"/>
  <c r="O205" i="20" a="1"/>
  <c r="O205" i="20" s="1"/>
  <c r="O189" i="20" a="1"/>
  <c r="O189" i="20" s="1"/>
  <c r="O173" i="20" a="1"/>
  <c r="O173" i="20" s="1"/>
  <c r="O165" i="20" a="1"/>
  <c r="O165" i="20" s="1"/>
  <c r="O157" i="20" a="1"/>
  <c r="O157" i="20" s="1"/>
  <c r="P137" i="20" a="1"/>
  <c r="P137" i="20" s="1"/>
  <c r="P129" i="20" a="1"/>
  <c r="P129" i="20" s="1"/>
  <c r="O117" i="20" a="1"/>
  <c r="O117" i="20" s="1"/>
  <c r="O101" i="20" a="1"/>
  <c r="O101" i="20" s="1"/>
  <c r="O93" i="20" a="1"/>
  <c r="O93" i="20" s="1"/>
  <c r="P81" i="20" a="1"/>
  <c r="P81" i="20" s="1"/>
  <c r="O69" i="20" a="1"/>
  <c r="O69" i="20" s="1"/>
  <c r="O61" i="20" a="1"/>
  <c r="O61" i="20" s="1"/>
  <c r="O53" i="20" a="1"/>
  <c r="O53" i="20" s="1"/>
  <c r="O37" i="20" a="1"/>
  <c r="O37" i="20" s="1"/>
  <c r="O29" i="20" a="1"/>
  <c r="O29" i="20" s="1"/>
  <c r="P17" i="20" a="1"/>
  <c r="P17" i="20" s="1"/>
  <c r="K211" i="20" a="1"/>
  <c r="K211" i="20" s="1"/>
  <c r="L87" i="20" a="1"/>
  <c r="L87" i="20" s="1"/>
  <c r="L163" i="20" a="1"/>
  <c r="L163" i="20" s="1"/>
  <c r="O194" i="20" a="1"/>
  <c r="O194" i="20" s="1"/>
  <c r="O198" i="20" a="1"/>
  <c r="O198" i="20" s="1"/>
  <c r="O207" i="20" a="1"/>
  <c r="O207" i="20" s="1"/>
  <c r="O211" i="20" a="1"/>
  <c r="O211" i="20" s="1"/>
  <c r="O226" i="20" a="1"/>
  <c r="O226" i="20" s="1"/>
  <c r="O230" i="20" a="1"/>
  <c r="O230" i="20" s="1"/>
  <c r="O239" i="20" a="1"/>
  <c r="O239" i="20" s="1"/>
  <c r="O243" i="20" a="1"/>
  <c r="O243" i="20" s="1"/>
  <c r="P6" i="20" a="1"/>
  <c r="P6" i="20" s="1"/>
  <c r="P10" i="20" a="1"/>
  <c r="P10" i="20" s="1"/>
  <c r="P19" i="20" a="1"/>
  <c r="P19" i="20" s="1"/>
  <c r="P23" i="20" a="1"/>
  <c r="P23" i="20" s="1"/>
  <c r="P28" i="20" a="1"/>
  <c r="P28" i="20" s="1"/>
  <c r="P38" i="20" a="1"/>
  <c r="P38" i="20" s="1"/>
  <c r="P42" i="20" a="1"/>
  <c r="P42" i="20" s="1"/>
  <c r="P51" i="20" a="1"/>
  <c r="P51" i="20" s="1"/>
  <c r="P55" i="20" a="1"/>
  <c r="P55" i="20" s="1"/>
  <c r="P60" i="20" a="1"/>
  <c r="P60" i="20" s="1"/>
  <c r="P70" i="20" a="1"/>
  <c r="P70" i="20" s="1"/>
  <c r="P74" i="20" a="1"/>
  <c r="P74" i="20" s="1"/>
  <c r="P83" i="20" a="1"/>
  <c r="P83" i="20" s="1"/>
  <c r="L186" i="20" a="1"/>
  <c r="L186" i="20" s="1"/>
  <c r="N186" i="20" s="1"/>
  <c r="L250" i="20" a="1"/>
  <c r="L250" i="20" s="1"/>
  <c r="N250" i="20" s="1"/>
  <c r="O40" i="20" a="1"/>
  <c r="O40" i="20" s="1"/>
  <c r="O56" i="20" a="1"/>
  <c r="O56" i="20" s="1"/>
  <c r="O72" i="20" a="1"/>
  <c r="O72" i="20" s="1"/>
  <c r="O175" i="20" a="1"/>
  <c r="O175" i="20" s="1"/>
  <c r="O186" i="20" a="1"/>
  <c r="O186" i="20" s="1"/>
  <c r="O190" i="20" a="1"/>
  <c r="O190" i="20" s="1"/>
  <c r="O199" i="20" a="1"/>
  <c r="O199" i="20" s="1"/>
  <c r="O203" i="20" a="1"/>
  <c r="O203" i="20" s="1"/>
  <c r="O218" i="20" a="1"/>
  <c r="O218" i="20" s="1"/>
  <c r="O222" i="20" a="1"/>
  <c r="O222" i="20" s="1"/>
  <c r="O231" i="20" a="1"/>
  <c r="O231" i="20" s="1"/>
  <c r="O235" i="20" a="1"/>
  <c r="O235" i="20" s="1"/>
  <c r="O250" i="20" a="1"/>
  <c r="O250" i="20" s="1"/>
  <c r="P2" i="20" a="1"/>
  <c r="P2" i="20" s="1"/>
  <c r="P11" i="20" a="1"/>
  <c r="P11" i="20" s="1"/>
  <c r="P15" i="20" a="1"/>
  <c r="P15" i="20" s="1"/>
  <c r="P20" i="20" a="1"/>
  <c r="P20" i="20" s="1"/>
  <c r="P30" i="20" a="1"/>
  <c r="P30" i="20" s="1"/>
  <c r="P34" i="20" a="1"/>
  <c r="P34" i="20" s="1"/>
  <c r="P43" i="20" a="1"/>
  <c r="P43" i="20" s="1"/>
  <c r="P47" i="20" a="1"/>
  <c r="P47" i="20" s="1"/>
  <c r="P52" i="20" a="1"/>
  <c r="P52" i="20" s="1"/>
  <c r="P62" i="20" a="1"/>
  <c r="P62" i="20" s="1"/>
  <c r="P66" i="20" a="1"/>
  <c r="P66" i="20" s="1"/>
  <c r="L134" i="20" a="1"/>
  <c r="L134" i="20" s="1"/>
  <c r="O48" i="20" a="1"/>
  <c r="O48" i="20" s="1"/>
  <c r="O80" i="20" a="1"/>
  <c r="O80" i="20" s="1"/>
  <c r="O183" i="20" a="1"/>
  <c r="O183" i="20" s="1"/>
  <c r="O202" i="20" a="1"/>
  <c r="O202" i="20" s="1"/>
  <c r="O219" i="20" a="1"/>
  <c r="O219" i="20" s="1"/>
  <c r="O238" i="20" a="1"/>
  <c r="O238" i="20" s="1"/>
  <c r="O247" i="20" a="1"/>
  <c r="O247" i="20" s="1"/>
  <c r="P4" i="20" a="1"/>
  <c r="P4" i="20" s="1"/>
  <c r="P14" i="20" a="1"/>
  <c r="P14" i="20" s="1"/>
  <c r="P31" i="20" a="1"/>
  <c r="P31" i="20" s="1"/>
  <c r="P50" i="20" a="1"/>
  <c r="P50" i="20" s="1"/>
  <c r="P59" i="20" a="1"/>
  <c r="P59" i="20" s="1"/>
  <c r="P68" i="20" a="1"/>
  <c r="P68" i="20" s="1"/>
  <c r="P75" i="20" a="1"/>
  <c r="P75" i="20" s="1"/>
  <c r="P91" i="20" a="1"/>
  <c r="P91" i="20" s="1"/>
  <c r="P95" i="20" a="1"/>
  <c r="P95" i="20" s="1"/>
  <c r="P110" i="20" a="1"/>
  <c r="P110" i="20" s="1"/>
  <c r="P114" i="20" a="1"/>
  <c r="P114" i="20" s="1"/>
  <c r="P123" i="20" a="1"/>
  <c r="P123" i="20" s="1"/>
  <c r="P127" i="20" a="1"/>
  <c r="P127" i="20" s="1"/>
  <c r="P142" i="20" a="1"/>
  <c r="P142" i="20" s="1"/>
  <c r="P146" i="20" a="1"/>
  <c r="P146" i="20" s="1"/>
  <c r="P150" i="20" a="1"/>
  <c r="P150" i="20" s="1"/>
  <c r="P154" i="20" a="1"/>
  <c r="P154" i="20" s="1"/>
  <c r="P159" i="20" a="1"/>
  <c r="P159" i="20" s="1"/>
  <c r="P167" i="20" a="1"/>
  <c r="P167" i="20" s="1"/>
  <c r="P178" i="20" a="1"/>
  <c r="P178" i="20" s="1"/>
  <c r="P182" i="20" a="1"/>
  <c r="P182" i="20" s="1"/>
  <c r="P186" i="20" a="1"/>
  <c r="P186" i="20" s="1"/>
  <c r="P191" i="20" a="1"/>
  <c r="P191" i="20" s="1"/>
  <c r="P199" i="20" a="1"/>
  <c r="P199" i="20" s="1"/>
  <c r="P210" i="20" a="1"/>
  <c r="P210" i="20" s="1"/>
  <c r="P214" i="20" a="1"/>
  <c r="P214" i="20" s="1"/>
  <c r="P218" i="20" a="1"/>
  <c r="P218" i="20" s="1"/>
  <c r="P223" i="20" a="1"/>
  <c r="P223" i="20" s="1"/>
  <c r="P238" i="20" a="1"/>
  <c r="P238" i="20" s="1"/>
  <c r="O32" i="20" a="1"/>
  <c r="O32" i="20" s="1"/>
  <c r="O128" i="20" a="1"/>
  <c r="O128" i="20" s="1"/>
  <c r="O178" i="20" a="1"/>
  <c r="O178" i="20" s="1"/>
  <c r="O187" i="20" a="1"/>
  <c r="O187" i="20" s="1"/>
  <c r="O215" i="20" a="1"/>
  <c r="O215" i="20" s="1"/>
  <c r="O234" i="20" a="1"/>
  <c r="O234" i="20" s="1"/>
  <c r="P18" i="20" a="1"/>
  <c r="P18" i="20" s="1"/>
  <c r="P36" i="20" a="1"/>
  <c r="P36" i="20" s="1"/>
  <c r="P71" i="20" a="1"/>
  <c r="P71" i="20" s="1"/>
  <c r="P84" i="20" a="1"/>
  <c r="P84" i="20" s="1"/>
  <c r="O195" i="20" a="1"/>
  <c r="O195" i="20" s="1"/>
  <c r="O214" i="20" a="1"/>
  <c r="O214" i="20" s="1"/>
  <c r="O223" i="20" a="1"/>
  <c r="O223" i="20" s="1"/>
  <c r="O242" i="20" a="1"/>
  <c r="O242" i="20" s="1"/>
  <c r="P7" i="20" a="1"/>
  <c r="P7" i="20" s="1"/>
  <c r="P26" i="20" a="1"/>
  <c r="P26" i="20" s="1"/>
  <c r="P35" i="20" a="1"/>
  <c r="P35" i="20" s="1"/>
  <c r="P44" i="20" a="1"/>
  <c r="P44" i="20" s="1"/>
  <c r="P54" i="20" a="1"/>
  <c r="P54" i="20" s="1"/>
  <c r="P76" i="20" a="1"/>
  <c r="P76" i="20" s="1"/>
  <c r="P82" i="20" a="1"/>
  <c r="P82" i="20" s="1"/>
  <c r="P87" i="20" a="1"/>
  <c r="P87" i="20" s="1"/>
  <c r="P102" i="20" a="1"/>
  <c r="P102" i="20" s="1"/>
  <c r="P106" i="20" a="1"/>
  <c r="P106" i="20" s="1"/>
  <c r="P115" i="20" a="1"/>
  <c r="P115" i="20" s="1"/>
  <c r="P119" i="20" a="1"/>
  <c r="P119" i="20" s="1"/>
  <c r="P134" i="20" a="1"/>
  <c r="P134" i="20" s="1"/>
  <c r="P138" i="20" a="1"/>
  <c r="P138" i="20" s="1"/>
  <c r="P147" i="20" a="1"/>
  <c r="P147" i="20" s="1"/>
  <c r="P155" i="20" a="1"/>
  <c r="P155" i="20" s="1"/>
  <c r="P174" i="20" a="1"/>
  <c r="P174" i="20" s="1"/>
  <c r="P179" i="20" a="1"/>
  <c r="P179" i="20" s="1"/>
  <c r="P187" i="20" a="1"/>
  <c r="P187" i="20" s="1"/>
  <c r="P206" i="20" a="1"/>
  <c r="P206" i="20" s="1"/>
  <c r="P211" i="20" a="1"/>
  <c r="P211" i="20" s="1"/>
  <c r="P219" i="20" a="1"/>
  <c r="P219" i="20" s="1"/>
  <c r="P234" i="20" a="1"/>
  <c r="P234" i="20" s="1"/>
  <c r="P250" i="20" a="1"/>
  <c r="P250" i="20" s="1"/>
  <c r="L23" i="20" a="1"/>
  <c r="L23" i="20" s="1"/>
  <c r="O64" i="20" a="1"/>
  <c r="O64" i="20" s="1"/>
  <c r="O96" i="20" a="1"/>
  <c r="O96" i="20" s="1"/>
  <c r="O160" i="20" a="1"/>
  <c r="O160" i="20" s="1"/>
  <c r="O206" i="20" a="1"/>
  <c r="O206" i="20" s="1"/>
  <c r="O224" i="20" a="1"/>
  <c r="O224" i="20" s="1"/>
  <c r="O251" i="20" a="1"/>
  <c r="O251" i="20" s="1"/>
  <c r="P27" i="20" a="1"/>
  <c r="P27" i="20" s="1"/>
  <c r="P46" i="20" a="1"/>
  <c r="P46" i="20" s="1"/>
  <c r="P63" i="20" a="1"/>
  <c r="P63" i="20" s="1"/>
  <c r="P78" i="20" a="1"/>
  <c r="P78" i="20" s="1"/>
  <c r="P227" i="20" a="1"/>
  <c r="P227" i="20" s="1"/>
  <c r="P171" i="20" a="1"/>
  <c r="P171" i="20" s="1"/>
  <c r="P118" i="20" a="1"/>
  <c r="P118" i="20" s="1"/>
  <c r="P99" i="20" a="1"/>
  <c r="P99" i="20" s="1"/>
  <c r="P39" i="20" a="1"/>
  <c r="P39" i="20" s="1"/>
  <c r="O182" i="20" a="1"/>
  <c r="O182" i="20" s="1"/>
  <c r="L44" i="20" a="1"/>
  <c r="L44" i="20" s="1"/>
  <c r="N44" i="20" s="1"/>
  <c r="P244" i="20" a="1"/>
  <c r="P244" i="20" s="1"/>
  <c r="P204" i="20" a="1"/>
  <c r="P204" i="20" s="1"/>
  <c r="O192" i="20" a="1"/>
  <c r="O192" i="20" s="1"/>
  <c r="P172" i="20" a="1"/>
  <c r="P172" i="20" s="1"/>
  <c r="L148" i="20" a="1"/>
  <c r="L148" i="20" s="1"/>
  <c r="P132" i="20" a="1"/>
  <c r="P132" i="20" s="1"/>
  <c r="O112" i="20" a="1"/>
  <c r="O112" i="20" s="1"/>
  <c r="P92" i="20" a="1"/>
  <c r="P92" i="20" s="1"/>
  <c r="P246" i="20" a="1"/>
  <c r="P246" i="20" s="1"/>
  <c r="P226" i="20" a="1"/>
  <c r="P226" i="20" s="1"/>
  <c r="P207" i="20" a="1"/>
  <c r="P207" i="20" s="1"/>
  <c r="P180" i="20" a="1"/>
  <c r="P180" i="20" s="1"/>
  <c r="P242" i="20" a="1"/>
  <c r="P242" i="20" s="1"/>
  <c r="P232" i="20" a="1"/>
  <c r="P232" i="20" s="1"/>
  <c r="P222" i="20" a="1"/>
  <c r="P222" i="20" s="1"/>
  <c r="P203" i="20" a="1"/>
  <c r="P203" i="20" s="1"/>
  <c r="P195" i="20" a="1"/>
  <c r="P195" i="20" s="1"/>
  <c r="P158" i="20" a="1"/>
  <c r="P158" i="20" s="1"/>
  <c r="P140" i="20" a="1"/>
  <c r="P140" i="20" s="1"/>
  <c r="P131" i="20" a="1"/>
  <c r="P131" i="20" s="1"/>
  <c r="P122" i="20" a="1"/>
  <c r="P122" i="20" s="1"/>
  <c r="P103" i="20" a="1"/>
  <c r="P103" i="20" s="1"/>
  <c r="P86" i="20" a="1"/>
  <c r="P86" i="20" s="1"/>
  <c r="P58" i="20" a="1"/>
  <c r="P58" i="20" s="1"/>
  <c r="P22" i="20" a="1"/>
  <c r="P22" i="20" s="1"/>
  <c r="O200" i="20" a="1"/>
  <c r="O200" i="20" s="1"/>
  <c r="K232" i="20" a="1"/>
  <c r="K232" i="20" s="1"/>
  <c r="O216" i="20" a="1"/>
  <c r="O216" i="20" s="1"/>
  <c r="O208" i="20" a="1"/>
  <c r="O208" i="20" s="1"/>
  <c r="O184" i="20" a="1"/>
  <c r="O184" i="20" s="1"/>
  <c r="O168" i="20" a="1"/>
  <c r="O168" i="20" s="1"/>
  <c r="O152" i="20" a="1"/>
  <c r="O152" i="20" s="1"/>
  <c r="O136" i="20" a="1"/>
  <c r="O136" i="20" s="1"/>
  <c r="L120" i="20" a="1"/>
  <c r="L120" i="20" s="1"/>
  <c r="O120" i="20" a="1"/>
  <c r="O120" i="20" s="1"/>
  <c r="O104" i="20" a="1"/>
  <c r="O104" i="20" s="1"/>
  <c r="O88" i="20" a="1"/>
  <c r="O88" i="20" s="1"/>
  <c r="O232" i="20" a="1"/>
  <c r="O232" i="20" s="1"/>
  <c r="N253" i="20"/>
  <c r="O248" i="20" a="1"/>
  <c r="O248" i="20" s="1"/>
  <c r="O240" i="20" a="1"/>
  <c r="O240" i="20" s="1"/>
  <c r="N134" i="20"/>
  <c r="N229" i="20"/>
  <c r="N197" i="20"/>
  <c r="N148" i="20"/>
  <c r="K249" i="20" a="1"/>
  <c r="K249" i="20" s="1"/>
  <c r="L249" i="20" a="1"/>
  <c r="L249" i="20" s="1"/>
  <c r="N249" i="20" s="1"/>
  <c r="K245" i="20" a="1"/>
  <c r="K245" i="20" s="1"/>
  <c r="K241" i="20" a="1"/>
  <c r="K241" i="20" s="1"/>
  <c r="L241" i="20" a="1"/>
  <c r="L241" i="20" s="1"/>
  <c r="K237" i="20" a="1"/>
  <c r="K237" i="20" s="1"/>
  <c r="L237" i="20" a="1"/>
  <c r="L237" i="20" s="1"/>
  <c r="N237" i="20" s="1"/>
  <c r="K233" i="20" a="1"/>
  <c r="K233" i="20" s="1"/>
  <c r="L233" i="20" a="1"/>
  <c r="L233" i="20" s="1"/>
  <c r="N233" i="20" s="1"/>
  <c r="K229" i="20" a="1"/>
  <c r="K229" i="20" s="1"/>
  <c r="K225" i="20" a="1"/>
  <c r="K225" i="20" s="1"/>
  <c r="L225" i="20" a="1"/>
  <c r="L225" i="20" s="1"/>
  <c r="L221" i="20" a="1"/>
  <c r="L221" i="20" s="1"/>
  <c r="N221" i="20" s="1"/>
  <c r="K217" i="20" a="1"/>
  <c r="K217" i="20" s="1"/>
  <c r="L217" i="20" a="1"/>
  <c r="L217" i="20" s="1"/>
  <c r="N217" i="20" s="1"/>
  <c r="K213" i="20" a="1"/>
  <c r="K213" i="20" s="1"/>
  <c r="K209" i="20" a="1"/>
  <c r="K209" i="20" s="1"/>
  <c r="L209" i="20" a="1"/>
  <c r="L209" i="20" s="1"/>
  <c r="N209" i="20" s="1"/>
  <c r="K205" i="20" a="1"/>
  <c r="K205" i="20" s="1"/>
  <c r="L205" i="20" a="1"/>
  <c r="L205" i="20" s="1"/>
  <c r="N205" i="20" s="1"/>
  <c r="K201" i="20" a="1"/>
  <c r="K201" i="20" s="1"/>
  <c r="L201" i="20" a="1"/>
  <c r="L201" i="20" s="1"/>
  <c r="N201" i="20" s="1"/>
  <c r="K197" i="20" a="1"/>
  <c r="K197" i="20" s="1"/>
  <c r="K193" i="20" a="1"/>
  <c r="K193" i="20" s="1"/>
  <c r="L193" i="20" a="1"/>
  <c r="L193" i="20" s="1"/>
  <c r="L189" i="20" a="1"/>
  <c r="L189" i="20" s="1"/>
  <c r="N189" i="20" s="1"/>
  <c r="K185" i="20" a="1"/>
  <c r="K185" i="20" s="1"/>
  <c r="L185" i="20" a="1"/>
  <c r="L185" i="20" s="1"/>
  <c r="N185" i="20" s="1"/>
  <c r="K181" i="20" a="1"/>
  <c r="K181" i="20" s="1"/>
  <c r="K177" i="20" a="1"/>
  <c r="K177" i="20" s="1"/>
  <c r="L177" i="20" a="1"/>
  <c r="L177" i="20" s="1"/>
  <c r="K173" i="20" a="1"/>
  <c r="K173" i="20" s="1"/>
  <c r="L173" i="20" a="1"/>
  <c r="L173" i="20" s="1"/>
  <c r="N173" i="20" s="1"/>
  <c r="K169" i="20" a="1"/>
  <c r="K169" i="20" s="1"/>
  <c r="K165" i="20" a="1"/>
  <c r="K165" i="20" s="1"/>
  <c r="L165" i="20" a="1"/>
  <c r="L165" i="20" s="1"/>
  <c r="K161" i="20" a="1"/>
  <c r="K161" i="20" s="1"/>
  <c r="L161" i="20" a="1"/>
  <c r="L161" i="20" s="1"/>
  <c r="N161" i="20" s="1"/>
  <c r="K157" i="20" a="1"/>
  <c r="K157" i="20" s="1"/>
  <c r="L157" i="20" a="1"/>
  <c r="L157" i="20" s="1"/>
  <c r="N157" i="20" s="1"/>
  <c r="K153" i="20" a="1"/>
  <c r="K153" i="20" s="1"/>
  <c r="L153" i="20" a="1"/>
  <c r="L153" i="20" s="1"/>
  <c r="N153" i="20" s="1"/>
  <c r="K149" i="20" a="1"/>
  <c r="K149" i="20" s="1"/>
  <c r="L149" i="20" a="1"/>
  <c r="L149" i="20" s="1"/>
  <c r="N149" i="20" s="1"/>
  <c r="K145" i="20" a="1"/>
  <c r="K145" i="20" s="1"/>
  <c r="L145" i="20" a="1"/>
  <c r="L145" i="20" s="1"/>
  <c r="N145" i="20" s="1"/>
  <c r="K141" i="20" a="1"/>
  <c r="K141" i="20" s="1"/>
  <c r="L141" i="20" a="1"/>
  <c r="L141" i="20" s="1"/>
  <c r="N141" i="20" s="1"/>
  <c r="K137" i="20" a="1"/>
  <c r="K137" i="20" s="1"/>
  <c r="L137" i="20" a="1"/>
  <c r="L137" i="20" s="1"/>
  <c r="N137" i="20" s="1"/>
  <c r="K133" i="20" a="1"/>
  <c r="K133" i="20" s="1"/>
  <c r="L133" i="20" a="1"/>
  <c r="L133" i="20" s="1"/>
  <c r="K129" i="20" a="1"/>
  <c r="K129" i="20" s="1"/>
  <c r="L129" i="20" a="1"/>
  <c r="L129" i="20" s="1"/>
  <c r="N129" i="20" s="1"/>
  <c r="K125" i="20" a="1"/>
  <c r="K125" i="20" s="1"/>
  <c r="L125" i="20" a="1"/>
  <c r="L125" i="20" s="1"/>
  <c r="N125" i="20" s="1"/>
  <c r="K121" i="20" a="1"/>
  <c r="K121" i="20" s="1"/>
  <c r="L121" i="20" a="1"/>
  <c r="L121" i="20" s="1"/>
  <c r="K117" i="20" a="1"/>
  <c r="K117" i="20" s="1"/>
  <c r="L117" i="20" a="1"/>
  <c r="L117" i="20" s="1"/>
  <c r="N117" i="20" s="1"/>
  <c r="K113" i="20" a="1"/>
  <c r="K113" i="20" s="1"/>
  <c r="K109" i="20" a="1"/>
  <c r="K109" i="20" s="1"/>
  <c r="L109" i="20" a="1"/>
  <c r="L109" i="20" s="1"/>
  <c r="N109" i="20" s="1"/>
  <c r="K105" i="20" a="1"/>
  <c r="K105" i="20" s="1"/>
  <c r="K101" i="20" a="1"/>
  <c r="K101" i="20" s="1"/>
  <c r="L101" i="20" a="1"/>
  <c r="L101" i="20" s="1"/>
  <c r="K97" i="20" a="1"/>
  <c r="K97" i="20" s="1"/>
  <c r="K93" i="20" a="1"/>
  <c r="K93" i="20" s="1"/>
  <c r="L93" i="20" a="1"/>
  <c r="L93" i="20" s="1"/>
  <c r="N93" i="20" s="1"/>
  <c r="K89" i="20" a="1"/>
  <c r="K89" i="20" s="1"/>
  <c r="L89" i="20" a="1"/>
  <c r="L89" i="20" s="1"/>
  <c r="N89" i="20" s="1"/>
  <c r="K85" i="20" a="1"/>
  <c r="K85" i="20" s="1"/>
  <c r="L85" i="20" a="1"/>
  <c r="L85" i="20" s="1"/>
  <c r="N85" i="20" s="1"/>
  <c r="K81" i="20" a="1"/>
  <c r="K81" i="20" s="1"/>
  <c r="L81" i="20" a="1"/>
  <c r="L81" i="20" s="1"/>
  <c r="N81" i="20" s="1"/>
  <c r="K77" i="20" a="1"/>
  <c r="K77" i="20" s="1"/>
  <c r="L77" i="20" a="1"/>
  <c r="L77" i="20" s="1"/>
  <c r="K73" i="20" a="1"/>
  <c r="K73" i="20" s="1"/>
  <c r="L73" i="20" a="1"/>
  <c r="L73" i="20" s="1"/>
  <c r="N73" i="20" s="1"/>
  <c r="K69" i="20" a="1"/>
  <c r="K69" i="20" s="1"/>
  <c r="L69" i="20" a="1"/>
  <c r="L69" i="20" s="1"/>
  <c r="K65" i="20" a="1"/>
  <c r="K65" i="20" s="1"/>
  <c r="K61" i="20" a="1"/>
  <c r="K61" i="20" s="1"/>
  <c r="L61" i="20" a="1"/>
  <c r="L61" i="20" s="1"/>
  <c r="N61" i="20" s="1"/>
  <c r="K57" i="20" a="1"/>
  <c r="K57" i="20" s="1"/>
  <c r="L57" i="20" a="1"/>
  <c r="L57" i="20" s="1"/>
  <c r="K53" i="20" a="1"/>
  <c r="K53" i="20" s="1"/>
  <c r="L53" i="20" a="1"/>
  <c r="L53" i="20" s="1"/>
  <c r="K49" i="20" a="1"/>
  <c r="K49" i="20" s="1"/>
  <c r="L49" i="20" a="1"/>
  <c r="L49" i="20" s="1"/>
  <c r="N49" i="20" s="1"/>
  <c r="L45" i="20" a="1"/>
  <c r="L45" i="20" s="1"/>
  <c r="N45" i="20" s="1"/>
  <c r="K41" i="20" a="1"/>
  <c r="K41" i="20" s="1"/>
  <c r="L41" i="20" a="1"/>
  <c r="L41" i="20" s="1"/>
  <c r="K37" i="20" a="1"/>
  <c r="K37" i="20" s="1"/>
  <c r="L37" i="20" a="1"/>
  <c r="L37" i="20" s="1"/>
  <c r="K33" i="20" a="1"/>
  <c r="K33" i="20" s="1"/>
  <c r="L29" i="20" a="1"/>
  <c r="L29" i="20" s="1"/>
  <c r="N29" i="20" s="1"/>
  <c r="K29" i="20" a="1"/>
  <c r="K29" i="20" s="1"/>
  <c r="K25" i="20" a="1"/>
  <c r="K25" i="20" s="1"/>
  <c r="L25" i="20" a="1"/>
  <c r="L25" i="20" s="1"/>
  <c r="N25" i="20" s="1"/>
  <c r="O25" i="20" a="1"/>
  <c r="O25" i="20" s="1"/>
  <c r="K21" i="20" a="1"/>
  <c r="K21" i="20" s="1"/>
  <c r="L21" i="20" a="1"/>
  <c r="L21" i="20" s="1"/>
  <c r="N21" i="20" s="1"/>
  <c r="O21" i="20" a="1"/>
  <c r="O21" i="20" s="1"/>
  <c r="K17" i="20" a="1"/>
  <c r="K17" i="20" s="1"/>
  <c r="L17" i="20" a="1"/>
  <c r="L17" i="20" s="1"/>
  <c r="N17" i="20" s="1"/>
  <c r="O17" i="20" a="1"/>
  <c r="O17" i="20" s="1"/>
  <c r="L13" i="20" a="1"/>
  <c r="L13" i="20" s="1"/>
  <c r="K13" i="20" a="1"/>
  <c r="K13" i="20" s="1"/>
  <c r="O13" i="20" a="1"/>
  <c r="O13" i="20" s="1"/>
  <c r="K9" i="20" a="1"/>
  <c r="K9" i="20" s="1"/>
  <c r="L9" i="20" a="1"/>
  <c r="L9" i="20" s="1"/>
  <c r="N9" i="20" s="1"/>
  <c r="O9" i="20" a="1"/>
  <c r="O9" i="20" s="1"/>
  <c r="K2" i="20" a="1"/>
  <c r="K2" i="20" s="1"/>
  <c r="K8" i="20" a="1"/>
  <c r="K8" i="20" s="1"/>
  <c r="K11" i="20" a="1"/>
  <c r="K11" i="20" s="1"/>
  <c r="K16" i="20" a="1"/>
  <c r="K16" i="20" s="1"/>
  <c r="K19" i="20" a="1"/>
  <c r="K19" i="20" s="1"/>
  <c r="K24" i="20" a="1"/>
  <c r="K24" i="20" s="1"/>
  <c r="K27" i="20" a="1"/>
  <c r="K27" i="20" s="1"/>
  <c r="K32" i="20" a="1"/>
  <c r="K32" i="20" s="1"/>
  <c r="K35" i="20" a="1"/>
  <c r="K35" i="20" s="1"/>
  <c r="K40" i="20" a="1"/>
  <c r="K40" i="20" s="1"/>
  <c r="K43" i="20" a="1"/>
  <c r="K43" i="20" s="1"/>
  <c r="K48" i="20" a="1"/>
  <c r="K48" i="20" s="1"/>
  <c r="K50" i="20" a="1"/>
  <c r="K50" i="20" s="1"/>
  <c r="K52" i="20" a="1"/>
  <c r="K52" i="20" s="1"/>
  <c r="K54" i="20" a="1"/>
  <c r="K54" i="20" s="1"/>
  <c r="K56" i="20" a="1"/>
  <c r="K56" i="20" s="1"/>
  <c r="K58" i="20" a="1"/>
  <c r="K58" i="20" s="1"/>
  <c r="K60" i="20" a="1"/>
  <c r="K60" i="20" s="1"/>
  <c r="K62" i="20" a="1"/>
  <c r="K62" i="20" s="1"/>
  <c r="K64" i="20" a="1"/>
  <c r="K64" i="20" s="1"/>
  <c r="K66" i="20" a="1"/>
  <c r="K66" i="20" s="1"/>
  <c r="K68" i="20" a="1"/>
  <c r="K68" i="20" s="1"/>
  <c r="K70" i="20" a="1"/>
  <c r="K70" i="20" s="1"/>
  <c r="K72" i="20" a="1"/>
  <c r="K72" i="20" s="1"/>
  <c r="K74" i="20" a="1"/>
  <c r="K74" i="20" s="1"/>
  <c r="K76" i="20" a="1"/>
  <c r="K76" i="20" s="1"/>
  <c r="K78" i="20" a="1"/>
  <c r="K78" i="20" s="1"/>
  <c r="K80" i="20" a="1"/>
  <c r="K80" i="20" s="1"/>
  <c r="K82" i="20" a="1"/>
  <c r="K82" i="20" s="1"/>
  <c r="K84" i="20" a="1"/>
  <c r="K84" i="20" s="1"/>
  <c r="K86" i="20" a="1"/>
  <c r="K86" i="20" s="1"/>
  <c r="K88" i="20" a="1"/>
  <c r="K88" i="20" s="1"/>
  <c r="K90" i="20" a="1"/>
  <c r="K90" i="20" s="1"/>
  <c r="K92" i="20" a="1"/>
  <c r="K92" i="20" s="1"/>
  <c r="K94" i="20" a="1"/>
  <c r="K94" i="20" s="1"/>
  <c r="K96" i="20" a="1"/>
  <c r="K96" i="20" s="1"/>
  <c r="K98" i="20" a="1"/>
  <c r="K98" i="20" s="1"/>
  <c r="K100" i="20" a="1"/>
  <c r="K100" i="20" s="1"/>
  <c r="K102" i="20" a="1"/>
  <c r="K102" i="20" s="1"/>
  <c r="K104" i="20" a="1"/>
  <c r="K104" i="20" s="1"/>
  <c r="K106" i="20" a="1"/>
  <c r="K106" i="20" s="1"/>
  <c r="K108" i="20" a="1"/>
  <c r="K108" i="20" s="1"/>
  <c r="K110" i="20" a="1"/>
  <c r="K110" i="20" s="1"/>
  <c r="K112" i="20" a="1"/>
  <c r="K112" i="20" s="1"/>
  <c r="K114" i="20" a="1"/>
  <c r="K114" i="20" s="1"/>
  <c r="K116" i="20" a="1"/>
  <c r="K116" i="20" s="1"/>
  <c r="K118" i="20" a="1"/>
  <c r="K118" i="20" s="1"/>
  <c r="K120" i="20" a="1"/>
  <c r="K120" i="20" s="1"/>
  <c r="K122" i="20" a="1"/>
  <c r="K122" i="20" s="1"/>
  <c r="K124" i="20" a="1"/>
  <c r="K124" i="20" s="1"/>
  <c r="K126" i="20" a="1"/>
  <c r="K126" i="20" s="1"/>
  <c r="K4" i="20" a="1"/>
  <c r="K4" i="20" s="1"/>
  <c r="K7" i="20" a="1"/>
  <c r="K7" i="20" s="1"/>
  <c r="K12" i="20" a="1"/>
  <c r="K12" i="20" s="1"/>
  <c r="K15" i="20" a="1"/>
  <c r="K15" i="20" s="1"/>
  <c r="K20" i="20" a="1"/>
  <c r="K20" i="20" s="1"/>
  <c r="K23" i="20" a="1"/>
  <c r="K23" i="20" s="1"/>
  <c r="K28" i="20" a="1"/>
  <c r="K28" i="20" s="1"/>
  <c r="K31" i="20" a="1"/>
  <c r="K31" i="20" s="1"/>
  <c r="K36" i="20" a="1"/>
  <c r="K36" i="20" s="1"/>
  <c r="K39" i="20" a="1"/>
  <c r="K39" i="20" s="1"/>
  <c r="K44" i="20" a="1"/>
  <c r="K44" i="20" s="1"/>
  <c r="K47" i="20" a="1"/>
  <c r="K47" i="20" s="1"/>
  <c r="K51" i="20" a="1"/>
  <c r="K51" i="20" s="1"/>
  <c r="K55" i="20" a="1"/>
  <c r="K55" i="20" s="1"/>
  <c r="K59" i="20" a="1"/>
  <c r="K59" i="20" s="1"/>
  <c r="K63" i="20" a="1"/>
  <c r="K63" i="20" s="1"/>
  <c r="K67" i="20" a="1"/>
  <c r="K67" i="20" s="1"/>
  <c r="K71" i="20" a="1"/>
  <c r="K71" i="20" s="1"/>
  <c r="K75" i="20" a="1"/>
  <c r="K75" i="20" s="1"/>
  <c r="K79" i="20" a="1"/>
  <c r="K79" i="20" s="1"/>
  <c r="K83" i="20" a="1"/>
  <c r="K83" i="20" s="1"/>
  <c r="K87" i="20" a="1"/>
  <c r="K87" i="20" s="1"/>
  <c r="K91" i="20" a="1"/>
  <c r="K91" i="20" s="1"/>
  <c r="K95" i="20" a="1"/>
  <c r="K95" i="20" s="1"/>
  <c r="K99" i="20" a="1"/>
  <c r="K99" i="20" s="1"/>
  <c r="K103" i="20" a="1"/>
  <c r="K103" i="20" s="1"/>
  <c r="K107" i="20" a="1"/>
  <c r="K107" i="20" s="1"/>
  <c r="K111" i="20" a="1"/>
  <c r="K111" i="20" s="1"/>
  <c r="K115" i="20" a="1"/>
  <c r="K115" i="20" s="1"/>
  <c r="K119" i="20" a="1"/>
  <c r="K119" i="20" s="1"/>
  <c r="K123" i="20" a="1"/>
  <c r="K123" i="20" s="1"/>
  <c r="K127" i="20" a="1"/>
  <c r="K127" i="20" s="1"/>
  <c r="K131" i="20" a="1"/>
  <c r="K131" i="20" s="1"/>
  <c r="K135" i="20" a="1"/>
  <c r="K135" i="20" s="1"/>
  <c r="K139" i="20" a="1"/>
  <c r="K139" i="20" s="1"/>
  <c r="K143" i="20" a="1"/>
  <c r="K143" i="20" s="1"/>
  <c r="K147" i="20" a="1"/>
  <c r="K147" i="20" s="1"/>
  <c r="K151" i="20" a="1"/>
  <c r="K151" i="20" s="1"/>
  <c r="K155" i="20" a="1"/>
  <c r="K155" i="20" s="1"/>
  <c r="K159" i="20" a="1"/>
  <c r="K159" i="20" s="1"/>
  <c r="K163" i="20" a="1"/>
  <c r="K163" i="20" s="1"/>
  <c r="K167" i="20" a="1"/>
  <c r="K167" i="20" s="1"/>
  <c r="K171" i="20" a="1"/>
  <c r="K171" i="20" s="1"/>
  <c r="K175" i="20" a="1"/>
  <c r="K175" i="20" s="1"/>
  <c r="K179" i="20" a="1"/>
  <c r="K179" i="20" s="1"/>
  <c r="K14" i="20" a="1"/>
  <c r="K14" i="20" s="1"/>
  <c r="K30" i="20" a="1"/>
  <c r="K30" i="20" s="1"/>
  <c r="K46" i="20" a="1"/>
  <c r="K46" i="20" s="1"/>
  <c r="K132" i="20" a="1"/>
  <c r="K132" i="20" s="1"/>
  <c r="K140" i="20" a="1"/>
  <c r="K140" i="20" s="1"/>
  <c r="K148" i="20" a="1"/>
  <c r="K148" i="20" s="1"/>
  <c r="K156" i="20" a="1"/>
  <c r="K156" i="20" s="1"/>
  <c r="K164" i="20" a="1"/>
  <c r="K164" i="20" s="1"/>
  <c r="K172" i="20" a="1"/>
  <c r="K172" i="20" s="1"/>
  <c r="K180" i="20" a="1"/>
  <c r="K180" i="20" s="1"/>
  <c r="K5" i="20" a="1"/>
  <c r="K5" i="20" s="1"/>
  <c r="K10" i="20" a="1"/>
  <c r="K10" i="20" s="1"/>
  <c r="K26" i="20" a="1"/>
  <c r="K26" i="20" s="1"/>
  <c r="K42" i="20" a="1"/>
  <c r="K42" i="20" s="1"/>
  <c r="K130" i="20" a="1"/>
  <c r="K130" i="20" s="1"/>
  <c r="K6" i="20" a="1"/>
  <c r="K6" i="20" s="1"/>
  <c r="K38" i="20" a="1"/>
  <c r="K38" i="20" s="1"/>
  <c r="K128" i="20" a="1"/>
  <c r="K128" i="20" s="1"/>
  <c r="K136" i="20" a="1"/>
  <c r="K136" i="20" s="1"/>
  <c r="K150" i="20" a="1"/>
  <c r="K150" i="20" s="1"/>
  <c r="K154" i="20" a="1"/>
  <c r="K154" i="20" s="1"/>
  <c r="K168" i="20" a="1"/>
  <c r="K168" i="20" s="1"/>
  <c r="K182" i="20" a="1"/>
  <c r="K182" i="20" s="1"/>
  <c r="K190" i="20" a="1"/>
  <c r="K190" i="20" s="1"/>
  <c r="K198" i="20" a="1"/>
  <c r="K198" i="20" s="1"/>
  <c r="K206" i="20" a="1"/>
  <c r="K206" i="20" s="1"/>
  <c r="K214" i="20" a="1"/>
  <c r="K214" i="20" s="1"/>
  <c r="K222" i="20" a="1"/>
  <c r="K222" i="20" s="1"/>
  <c r="K230" i="20" a="1"/>
  <c r="K230" i="20" s="1"/>
  <c r="K238" i="20" a="1"/>
  <c r="K238" i="20" s="1"/>
  <c r="K246" i="20" a="1"/>
  <c r="K246" i="20" s="1"/>
  <c r="L2" i="20" a="1"/>
  <c r="L2" i="20" s="1"/>
  <c r="N2" i="20" s="1"/>
  <c r="L5" i="20" a="1"/>
  <c r="L5" i="20" s="1"/>
  <c r="L10" i="20" a="1"/>
  <c r="L10" i="20" s="1"/>
  <c r="N10" i="20" s="1"/>
  <c r="L18" i="20" a="1"/>
  <c r="L18" i="20" s="1"/>
  <c r="N18" i="20" s="1"/>
  <c r="L26" i="20" a="1"/>
  <c r="L26" i="20" s="1"/>
  <c r="N26" i="20" s="1"/>
  <c r="L34" i="20" a="1"/>
  <c r="L34" i="20" s="1"/>
  <c r="N34" i="20" s="1"/>
  <c r="L42" i="20" a="1"/>
  <c r="L42" i="20" s="1"/>
  <c r="N42" i="20" s="1"/>
  <c r="L50" i="20" a="1"/>
  <c r="L50" i="20" s="1"/>
  <c r="N50" i="20" s="1"/>
  <c r="L58" i="20" a="1"/>
  <c r="L58" i="20" s="1"/>
  <c r="N58" i="20" s="1"/>
  <c r="L66" i="20" a="1"/>
  <c r="L66" i="20" s="1"/>
  <c r="N66" i="20" s="1"/>
  <c r="L74" i="20" a="1"/>
  <c r="L74" i="20" s="1"/>
  <c r="N74" i="20" s="1"/>
  <c r="L82" i="20" a="1"/>
  <c r="L82" i="20" s="1"/>
  <c r="N82" i="20" s="1"/>
  <c r="L90" i="20" a="1"/>
  <c r="L90" i="20" s="1"/>
  <c r="N90" i="20" s="1"/>
  <c r="L98" i="20" a="1"/>
  <c r="L98" i="20" s="1"/>
  <c r="N98" i="20" s="1"/>
  <c r="L106" i="20" a="1"/>
  <c r="L106" i="20" s="1"/>
  <c r="N106" i="20" s="1"/>
  <c r="L114" i="20" a="1"/>
  <c r="L114" i="20" s="1"/>
  <c r="N114" i="20" s="1"/>
  <c r="L122" i="20" a="1"/>
  <c r="L122" i="20" s="1"/>
  <c r="N122" i="20" s="1"/>
  <c r="L130" i="20" a="1"/>
  <c r="L130" i="20" s="1"/>
  <c r="N130" i="20" s="1"/>
  <c r="L138" i="20" a="1"/>
  <c r="L138" i="20" s="1"/>
  <c r="N138" i="20" s="1"/>
  <c r="L146" i="20" a="1"/>
  <c r="L146" i="20" s="1"/>
  <c r="N146" i="20" s="1"/>
  <c r="L154" i="20" a="1"/>
  <c r="L154" i="20" s="1"/>
  <c r="N154" i="20" s="1"/>
  <c r="L162" i="20" a="1"/>
  <c r="L162" i="20" s="1"/>
  <c r="N162" i="20" s="1"/>
  <c r="L170" i="20" a="1"/>
  <c r="L170" i="20" s="1"/>
  <c r="N170" i="20" s="1"/>
  <c r="K18" i="20" a="1"/>
  <c r="K18" i="20" s="1"/>
  <c r="K144" i="20" a="1"/>
  <c r="K144" i="20" s="1"/>
  <c r="K158" i="20" a="1"/>
  <c r="K158" i="20" s="1"/>
  <c r="K162" i="20" a="1"/>
  <c r="K162" i="20" s="1"/>
  <c r="K176" i="20" a="1"/>
  <c r="K176" i="20" s="1"/>
  <c r="K183" i="20" a="1"/>
  <c r="K183" i="20" s="1"/>
  <c r="K188" i="20" a="1"/>
  <c r="K188" i="20" s="1"/>
  <c r="K191" i="20" a="1"/>
  <c r="K191" i="20" s="1"/>
  <c r="K196" i="20" a="1"/>
  <c r="K196" i="20" s="1"/>
  <c r="K199" i="20" a="1"/>
  <c r="K199" i="20" s="1"/>
  <c r="K204" i="20" a="1"/>
  <c r="K204" i="20" s="1"/>
  <c r="K207" i="20" a="1"/>
  <c r="K207" i="20" s="1"/>
  <c r="K212" i="20" a="1"/>
  <c r="K212" i="20" s="1"/>
  <c r="K215" i="20" a="1"/>
  <c r="K215" i="20" s="1"/>
  <c r="K220" i="20" a="1"/>
  <c r="K220" i="20" s="1"/>
  <c r="K223" i="20" a="1"/>
  <c r="K223" i="20" s="1"/>
  <c r="K228" i="20" a="1"/>
  <c r="K228" i="20" s="1"/>
  <c r="K231" i="20" a="1"/>
  <c r="K231" i="20" s="1"/>
  <c r="K236" i="20" a="1"/>
  <c r="K236" i="20" s="1"/>
  <c r="K239" i="20" a="1"/>
  <c r="K239" i="20" s="1"/>
  <c r="K244" i="20" a="1"/>
  <c r="K244" i="20" s="1"/>
  <c r="K247" i="20" a="1"/>
  <c r="K247" i="20" s="1"/>
  <c r="K252" i="20" a="1"/>
  <c r="K252" i="20" s="1"/>
  <c r="L3" i="20" a="1"/>
  <c r="L3" i="20" s="1"/>
  <c r="L8" i="20" a="1"/>
  <c r="L8" i="20" s="1"/>
  <c r="N8" i="20" s="1"/>
  <c r="L11" i="20" a="1"/>
  <c r="L11" i="20" s="1"/>
  <c r="N11" i="20" s="1"/>
  <c r="L16" i="20" a="1"/>
  <c r="L16" i="20" s="1"/>
  <c r="L19" i="20" a="1"/>
  <c r="L19" i="20" s="1"/>
  <c r="L24" i="20" a="1"/>
  <c r="L24" i="20" s="1"/>
  <c r="N24" i="20" s="1"/>
  <c r="L27" i="20" a="1"/>
  <c r="L27" i="20" s="1"/>
  <c r="L32" i="20" a="1"/>
  <c r="L32" i="20" s="1"/>
  <c r="L35" i="20" a="1"/>
  <c r="L35" i="20" s="1"/>
  <c r="N35" i="20" s="1"/>
  <c r="L40" i="20" a="1"/>
  <c r="L40" i="20" s="1"/>
  <c r="N40" i="20" s="1"/>
  <c r="L43" i="20" a="1"/>
  <c r="L43" i="20" s="1"/>
  <c r="L48" i="20" a="1"/>
  <c r="L48" i="20" s="1"/>
  <c r="L51" i="20" a="1"/>
  <c r="L51" i="20" s="1"/>
  <c r="L56" i="20" a="1"/>
  <c r="L56" i="20" s="1"/>
  <c r="N56" i="20" s="1"/>
  <c r="L59" i="20" a="1"/>
  <c r="L59" i="20" s="1"/>
  <c r="L64" i="20" a="1"/>
  <c r="L64" i="20" s="1"/>
  <c r="L67" i="20" a="1"/>
  <c r="L67" i="20" s="1"/>
  <c r="L72" i="20" a="1"/>
  <c r="L72" i="20" s="1"/>
  <c r="N72" i="20" s="1"/>
  <c r="L75" i="20" a="1"/>
  <c r="L75" i="20" s="1"/>
  <c r="N75" i="20" s="1"/>
  <c r="L80" i="20" a="1"/>
  <c r="L80" i="20" s="1"/>
  <c r="L83" i="20" a="1"/>
  <c r="L83" i="20" s="1"/>
  <c r="L88" i="20" a="1"/>
  <c r="L88" i="20" s="1"/>
  <c r="N88" i="20" s="1"/>
  <c r="L91" i="20" a="1"/>
  <c r="L91" i="20" s="1"/>
  <c r="L96" i="20" a="1"/>
  <c r="L96" i="20" s="1"/>
  <c r="L99" i="20" a="1"/>
  <c r="L99" i="20" s="1"/>
  <c r="N99" i="20" s="1"/>
  <c r="K138" i="20" a="1"/>
  <c r="K138" i="20" s="1"/>
  <c r="K152" i="20" a="1"/>
  <c r="K152" i="20" s="1"/>
  <c r="K166" i="20" a="1"/>
  <c r="K166" i="20" s="1"/>
  <c r="K186" i="20" a="1"/>
  <c r="K186" i="20" s="1"/>
  <c r="K202" i="20" a="1"/>
  <c r="K202" i="20" s="1"/>
  <c r="K218" i="20" a="1"/>
  <c r="K218" i="20" s="1"/>
  <c r="K234" i="20" a="1"/>
  <c r="K234" i="20" s="1"/>
  <c r="K250" i="20" a="1"/>
  <c r="K250" i="20" s="1"/>
  <c r="L14" i="20" a="1"/>
  <c r="L14" i="20" s="1"/>
  <c r="N14" i="20" s="1"/>
  <c r="L30" i="20" a="1"/>
  <c r="L30" i="20" s="1"/>
  <c r="N30" i="20" s="1"/>
  <c r="L46" i="20" a="1"/>
  <c r="L46" i="20" s="1"/>
  <c r="N46" i="20" s="1"/>
  <c r="L62" i="20" a="1"/>
  <c r="L62" i="20" s="1"/>
  <c r="N62" i="20" s="1"/>
  <c r="L78" i="20" a="1"/>
  <c r="L78" i="20" s="1"/>
  <c r="N78" i="20" s="1"/>
  <c r="L94" i="20" a="1"/>
  <c r="L94" i="20" s="1"/>
  <c r="N94" i="20" s="1"/>
  <c r="L103" i="20" a="1"/>
  <c r="L103" i="20" s="1"/>
  <c r="L107" i="20" a="1"/>
  <c r="L107" i="20" s="1"/>
  <c r="L110" i="20" a="1"/>
  <c r="L110" i="20" s="1"/>
  <c r="N110" i="20" s="1"/>
  <c r="L124" i="20" a="1"/>
  <c r="L124" i="20" s="1"/>
  <c r="N124" i="20" s="1"/>
  <c r="L128" i="20" a="1"/>
  <c r="L128" i="20" s="1"/>
  <c r="L135" i="20" a="1"/>
  <c r="L135" i="20" s="1"/>
  <c r="L139" i="20" a="1"/>
  <c r="L139" i="20" s="1"/>
  <c r="L142" i="20" a="1"/>
  <c r="L142" i="20" s="1"/>
  <c r="N142" i="20" s="1"/>
  <c r="L156" i="20" a="1"/>
  <c r="L156" i="20" s="1"/>
  <c r="N156" i="20" s="1"/>
  <c r="L160" i="20" a="1"/>
  <c r="L160" i="20" s="1"/>
  <c r="L167" i="20" a="1"/>
  <c r="L167" i="20" s="1"/>
  <c r="L171" i="20" a="1"/>
  <c r="L171" i="20" s="1"/>
  <c r="N171" i="20" s="1"/>
  <c r="L176" i="20" a="1"/>
  <c r="L176" i="20" s="1"/>
  <c r="N176" i="20" s="1"/>
  <c r="L179" i="20" a="1"/>
  <c r="L179" i="20" s="1"/>
  <c r="N179" i="20" s="1"/>
  <c r="L184" i="20" a="1"/>
  <c r="L184" i="20" s="1"/>
  <c r="N184" i="20" s="1"/>
  <c r="L187" i="20" a="1"/>
  <c r="L187" i="20" s="1"/>
  <c r="L192" i="20" a="1"/>
  <c r="L192" i="20" s="1"/>
  <c r="N192" i="20" s="1"/>
  <c r="L195" i="20" a="1"/>
  <c r="L195" i="20" s="1"/>
  <c r="L200" i="20" a="1"/>
  <c r="L200" i="20" s="1"/>
  <c r="N200" i="20" s="1"/>
  <c r="L203" i="20" a="1"/>
  <c r="L203" i="20" s="1"/>
  <c r="L208" i="20" a="1"/>
  <c r="L208" i="20" s="1"/>
  <c r="N208" i="20" s="1"/>
  <c r="L211" i="20" a="1"/>
  <c r="L211" i="20" s="1"/>
  <c r="N211" i="20" s="1"/>
  <c r="L216" i="20" a="1"/>
  <c r="L216" i="20" s="1"/>
  <c r="N216" i="20" s="1"/>
  <c r="L219" i="20" a="1"/>
  <c r="L219" i="20" s="1"/>
  <c r="L224" i="20" a="1"/>
  <c r="L224" i="20" s="1"/>
  <c r="N224" i="20" s="1"/>
  <c r="L227" i="20" a="1"/>
  <c r="L227" i="20" s="1"/>
  <c r="N227" i="20" s="1"/>
  <c r="L232" i="20" a="1"/>
  <c r="L232" i="20" s="1"/>
  <c r="N232" i="20" s="1"/>
  <c r="L235" i="20" a="1"/>
  <c r="L235" i="20" s="1"/>
  <c r="N235" i="20" s="1"/>
  <c r="L240" i="20" a="1"/>
  <c r="L240" i="20" s="1"/>
  <c r="N240" i="20" s="1"/>
  <c r="L243" i="20" a="1"/>
  <c r="L243" i="20" s="1"/>
  <c r="N243" i="20" s="1"/>
  <c r="L248" i="20" a="1"/>
  <c r="L248" i="20" s="1"/>
  <c r="N248" i="20" s="1"/>
  <c r="L251" i="20" a="1"/>
  <c r="L251" i="20" s="1"/>
  <c r="N251" i="20" s="1"/>
  <c r="K34" i="20" a="1"/>
  <c r="K34" i="20" s="1"/>
  <c r="K146" i="20" a="1"/>
  <c r="K146" i="20" s="1"/>
  <c r="K160" i="20" a="1"/>
  <c r="K160" i="20" s="1"/>
  <c r="K174" i="20" a="1"/>
  <c r="K174" i="20" s="1"/>
  <c r="K187" i="20" a="1"/>
  <c r="K187" i="20" s="1"/>
  <c r="K192" i="20" a="1"/>
  <c r="K192" i="20" s="1"/>
  <c r="K203" i="20" a="1"/>
  <c r="K203" i="20" s="1"/>
  <c r="K208" i="20" a="1"/>
  <c r="K208" i="20" s="1"/>
  <c r="K219" i="20" a="1"/>
  <c r="K219" i="20" s="1"/>
  <c r="K224" i="20" a="1"/>
  <c r="K224" i="20" s="1"/>
  <c r="K235" i="20" a="1"/>
  <c r="K235" i="20" s="1"/>
  <c r="K240" i="20" a="1"/>
  <c r="K240" i="20" s="1"/>
  <c r="K251" i="20" a="1"/>
  <c r="K251" i="20" s="1"/>
  <c r="L4" i="20" a="1"/>
  <c r="L4" i="20" s="1"/>
  <c r="N4" i="20" s="1"/>
  <c r="L15" i="20" a="1"/>
  <c r="L15" i="20" s="1"/>
  <c r="N15" i="20" s="1"/>
  <c r="L20" i="20" a="1"/>
  <c r="L20" i="20" s="1"/>
  <c r="N20" i="20" s="1"/>
  <c r="L31" i="20" a="1"/>
  <c r="L31" i="20" s="1"/>
  <c r="N31" i="20" s="1"/>
  <c r="L36" i="20" a="1"/>
  <c r="L36" i="20" s="1"/>
  <c r="N36" i="20" s="1"/>
  <c r="L47" i="20" a="1"/>
  <c r="L47" i="20" s="1"/>
  <c r="N47" i="20" s="1"/>
  <c r="L52" i="20" a="1"/>
  <c r="L52" i="20" s="1"/>
  <c r="N52" i="20" s="1"/>
  <c r="L63" i="20" a="1"/>
  <c r="L63" i="20" s="1"/>
  <c r="L68" i="20" a="1"/>
  <c r="L68" i="20" s="1"/>
  <c r="N68" i="20" s="1"/>
  <c r="L79" i="20" a="1"/>
  <c r="L79" i="20" s="1"/>
  <c r="L84" i="20" a="1"/>
  <c r="L84" i="20" s="1"/>
  <c r="N84" i="20" s="1"/>
  <c r="L95" i="20" a="1"/>
  <c r="L95" i="20" s="1"/>
  <c r="N95" i="20" s="1"/>
  <c r="L100" i="20" a="1"/>
  <c r="L100" i="20" s="1"/>
  <c r="N100" i="20" s="1"/>
  <c r="L104" i="20" a="1"/>
  <c r="L104" i="20" s="1"/>
  <c r="N104" i="20" s="1"/>
  <c r="L111" i="20" a="1"/>
  <c r="L111" i="20" s="1"/>
  <c r="N111" i="20" s="1"/>
  <c r="L115" i="20" a="1"/>
  <c r="L115" i="20" s="1"/>
  <c r="L118" i="20" a="1"/>
  <c r="L118" i="20" s="1"/>
  <c r="N118" i="20" s="1"/>
  <c r="L132" i="20" a="1"/>
  <c r="L132" i="20" s="1"/>
  <c r="N132" i="20" s="1"/>
  <c r="L136" i="20" a="1"/>
  <c r="L136" i="20" s="1"/>
  <c r="L143" i="20" a="1"/>
  <c r="L143" i="20" s="1"/>
  <c r="L147" i="20" a="1"/>
  <c r="L147" i="20" s="1"/>
  <c r="N147" i="20" s="1"/>
  <c r="L150" i="20" a="1"/>
  <c r="L150" i="20" s="1"/>
  <c r="N150" i="20" s="1"/>
  <c r="L164" i="20" a="1"/>
  <c r="L164" i="20" s="1"/>
  <c r="N164" i="20" s="1"/>
  <c r="L168" i="20" a="1"/>
  <c r="L168" i="20" s="1"/>
  <c r="N168" i="20" s="1"/>
  <c r="L174" i="20" a="1"/>
  <c r="L174" i="20" s="1"/>
  <c r="N174" i="20" s="1"/>
  <c r="L182" i="20" a="1"/>
  <c r="L182" i="20" s="1"/>
  <c r="N182" i="20" s="1"/>
  <c r="L190" i="20" a="1"/>
  <c r="L190" i="20" s="1"/>
  <c r="L198" i="20" a="1"/>
  <c r="L198" i="20" s="1"/>
  <c r="N198" i="20" s="1"/>
  <c r="L206" i="20" a="1"/>
  <c r="L206" i="20" s="1"/>
  <c r="N206" i="20" s="1"/>
  <c r="L214" i="20" a="1"/>
  <c r="L214" i="20" s="1"/>
  <c r="N214" i="20" s="1"/>
  <c r="L222" i="20" a="1"/>
  <c r="L222" i="20" s="1"/>
  <c r="L230" i="20" a="1"/>
  <c r="L230" i="20" s="1"/>
  <c r="N230" i="20" s="1"/>
  <c r="L238" i="20" a="1"/>
  <c r="L238" i="20" s="1"/>
  <c r="N238" i="20" s="1"/>
  <c r="L246" i="20" a="1"/>
  <c r="L246" i="20" s="1"/>
  <c r="N246" i="20" s="1"/>
  <c r="K22" i="20" a="1"/>
  <c r="K22" i="20" s="1"/>
  <c r="K170" i="20" a="1"/>
  <c r="K170" i="20" s="1"/>
  <c r="K194" i="20" a="1"/>
  <c r="K194" i="20" s="1"/>
  <c r="K226" i="20" a="1"/>
  <c r="K226" i="20" s="1"/>
  <c r="L6" i="20" a="1"/>
  <c r="L6" i="20" s="1"/>
  <c r="N6" i="20" s="1"/>
  <c r="L38" i="20" a="1"/>
  <c r="L38" i="20" s="1"/>
  <c r="N38" i="20" s="1"/>
  <c r="L70" i="20" a="1"/>
  <c r="L70" i="20" s="1"/>
  <c r="N70" i="20" s="1"/>
  <c r="L108" i="20" a="1"/>
  <c r="L108" i="20" s="1"/>
  <c r="N108" i="20" s="1"/>
  <c r="L123" i="20" a="1"/>
  <c r="L123" i="20" s="1"/>
  <c r="L144" i="20" a="1"/>
  <c r="L144" i="20" s="1"/>
  <c r="N144" i="20" s="1"/>
  <c r="L151" i="20" a="1"/>
  <c r="L151" i="20" s="1"/>
  <c r="L158" i="20" a="1"/>
  <c r="L158" i="20" s="1"/>
  <c r="N158" i="20" s="1"/>
  <c r="L172" i="20" a="1"/>
  <c r="L172" i="20" s="1"/>
  <c r="N172" i="20" s="1"/>
  <c r="L183" i="20" a="1"/>
  <c r="L183" i="20" s="1"/>
  <c r="L188" i="20" a="1"/>
  <c r="L188" i="20" s="1"/>
  <c r="N188" i="20" s="1"/>
  <c r="L199" i="20" a="1"/>
  <c r="L199" i="20" s="1"/>
  <c r="N199" i="20" s="1"/>
  <c r="L204" i="20" a="1"/>
  <c r="L204" i="20" s="1"/>
  <c r="N204" i="20" s="1"/>
  <c r="L215" i="20" a="1"/>
  <c r="L215" i="20" s="1"/>
  <c r="L220" i="20" a="1"/>
  <c r="L220" i="20" s="1"/>
  <c r="N220" i="20" s="1"/>
  <c r="L231" i="20" a="1"/>
  <c r="L231" i="20" s="1"/>
  <c r="N231" i="20" s="1"/>
  <c r="L236" i="20" a="1"/>
  <c r="L236" i="20" s="1"/>
  <c r="L247" i="20" a="1"/>
  <c r="L247" i="20" s="1"/>
  <c r="N247" i="20" s="1"/>
  <c r="L252" i="20" a="1"/>
  <c r="L252" i="20" s="1"/>
  <c r="O3" i="20" a="1"/>
  <c r="O3" i="20" s="1"/>
  <c r="O5" i="20" a="1"/>
  <c r="O5" i="20" s="1"/>
  <c r="O7" i="20" a="1"/>
  <c r="O7" i="20" s="1"/>
  <c r="O11" i="20" a="1"/>
  <c r="O11" i="20" s="1"/>
  <c r="O15" i="20" a="1"/>
  <c r="O15" i="20" s="1"/>
  <c r="O19" i="20" a="1"/>
  <c r="O19" i="20" s="1"/>
  <c r="O23" i="20" a="1"/>
  <c r="O23" i="20" s="1"/>
  <c r="K142" i="20" a="1"/>
  <c r="K142" i="20" s="1"/>
  <c r="K184" i="20" a="1"/>
  <c r="K184" i="20" s="1"/>
  <c r="K195" i="20" a="1"/>
  <c r="K195" i="20" s="1"/>
  <c r="K216" i="20" a="1"/>
  <c r="K216" i="20" s="1"/>
  <c r="K227" i="20" a="1"/>
  <c r="K227" i="20" s="1"/>
  <c r="K248" i="20" a="1"/>
  <c r="K248" i="20" s="1"/>
  <c r="L7" i="20" a="1"/>
  <c r="L7" i="20" s="1"/>
  <c r="L28" i="20" a="1"/>
  <c r="L28" i="20" s="1"/>
  <c r="N28" i="20" s="1"/>
  <c r="L39" i="20" a="1"/>
  <c r="L39" i="20" s="1"/>
  <c r="L60" i="20" a="1"/>
  <c r="L60" i="20" s="1"/>
  <c r="N60" i="20" s="1"/>
  <c r="L71" i="20" a="1"/>
  <c r="L71" i="20" s="1"/>
  <c r="L92" i="20" a="1"/>
  <c r="L92" i="20" s="1"/>
  <c r="N92" i="20" s="1"/>
  <c r="L102" i="20" a="1"/>
  <c r="L102" i="20" s="1"/>
  <c r="N102" i="20" s="1"/>
  <c r="L116" i="20" a="1"/>
  <c r="L116" i="20" s="1"/>
  <c r="N116" i="20" s="1"/>
  <c r="L131" i="20" a="1"/>
  <c r="L131" i="20" s="1"/>
  <c r="L152" i="20" a="1"/>
  <c r="L152" i="20" s="1"/>
  <c r="N152" i="20" s="1"/>
  <c r="L159" i="20" a="1"/>
  <c r="L159" i="20" s="1"/>
  <c r="N159" i="20" s="1"/>
  <c r="L166" i="20" a="1"/>
  <c r="L166" i="20" s="1"/>
  <c r="N166" i="20" s="1"/>
  <c r="L178" i="20" a="1"/>
  <c r="L178" i="20" s="1"/>
  <c r="N178" i="20" s="1"/>
  <c r="L194" i="20" a="1"/>
  <c r="L194" i="20" s="1"/>
  <c r="N194" i="20" s="1"/>
  <c r="L210" i="20" a="1"/>
  <c r="L210" i="20" s="1"/>
  <c r="N210" i="20" s="1"/>
  <c r="L226" i="20" a="1"/>
  <c r="L226" i="20" s="1"/>
  <c r="N226" i="20" s="1"/>
  <c r="L242" i="20" a="1"/>
  <c r="L242" i="20" s="1"/>
  <c r="N242" i="20" s="1"/>
  <c r="O167" i="20" a="1"/>
  <c r="O167" i="20" s="1"/>
  <c r="O159" i="20" a="1"/>
  <c r="O159" i="20" s="1"/>
  <c r="O154" i="20" a="1"/>
  <c r="O154" i="20" s="1"/>
  <c r="O151" i="20" a="1"/>
  <c r="O151" i="20" s="1"/>
  <c r="O146" i="20" a="1"/>
  <c r="O146" i="20" s="1"/>
  <c r="O143" i="20" a="1"/>
  <c r="O143" i="20" s="1"/>
  <c r="O138" i="20" a="1"/>
  <c r="O138" i="20" s="1"/>
  <c r="O135" i="20" a="1"/>
  <c r="O135" i="20" s="1"/>
  <c r="O130" i="20" a="1"/>
  <c r="O130" i="20" s="1"/>
  <c r="O127" i="20" a="1"/>
  <c r="O127" i="20" s="1"/>
  <c r="O122" i="20" a="1"/>
  <c r="O122" i="20" s="1"/>
  <c r="O119" i="20" a="1"/>
  <c r="O119" i="20" s="1"/>
  <c r="O114" i="20" a="1"/>
  <c r="O114" i="20" s="1"/>
  <c r="O111" i="20" a="1"/>
  <c r="O111" i="20" s="1"/>
  <c r="O106" i="20" a="1"/>
  <c r="O106" i="20" s="1"/>
  <c r="O103" i="20" a="1"/>
  <c r="O103" i="20" s="1"/>
  <c r="O98" i="20" a="1"/>
  <c r="O98" i="20" s="1"/>
  <c r="O95" i="20" a="1"/>
  <c r="O95" i="20" s="1"/>
  <c r="O90" i="20" a="1"/>
  <c r="O90" i="20" s="1"/>
  <c r="O87" i="20" a="1"/>
  <c r="O87" i="20" s="1"/>
  <c r="O82" i="20" a="1"/>
  <c r="O82" i="20" s="1"/>
  <c r="O79" i="20" a="1"/>
  <c r="O79" i="20" s="1"/>
  <c r="O74" i="20" a="1"/>
  <c r="O74" i="20" s="1"/>
  <c r="O71" i="20" a="1"/>
  <c r="O71" i="20" s="1"/>
  <c r="O66" i="20" a="1"/>
  <c r="O66" i="20" s="1"/>
  <c r="O63" i="20" a="1"/>
  <c r="O63" i="20" s="1"/>
  <c r="O58" i="20" a="1"/>
  <c r="O58" i="20" s="1"/>
  <c r="O55" i="20" a="1"/>
  <c r="O55" i="20" s="1"/>
  <c r="O50" i="20" a="1"/>
  <c r="O50" i="20" s="1"/>
  <c r="O47" i="20" a="1"/>
  <c r="O47" i="20" s="1"/>
  <c r="O42" i="20" a="1"/>
  <c r="O42" i="20" s="1"/>
  <c r="O39" i="20" a="1"/>
  <c r="O39" i="20" s="1"/>
  <c r="O34" i="20" a="1"/>
  <c r="O34" i="20" s="1"/>
  <c r="O31" i="20" a="1"/>
  <c r="O31" i="20" s="1"/>
  <c r="O26" i="20" a="1"/>
  <c r="O26" i="20" s="1"/>
  <c r="O22" i="20" a="1"/>
  <c r="O22" i="20" s="1"/>
  <c r="O18" i="20" a="1"/>
  <c r="O18" i="20" s="1"/>
  <c r="O14" i="20" a="1"/>
  <c r="O14" i="20" s="1"/>
  <c r="O10" i="20" a="1"/>
  <c r="O10" i="20" s="1"/>
  <c r="O6" i="20" a="1"/>
  <c r="O6" i="20" s="1"/>
  <c r="O2" i="20" a="1"/>
  <c r="O2" i="20" s="1"/>
  <c r="N241" i="20"/>
  <c r="N225" i="20"/>
  <c r="N222" i="20"/>
  <c r="N219" i="20"/>
  <c r="N177" i="20"/>
  <c r="N167" i="20"/>
  <c r="N115" i="20"/>
  <c r="N101" i="20"/>
  <c r="N91" i="20"/>
  <c r="N77" i="20"/>
  <c r="N51" i="20"/>
  <c r="N41" i="20"/>
  <c r="N37" i="20"/>
  <c r="N27" i="20"/>
  <c r="N13" i="20"/>
  <c r="L239" i="20" a="1"/>
  <c r="L239" i="20" s="1"/>
  <c r="N239" i="20" s="1"/>
  <c r="L228" i="20" a="1"/>
  <c r="L228" i="20" s="1"/>
  <c r="N228" i="20" s="1"/>
  <c r="L207" i="20" a="1"/>
  <c r="L207" i="20" s="1"/>
  <c r="L196" i="20" a="1"/>
  <c r="L196" i="20" s="1"/>
  <c r="N196" i="20" s="1"/>
  <c r="L175" i="20" a="1"/>
  <c r="L175" i="20" s="1"/>
  <c r="L119" i="20" a="1"/>
  <c r="L119" i="20" s="1"/>
  <c r="L105" i="20" a="1"/>
  <c r="L105" i="20" s="1"/>
  <c r="N105" i="20" s="1"/>
  <c r="L86" i="20" a="1"/>
  <c r="L86" i="20" s="1"/>
  <c r="N86" i="20" s="1"/>
  <c r="L65" i="20" a="1"/>
  <c r="L65" i="20" s="1"/>
  <c r="N65" i="20" s="1"/>
  <c r="L22" i="20" a="1"/>
  <c r="L22" i="20" s="1"/>
  <c r="N22" i="20" s="1"/>
  <c r="K253" i="20" a="1"/>
  <c r="K253" i="20" s="1"/>
  <c r="K210" i="20" a="1"/>
  <c r="K210" i="20" s="1"/>
  <c r="K189" i="20" a="1"/>
  <c r="K189" i="20" s="1"/>
  <c r="K134" i="20" a="1"/>
  <c r="K134" i="20" s="1"/>
  <c r="O162" i="20" a="1"/>
  <c r="O162" i="20" s="1"/>
  <c r="P253" i="20" a="1"/>
  <c r="P253" i="20" s="1"/>
  <c r="P251" i="20" a="1"/>
  <c r="P251" i="20" s="1"/>
  <c r="P249" i="20" a="1"/>
  <c r="P249" i="20" s="1"/>
  <c r="P247" i="20" a="1"/>
  <c r="P247" i="20" s="1"/>
  <c r="P245" i="20" a="1"/>
  <c r="P245" i="20" s="1"/>
  <c r="P243" i="20" a="1"/>
  <c r="P243" i="20" s="1"/>
  <c r="P241" i="20" a="1"/>
  <c r="P241" i="20" s="1"/>
  <c r="P239" i="20" a="1"/>
  <c r="P239" i="20" s="1"/>
  <c r="P237" i="20" a="1"/>
  <c r="P237" i="20" s="1"/>
  <c r="P235" i="20" a="1"/>
  <c r="P235" i="20" s="1"/>
  <c r="P233" i="20" a="1"/>
  <c r="P233" i="20" s="1"/>
  <c r="P231" i="20" a="1"/>
  <c r="P231" i="20" s="1"/>
  <c r="P229" i="20" a="1"/>
  <c r="P229" i="20" s="1"/>
  <c r="P224" i="20" a="1"/>
  <c r="P224" i="20" s="1"/>
  <c r="P221" i="20" a="1"/>
  <c r="P221" i="20" s="1"/>
  <c r="P216" i="20" a="1"/>
  <c r="P216" i="20" s="1"/>
  <c r="P213" i="20" a="1"/>
  <c r="P213" i="20" s="1"/>
  <c r="P208" i="20" a="1"/>
  <c r="P208" i="20" s="1"/>
  <c r="P205" i="20" a="1"/>
  <c r="P205" i="20" s="1"/>
  <c r="P200" i="20" a="1"/>
  <c r="P200" i="20" s="1"/>
  <c r="P197" i="20" a="1"/>
  <c r="P197" i="20" s="1"/>
  <c r="P192" i="20" a="1"/>
  <c r="P192" i="20" s="1"/>
  <c r="P189" i="20" a="1"/>
  <c r="P189" i="20" s="1"/>
  <c r="P184" i="20" a="1"/>
  <c r="P184" i="20" s="1"/>
  <c r="P181" i="20" a="1"/>
  <c r="P181" i="20" s="1"/>
  <c r="P176" i="20" a="1"/>
  <c r="P176" i="20" s="1"/>
  <c r="P173" i="20" a="1"/>
  <c r="P173" i="20" s="1"/>
  <c r="P168" i="20" a="1"/>
  <c r="P168" i="20" s="1"/>
  <c r="P165" i="20" a="1"/>
  <c r="P165" i="20" s="1"/>
  <c r="P160" i="20" a="1"/>
  <c r="P160" i="20" s="1"/>
  <c r="P157" i="20" a="1"/>
  <c r="P157" i="20" s="1"/>
  <c r="P152" i="20" a="1"/>
  <c r="P152" i="20" s="1"/>
  <c r="P149" i="20" a="1"/>
  <c r="P149" i="20" s="1"/>
  <c r="P144" i="20" a="1"/>
  <c r="P144" i="20" s="1"/>
  <c r="P141" i="20" a="1"/>
  <c r="P141" i="20" s="1"/>
  <c r="P136" i="20" a="1"/>
  <c r="P136" i="20" s="1"/>
  <c r="P133" i="20" a="1"/>
  <c r="P133" i="20" s="1"/>
  <c r="P128" i="20" a="1"/>
  <c r="P128" i="20" s="1"/>
  <c r="P125" i="20" a="1"/>
  <c r="P125" i="20" s="1"/>
  <c r="P120" i="20" a="1"/>
  <c r="P120" i="20" s="1"/>
  <c r="P117" i="20" a="1"/>
  <c r="P117" i="20" s="1"/>
  <c r="P112" i="20" a="1"/>
  <c r="P112" i="20" s="1"/>
  <c r="P109" i="20" a="1"/>
  <c r="P109" i="20" s="1"/>
  <c r="P104" i="20" a="1"/>
  <c r="P104" i="20" s="1"/>
  <c r="P101" i="20" a="1"/>
  <c r="P101" i="20" s="1"/>
  <c r="P96" i="20" a="1"/>
  <c r="P96" i="20" s="1"/>
  <c r="P93" i="20" a="1"/>
  <c r="P93" i="20" s="1"/>
  <c r="P88" i="20" a="1"/>
  <c r="P88" i="20" s="1"/>
  <c r="P85" i="20" a="1"/>
  <c r="P85" i="20" s="1"/>
  <c r="P80" i="20" a="1"/>
  <c r="P80" i="20" s="1"/>
  <c r="P77" i="20" a="1"/>
  <c r="P77" i="20" s="1"/>
  <c r="P72" i="20" a="1"/>
  <c r="P72" i="20" s="1"/>
  <c r="P69" i="20" a="1"/>
  <c r="P69" i="20" s="1"/>
  <c r="P64" i="20" a="1"/>
  <c r="P64" i="20" s="1"/>
  <c r="P61" i="20" a="1"/>
  <c r="P61" i="20" s="1"/>
  <c r="P56" i="20" a="1"/>
  <c r="P56" i="20" s="1"/>
  <c r="P53" i="20" a="1"/>
  <c r="P53" i="20" s="1"/>
  <c r="P48" i="20" a="1"/>
  <c r="P48" i="20" s="1"/>
  <c r="P45" i="20" a="1"/>
  <c r="P45" i="20" s="1"/>
  <c r="P40" i="20" a="1"/>
  <c r="P40" i="20" s="1"/>
  <c r="P37" i="20" a="1"/>
  <c r="P37" i="20" s="1"/>
  <c r="P32" i="20" a="1"/>
  <c r="P32" i="20" s="1"/>
  <c r="P29" i="20" a="1"/>
  <c r="P29" i="20" s="1"/>
  <c r="P24" i="20" a="1"/>
  <c r="P24" i="20" s="1"/>
  <c r="P21" i="20" a="1"/>
  <c r="P21" i="20" s="1"/>
  <c r="P16" i="20" a="1"/>
  <c r="P16" i="20" s="1"/>
  <c r="P13" i="20" a="1"/>
  <c r="P13" i="20" s="1"/>
  <c r="P8" i="20" a="1"/>
  <c r="P8" i="20" s="1"/>
  <c r="P5" i="20" a="1"/>
  <c r="P5" i="20" s="1"/>
  <c r="O252" i="20" a="1"/>
  <c r="O252" i="20" s="1"/>
  <c r="O249" i="20" a="1"/>
  <c r="O249" i="20" s="1"/>
  <c r="O244" i="20" a="1"/>
  <c r="O244" i="20" s="1"/>
  <c r="O241" i="20" a="1"/>
  <c r="O241" i="20" s="1"/>
  <c r="O236" i="20" a="1"/>
  <c r="O236" i="20" s="1"/>
  <c r="O233" i="20" a="1"/>
  <c r="O233" i="20" s="1"/>
  <c r="O228" i="20" a="1"/>
  <c r="O228" i="20" s="1"/>
  <c r="O225" i="20" a="1"/>
  <c r="O225" i="20" s="1"/>
  <c r="O220" i="20" a="1"/>
  <c r="O220" i="20" s="1"/>
  <c r="O217" i="20" a="1"/>
  <c r="O217" i="20" s="1"/>
  <c r="O212" i="20" a="1"/>
  <c r="O212" i="20" s="1"/>
  <c r="O209" i="20" a="1"/>
  <c r="O209" i="20" s="1"/>
  <c r="O204" i="20" a="1"/>
  <c r="O204" i="20" s="1"/>
  <c r="O201" i="20" a="1"/>
  <c r="O201" i="20" s="1"/>
  <c r="O196" i="20" a="1"/>
  <c r="O196" i="20" s="1"/>
  <c r="O193" i="20" a="1"/>
  <c r="O193" i="20" s="1"/>
  <c r="O188" i="20" a="1"/>
  <c r="O188" i="20" s="1"/>
  <c r="O185" i="20" a="1"/>
  <c r="O185" i="20" s="1"/>
  <c r="O180" i="20" a="1"/>
  <c r="O180" i="20" s="1"/>
  <c r="O177" i="20" a="1"/>
  <c r="O177" i="20" s="1"/>
  <c r="O172" i="20" a="1"/>
  <c r="O172" i="20" s="1"/>
  <c r="O169" i="20" a="1"/>
  <c r="O169" i="20" s="1"/>
  <c r="O164" i="20" a="1"/>
  <c r="O164" i="20" s="1"/>
  <c r="O161" i="20" a="1"/>
  <c r="O161" i="20" s="1"/>
  <c r="O156" i="20" a="1"/>
  <c r="O156" i="20" s="1"/>
  <c r="O153" i="20" a="1"/>
  <c r="O153" i="20" s="1"/>
  <c r="O148" i="20" a="1"/>
  <c r="O148" i="20" s="1"/>
  <c r="O145" i="20" a="1"/>
  <c r="O145" i="20" s="1"/>
  <c r="O140" i="20" a="1"/>
  <c r="O140" i="20" s="1"/>
  <c r="O137" i="20" a="1"/>
  <c r="O137" i="20" s="1"/>
  <c r="O132" i="20" a="1"/>
  <c r="O132" i="20" s="1"/>
  <c r="O129" i="20" a="1"/>
  <c r="O129" i="20" s="1"/>
  <c r="O124" i="20" a="1"/>
  <c r="O124" i="20" s="1"/>
  <c r="O121" i="20" a="1"/>
  <c r="O121" i="20" s="1"/>
  <c r="O116" i="20" a="1"/>
  <c r="O116" i="20" s="1"/>
  <c r="O113" i="20" a="1"/>
  <c r="O113" i="20" s="1"/>
  <c r="O108" i="20" a="1"/>
  <c r="O108" i="20" s="1"/>
  <c r="O105" i="20" a="1"/>
  <c r="O105" i="20" s="1"/>
  <c r="O100" i="20" a="1"/>
  <c r="O100" i="20" s="1"/>
  <c r="O97" i="20" a="1"/>
  <c r="O97" i="20" s="1"/>
  <c r="O92" i="20" a="1"/>
  <c r="O92" i="20" s="1"/>
  <c r="O89" i="20" a="1"/>
  <c r="O89" i="20" s="1"/>
  <c r="O84" i="20" a="1"/>
  <c r="O84" i="20" s="1"/>
  <c r="O81" i="20" a="1"/>
  <c r="O81" i="20" s="1"/>
  <c r="O76" i="20" a="1"/>
  <c r="O76" i="20" s="1"/>
  <c r="O73" i="20" a="1"/>
  <c r="O73" i="20" s="1"/>
  <c r="O68" i="20" a="1"/>
  <c r="O68" i="20" s="1"/>
  <c r="O65" i="20" a="1"/>
  <c r="O65" i="20" s="1"/>
  <c r="O60" i="20" a="1"/>
  <c r="O60" i="20" s="1"/>
  <c r="O57" i="20" a="1"/>
  <c r="O57" i="20" s="1"/>
  <c r="O52" i="20" a="1"/>
  <c r="O52" i="20" s="1"/>
  <c r="O49" i="20" a="1"/>
  <c r="O49" i="20" s="1"/>
  <c r="O44" i="20" a="1"/>
  <c r="O44" i="20" s="1"/>
  <c r="O41" i="20" a="1"/>
  <c r="O41" i="20" s="1"/>
  <c r="O36" i="20" a="1"/>
  <c r="O36" i="20" s="1"/>
  <c r="O33" i="20" a="1"/>
  <c r="O33" i="20" s="1"/>
  <c r="O28" i="20" a="1"/>
  <c r="O28" i="20" s="1"/>
  <c r="N252" i="20"/>
  <c r="N203" i="20"/>
  <c r="N139" i="20"/>
  <c r="N136" i="20"/>
  <c r="N121" i="20"/>
  <c r="N107" i="20"/>
  <c r="N67" i="20"/>
  <c r="N63" i="20"/>
  <c r="N57" i="20"/>
  <c r="N53" i="20"/>
  <c r="N43" i="20"/>
  <c r="N3" i="20"/>
  <c r="L245" i="20" a="1"/>
  <c r="L245" i="20" s="1"/>
  <c r="N245" i="20" s="1"/>
  <c r="L234" i="20" a="1"/>
  <c r="L234" i="20" s="1"/>
  <c r="N234" i="20" s="1"/>
  <c r="L213" i="20" a="1"/>
  <c r="L213" i="20" s="1"/>
  <c r="N213" i="20" s="1"/>
  <c r="L202" i="20" a="1"/>
  <c r="L202" i="20" s="1"/>
  <c r="N202" i="20" s="1"/>
  <c r="L181" i="20" a="1"/>
  <c r="L181" i="20" s="1"/>
  <c r="N181" i="20" s="1"/>
  <c r="L127" i="20" a="1"/>
  <c r="L127" i="20" s="1"/>
  <c r="N127" i="20" s="1"/>
  <c r="L113" i="20" a="1"/>
  <c r="L113" i="20" s="1"/>
  <c r="N113" i="20" s="1"/>
  <c r="L76" i="20" a="1"/>
  <c r="L76" i="20" s="1"/>
  <c r="N76" i="20" s="1"/>
  <c r="L55" i="20" a="1"/>
  <c r="L55" i="20" s="1"/>
  <c r="L12" i="20" a="1"/>
  <c r="L12" i="20" s="1"/>
  <c r="N12" i="20" s="1"/>
  <c r="K243" i="20" a="1"/>
  <c r="K243" i="20" s="1"/>
  <c r="K200" i="20" a="1"/>
  <c r="K200" i="20" s="1"/>
  <c r="K178" i="20" a="1"/>
  <c r="K178" i="20" s="1"/>
  <c r="K45" i="20" a="1"/>
  <c r="K45" i="20" s="1"/>
  <c r="O179" i="20" a="1"/>
  <c r="O179" i="20" s="1"/>
  <c r="O174" i="20" a="1"/>
  <c r="O174" i="20" s="1"/>
  <c r="O171" i="20" a="1"/>
  <c r="O171" i="20" s="1"/>
  <c r="O166" i="20" a="1"/>
  <c r="O166" i="20" s="1"/>
  <c r="O163" i="20" a="1"/>
  <c r="O163" i="20" s="1"/>
  <c r="O158" i="20" a="1"/>
  <c r="O158" i="20" s="1"/>
  <c r="O155" i="20" a="1"/>
  <c r="O155" i="20" s="1"/>
  <c r="O150" i="20" a="1"/>
  <c r="O150" i="20" s="1"/>
  <c r="O147" i="20" a="1"/>
  <c r="O147" i="20" s="1"/>
  <c r="O142" i="20" a="1"/>
  <c r="O142" i="20" s="1"/>
  <c r="O139" i="20" a="1"/>
  <c r="O139" i="20" s="1"/>
  <c r="O134" i="20" a="1"/>
  <c r="O134" i="20" s="1"/>
  <c r="O131" i="20" a="1"/>
  <c r="O131" i="20" s="1"/>
  <c r="O126" i="20" a="1"/>
  <c r="O126" i="20" s="1"/>
  <c r="O123" i="20" a="1"/>
  <c r="O123" i="20" s="1"/>
  <c r="O118" i="20" a="1"/>
  <c r="O118" i="20" s="1"/>
  <c r="O115" i="20" a="1"/>
  <c r="O115" i="20" s="1"/>
  <c r="O110" i="20" a="1"/>
  <c r="O110" i="20" s="1"/>
  <c r="O107" i="20" a="1"/>
  <c r="O107" i="20" s="1"/>
  <c r="O102" i="20" a="1"/>
  <c r="O102" i="20" s="1"/>
  <c r="O99" i="20" a="1"/>
  <c r="O99" i="20" s="1"/>
  <c r="O94" i="20" a="1"/>
  <c r="O94" i="20" s="1"/>
  <c r="O91" i="20" a="1"/>
  <c r="O91" i="20" s="1"/>
  <c r="O86" i="20" a="1"/>
  <c r="O86" i="20" s="1"/>
  <c r="O83" i="20" a="1"/>
  <c r="O83" i="20" s="1"/>
  <c r="O78" i="20" a="1"/>
  <c r="O78" i="20" s="1"/>
  <c r="O75" i="20" a="1"/>
  <c r="O75" i="20" s="1"/>
  <c r="O70" i="20" a="1"/>
  <c r="O70" i="20" s="1"/>
  <c r="O67" i="20" a="1"/>
  <c r="O67" i="20" s="1"/>
  <c r="O62" i="20" a="1"/>
  <c r="O62" i="20" s="1"/>
  <c r="O59" i="20" a="1"/>
  <c r="O59" i="20" s="1"/>
  <c r="O54" i="20" a="1"/>
  <c r="O54" i="20" s="1"/>
  <c r="O51" i="20" a="1"/>
  <c r="O51" i="20" s="1"/>
  <c r="O46" i="20" a="1"/>
  <c r="O46" i="20" s="1"/>
  <c r="O43" i="20" a="1"/>
  <c r="O43" i="20" s="1"/>
  <c r="O38" i="20" a="1"/>
  <c r="O38" i="20" s="1"/>
  <c r="O35" i="20" a="1"/>
  <c r="O35" i="20" s="1"/>
  <c r="O30" i="20" a="1"/>
  <c r="O30" i="20" s="1"/>
  <c r="O27" i="20" a="1"/>
  <c r="O27" i="20" s="1"/>
  <c r="O24" i="20" a="1"/>
  <c r="O24" i="20" s="1"/>
  <c r="O20" i="20" a="1"/>
  <c r="O20" i="20" s="1"/>
  <c r="O16" i="20" a="1"/>
  <c r="O16" i="20" s="1"/>
  <c r="O12" i="20" a="1"/>
  <c r="O12" i="20" s="1"/>
  <c r="O8" i="20" a="1"/>
  <c r="O8" i="20" s="1"/>
  <c r="O4" i="20" a="1"/>
  <c r="O4" i="20" s="1"/>
  <c r="N236" i="20"/>
  <c r="N193" i="20"/>
  <c r="N190" i="20"/>
  <c r="N187" i="20"/>
  <c r="N135" i="20"/>
  <c r="N123" i="20"/>
  <c r="N120" i="20"/>
  <c r="N83" i="20"/>
  <c r="N79" i="20"/>
  <c r="N69" i="20"/>
  <c r="N59" i="20"/>
  <c r="N19" i="20"/>
  <c r="N5" i="20"/>
  <c r="L244" i="20" a="1"/>
  <c r="L244" i="20" s="1"/>
  <c r="N244" i="20" s="1"/>
  <c r="L223" i="20" a="1"/>
  <c r="L223" i="20" s="1"/>
  <c r="N223" i="20" s="1"/>
  <c r="L212" i="20" a="1"/>
  <c r="L212" i="20" s="1"/>
  <c r="N212" i="20" s="1"/>
  <c r="L191" i="20" a="1"/>
  <c r="L191" i="20" s="1"/>
  <c r="N191" i="20" s="1"/>
  <c r="L180" i="20" a="1"/>
  <c r="L180" i="20" s="1"/>
  <c r="N180" i="20" s="1"/>
  <c r="L169" i="20" a="1"/>
  <c r="L169" i="20" s="1"/>
  <c r="N169" i="20" s="1"/>
  <c r="L155" i="20" a="1"/>
  <c r="L155" i="20" s="1"/>
  <c r="N155" i="20" s="1"/>
  <c r="L140" i="20" a="1"/>
  <c r="L140" i="20" s="1"/>
  <c r="N140" i="20" s="1"/>
  <c r="L126" i="20" a="1"/>
  <c r="L126" i="20" s="1"/>
  <c r="N126" i="20" s="1"/>
  <c r="L112" i="20" a="1"/>
  <c r="L112" i="20" s="1"/>
  <c r="N112" i="20" s="1"/>
  <c r="L97" i="20" a="1"/>
  <c r="L97" i="20" s="1"/>
  <c r="N97" i="20" s="1"/>
  <c r="L54" i="20" a="1"/>
  <c r="L54" i="20" s="1"/>
  <c r="N54" i="20" s="1"/>
  <c r="L33" i="20" a="1"/>
  <c r="L33" i="20" s="1"/>
  <c r="N33" i="20" s="1"/>
  <c r="K242" i="20" a="1"/>
  <c r="K242" i="20" s="1"/>
  <c r="K221" i="20" a="1"/>
  <c r="K221" i="20" s="1"/>
  <c r="N207" i="20"/>
  <c r="N195" i="20"/>
  <c r="N175" i="20"/>
  <c r="N163" i="20"/>
  <c r="N143" i="20"/>
  <c r="N131" i="20"/>
  <c r="N119" i="20"/>
  <c r="N103" i="20"/>
  <c r="N87" i="20"/>
  <c r="N71" i="20"/>
  <c r="N55" i="20"/>
  <c r="N39" i="20"/>
  <c r="N23" i="20"/>
  <c r="N7" i="20"/>
  <c r="N215" i="20"/>
  <c r="N183" i="20"/>
  <c r="N165" i="20"/>
  <c r="N160" i="20"/>
  <c r="N151" i="20"/>
  <c r="N133" i="20"/>
  <c r="N128" i="20"/>
  <c r="N96" i="20"/>
  <c r="N80" i="20"/>
  <c r="N64" i="20"/>
  <c r="N48" i="20"/>
  <c r="N32" i="20"/>
  <c r="N16" i="20"/>
  <c r="K3" i="20" a="1"/>
  <c r="K3" i="20" s="1"/>
  <c r="P161" i="18" a="1"/>
  <c r="P161" i="18" s="1"/>
  <c r="T141" i="18" a="1"/>
  <c r="T141" i="18" s="1"/>
  <c r="T109" i="18" a="1"/>
  <c r="T109" i="18" s="1"/>
  <c r="T85" i="18" a="1"/>
  <c r="T85" i="18" s="1"/>
  <c r="P65" i="18" a="1"/>
  <c r="P65" i="18" s="1"/>
  <c r="S99" i="18" a="1"/>
  <c r="S99" i="18" s="1"/>
  <c r="S83" i="18" a="1"/>
  <c r="S83" i="18" s="1"/>
  <c r="S15" i="18" a="1"/>
  <c r="S15" i="18" s="1"/>
  <c r="R65" i="18"/>
  <c r="O169" i="18" a="1"/>
  <c r="O169" i="18" s="1"/>
  <c r="S169" i="18" a="1"/>
  <c r="S169" i="18" s="1"/>
  <c r="T169" i="18" a="1"/>
  <c r="T169" i="18" s="1"/>
  <c r="P169" i="18" a="1"/>
  <c r="P169" i="18" s="1"/>
  <c r="O157" i="18" a="1"/>
  <c r="O157" i="18" s="1"/>
  <c r="P157" i="18" a="1"/>
  <c r="P157" i="18" s="1"/>
  <c r="R157" i="18" s="1"/>
  <c r="U157" i="18" s="1"/>
  <c r="O149" i="18" a="1"/>
  <c r="O149" i="18" s="1"/>
  <c r="P149" i="18" a="1"/>
  <c r="P149" i="18" s="1"/>
  <c r="R149" i="18" s="1"/>
  <c r="U149" i="18" s="1"/>
  <c r="O137" i="18" a="1"/>
  <c r="O137" i="18" s="1"/>
  <c r="S137" i="18" a="1"/>
  <c r="S137" i="18" s="1"/>
  <c r="T137" i="18" a="1"/>
  <c r="T137" i="18" s="1"/>
  <c r="P137" i="18" a="1"/>
  <c r="P137" i="18" s="1"/>
  <c r="O125" i="18" a="1"/>
  <c r="O125" i="18" s="1"/>
  <c r="P125" i="18" a="1"/>
  <c r="P125" i="18" s="1"/>
  <c r="R125" i="18" s="1"/>
  <c r="U125" i="18" s="1"/>
  <c r="O117" i="18" a="1"/>
  <c r="O117" i="18" s="1"/>
  <c r="P117" i="18" a="1"/>
  <c r="P117" i="18" s="1"/>
  <c r="R117" i="18" s="1"/>
  <c r="U117" i="18" s="1"/>
  <c r="O105" i="18" a="1"/>
  <c r="O105" i="18" s="1"/>
  <c r="S105" i="18" a="1"/>
  <c r="S105" i="18" s="1"/>
  <c r="T105" i="18" a="1"/>
  <c r="T105" i="18" s="1"/>
  <c r="P105" i="18" a="1"/>
  <c r="P105" i="18" s="1"/>
  <c r="O97" i="18" a="1"/>
  <c r="O97" i="18" s="1"/>
  <c r="S97" i="18" a="1"/>
  <c r="S97" i="18" s="1"/>
  <c r="T97" i="18" a="1"/>
  <c r="T97" i="18" s="1"/>
  <c r="O89" i="18" a="1"/>
  <c r="O89" i="18" s="1"/>
  <c r="P89" i="18" a="1"/>
  <c r="P89" i="18" s="1"/>
  <c r="S89" i="18" a="1"/>
  <c r="S89" i="18" s="1"/>
  <c r="T89" i="18" a="1"/>
  <c r="T89" i="18" s="1"/>
  <c r="O81" i="18" a="1"/>
  <c r="O81" i="18" s="1"/>
  <c r="P81" i="18" a="1"/>
  <c r="P81" i="18" s="1"/>
  <c r="S81" i="18" a="1"/>
  <c r="S81" i="18" s="1"/>
  <c r="T81" i="18" a="1"/>
  <c r="T81" i="18" s="1"/>
  <c r="O69" i="18" a="1"/>
  <c r="O69" i="18" s="1"/>
  <c r="P69" i="18" a="1"/>
  <c r="P69" i="18" s="1"/>
  <c r="R69" i="18" s="1"/>
  <c r="U69" i="18" s="1"/>
  <c r="S69" i="18" a="1"/>
  <c r="S69" i="18" s="1"/>
  <c r="P61" i="18" a="1"/>
  <c r="P61" i="18" s="1"/>
  <c r="R61" i="18" s="1"/>
  <c r="U61" i="18" s="1"/>
  <c r="S22" i="18" a="1"/>
  <c r="S22" i="18" s="1"/>
  <c r="O104" i="18" a="1"/>
  <c r="O104" i="18" s="1"/>
  <c r="P57" i="18" a="1"/>
  <c r="P57" i="18" s="1"/>
  <c r="P78" i="18" a="1"/>
  <c r="P78" i="18" s="1"/>
  <c r="P110" i="18" a="1"/>
  <c r="P110" i="18" s="1"/>
  <c r="R110" i="18" s="1"/>
  <c r="U110" i="18" s="1"/>
  <c r="P142" i="18" a="1"/>
  <c r="P142" i="18" s="1"/>
  <c r="S9" i="18" a="1"/>
  <c r="S9" i="18" s="1"/>
  <c r="S17" i="18" a="1"/>
  <c r="S17" i="18" s="1"/>
  <c r="S24" i="18" a="1"/>
  <c r="S24" i="18" s="1"/>
  <c r="S28" i="18" a="1"/>
  <c r="S28" i="18" s="1"/>
  <c r="S32" i="18" a="1"/>
  <c r="S32" i="18" s="1"/>
  <c r="S36" i="18" a="1"/>
  <c r="S36" i="18" s="1"/>
  <c r="S40" i="18" a="1"/>
  <c r="S40" i="18" s="1"/>
  <c r="S44" i="18" a="1"/>
  <c r="S44" i="18" s="1"/>
  <c r="S48" i="18" a="1"/>
  <c r="S48" i="18" s="1"/>
  <c r="S52" i="18" a="1"/>
  <c r="S52" i="18" s="1"/>
  <c r="S56" i="18" a="1"/>
  <c r="S56" i="18" s="1"/>
  <c r="S60" i="18" a="1"/>
  <c r="S60" i="18" s="1"/>
  <c r="S64" i="18" a="1"/>
  <c r="S64" i="18" s="1"/>
  <c r="S68" i="18" a="1"/>
  <c r="S68" i="18" s="1"/>
  <c r="S72" i="18" a="1"/>
  <c r="S72" i="18" s="1"/>
  <c r="S76" i="18" a="1"/>
  <c r="S76" i="18" s="1"/>
  <c r="S80" i="18" a="1"/>
  <c r="S80" i="18" s="1"/>
  <c r="S84" i="18" a="1"/>
  <c r="S84" i="18" s="1"/>
  <c r="S88" i="18" a="1"/>
  <c r="S88" i="18" s="1"/>
  <c r="S92" i="18" a="1"/>
  <c r="S92" i="18" s="1"/>
  <c r="S96" i="18" a="1"/>
  <c r="S96" i="18" s="1"/>
  <c r="S100" i="18" a="1"/>
  <c r="S100" i="18" s="1"/>
  <c r="S104" i="18" a="1"/>
  <c r="S104" i="18" s="1"/>
  <c r="S107" i="18" a="1"/>
  <c r="S107" i="18" s="1"/>
  <c r="S112" i="18" a="1"/>
  <c r="S112" i="18" s="1"/>
  <c r="S115" i="18" a="1"/>
  <c r="S115" i="18" s="1"/>
  <c r="S120" i="18" a="1"/>
  <c r="S120" i="18" s="1"/>
  <c r="S123" i="18" a="1"/>
  <c r="S123" i="18" s="1"/>
  <c r="S128" i="18" a="1"/>
  <c r="S128" i="18" s="1"/>
  <c r="S131" i="18" a="1"/>
  <c r="S131" i="18" s="1"/>
  <c r="S136" i="18" a="1"/>
  <c r="S136" i="18" s="1"/>
  <c r="S139" i="18" a="1"/>
  <c r="S139" i="18" s="1"/>
  <c r="S144" i="18" a="1"/>
  <c r="S144" i="18" s="1"/>
  <c r="S147" i="18" a="1"/>
  <c r="S147" i="18" s="1"/>
  <c r="S152" i="18" a="1"/>
  <c r="S152" i="18" s="1"/>
  <c r="S155" i="18" a="1"/>
  <c r="S155" i="18" s="1"/>
  <c r="S160" i="18" a="1"/>
  <c r="S160" i="18" s="1"/>
  <c r="S163" i="18" a="1"/>
  <c r="S163" i="18" s="1"/>
  <c r="S168" i="18" a="1"/>
  <c r="S168" i="18" s="1"/>
  <c r="T3" i="18" a="1"/>
  <c r="T3" i="18" s="1"/>
  <c r="T8" i="18" a="1"/>
  <c r="T8" i="18" s="1"/>
  <c r="T11" i="18" a="1"/>
  <c r="T11" i="18" s="1"/>
  <c r="T16" i="18" a="1"/>
  <c r="T16" i="18" s="1"/>
  <c r="T19" i="18" a="1"/>
  <c r="T19" i="18" s="1"/>
  <c r="T24" i="18" a="1"/>
  <c r="T24" i="18" s="1"/>
  <c r="T27" i="18" a="1"/>
  <c r="T27" i="18" s="1"/>
  <c r="T32" i="18" a="1"/>
  <c r="T32" i="18" s="1"/>
  <c r="T35" i="18" a="1"/>
  <c r="T35" i="18" s="1"/>
  <c r="T40" i="18" a="1"/>
  <c r="T40" i="18" s="1"/>
  <c r="T43" i="18" a="1"/>
  <c r="T43" i="18" s="1"/>
  <c r="T48" i="18" a="1"/>
  <c r="T48" i="18" s="1"/>
  <c r="T51" i="18" a="1"/>
  <c r="T51" i="18" s="1"/>
  <c r="T56" i="18" a="1"/>
  <c r="T56" i="18" s="1"/>
  <c r="P49" i="18" a="1"/>
  <c r="P49" i="18" s="1"/>
  <c r="R49" i="18" s="1"/>
  <c r="U49" i="18" s="1"/>
  <c r="P70" i="18" a="1"/>
  <c r="P70" i="18" s="1"/>
  <c r="P102" i="18" a="1"/>
  <c r="P102" i="18" s="1"/>
  <c r="P134" i="18" a="1"/>
  <c r="P134" i="18" s="1"/>
  <c r="P166" i="18" a="1"/>
  <c r="P166" i="18" s="1"/>
  <c r="R166" i="18" s="1"/>
  <c r="U166" i="18" s="1"/>
  <c r="S3" i="18" a="1"/>
  <c r="S3" i="18" s="1"/>
  <c r="S11" i="18" a="1"/>
  <c r="S11" i="18" s="1"/>
  <c r="S19" i="18" a="1"/>
  <c r="S19" i="18" s="1"/>
  <c r="S25" i="18" a="1"/>
  <c r="S25" i="18" s="1"/>
  <c r="S29" i="18" a="1"/>
  <c r="S29" i="18" s="1"/>
  <c r="S33" i="18" a="1"/>
  <c r="S33" i="18" s="1"/>
  <c r="S37" i="18" a="1"/>
  <c r="S37" i="18" s="1"/>
  <c r="S41" i="18" a="1"/>
  <c r="S41" i="18" s="1"/>
  <c r="S45" i="18" a="1"/>
  <c r="S45" i="18" s="1"/>
  <c r="S49" i="18" a="1"/>
  <c r="S49" i="18" s="1"/>
  <c r="S53" i="18" a="1"/>
  <c r="S53" i="18" s="1"/>
  <c r="S57" i="18" a="1"/>
  <c r="S57" i="18" s="1"/>
  <c r="S61" i="18" a="1"/>
  <c r="S61" i="18" s="1"/>
  <c r="S110" i="18" a="1"/>
  <c r="S110" i="18" s="1"/>
  <c r="S118" i="18" a="1"/>
  <c r="S118" i="18" s="1"/>
  <c r="S126" i="18" a="1"/>
  <c r="S126" i="18" s="1"/>
  <c r="S134" i="18" a="1"/>
  <c r="S134" i="18" s="1"/>
  <c r="S142" i="18" a="1"/>
  <c r="S142" i="18" s="1"/>
  <c r="S150" i="18" a="1"/>
  <c r="S150" i="18" s="1"/>
  <c r="S158" i="18" a="1"/>
  <c r="S158" i="18" s="1"/>
  <c r="S166" i="18" a="1"/>
  <c r="S166" i="18" s="1"/>
  <c r="T6" i="18" a="1"/>
  <c r="T6" i="18" s="1"/>
  <c r="T9" i="18" a="1"/>
  <c r="T9" i="18" s="1"/>
  <c r="T14" i="18" a="1"/>
  <c r="T14" i="18" s="1"/>
  <c r="T17" i="18" a="1"/>
  <c r="T17" i="18" s="1"/>
  <c r="T22" i="18" a="1"/>
  <c r="T22" i="18" s="1"/>
  <c r="T25" i="18" a="1"/>
  <c r="T25" i="18" s="1"/>
  <c r="T30" i="18" a="1"/>
  <c r="T30" i="18" s="1"/>
  <c r="T33" i="18" a="1"/>
  <c r="T33" i="18" s="1"/>
  <c r="T38" i="18" a="1"/>
  <c r="T38" i="18" s="1"/>
  <c r="T41" i="18" a="1"/>
  <c r="T41" i="18" s="1"/>
  <c r="T46" i="18" a="1"/>
  <c r="T46" i="18" s="1"/>
  <c r="T49" i="18" a="1"/>
  <c r="T49" i="18" s="1"/>
  <c r="T54" i="18" a="1"/>
  <c r="T54" i="18" s="1"/>
  <c r="T57" i="18" a="1"/>
  <c r="T57" i="18" s="1"/>
  <c r="T62" i="18" a="1"/>
  <c r="T62" i="18" s="1"/>
  <c r="T70" i="18" a="1"/>
  <c r="T70" i="18" s="1"/>
  <c r="T78" i="18" a="1"/>
  <c r="T78" i="18" s="1"/>
  <c r="T86" i="18" a="1"/>
  <c r="T86" i="18" s="1"/>
  <c r="T94" i="18" a="1"/>
  <c r="T94" i="18" s="1"/>
  <c r="T102" i="18" a="1"/>
  <c r="T102" i="18" s="1"/>
  <c r="T110" i="18" a="1"/>
  <c r="T110" i="18" s="1"/>
  <c r="T118" i="18" a="1"/>
  <c r="T118" i="18" s="1"/>
  <c r="T126" i="18" a="1"/>
  <c r="T126" i="18" s="1"/>
  <c r="T134" i="18" a="1"/>
  <c r="T134" i="18" s="1"/>
  <c r="T142" i="18" a="1"/>
  <c r="T142" i="18" s="1"/>
  <c r="T150" i="18" a="1"/>
  <c r="T150" i="18" s="1"/>
  <c r="T158" i="18" a="1"/>
  <c r="T158" i="18" s="1"/>
  <c r="T166" i="18" a="1"/>
  <c r="T166" i="18" s="1"/>
  <c r="P7" i="18" a="1"/>
  <c r="P7" i="18" s="1"/>
  <c r="P62" i="18" a="1"/>
  <c r="P62" i="18" s="1"/>
  <c r="R62" i="18" s="1"/>
  <c r="U62" i="18" s="1"/>
  <c r="P94" i="18" a="1"/>
  <c r="P94" i="18" s="1"/>
  <c r="R94" i="18" s="1"/>
  <c r="U94" i="18" s="1"/>
  <c r="P126" i="18" a="1"/>
  <c r="P126" i="18" s="1"/>
  <c r="P158" i="18" a="1"/>
  <c r="P158" i="18" s="1"/>
  <c r="R158" i="18" s="1"/>
  <c r="U158" i="18" s="1"/>
  <c r="S5" i="18" a="1"/>
  <c r="S5" i="18" s="1"/>
  <c r="S13" i="18" a="1"/>
  <c r="S13" i="18" s="1"/>
  <c r="S21" i="18" a="1"/>
  <c r="S21" i="18" s="1"/>
  <c r="S26" i="18" a="1"/>
  <c r="S26" i="18" s="1"/>
  <c r="S30" i="18" a="1"/>
  <c r="S30" i="18" s="1"/>
  <c r="S34" i="18" a="1"/>
  <c r="S34" i="18" s="1"/>
  <c r="S38" i="18" a="1"/>
  <c r="S38" i="18" s="1"/>
  <c r="S42" i="18" a="1"/>
  <c r="S42" i="18" s="1"/>
  <c r="S46" i="18" a="1"/>
  <c r="S46" i="18" s="1"/>
  <c r="S50" i="18" a="1"/>
  <c r="S50" i="18" s="1"/>
  <c r="S54" i="18" a="1"/>
  <c r="S54" i="18" s="1"/>
  <c r="S58" i="18" a="1"/>
  <c r="S58" i="18" s="1"/>
  <c r="S62" i="18" a="1"/>
  <c r="S62" i="18" s="1"/>
  <c r="S66" i="18" a="1"/>
  <c r="S66" i="18" s="1"/>
  <c r="S70" i="18" a="1"/>
  <c r="S70" i="18" s="1"/>
  <c r="S74" i="18" a="1"/>
  <c r="S74" i="18" s="1"/>
  <c r="S78" i="18" a="1"/>
  <c r="S78" i="18" s="1"/>
  <c r="S82" i="18" a="1"/>
  <c r="S82" i="18" s="1"/>
  <c r="S86" i="18" a="1"/>
  <c r="S86" i="18" s="1"/>
  <c r="S90" i="18" a="1"/>
  <c r="S90" i="18" s="1"/>
  <c r="S94" i="18" a="1"/>
  <c r="S94" i="18" s="1"/>
  <c r="S98" i="18" a="1"/>
  <c r="S98" i="18" s="1"/>
  <c r="S102" i="18" a="1"/>
  <c r="S102" i="18" s="1"/>
  <c r="S108" i="18" a="1"/>
  <c r="S108" i="18" s="1"/>
  <c r="S111" i="18" a="1"/>
  <c r="S111" i="18" s="1"/>
  <c r="S116" i="18" a="1"/>
  <c r="S116" i="18" s="1"/>
  <c r="S119" i="18" a="1"/>
  <c r="S119" i="18" s="1"/>
  <c r="S124" i="18" a="1"/>
  <c r="S124" i="18" s="1"/>
  <c r="S127" i="18" a="1"/>
  <c r="S127" i="18" s="1"/>
  <c r="S132" i="18" a="1"/>
  <c r="S132" i="18" s="1"/>
  <c r="S135" i="18" a="1"/>
  <c r="S135" i="18" s="1"/>
  <c r="S140" i="18" a="1"/>
  <c r="S140" i="18" s="1"/>
  <c r="S143" i="18" a="1"/>
  <c r="S143" i="18" s="1"/>
  <c r="S148" i="18" a="1"/>
  <c r="S148" i="18" s="1"/>
  <c r="S151" i="18" a="1"/>
  <c r="S151" i="18" s="1"/>
  <c r="S156" i="18" a="1"/>
  <c r="S156" i="18" s="1"/>
  <c r="S159" i="18" a="1"/>
  <c r="S159" i="18" s="1"/>
  <c r="S164" i="18" a="1"/>
  <c r="S164" i="18" s="1"/>
  <c r="S167" i="18" a="1"/>
  <c r="S167" i="18" s="1"/>
  <c r="T4" i="18" a="1"/>
  <c r="T4" i="18" s="1"/>
  <c r="T7" i="18" a="1"/>
  <c r="T7" i="18" s="1"/>
  <c r="T12" i="18" a="1"/>
  <c r="T12" i="18" s="1"/>
  <c r="T15" i="18" a="1"/>
  <c r="T15" i="18" s="1"/>
  <c r="T20" i="18" a="1"/>
  <c r="T20" i="18" s="1"/>
  <c r="T23" i="18" a="1"/>
  <c r="T23" i="18" s="1"/>
  <c r="T28" i="18" a="1"/>
  <c r="T28" i="18" s="1"/>
  <c r="T31" i="18" a="1"/>
  <c r="T31" i="18" s="1"/>
  <c r="T36" i="18" a="1"/>
  <c r="T36" i="18" s="1"/>
  <c r="T39" i="18" a="1"/>
  <c r="T39" i="18" s="1"/>
  <c r="T44" i="18" a="1"/>
  <c r="T44" i="18" s="1"/>
  <c r="T47" i="18" a="1"/>
  <c r="T47" i="18" s="1"/>
  <c r="T52" i="18" a="1"/>
  <c r="T52" i="18" s="1"/>
  <c r="T167" i="18" a="1"/>
  <c r="T167" i="18" s="1"/>
  <c r="T163" i="18" a="1"/>
  <c r="T163" i="18" s="1"/>
  <c r="T156" i="18" a="1"/>
  <c r="T156" i="18" s="1"/>
  <c r="T152" i="18" a="1"/>
  <c r="T152" i="18" s="1"/>
  <c r="T149" i="18" a="1"/>
  <c r="T149" i="18" s="1"/>
  <c r="T138" i="18" a="1"/>
  <c r="T138" i="18" s="1"/>
  <c r="T135" i="18" a="1"/>
  <c r="T135" i="18" s="1"/>
  <c r="T131" i="18" a="1"/>
  <c r="T131" i="18" s="1"/>
  <c r="T124" i="18" a="1"/>
  <c r="T124" i="18" s="1"/>
  <c r="T120" i="18" a="1"/>
  <c r="T120" i="18" s="1"/>
  <c r="T117" i="18" a="1"/>
  <c r="T117" i="18" s="1"/>
  <c r="T106" i="18" a="1"/>
  <c r="T106" i="18" s="1"/>
  <c r="T103" i="18" a="1"/>
  <c r="T103" i="18" s="1"/>
  <c r="T99" i="18" a="1"/>
  <c r="T99" i="18" s="1"/>
  <c r="T92" i="18" a="1"/>
  <c r="T92" i="18" s="1"/>
  <c r="T88" i="18" a="1"/>
  <c r="T88" i="18" s="1"/>
  <c r="T74" i="18" a="1"/>
  <c r="T74" i="18" s="1"/>
  <c r="T71" i="18" a="1"/>
  <c r="T71" i="18" s="1"/>
  <c r="T67" i="18" a="1"/>
  <c r="T67" i="18" s="1"/>
  <c r="T60" i="18" a="1"/>
  <c r="T60" i="18" s="1"/>
  <c r="T37" i="18" a="1"/>
  <c r="T37" i="18" s="1"/>
  <c r="T26" i="18" a="1"/>
  <c r="T26" i="18" s="1"/>
  <c r="T5" i="18" a="1"/>
  <c r="T5" i="18" s="1"/>
  <c r="S162" i="18" a="1"/>
  <c r="S162" i="18" s="1"/>
  <c r="S141" i="18" a="1"/>
  <c r="S141" i="18" s="1"/>
  <c r="S130" i="18" a="1"/>
  <c r="S130" i="18" s="1"/>
  <c r="S109" i="18" a="1"/>
  <c r="S109" i="18" s="1"/>
  <c r="S95" i="18" a="1"/>
  <c r="S95" i="18" s="1"/>
  <c r="S79" i="18" a="1"/>
  <c r="S79" i="18" s="1"/>
  <c r="S63" i="18" a="1"/>
  <c r="S63" i="18" s="1"/>
  <c r="S47" i="18" a="1"/>
  <c r="S47" i="18" s="1"/>
  <c r="S31" i="18" a="1"/>
  <c r="S31" i="18" s="1"/>
  <c r="S7" i="18" a="1"/>
  <c r="S7" i="18" s="1"/>
  <c r="P118" i="18" a="1"/>
  <c r="P118" i="18" s="1"/>
  <c r="O61" i="18" a="1"/>
  <c r="O61" i="18" s="1"/>
  <c r="R142" i="18"/>
  <c r="U142" i="18" s="1"/>
  <c r="R161" i="18"/>
  <c r="U161" i="18" s="1"/>
  <c r="R129" i="18"/>
  <c r="U129" i="18" s="1"/>
  <c r="R81" i="18"/>
  <c r="U81" i="18" s="1"/>
  <c r="O161" i="18" a="1"/>
  <c r="O161" i="18" s="1"/>
  <c r="S161" i="18" a="1"/>
  <c r="S161" i="18" s="1"/>
  <c r="T161" i="18" a="1"/>
  <c r="T161" i="18" s="1"/>
  <c r="O145" i="18" a="1"/>
  <c r="O145" i="18" s="1"/>
  <c r="P145" i="18" a="1"/>
  <c r="P145" i="18" s="1"/>
  <c r="S145" i="18" a="1"/>
  <c r="S145" i="18" s="1"/>
  <c r="T145" i="18" a="1"/>
  <c r="T145" i="18" s="1"/>
  <c r="O129" i="18" a="1"/>
  <c r="O129" i="18" s="1"/>
  <c r="S129" i="18" a="1"/>
  <c r="S129" i="18" s="1"/>
  <c r="T129" i="18" a="1"/>
  <c r="T129" i="18" s="1"/>
  <c r="O113" i="18" a="1"/>
  <c r="O113" i="18" s="1"/>
  <c r="P113" i="18" a="1"/>
  <c r="P113" i="18" s="1"/>
  <c r="R113" i="18" s="1"/>
  <c r="U113" i="18" s="1"/>
  <c r="S113" i="18" a="1"/>
  <c r="S113" i="18" s="1"/>
  <c r="T113" i="18" a="1"/>
  <c r="T113" i="18" s="1"/>
  <c r="O77" i="18" a="1"/>
  <c r="O77" i="18" s="1"/>
  <c r="P77" i="18" a="1"/>
  <c r="P77" i="18" s="1"/>
  <c r="R77" i="18" s="1"/>
  <c r="U77" i="18" s="1"/>
  <c r="S77" i="18" a="1"/>
  <c r="S77" i="18" s="1"/>
  <c r="U65" i="18"/>
  <c r="T162" i="18" a="1"/>
  <c r="T162" i="18" s="1"/>
  <c r="T159" i="18" a="1"/>
  <c r="T159" i="18" s="1"/>
  <c r="T155" i="18" a="1"/>
  <c r="T155" i="18" s="1"/>
  <c r="T148" i="18" a="1"/>
  <c r="T148" i="18" s="1"/>
  <c r="T144" i="18" a="1"/>
  <c r="T144" i="18" s="1"/>
  <c r="T130" i="18" a="1"/>
  <c r="T130" i="18" s="1"/>
  <c r="T127" i="18" a="1"/>
  <c r="T127" i="18" s="1"/>
  <c r="T123" i="18" a="1"/>
  <c r="T123" i="18" s="1"/>
  <c r="T116" i="18" a="1"/>
  <c r="T116" i="18" s="1"/>
  <c r="T112" i="18" a="1"/>
  <c r="T112" i="18" s="1"/>
  <c r="T98" i="18" a="1"/>
  <c r="T98" i="18" s="1"/>
  <c r="T95" i="18" a="1"/>
  <c r="T95" i="18" s="1"/>
  <c r="T91" i="18" a="1"/>
  <c r="T91" i="18" s="1"/>
  <c r="T84" i="18" a="1"/>
  <c r="T84" i="18" s="1"/>
  <c r="T80" i="18" a="1"/>
  <c r="T80" i="18" s="1"/>
  <c r="T77" i="18" a="1"/>
  <c r="T77" i="18" s="1"/>
  <c r="T66" i="18" a="1"/>
  <c r="T66" i="18" s="1"/>
  <c r="T63" i="18" a="1"/>
  <c r="T63" i="18" s="1"/>
  <c r="T59" i="18" a="1"/>
  <c r="T59" i="18" s="1"/>
  <c r="T55" i="18" a="1"/>
  <c r="T55" i="18" s="1"/>
  <c r="T45" i="18" a="1"/>
  <c r="T45" i="18" s="1"/>
  <c r="T34" i="18" a="1"/>
  <c r="T34" i="18" s="1"/>
  <c r="T13" i="18" a="1"/>
  <c r="T13" i="18" s="1"/>
  <c r="T2" i="18" a="1"/>
  <c r="T2" i="18" s="1"/>
  <c r="S149" i="18" a="1"/>
  <c r="S149" i="18" s="1"/>
  <c r="S138" i="18" a="1"/>
  <c r="S138" i="18" s="1"/>
  <c r="S117" i="18" a="1"/>
  <c r="S117" i="18" s="1"/>
  <c r="S106" i="18" a="1"/>
  <c r="S106" i="18" s="1"/>
  <c r="S91" i="18" a="1"/>
  <c r="S91" i="18" s="1"/>
  <c r="S75" i="18" a="1"/>
  <c r="S75" i="18" s="1"/>
  <c r="S59" i="18" a="1"/>
  <c r="S59" i="18" s="1"/>
  <c r="S43" i="18" a="1"/>
  <c r="S43" i="18" s="1"/>
  <c r="S27" i="18" a="1"/>
  <c r="S27" i="18" s="1"/>
  <c r="P150" i="18" a="1"/>
  <c r="P150" i="18" s="1"/>
  <c r="R150" i="18" s="1"/>
  <c r="U150" i="18" s="1"/>
  <c r="R126" i="18"/>
  <c r="U126" i="18" s="1"/>
  <c r="R78" i="18"/>
  <c r="U78" i="18" s="1"/>
  <c r="R145" i="18"/>
  <c r="U145" i="18" s="1"/>
  <c r="O165" i="18" a="1"/>
  <c r="O165" i="18" s="1"/>
  <c r="P165" i="18" a="1"/>
  <c r="P165" i="18" s="1"/>
  <c r="O153" i="18" a="1"/>
  <c r="O153" i="18" s="1"/>
  <c r="P153" i="18" a="1"/>
  <c r="P153" i="18" s="1"/>
  <c r="R153" i="18" s="1"/>
  <c r="U153" i="18" s="1"/>
  <c r="S153" i="18" a="1"/>
  <c r="S153" i="18" s="1"/>
  <c r="T153" i="18" a="1"/>
  <c r="T153" i="18" s="1"/>
  <c r="O141" i="18" a="1"/>
  <c r="O141" i="18" s="1"/>
  <c r="P141" i="18" a="1"/>
  <c r="P141" i="18" s="1"/>
  <c r="R141" i="18" s="1"/>
  <c r="U141" i="18" s="1"/>
  <c r="O133" i="18" a="1"/>
  <c r="O133" i="18" s="1"/>
  <c r="P133" i="18" a="1"/>
  <c r="P133" i="18" s="1"/>
  <c r="R133" i="18" s="1"/>
  <c r="U133" i="18" s="1"/>
  <c r="O121" i="18" a="1"/>
  <c r="O121" i="18" s="1"/>
  <c r="P121" i="18" a="1"/>
  <c r="P121" i="18" s="1"/>
  <c r="R121" i="18" s="1"/>
  <c r="U121" i="18" s="1"/>
  <c r="S121" i="18" a="1"/>
  <c r="S121" i="18" s="1"/>
  <c r="T121" i="18" a="1"/>
  <c r="T121" i="18" s="1"/>
  <c r="O109" i="18" a="1"/>
  <c r="O109" i="18" s="1"/>
  <c r="P109" i="18" a="1"/>
  <c r="P109" i="18" s="1"/>
  <c r="R109" i="18" s="1"/>
  <c r="U109" i="18" s="1"/>
  <c r="O101" i="18" a="1"/>
  <c r="O101" i="18" s="1"/>
  <c r="P101" i="18" a="1"/>
  <c r="P101" i="18" s="1"/>
  <c r="R101" i="18" s="1"/>
  <c r="U101" i="18" s="1"/>
  <c r="S101" i="18" a="1"/>
  <c r="S101" i="18" s="1"/>
  <c r="P93" i="18" a="1"/>
  <c r="P93" i="18" s="1"/>
  <c r="R93" i="18" s="1"/>
  <c r="U93" i="18" s="1"/>
  <c r="O93" i="18" a="1"/>
  <c r="O93" i="18" s="1"/>
  <c r="S93" i="18" a="1"/>
  <c r="S93" i="18" s="1"/>
  <c r="O85" i="18" a="1"/>
  <c r="O85" i="18" s="1"/>
  <c r="P85" i="18" a="1"/>
  <c r="P85" i="18" s="1"/>
  <c r="R85" i="18" s="1"/>
  <c r="U85" i="18" s="1"/>
  <c r="S85" i="18" a="1"/>
  <c r="S85" i="18" s="1"/>
  <c r="O73" i="18" a="1"/>
  <c r="O73" i="18" s="1"/>
  <c r="S73" i="18" a="1"/>
  <c r="S73" i="18" s="1"/>
  <c r="T73" i="18" a="1"/>
  <c r="T73" i="18" s="1"/>
  <c r="P73" i="18" a="1"/>
  <c r="P73" i="18" s="1"/>
  <c r="R73" i="18" s="1"/>
  <c r="U73" i="18" s="1"/>
  <c r="O65" i="18" a="1"/>
  <c r="O65" i="18" s="1"/>
  <c r="S65" i="18" a="1"/>
  <c r="S65" i="18" s="1"/>
  <c r="T65" i="18" a="1"/>
  <c r="T65" i="18" s="1"/>
  <c r="T168" i="18" a="1"/>
  <c r="T168" i="18" s="1"/>
  <c r="T165" i="18" a="1"/>
  <c r="T165" i="18" s="1"/>
  <c r="T154" i="18" a="1"/>
  <c r="T154" i="18" s="1"/>
  <c r="T151" i="18" a="1"/>
  <c r="T151" i="18" s="1"/>
  <c r="T147" i="18" a="1"/>
  <c r="T147" i="18" s="1"/>
  <c r="T140" i="18" a="1"/>
  <c r="T140" i="18" s="1"/>
  <c r="T136" i="18" a="1"/>
  <c r="T136" i="18" s="1"/>
  <c r="T133" i="18" a="1"/>
  <c r="T133" i="18" s="1"/>
  <c r="T122" i="18" a="1"/>
  <c r="T122" i="18" s="1"/>
  <c r="T119" i="18" a="1"/>
  <c r="T119" i="18" s="1"/>
  <c r="T115" i="18" a="1"/>
  <c r="T115" i="18" s="1"/>
  <c r="T108" i="18" a="1"/>
  <c r="T108" i="18" s="1"/>
  <c r="T104" i="18" a="1"/>
  <c r="T104" i="18" s="1"/>
  <c r="T101" i="18" a="1"/>
  <c r="T101" i="18" s="1"/>
  <c r="T90" i="18" a="1"/>
  <c r="T90" i="18" s="1"/>
  <c r="T87" i="18" a="1"/>
  <c r="T87" i="18" s="1"/>
  <c r="T83" i="18" a="1"/>
  <c r="T83" i="18" s="1"/>
  <c r="T76" i="18" a="1"/>
  <c r="T76" i="18" s="1"/>
  <c r="T72" i="18" a="1"/>
  <c r="T72" i="18" s="1"/>
  <c r="T69" i="18" a="1"/>
  <c r="T69" i="18" s="1"/>
  <c r="T58" i="18" a="1"/>
  <c r="T58" i="18" s="1"/>
  <c r="T53" i="18" a="1"/>
  <c r="T53" i="18" s="1"/>
  <c r="T42" i="18" a="1"/>
  <c r="T42" i="18" s="1"/>
  <c r="T21" i="18" a="1"/>
  <c r="T21" i="18" s="1"/>
  <c r="T10" i="18" a="1"/>
  <c r="T10" i="18" s="1"/>
  <c r="S157" i="18" a="1"/>
  <c r="S157" i="18" s="1"/>
  <c r="S146" i="18" a="1"/>
  <c r="S146" i="18" s="1"/>
  <c r="S125" i="18" a="1"/>
  <c r="S125" i="18" s="1"/>
  <c r="S114" i="18" a="1"/>
  <c r="S114" i="18" s="1"/>
  <c r="S103" i="18" a="1"/>
  <c r="S103" i="18" s="1"/>
  <c r="S87" i="18" a="1"/>
  <c r="S87" i="18" s="1"/>
  <c r="S71" i="18" a="1"/>
  <c r="S71" i="18" s="1"/>
  <c r="S55" i="18" a="1"/>
  <c r="S55" i="18" s="1"/>
  <c r="S39" i="18" a="1"/>
  <c r="S39" i="18" s="1"/>
  <c r="S23" i="18" a="1"/>
  <c r="S23" i="18" s="1"/>
  <c r="P97" i="18" a="1"/>
  <c r="P97" i="18" s="1"/>
  <c r="R97" i="18" s="1"/>
  <c r="U97" i="18" s="1"/>
  <c r="P54" i="18" a="1"/>
  <c r="P54" i="18" s="1"/>
  <c r="R54" i="18" s="1"/>
  <c r="U54" i="18" s="1"/>
  <c r="R169" i="18"/>
  <c r="U169" i="18" s="1"/>
  <c r="R23" i="18"/>
  <c r="U23" i="18" s="1"/>
  <c r="R7" i="18"/>
  <c r="U7" i="18" s="1"/>
  <c r="R134" i="18"/>
  <c r="U134" i="18" s="1"/>
  <c r="R118" i="18"/>
  <c r="U118" i="18" s="1"/>
  <c r="R102" i="18"/>
  <c r="U102" i="18" s="1"/>
  <c r="R86" i="18"/>
  <c r="U86" i="18" s="1"/>
  <c r="R70" i="18"/>
  <c r="U70" i="18" s="1"/>
  <c r="R165" i="18"/>
  <c r="U165" i="18" s="1"/>
  <c r="R137" i="18"/>
  <c r="U137" i="18" s="1"/>
  <c r="R105" i="18"/>
  <c r="U105" i="18" s="1"/>
  <c r="R89" i="18"/>
  <c r="U89" i="18" s="1"/>
  <c r="R57" i="18"/>
  <c r="U57" i="18" s="1"/>
  <c r="O57" i="18" a="1"/>
  <c r="O57" i="18" s="1"/>
  <c r="O53" i="18" a="1"/>
  <c r="O53" i="18" s="1"/>
  <c r="O49" i="18" a="1"/>
  <c r="O49" i="18" s="1"/>
  <c r="O45" i="18" a="1"/>
  <c r="O45" i="18" s="1"/>
  <c r="P45" i="18" a="1"/>
  <c r="P45" i="18" s="1"/>
  <c r="R45" i="18" s="1"/>
  <c r="U45" i="18" s="1"/>
  <c r="O41" i="18" a="1"/>
  <c r="O41" i="18" s="1"/>
  <c r="P37" i="18" a="1"/>
  <c r="P37" i="18" s="1"/>
  <c r="R37" i="18" s="1"/>
  <c r="U37" i="18" s="1"/>
  <c r="O37" i="18" a="1"/>
  <c r="O37" i="18" s="1"/>
  <c r="O33" i="18" a="1"/>
  <c r="O33" i="18" s="1"/>
  <c r="P33" i="18" a="1"/>
  <c r="P33" i="18" s="1"/>
  <c r="R33" i="18" s="1"/>
  <c r="U33" i="18" s="1"/>
  <c r="P29" i="18" a="1"/>
  <c r="P29" i="18" s="1"/>
  <c r="R29" i="18" s="1"/>
  <c r="U29" i="18" s="1"/>
  <c r="O25" i="18" a="1"/>
  <c r="O25" i="18" s="1"/>
  <c r="P25" i="18" a="1"/>
  <c r="P25" i="18" s="1"/>
  <c r="R25" i="18" s="1"/>
  <c r="U25" i="18" s="1"/>
  <c r="O21" i="18" a="1"/>
  <c r="O21" i="18" s="1"/>
  <c r="P21" i="18" a="1"/>
  <c r="P21" i="18" s="1"/>
  <c r="R21" i="18" s="1"/>
  <c r="U21" i="18" s="1"/>
  <c r="O17" i="18" a="1"/>
  <c r="O17" i="18" s="1"/>
  <c r="P17" i="18" a="1"/>
  <c r="P17" i="18" s="1"/>
  <c r="R17" i="18" s="1"/>
  <c r="U17" i="18" s="1"/>
  <c r="O13" i="18" a="1"/>
  <c r="O13" i="18" s="1"/>
  <c r="P13" i="18" a="1"/>
  <c r="P13" i="18" s="1"/>
  <c r="R13" i="18" s="1"/>
  <c r="U13" i="18" s="1"/>
  <c r="O9" i="18" a="1"/>
  <c r="O9" i="18" s="1"/>
  <c r="P9" i="18" a="1"/>
  <c r="P9" i="18" s="1"/>
  <c r="R9" i="18" s="1"/>
  <c r="U9" i="18" s="1"/>
  <c r="O2" i="18" a="1"/>
  <c r="O2" i="18" s="1"/>
  <c r="O3" i="18" a="1"/>
  <c r="O3" i="18" s="1"/>
  <c r="O5" i="18" a="1"/>
  <c r="O5" i="18" s="1"/>
  <c r="O6" i="18" a="1"/>
  <c r="O6" i="18" s="1"/>
  <c r="O11" i="18" a="1"/>
  <c r="O11" i="18" s="1"/>
  <c r="O14" i="18" a="1"/>
  <c r="O14" i="18" s="1"/>
  <c r="O19" i="18" a="1"/>
  <c r="O19" i="18" s="1"/>
  <c r="O22" i="18" a="1"/>
  <c r="O22" i="18" s="1"/>
  <c r="O27" i="18" a="1"/>
  <c r="O27" i="18" s="1"/>
  <c r="O30" i="18" a="1"/>
  <c r="O30" i="18" s="1"/>
  <c r="O35" i="18" a="1"/>
  <c r="O35" i="18" s="1"/>
  <c r="O38" i="18" a="1"/>
  <c r="O38" i="18" s="1"/>
  <c r="O43" i="18" a="1"/>
  <c r="O43" i="18" s="1"/>
  <c r="O46" i="18" a="1"/>
  <c r="O46" i="18" s="1"/>
  <c r="O51" i="18" a="1"/>
  <c r="O51" i="18" s="1"/>
  <c r="O54" i="18" a="1"/>
  <c r="O54" i="18" s="1"/>
  <c r="O59" i="18" a="1"/>
  <c r="O59" i="18" s="1"/>
  <c r="O62" i="18" a="1"/>
  <c r="O62" i="18" s="1"/>
  <c r="O67" i="18" a="1"/>
  <c r="O67" i="18" s="1"/>
  <c r="O70" i="18" a="1"/>
  <c r="O70" i="18" s="1"/>
  <c r="O75" i="18" a="1"/>
  <c r="O75" i="18" s="1"/>
  <c r="O78" i="18" a="1"/>
  <c r="O78" i="18" s="1"/>
  <c r="O83" i="18" a="1"/>
  <c r="O83" i="18" s="1"/>
  <c r="O86" i="18" a="1"/>
  <c r="O86" i="18" s="1"/>
  <c r="O91" i="18" a="1"/>
  <c r="O91" i="18" s="1"/>
  <c r="O94" i="18" a="1"/>
  <c r="O94" i="18" s="1"/>
  <c r="O99" i="18" a="1"/>
  <c r="O99" i="18" s="1"/>
  <c r="O102" i="18" a="1"/>
  <c r="O102" i="18" s="1"/>
  <c r="O107" i="18" a="1"/>
  <c r="O107" i="18" s="1"/>
  <c r="O110" i="18" a="1"/>
  <c r="O110" i="18" s="1"/>
  <c r="O115" i="18" a="1"/>
  <c r="O115" i="18" s="1"/>
  <c r="O118" i="18" a="1"/>
  <c r="O118" i="18" s="1"/>
  <c r="O123" i="18" a="1"/>
  <c r="O123" i="18" s="1"/>
  <c r="O126" i="18" a="1"/>
  <c r="O126" i="18" s="1"/>
  <c r="O131" i="18" a="1"/>
  <c r="O131" i="18" s="1"/>
  <c r="O134" i="18" a="1"/>
  <c r="O134" i="18" s="1"/>
  <c r="O139" i="18" a="1"/>
  <c r="O139" i="18" s="1"/>
  <c r="O142" i="18" a="1"/>
  <c r="O142" i="18" s="1"/>
  <c r="O147" i="18" a="1"/>
  <c r="O147" i="18" s="1"/>
  <c r="O150" i="18" a="1"/>
  <c r="O150" i="18" s="1"/>
  <c r="O155" i="18" a="1"/>
  <c r="O155" i="18" s="1"/>
  <c r="O158" i="18" a="1"/>
  <c r="O158" i="18" s="1"/>
  <c r="O163" i="18" a="1"/>
  <c r="O163" i="18" s="1"/>
  <c r="O166" i="18" a="1"/>
  <c r="O166" i="18" s="1"/>
  <c r="P3" i="18" a="1"/>
  <c r="P3" i="18" s="1"/>
  <c r="R3" i="18" s="1"/>
  <c r="U3" i="18" s="1"/>
  <c r="O12" i="18" a="1"/>
  <c r="O12" i="18" s="1"/>
  <c r="O20" i="18" a="1"/>
  <c r="O20" i="18" s="1"/>
  <c r="O28" i="18" a="1"/>
  <c r="O28" i="18" s="1"/>
  <c r="O36" i="18" a="1"/>
  <c r="O36" i="18" s="1"/>
  <c r="O44" i="18" a="1"/>
  <c r="O44" i="18" s="1"/>
  <c r="O52" i="18" a="1"/>
  <c r="O52" i="18" s="1"/>
  <c r="O60" i="18" a="1"/>
  <c r="O60" i="18" s="1"/>
  <c r="O68" i="18" a="1"/>
  <c r="O68" i="18" s="1"/>
  <c r="O76" i="18" a="1"/>
  <c r="O76" i="18" s="1"/>
  <c r="O84" i="18" a="1"/>
  <c r="O84" i="18" s="1"/>
  <c r="O92" i="18" a="1"/>
  <c r="O92" i="18" s="1"/>
  <c r="O100" i="18" a="1"/>
  <c r="O100" i="18" s="1"/>
  <c r="O108" i="18" a="1"/>
  <c r="O108" i="18" s="1"/>
  <c r="O116" i="18" a="1"/>
  <c r="O116" i="18" s="1"/>
  <c r="O124" i="18" a="1"/>
  <c r="O124" i="18" s="1"/>
  <c r="O132" i="18" a="1"/>
  <c r="O132" i="18" s="1"/>
  <c r="O140" i="18" a="1"/>
  <c r="O140" i="18" s="1"/>
  <c r="O148" i="18" a="1"/>
  <c r="O148" i="18" s="1"/>
  <c r="O156" i="18" a="1"/>
  <c r="O156" i="18" s="1"/>
  <c r="O164" i="18" a="1"/>
  <c r="O164" i="18" s="1"/>
  <c r="P4" i="18" a="1"/>
  <c r="P4" i="18" s="1"/>
  <c r="R4" i="18" s="1"/>
  <c r="U4" i="18" s="1"/>
  <c r="P6" i="18" a="1"/>
  <c r="P6" i="18" s="1"/>
  <c r="R6" i="18" s="1"/>
  <c r="U6" i="18" s="1"/>
  <c r="P8" i="18" a="1"/>
  <c r="P8" i="18" s="1"/>
  <c r="R8" i="18" s="1"/>
  <c r="U8" i="18" s="1"/>
  <c r="P10" i="18" a="1"/>
  <c r="P10" i="18" s="1"/>
  <c r="R10" i="18" s="1"/>
  <c r="U10" i="18" s="1"/>
  <c r="P12" i="18" a="1"/>
  <c r="P12" i="18" s="1"/>
  <c r="R12" i="18" s="1"/>
  <c r="U12" i="18" s="1"/>
  <c r="P14" i="18" a="1"/>
  <c r="P14" i="18" s="1"/>
  <c r="R14" i="18" s="1"/>
  <c r="U14" i="18" s="1"/>
  <c r="P16" i="18" a="1"/>
  <c r="P16" i="18" s="1"/>
  <c r="R16" i="18" s="1"/>
  <c r="U16" i="18" s="1"/>
  <c r="P18" i="18" a="1"/>
  <c r="P18" i="18" s="1"/>
  <c r="R18" i="18" s="1"/>
  <c r="U18" i="18" s="1"/>
  <c r="P20" i="18" a="1"/>
  <c r="P20" i="18" s="1"/>
  <c r="R20" i="18" s="1"/>
  <c r="U20" i="18" s="1"/>
  <c r="P22" i="18" a="1"/>
  <c r="P22" i="18" s="1"/>
  <c r="R22" i="18" s="1"/>
  <c r="U22" i="18" s="1"/>
  <c r="P24" i="18" a="1"/>
  <c r="P24" i="18" s="1"/>
  <c r="R24" i="18" s="1"/>
  <c r="U24" i="18" s="1"/>
  <c r="P26" i="18" a="1"/>
  <c r="P26" i="18" s="1"/>
  <c r="R26" i="18" s="1"/>
  <c r="U26" i="18" s="1"/>
  <c r="P28" i="18" a="1"/>
  <c r="P28" i="18" s="1"/>
  <c r="R28" i="18" s="1"/>
  <c r="U28" i="18" s="1"/>
  <c r="P30" i="18" a="1"/>
  <c r="P30" i="18" s="1"/>
  <c r="R30" i="18" s="1"/>
  <c r="U30" i="18" s="1"/>
  <c r="P32" i="18" a="1"/>
  <c r="P32" i="18" s="1"/>
  <c r="R32" i="18" s="1"/>
  <c r="U32" i="18" s="1"/>
  <c r="P34" i="18" a="1"/>
  <c r="P34" i="18" s="1"/>
  <c r="R34" i="18" s="1"/>
  <c r="U34" i="18" s="1"/>
  <c r="P36" i="18" a="1"/>
  <c r="P36" i="18" s="1"/>
  <c r="R36" i="18" s="1"/>
  <c r="U36" i="18" s="1"/>
  <c r="O4" i="18" a="1"/>
  <c r="O4" i="18" s="1"/>
  <c r="O7" i="18" a="1"/>
  <c r="O7" i="18" s="1"/>
  <c r="O10" i="18" a="1"/>
  <c r="O10" i="18" s="1"/>
  <c r="O15" i="18" a="1"/>
  <c r="O15" i="18" s="1"/>
  <c r="O18" i="18" a="1"/>
  <c r="O18" i="18" s="1"/>
  <c r="O23" i="18" a="1"/>
  <c r="O23" i="18" s="1"/>
  <c r="O26" i="18" a="1"/>
  <c r="O26" i="18" s="1"/>
  <c r="O31" i="18" a="1"/>
  <c r="O31" i="18" s="1"/>
  <c r="O34" i="18" a="1"/>
  <c r="O34" i="18" s="1"/>
  <c r="O39" i="18" a="1"/>
  <c r="O39" i="18" s="1"/>
  <c r="O42" i="18" a="1"/>
  <c r="O42" i="18" s="1"/>
  <c r="O47" i="18" a="1"/>
  <c r="O47" i="18" s="1"/>
  <c r="O50" i="18" a="1"/>
  <c r="O50" i="18" s="1"/>
  <c r="O55" i="18" a="1"/>
  <c r="O55" i="18" s="1"/>
  <c r="O58" i="18" a="1"/>
  <c r="O58" i="18" s="1"/>
  <c r="O63" i="18" a="1"/>
  <c r="O63" i="18" s="1"/>
  <c r="O66" i="18" a="1"/>
  <c r="O66" i="18" s="1"/>
  <c r="O71" i="18" a="1"/>
  <c r="O71" i="18" s="1"/>
  <c r="O74" i="18" a="1"/>
  <c r="O74" i="18" s="1"/>
  <c r="O79" i="18" a="1"/>
  <c r="O79" i="18" s="1"/>
  <c r="O82" i="18" a="1"/>
  <c r="O82" i="18" s="1"/>
  <c r="O87" i="18" a="1"/>
  <c r="O87" i="18" s="1"/>
  <c r="O90" i="18" a="1"/>
  <c r="O90" i="18" s="1"/>
  <c r="O95" i="18" a="1"/>
  <c r="O95" i="18" s="1"/>
  <c r="O98" i="18" a="1"/>
  <c r="O98" i="18" s="1"/>
  <c r="O103" i="18" a="1"/>
  <c r="O103" i="18" s="1"/>
  <c r="O106" i="18" a="1"/>
  <c r="O106" i="18" s="1"/>
  <c r="O111" i="18" a="1"/>
  <c r="O111" i="18" s="1"/>
  <c r="O114" i="18" a="1"/>
  <c r="O114" i="18" s="1"/>
  <c r="O119" i="18" a="1"/>
  <c r="O119" i="18" s="1"/>
  <c r="O122" i="18" a="1"/>
  <c r="O122" i="18" s="1"/>
  <c r="O127" i="18" a="1"/>
  <c r="O127" i="18" s="1"/>
  <c r="O130" i="18" a="1"/>
  <c r="O130" i="18" s="1"/>
  <c r="O135" i="18" a="1"/>
  <c r="O135" i="18" s="1"/>
  <c r="O138" i="18" a="1"/>
  <c r="O138" i="18" s="1"/>
  <c r="O143" i="18" a="1"/>
  <c r="O143" i="18" s="1"/>
  <c r="O146" i="18" a="1"/>
  <c r="O146" i="18" s="1"/>
  <c r="O151" i="18" a="1"/>
  <c r="O151" i="18" s="1"/>
  <c r="O154" i="18" a="1"/>
  <c r="O154" i="18" s="1"/>
  <c r="O159" i="18" a="1"/>
  <c r="O159" i="18" s="1"/>
  <c r="O162" i="18" a="1"/>
  <c r="O162" i="18" s="1"/>
  <c r="O32" i="18" a="1"/>
  <c r="O32" i="18" s="1"/>
  <c r="O64" i="18" a="1"/>
  <c r="O64" i="18" s="1"/>
  <c r="O96" i="18" a="1"/>
  <c r="O96" i="18" s="1"/>
  <c r="O128" i="18" a="1"/>
  <c r="O128" i="18" s="1"/>
  <c r="O160" i="18" a="1"/>
  <c r="O160" i="18" s="1"/>
  <c r="O167" i="18" a="1"/>
  <c r="O167" i="18" s="1"/>
  <c r="P39" i="18" a="1"/>
  <c r="P39" i="18" s="1"/>
  <c r="R39" i="18" s="1"/>
  <c r="U39" i="18" s="1"/>
  <c r="P42" i="18" a="1"/>
  <c r="P42" i="18" s="1"/>
  <c r="R42" i="18" s="1"/>
  <c r="U42" i="18" s="1"/>
  <c r="P47" i="18" a="1"/>
  <c r="P47" i="18" s="1"/>
  <c r="R47" i="18" s="1"/>
  <c r="U47" i="18" s="1"/>
  <c r="O24" i="18" a="1"/>
  <c r="O24" i="18" s="1"/>
  <c r="O56" i="18" a="1"/>
  <c r="O56" i="18" s="1"/>
  <c r="O88" i="18" a="1"/>
  <c r="O88" i="18" s="1"/>
  <c r="O120" i="18" a="1"/>
  <c r="O120" i="18" s="1"/>
  <c r="O152" i="18" a="1"/>
  <c r="O152" i="18" s="1"/>
  <c r="O168" i="18" a="1"/>
  <c r="O168" i="18" s="1"/>
  <c r="P5" i="18" a="1"/>
  <c r="P5" i="18" s="1"/>
  <c r="R5" i="18" s="1"/>
  <c r="U5" i="18" s="1"/>
  <c r="P40" i="18" a="1"/>
  <c r="P40" i="18" s="1"/>
  <c r="R40" i="18" s="1"/>
  <c r="U40" i="18" s="1"/>
  <c r="P48" i="18" a="1"/>
  <c r="P48" i="18" s="1"/>
  <c r="R48" i="18" s="1"/>
  <c r="U48" i="18" s="1"/>
  <c r="O16" i="18" a="1"/>
  <c r="O16" i="18" s="1"/>
  <c r="O48" i="18" a="1"/>
  <c r="O48" i="18" s="1"/>
  <c r="O80" i="18" a="1"/>
  <c r="O80" i="18" s="1"/>
  <c r="O112" i="18" a="1"/>
  <c r="O112" i="18" s="1"/>
  <c r="O144" i="18" a="1"/>
  <c r="O144" i="18" s="1"/>
  <c r="P2" i="18" a="1"/>
  <c r="P2" i="18" s="1"/>
  <c r="R2" i="18" s="1"/>
  <c r="U2" i="18" s="1"/>
  <c r="P38" i="18" a="1"/>
  <c r="P38" i="18" s="1"/>
  <c r="R38" i="18" s="1"/>
  <c r="U38" i="18" s="1"/>
  <c r="P43" i="18" a="1"/>
  <c r="P43" i="18" s="1"/>
  <c r="R43" i="18" s="1"/>
  <c r="U43" i="18" s="1"/>
  <c r="P46" i="18" a="1"/>
  <c r="P46" i="18" s="1"/>
  <c r="R46" i="18" s="1"/>
  <c r="U46" i="18" s="1"/>
  <c r="P168" i="18" a="1"/>
  <c r="P168" i="18" s="1"/>
  <c r="R168" i="18" s="1"/>
  <c r="U168" i="18" s="1"/>
  <c r="P163" i="18" a="1"/>
  <c r="P163" i="18" s="1"/>
  <c r="R163" i="18" s="1"/>
  <c r="U163" i="18" s="1"/>
  <c r="P160" i="18" a="1"/>
  <c r="P160" i="18" s="1"/>
  <c r="R160" i="18" s="1"/>
  <c r="U160" i="18" s="1"/>
  <c r="P155" i="18" a="1"/>
  <c r="P155" i="18" s="1"/>
  <c r="R155" i="18" s="1"/>
  <c r="U155" i="18" s="1"/>
  <c r="P152" i="18" a="1"/>
  <c r="P152" i="18" s="1"/>
  <c r="R152" i="18" s="1"/>
  <c r="U152" i="18" s="1"/>
  <c r="P147" i="18" a="1"/>
  <c r="P147" i="18" s="1"/>
  <c r="R147" i="18" s="1"/>
  <c r="U147" i="18" s="1"/>
  <c r="P144" i="18" a="1"/>
  <c r="P144" i="18" s="1"/>
  <c r="R144" i="18" s="1"/>
  <c r="U144" i="18" s="1"/>
  <c r="P139" i="18" a="1"/>
  <c r="P139" i="18" s="1"/>
  <c r="R139" i="18" s="1"/>
  <c r="U139" i="18" s="1"/>
  <c r="P136" i="18" a="1"/>
  <c r="P136" i="18" s="1"/>
  <c r="R136" i="18" s="1"/>
  <c r="U136" i="18" s="1"/>
  <c r="P131" i="18" a="1"/>
  <c r="P131" i="18" s="1"/>
  <c r="R131" i="18" s="1"/>
  <c r="U131" i="18" s="1"/>
  <c r="P128" i="18" a="1"/>
  <c r="P128" i="18" s="1"/>
  <c r="R128" i="18" s="1"/>
  <c r="U128" i="18" s="1"/>
  <c r="P123" i="18" a="1"/>
  <c r="P123" i="18" s="1"/>
  <c r="R123" i="18" s="1"/>
  <c r="U123" i="18" s="1"/>
  <c r="P120" i="18" a="1"/>
  <c r="P120" i="18" s="1"/>
  <c r="R120" i="18" s="1"/>
  <c r="U120" i="18" s="1"/>
  <c r="P115" i="18" a="1"/>
  <c r="P115" i="18" s="1"/>
  <c r="R115" i="18" s="1"/>
  <c r="U115" i="18" s="1"/>
  <c r="P112" i="18" a="1"/>
  <c r="P112" i="18" s="1"/>
  <c r="R112" i="18" s="1"/>
  <c r="U112" i="18" s="1"/>
  <c r="P107" i="18" a="1"/>
  <c r="P107" i="18" s="1"/>
  <c r="R107" i="18" s="1"/>
  <c r="U107" i="18" s="1"/>
  <c r="P104" i="18" a="1"/>
  <c r="P104" i="18" s="1"/>
  <c r="R104" i="18" s="1"/>
  <c r="U104" i="18" s="1"/>
  <c r="P99" i="18" a="1"/>
  <c r="P99" i="18" s="1"/>
  <c r="R99" i="18" s="1"/>
  <c r="U99" i="18" s="1"/>
  <c r="P96" i="18" a="1"/>
  <c r="P96" i="18" s="1"/>
  <c r="R96" i="18" s="1"/>
  <c r="U96" i="18" s="1"/>
  <c r="P91" i="18" a="1"/>
  <c r="P91" i="18" s="1"/>
  <c r="R91" i="18" s="1"/>
  <c r="U91" i="18" s="1"/>
  <c r="P88" i="18" a="1"/>
  <c r="P88" i="18" s="1"/>
  <c r="R88" i="18" s="1"/>
  <c r="U88" i="18" s="1"/>
  <c r="P83" i="18" a="1"/>
  <c r="P83" i="18" s="1"/>
  <c r="R83" i="18" s="1"/>
  <c r="U83" i="18" s="1"/>
  <c r="P80" i="18" a="1"/>
  <c r="P80" i="18" s="1"/>
  <c r="R80" i="18" s="1"/>
  <c r="U80" i="18" s="1"/>
  <c r="P75" i="18" a="1"/>
  <c r="P75" i="18" s="1"/>
  <c r="R75" i="18" s="1"/>
  <c r="U75" i="18" s="1"/>
  <c r="P72" i="18" a="1"/>
  <c r="P72" i="18" s="1"/>
  <c r="R72" i="18" s="1"/>
  <c r="U72" i="18" s="1"/>
  <c r="P67" i="18" a="1"/>
  <c r="P67" i="18" s="1"/>
  <c r="R67" i="18" s="1"/>
  <c r="U67" i="18" s="1"/>
  <c r="P64" i="18" a="1"/>
  <c r="P64" i="18" s="1"/>
  <c r="R64" i="18" s="1"/>
  <c r="U64" i="18" s="1"/>
  <c r="P59" i="18" a="1"/>
  <c r="P59" i="18" s="1"/>
  <c r="R59" i="18" s="1"/>
  <c r="U59" i="18" s="1"/>
  <c r="P56" i="18" a="1"/>
  <c r="P56" i="18" s="1"/>
  <c r="R56" i="18" s="1"/>
  <c r="U56" i="18" s="1"/>
  <c r="P51" i="18" a="1"/>
  <c r="P51" i="18" s="1"/>
  <c r="R51" i="18" s="1"/>
  <c r="U51" i="18" s="1"/>
  <c r="P35" i="18" a="1"/>
  <c r="P35" i="18" s="1"/>
  <c r="R35" i="18" s="1"/>
  <c r="U35" i="18" s="1"/>
  <c r="P19" i="18" a="1"/>
  <c r="P19" i="18" s="1"/>
  <c r="R19" i="18" s="1"/>
  <c r="U19" i="18" s="1"/>
  <c r="O136" i="18" a="1"/>
  <c r="O136" i="18" s="1"/>
  <c r="O8" i="18" a="1"/>
  <c r="O8" i="18" s="1"/>
  <c r="S20" i="18" a="1"/>
  <c r="S20" i="18" s="1"/>
  <c r="S18" i="18" a="1"/>
  <c r="S18" i="18" s="1"/>
  <c r="S16" i="18" a="1"/>
  <c r="S16" i="18" s="1"/>
  <c r="S14" i="18" a="1"/>
  <c r="S14" i="18" s="1"/>
  <c r="S12" i="18" a="1"/>
  <c r="S12" i="18" s="1"/>
  <c r="S10" i="18" a="1"/>
  <c r="S10" i="18" s="1"/>
  <c r="S8" i="18" a="1"/>
  <c r="S8" i="18" s="1"/>
  <c r="S6" i="18" a="1"/>
  <c r="S6" i="18" s="1"/>
  <c r="S4" i="18" a="1"/>
  <c r="S4" i="18" s="1"/>
  <c r="S2" i="18" a="1"/>
  <c r="S2" i="18" s="1"/>
  <c r="P162" i="18" a="1"/>
  <c r="P162" i="18" s="1"/>
  <c r="R162" i="18" s="1"/>
  <c r="U162" i="18" s="1"/>
  <c r="P154" i="18" a="1"/>
  <c r="P154" i="18" s="1"/>
  <c r="R154" i="18" s="1"/>
  <c r="U154" i="18" s="1"/>
  <c r="P146" i="18" a="1"/>
  <c r="P146" i="18" s="1"/>
  <c r="R146" i="18" s="1"/>
  <c r="U146" i="18" s="1"/>
  <c r="P138" i="18" a="1"/>
  <c r="P138" i="18" s="1"/>
  <c r="R138" i="18" s="1"/>
  <c r="U138" i="18" s="1"/>
  <c r="P130" i="18" a="1"/>
  <c r="P130" i="18" s="1"/>
  <c r="R130" i="18" s="1"/>
  <c r="U130" i="18" s="1"/>
  <c r="P122" i="18" a="1"/>
  <c r="P122" i="18" s="1"/>
  <c r="R122" i="18" s="1"/>
  <c r="U122" i="18" s="1"/>
  <c r="P114" i="18" a="1"/>
  <c r="P114" i="18" s="1"/>
  <c r="R114" i="18" s="1"/>
  <c r="U114" i="18" s="1"/>
  <c r="P106" i="18" a="1"/>
  <c r="P106" i="18" s="1"/>
  <c r="R106" i="18" s="1"/>
  <c r="U106" i="18" s="1"/>
  <c r="P98" i="18" a="1"/>
  <c r="P98" i="18" s="1"/>
  <c r="R98" i="18" s="1"/>
  <c r="U98" i="18" s="1"/>
  <c r="P90" i="18" a="1"/>
  <c r="P90" i="18" s="1"/>
  <c r="R90" i="18" s="1"/>
  <c r="U90" i="18" s="1"/>
  <c r="P82" i="18" a="1"/>
  <c r="P82" i="18" s="1"/>
  <c r="R82" i="18" s="1"/>
  <c r="U82" i="18" s="1"/>
  <c r="P74" i="18" a="1"/>
  <c r="P74" i="18" s="1"/>
  <c r="R74" i="18" s="1"/>
  <c r="U74" i="18" s="1"/>
  <c r="P66" i="18" a="1"/>
  <c r="P66" i="18" s="1"/>
  <c r="R66" i="18" s="1"/>
  <c r="U66" i="18" s="1"/>
  <c r="P58" i="18" a="1"/>
  <c r="P58" i="18" s="1"/>
  <c r="R58" i="18" s="1"/>
  <c r="U58" i="18" s="1"/>
  <c r="P53" i="18" a="1"/>
  <c r="P53" i="18" s="1"/>
  <c r="R53" i="18" s="1"/>
  <c r="U53" i="18" s="1"/>
  <c r="P50" i="18" a="1"/>
  <c r="P50" i="18" s="1"/>
  <c r="R50" i="18" s="1"/>
  <c r="U50" i="18" s="1"/>
  <c r="P44" i="18" a="1"/>
  <c r="P44" i="18" s="1"/>
  <c r="R44" i="18" s="1"/>
  <c r="U44" i="18" s="1"/>
  <c r="P31" i="18" a="1"/>
  <c r="P31" i="18" s="1"/>
  <c r="R31" i="18" s="1"/>
  <c r="U31" i="18" s="1"/>
  <c r="P15" i="18" a="1"/>
  <c r="P15" i="18" s="1"/>
  <c r="R15" i="18" s="1"/>
  <c r="U15" i="18" s="1"/>
  <c r="O40" i="18" a="1"/>
  <c r="O40" i="18" s="1"/>
  <c r="P167" i="18" a="1"/>
  <c r="P167" i="18" s="1"/>
  <c r="R167" i="18" s="1"/>
  <c r="U167" i="18" s="1"/>
  <c r="P164" i="18" a="1"/>
  <c r="P164" i="18" s="1"/>
  <c r="R164" i="18" s="1"/>
  <c r="U164" i="18" s="1"/>
  <c r="P159" i="18" a="1"/>
  <c r="P159" i="18" s="1"/>
  <c r="R159" i="18" s="1"/>
  <c r="U159" i="18" s="1"/>
  <c r="P156" i="18" a="1"/>
  <c r="P156" i="18" s="1"/>
  <c r="R156" i="18" s="1"/>
  <c r="U156" i="18" s="1"/>
  <c r="P151" i="18" a="1"/>
  <c r="P151" i="18" s="1"/>
  <c r="R151" i="18" s="1"/>
  <c r="U151" i="18" s="1"/>
  <c r="P148" i="18" a="1"/>
  <c r="P148" i="18" s="1"/>
  <c r="R148" i="18" s="1"/>
  <c r="U148" i="18" s="1"/>
  <c r="P143" i="18" a="1"/>
  <c r="P143" i="18" s="1"/>
  <c r="R143" i="18" s="1"/>
  <c r="U143" i="18" s="1"/>
  <c r="P140" i="18" a="1"/>
  <c r="P140" i="18" s="1"/>
  <c r="R140" i="18" s="1"/>
  <c r="U140" i="18" s="1"/>
  <c r="P135" i="18" a="1"/>
  <c r="P135" i="18" s="1"/>
  <c r="R135" i="18" s="1"/>
  <c r="U135" i="18" s="1"/>
  <c r="P132" i="18" a="1"/>
  <c r="P132" i="18" s="1"/>
  <c r="R132" i="18" s="1"/>
  <c r="U132" i="18" s="1"/>
  <c r="P127" i="18" a="1"/>
  <c r="P127" i="18" s="1"/>
  <c r="R127" i="18" s="1"/>
  <c r="U127" i="18" s="1"/>
  <c r="P124" i="18" a="1"/>
  <c r="P124" i="18" s="1"/>
  <c r="R124" i="18" s="1"/>
  <c r="U124" i="18" s="1"/>
  <c r="P119" i="18" a="1"/>
  <c r="P119" i="18" s="1"/>
  <c r="R119" i="18" s="1"/>
  <c r="U119" i="18" s="1"/>
  <c r="P116" i="18" a="1"/>
  <c r="P116" i="18" s="1"/>
  <c r="R116" i="18" s="1"/>
  <c r="U116" i="18" s="1"/>
  <c r="P111" i="18" a="1"/>
  <c r="P111" i="18" s="1"/>
  <c r="R111" i="18" s="1"/>
  <c r="U111" i="18" s="1"/>
  <c r="P108" i="18" a="1"/>
  <c r="P108" i="18" s="1"/>
  <c r="R108" i="18" s="1"/>
  <c r="U108" i="18" s="1"/>
  <c r="P103" i="18" a="1"/>
  <c r="P103" i="18" s="1"/>
  <c r="R103" i="18" s="1"/>
  <c r="U103" i="18" s="1"/>
  <c r="P100" i="18" a="1"/>
  <c r="P100" i="18" s="1"/>
  <c r="R100" i="18" s="1"/>
  <c r="U100" i="18" s="1"/>
  <c r="P95" i="18" a="1"/>
  <c r="P95" i="18" s="1"/>
  <c r="R95" i="18" s="1"/>
  <c r="U95" i="18" s="1"/>
  <c r="P92" i="18" a="1"/>
  <c r="P92" i="18" s="1"/>
  <c r="R92" i="18" s="1"/>
  <c r="U92" i="18" s="1"/>
  <c r="P87" i="18" a="1"/>
  <c r="P87" i="18" s="1"/>
  <c r="R87" i="18" s="1"/>
  <c r="U87" i="18" s="1"/>
  <c r="P84" i="18" a="1"/>
  <c r="P84" i="18" s="1"/>
  <c r="R84" i="18" s="1"/>
  <c r="U84" i="18" s="1"/>
  <c r="P79" i="18" a="1"/>
  <c r="P79" i="18" s="1"/>
  <c r="R79" i="18" s="1"/>
  <c r="U79" i="18" s="1"/>
  <c r="P76" i="18" a="1"/>
  <c r="P76" i="18" s="1"/>
  <c r="R76" i="18" s="1"/>
  <c r="U76" i="18" s="1"/>
  <c r="P71" i="18" a="1"/>
  <c r="P71" i="18" s="1"/>
  <c r="R71" i="18" s="1"/>
  <c r="U71" i="18" s="1"/>
  <c r="P68" i="18" a="1"/>
  <c r="P68" i="18" s="1"/>
  <c r="R68" i="18" s="1"/>
  <c r="U68" i="18" s="1"/>
  <c r="P63" i="18" a="1"/>
  <c r="P63" i="18" s="1"/>
  <c r="R63" i="18" s="1"/>
  <c r="U63" i="18" s="1"/>
  <c r="P60" i="18" a="1"/>
  <c r="P60" i="18" s="1"/>
  <c r="R60" i="18" s="1"/>
  <c r="U60" i="18" s="1"/>
  <c r="P55" i="18" a="1"/>
  <c r="P55" i="18" s="1"/>
  <c r="R55" i="18" s="1"/>
  <c r="U55" i="18" s="1"/>
  <c r="P52" i="18" a="1"/>
  <c r="P52" i="18" s="1"/>
  <c r="R52" i="18" s="1"/>
  <c r="U52" i="18" s="1"/>
  <c r="P41" i="18" a="1"/>
  <c r="P41" i="18" s="1"/>
  <c r="R41" i="18" s="1"/>
  <c r="U41" i="18" s="1"/>
  <c r="P27" i="18" a="1"/>
  <c r="P27" i="18" s="1"/>
  <c r="R27" i="18" s="1"/>
  <c r="U27" i="18" s="1"/>
  <c r="P11" i="18" a="1"/>
  <c r="P11" i="18" s="1"/>
  <c r="R11" i="18" s="1"/>
  <c r="U11" i="18" s="1"/>
  <c r="O72" i="18" a="1"/>
  <c r="O72" i="18" s="1"/>
  <c r="O29" i="18" a="1"/>
  <c r="O29" i="18" s="1"/>
  <c r="N325" i="17" a="1"/>
  <c r="N325" i="17" s="1"/>
  <c r="O325" i="17" a="1"/>
  <c r="O325" i="17" s="1"/>
  <c r="Q325" i="17" s="1"/>
  <c r="W325" i="17" s="1"/>
  <c r="N254" i="17" a="1"/>
  <c r="N254" i="17" s="1"/>
  <c r="N299" i="17" a="1"/>
  <c r="N299" i="17" s="1"/>
  <c r="O299" i="17" a="1"/>
  <c r="O299" i="17" s="1"/>
  <c r="Q299" i="17" s="1"/>
  <c r="W299" i="17" s="1"/>
  <c r="N251" i="17" a="1"/>
  <c r="N251" i="17" s="1"/>
  <c r="O251" i="17" a="1"/>
  <c r="O251" i="17" s="1"/>
  <c r="Q251" i="17" s="1"/>
  <c r="W251" i="17" s="1"/>
  <c r="N181" i="17" a="1"/>
  <c r="N181" i="17" s="1"/>
  <c r="O181" i="17" a="1"/>
  <c r="O181" i="17" s="1"/>
  <c r="N144" i="17" a="1"/>
  <c r="N144" i="17" s="1"/>
  <c r="O144" i="17" a="1"/>
  <c r="O144" i="17" s="1"/>
  <c r="Q144" i="17" s="1"/>
  <c r="W144" i="17" s="1"/>
  <c r="N140" i="17" a="1"/>
  <c r="N140" i="17" s="1"/>
  <c r="O140" i="17" a="1"/>
  <c r="O140" i="17" s="1"/>
  <c r="N194" i="17" a="1"/>
  <c r="N194" i="17" s="1"/>
  <c r="N70" i="17" a="1"/>
  <c r="N70" i="17" s="1"/>
  <c r="O70" i="17" a="1"/>
  <c r="O70" i="17" s="1"/>
  <c r="Q70" i="17" s="1"/>
  <c r="W70" i="17" s="1"/>
  <c r="N312" i="17" a="1"/>
  <c r="N312" i="17" s="1"/>
  <c r="O312" i="17" a="1"/>
  <c r="O312" i="17" s="1"/>
  <c r="N264" i="17" a="1"/>
  <c r="N264" i="17" s="1"/>
  <c r="N216" i="17" a="1"/>
  <c r="N216" i="17" s="1"/>
  <c r="N177" i="17" a="1"/>
  <c r="N177" i="17" s="1"/>
  <c r="N137" i="17" a="1"/>
  <c r="N137" i="17" s="1"/>
  <c r="N67" i="17" a="1"/>
  <c r="N67" i="17" s="1"/>
  <c r="O67" i="17" a="1"/>
  <c r="O67" i="17" s="1"/>
  <c r="Q67" i="17" s="1"/>
  <c r="W67" i="17" s="1"/>
  <c r="N63" i="17" a="1"/>
  <c r="N63" i="17" s="1"/>
  <c r="O63" i="17" a="1"/>
  <c r="O63" i="17" s="1"/>
  <c r="Q63" i="17" s="1"/>
  <c r="W63" i="17" s="1"/>
  <c r="N295" i="17" a="1"/>
  <c r="N295" i="17" s="1"/>
  <c r="O295" i="17" a="1"/>
  <c r="O295" i="17" s="1"/>
  <c r="Q295" i="17" s="1"/>
  <c r="W295" i="17" s="1"/>
  <c r="N247" i="17" a="1"/>
  <c r="N247" i="17" s="1"/>
  <c r="O247" i="17" a="1"/>
  <c r="O247" i="17" s="1"/>
  <c r="N203" i="17" a="1"/>
  <c r="N203" i="17" s="1"/>
  <c r="O203" i="17" a="1"/>
  <c r="O203" i="17" s="1"/>
  <c r="Q203" i="17" s="1"/>
  <c r="W203" i="17" s="1"/>
  <c r="N173" i="17" a="1"/>
  <c r="N173" i="17" s="1"/>
  <c r="O173" i="17" a="1"/>
  <c r="O173" i="17" s="1"/>
  <c r="Q173" i="17" s="1"/>
  <c r="W173" i="17" s="1"/>
  <c r="N130" i="17" a="1"/>
  <c r="N130" i="17" s="1"/>
  <c r="O130" i="17" a="1"/>
  <c r="O130" i="17" s="1"/>
  <c r="Q130" i="17" s="1"/>
  <c r="W130" i="17" s="1"/>
  <c r="N60" i="17" a="1"/>
  <c r="N60" i="17" s="1"/>
  <c r="O60" i="17" a="1"/>
  <c r="O60" i="17" s="1"/>
  <c r="N56" i="17" a="1"/>
  <c r="N56" i="17" s="1"/>
  <c r="N291" i="17" a="1"/>
  <c r="N291" i="17" s="1"/>
  <c r="N243" i="17" a="1"/>
  <c r="N243" i="17" s="1"/>
  <c r="N190" i="17" a="1"/>
  <c r="N190" i="17" s="1"/>
  <c r="N127" i="17" a="1"/>
  <c r="N127" i="17" s="1"/>
  <c r="O127" i="17" a="1"/>
  <c r="O127" i="17" s="1"/>
  <c r="Q127" i="17" s="1"/>
  <c r="W127" i="17" s="1"/>
  <c r="N123" i="17" a="1"/>
  <c r="N123" i="17" s="1"/>
  <c r="O123" i="17" a="1"/>
  <c r="O123" i="17" s="1"/>
  <c r="N302" i="17" a="1"/>
  <c r="N302" i="17" s="1"/>
  <c r="N53" i="17" a="1"/>
  <c r="N53" i="17" s="1"/>
  <c r="O53" i="17" a="1"/>
  <c r="O53" i="17" s="1"/>
  <c r="N321" i="17" a="1"/>
  <c r="N321" i="17" s="1"/>
  <c r="O321" i="17" a="1"/>
  <c r="O321" i="17" s="1"/>
  <c r="N287" i="17" a="1"/>
  <c r="N287" i="17" s="1"/>
  <c r="O287" i="17" a="1"/>
  <c r="O287" i="17" s="1"/>
  <c r="Q287" i="17" s="1"/>
  <c r="W287" i="17" s="1"/>
  <c r="N239" i="17" a="1"/>
  <c r="N239" i="17" s="1"/>
  <c r="O239" i="17" a="1"/>
  <c r="O239" i="17" s="1"/>
  <c r="Q239" i="17" s="1"/>
  <c r="W239" i="17" s="1"/>
  <c r="N169" i="17" a="1"/>
  <c r="N169" i="17" s="1"/>
  <c r="O169" i="17" a="1"/>
  <c r="O169" i="17" s="1"/>
  <c r="Q169" i="17" s="1"/>
  <c r="W169" i="17" s="1"/>
  <c r="N120" i="17" a="1"/>
  <c r="N120" i="17" s="1"/>
  <c r="O120" i="17" a="1"/>
  <c r="O120" i="17" s="1"/>
  <c r="N116" i="17" a="1"/>
  <c r="N116" i="17" s="1"/>
  <c r="O116" i="17" a="1"/>
  <c r="O116" i="17" s="1"/>
  <c r="N46" i="17" a="1"/>
  <c r="N46" i="17" s="1"/>
  <c r="O46" i="17" a="1"/>
  <c r="O46" i="17" s="1"/>
  <c r="Q46" i="17" s="1"/>
  <c r="W46" i="17" s="1"/>
  <c r="N308" i="17" a="1"/>
  <c r="N308" i="17" s="1"/>
  <c r="O308" i="17" a="1"/>
  <c r="O308" i="17" s="1"/>
  <c r="Q308" i="17" s="1"/>
  <c r="W308" i="17" s="1"/>
  <c r="N260" i="17" a="1"/>
  <c r="N260" i="17" s="1"/>
  <c r="O260" i="17" a="1"/>
  <c r="O260" i="17" s="1"/>
  <c r="Q260" i="17" s="1"/>
  <c r="W260" i="17" s="1"/>
  <c r="N212" i="17" a="1"/>
  <c r="N212" i="17" s="1"/>
  <c r="O212" i="17" a="1"/>
  <c r="O212" i="17" s="1"/>
  <c r="Q212" i="17" s="1"/>
  <c r="W212" i="17" s="1"/>
  <c r="N165" i="17" a="1"/>
  <c r="N165" i="17" s="1"/>
  <c r="O165" i="17" a="1"/>
  <c r="O165" i="17" s="1"/>
  <c r="N113" i="17" a="1"/>
  <c r="N113" i="17" s="1"/>
  <c r="N43" i="17" a="1"/>
  <c r="N43" i="17" s="1"/>
  <c r="N39" i="17" a="1"/>
  <c r="N39" i="17" s="1"/>
  <c r="O39" i="17" a="1"/>
  <c r="O39" i="17" s="1"/>
  <c r="Q39" i="17" s="1"/>
  <c r="W39" i="17" s="1"/>
  <c r="N283" i="17" a="1"/>
  <c r="N283" i="17" s="1"/>
  <c r="N235" i="17" a="1"/>
  <c r="N235" i="17" s="1"/>
  <c r="O235" i="17" a="1"/>
  <c r="O235" i="17" s="1"/>
  <c r="N199" i="17" a="1"/>
  <c r="N199" i="17" s="1"/>
  <c r="O199" i="17" a="1"/>
  <c r="O199" i="17" s="1"/>
  <c r="N161" i="17" a="1"/>
  <c r="N161" i="17" s="1"/>
  <c r="O161" i="17" a="1"/>
  <c r="O161" i="17" s="1"/>
  <c r="Q161" i="17" s="1"/>
  <c r="W161" i="17" s="1"/>
  <c r="N106" i="17" a="1"/>
  <c r="N106" i="17" s="1"/>
  <c r="N36" i="17" a="1"/>
  <c r="N36" i="17" s="1"/>
  <c r="O36" i="17" a="1"/>
  <c r="O36" i="17" s="1"/>
  <c r="Q36" i="17" s="1"/>
  <c r="W36" i="17" s="1"/>
  <c r="N32" i="17" a="1"/>
  <c r="N32" i="17" s="1"/>
  <c r="O32" i="17" a="1"/>
  <c r="O32" i="17" s="1"/>
  <c r="N275" i="17" a="1"/>
  <c r="N275" i="17" s="1"/>
  <c r="Q123" i="17"/>
  <c r="W123" i="17" s="1"/>
  <c r="Q53" i="17"/>
  <c r="W53" i="17" s="1"/>
  <c r="Q235" i="17"/>
  <c r="W235" i="17" s="1"/>
  <c r="Q32" i="17"/>
  <c r="W32" i="17" s="1"/>
  <c r="Q120" i="17"/>
  <c r="W120" i="17" s="1"/>
  <c r="Q116" i="17"/>
  <c r="W116" i="17" s="1"/>
  <c r="Q140" i="17"/>
  <c r="W140" i="17" s="1"/>
  <c r="Q321" i="17"/>
  <c r="W321" i="17" s="1"/>
  <c r="Q165" i="17"/>
  <c r="W165" i="17" s="1"/>
  <c r="Q199" i="17"/>
  <c r="W199" i="17" s="1"/>
  <c r="O293" i="17" a="1"/>
  <c r="O293" i="17" s="1"/>
  <c r="Q293" i="17" s="1"/>
  <c r="W293" i="17" s="1"/>
  <c r="O129" i="17" a="1"/>
  <c r="O129" i="17" s="1"/>
  <c r="Q129" i="17" s="1"/>
  <c r="W129" i="17" s="1"/>
  <c r="O243" i="17" a="1"/>
  <c r="O243" i="17" s="1"/>
  <c r="Q243" i="17" s="1"/>
  <c r="W243" i="17" s="1"/>
  <c r="O54" i="17" a="1"/>
  <c r="O54" i="17" s="1"/>
  <c r="Q54" i="17" s="1"/>
  <c r="W54" i="17" s="1"/>
  <c r="O201" i="17" a="1"/>
  <c r="O201" i="17" s="1"/>
  <c r="Q201" i="17" s="1"/>
  <c r="W201" i="17" s="1"/>
  <c r="O45" i="17" a="1"/>
  <c r="O45" i="17" s="1"/>
  <c r="Q45" i="17" s="1"/>
  <c r="W45" i="17" s="1"/>
  <c r="O164" i="17" a="1"/>
  <c r="O164" i="17" s="1"/>
  <c r="Q164" i="17" s="1"/>
  <c r="W164" i="17" s="1"/>
  <c r="O283" i="17" a="1"/>
  <c r="O283" i="17" s="1"/>
  <c r="Q283" i="17" s="1"/>
  <c r="W283" i="17" s="1"/>
  <c r="O34" i="17" a="1"/>
  <c r="O34" i="17" s="1"/>
  <c r="Q34" i="17" s="1"/>
  <c r="W34" i="17" s="1"/>
  <c r="O317" i="17" a="1"/>
  <c r="O317" i="17" s="1"/>
  <c r="Q317" i="17" s="1"/>
  <c r="W317" i="17" s="1"/>
  <c r="N265" i="17" a="1"/>
  <c r="N265" i="17" s="1"/>
  <c r="N245" i="17" a="1"/>
  <c r="N245" i="17" s="1"/>
  <c r="N279" i="17" a="1"/>
  <c r="N279" i="17" s="1"/>
  <c r="O204" i="17" a="1"/>
  <c r="O204" i="17" s="1"/>
  <c r="Q204" i="17" s="1"/>
  <c r="W204" i="17" s="1"/>
  <c r="O137" i="17" a="1"/>
  <c r="O137" i="17" s="1"/>
  <c r="O64" i="17" a="1"/>
  <c r="O64" i="17" s="1"/>
  <c r="Q64" i="17" s="1"/>
  <c r="W64" i="17" s="1"/>
  <c r="O59" i="17" a="1"/>
  <c r="O59" i="17" s="1"/>
  <c r="Q59" i="17" s="1"/>
  <c r="W59" i="17" s="1"/>
  <c r="O190" i="17" a="1"/>
  <c r="O190" i="17" s="1"/>
  <c r="Q190" i="17" s="1"/>
  <c r="W190" i="17" s="1"/>
  <c r="O50" i="17" a="1"/>
  <c r="O50" i="17" s="1"/>
  <c r="Q50" i="17" s="1"/>
  <c r="W50" i="17" s="1"/>
  <c r="O167" i="17" a="1"/>
  <c r="O167" i="17" s="1"/>
  <c r="Q167" i="17" s="1"/>
  <c r="W167" i="17" s="1"/>
  <c r="O286" i="17" a="1"/>
  <c r="O286" i="17" s="1"/>
  <c r="Q286" i="17" s="1"/>
  <c r="W286" i="17" s="1"/>
  <c r="O113" i="17" a="1"/>
  <c r="O113" i="17" s="1"/>
  <c r="Q113" i="17" s="1"/>
  <c r="W113" i="17" s="1"/>
  <c r="O234" i="17" a="1"/>
  <c r="O234" i="17" s="1"/>
  <c r="Q234" i="17" s="1"/>
  <c r="W234" i="17" s="1"/>
  <c r="O278" i="17" a="1"/>
  <c r="O278" i="17" s="1"/>
  <c r="Q278" i="17" s="1"/>
  <c r="W278" i="17" s="1"/>
  <c r="O209" i="17" a="1"/>
  <c r="O209" i="17" s="1"/>
  <c r="Q209" i="17" s="1"/>
  <c r="W209" i="17" s="1"/>
  <c r="O85" i="17" a="1"/>
  <c r="O85" i="17" s="1"/>
  <c r="Q85" i="17" s="1"/>
  <c r="W85" i="17" s="1"/>
  <c r="N141" i="17" a="1"/>
  <c r="N141" i="17" s="1"/>
  <c r="O279" i="17" a="1"/>
  <c r="O279" i="17" s="1"/>
  <c r="Q279" i="17" s="1"/>
  <c r="W279" i="17" s="1"/>
  <c r="N231" i="17" a="1"/>
  <c r="N231" i="17" s="1"/>
  <c r="O231" i="17" a="1"/>
  <c r="O231" i="17" s="1"/>
  <c r="Q231" i="17" s="1"/>
  <c r="W231" i="17" s="1"/>
  <c r="N186" i="17" a="1"/>
  <c r="N186" i="17" s="1"/>
  <c r="O186" i="17" a="1"/>
  <c r="O186" i="17" s="1"/>
  <c r="Q186" i="17" s="1"/>
  <c r="W186" i="17" s="1"/>
  <c r="N103" i="17" a="1"/>
  <c r="N103" i="17" s="1"/>
  <c r="O103" i="17" a="1"/>
  <c r="O103" i="17" s="1"/>
  <c r="Q103" i="17" s="1"/>
  <c r="W103" i="17" s="1"/>
  <c r="N99" i="17" a="1"/>
  <c r="N99" i="17" s="1"/>
  <c r="O99" i="17" a="1"/>
  <c r="O99" i="17" s="1"/>
  <c r="Q99" i="17" s="1"/>
  <c r="W99" i="17" s="1"/>
  <c r="N29" i="17" a="1"/>
  <c r="N29" i="17" s="1"/>
  <c r="O29" i="17" a="1"/>
  <c r="O29" i="17" s="1"/>
  <c r="Q29" i="17" s="1"/>
  <c r="W29" i="17" s="1"/>
  <c r="N317" i="17" a="1"/>
  <c r="N317" i="17" s="1"/>
  <c r="O227" i="17" a="1"/>
  <c r="O227" i="17" s="1"/>
  <c r="Q227" i="17" s="1"/>
  <c r="W227" i="17" s="1"/>
  <c r="N227" i="17" a="1"/>
  <c r="N227" i="17" s="1"/>
  <c r="N157" i="17" a="1"/>
  <c r="N157" i="17" s="1"/>
  <c r="O157" i="17" a="1"/>
  <c r="O157" i="17" s="1"/>
  <c r="Q157" i="17" s="1"/>
  <c r="W157" i="17" s="1"/>
  <c r="N96" i="17" a="1"/>
  <c r="N96" i="17" s="1"/>
  <c r="O96" i="17" a="1"/>
  <c r="O96" i="17" s="1"/>
  <c r="Q96" i="17" s="1"/>
  <c r="W96" i="17" s="1"/>
  <c r="N92" i="17" a="1"/>
  <c r="N92" i="17" s="1"/>
  <c r="O92" i="17" a="1"/>
  <c r="O92" i="17" s="1"/>
  <c r="Q92" i="17" s="1"/>
  <c r="W92" i="17" s="1"/>
  <c r="N22" i="17" a="1"/>
  <c r="N22" i="17" s="1"/>
  <c r="O22" i="17" a="1"/>
  <c r="O22" i="17" s="1"/>
  <c r="Q22" i="17" s="1"/>
  <c r="W22" i="17" s="1"/>
  <c r="N304" i="17" a="1"/>
  <c r="N304" i="17" s="1"/>
  <c r="N256" i="17" a="1"/>
  <c r="N256" i="17" s="1"/>
  <c r="O256" i="17" a="1"/>
  <c r="O256" i="17" s="1"/>
  <c r="Q256" i="17" s="1"/>
  <c r="W256" i="17" s="1"/>
  <c r="N208" i="17" a="1"/>
  <c r="N208" i="17" s="1"/>
  <c r="O208" i="17" a="1"/>
  <c r="O208" i="17" s="1"/>
  <c r="Q208" i="17" s="1"/>
  <c r="W208" i="17" s="1"/>
  <c r="N153" i="17" a="1"/>
  <c r="N153" i="17" s="1"/>
  <c r="O153" i="17" a="1"/>
  <c r="O153" i="17" s="1"/>
  <c r="Q153" i="17" s="1"/>
  <c r="W153" i="17" s="1"/>
  <c r="N89" i="17" a="1"/>
  <c r="N89" i="17" s="1"/>
  <c r="O89" i="17" a="1"/>
  <c r="O89" i="17" s="1"/>
  <c r="Q89" i="17" s="1"/>
  <c r="W89" i="17" s="1"/>
  <c r="N19" i="17" a="1"/>
  <c r="N19" i="17" s="1"/>
  <c r="O19" i="17" a="1"/>
  <c r="O19" i="17" s="1"/>
  <c r="Q19" i="17" s="1"/>
  <c r="W19" i="17" s="1"/>
  <c r="N15" i="17" a="1"/>
  <c r="N15" i="17" s="1"/>
  <c r="O15" i="17" a="1"/>
  <c r="O15" i="17" s="1"/>
  <c r="Q15" i="17" s="1"/>
  <c r="W15" i="17" s="1"/>
  <c r="N271" i="17" a="1"/>
  <c r="N271" i="17" s="1"/>
  <c r="O271" i="17" a="1"/>
  <c r="O271" i="17" s="1"/>
  <c r="Q271" i="17" s="1"/>
  <c r="W271" i="17" s="1"/>
  <c r="N223" i="17" a="1"/>
  <c r="N223" i="17" s="1"/>
  <c r="O223" i="17" a="1"/>
  <c r="O223" i="17" s="1"/>
  <c r="Q223" i="17" s="1"/>
  <c r="W223" i="17" s="1"/>
  <c r="O195" i="17" a="1"/>
  <c r="O195" i="17" s="1"/>
  <c r="Q195" i="17" s="1"/>
  <c r="W195" i="17" s="1"/>
  <c r="N195" i="17" a="1"/>
  <c r="N195" i="17" s="1"/>
  <c r="O149" i="17" a="1"/>
  <c r="O149" i="17" s="1"/>
  <c r="Q149" i="17" s="1"/>
  <c r="W149" i="17" s="1"/>
  <c r="N149" i="17" a="1"/>
  <c r="N149" i="17" s="1"/>
  <c r="N82" i="17" a="1"/>
  <c r="N82" i="17" s="1"/>
  <c r="O82" i="17" a="1"/>
  <c r="O82" i="17" s="1"/>
  <c r="Q82" i="17" s="1"/>
  <c r="W82" i="17" s="1"/>
  <c r="N12" i="17" a="1"/>
  <c r="N12" i="17" s="1"/>
  <c r="O12" i="17" a="1"/>
  <c r="O12" i="17" s="1"/>
  <c r="Q12" i="17" s="1"/>
  <c r="W12" i="17" s="1"/>
  <c r="N148" i="17" a="1"/>
  <c r="N148" i="17" s="1"/>
  <c r="N8" i="17" a="1"/>
  <c r="N8" i="17" s="1"/>
  <c r="N267" i="17" a="1"/>
  <c r="N267" i="17" s="1"/>
  <c r="N219" i="17" a="1"/>
  <c r="N219" i="17" s="1"/>
  <c r="O219" i="17" a="1"/>
  <c r="O219" i="17" s="1"/>
  <c r="Q219" i="17" s="1"/>
  <c r="W219" i="17" s="1"/>
  <c r="N182" i="17" a="1"/>
  <c r="N182" i="17" s="1"/>
  <c r="O182" i="17" a="1"/>
  <c r="O182" i="17" s="1"/>
  <c r="Q182" i="17" s="1"/>
  <c r="W182" i="17" s="1"/>
  <c r="N79" i="17" a="1"/>
  <c r="N79" i="17" s="1"/>
  <c r="O79" i="17" a="1"/>
  <c r="O79" i="17" s="1"/>
  <c r="Q79" i="17" s="1"/>
  <c r="W79" i="17" s="1"/>
  <c r="N75" i="17" a="1"/>
  <c r="N75" i="17" s="1"/>
  <c r="O75" i="17" a="1"/>
  <c r="O75" i="17" s="1"/>
  <c r="Q75" i="17" s="1"/>
  <c r="W75" i="17" s="1"/>
  <c r="N268" i="17" a="1"/>
  <c r="N268" i="17" s="1"/>
  <c r="N10" i="17" a="1"/>
  <c r="N10" i="17" s="1"/>
  <c r="N80" i="17" a="1"/>
  <c r="N80" i="17" s="1"/>
  <c r="N83" i="17" a="1"/>
  <c r="N83" i="17" s="1"/>
  <c r="N150" i="17" a="1"/>
  <c r="N150" i="17" s="1"/>
  <c r="N207" i="17" a="1"/>
  <c r="N207" i="17" s="1"/>
  <c r="N270" i="17" a="1"/>
  <c r="N270" i="17" s="1"/>
  <c r="N14" i="17" a="1"/>
  <c r="N14" i="17" s="1"/>
  <c r="N18" i="17" a="1"/>
  <c r="N18" i="17" s="1"/>
  <c r="N88" i="17" a="1"/>
  <c r="N88" i="17" s="1"/>
  <c r="N154" i="17" a="1"/>
  <c r="N154" i="17" s="1"/>
  <c r="N224" i="17" a="1"/>
  <c r="N224" i="17" s="1"/>
  <c r="N21" i="17" a="1"/>
  <c r="N21" i="17" s="1"/>
  <c r="N25" i="17" a="1"/>
  <c r="N25" i="17" s="1"/>
  <c r="N94" i="17" a="1"/>
  <c r="N94" i="17" s="1"/>
  <c r="N155" i="17" a="1"/>
  <c r="N155" i="17" s="1"/>
  <c r="N197" i="17" a="1"/>
  <c r="N197" i="17" s="1"/>
  <c r="N228" i="17" a="1"/>
  <c r="N228" i="17" s="1"/>
  <c r="N276" i="17" a="1"/>
  <c r="N276" i="17" s="1"/>
  <c r="N98" i="17" a="1"/>
  <c r="N98" i="17" s="1"/>
  <c r="N101" i="17" a="1"/>
  <c r="N101" i="17" s="1"/>
  <c r="N158" i="17" a="1"/>
  <c r="N158" i="17" s="1"/>
  <c r="N198" i="17" a="1"/>
  <c r="N198" i="17" s="1"/>
  <c r="N232" i="17" a="1"/>
  <c r="N232" i="17" s="1"/>
  <c r="N280" i="17" a="1"/>
  <c r="N280" i="17" s="1"/>
  <c r="N35" i="17" a="1"/>
  <c r="N35" i="17" s="1"/>
  <c r="N105" i="17" a="1"/>
  <c r="N105" i="17" s="1"/>
  <c r="N108" i="17" a="1"/>
  <c r="N108" i="17" s="1"/>
  <c r="N163" i="17" a="1"/>
  <c r="N163" i="17" s="1"/>
  <c r="N233" i="17" a="1"/>
  <c r="N233" i="17" s="1"/>
  <c r="N259" i="17" a="1"/>
  <c r="N259" i="17" s="1"/>
  <c r="N307" i="17" a="1"/>
  <c r="N307" i="17" s="1"/>
  <c r="N42" i="17" a="1"/>
  <c r="N42" i="17" s="1"/>
  <c r="N114" i="17" a="1"/>
  <c r="N114" i="17" s="1"/>
  <c r="N45" i="17" a="1"/>
  <c r="N45" i="17" s="1"/>
  <c r="N48" i="17" a="1"/>
  <c r="N48" i="17" s="1"/>
  <c r="N117" i="17" a="1"/>
  <c r="N117" i="17" s="1"/>
  <c r="N168" i="17" a="1"/>
  <c r="N168" i="17" s="1"/>
  <c r="N213" i="17" a="1"/>
  <c r="N213" i="17" s="1"/>
  <c r="N241" i="17" a="1"/>
  <c r="N241" i="17" s="1"/>
  <c r="N289" i="17" a="1"/>
  <c r="N289" i="17" s="1"/>
  <c r="N51" i="17" a="1"/>
  <c r="N51" i="17" s="1"/>
  <c r="N54" i="17" a="1"/>
  <c r="N54" i="17" s="1"/>
  <c r="N124" i="17" a="1"/>
  <c r="N124" i="17" s="1"/>
  <c r="N172" i="17" a="1"/>
  <c r="N172" i="17" s="1"/>
  <c r="N244" i="17" a="1"/>
  <c r="N244" i="17" s="1"/>
  <c r="N292" i="17" a="1"/>
  <c r="N292" i="17" s="1"/>
  <c r="N129" i="17" a="1"/>
  <c r="N129" i="17" s="1"/>
  <c r="N74" i="17" a="1"/>
  <c r="N74" i="17" s="1"/>
  <c r="N220" i="17" a="1"/>
  <c r="N220" i="17" s="1"/>
  <c r="N314" i="17" a="1"/>
  <c r="N314" i="17" s="1"/>
  <c r="N11" i="17" a="1"/>
  <c r="N11" i="17" s="1"/>
  <c r="N84" i="17" a="1"/>
  <c r="N84" i="17" s="1"/>
  <c r="N151" i="17" a="1"/>
  <c r="N151" i="17" s="1"/>
  <c r="N221" i="17" a="1"/>
  <c r="N221" i="17" s="1"/>
  <c r="N255" i="17" a="1"/>
  <c r="N255" i="17" s="1"/>
  <c r="N91" i="17" a="1"/>
  <c r="N91" i="17" s="1"/>
  <c r="N184" i="17" a="1"/>
  <c r="N184" i="17" s="1"/>
  <c r="N225" i="17" a="1"/>
  <c r="N225" i="17" s="1"/>
  <c r="N272" i="17" a="1"/>
  <c r="N272" i="17" s="1"/>
  <c r="N316" i="17" a="1"/>
  <c r="N316" i="17" s="1"/>
  <c r="N95" i="17" a="1"/>
  <c r="N95" i="17" s="1"/>
  <c r="N156" i="17" a="1"/>
  <c r="N156" i="17" s="1"/>
  <c r="N209" i="17" a="1"/>
  <c r="N209" i="17" s="1"/>
  <c r="N229" i="17" a="1"/>
  <c r="N229" i="17" s="1"/>
  <c r="N277" i="17" a="1"/>
  <c r="N277" i="17" s="1"/>
  <c r="N26" i="17" a="1"/>
  <c r="N26" i="17" s="1"/>
  <c r="N30" i="17" a="1"/>
  <c r="N30" i="17" s="1"/>
  <c r="N102" i="17" a="1"/>
  <c r="N102" i="17" s="1"/>
  <c r="N159" i="17" a="1"/>
  <c r="N159" i="17" s="1"/>
  <c r="N210" i="17" a="1"/>
  <c r="N210" i="17" s="1"/>
  <c r="N258" i="17" a="1"/>
  <c r="N258" i="17" s="1"/>
  <c r="N306" i="17" a="1"/>
  <c r="N306" i="17" s="1"/>
  <c r="N33" i="17" a="1"/>
  <c r="N33" i="17" s="1"/>
  <c r="N109" i="17" a="1"/>
  <c r="N109" i="17" s="1"/>
  <c r="N187" i="17" a="1"/>
  <c r="N187" i="17" s="1"/>
  <c r="N234" i="17" a="1"/>
  <c r="N234" i="17" s="1"/>
  <c r="N281" i="17" a="1"/>
  <c r="N281" i="17" s="1"/>
  <c r="N111" i="17" a="1"/>
  <c r="N111" i="17" s="1"/>
  <c r="N115" i="17" a="1"/>
  <c r="N115" i="17" s="1"/>
  <c r="N166" i="17" a="1"/>
  <c r="N166" i="17" s="1"/>
  <c r="N236" i="17" a="1"/>
  <c r="N236" i="17" s="1"/>
  <c r="N284" i="17" a="1"/>
  <c r="N284" i="17" s="1"/>
  <c r="N49" i="17" a="1"/>
  <c r="N49" i="17" s="1"/>
  <c r="N118" i="17" a="1"/>
  <c r="N118" i="17" s="1"/>
  <c r="N121" i="17" a="1"/>
  <c r="N121" i="17" s="1"/>
  <c r="N261" i="17" a="1"/>
  <c r="N261" i="17" s="1"/>
  <c r="N309" i="17" a="1"/>
  <c r="N309" i="17" s="1"/>
  <c r="N52" i="17" a="1"/>
  <c r="N52" i="17" s="1"/>
  <c r="N55" i="17" a="1"/>
  <c r="N55" i="17" s="1"/>
  <c r="N214" i="17" a="1"/>
  <c r="N214" i="17" s="1"/>
  <c r="N262" i="17" a="1"/>
  <c r="N262" i="17" s="1"/>
  <c r="N310" i="17" a="1"/>
  <c r="N310" i="17" s="1"/>
  <c r="N57" i="17" a="1"/>
  <c r="N57" i="17" s="1"/>
  <c r="N61" i="17" a="1"/>
  <c r="N61" i="17" s="1"/>
  <c r="N133" i="17" a="1"/>
  <c r="N133" i="17" s="1"/>
  <c r="N147" i="17" a="1"/>
  <c r="N147" i="17" s="1"/>
  <c r="N81" i="17" a="1"/>
  <c r="N81" i="17" s="1"/>
  <c r="N85" i="17" a="1"/>
  <c r="N85" i="17" s="1"/>
  <c r="N183" i="17" a="1"/>
  <c r="N183" i="17" s="1"/>
  <c r="N222" i="17" a="1"/>
  <c r="N222" i="17" s="1"/>
  <c r="N303" i="17" a="1"/>
  <c r="N303" i="17" s="1"/>
  <c r="N16" i="17" a="1"/>
  <c r="N16" i="17" s="1"/>
  <c r="N86" i="17" a="1"/>
  <c r="N86" i="17" s="1"/>
  <c r="N152" i="17" a="1"/>
  <c r="N152" i="17" s="1"/>
  <c r="N196" i="17" a="1"/>
  <c r="N196" i="17" s="1"/>
  <c r="N226" i="17" a="1"/>
  <c r="N226" i="17" s="1"/>
  <c r="N273" i="17" a="1"/>
  <c r="N273" i="17" s="1"/>
  <c r="N23" i="17" a="1"/>
  <c r="N23" i="17" s="1"/>
  <c r="N257" i="17" a="1"/>
  <c r="N257" i="17" s="1"/>
  <c r="N305" i="17" a="1"/>
  <c r="N305" i="17" s="1"/>
  <c r="N27" i="17" a="1"/>
  <c r="N27" i="17" s="1"/>
  <c r="N160" i="17" a="1"/>
  <c r="N160" i="17" s="1"/>
  <c r="N230" i="17" a="1"/>
  <c r="N230" i="17" s="1"/>
  <c r="N278" i="17" a="1"/>
  <c r="N278" i="17" s="1"/>
  <c r="N318" i="17" a="1"/>
  <c r="N318" i="17" s="1"/>
  <c r="N37" i="17" a="1"/>
  <c r="N37" i="17" s="1"/>
  <c r="N282" i="17" a="1"/>
  <c r="N282" i="17" s="1"/>
  <c r="N319" i="17" a="1"/>
  <c r="N319" i="17" s="1"/>
  <c r="N40" i="17" a="1"/>
  <c r="N40" i="17" s="1"/>
  <c r="N112" i="17" a="1"/>
  <c r="N112" i="17" s="1"/>
  <c r="N164" i="17" a="1"/>
  <c r="N164" i="17" s="1"/>
  <c r="N188" i="17" a="1"/>
  <c r="N188" i="17" s="1"/>
  <c r="N237" i="17" a="1"/>
  <c r="N237" i="17" s="1"/>
  <c r="N285" i="17" a="1"/>
  <c r="N285" i="17" s="1"/>
  <c r="N320" i="17" a="1"/>
  <c r="N320" i="17" s="1"/>
  <c r="N47" i="17" a="1"/>
  <c r="N47" i="17" s="1"/>
  <c r="N206" i="17" a="1"/>
  <c r="N206" i="17" s="1"/>
  <c r="N269" i="17" a="1"/>
  <c r="N269" i="17" s="1"/>
  <c r="N90" i="17" a="1"/>
  <c r="N90" i="17" s="1"/>
  <c r="N274" i="17" a="1"/>
  <c r="N274" i="17" s="1"/>
  <c r="N97" i="17" a="1"/>
  <c r="N97" i="17" s="1"/>
  <c r="N162" i="17" a="1"/>
  <c r="N162" i="17" s="1"/>
  <c r="N38" i="17" a="1"/>
  <c r="N38" i="17" s="1"/>
  <c r="N44" i="17" a="1"/>
  <c r="N44" i="17" s="1"/>
  <c r="N119" i="17" a="1"/>
  <c r="N119" i="17" s="1"/>
  <c r="N189" i="17" a="1"/>
  <c r="N189" i="17" s="1"/>
  <c r="N125" i="17" a="1"/>
  <c r="N125" i="17" s="1"/>
  <c r="N290" i="17" a="1"/>
  <c r="N290" i="17" s="1"/>
  <c r="N58" i="17" a="1"/>
  <c r="N58" i="17" s="1"/>
  <c r="N191" i="17" a="1"/>
  <c r="N191" i="17" s="1"/>
  <c r="N246" i="17" a="1"/>
  <c r="N246" i="17" s="1"/>
  <c r="N293" i="17" a="1"/>
  <c r="N293" i="17" s="1"/>
  <c r="N323" i="17" a="1"/>
  <c r="N323" i="17" s="1"/>
  <c r="N65" i="17" a="1"/>
  <c r="N65" i="17" s="1"/>
  <c r="N135" i="17" a="1"/>
  <c r="N135" i="17" s="1"/>
  <c r="N178" i="17" a="1"/>
  <c r="N178" i="17" s="1"/>
  <c r="N248" i="17" a="1"/>
  <c r="N248" i="17" s="1"/>
  <c r="N298" i="17" a="1"/>
  <c r="N298" i="17" s="1"/>
  <c r="N68" i="17" a="1"/>
  <c r="N68" i="17" s="1"/>
  <c r="N72" i="17" a="1"/>
  <c r="N72" i="17" s="1"/>
  <c r="N145" i="17" a="1"/>
  <c r="N145" i="17" s="1"/>
  <c r="O4" i="17" a="1"/>
  <c r="O4" i="17" s="1"/>
  <c r="Q4" i="17" s="1"/>
  <c r="W4" i="17" s="1"/>
  <c r="O7" i="17" a="1"/>
  <c r="O7" i="17" s="1"/>
  <c r="Q7" i="17" s="1"/>
  <c r="W7" i="17" s="1"/>
  <c r="O77" i="17" a="1"/>
  <c r="O77" i="17" s="1"/>
  <c r="Q77" i="17" s="1"/>
  <c r="W77" i="17" s="1"/>
  <c r="O147" i="17" a="1"/>
  <c r="O147" i="17" s="1"/>
  <c r="Q147" i="17" s="1"/>
  <c r="W147" i="17" s="1"/>
  <c r="O206" i="17" a="1"/>
  <c r="O206" i="17" s="1"/>
  <c r="Q206" i="17" s="1"/>
  <c r="W206" i="17" s="1"/>
  <c r="O254" i="17" a="1"/>
  <c r="O254" i="17" s="1"/>
  <c r="Q254" i="17" s="1"/>
  <c r="W254" i="17" s="1"/>
  <c r="O268" i="17" a="1"/>
  <c r="O268" i="17" s="1"/>
  <c r="Q268" i="17" s="1"/>
  <c r="W268" i="17" s="1"/>
  <c r="O9" i="17" a="1"/>
  <c r="O9" i="17" s="1"/>
  <c r="Q9" i="17" s="1"/>
  <c r="W9" i="17" s="1"/>
  <c r="O14" i="17" a="1"/>
  <c r="O14" i="17" s="1"/>
  <c r="Q14" i="17" s="1"/>
  <c r="W14" i="17" s="1"/>
  <c r="O87" i="17" a="1"/>
  <c r="O87" i="17" s="1"/>
  <c r="Q87" i="17" s="1"/>
  <c r="W87" i="17" s="1"/>
  <c r="O91" i="17" a="1"/>
  <c r="O91" i="17" s="1"/>
  <c r="Q91" i="17" s="1"/>
  <c r="W91" i="17" s="1"/>
  <c r="O184" i="17" a="1"/>
  <c r="O184" i="17" s="1"/>
  <c r="Q184" i="17" s="1"/>
  <c r="W184" i="17" s="1"/>
  <c r="O225" i="17" a="1"/>
  <c r="O225" i="17" s="1"/>
  <c r="Q225" i="17" s="1"/>
  <c r="W225" i="17" s="1"/>
  <c r="O273" i="17" a="1"/>
  <c r="O273" i="17" s="1"/>
  <c r="Q273" i="17" s="1"/>
  <c r="W273" i="17" s="1"/>
  <c r="O316" i="17" a="1"/>
  <c r="O316" i="17" s="1"/>
  <c r="Q316" i="17" s="1"/>
  <c r="W316" i="17" s="1"/>
  <c r="O257" i="17" a="1"/>
  <c r="O257" i="17" s="1"/>
  <c r="Q257" i="17" s="1"/>
  <c r="W257" i="17" s="1"/>
  <c r="O305" i="17" a="1"/>
  <c r="O305" i="17" s="1"/>
  <c r="Q305" i="17" s="1"/>
  <c r="W305" i="17" s="1"/>
  <c r="O31" i="17" a="1"/>
  <c r="O31" i="17" s="1"/>
  <c r="Q31" i="17" s="1"/>
  <c r="W31" i="17" s="1"/>
  <c r="O101" i="17" a="1"/>
  <c r="O101" i="17" s="1"/>
  <c r="Q101" i="17" s="1"/>
  <c r="W101" i="17" s="1"/>
  <c r="O159" i="17" a="1"/>
  <c r="O159" i="17" s="1"/>
  <c r="Q159" i="17" s="1"/>
  <c r="W159" i="17" s="1"/>
  <c r="O210" i="17" a="1"/>
  <c r="O210" i="17" s="1"/>
  <c r="Q210" i="17" s="1"/>
  <c r="W210" i="17" s="1"/>
  <c r="O258" i="17" a="1"/>
  <c r="O258" i="17" s="1"/>
  <c r="Q258" i="17" s="1"/>
  <c r="W258" i="17" s="1"/>
  <c r="O306" i="17" a="1"/>
  <c r="O306" i="17" s="1"/>
  <c r="Q306" i="17" s="1"/>
  <c r="W306" i="17" s="1"/>
  <c r="O33" i="17" a="1"/>
  <c r="O33" i="17" s="1"/>
  <c r="Q33" i="17" s="1"/>
  <c r="W33" i="17" s="1"/>
  <c r="O37" i="17" a="1"/>
  <c r="O37" i="17" s="1"/>
  <c r="Q37" i="17" s="1"/>
  <c r="W37" i="17" s="1"/>
  <c r="N315" i="17" a="1"/>
  <c r="N315" i="17" s="1"/>
  <c r="N20" i="17" a="1"/>
  <c r="N20" i="17" s="1"/>
  <c r="N185" i="17" a="1"/>
  <c r="N185" i="17" s="1"/>
  <c r="N28" i="17" a="1"/>
  <c r="N28" i="17" s="1"/>
  <c r="N34" i="17" a="1"/>
  <c r="N34" i="17" s="1"/>
  <c r="N211" i="17" a="1"/>
  <c r="N211" i="17" s="1"/>
  <c r="N41" i="17" a="1"/>
  <c r="N41" i="17" s="1"/>
  <c r="N200" i="17" a="1"/>
  <c r="N200" i="17" s="1"/>
  <c r="N201" i="17" a="1"/>
  <c r="N201" i="17" s="1"/>
  <c r="N288" i="17" a="1"/>
  <c r="N288" i="17" s="1"/>
  <c r="N126" i="17" a="1"/>
  <c r="N126" i="17" s="1"/>
  <c r="N202" i="17" a="1"/>
  <c r="N202" i="17" s="1"/>
  <c r="N59" i="17" a="1"/>
  <c r="N59" i="17" s="1"/>
  <c r="N131" i="17" a="1"/>
  <c r="N131" i="17" s="1"/>
  <c r="N174" i="17" a="1"/>
  <c r="N174" i="17" s="1"/>
  <c r="N294" i="17" a="1"/>
  <c r="N294" i="17" s="1"/>
  <c r="N62" i="17" a="1"/>
  <c r="N62" i="17" s="1"/>
  <c r="N66" i="17" a="1"/>
  <c r="N66" i="17" s="1"/>
  <c r="N136" i="17" a="1"/>
  <c r="N136" i="17" s="1"/>
  <c r="N139" i="17" a="1"/>
  <c r="N139" i="17" s="1"/>
  <c r="N192" i="17" a="1"/>
  <c r="N192" i="17" s="1"/>
  <c r="N69" i="17" a="1"/>
  <c r="N69" i="17" s="1"/>
  <c r="N73" i="17" a="1"/>
  <c r="N73" i="17" s="1"/>
  <c r="N142" i="17" a="1"/>
  <c r="N142" i="17" s="1"/>
  <c r="N179" i="17" a="1"/>
  <c r="N179" i="17" s="1"/>
  <c r="N193" i="17" a="1"/>
  <c r="N193" i="17" s="1"/>
  <c r="N252" i="17" a="1"/>
  <c r="N252" i="17" s="1"/>
  <c r="N300" i="17" a="1"/>
  <c r="N300" i="17" s="1"/>
  <c r="O5" i="17" a="1"/>
  <c r="O5" i="17" s="1"/>
  <c r="Q5" i="17" s="1"/>
  <c r="W5" i="17" s="1"/>
  <c r="O74" i="17" a="1"/>
  <c r="O74" i="17" s="1"/>
  <c r="Q74" i="17" s="1"/>
  <c r="W74" i="17" s="1"/>
  <c r="O78" i="17" a="1"/>
  <c r="O78" i="17" s="1"/>
  <c r="Q78" i="17" s="1"/>
  <c r="W78" i="17" s="1"/>
  <c r="O148" i="17" a="1"/>
  <c r="O148" i="17" s="1"/>
  <c r="Q148" i="17" s="1"/>
  <c r="W148" i="17" s="1"/>
  <c r="O218" i="17" a="1"/>
  <c r="O218" i="17" s="1"/>
  <c r="Q218" i="17" s="1"/>
  <c r="W218" i="17" s="1"/>
  <c r="O302" i="17" a="1"/>
  <c r="O302" i="17" s="1"/>
  <c r="O10" i="17" a="1"/>
  <c r="O10" i="17" s="1"/>
  <c r="Q10" i="17" s="1"/>
  <c r="W10" i="17" s="1"/>
  <c r="O13" i="17" a="1"/>
  <c r="O13" i="17" s="1"/>
  <c r="Q13" i="17" s="1"/>
  <c r="W13" i="17" s="1"/>
  <c r="O83" i="17" a="1"/>
  <c r="O83" i="17" s="1"/>
  <c r="Q83" i="17" s="1"/>
  <c r="W83" i="17" s="1"/>
  <c r="O150" i="17" a="1"/>
  <c r="O150" i="17" s="1"/>
  <c r="Q150" i="17" s="1"/>
  <c r="W150" i="17" s="1"/>
  <c r="O207" i="17" a="1"/>
  <c r="O207" i="17" s="1"/>
  <c r="Q207" i="17" s="1"/>
  <c r="W207" i="17" s="1"/>
  <c r="O255" i="17" a="1"/>
  <c r="O255" i="17" s="1"/>
  <c r="Q255" i="17" s="1"/>
  <c r="W255" i="17" s="1"/>
  <c r="O303" i="17" a="1"/>
  <c r="O303" i="17" s="1"/>
  <c r="Q303" i="17" s="1"/>
  <c r="W303" i="17" s="1"/>
  <c r="O18" i="17" a="1"/>
  <c r="O18" i="17" s="1"/>
  <c r="Q18" i="17" s="1"/>
  <c r="W18" i="17" s="1"/>
  <c r="O88" i="17" a="1"/>
  <c r="O88" i="17" s="1"/>
  <c r="Q88" i="17" s="1"/>
  <c r="W88" i="17" s="1"/>
  <c r="O152" i="17" a="1"/>
  <c r="O152" i="17" s="1"/>
  <c r="Q152" i="17" s="1"/>
  <c r="W152" i="17" s="1"/>
  <c r="O196" i="17" a="1"/>
  <c r="O196" i="17" s="1"/>
  <c r="Q196" i="17" s="1"/>
  <c r="W196" i="17" s="1"/>
  <c r="O226" i="17" a="1"/>
  <c r="O226" i="17" s="1"/>
  <c r="Q226" i="17" s="1"/>
  <c r="W226" i="17" s="1"/>
  <c r="O20" i="17" a="1"/>
  <c r="O20" i="17" s="1"/>
  <c r="Q20" i="17" s="1"/>
  <c r="W20" i="17" s="1"/>
  <c r="O23" i="17" a="1"/>
  <c r="O23" i="17" s="1"/>
  <c r="Q23" i="17" s="1"/>
  <c r="W23" i="17" s="1"/>
  <c r="O93" i="17" a="1"/>
  <c r="O93" i="17" s="1"/>
  <c r="Q93" i="17" s="1"/>
  <c r="W93" i="17" s="1"/>
  <c r="O97" i="17" a="1"/>
  <c r="O97" i="17" s="1"/>
  <c r="Q97" i="17" s="1"/>
  <c r="W97" i="17" s="1"/>
  <c r="O185" i="17" a="1"/>
  <c r="O185" i="17" s="1"/>
  <c r="Q185" i="17" s="1"/>
  <c r="W185" i="17" s="1"/>
  <c r="O228" i="17" a="1"/>
  <c r="O228" i="17" s="1"/>
  <c r="Q228" i="17" s="1"/>
  <c r="W228" i="17" s="1"/>
  <c r="N9" i="17" a="1"/>
  <c r="N9" i="17" s="1"/>
  <c r="N17" i="17" a="1"/>
  <c r="N17" i="17" s="1"/>
  <c r="N24" i="17" a="1"/>
  <c r="N24" i="17" s="1"/>
  <c r="N31" i="17" a="1"/>
  <c r="N31" i="17" s="1"/>
  <c r="N104" i="17" a="1"/>
  <c r="N104" i="17" s="1"/>
  <c r="N110" i="17" a="1"/>
  <c r="N110" i="17" s="1"/>
  <c r="N238" i="17" a="1"/>
  <c r="N238" i="17" s="1"/>
  <c r="N122" i="17" a="1"/>
  <c r="N122" i="17" s="1"/>
  <c r="N170" i="17" a="1"/>
  <c r="N170" i="17" s="1"/>
  <c r="N242" i="17" a="1"/>
  <c r="N242" i="17" s="1"/>
  <c r="N322" i="17" a="1"/>
  <c r="N322" i="17" s="1"/>
  <c r="N132" i="17" a="1"/>
  <c r="N132" i="17" s="1"/>
  <c r="N215" i="17" a="1"/>
  <c r="N215" i="17" s="1"/>
  <c r="N263" i="17" a="1"/>
  <c r="N263" i="17" s="1"/>
  <c r="N176" i="17" a="1"/>
  <c r="N176" i="17" s="1"/>
  <c r="N204" i="17" a="1"/>
  <c r="N204" i="17" s="1"/>
  <c r="N249" i="17" a="1"/>
  <c r="N249" i="17" s="1"/>
  <c r="N296" i="17" a="1"/>
  <c r="N296" i="17" s="1"/>
  <c r="N143" i="17" a="1"/>
  <c r="N143" i="17" s="1"/>
  <c r="N180" i="17" a="1"/>
  <c r="N180" i="17" s="1"/>
  <c r="N205" i="17" a="1"/>
  <c r="N205" i="17" s="1"/>
  <c r="N253" i="17" a="1"/>
  <c r="N253" i="17" s="1"/>
  <c r="N301" i="17" a="1"/>
  <c r="N301" i="17" s="1"/>
  <c r="O2" i="17" a="1"/>
  <c r="O2" i="17" s="1"/>
  <c r="Q2" i="17" s="1"/>
  <c r="W2" i="17" s="1"/>
  <c r="O6" i="17" a="1"/>
  <c r="O6" i="17" s="1"/>
  <c r="Q6" i="17" s="1"/>
  <c r="W6" i="17" s="1"/>
  <c r="O266" i="17" a="1"/>
  <c r="O266" i="17" s="1"/>
  <c r="Q266" i="17" s="1"/>
  <c r="W266" i="17" s="1"/>
  <c r="O314" i="17" a="1"/>
  <c r="O314" i="17" s="1"/>
  <c r="Q314" i="17" s="1"/>
  <c r="W314" i="17" s="1"/>
  <c r="O80" i="17" a="1"/>
  <c r="O80" i="17" s="1"/>
  <c r="Q80" i="17" s="1"/>
  <c r="W80" i="17" s="1"/>
  <c r="O84" i="17" a="1"/>
  <c r="O84" i="17" s="1"/>
  <c r="Q84" i="17" s="1"/>
  <c r="W84" i="17" s="1"/>
  <c r="O151" i="17" a="1"/>
  <c r="O151" i="17" s="1"/>
  <c r="Q151" i="17" s="1"/>
  <c r="W151" i="17" s="1"/>
  <c r="O221" i="17" a="1"/>
  <c r="O221" i="17" s="1"/>
  <c r="Q221" i="17" s="1"/>
  <c r="W221" i="17" s="1"/>
  <c r="O269" i="17" a="1"/>
  <c r="O269" i="17" s="1"/>
  <c r="Q269" i="17" s="1"/>
  <c r="W269" i="17" s="1"/>
  <c r="O315" i="17" a="1"/>
  <c r="O315" i="17" s="1"/>
  <c r="Q315" i="17" s="1"/>
  <c r="W315" i="17" s="1"/>
  <c r="O16" i="17" a="1"/>
  <c r="O16" i="17" s="1"/>
  <c r="Q16" i="17" s="1"/>
  <c r="W16" i="17" s="1"/>
  <c r="O274" i="17" a="1"/>
  <c r="O274" i="17" s="1"/>
  <c r="Q274" i="17" s="1"/>
  <c r="W274" i="17" s="1"/>
  <c r="O24" i="17" a="1"/>
  <c r="O24" i="17" s="1"/>
  <c r="Q24" i="17" s="1"/>
  <c r="W24" i="17" s="1"/>
  <c r="O94" i="17" a="1"/>
  <c r="O94" i="17" s="1"/>
  <c r="Q94" i="17" s="1"/>
  <c r="W94" i="17" s="1"/>
  <c r="O155" i="17" a="1"/>
  <c r="O155" i="17" s="1"/>
  <c r="Q155" i="17" s="1"/>
  <c r="W155" i="17" s="1"/>
  <c r="O197" i="17" a="1"/>
  <c r="O197" i="17" s="1"/>
  <c r="Q197" i="17" s="1"/>
  <c r="W197" i="17" s="1"/>
  <c r="O229" i="17" a="1"/>
  <c r="O229" i="17" s="1"/>
  <c r="Q229" i="17" s="1"/>
  <c r="W229" i="17" s="1"/>
  <c r="O276" i="17" a="1"/>
  <c r="O276" i="17" s="1"/>
  <c r="Q276" i="17" s="1"/>
  <c r="W276" i="17" s="1"/>
  <c r="O26" i="17" a="1"/>
  <c r="O26" i="17" s="1"/>
  <c r="Q26" i="17" s="1"/>
  <c r="W26" i="17" s="1"/>
  <c r="O318" i="17" a="1"/>
  <c r="O318" i="17" s="1"/>
  <c r="Q318" i="17" s="1"/>
  <c r="W318" i="17" s="1"/>
  <c r="O35" i="17" a="1"/>
  <c r="O35" i="17" s="1"/>
  <c r="Q35" i="17" s="1"/>
  <c r="W35" i="17" s="1"/>
  <c r="O108" i="17" a="1"/>
  <c r="O108" i="17" s="1"/>
  <c r="Q108" i="17" s="1"/>
  <c r="W108" i="17" s="1"/>
  <c r="O163" i="17" a="1"/>
  <c r="O163" i="17" s="1"/>
  <c r="Q163" i="17" s="1"/>
  <c r="W163" i="17" s="1"/>
  <c r="O233" i="17" a="1"/>
  <c r="O233" i="17" s="1"/>
  <c r="Q233" i="17" s="1"/>
  <c r="W233" i="17" s="1"/>
  <c r="O281" i="17" a="1"/>
  <c r="O281" i="17" s="1"/>
  <c r="Q281" i="17" s="1"/>
  <c r="W281" i="17" s="1"/>
  <c r="O319" i="17" a="1"/>
  <c r="O319" i="17" s="1"/>
  <c r="Q319" i="17" s="1"/>
  <c r="W319" i="17" s="1"/>
  <c r="O263" i="17" a="1"/>
  <c r="O263" i="17" s="1"/>
  <c r="Q263" i="17" s="1"/>
  <c r="W263" i="17" s="1"/>
  <c r="O245" i="17" a="1"/>
  <c r="O245" i="17" s="1"/>
  <c r="Q245" i="17" s="1"/>
  <c r="W245" i="17" s="1"/>
  <c r="O175" i="17" a="1"/>
  <c r="O175" i="17" s="1"/>
  <c r="Q175" i="17" s="1"/>
  <c r="W175" i="17" s="1"/>
  <c r="O132" i="17" a="1"/>
  <c r="O132" i="17" s="1"/>
  <c r="O128" i="17" a="1"/>
  <c r="O128" i="17" s="1"/>
  <c r="Q128" i="17" s="1"/>
  <c r="W128" i="17" s="1"/>
  <c r="O322" i="17" a="1"/>
  <c r="O322" i="17" s="1"/>
  <c r="Q322" i="17" s="1"/>
  <c r="W322" i="17" s="1"/>
  <c r="O290" i="17" a="1"/>
  <c r="O290" i="17" s="1"/>
  <c r="Q290" i="17" s="1"/>
  <c r="W290" i="17" s="1"/>
  <c r="O242" i="17" a="1"/>
  <c r="O242" i="17" s="1"/>
  <c r="Q242" i="17" s="1"/>
  <c r="W242" i="17" s="1"/>
  <c r="O172" i="17" a="1"/>
  <c r="O172" i="17" s="1"/>
  <c r="Q172" i="17" s="1"/>
  <c r="W172" i="17" s="1"/>
  <c r="O189" i="17" a="1"/>
  <c r="O189" i="17" s="1"/>
  <c r="Q189" i="17" s="1"/>
  <c r="W189" i="17" s="1"/>
  <c r="O121" i="17" a="1"/>
  <c r="O121" i="17" s="1"/>
  <c r="Q121" i="17" s="1"/>
  <c r="W121" i="17" s="1"/>
  <c r="O118" i="17" a="1"/>
  <c r="O118" i="17" s="1"/>
  <c r="Q118" i="17" s="1"/>
  <c r="W118" i="17" s="1"/>
  <c r="O48" i="17" a="1"/>
  <c r="O48" i="17" s="1"/>
  <c r="Q48" i="17" s="1"/>
  <c r="W48" i="17" s="1"/>
  <c r="O44" i="17" a="1"/>
  <c r="O44" i="17" s="1"/>
  <c r="Q44" i="17" s="1"/>
  <c r="W44" i="17" s="1"/>
  <c r="O285" i="17" a="1"/>
  <c r="O285" i="17" s="1"/>
  <c r="Q285" i="17" s="1"/>
  <c r="W285" i="17" s="1"/>
  <c r="O237" i="17" a="1"/>
  <c r="O237" i="17" s="1"/>
  <c r="Q237" i="17" s="1"/>
  <c r="W237" i="17" s="1"/>
  <c r="O188" i="17" a="1"/>
  <c r="O188" i="17" s="1"/>
  <c r="Q188" i="17" s="1"/>
  <c r="W188" i="17" s="1"/>
  <c r="O112" i="17" a="1"/>
  <c r="O112" i="17" s="1"/>
  <c r="Q112" i="17" s="1"/>
  <c r="W112" i="17" s="1"/>
  <c r="O42" i="17" a="1"/>
  <c r="O42" i="17" s="1"/>
  <c r="Q42" i="17" s="1"/>
  <c r="W42" i="17" s="1"/>
  <c r="O282" i="17" a="1"/>
  <c r="O282" i="17" s="1"/>
  <c r="Q282" i="17" s="1"/>
  <c r="W282" i="17" s="1"/>
  <c r="O211" i="17" a="1"/>
  <c r="O211" i="17" s="1"/>
  <c r="Q211" i="17" s="1"/>
  <c r="W211" i="17" s="1"/>
  <c r="O105" i="17" a="1"/>
  <c r="O105" i="17" s="1"/>
  <c r="Q105" i="17" s="1"/>
  <c r="W105" i="17" s="1"/>
  <c r="O232" i="17" a="1"/>
  <c r="O232" i="17" s="1"/>
  <c r="Q232" i="17" s="1"/>
  <c r="W232" i="17" s="1"/>
  <c r="O158" i="17" a="1"/>
  <c r="O158" i="17" s="1"/>
  <c r="Q158" i="17" s="1"/>
  <c r="W158" i="17" s="1"/>
  <c r="O30" i="17" a="1"/>
  <c r="O30" i="17" s="1"/>
  <c r="Q30" i="17" s="1"/>
  <c r="W30" i="17" s="1"/>
  <c r="O277" i="17" a="1"/>
  <c r="O277" i="17" s="1"/>
  <c r="Q277" i="17" s="1"/>
  <c r="W277" i="17" s="1"/>
  <c r="O156" i="17" a="1"/>
  <c r="O156" i="17" s="1"/>
  <c r="Q156" i="17" s="1"/>
  <c r="W156" i="17" s="1"/>
  <c r="O304" i="17" a="1"/>
  <c r="O304" i="17" s="1"/>
  <c r="Q304" i="17" s="1"/>
  <c r="W304" i="17" s="1"/>
  <c r="O90" i="17" a="1"/>
  <c r="O90" i="17" s="1"/>
  <c r="Q90" i="17" s="1"/>
  <c r="W90" i="17" s="1"/>
  <c r="O270" i="17" a="1"/>
  <c r="O270" i="17" s="1"/>
  <c r="Q270" i="17" s="1"/>
  <c r="W270" i="17" s="1"/>
  <c r="O81" i="17" a="1"/>
  <c r="O81" i="17" s="1"/>
  <c r="Q81" i="17" s="1"/>
  <c r="W81" i="17" s="1"/>
  <c r="O220" i="17" a="1"/>
  <c r="O220" i="17" s="1"/>
  <c r="Q220" i="17" s="1"/>
  <c r="W220" i="17" s="1"/>
  <c r="N217" i="17" a="1"/>
  <c r="N217" i="17" s="1"/>
  <c r="N71" i="17" a="1"/>
  <c r="N71" i="17" s="1"/>
  <c r="N64" i="17" a="1"/>
  <c r="N64" i="17" s="1"/>
  <c r="N175" i="17" a="1"/>
  <c r="N175" i="17" s="1"/>
  <c r="N240" i="17" a="1"/>
  <c r="N240" i="17" s="1"/>
  <c r="N100" i="17" a="1"/>
  <c r="N100" i="17" s="1"/>
  <c r="N87" i="17" a="1"/>
  <c r="N87" i="17" s="1"/>
  <c r="O141" i="17" a="1"/>
  <c r="O141" i="17" s="1"/>
  <c r="Q141" i="17" s="1"/>
  <c r="W141" i="17" s="1"/>
  <c r="O71" i="17" a="1"/>
  <c r="O71" i="17" s="1"/>
  <c r="Q71" i="17" s="1"/>
  <c r="W71" i="17" s="1"/>
  <c r="O324" i="17" a="1"/>
  <c r="O324" i="17" s="1"/>
  <c r="Q324" i="17" s="1"/>
  <c r="W324" i="17" s="1"/>
  <c r="O297" i="17" a="1"/>
  <c r="O297" i="17" s="1"/>
  <c r="Q297" i="17" s="1"/>
  <c r="W297" i="17" s="1"/>
  <c r="O249" i="17" a="1"/>
  <c r="O249" i="17" s="1"/>
  <c r="Q249" i="17" s="1"/>
  <c r="W249" i="17" s="1"/>
  <c r="O176" i="17" a="1"/>
  <c r="O176" i="17" s="1"/>
  <c r="Q176" i="17" s="1"/>
  <c r="W176" i="17" s="1"/>
  <c r="O136" i="17" a="1"/>
  <c r="O136" i="17" s="1"/>
  <c r="Q136" i="17" s="1"/>
  <c r="W136" i="17" s="1"/>
  <c r="O215" i="17" a="1"/>
  <c r="O215" i="17" s="1"/>
  <c r="Q215" i="17" s="1"/>
  <c r="W215" i="17" s="1"/>
  <c r="O174" i="17" a="1"/>
  <c r="O174" i="17" s="1"/>
  <c r="Q174" i="17" s="1"/>
  <c r="W174" i="17" s="1"/>
  <c r="O131" i="17" a="1"/>
  <c r="O131" i="17" s="1"/>
  <c r="Q131" i="17" s="1"/>
  <c r="W131" i="17" s="1"/>
  <c r="O61" i="17" a="1"/>
  <c r="O61" i="17" s="1"/>
  <c r="Q61" i="17" s="1"/>
  <c r="W61" i="17" s="1"/>
  <c r="O58" i="17" a="1"/>
  <c r="O58" i="17" s="1"/>
  <c r="Q58" i="17" s="1"/>
  <c r="W58" i="17" s="1"/>
  <c r="O310" i="17" a="1"/>
  <c r="O310" i="17" s="1"/>
  <c r="Q310" i="17" s="1"/>
  <c r="W310" i="17" s="1"/>
  <c r="O262" i="17" a="1"/>
  <c r="O262" i="17" s="1"/>
  <c r="O214" i="17" a="1"/>
  <c r="O214" i="17" s="1"/>
  <c r="Q214" i="17" s="1"/>
  <c r="W214" i="17" s="1"/>
  <c r="O126" i="17" a="1"/>
  <c r="O126" i="17" s="1"/>
  <c r="Q126" i="17" s="1"/>
  <c r="W126" i="17" s="1"/>
  <c r="O122" i="17" a="1"/>
  <c r="O122" i="17" s="1"/>
  <c r="Q122" i="17" s="1"/>
  <c r="W122" i="17" s="1"/>
  <c r="O52" i="17" a="1"/>
  <c r="O52" i="17" s="1"/>
  <c r="Q52" i="17" s="1"/>
  <c r="W52" i="17" s="1"/>
  <c r="O309" i="17" a="1"/>
  <c r="O309" i="17" s="1"/>
  <c r="Q309" i="17" s="1"/>
  <c r="W309" i="17" s="1"/>
  <c r="O261" i="17" a="1"/>
  <c r="O261" i="17" s="1"/>
  <c r="Q261" i="17" s="1"/>
  <c r="W261" i="17" s="1"/>
  <c r="O213" i="17" a="1"/>
  <c r="O213" i="17" s="1"/>
  <c r="Q213" i="17" s="1"/>
  <c r="W213" i="17" s="1"/>
  <c r="O117" i="17" a="1"/>
  <c r="O117" i="17" s="1"/>
  <c r="Q117" i="17" s="1"/>
  <c r="W117" i="17" s="1"/>
  <c r="O47" i="17" a="1"/>
  <c r="O47" i="17" s="1"/>
  <c r="Q47" i="17" s="1"/>
  <c r="W47" i="17" s="1"/>
  <c r="O320" i="17" a="1"/>
  <c r="O320" i="17" s="1"/>
  <c r="Q320" i="17" s="1"/>
  <c r="W320" i="17" s="1"/>
  <c r="O284" i="17" a="1"/>
  <c r="O284" i="17" s="1"/>
  <c r="Q284" i="17" s="1"/>
  <c r="W284" i="17" s="1"/>
  <c r="O236" i="17" a="1"/>
  <c r="O236" i="17" s="1"/>
  <c r="Q236" i="17" s="1"/>
  <c r="W236" i="17" s="1"/>
  <c r="O166" i="17" a="1"/>
  <c r="O166" i="17" s="1"/>
  <c r="Q166" i="17" s="1"/>
  <c r="W166" i="17" s="1"/>
  <c r="O115" i="17" a="1"/>
  <c r="O115" i="17" s="1"/>
  <c r="Q115" i="17" s="1"/>
  <c r="W115" i="17" s="1"/>
  <c r="O111" i="17" a="1"/>
  <c r="O111" i="17" s="1"/>
  <c r="Q111" i="17" s="1"/>
  <c r="W111" i="17" s="1"/>
  <c r="O38" i="17" a="1"/>
  <c r="O38" i="17" s="1"/>
  <c r="Q38" i="17" s="1"/>
  <c r="W38" i="17" s="1"/>
  <c r="O259" i="17" a="1"/>
  <c r="O259" i="17" s="1"/>
  <c r="Q259" i="17" s="1"/>
  <c r="W259" i="17" s="1"/>
  <c r="O109" i="17" a="1"/>
  <c r="O109" i="17" s="1"/>
  <c r="Q109" i="17" s="1"/>
  <c r="W109" i="17" s="1"/>
  <c r="O104" i="17" a="1"/>
  <c r="O104" i="17" s="1"/>
  <c r="Q104" i="17" s="1"/>
  <c r="W104" i="17" s="1"/>
  <c r="O230" i="17" a="1"/>
  <c r="O230" i="17" s="1"/>
  <c r="Q230" i="17" s="1"/>
  <c r="W230" i="17" s="1"/>
  <c r="O102" i="17" a="1"/>
  <c r="O102" i="17" s="1"/>
  <c r="Q102" i="17" s="1"/>
  <c r="W102" i="17" s="1"/>
  <c r="O28" i="17" a="1"/>
  <c r="O28" i="17" s="1"/>
  <c r="Q28" i="17" s="1"/>
  <c r="W28" i="17" s="1"/>
  <c r="O275" i="17" a="1"/>
  <c r="O275" i="17" s="1"/>
  <c r="Q275" i="17" s="1"/>
  <c r="W275" i="17" s="1"/>
  <c r="O95" i="17" a="1"/>
  <c r="O95" i="17" s="1"/>
  <c r="Q95" i="17" s="1"/>
  <c r="W95" i="17" s="1"/>
  <c r="O272" i="17" a="1"/>
  <c r="O272" i="17" s="1"/>
  <c r="Q272" i="17" s="1"/>
  <c r="W272" i="17" s="1"/>
  <c r="O86" i="17" a="1"/>
  <c r="O86" i="17" s="1"/>
  <c r="Q86" i="17" s="1"/>
  <c r="W86" i="17" s="1"/>
  <c r="O222" i="17" a="1"/>
  <c r="O222" i="17" s="1"/>
  <c r="Q222" i="17" s="1"/>
  <c r="W222" i="17" s="1"/>
  <c r="O11" i="17" a="1"/>
  <c r="O11" i="17" s="1"/>
  <c r="Q11" i="17" s="1"/>
  <c r="W11" i="17" s="1"/>
  <c r="O194" i="17" a="1"/>
  <c r="O194" i="17" s="1"/>
  <c r="Q194" i="17" s="1"/>
  <c r="W194" i="17" s="1"/>
  <c r="O3" i="17" a="1"/>
  <c r="O3" i="17" s="1"/>
  <c r="Q3" i="17" s="1"/>
  <c r="W3" i="17" s="1"/>
  <c r="N324" i="17" a="1"/>
  <c r="N324" i="17" s="1"/>
  <c r="N311" i="17" a="1"/>
  <c r="N311" i="17" s="1"/>
  <c r="N171" i="17" a="1"/>
  <c r="N171" i="17" s="1"/>
  <c r="N167" i="17" a="1"/>
  <c r="N167" i="17" s="1"/>
  <c r="O313" i="17" a="1"/>
  <c r="O313" i="17" s="1"/>
  <c r="Q313" i="17" s="1"/>
  <c r="W313" i="17" s="1"/>
  <c r="O265" i="17" a="1"/>
  <c r="O265" i="17" s="1"/>
  <c r="Q265" i="17" s="1"/>
  <c r="W265" i="17" s="1"/>
  <c r="O217" i="17" a="1"/>
  <c r="O217" i="17" s="1"/>
  <c r="Q217" i="17" s="1"/>
  <c r="W217" i="17" s="1"/>
  <c r="O180" i="17" a="1"/>
  <c r="O180" i="17" s="1"/>
  <c r="Q180" i="17" s="1"/>
  <c r="W180" i="17" s="1"/>
  <c r="O296" i="17" a="1"/>
  <c r="O296" i="17" s="1"/>
  <c r="Q296" i="17" s="1"/>
  <c r="W296" i="17" s="1"/>
  <c r="O248" i="17" a="1"/>
  <c r="O248" i="17" s="1"/>
  <c r="Q248" i="17" s="1"/>
  <c r="W248" i="17" s="1"/>
  <c r="O192" i="17" a="1"/>
  <c r="O192" i="17" s="1"/>
  <c r="Q192" i="17" s="1"/>
  <c r="W192" i="17" s="1"/>
  <c r="O139" i="17" a="1"/>
  <c r="O139" i="17" s="1"/>
  <c r="Q139" i="17" s="1"/>
  <c r="W139" i="17" s="1"/>
  <c r="O66" i="17" a="1"/>
  <c r="O66" i="17" s="1"/>
  <c r="Q66" i="17" s="1"/>
  <c r="W66" i="17" s="1"/>
  <c r="O62" i="17" a="1"/>
  <c r="O62" i="17" s="1"/>
  <c r="Q62" i="17" s="1"/>
  <c r="W62" i="17" s="1"/>
  <c r="O294" i="17" a="1"/>
  <c r="O294" i="17" s="1"/>
  <c r="Q294" i="17" s="1"/>
  <c r="W294" i="17" s="1"/>
  <c r="O246" i="17" a="1"/>
  <c r="O246" i="17" s="1"/>
  <c r="Q246" i="17" s="1"/>
  <c r="W246" i="17" s="1"/>
  <c r="O57" i="17" a="1"/>
  <c r="O57" i="17" s="1"/>
  <c r="Q57" i="17" s="1"/>
  <c r="W57" i="17" s="1"/>
  <c r="O292" i="17" a="1"/>
  <c r="O292" i="17" s="1"/>
  <c r="Q292" i="17" s="1"/>
  <c r="W292" i="17" s="1"/>
  <c r="O244" i="17" a="1"/>
  <c r="O244" i="17" s="1"/>
  <c r="Q244" i="17" s="1"/>
  <c r="W244" i="17" s="1"/>
  <c r="O202" i="17" a="1"/>
  <c r="O202" i="17" s="1"/>
  <c r="Q202" i="17" s="1"/>
  <c r="W202" i="17" s="1"/>
  <c r="O171" i="17" a="1"/>
  <c r="O171" i="17" s="1"/>
  <c r="Q171" i="17" s="1"/>
  <c r="W171" i="17" s="1"/>
  <c r="O125" i="17" a="1"/>
  <c r="O125" i="17" s="1"/>
  <c r="Q125" i="17" s="1"/>
  <c r="W125" i="17" s="1"/>
  <c r="O55" i="17" a="1"/>
  <c r="O55" i="17" s="1"/>
  <c r="Q55" i="17" s="1"/>
  <c r="W55" i="17" s="1"/>
  <c r="O51" i="17" a="1"/>
  <c r="O51" i="17" s="1"/>
  <c r="Q51" i="17" s="1"/>
  <c r="W51" i="17" s="1"/>
  <c r="O289" i="17" a="1"/>
  <c r="O289" i="17" s="1"/>
  <c r="O241" i="17" a="1"/>
  <c r="O241" i="17" s="1"/>
  <c r="Q241" i="17" s="1"/>
  <c r="W241" i="17" s="1"/>
  <c r="O168" i="17" a="1"/>
  <c r="O168" i="17" s="1"/>
  <c r="Q168" i="17" s="1"/>
  <c r="W168" i="17" s="1"/>
  <c r="O119" i="17" a="1"/>
  <c r="O119" i="17" s="1"/>
  <c r="Q119" i="17" s="1"/>
  <c r="W119" i="17" s="1"/>
  <c r="O114" i="17" a="1"/>
  <c r="O114" i="17" s="1"/>
  <c r="Q114" i="17" s="1"/>
  <c r="W114" i="17" s="1"/>
  <c r="O110" i="17" a="1"/>
  <c r="O110" i="17" s="1"/>
  <c r="Q110" i="17" s="1"/>
  <c r="W110" i="17" s="1"/>
  <c r="O41" i="17" a="1"/>
  <c r="O41" i="17" s="1"/>
  <c r="Q41" i="17" s="1"/>
  <c r="W41" i="17" s="1"/>
  <c r="O307" i="17" a="1"/>
  <c r="O307" i="17" s="1"/>
  <c r="Q307" i="17" s="1"/>
  <c r="W307" i="17" s="1"/>
  <c r="O187" i="17" a="1"/>
  <c r="O187" i="17" s="1"/>
  <c r="Q187" i="17" s="1"/>
  <c r="W187" i="17" s="1"/>
  <c r="O107" i="17" a="1"/>
  <c r="O107" i="17" s="1"/>
  <c r="Q107" i="17" s="1"/>
  <c r="W107" i="17" s="1"/>
  <c r="O280" i="17" a="1"/>
  <c r="O280" i="17" s="1"/>
  <c r="Q280" i="17" s="1"/>
  <c r="W280" i="17" s="1"/>
  <c r="O198" i="17" a="1"/>
  <c r="O198" i="17" s="1"/>
  <c r="Q198" i="17" s="1"/>
  <c r="W198" i="17" s="1"/>
  <c r="O100" i="17" a="1"/>
  <c r="O100" i="17" s="1"/>
  <c r="Q100" i="17" s="1"/>
  <c r="W100" i="17" s="1"/>
  <c r="O27" i="17" a="1"/>
  <c r="O27" i="17" s="1"/>
  <c r="Q27" i="17" s="1"/>
  <c r="W27" i="17" s="1"/>
  <c r="O25" i="17" a="1"/>
  <c r="O25" i="17" s="1"/>
  <c r="Q25" i="17" s="1"/>
  <c r="W25" i="17" s="1"/>
  <c r="O224" i="17" a="1"/>
  <c r="O224" i="17" s="1"/>
  <c r="Q224" i="17" s="1"/>
  <c r="W224" i="17" s="1"/>
  <c r="O17" i="17" a="1"/>
  <c r="O17" i="17" s="1"/>
  <c r="O183" i="17" a="1"/>
  <c r="O183" i="17" s="1"/>
  <c r="Q183" i="17" s="1"/>
  <c r="W183" i="17" s="1"/>
  <c r="O8" i="17" a="1"/>
  <c r="O8" i="17" s="1"/>
  <c r="Q8" i="17" s="1"/>
  <c r="W8" i="17" s="1"/>
  <c r="O146" i="17" a="1"/>
  <c r="O146" i="17" s="1"/>
  <c r="Q146" i="17" s="1"/>
  <c r="W146" i="17" s="1"/>
  <c r="N313" i="17" a="1"/>
  <c r="N313" i="17" s="1"/>
  <c r="N297" i="17" a="1"/>
  <c r="N297" i="17" s="1"/>
  <c r="N138" i="17" a="1"/>
  <c r="N138" i="17" s="1"/>
  <c r="N128" i="17" a="1"/>
  <c r="N128" i="17" s="1"/>
  <c r="N107" i="17" a="1"/>
  <c r="N107" i="17" s="1"/>
  <c r="N93" i="17" a="1"/>
  <c r="N93" i="17" s="1"/>
  <c r="N13" i="17" a="1"/>
  <c r="N13" i="17" s="1"/>
  <c r="Q179" i="17"/>
  <c r="W179" i="17" s="1"/>
  <c r="Q289" i="17"/>
  <c r="W289" i="17" s="1"/>
  <c r="Q17" i="17"/>
  <c r="W17" i="17" s="1"/>
  <c r="Q302" i="17"/>
  <c r="W302" i="17" s="1"/>
  <c r="Q181" i="17"/>
  <c r="W181" i="17" s="1"/>
  <c r="Q72" i="17"/>
  <c r="W72" i="17" s="1"/>
  <c r="Q312" i="17"/>
  <c r="W312" i="17" s="1"/>
  <c r="Q137" i="17"/>
  <c r="W137" i="17" s="1"/>
  <c r="Q323" i="17"/>
  <c r="W323" i="17" s="1"/>
  <c r="Q247" i="17"/>
  <c r="W247" i="17" s="1"/>
  <c r="Q132" i="17"/>
  <c r="W132" i="17" s="1"/>
  <c r="Q60" i="17"/>
  <c r="W60" i="17" s="1"/>
  <c r="Q262" i="17"/>
  <c r="W262" i="17" s="1"/>
  <c r="Q253" i="17"/>
  <c r="W253" i="17" s="1"/>
  <c r="N2" i="17" a="1"/>
  <c r="N2" i="17" s="1"/>
  <c r="N146" i="17" a="1"/>
  <c r="N146" i="17" s="1"/>
  <c r="N77" i="17" a="1"/>
  <c r="N77" i="17" s="1"/>
  <c r="N7" i="17" a="1"/>
  <c r="N7" i="17" s="1"/>
  <c r="N266" i="17" a="1"/>
  <c r="N266" i="17" s="1"/>
  <c r="N218" i="17" a="1"/>
  <c r="N218" i="17" s="1"/>
  <c r="N76" i="17" a="1"/>
  <c r="N76" i="17" s="1"/>
  <c r="N5" i="17" a="1"/>
  <c r="N5" i="17" s="1"/>
  <c r="N78" i="17" a="1"/>
  <c r="N78" i="17" s="1"/>
  <c r="N4" i="17" a="1"/>
  <c r="N4" i="17" s="1"/>
  <c r="N6" i="17" a="1"/>
  <c r="N6" i="17" s="1"/>
  <c r="N3" i="17" a="1"/>
  <c r="N3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nesto\OneDrive - Universidad de la Sabana\universidad\2025-1\simulación\puntos del taller\412 carros y desechos\carrosdesechos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nesto\OneDrive - Universidad de la Sabana\universidad\2025-1\simulación\puntos del taller\412 carros y desechos\carrosdesechos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nesto\OneDrive - Universidad de la Sabana\universidad\2025-1\simulación\puntos del taller\412 carros y desechos\carrosdesechos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nesto\OneDrive - Universidad de la Sabana\universidad\2025-1\simulación\puntos del taller\412 carros y desechos\carrosdesechos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nesto\OneDrive - Universidad de la Sabana\universidad\2025-1\simulación\puntos del taller\412 carros y desechos\carrosdesechos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nesto\OneDrive - Universidad de la Sabana\universidad\2025-1\simulación\puntos del taller\412 carros y desechos\carrosdesechos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<sst xmlns="http://schemas.openxmlformats.org/spreadsheetml/2006/main" count="4066" uniqueCount="143">
  <si>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</si>
  <si>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</si>
  <si>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</si>
  <si>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</si>
  <si>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</si>
  <si>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</si>
  <si>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</si>
  <si>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</si>
  <si>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</si>
  <si>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</si>
  <si>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</si>
  <si>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</si>
  <si>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</si>
  <si>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</si>
  <si>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</si>
  <si>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</si>
  <si>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</si>
  <si>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</si>
  <si>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</si>
  <si>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</si>
  <si>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</si>
  <si>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</si>
  <si>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</si>
  <si>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</si>
  <si>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</si>
  <si>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</si>
  <si>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</si>
  <si>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</si>
  <si>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</si>
  <si>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</si>
  <si>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</si>
  <si>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</si>
  <si>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</si>
  <si>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</si>
  <si>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</si>
  <si>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</si>
  <si>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</si>
  <si>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</si>
  <si>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</si>
  <si>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</si>
  <si>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</si>
  <si>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</si>
  <si>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</si>
  <si>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</si>
  <si>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</si>
  <si>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</si>
  <si>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</si>
  <si>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</si>
  <si>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</si>
  <si>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</si>
  <si>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</si>
  <si>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</si>
  <si>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</si>
  <si>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</si>
  <si>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</si>
  <si>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</si>
  <si>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</si>
  <si>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</si>
  <si>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</si>
  <si>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</si>
  <si>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</si>
  <si>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</si>
  <si>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</si>
  <si>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</si>
  <si>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</si>
  <si>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</si>
  <si>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</si>
  <si>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IncludeOption</t>
  </si>
  <si>
    <t>Tener Articulso</t>
  </si>
  <si>
    <t>C:\Users\nesto\OneDrive - Universidad de la Sabana\Universidad\2025-1\Simulación\Puntos del taller\412 Carros y desechos\CarrosDesechos.p</t>
  </si>
  <si>
    <t>2025-05-21 22:25:52</t>
  </si>
  <si>
    <t>Articulos</t>
  </si>
  <si>
    <t>NVA Time</t>
  </si>
  <si>
    <t>Entity</t>
  </si>
  <si>
    <t>Other Time</t>
  </si>
  <si>
    <t>Total Time</t>
  </si>
  <si>
    <t>Transfer Time</t>
  </si>
  <si>
    <t>VA Time</t>
  </si>
  <si>
    <t>Wait Time</t>
  </si>
  <si>
    <t>Carros</t>
  </si>
  <si>
    <t>Desembalaje</t>
  </si>
  <si>
    <t>Total Time Per Entity</t>
  </si>
  <si>
    <t>Process</t>
  </si>
  <si>
    <t>VA Time Per Entity</t>
  </si>
  <si>
    <t>Wait Time Per Entity</t>
  </si>
  <si>
    <t>Desembalaje.Queue</t>
  </si>
  <si>
    <t>Waiting Time</t>
  </si>
  <si>
    <t>Queue</t>
  </si>
  <si>
    <t>Detener Carros.Queue</t>
  </si>
  <si>
    <t>NoOrganizar.Queue</t>
  </si>
  <si>
    <t>Organizar</t>
  </si>
  <si>
    <t>Organizar.Queue</t>
  </si>
  <si>
    <t>Sacar Articulos</t>
  </si>
  <si>
    <t>Sacar Articulos.Queue</t>
  </si>
  <si>
    <t>TenerArticulos.Queue</t>
  </si>
  <si>
    <t>WIP</t>
  </si>
  <si>
    <t>Number Waiting</t>
  </si>
  <si>
    <t>rOrganizdor</t>
  </si>
  <si>
    <t>Instantaneous Utilization</t>
  </si>
  <si>
    <t>Resource</t>
  </si>
  <si>
    <t>Number Busy</t>
  </si>
  <si>
    <t>Number Scheduled</t>
  </si>
  <si>
    <t>rSacador</t>
  </si>
  <si>
    <t>Articulos.NumberIn</t>
  </si>
  <si>
    <t>Number In</t>
  </si>
  <si>
    <t>Articulos.NumberOut</t>
  </si>
  <si>
    <t>Number Out</t>
  </si>
  <si>
    <t>Carros.NumberIn</t>
  </si>
  <si>
    <t>Carros.NumberOut</t>
  </si>
  <si>
    <t>Desembalaje Accum VA Time</t>
  </si>
  <si>
    <t>Accum VA Time</t>
  </si>
  <si>
    <t>Desembalaje Accum Wait Time</t>
  </si>
  <si>
    <t>Accum Wait Time</t>
  </si>
  <si>
    <t>Desembalaje Number In</t>
  </si>
  <si>
    <t>Desembalaje Number Out</t>
  </si>
  <si>
    <t>Organizar Accum VA Time</t>
  </si>
  <si>
    <t>Organizar Accum Wait Time</t>
  </si>
  <si>
    <t>Organizar Number In</t>
  </si>
  <si>
    <t>Organizar Number Out</t>
  </si>
  <si>
    <t>Sacar Articulos Accum VA Time</t>
  </si>
  <si>
    <t>Sacar Articulos Accum Wait Time</t>
  </si>
  <si>
    <t>Sacar Articulos Number In</t>
  </si>
  <si>
    <t>Sacar Articulos Number Out</t>
  </si>
  <si>
    <t>System.NumberOut</t>
  </si>
  <si>
    <t>System</t>
  </si>
  <si>
    <t>rOrganizdor.NumberSeized</t>
  </si>
  <si>
    <t>Total Number Seized</t>
  </si>
  <si>
    <t>rOrganizdor.ScheduledUtilization</t>
  </si>
  <si>
    <t>Scheduled Utilization</t>
  </si>
  <si>
    <t>rSacador.NumberSeized</t>
  </si>
  <si>
    <t>rSacador.ScheduledUtilization</t>
  </si>
  <si>
    <t>Utilización de los trabajadores</t>
  </si>
  <si>
    <t>Primer Trabajador</t>
  </si>
  <si>
    <t>Recurso</t>
  </si>
  <si>
    <t>Li</t>
  </si>
  <si>
    <t>Ls</t>
  </si>
  <si>
    <t>Segundo Trabajador</t>
  </si>
  <si>
    <t>Tiempo promedio de espera de los artículos para ser descargados</t>
  </si>
  <si>
    <t>Número promedio de artículos en espera para ser descargados</t>
  </si>
  <si>
    <t>Tiempo promedio de espera de los artículos para ser clasificados</t>
  </si>
  <si>
    <t>Número promedio de artículos en espera para ser clasificados</t>
  </si>
  <si>
    <t>Tiempo promedio de espera de los artículos para ser desensamblados</t>
  </si>
  <si>
    <t>Número promedio de artículos en espera para ser desensamblados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</si>
</sst>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  <xf numFmtId="0" fontId="0" fillId="0" borderId="1" xfId="0" applyBorder="1"/>
    <xf numFmtId="184" fontId="0" fillId="0" borderId="1" xfId="0" applyNumberFormat="1" applyBorder="1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184" fontId="0" fillId="0" borderId="1" xfId="0" applyNumberFormat="1" applyBorder="1" applyAlignment="1">
      <alignment horizontal="center"/>
    </xf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8.934910532407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8.934910995369" createdVersion="7" refreshedVersion="8" minRefreshableVersion="3" recordCount="324" xr:uid="{B84A8B69-002E-494F-8DC0-5D2F7796C835}">
  <cacheSource type="worksheet">
    <worksheetSource name="DiscreteStatsTable"/>
  </cacheSource>
  <cacheFields count="25">
    <cacheField name="ProjectName" numFmtId="0">
      <sharedItems containsBlank="1" count="5">
        <s v="Tener Articulso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2"/>
    </cacheField>
    <cacheField name="Name" numFmtId="0">
      <sharedItems containsBlank="1" count="110">
        <s v="Articulos"/>
        <s v="Carros"/>
        <s v="Desembalaje"/>
        <s v="Desembalaje.Queue"/>
        <s v="Detener Carros.Queue"/>
        <s v="NoOrganizar.Queue"/>
        <s v="Organizar"/>
        <s v="Organizar.Queue"/>
        <s v="Sacar Articulos"/>
        <s v="Sacar Articulos.Queue"/>
        <s v="TenerArticulo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Total Time Per Entity"/>
        <s v="VA Time Per Entity"/>
        <s v="Wait Time Per Entity"/>
        <s v="Waiting Time"/>
        <m u="1"/>
        <s v="Interval" u="1"/>
      </sharedItems>
    </cacheField>
    <cacheField name="Source" numFmtId="0">
      <sharedItems containsBlank="1" count="5">
        <s v="Entity"/>
        <s v="Process"/>
        <s v="Queue"/>
        <m u="1"/>
        <s v="User Specified" u="1"/>
      </sharedItems>
    </cacheField>
    <cacheField name="Average" numFmtId="0">
      <sharedItems containsSemiMixedTypes="0" containsString="0" containsNumber="1" minValue="0" maxValue="110.88908690154101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12.210246432559"/>
    </cacheField>
    <cacheField name="Maximum" numFmtId="0">
      <sharedItems containsSemiMixedTypes="0" containsString="0" containsNumber="1" minValue="0" maxValue="348.59837157348801"/>
    </cacheField>
    <cacheField name="NumberObservations" numFmtId="0">
      <sharedItems containsSemiMixedTypes="0" containsString="0" containsNumber="1" containsInteger="1" minValue="58" maxValue="842"/>
    </cacheField>
    <cacheField name="GroupByKey" numFmtId="0">
      <sharedItems/>
    </cacheField>
    <cacheField name="RepsRequested" numFmtId="0">
      <sharedItems containsSemiMixedTypes="0" containsString="0" containsNumber="1" containsInteger="1" minValue="12" maxValue="12"/>
    </cacheField>
    <cacheField name="AverageOfAverage" numFmtId="0">
      <sharedItems containsSemiMixedTypes="0" containsString="0" containsNumber="1" minValue="0" maxValue="55.98955748533124"/>
    </cacheField>
    <cacheField name="StDevOfAverage" numFmtId="0">
      <sharedItems containsSemiMixedTypes="0" containsString="0" containsNumber="1" minValue="0" maxValue="24.50636204611133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5.570599590849211"/>
    </cacheField>
    <cacheField name="MinimumAverage" numFmtId="0">
      <sharedItems containsSemiMixedTypes="0" containsString="0" containsNumber="1" minValue="0" maxValue="21.869819245231099"/>
    </cacheField>
    <cacheField name="MaximumAverage" numFmtId="0">
      <sharedItems containsSemiMixedTypes="0" containsString="0" containsNumber="1" minValue="0" maxValue="110.88908690154101"/>
    </cacheField>
    <cacheField name="OverallMinimum" numFmtId="0">
      <sharedItems containsSemiMixedTypes="0" containsString="0" containsNumber="1" minValue="0" maxValue="8.0759119651897908"/>
    </cacheField>
    <cacheField name="OverallMaximum" numFmtId="0">
      <sharedItems containsSemiMixedTypes="0" containsString="0" containsNumber="1" minValue="0" maxValue="348.59837157348801"/>
    </cacheField>
    <cacheField name="AverageNumberObservations" numFmtId="0">
      <sharedItems containsSemiMixedTypes="0" containsString="0" containsNumber="1" minValue="65.083333333333329" maxValue="795.66666666666663"/>
    </cacheField>
    <cacheField name="SummaryHalfWidth" numFmtId="0">
      <sharedItems containsSemiMixedTypes="0" containsString="0" containsNumber="1" minValue="0" maxValue="15.570599590849211"/>
    </cacheField>
    <cacheField name="RepsWithStatObserved" numFmtId="0">
      <sharedItems containsSemiMixedTypes="0" containsString="0" containsNumber="1" containsInteger="1" minValue="12" maxValue="12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8.934911689816" createdVersion="7" refreshedVersion="8" minRefreshableVersion="3" recordCount="252" xr:uid="{CD99054F-849B-4F05-A210-6C45A1A34EDA}">
  <cacheSource type="worksheet">
    <worksheetSource name="OutputTable"/>
  </cacheSource>
  <cacheFields count="16">
    <cacheField name="ProjectName" numFmtId="0">
      <sharedItems containsBlank="1" count="5">
        <s v="Tener Articulso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2"/>
    </cacheField>
    <cacheField name="Name" numFmtId="0">
      <sharedItems containsBlank="1" count="99">
        <s v="Articulos.NumberIn"/>
        <s v="Articulos.NumberOut"/>
        <s v="Carros.NumberIn"/>
        <s v="Carros.NumberOut"/>
        <s v="Desembalaje Accum VA Time"/>
        <s v="Desembalaje Accum Wait Time"/>
        <s v="Desembalaje Number In"/>
        <s v="Desembalaje Number Out"/>
        <s v="Organizar Accum VA Time"/>
        <s v="Organizar Accum Wait Time"/>
        <s v="Organizar Number In"/>
        <s v="Organizar Number Out"/>
        <s v="Sacar Articulos Accum VA Time"/>
        <s v="Sacar Articulos Accum Wait Time"/>
        <s v="Sacar Articulos Number In"/>
        <s v="Sacar Articulos Number Out"/>
        <s v="System.NumberOut"/>
        <s v="rOrganizdor.NumberSeized"/>
        <s v="rOrganizdor.ScheduledUtilization"/>
        <s v="rSacador.NumberSeized"/>
        <s v="rSacador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Accum VA Time"/>
        <s v="Accum Wait Time"/>
        <s v="Total Number Seized"/>
        <s v="Scheduled Utilization"/>
        <m u="1"/>
      </sharedItems>
    </cacheField>
    <cacheField name="Source" numFmtId="0">
      <sharedItems containsBlank="1" count="5">
        <s v="Entity"/>
        <s v="Process"/>
        <s v="System"/>
        <s v="Resource"/>
        <m u="1"/>
      </sharedItems>
    </cacheField>
    <cacheField name="RecordedValue" numFmtId="0">
      <sharedItems containsSemiMixedTypes="0" containsString="0" containsNumber="1" minValue="0.70281682687036895" maxValue="18159.701830867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2" maxValue="12"/>
    </cacheField>
    <cacheField name="Average" numFmtId="0">
      <sharedItems containsSemiMixedTypes="0" containsString="0" containsNumber="1" minValue="0.75499127770842467" maxValue="14481.366678807759"/>
    </cacheField>
    <cacheField name="StandardDeviation" numFmtId="0">
      <sharedItems containsSemiMixedTypes="0" containsString="0" containsNumber="1" minValue="3.0080475881637609E-2" maxValue="2869.9645631781104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9112222555672933E-2" maxValue="1823.4884871564914"/>
    </cacheField>
    <cacheField name="Minimum" numFmtId="0">
      <sharedItems containsSemiMixedTypes="0" containsString="0" containsNumber="1" minValue="0.70281682687036895" maxValue="9643.84605851171"/>
    </cacheField>
    <cacheField name="Maximum" numFmtId="0">
      <sharedItems containsSemiMixedTypes="0" containsString="0" containsNumber="1" minValue="0.79676815469245998" maxValue="18159.70183086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8.934912500001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stor Andres Tabares David" refreshedDate="45798.934913425925" createdVersion="7" refreshedVersion="8" minRefreshableVersion="3" recordCount="168" xr:uid="{98BDAE34-4484-421D-B96E-804CE77A1811}">
  <cacheSource type="worksheet">
    <worksheetSource name="ContinuousStatsTable"/>
  </cacheSource>
  <cacheFields count="21">
    <cacheField name="ProjectName" numFmtId="0">
      <sharedItems containsBlank="1" count="5">
        <s v="Tener Articulso"/>
        <m u="1"/>
        <s v="Assembly Line" u="1"/>
        <s v="All Statistic Types 1" u="1"/>
        <s v="Unnamed Project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2"/>
    </cacheField>
    <cacheField name="Name" numFmtId="0">
      <sharedItems containsBlank="1" count="134">
        <s v="Articulos"/>
        <s v="Carros"/>
        <s v="Desembalaje.Queue"/>
        <s v="Detener Carros.Queue"/>
        <s v="NoOrganizar.Queue"/>
        <s v="Organizar.Queue"/>
        <s v="Sacar Articulos.Queue"/>
        <s v="TenerArticulos.Queue"/>
        <s v="rOrganizdor"/>
        <s v="rSacador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.26379051411540999" maxValue="16.013877975802099"/>
    </cacheField>
    <cacheField name="BatchMeansHalfWidth" numFmtId="0">
      <sharedItems containsSemiMixedTypes="0" containsString="0" containsNumber="1" minValue="4.9432875170770302E-2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33"/>
    </cacheField>
    <cacheField name="LastRecordedValue" numFmtId="0">
      <sharedItems containsSemiMixedTypes="0" containsString="0" containsNumber="1" containsInteger="1" minValue="0" maxValue="29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2" maxValue="12"/>
    </cacheField>
    <cacheField name="AverageOfAverage" numFmtId="0">
      <sharedItems containsSemiMixedTypes="0" containsString="0" containsNumber="1" minValue="0.39305431340749158" maxValue="11.967618013540566"/>
    </cacheField>
    <cacheField name="StDevOfAverage" numFmtId="0">
      <sharedItems containsSemiMixedTypes="0" containsString="0" containsNumber="1" minValue="0" maxValue="2.219962226691581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.4104967058588604"/>
    </cacheField>
    <cacheField name="MinimumAverage" numFmtId="0">
      <sharedItems containsSemiMixedTypes="0" containsString="0" containsNumber="1" minValue="0.26379051411540999" maxValue="7.8453940222015603"/>
    </cacheField>
    <cacheField name="MaximumAverage" numFmtId="0">
      <sharedItems containsSemiMixedTypes="0" containsString="0" containsNumber="1" minValue="0.492701223784278" maxValue="16.013877975802099"/>
    </cacheField>
    <cacheField name="SummaryHalfWidth" numFmtId="0">
      <sharedItems containsSemiMixedTypes="0" containsString="0" containsNumber="1" minValue="0" maxValue="1.41049670585886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4">
  <r>
    <x v="0"/>
    <s v="2025-05-21 22:25:52"/>
    <n v="1"/>
    <x v="0"/>
    <x v="0"/>
    <x v="0"/>
    <n v="0"/>
    <n v="0"/>
    <n v="0"/>
    <n v="0"/>
    <n v="792"/>
    <s v="Tener ArticulsoArticulosNVA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1"/>
    <x v="0"/>
    <x v="1"/>
    <x v="0"/>
    <n v="0"/>
    <n v="0"/>
    <n v="0"/>
    <n v="0"/>
    <n v="792"/>
    <s v="Tener ArticulsoArticulosOth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1"/>
    <x v="0"/>
    <x v="2"/>
    <x v="0"/>
    <n v="28.039297634545701"/>
    <n v="3E+20"/>
    <n v="4.2588660827511999"/>
    <n v="230.83211146855101"/>
    <n v="792"/>
    <s v="Tener ArticulsoArticulosTotal TimeEntity"/>
    <n v="12"/>
    <n v="31.443465566031005"/>
    <n v="4.7884013482899288"/>
    <n v="0.95"/>
    <n v="3.0424050674765848"/>
    <n v="21.869819245231099"/>
    <n v="39.749511711720999"/>
    <n v="1.3051780606112999"/>
    <n v="348.59837157348801"/>
    <n v="783.16666666666663"/>
    <n v="3.0424050674765848"/>
    <n v="12"/>
    <n v="1"/>
  </r>
  <r>
    <x v="0"/>
    <s v="2025-05-21 22:25:52"/>
    <n v="1"/>
    <x v="0"/>
    <x v="3"/>
    <x v="0"/>
    <n v="0"/>
    <n v="0"/>
    <n v="0"/>
    <n v="0"/>
    <n v="792"/>
    <s v="Tener ArticulsoArticulosTransf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1"/>
    <x v="0"/>
    <x v="4"/>
    <x v="0"/>
    <n v="4.4631144444376201"/>
    <n v="3E+20"/>
    <n v="1.0027701744294899"/>
    <n v="20.274524040505899"/>
    <n v="792"/>
    <s v="Tener ArticulsoArticulosVA TimeEntity"/>
    <n v="12"/>
    <n v="4.4972558269618901"/>
    <n v="9.4577990616504876E-2"/>
    <n v="0.95"/>
    <n v="6.0091988326368861E-2"/>
    <n v="4.3179545296811002"/>
    <n v="4.6805733214061496"/>
    <n v="1.00010180636809"/>
    <n v="21.211822368947701"/>
    <n v="783.16666666666663"/>
    <n v="6.0091988326368861E-2"/>
    <n v="12"/>
    <n v="1"/>
  </r>
  <r>
    <x v="0"/>
    <s v="2025-05-21 22:25:52"/>
    <n v="1"/>
    <x v="0"/>
    <x v="5"/>
    <x v="0"/>
    <n v="23.5761831901081"/>
    <n v="3E+20"/>
    <n v="0"/>
    <n v="216.22640179016099"/>
    <n v="792"/>
    <s v="Tener ArticulsoArticulosWait TimeEntity"/>
    <n v="12"/>
    <n v="26.946209739069115"/>
    <n v="4.7837077207549079"/>
    <n v="0.95"/>
    <n v="3.039422878817212"/>
    <n v="17.449877569488098"/>
    <n v="35.256685333982702"/>
    <n v="0"/>
    <n v="334.16964925652798"/>
    <n v="783.16666666666663"/>
    <n v="3.039422878817212"/>
    <n v="12"/>
    <n v="1"/>
  </r>
  <r>
    <x v="0"/>
    <s v="2025-05-21 22:25:52"/>
    <n v="2"/>
    <x v="0"/>
    <x v="0"/>
    <x v="0"/>
    <n v="0"/>
    <n v="0"/>
    <n v="0"/>
    <n v="0"/>
    <n v="826"/>
    <s v="Tener ArticulsoArticulosNVA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2"/>
    <x v="0"/>
    <x v="1"/>
    <x v="0"/>
    <n v="0"/>
    <n v="0"/>
    <n v="0"/>
    <n v="0"/>
    <n v="826"/>
    <s v="Tener ArticulsoArticulosOth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2"/>
    <x v="0"/>
    <x v="2"/>
    <x v="0"/>
    <n v="30.0905004393578"/>
    <n v="3E+20"/>
    <n v="3.3941082072393001"/>
    <n v="204.44700139002401"/>
    <n v="826"/>
    <s v="Tener ArticulsoArticulosTotal TimeEntity"/>
    <n v="12"/>
    <n v="31.443465566031005"/>
    <n v="4.7884013482899288"/>
    <n v="0.95"/>
    <n v="3.0424050674765848"/>
    <n v="21.869819245231099"/>
    <n v="39.749511711720999"/>
    <n v="1.3051780606112999"/>
    <n v="348.59837157348801"/>
    <n v="783.16666666666663"/>
    <n v="3.0424050674765848"/>
    <n v="12"/>
    <n v="1"/>
  </r>
  <r>
    <x v="0"/>
    <s v="2025-05-21 22:25:52"/>
    <n v="2"/>
    <x v="0"/>
    <x v="3"/>
    <x v="0"/>
    <n v="0"/>
    <n v="0"/>
    <n v="0"/>
    <n v="0"/>
    <n v="826"/>
    <s v="Tener ArticulsoArticulosTransf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2"/>
    <x v="0"/>
    <x v="4"/>
    <x v="0"/>
    <n v="4.3179545296811002"/>
    <n v="0.23139014315904899"/>
    <n v="1.00325808177729"/>
    <n v="19.726816514879602"/>
    <n v="826"/>
    <s v="Tener ArticulsoArticulosVA TimeEntity"/>
    <n v="12"/>
    <n v="4.4972558269618901"/>
    <n v="9.4577990616504876E-2"/>
    <n v="0.95"/>
    <n v="6.0091988326368861E-2"/>
    <n v="4.3179545296811002"/>
    <n v="4.6805733214061496"/>
    <n v="1.00010180636809"/>
    <n v="21.211822368947701"/>
    <n v="783.16666666666663"/>
    <n v="6.0091988326368861E-2"/>
    <n v="12"/>
    <n v="1"/>
  </r>
  <r>
    <x v="0"/>
    <s v="2025-05-21 22:25:52"/>
    <n v="2"/>
    <x v="0"/>
    <x v="5"/>
    <x v="0"/>
    <n v="25.772545909676701"/>
    <n v="3E+20"/>
    <n v="0"/>
    <n v="190.32862822726699"/>
    <n v="826"/>
    <s v="Tener ArticulsoArticulosWait TimeEntity"/>
    <n v="12"/>
    <n v="26.946209739069115"/>
    <n v="4.7837077207549079"/>
    <n v="0.95"/>
    <n v="3.039422878817212"/>
    <n v="17.449877569488098"/>
    <n v="35.256685333982702"/>
    <n v="0"/>
    <n v="334.16964925652798"/>
    <n v="783.16666666666663"/>
    <n v="3.039422878817212"/>
    <n v="12"/>
    <n v="1"/>
  </r>
  <r>
    <x v="0"/>
    <s v="2025-05-21 22:25:52"/>
    <n v="3"/>
    <x v="0"/>
    <x v="0"/>
    <x v="0"/>
    <n v="0"/>
    <n v="0"/>
    <n v="0"/>
    <n v="0"/>
    <n v="813"/>
    <s v="Tener ArticulsoArticulosNVA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3"/>
    <x v="0"/>
    <x v="1"/>
    <x v="0"/>
    <n v="0"/>
    <n v="0"/>
    <n v="0"/>
    <n v="0"/>
    <n v="813"/>
    <s v="Tener ArticulsoArticulosOth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3"/>
    <x v="0"/>
    <x v="2"/>
    <x v="0"/>
    <n v="39.749511711720999"/>
    <n v="3E+20"/>
    <n v="4.5673943700439796"/>
    <n v="348.59837157348801"/>
    <n v="813"/>
    <s v="Tener ArticulsoArticulosTotal TimeEntity"/>
    <n v="12"/>
    <n v="31.443465566031005"/>
    <n v="4.7884013482899288"/>
    <n v="0.95"/>
    <n v="3.0424050674765848"/>
    <n v="21.869819245231099"/>
    <n v="39.749511711720999"/>
    <n v="1.3051780606112999"/>
    <n v="348.59837157348801"/>
    <n v="783.16666666666663"/>
    <n v="3.0424050674765848"/>
    <n v="12"/>
    <n v="1"/>
  </r>
  <r>
    <x v="0"/>
    <s v="2025-05-21 22:25:52"/>
    <n v="3"/>
    <x v="0"/>
    <x v="3"/>
    <x v="0"/>
    <n v="0"/>
    <n v="0"/>
    <n v="0"/>
    <n v="0"/>
    <n v="813"/>
    <s v="Tener ArticulsoArticulosTransf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3"/>
    <x v="0"/>
    <x v="4"/>
    <x v="0"/>
    <n v="4.4928263777383401"/>
    <n v="0.26159023952908"/>
    <n v="1.0094591001925399"/>
    <n v="20.8586124184732"/>
    <n v="813"/>
    <s v="Tener ArticulsoArticulosVA TimeEntity"/>
    <n v="12"/>
    <n v="4.4972558269618901"/>
    <n v="9.4577990616504876E-2"/>
    <n v="0.95"/>
    <n v="6.0091988326368861E-2"/>
    <n v="4.3179545296811002"/>
    <n v="4.6805733214061496"/>
    <n v="1.00010180636809"/>
    <n v="21.211822368947701"/>
    <n v="783.16666666666663"/>
    <n v="6.0091988326368861E-2"/>
    <n v="12"/>
    <n v="1"/>
  </r>
  <r>
    <x v="0"/>
    <s v="2025-05-21 22:25:52"/>
    <n v="3"/>
    <x v="0"/>
    <x v="5"/>
    <x v="0"/>
    <n v="35.256685333982702"/>
    <n v="3E+20"/>
    <n v="0"/>
    <n v="334.16964925652798"/>
    <n v="813"/>
    <s v="Tener ArticulsoArticulosWait TimeEntity"/>
    <n v="12"/>
    <n v="26.946209739069115"/>
    <n v="4.7837077207549079"/>
    <n v="0.95"/>
    <n v="3.039422878817212"/>
    <n v="17.449877569488098"/>
    <n v="35.256685333982702"/>
    <n v="0"/>
    <n v="334.16964925652798"/>
    <n v="783.16666666666663"/>
    <n v="3.039422878817212"/>
    <n v="12"/>
    <n v="1"/>
  </r>
  <r>
    <x v="0"/>
    <s v="2025-05-21 22:25:52"/>
    <n v="4"/>
    <x v="0"/>
    <x v="0"/>
    <x v="0"/>
    <n v="0"/>
    <n v="0"/>
    <n v="0"/>
    <n v="0"/>
    <n v="823"/>
    <s v="Tener ArticulsoArticulosNVA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4"/>
    <x v="0"/>
    <x v="1"/>
    <x v="0"/>
    <n v="0"/>
    <n v="0"/>
    <n v="0"/>
    <n v="0"/>
    <n v="823"/>
    <s v="Tener ArticulsoArticulosOth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4"/>
    <x v="0"/>
    <x v="2"/>
    <x v="0"/>
    <n v="37.151106267878099"/>
    <n v="3E+20"/>
    <n v="1.70363794431564"/>
    <n v="253.330765291923"/>
    <n v="823"/>
    <s v="Tener ArticulsoArticulosTotal TimeEntity"/>
    <n v="12"/>
    <n v="31.443465566031005"/>
    <n v="4.7884013482899288"/>
    <n v="0.95"/>
    <n v="3.0424050674765848"/>
    <n v="21.869819245231099"/>
    <n v="39.749511711720999"/>
    <n v="1.3051780606112999"/>
    <n v="348.59837157348801"/>
    <n v="783.16666666666663"/>
    <n v="3.0424050674765848"/>
    <n v="12"/>
    <n v="1"/>
  </r>
  <r>
    <x v="0"/>
    <s v="2025-05-21 22:25:52"/>
    <n v="4"/>
    <x v="0"/>
    <x v="3"/>
    <x v="0"/>
    <n v="0"/>
    <n v="0"/>
    <n v="0"/>
    <n v="0"/>
    <n v="823"/>
    <s v="Tener ArticulsoArticulosTransf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4"/>
    <x v="0"/>
    <x v="4"/>
    <x v="0"/>
    <n v="4.4507114836621797"/>
    <n v="0.209628071743373"/>
    <n v="1.00486892322488"/>
    <n v="21.182520116348499"/>
    <n v="823"/>
    <s v="Tener ArticulsoArticulosVA TimeEntity"/>
    <n v="12"/>
    <n v="4.4972558269618901"/>
    <n v="9.4577990616504876E-2"/>
    <n v="0.95"/>
    <n v="6.0091988326368861E-2"/>
    <n v="4.3179545296811002"/>
    <n v="4.6805733214061496"/>
    <n v="1.00010180636809"/>
    <n v="21.211822368947701"/>
    <n v="783.16666666666663"/>
    <n v="6.0091988326368861E-2"/>
    <n v="12"/>
    <n v="1"/>
  </r>
  <r>
    <x v="0"/>
    <s v="2025-05-21 22:25:52"/>
    <n v="4"/>
    <x v="0"/>
    <x v="5"/>
    <x v="0"/>
    <n v="32.700394784215902"/>
    <n v="3E+20"/>
    <n v="0"/>
    <n v="233.09706279895201"/>
    <n v="823"/>
    <s v="Tener ArticulsoArticulosWait TimeEntity"/>
    <n v="12"/>
    <n v="26.946209739069115"/>
    <n v="4.7837077207549079"/>
    <n v="0.95"/>
    <n v="3.039422878817212"/>
    <n v="17.449877569488098"/>
    <n v="35.256685333982702"/>
    <n v="0"/>
    <n v="334.16964925652798"/>
    <n v="783.16666666666663"/>
    <n v="3.039422878817212"/>
    <n v="12"/>
    <n v="1"/>
  </r>
  <r>
    <x v="0"/>
    <s v="2025-05-21 22:25:52"/>
    <n v="5"/>
    <x v="0"/>
    <x v="0"/>
    <x v="0"/>
    <n v="0"/>
    <n v="0"/>
    <n v="0"/>
    <n v="0"/>
    <n v="749"/>
    <s v="Tener ArticulsoArticulosNVA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5"/>
    <x v="0"/>
    <x v="1"/>
    <x v="0"/>
    <n v="0"/>
    <n v="0"/>
    <n v="0"/>
    <n v="0"/>
    <n v="749"/>
    <s v="Tener ArticulsoArticulosOth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5"/>
    <x v="0"/>
    <x v="2"/>
    <x v="0"/>
    <n v="21.869819245231099"/>
    <n v="3E+20"/>
    <n v="4.0134681800502703"/>
    <n v="123.898322028409"/>
    <n v="749"/>
    <s v="Tener ArticulsoArticulosTotal TimeEntity"/>
    <n v="12"/>
    <n v="31.443465566031005"/>
    <n v="4.7884013482899288"/>
    <n v="0.95"/>
    <n v="3.0424050674765848"/>
    <n v="21.869819245231099"/>
    <n v="39.749511711720999"/>
    <n v="1.3051780606112999"/>
    <n v="348.59837157348801"/>
    <n v="783.16666666666663"/>
    <n v="3.0424050674765848"/>
    <n v="12"/>
    <n v="1"/>
  </r>
  <r>
    <x v="0"/>
    <s v="2025-05-21 22:25:52"/>
    <n v="5"/>
    <x v="0"/>
    <x v="3"/>
    <x v="0"/>
    <n v="0"/>
    <n v="0"/>
    <n v="0"/>
    <n v="0"/>
    <n v="749"/>
    <s v="Tener ArticulsoArticulosTransf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5"/>
    <x v="0"/>
    <x v="4"/>
    <x v="0"/>
    <n v="4.4199416757429804"/>
    <n v="0.19722302197442401"/>
    <n v="1.00010180636809"/>
    <n v="19.748844924335199"/>
    <n v="749"/>
    <s v="Tener ArticulsoArticulosVA TimeEntity"/>
    <n v="12"/>
    <n v="4.4972558269618901"/>
    <n v="9.4577990616504876E-2"/>
    <n v="0.95"/>
    <n v="6.0091988326368861E-2"/>
    <n v="4.3179545296811002"/>
    <n v="4.6805733214061496"/>
    <n v="1.00010180636809"/>
    <n v="21.211822368947701"/>
    <n v="783.16666666666663"/>
    <n v="6.0091988326368861E-2"/>
    <n v="12"/>
    <n v="1"/>
  </r>
  <r>
    <x v="0"/>
    <s v="2025-05-21 22:25:52"/>
    <n v="5"/>
    <x v="0"/>
    <x v="5"/>
    <x v="0"/>
    <n v="17.449877569488098"/>
    <n v="3E+20"/>
    <n v="0"/>
    <n v="106.77027761036901"/>
    <n v="749"/>
    <s v="Tener ArticulsoArticulosWait TimeEntity"/>
    <n v="12"/>
    <n v="26.946209739069115"/>
    <n v="4.7837077207549079"/>
    <n v="0.95"/>
    <n v="3.039422878817212"/>
    <n v="17.449877569488098"/>
    <n v="35.256685333982702"/>
    <n v="0"/>
    <n v="334.16964925652798"/>
    <n v="783.16666666666663"/>
    <n v="3.039422878817212"/>
    <n v="12"/>
    <n v="1"/>
  </r>
  <r>
    <x v="0"/>
    <s v="2025-05-21 22:25:52"/>
    <n v="6"/>
    <x v="0"/>
    <x v="0"/>
    <x v="0"/>
    <n v="0"/>
    <n v="0"/>
    <n v="0"/>
    <n v="0"/>
    <n v="788"/>
    <s v="Tener ArticulsoArticulosNVA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6"/>
    <x v="0"/>
    <x v="1"/>
    <x v="0"/>
    <n v="0"/>
    <n v="0"/>
    <n v="0"/>
    <n v="0"/>
    <n v="788"/>
    <s v="Tener ArticulsoArticulosOth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6"/>
    <x v="0"/>
    <x v="2"/>
    <x v="0"/>
    <n v="30.253173868289899"/>
    <n v="3E+20"/>
    <n v="3.55546575554001"/>
    <n v="278.93107558928602"/>
    <n v="788"/>
    <s v="Tener ArticulsoArticulosTotal TimeEntity"/>
    <n v="12"/>
    <n v="31.443465566031005"/>
    <n v="4.7884013482899288"/>
    <n v="0.95"/>
    <n v="3.0424050674765848"/>
    <n v="21.869819245231099"/>
    <n v="39.749511711720999"/>
    <n v="1.3051780606112999"/>
    <n v="348.59837157348801"/>
    <n v="783.16666666666663"/>
    <n v="3.0424050674765848"/>
    <n v="12"/>
    <n v="1"/>
  </r>
  <r>
    <x v="0"/>
    <s v="2025-05-21 22:25:52"/>
    <n v="6"/>
    <x v="0"/>
    <x v="3"/>
    <x v="0"/>
    <n v="0"/>
    <n v="0"/>
    <n v="0"/>
    <n v="0"/>
    <n v="788"/>
    <s v="Tener ArticulsoArticulosTransf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6"/>
    <x v="0"/>
    <x v="4"/>
    <x v="0"/>
    <n v="4.5639735335521596"/>
    <n v="0.21933066859262701"/>
    <n v="1.0068584218233201"/>
    <n v="20.1463052691727"/>
    <n v="788"/>
    <s v="Tener ArticulsoArticulosVA TimeEntity"/>
    <n v="12"/>
    <n v="4.4972558269618901"/>
    <n v="9.4577990616504876E-2"/>
    <n v="0.95"/>
    <n v="6.0091988326368861E-2"/>
    <n v="4.3179545296811002"/>
    <n v="4.6805733214061496"/>
    <n v="1.00010180636809"/>
    <n v="21.211822368947701"/>
    <n v="783.16666666666663"/>
    <n v="6.0091988326368861E-2"/>
    <n v="12"/>
    <n v="1"/>
  </r>
  <r>
    <x v="0"/>
    <s v="2025-05-21 22:25:52"/>
    <n v="6"/>
    <x v="0"/>
    <x v="5"/>
    <x v="0"/>
    <n v="25.689200334737698"/>
    <n v="3E+20"/>
    <n v="0.10342591447843601"/>
    <n v="265.32186945300299"/>
    <n v="788"/>
    <s v="Tener ArticulsoArticulosWait TimeEntity"/>
    <n v="12"/>
    <n v="26.946209739069115"/>
    <n v="4.7837077207549079"/>
    <n v="0.95"/>
    <n v="3.039422878817212"/>
    <n v="17.449877569488098"/>
    <n v="35.256685333982702"/>
    <n v="0"/>
    <n v="334.16964925652798"/>
    <n v="783.16666666666663"/>
    <n v="3.039422878817212"/>
    <n v="12"/>
    <n v="1"/>
  </r>
  <r>
    <x v="0"/>
    <s v="2025-05-21 22:25:52"/>
    <n v="7"/>
    <x v="0"/>
    <x v="0"/>
    <x v="0"/>
    <n v="0"/>
    <n v="0"/>
    <n v="0"/>
    <n v="0"/>
    <n v="734"/>
    <s v="Tener ArticulsoArticulosNVA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7"/>
    <x v="0"/>
    <x v="1"/>
    <x v="0"/>
    <n v="0"/>
    <n v="0"/>
    <n v="0"/>
    <n v="0"/>
    <n v="734"/>
    <s v="Tener ArticulsoArticulosOth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7"/>
    <x v="0"/>
    <x v="2"/>
    <x v="0"/>
    <n v="27.099001010333001"/>
    <n v="3E+20"/>
    <n v="1.3115910692425801"/>
    <n v="227.671380307867"/>
    <n v="734"/>
    <s v="Tener ArticulsoArticulosTotal TimeEntity"/>
    <n v="12"/>
    <n v="31.443465566031005"/>
    <n v="4.7884013482899288"/>
    <n v="0.95"/>
    <n v="3.0424050674765848"/>
    <n v="21.869819245231099"/>
    <n v="39.749511711720999"/>
    <n v="1.3051780606112999"/>
    <n v="348.59837157348801"/>
    <n v="783.16666666666663"/>
    <n v="3.0424050674765848"/>
    <n v="12"/>
    <n v="1"/>
  </r>
  <r>
    <x v="0"/>
    <s v="2025-05-21 22:25:52"/>
    <n v="7"/>
    <x v="0"/>
    <x v="3"/>
    <x v="0"/>
    <n v="0"/>
    <n v="0"/>
    <n v="0"/>
    <n v="0"/>
    <n v="734"/>
    <s v="Tener ArticulsoArticulosTransf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7"/>
    <x v="0"/>
    <x v="4"/>
    <x v="0"/>
    <n v="4.5858474417453898"/>
    <n v="0.26867624579500599"/>
    <n v="1.0043405322142001"/>
    <n v="19.567423917868201"/>
    <n v="734"/>
    <s v="Tener ArticulsoArticulosVA TimeEntity"/>
    <n v="12"/>
    <n v="4.4972558269618901"/>
    <n v="9.4577990616504876E-2"/>
    <n v="0.95"/>
    <n v="6.0091988326368861E-2"/>
    <n v="4.3179545296811002"/>
    <n v="4.6805733214061496"/>
    <n v="1.00010180636809"/>
    <n v="21.211822368947701"/>
    <n v="783.16666666666663"/>
    <n v="6.0091988326368861E-2"/>
    <n v="12"/>
    <n v="1"/>
  </r>
  <r>
    <x v="0"/>
    <s v="2025-05-21 22:25:52"/>
    <n v="7"/>
    <x v="0"/>
    <x v="5"/>
    <x v="0"/>
    <n v="22.513153568587601"/>
    <n v="3E+20"/>
    <n v="0"/>
    <n v="210.362516580506"/>
    <n v="734"/>
    <s v="Tener ArticulsoArticulosWait TimeEntity"/>
    <n v="12"/>
    <n v="26.946209739069115"/>
    <n v="4.7837077207549079"/>
    <n v="0.95"/>
    <n v="3.039422878817212"/>
    <n v="17.449877569488098"/>
    <n v="35.256685333982702"/>
    <n v="0"/>
    <n v="334.16964925652798"/>
    <n v="783.16666666666663"/>
    <n v="3.039422878817212"/>
    <n v="12"/>
    <n v="1"/>
  </r>
  <r>
    <x v="0"/>
    <s v="2025-05-21 22:25:52"/>
    <n v="8"/>
    <x v="0"/>
    <x v="0"/>
    <x v="0"/>
    <n v="0"/>
    <n v="0"/>
    <n v="0"/>
    <n v="0"/>
    <n v="784"/>
    <s v="Tener ArticulsoArticulosNVA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8"/>
    <x v="0"/>
    <x v="1"/>
    <x v="0"/>
    <n v="0"/>
    <n v="0"/>
    <n v="0"/>
    <n v="0"/>
    <n v="784"/>
    <s v="Tener ArticulsoArticulosOth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8"/>
    <x v="0"/>
    <x v="2"/>
    <x v="0"/>
    <n v="33.1739186954781"/>
    <n v="3E+20"/>
    <n v="1.3051780606112999"/>
    <n v="273.871923598504"/>
    <n v="784"/>
    <s v="Tener ArticulsoArticulosTotal TimeEntity"/>
    <n v="12"/>
    <n v="31.443465566031005"/>
    <n v="4.7884013482899288"/>
    <n v="0.95"/>
    <n v="3.0424050674765848"/>
    <n v="21.869819245231099"/>
    <n v="39.749511711720999"/>
    <n v="1.3051780606112999"/>
    <n v="348.59837157348801"/>
    <n v="783.16666666666663"/>
    <n v="3.0424050674765848"/>
    <n v="12"/>
    <n v="1"/>
  </r>
  <r>
    <x v="0"/>
    <s v="2025-05-21 22:25:52"/>
    <n v="8"/>
    <x v="0"/>
    <x v="3"/>
    <x v="0"/>
    <n v="0"/>
    <n v="0"/>
    <n v="0"/>
    <n v="0"/>
    <n v="784"/>
    <s v="Tener ArticulsoArticulosTransf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8"/>
    <x v="0"/>
    <x v="4"/>
    <x v="0"/>
    <n v="4.4386453343128798"/>
    <n v="0.278891283846599"/>
    <n v="1.0009603347165199"/>
    <n v="20.904900509799202"/>
    <n v="784"/>
    <s v="Tener ArticulsoArticulosVA TimeEntity"/>
    <n v="12"/>
    <n v="4.4972558269618901"/>
    <n v="9.4577990616504876E-2"/>
    <n v="0.95"/>
    <n v="6.0091988326368861E-2"/>
    <n v="4.3179545296811002"/>
    <n v="4.6805733214061496"/>
    <n v="1.00010180636809"/>
    <n v="21.211822368947701"/>
    <n v="783.16666666666663"/>
    <n v="6.0091988326368861E-2"/>
    <n v="12"/>
    <n v="1"/>
  </r>
  <r>
    <x v="0"/>
    <s v="2025-05-21 22:25:52"/>
    <n v="8"/>
    <x v="0"/>
    <x v="5"/>
    <x v="0"/>
    <n v="28.735273361165198"/>
    <n v="3E+20"/>
    <n v="0"/>
    <n v="254.84280366744099"/>
    <n v="784"/>
    <s v="Tener ArticulsoArticulosWait TimeEntity"/>
    <n v="12"/>
    <n v="26.946209739069115"/>
    <n v="4.7837077207549079"/>
    <n v="0.95"/>
    <n v="3.039422878817212"/>
    <n v="17.449877569488098"/>
    <n v="35.256685333982702"/>
    <n v="0"/>
    <n v="334.16964925652798"/>
    <n v="783.16666666666663"/>
    <n v="3.039422878817212"/>
    <n v="12"/>
    <n v="1"/>
  </r>
  <r>
    <x v="0"/>
    <s v="2025-05-21 22:25:52"/>
    <n v="9"/>
    <x v="0"/>
    <x v="0"/>
    <x v="0"/>
    <n v="0"/>
    <n v="0"/>
    <n v="0"/>
    <n v="0"/>
    <n v="783"/>
    <s v="Tener ArticulsoArticulosNVA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9"/>
    <x v="0"/>
    <x v="1"/>
    <x v="0"/>
    <n v="0"/>
    <n v="0"/>
    <n v="0"/>
    <n v="0"/>
    <n v="783"/>
    <s v="Tener ArticulsoArticulosOth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9"/>
    <x v="0"/>
    <x v="2"/>
    <x v="0"/>
    <n v="35.912859180304601"/>
    <n v="3E+20"/>
    <n v="4.24917829715086"/>
    <n v="192.783258044175"/>
    <n v="783"/>
    <s v="Tener ArticulsoArticulosTotal TimeEntity"/>
    <n v="12"/>
    <n v="31.443465566031005"/>
    <n v="4.7884013482899288"/>
    <n v="0.95"/>
    <n v="3.0424050674765848"/>
    <n v="21.869819245231099"/>
    <n v="39.749511711720999"/>
    <n v="1.3051780606112999"/>
    <n v="348.59837157348801"/>
    <n v="783.16666666666663"/>
    <n v="3.0424050674765848"/>
    <n v="12"/>
    <n v="1"/>
  </r>
  <r>
    <x v="0"/>
    <s v="2025-05-21 22:25:52"/>
    <n v="9"/>
    <x v="0"/>
    <x v="3"/>
    <x v="0"/>
    <n v="0"/>
    <n v="0"/>
    <n v="0"/>
    <n v="0"/>
    <n v="783"/>
    <s v="Tener ArticulsoArticulosTransf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9"/>
    <x v="0"/>
    <x v="4"/>
    <x v="0"/>
    <n v="4.5054755017768597"/>
    <n v="0.19418076500165399"/>
    <n v="1.0042792863432599"/>
    <n v="20.6110582494989"/>
    <n v="783"/>
    <s v="Tener ArticulsoArticulosVA TimeEntity"/>
    <n v="12"/>
    <n v="4.4972558269618901"/>
    <n v="9.4577990616504876E-2"/>
    <n v="0.95"/>
    <n v="6.0091988326368861E-2"/>
    <n v="4.3179545296811002"/>
    <n v="4.6805733214061496"/>
    <n v="1.00010180636809"/>
    <n v="21.211822368947701"/>
    <n v="783.16666666666663"/>
    <n v="6.0091988326368861E-2"/>
    <n v="12"/>
    <n v="1"/>
  </r>
  <r>
    <x v="0"/>
    <s v="2025-05-21 22:25:52"/>
    <n v="9"/>
    <x v="0"/>
    <x v="5"/>
    <x v="0"/>
    <n v="31.407383678527701"/>
    <n v="3E+20"/>
    <n v="1.11678865912842"/>
    <n v="180.086390461945"/>
    <n v="783"/>
    <s v="Tener ArticulsoArticulosWait TimeEntity"/>
    <n v="12"/>
    <n v="26.946209739069115"/>
    <n v="4.7837077207549079"/>
    <n v="0.95"/>
    <n v="3.039422878817212"/>
    <n v="17.449877569488098"/>
    <n v="35.256685333982702"/>
    <n v="0"/>
    <n v="334.16964925652798"/>
    <n v="783.16666666666663"/>
    <n v="3.039422878817212"/>
    <n v="12"/>
    <n v="1"/>
  </r>
  <r>
    <x v="0"/>
    <s v="2025-05-21 22:25:52"/>
    <n v="10"/>
    <x v="0"/>
    <x v="0"/>
    <x v="0"/>
    <n v="0"/>
    <n v="0"/>
    <n v="0"/>
    <n v="0"/>
    <n v="782"/>
    <s v="Tener ArticulsoArticulosNVA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10"/>
    <x v="0"/>
    <x v="1"/>
    <x v="0"/>
    <n v="0"/>
    <n v="0"/>
    <n v="0"/>
    <n v="0"/>
    <n v="782"/>
    <s v="Tener ArticulsoArticulosOth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10"/>
    <x v="0"/>
    <x v="2"/>
    <x v="0"/>
    <n v="32.526993567481199"/>
    <n v="3E+20"/>
    <n v="2.5440233649633202"/>
    <n v="220.633621077481"/>
    <n v="782"/>
    <s v="Tener ArticulsoArticulosTotal TimeEntity"/>
    <n v="12"/>
    <n v="31.443465566031005"/>
    <n v="4.7884013482899288"/>
    <n v="0.95"/>
    <n v="3.0424050674765848"/>
    <n v="21.869819245231099"/>
    <n v="39.749511711720999"/>
    <n v="1.3051780606112999"/>
    <n v="348.59837157348801"/>
    <n v="783.16666666666663"/>
    <n v="3.0424050674765848"/>
    <n v="12"/>
    <n v="1"/>
  </r>
  <r>
    <x v="0"/>
    <s v="2025-05-21 22:25:52"/>
    <n v="10"/>
    <x v="0"/>
    <x v="3"/>
    <x v="0"/>
    <n v="0"/>
    <n v="0"/>
    <n v="0"/>
    <n v="0"/>
    <n v="782"/>
    <s v="Tener ArticulsoArticulosTransf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10"/>
    <x v="0"/>
    <x v="4"/>
    <x v="0"/>
    <n v="4.5791315152111904"/>
    <n v="0.18379184198548801"/>
    <n v="1.0144801542689901"/>
    <n v="20.667935248690601"/>
    <n v="782"/>
    <s v="Tener ArticulsoArticulosVA TimeEntity"/>
    <n v="12"/>
    <n v="4.4972558269618901"/>
    <n v="9.4577990616504876E-2"/>
    <n v="0.95"/>
    <n v="6.0091988326368861E-2"/>
    <n v="4.3179545296811002"/>
    <n v="4.6805733214061496"/>
    <n v="1.00010180636809"/>
    <n v="21.211822368947701"/>
    <n v="783.16666666666663"/>
    <n v="6.0091988326368861E-2"/>
    <n v="12"/>
    <n v="1"/>
  </r>
  <r>
    <x v="0"/>
    <s v="2025-05-21 22:25:52"/>
    <n v="10"/>
    <x v="0"/>
    <x v="5"/>
    <x v="0"/>
    <n v="27.9478620522701"/>
    <n v="3E+20"/>
    <n v="0"/>
    <n v="207.64542257500901"/>
    <n v="782"/>
    <s v="Tener ArticulsoArticulosWait TimeEntity"/>
    <n v="12"/>
    <n v="26.946209739069115"/>
    <n v="4.7837077207549079"/>
    <n v="0.95"/>
    <n v="3.039422878817212"/>
    <n v="17.449877569488098"/>
    <n v="35.256685333982702"/>
    <n v="0"/>
    <n v="334.16964925652798"/>
    <n v="783.16666666666663"/>
    <n v="3.039422878817212"/>
    <n v="12"/>
    <n v="1"/>
  </r>
  <r>
    <x v="0"/>
    <s v="2025-05-21 22:25:52"/>
    <n v="11"/>
    <x v="0"/>
    <x v="0"/>
    <x v="0"/>
    <n v="0"/>
    <n v="0"/>
    <n v="0"/>
    <n v="0"/>
    <n v="794"/>
    <s v="Tener ArticulsoArticulosNVA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11"/>
    <x v="0"/>
    <x v="1"/>
    <x v="0"/>
    <n v="0"/>
    <n v="0"/>
    <n v="0"/>
    <n v="0"/>
    <n v="794"/>
    <s v="Tener ArticulsoArticulosOth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11"/>
    <x v="0"/>
    <x v="2"/>
    <x v="0"/>
    <n v="30.487141478533299"/>
    <n v="3E+20"/>
    <n v="1.36370187625607"/>
    <n v="320.05769178589298"/>
    <n v="794"/>
    <s v="Tener ArticulsoArticulosTotal TimeEntity"/>
    <n v="12"/>
    <n v="31.443465566031005"/>
    <n v="4.7884013482899288"/>
    <n v="0.95"/>
    <n v="3.0424050674765848"/>
    <n v="21.869819245231099"/>
    <n v="39.749511711720999"/>
    <n v="1.3051780606112999"/>
    <n v="348.59837157348801"/>
    <n v="783.16666666666663"/>
    <n v="3.0424050674765848"/>
    <n v="12"/>
    <n v="1"/>
  </r>
  <r>
    <x v="0"/>
    <s v="2025-05-21 22:25:52"/>
    <n v="11"/>
    <x v="0"/>
    <x v="3"/>
    <x v="0"/>
    <n v="0"/>
    <n v="0"/>
    <n v="0"/>
    <n v="0"/>
    <n v="794"/>
    <s v="Tener ArticulsoArticulosTransf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11"/>
    <x v="0"/>
    <x v="4"/>
    <x v="0"/>
    <n v="4.4688747642758404"/>
    <n v="0.24500048557884299"/>
    <n v="1.00041726396603"/>
    <n v="21.211822368947701"/>
    <n v="794"/>
    <s v="Tener ArticulsoArticulosVA TimeEntity"/>
    <n v="12"/>
    <n v="4.4972558269618901"/>
    <n v="9.4577990616504876E-2"/>
    <n v="0.95"/>
    <n v="6.0091988326368861E-2"/>
    <n v="4.3179545296811002"/>
    <n v="4.6805733214061496"/>
    <n v="1.00010180636809"/>
    <n v="21.211822368947701"/>
    <n v="783.16666666666663"/>
    <n v="6.0091988326368861E-2"/>
    <n v="12"/>
    <n v="1"/>
  </r>
  <r>
    <x v="0"/>
    <s v="2025-05-21 22:25:52"/>
    <n v="11"/>
    <x v="0"/>
    <x v="5"/>
    <x v="0"/>
    <n v="26.0182667142575"/>
    <n v="3E+20"/>
    <n v="0"/>
    <n v="302.05992035082699"/>
    <n v="794"/>
    <s v="Tener ArticulsoArticulosWait TimeEntity"/>
    <n v="12"/>
    <n v="26.946209739069115"/>
    <n v="4.7837077207549079"/>
    <n v="0.95"/>
    <n v="3.039422878817212"/>
    <n v="17.449877569488098"/>
    <n v="35.256685333982702"/>
    <n v="0"/>
    <n v="334.16964925652798"/>
    <n v="783.16666666666663"/>
    <n v="3.039422878817212"/>
    <n v="12"/>
    <n v="1"/>
  </r>
  <r>
    <x v="0"/>
    <s v="2025-05-21 22:25:52"/>
    <n v="12"/>
    <x v="0"/>
    <x v="0"/>
    <x v="0"/>
    <n v="0"/>
    <n v="0"/>
    <n v="0"/>
    <n v="0"/>
    <n v="730"/>
    <s v="Tener ArticulsoArticulosNVA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12"/>
    <x v="0"/>
    <x v="1"/>
    <x v="0"/>
    <n v="0"/>
    <n v="0"/>
    <n v="0"/>
    <n v="0"/>
    <n v="730"/>
    <s v="Tener ArticulsoArticulosOth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12"/>
    <x v="0"/>
    <x v="2"/>
    <x v="0"/>
    <n v="30.968263693218201"/>
    <n v="3E+20"/>
    <n v="2.8329648563785099"/>
    <n v="245.22445244644501"/>
    <n v="730"/>
    <s v="Tener ArticulsoArticulosTotal TimeEntity"/>
    <n v="12"/>
    <n v="31.443465566031005"/>
    <n v="4.7884013482899288"/>
    <n v="0.95"/>
    <n v="3.0424050674765848"/>
    <n v="21.869819245231099"/>
    <n v="39.749511711720999"/>
    <n v="1.3051780606112999"/>
    <n v="348.59837157348801"/>
    <n v="783.16666666666663"/>
    <n v="3.0424050674765848"/>
    <n v="12"/>
    <n v="1"/>
  </r>
  <r>
    <x v="0"/>
    <s v="2025-05-21 22:25:52"/>
    <n v="12"/>
    <x v="0"/>
    <x v="3"/>
    <x v="0"/>
    <n v="0"/>
    <n v="0"/>
    <n v="0"/>
    <n v="0"/>
    <n v="730"/>
    <s v="Tener ArticulsoArticulosTransfer TimeEntity"/>
    <n v="12"/>
    <n v="0"/>
    <n v="0"/>
    <n v="0.95"/>
    <n v="0"/>
    <n v="0"/>
    <n v="0"/>
    <n v="0"/>
    <n v="0"/>
    <n v="783.16666666666663"/>
    <n v="0"/>
    <n v="12"/>
    <n v="1"/>
  </r>
  <r>
    <x v="0"/>
    <s v="2025-05-21 22:25:52"/>
    <n v="12"/>
    <x v="0"/>
    <x v="4"/>
    <x v="0"/>
    <n v="4.6805733214061496"/>
    <n v="0.29122354294775399"/>
    <n v="1.01328202261959"/>
    <n v="20.0000641635975"/>
    <n v="730"/>
    <s v="Tener ArticulsoArticulosVA TimeEntity"/>
    <n v="12"/>
    <n v="4.4972558269618901"/>
    <n v="9.4577990616504876E-2"/>
    <n v="0.95"/>
    <n v="6.0091988326368861E-2"/>
    <n v="4.3179545296811002"/>
    <n v="4.6805733214061496"/>
    <n v="1.00010180636809"/>
    <n v="21.211822368947701"/>
    <n v="783.16666666666663"/>
    <n v="6.0091988326368861E-2"/>
    <n v="12"/>
    <n v="1"/>
  </r>
  <r>
    <x v="0"/>
    <s v="2025-05-21 22:25:52"/>
    <n v="12"/>
    <x v="0"/>
    <x v="5"/>
    <x v="0"/>
    <n v="26.287690371812001"/>
    <n v="3E+20"/>
    <n v="0"/>
    <n v="229.78375299697001"/>
    <n v="730"/>
    <s v="Tener ArticulsoArticulosWait TimeEntity"/>
    <n v="12"/>
    <n v="26.946209739069115"/>
    <n v="4.7837077207549079"/>
    <n v="0.95"/>
    <n v="3.039422878817212"/>
    <n v="17.449877569488098"/>
    <n v="35.256685333982702"/>
    <n v="0"/>
    <n v="334.16964925652798"/>
    <n v="783.16666666666663"/>
    <n v="3.039422878817212"/>
    <n v="12"/>
    <n v="1"/>
  </r>
  <r>
    <x v="0"/>
    <s v="2025-05-21 22:25:52"/>
    <n v="1"/>
    <x v="1"/>
    <x v="0"/>
    <x v="0"/>
    <n v="0"/>
    <n v="0"/>
    <n v="0"/>
    <n v="0"/>
    <n v="351"/>
    <s v="Tener ArticulsoCarrosN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"/>
    <x v="1"/>
    <x v="1"/>
    <x v="0"/>
    <n v="0"/>
    <n v="0"/>
    <n v="0"/>
    <n v="0"/>
    <n v="351"/>
    <s v="Tener ArticulsoCarrosOth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"/>
    <x v="1"/>
    <x v="2"/>
    <x v="0"/>
    <n v="8.7841805602037706"/>
    <n v="3E+20"/>
    <n v="0"/>
    <n v="47.909826734480198"/>
    <n v="351"/>
    <s v="Tener ArticulsoCarrosTotal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1"/>
    <x v="1"/>
    <x v="3"/>
    <x v="0"/>
    <n v="0"/>
    <n v="0"/>
    <n v="0"/>
    <n v="0"/>
    <n v="351"/>
    <s v="Tener ArticulsoCarrosTransf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"/>
    <x v="1"/>
    <x v="4"/>
    <x v="0"/>
    <n v="0"/>
    <n v="0"/>
    <n v="0"/>
    <n v="0"/>
    <n v="351"/>
    <s v="Tener ArticulsoCarros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"/>
    <x v="1"/>
    <x v="5"/>
    <x v="0"/>
    <n v="8.7841805602037706"/>
    <n v="3E+20"/>
    <n v="0"/>
    <n v="47.909826734480198"/>
    <n v="351"/>
    <s v="Tener ArticulsoCarrosWait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2"/>
    <x v="1"/>
    <x v="0"/>
    <x v="0"/>
    <n v="0"/>
    <n v="0"/>
    <n v="0"/>
    <n v="0"/>
    <n v="366"/>
    <s v="Tener ArticulsoCarrosN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2"/>
    <x v="1"/>
    <x v="1"/>
    <x v="0"/>
    <n v="0"/>
    <n v="0"/>
    <n v="0"/>
    <n v="0"/>
    <n v="366"/>
    <s v="Tener ArticulsoCarrosOth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2"/>
    <x v="1"/>
    <x v="2"/>
    <x v="0"/>
    <n v="9.3103158383720892"/>
    <n v="3E+20"/>
    <n v="0"/>
    <n v="46.266658405999102"/>
    <n v="366"/>
    <s v="Tener ArticulsoCarrosTotal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2"/>
    <x v="1"/>
    <x v="3"/>
    <x v="0"/>
    <n v="0"/>
    <n v="0"/>
    <n v="0"/>
    <n v="0"/>
    <n v="366"/>
    <s v="Tener ArticulsoCarrosTransf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2"/>
    <x v="1"/>
    <x v="4"/>
    <x v="0"/>
    <n v="0"/>
    <n v="0"/>
    <n v="0"/>
    <n v="0"/>
    <n v="366"/>
    <s v="Tener ArticulsoCarros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2"/>
    <x v="1"/>
    <x v="5"/>
    <x v="0"/>
    <n v="9.3103158383720892"/>
    <n v="3E+20"/>
    <n v="0"/>
    <n v="46.266658405999102"/>
    <n v="366"/>
    <s v="Tener ArticulsoCarrosWait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3"/>
    <x v="1"/>
    <x v="0"/>
    <x v="0"/>
    <n v="0"/>
    <n v="0"/>
    <n v="0"/>
    <n v="0"/>
    <n v="368"/>
    <s v="Tener ArticulsoCarrosN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3"/>
    <x v="1"/>
    <x v="1"/>
    <x v="0"/>
    <n v="0"/>
    <n v="0"/>
    <n v="0"/>
    <n v="0"/>
    <n v="368"/>
    <s v="Tener ArticulsoCarrosOth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3"/>
    <x v="1"/>
    <x v="2"/>
    <x v="0"/>
    <n v="7.94984034571418"/>
    <n v="3E+20"/>
    <n v="0"/>
    <n v="33.267818825565897"/>
    <n v="368"/>
    <s v="Tener ArticulsoCarrosTotal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3"/>
    <x v="1"/>
    <x v="3"/>
    <x v="0"/>
    <n v="0"/>
    <n v="0"/>
    <n v="0"/>
    <n v="0"/>
    <n v="368"/>
    <s v="Tener ArticulsoCarrosTransf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3"/>
    <x v="1"/>
    <x v="4"/>
    <x v="0"/>
    <n v="0"/>
    <n v="0"/>
    <n v="0"/>
    <n v="0"/>
    <n v="368"/>
    <s v="Tener ArticulsoCarros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3"/>
    <x v="1"/>
    <x v="5"/>
    <x v="0"/>
    <n v="7.94984034571418"/>
    <n v="3E+20"/>
    <n v="0"/>
    <n v="33.267818825565897"/>
    <n v="368"/>
    <s v="Tener ArticulsoCarrosWait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4"/>
    <x v="1"/>
    <x v="0"/>
    <x v="0"/>
    <n v="0"/>
    <n v="0"/>
    <n v="0"/>
    <n v="0"/>
    <n v="361"/>
    <s v="Tener ArticulsoCarrosN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4"/>
    <x v="1"/>
    <x v="1"/>
    <x v="0"/>
    <n v="0"/>
    <n v="0"/>
    <n v="0"/>
    <n v="0"/>
    <n v="361"/>
    <s v="Tener ArticulsoCarrosOth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4"/>
    <x v="1"/>
    <x v="2"/>
    <x v="0"/>
    <n v="7.3219435624328701"/>
    <n v="2.6342919481136202"/>
    <n v="0"/>
    <n v="40.123315479671902"/>
    <n v="361"/>
    <s v="Tener ArticulsoCarrosTotal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4"/>
    <x v="1"/>
    <x v="3"/>
    <x v="0"/>
    <n v="0"/>
    <n v="0"/>
    <n v="0"/>
    <n v="0"/>
    <n v="361"/>
    <s v="Tener ArticulsoCarrosTransf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4"/>
    <x v="1"/>
    <x v="4"/>
    <x v="0"/>
    <n v="0"/>
    <n v="0"/>
    <n v="0"/>
    <n v="0"/>
    <n v="361"/>
    <s v="Tener ArticulsoCarros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4"/>
    <x v="1"/>
    <x v="5"/>
    <x v="0"/>
    <n v="7.3219435624328701"/>
    <n v="2.6342919481136202"/>
    <n v="0"/>
    <n v="40.123315479671902"/>
    <n v="361"/>
    <s v="Tener ArticulsoCarrosWait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5"/>
    <x v="1"/>
    <x v="0"/>
    <x v="0"/>
    <n v="0"/>
    <n v="0"/>
    <n v="0"/>
    <n v="0"/>
    <n v="331"/>
    <s v="Tener ArticulsoCarrosN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5"/>
    <x v="1"/>
    <x v="1"/>
    <x v="0"/>
    <n v="0"/>
    <n v="0"/>
    <n v="0"/>
    <n v="0"/>
    <n v="331"/>
    <s v="Tener ArticulsoCarrosOth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5"/>
    <x v="1"/>
    <x v="2"/>
    <x v="0"/>
    <n v="5.6735586617221401"/>
    <n v="2.0679587161316602"/>
    <n v="0"/>
    <n v="31.109173200753499"/>
    <n v="331"/>
    <s v="Tener ArticulsoCarrosTotal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5"/>
    <x v="1"/>
    <x v="3"/>
    <x v="0"/>
    <n v="0"/>
    <n v="0"/>
    <n v="0"/>
    <n v="0"/>
    <n v="331"/>
    <s v="Tener ArticulsoCarrosTransf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5"/>
    <x v="1"/>
    <x v="4"/>
    <x v="0"/>
    <n v="0"/>
    <n v="0"/>
    <n v="0"/>
    <n v="0"/>
    <n v="331"/>
    <s v="Tener ArticulsoCarros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5"/>
    <x v="1"/>
    <x v="5"/>
    <x v="0"/>
    <n v="5.6735586617221401"/>
    <n v="2.0679587161316602"/>
    <n v="0"/>
    <n v="31.109173200753499"/>
    <n v="331"/>
    <s v="Tener ArticulsoCarrosWait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6"/>
    <x v="1"/>
    <x v="0"/>
    <x v="0"/>
    <n v="0"/>
    <n v="0"/>
    <n v="0"/>
    <n v="0"/>
    <n v="351"/>
    <s v="Tener ArticulsoCarrosN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6"/>
    <x v="1"/>
    <x v="1"/>
    <x v="0"/>
    <n v="0"/>
    <n v="0"/>
    <n v="0"/>
    <n v="0"/>
    <n v="351"/>
    <s v="Tener ArticulsoCarrosOth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6"/>
    <x v="1"/>
    <x v="2"/>
    <x v="0"/>
    <n v="11.382104151582199"/>
    <n v="3E+20"/>
    <n v="0"/>
    <n v="39.6883878793615"/>
    <n v="351"/>
    <s v="Tener ArticulsoCarrosTotal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6"/>
    <x v="1"/>
    <x v="3"/>
    <x v="0"/>
    <n v="0"/>
    <n v="0"/>
    <n v="0"/>
    <n v="0"/>
    <n v="351"/>
    <s v="Tener ArticulsoCarrosTransf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6"/>
    <x v="1"/>
    <x v="4"/>
    <x v="0"/>
    <n v="0"/>
    <n v="0"/>
    <n v="0"/>
    <n v="0"/>
    <n v="351"/>
    <s v="Tener ArticulsoCarros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6"/>
    <x v="1"/>
    <x v="5"/>
    <x v="0"/>
    <n v="11.382104151582199"/>
    <n v="3E+20"/>
    <n v="0"/>
    <n v="39.6883878793615"/>
    <n v="351"/>
    <s v="Tener ArticulsoCarrosWait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7"/>
    <x v="1"/>
    <x v="0"/>
    <x v="0"/>
    <n v="0"/>
    <n v="0"/>
    <n v="0"/>
    <n v="0"/>
    <n v="325"/>
    <s v="Tener ArticulsoCarrosN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7"/>
    <x v="1"/>
    <x v="1"/>
    <x v="0"/>
    <n v="0"/>
    <n v="0"/>
    <n v="0"/>
    <n v="0"/>
    <n v="325"/>
    <s v="Tener ArticulsoCarrosOth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7"/>
    <x v="1"/>
    <x v="2"/>
    <x v="0"/>
    <n v="5.5756560720942296"/>
    <n v="2.1221981058683199"/>
    <n v="0"/>
    <n v="31.306496678171101"/>
    <n v="325"/>
    <s v="Tener ArticulsoCarrosTotal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7"/>
    <x v="1"/>
    <x v="3"/>
    <x v="0"/>
    <n v="0"/>
    <n v="0"/>
    <n v="0"/>
    <n v="0"/>
    <n v="325"/>
    <s v="Tener ArticulsoCarrosTransf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7"/>
    <x v="1"/>
    <x v="4"/>
    <x v="0"/>
    <n v="0"/>
    <n v="0"/>
    <n v="0"/>
    <n v="0"/>
    <n v="325"/>
    <s v="Tener ArticulsoCarros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7"/>
    <x v="1"/>
    <x v="5"/>
    <x v="0"/>
    <n v="5.5756560720942296"/>
    <n v="2.1221981058683199"/>
    <n v="0"/>
    <n v="31.306496678171101"/>
    <n v="325"/>
    <s v="Tener ArticulsoCarrosWait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8"/>
    <x v="1"/>
    <x v="0"/>
    <x v="0"/>
    <n v="0"/>
    <n v="0"/>
    <n v="0"/>
    <n v="0"/>
    <n v="353"/>
    <s v="Tener ArticulsoCarrosN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8"/>
    <x v="1"/>
    <x v="1"/>
    <x v="0"/>
    <n v="0"/>
    <n v="0"/>
    <n v="0"/>
    <n v="0"/>
    <n v="353"/>
    <s v="Tener ArticulsoCarrosOth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8"/>
    <x v="1"/>
    <x v="2"/>
    <x v="0"/>
    <n v="19.688888471878201"/>
    <n v="3E+20"/>
    <n v="0"/>
    <n v="73.330338726468796"/>
    <n v="353"/>
    <s v="Tener ArticulsoCarrosTotal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8"/>
    <x v="1"/>
    <x v="3"/>
    <x v="0"/>
    <n v="0"/>
    <n v="0"/>
    <n v="0"/>
    <n v="0"/>
    <n v="353"/>
    <s v="Tener ArticulsoCarrosTransf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8"/>
    <x v="1"/>
    <x v="4"/>
    <x v="0"/>
    <n v="0"/>
    <n v="0"/>
    <n v="0"/>
    <n v="0"/>
    <n v="353"/>
    <s v="Tener ArticulsoCarros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8"/>
    <x v="1"/>
    <x v="5"/>
    <x v="0"/>
    <n v="19.688888471878201"/>
    <n v="3E+20"/>
    <n v="0"/>
    <n v="73.330338726468796"/>
    <n v="353"/>
    <s v="Tener ArticulsoCarrosWait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9"/>
    <x v="1"/>
    <x v="0"/>
    <x v="0"/>
    <n v="0"/>
    <n v="0"/>
    <n v="0"/>
    <n v="0"/>
    <n v="351"/>
    <s v="Tener ArticulsoCarrosN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9"/>
    <x v="1"/>
    <x v="1"/>
    <x v="0"/>
    <n v="0"/>
    <n v="0"/>
    <n v="0"/>
    <n v="0"/>
    <n v="351"/>
    <s v="Tener ArticulsoCarrosOth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9"/>
    <x v="1"/>
    <x v="2"/>
    <x v="0"/>
    <n v="7.8991506026370999"/>
    <n v="3.1548445259414302"/>
    <n v="0"/>
    <n v="35.2264013446513"/>
    <n v="351"/>
    <s v="Tener ArticulsoCarrosTotal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9"/>
    <x v="1"/>
    <x v="3"/>
    <x v="0"/>
    <n v="0"/>
    <n v="0"/>
    <n v="0"/>
    <n v="0"/>
    <n v="351"/>
    <s v="Tener ArticulsoCarrosTransf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9"/>
    <x v="1"/>
    <x v="4"/>
    <x v="0"/>
    <n v="0"/>
    <n v="0"/>
    <n v="0"/>
    <n v="0"/>
    <n v="351"/>
    <s v="Tener ArticulsoCarros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9"/>
    <x v="1"/>
    <x v="5"/>
    <x v="0"/>
    <n v="7.8991506026370999"/>
    <n v="3.1548445259414302"/>
    <n v="0"/>
    <n v="35.2264013446513"/>
    <n v="351"/>
    <s v="Tener ArticulsoCarrosWait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10"/>
    <x v="1"/>
    <x v="0"/>
    <x v="0"/>
    <n v="0"/>
    <n v="0"/>
    <n v="0"/>
    <n v="0"/>
    <n v="346"/>
    <s v="Tener ArticulsoCarrosN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0"/>
    <x v="1"/>
    <x v="1"/>
    <x v="0"/>
    <n v="0"/>
    <n v="0"/>
    <n v="0"/>
    <n v="0"/>
    <n v="346"/>
    <s v="Tener ArticulsoCarrosOth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0"/>
    <x v="1"/>
    <x v="2"/>
    <x v="0"/>
    <n v="5.7411816925788504"/>
    <n v="2.0657461074664401"/>
    <n v="0"/>
    <n v="34.111566291057599"/>
    <n v="346"/>
    <s v="Tener ArticulsoCarrosTotal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10"/>
    <x v="1"/>
    <x v="3"/>
    <x v="0"/>
    <n v="0"/>
    <n v="0"/>
    <n v="0"/>
    <n v="0"/>
    <n v="346"/>
    <s v="Tener ArticulsoCarrosTransf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0"/>
    <x v="1"/>
    <x v="4"/>
    <x v="0"/>
    <n v="0"/>
    <n v="0"/>
    <n v="0"/>
    <n v="0"/>
    <n v="346"/>
    <s v="Tener ArticulsoCarros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0"/>
    <x v="1"/>
    <x v="5"/>
    <x v="0"/>
    <n v="5.7411816925788504"/>
    <n v="2.0657461074664401"/>
    <n v="0"/>
    <n v="34.111566291057599"/>
    <n v="346"/>
    <s v="Tener ArticulsoCarrosWait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11"/>
    <x v="1"/>
    <x v="0"/>
    <x v="0"/>
    <n v="0"/>
    <n v="0"/>
    <n v="0"/>
    <n v="0"/>
    <n v="362"/>
    <s v="Tener ArticulsoCarrosN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1"/>
    <x v="1"/>
    <x v="1"/>
    <x v="0"/>
    <n v="0"/>
    <n v="0"/>
    <n v="0"/>
    <n v="0"/>
    <n v="362"/>
    <s v="Tener ArticulsoCarrosOth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1"/>
    <x v="1"/>
    <x v="2"/>
    <x v="0"/>
    <n v="8.0446007159909207"/>
    <n v="2.9533719016918099"/>
    <n v="0"/>
    <n v="32.820238453490603"/>
    <n v="362"/>
    <s v="Tener ArticulsoCarrosTotal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11"/>
    <x v="1"/>
    <x v="3"/>
    <x v="0"/>
    <n v="0"/>
    <n v="0"/>
    <n v="0"/>
    <n v="0"/>
    <n v="362"/>
    <s v="Tener ArticulsoCarrosTransf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1"/>
    <x v="1"/>
    <x v="4"/>
    <x v="0"/>
    <n v="0"/>
    <n v="0"/>
    <n v="0"/>
    <n v="0"/>
    <n v="362"/>
    <s v="Tener ArticulsoCarros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1"/>
    <x v="1"/>
    <x v="5"/>
    <x v="0"/>
    <n v="8.0446007159909207"/>
    <n v="2.9533719016918099"/>
    <n v="0"/>
    <n v="32.820238453490603"/>
    <n v="362"/>
    <s v="Tener ArticulsoCarrosWait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12"/>
    <x v="1"/>
    <x v="0"/>
    <x v="0"/>
    <n v="0"/>
    <n v="0"/>
    <n v="0"/>
    <n v="0"/>
    <n v="322"/>
    <s v="Tener ArticulsoCarrosN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2"/>
    <x v="1"/>
    <x v="1"/>
    <x v="0"/>
    <n v="0"/>
    <n v="0"/>
    <n v="0"/>
    <n v="0"/>
    <n v="322"/>
    <s v="Tener ArticulsoCarrosOth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2"/>
    <x v="1"/>
    <x v="2"/>
    <x v="0"/>
    <n v="5.5841389533246897"/>
    <n v="1.85790959371933"/>
    <n v="0"/>
    <n v="26.107461507805699"/>
    <n v="322"/>
    <s v="Tener ArticulsoCarrosTotal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12"/>
    <x v="1"/>
    <x v="3"/>
    <x v="0"/>
    <n v="0"/>
    <n v="0"/>
    <n v="0"/>
    <n v="0"/>
    <n v="322"/>
    <s v="Tener ArticulsoCarrosTransfer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2"/>
    <x v="1"/>
    <x v="4"/>
    <x v="0"/>
    <n v="0"/>
    <n v="0"/>
    <n v="0"/>
    <n v="0"/>
    <n v="322"/>
    <s v="Tener ArticulsoCarrosVA TimeEntity"/>
    <n v="12"/>
    <n v="0"/>
    <n v="0"/>
    <n v="0.95"/>
    <n v="0"/>
    <n v="0"/>
    <n v="0"/>
    <n v="0"/>
    <n v="0"/>
    <n v="348.91666666666669"/>
    <n v="0"/>
    <n v="12"/>
    <n v="1"/>
  </r>
  <r>
    <x v="0"/>
    <s v="2025-05-21 22:25:52"/>
    <n v="12"/>
    <x v="1"/>
    <x v="5"/>
    <x v="0"/>
    <n v="5.5841389533246897"/>
    <n v="1.85790959371933"/>
    <n v="0"/>
    <n v="26.107461507805699"/>
    <n v="322"/>
    <s v="Tener ArticulsoCarrosWait TimeEntity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1"/>
    <x v="2"/>
    <x v="6"/>
    <x v="1"/>
    <n v="22.970819713429599"/>
    <n v="2E+20"/>
    <n v="11.954644324844899"/>
    <n v="40.955888600037603"/>
    <n v="66"/>
    <s v="Tener ArticulsoDesembalajeTotal Time Per EntityProcess"/>
    <n v="12"/>
    <n v="24.51031329670764"/>
    <n v="2.1527028825375165"/>
    <n v="0.95"/>
    <n v="1.3677621573936283"/>
    <n v="20.573219162572599"/>
    <n v="27.6072772087274"/>
    <n v="8.0759119651897908"/>
    <n v="51.785477573090503"/>
    <n v="65.083333333333329"/>
    <n v="1.3677621573936283"/>
    <n v="12"/>
    <n v="1"/>
  </r>
  <r>
    <x v="0"/>
    <s v="2025-05-21 22:25:52"/>
    <n v="1"/>
    <x v="2"/>
    <x v="7"/>
    <x v="1"/>
    <n v="12.0923391795694"/>
    <n v="2E+20"/>
    <n v="8.3241301746441003"/>
    <n v="15.593851071576401"/>
    <n v="66"/>
    <s v="Tener ArticulsoDesembalajeVA Time Per EntityProcess"/>
    <n v="12"/>
    <n v="12.042239817334083"/>
    <n v="0.40531120725956793"/>
    <n v="0.95"/>
    <n v="0.25752245502811572"/>
    <n v="11.3087118575475"/>
    <n v="12.7855466550981"/>
    <n v="8.0309576481744198"/>
    <n v="15.996573444289099"/>
    <n v="65.083333333333329"/>
    <n v="0.25752245502811572"/>
    <n v="12"/>
    <n v="1"/>
  </r>
  <r>
    <x v="0"/>
    <s v="2025-05-21 22:25:52"/>
    <n v="1"/>
    <x v="2"/>
    <x v="8"/>
    <x v="1"/>
    <n v="10.8784805338603"/>
    <n v="2E+20"/>
    <n v="0"/>
    <n v="29.051690858743001"/>
    <n v="66"/>
    <s v="Tener ArticulsoDesembalajeWait Time Per EntityProcess"/>
    <n v="12"/>
    <n v="12.468073479373563"/>
    <n v="2.0390363930253126"/>
    <n v="0.95"/>
    <n v="1.2955419154922878"/>
    <n v="8.8139308019643003"/>
    <n v="15.494339623025001"/>
    <n v="0"/>
    <n v="38.7642988818086"/>
    <n v="65.083333333333329"/>
    <n v="1.2955419154922878"/>
    <n v="12"/>
    <n v="1"/>
  </r>
  <r>
    <x v="0"/>
    <s v="2025-05-21 22:25:52"/>
    <n v="2"/>
    <x v="2"/>
    <x v="6"/>
    <x v="1"/>
    <n v="25.186261262875501"/>
    <n v="2E+20"/>
    <n v="9.8077359236351604"/>
    <n v="51.263088342264801"/>
    <n v="60"/>
    <s v="Tener ArticulsoDesembalajeTotal Time Per EntityProcess"/>
    <n v="12"/>
    <n v="24.51031329670764"/>
    <n v="2.1527028825375165"/>
    <n v="0.95"/>
    <n v="1.3677621573936283"/>
    <n v="20.573219162572599"/>
    <n v="27.6072772087274"/>
    <n v="8.0759119651897908"/>
    <n v="51.785477573090503"/>
    <n v="65.083333333333329"/>
    <n v="1.3677621573936283"/>
    <n v="12"/>
    <n v="1"/>
  </r>
  <r>
    <x v="0"/>
    <s v="2025-05-21 22:25:52"/>
    <n v="2"/>
    <x v="2"/>
    <x v="7"/>
    <x v="1"/>
    <n v="11.3087118575475"/>
    <n v="2E+20"/>
    <n v="8.0766401272308599"/>
    <n v="15.6746084643512"/>
    <n v="60"/>
    <s v="Tener ArticulsoDesembalajeVA Time Per EntityProcess"/>
    <n v="12"/>
    <n v="12.042239817334083"/>
    <n v="0.40531120725956793"/>
    <n v="0.95"/>
    <n v="0.25752245502811572"/>
    <n v="11.3087118575475"/>
    <n v="12.7855466550981"/>
    <n v="8.0309576481744198"/>
    <n v="15.996573444289099"/>
    <n v="65.083333333333329"/>
    <n v="0.25752245502811572"/>
    <n v="12"/>
    <n v="1"/>
  </r>
  <r>
    <x v="0"/>
    <s v="2025-05-21 22:25:52"/>
    <n v="2"/>
    <x v="2"/>
    <x v="8"/>
    <x v="1"/>
    <n v="13.877549405328001"/>
    <n v="2E+20"/>
    <n v="0"/>
    <n v="38.7642988818086"/>
    <n v="60"/>
    <s v="Tener ArticulsoDesembalajeWait Time Per EntityProcess"/>
    <n v="12"/>
    <n v="12.468073479373563"/>
    <n v="2.0390363930253126"/>
    <n v="0.95"/>
    <n v="1.2955419154922878"/>
    <n v="8.8139308019643003"/>
    <n v="15.494339623025001"/>
    <n v="0"/>
    <n v="38.7642988818086"/>
    <n v="65.083333333333329"/>
    <n v="1.2955419154922878"/>
    <n v="12"/>
    <n v="1"/>
  </r>
  <r>
    <x v="0"/>
    <s v="2025-05-21 22:25:52"/>
    <n v="3"/>
    <x v="2"/>
    <x v="6"/>
    <x v="1"/>
    <n v="26.864365773181099"/>
    <n v="2E+20"/>
    <n v="12.210246432559"/>
    <n v="41.385850408496701"/>
    <n v="69"/>
    <s v="Tener ArticulsoDesembalajeTotal Time Per EntityProcess"/>
    <n v="12"/>
    <n v="24.51031329670764"/>
    <n v="2.1527028825375165"/>
    <n v="0.95"/>
    <n v="1.3677621573936283"/>
    <n v="20.573219162572599"/>
    <n v="27.6072772087274"/>
    <n v="8.0759119651897908"/>
    <n v="51.785477573090503"/>
    <n v="65.083333333333329"/>
    <n v="1.3677621573936283"/>
    <n v="12"/>
    <n v="1"/>
  </r>
  <r>
    <x v="0"/>
    <s v="2025-05-21 22:25:52"/>
    <n v="3"/>
    <x v="2"/>
    <x v="7"/>
    <x v="1"/>
    <n v="12.185178279210101"/>
    <n v="2E+20"/>
    <n v="8.1389926143571607"/>
    <n v="15.992605831114201"/>
    <n v="69"/>
    <s v="Tener ArticulsoDesembalajeVA Time Per EntityProcess"/>
    <n v="12"/>
    <n v="12.042239817334083"/>
    <n v="0.40531120725956793"/>
    <n v="0.95"/>
    <n v="0.25752245502811572"/>
    <n v="11.3087118575475"/>
    <n v="12.7855466550981"/>
    <n v="8.0309576481744198"/>
    <n v="15.996573444289099"/>
    <n v="65.083333333333329"/>
    <n v="0.25752245502811572"/>
    <n v="12"/>
    <n v="1"/>
  </r>
  <r>
    <x v="0"/>
    <s v="2025-05-21 22:25:52"/>
    <n v="3"/>
    <x v="2"/>
    <x v="8"/>
    <x v="1"/>
    <n v="14.679187493971"/>
    <n v="2E+20"/>
    <n v="0"/>
    <n v="31.352641157038001"/>
    <n v="69"/>
    <s v="Tener ArticulsoDesembalajeWait Time Per EntityProcess"/>
    <n v="12"/>
    <n v="12.468073479373563"/>
    <n v="2.0390363930253126"/>
    <n v="0.95"/>
    <n v="1.2955419154922878"/>
    <n v="8.8139308019643003"/>
    <n v="15.494339623025001"/>
    <n v="0"/>
    <n v="38.7642988818086"/>
    <n v="65.083333333333329"/>
    <n v="1.2955419154922878"/>
    <n v="12"/>
    <n v="1"/>
  </r>
  <r>
    <x v="0"/>
    <s v="2025-05-21 22:25:52"/>
    <n v="4"/>
    <x v="2"/>
    <x v="6"/>
    <x v="1"/>
    <n v="27.6072772087274"/>
    <n v="2E+20"/>
    <n v="12.0568734495637"/>
    <n v="46.089411616951303"/>
    <n v="65"/>
    <s v="Tener ArticulsoDesembalajeTotal Time Per EntityProcess"/>
    <n v="12"/>
    <n v="24.51031329670764"/>
    <n v="2.1527028825375165"/>
    <n v="0.95"/>
    <n v="1.3677621573936283"/>
    <n v="20.573219162572599"/>
    <n v="27.6072772087274"/>
    <n v="8.0759119651897908"/>
    <n v="51.785477573090503"/>
    <n v="65.083333333333329"/>
    <n v="1.3677621573936283"/>
    <n v="12"/>
    <n v="1"/>
  </r>
  <r>
    <x v="0"/>
    <s v="2025-05-21 22:25:52"/>
    <n v="4"/>
    <x v="2"/>
    <x v="7"/>
    <x v="1"/>
    <n v="12.112937585702401"/>
    <n v="2E+20"/>
    <n v="8.2275055571339806"/>
    <n v="15.9836011800385"/>
    <n v="65"/>
    <s v="Tener ArticulsoDesembalajeVA Time Per EntityProcess"/>
    <n v="12"/>
    <n v="12.042239817334083"/>
    <n v="0.40531120725956793"/>
    <n v="0.95"/>
    <n v="0.25752245502811572"/>
    <n v="11.3087118575475"/>
    <n v="12.7855466550981"/>
    <n v="8.0309576481744198"/>
    <n v="15.996573444289099"/>
    <n v="65.083333333333329"/>
    <n v="0.25752245502811572"/>
    <n v="12"/>
    <n v="1"/>
  </r>
  <r>
    <x v="0"/>
    <s v="2025-05-21 22:25:52"/>
    <n v="4"/>
    <x v="2"/>
    <x v="8"/>
    <x v="1"/>
    <n v="15.494339623025001"/>
    <n v="2E+20"/>
    <n v="2.3669900662966401"/>
    <n v="33.183638150194199"/>
    <n v="65"/>
    <s v="Tener ArticulsoDesembalajeWait Time Per EntityProcess"/>
    <n v="12"/>
    <n v="12.468073479373563"/>
    <n v="2.0390363930253126"/>
    <n v="0.95"/>
    <n v="1.2955419154922878"/>
    <n v="8.8139308019643003"/>
    <n v="15.494339623025001"/>
    <n v="0"/>
    <n v="38.7642988818086"/>
    <n v="65.083333333333329"/>
    <n v="1.2955419154922878"/>
    <n v="12"/>
    <n v="1"/>
  </r>
  <r>
    <x v="0"/>
    <s v="2025-05-21 22:25:52"/>
    <n v="5"/>
    <x v="2"/>
    <x v="6"/>
    <x v="1"/>
    <n v="20.573219162572599"/>
    <n v="2E+20"/>
    <n v="9.4723300462860607"/>
    <n v="38.850868926111197"/>
    <n v="62"/>
    <s v="Tener ArticulsoDesembalajeTotal Time Per EntityProcess"/>
    <n v="12"/>
    <n v="24.51031329670764"/>
    <n v="2.1527028825375165"/>
    <n v="0.95"/>
    <n v="1.3677621573936283"/>
    <n v="20.573219162572599"/>
    <n v="27.6072772087274"/>
    <n v="8.0759119651897908"/>
    <n v="51.785477573090503"/>
    <n v="65.083333333333329"/>
    <n v="1.3677621573936283"/>
    <n v="12"/>
    <n v="1"/>
  </r>
  <r>
    <x v="0"/>
    <s v="2025-05-21 22:25:52"/>
    <n v="5"/>
    <x v="2"/>
    <x v="7"/>
    <x v="1"/>
    <n v="11.7592883606083"/>
    <n v="2E+20"/>
    <n v="8.2496266635534994"/>
    <n v="15.829198361444901"/>
    <n v="62"/>
    <s v="Tener ArticulsoDesembalajeVA Time Per EntityProcess"/>
    <n v="12"/>
    <n v="12.042239817334083"/>
    <n v="0.40531120725956793"/>
    <n v="0.95"/>
    <n v="0.25752245502811572"/>
    <n v="11.3087118575475"/>
    <n v="12.7855466550981"/>
    <n v="8.0309576481744198"/>
    <n v="15.996573444289099"/>
    <n v="65.083333333333329"/>
    <n v="0.25752245502811572"/>
    <n v="12"/>
    <n v="1"/>
  </r>
  <r>
    <x v="0"/>
    <s v="2025-05-21 22:25:52"/>
    <n v="5"/>
    <x v="2"/>
    <x v="8"/>
    <x v="1"/>
    <n v="8.8139308019643003"/>
    <n v="2E+20"/>
    <n v="0"/>
    <n v="24.8373076145065"/>
    <n v="62"/>
    <s v="Tener ArticulsoDesembalajeWait Time Per EntityProcess"/>
    <n v="12"/>
    <n v="12.468073479373563"/>
    <n v="2.0390363930253126"/>
    <n v="0.95"/>
    <n v="1.2955419154922878"/>
    <n v="8.8139308019643003"/>
    <n v="15.494339623025001"/>
    <n v="0"/>
    <n v="38.7642988818086"/>
    <n v="65.083333333333329"/>
    <n v="1.2955419154922878"/>
    <n v="12"/>
    <n v="1"/>
  </r>
  <r>
    <x v="0"/>
    <s v="2025-05-21 22:25:52"/>
    <n v="6"/>
    <x v="2"/>
    <x v="6"/>
    <x v="1"/>
    <n v="23.446333032923299"/>
    <n v="2E+20"/>
    <n v="8.7719615551968708"/>
    <n v="39.2123814754625"/>
    <n v="69"/>
    <s v="Tener ArticulsoDesembalajeTotal Time Per EntityProcess"/>
    <n v="12"/>
    <n v="24.51031329670764"/>
    <n v="2.1527028825375165"/>
    <n v="0.95"/>
    <n v="1.3677621573936283"/>
    <n v="20.573219162572599"/>
    <n v="27.6072772087274"/>
    <n v="8.0759119651897908"/>
    <n v="51.785477573090503"/>
    <n v="65.083333333333329"/>
    <n v="1.3677621573936283"/>
    <n v="12"/>
    <n v="1"/>
  </r>
  <r>
    <x v="0"/>
    <s v="2025-05-21 22:25:52"/>
    <n v="6"/>
    <x v="2"/>
    <x v="7"/>
    <x v="1"/>
    <n v="11.7005907645578"/>
    <n v="2E+20"/>
    <n v="8.1373770862612709"/>
    <n v="15.701181536900499"/>
    <n v="69"/>
    <s v="Tener ArticulsoDesembalajeVA Time Per EntityProcess"/>
    <n v="12"/>
    <n v="12.042239817334083"/>
    <n v="0.40531120725956793"/>
    <n v="0.95"/>
    <n v="0.25752245502811572"/>
    <n v="11.3087118575475"/>
    <n v="12.7855466550981"/>
    <n v="8.0309576481744198"/>
    <n v="15.996573444289099"/>
    <n v="65.083333333333329"/>
    <n v="0.25752245502811572"/>
    <n v="12"/>
    <n v="1"/>
  </r>
  <r>
    <x v="0"/>
    <s v="2025-05-21 22:25:52"/>
    <n v="6"/>
    <x v="2"/>
    <x v="8"/>
    <x v="1"/>
    <n v="11.7457422683655"/>
    <n v="2E+20"/>
    <n v="0"/>
    <n v="26.959518267665899"/>
    <n v="69"/>
    <s v="Tener ArticulsoDesembalajeWait Time Per EntityProcess"/>
    <n v="12"/>
    <n v="12.468073479373563"/>
    <n v="2.0390363930253126"/>
    <n v="0.95"/>
    <n v="1.2955419154922878"/>
    <n v="8.8139308019643003"/>
    <n v="15.494339623025001"/>
    <n v="0"/>
    <n v="38.7642988818086"/>
    <n v="65.083333333333329"/>
    <n v="1.2955419154922878"/>
    <n v="12"/>
    <n v="1"/>
  </r>
  <r>
    <x v="0"/>
    <s v="2025-05-21 22:25:52"/>
    <n v="7"/>
    <x v="2"/>
    <x v="6"/>
    <x v="1"/>
    <n v="21.675335675772001"/>
    <n v="2E+20"/>
    <n v="8.0759119651897908"/>
    <n v="38.105500644550403"/>
    <n v="68"/>
    <s v="Tener ArticulsoDesembalajeTotal Time Per EntityProcess"/>
    <n v="12"/>
    <n v="24.51031329670764"/>
    <n v="2.1527028825375165"/>
    <n v="0.95"/>
    <n v="1.3677621573936283"/>
    <n v="20.573219162572599"/>
    <n v="27.6072772087274"/>
    <n v="8.0759119651897908"/>
    <n v="51.785477573090503"/>
    <n v="65.083333333333329"/>
    <n v="1.3677621573936283"/>
    <n v="12"/>
    <n v="1"/>
  </r>
  <r>
    <x v="0"/>
    <s v="2025-05-21 22:25:52"/>
    <n v="7"/>
    <x v="2"/>
    <x v="7"/>
    <x v="1"/>
    <n v="11.902053758337599"/>
    <n v="2E+20"/>
    <n v="8.0468077905901492"/>
    <n v="15.624878280237199"/>
    <n v="68"/>
    <s v="Tener ArticulsoDesembalajeVA Time Per EntityProcess"/>
    <n v="12"/>
    <n v="12.042239817334083"/>
    <n v="0.40531120725956793"/>
    <n v="0.95"/>
    <n v="0.25752245502811572"/>
    <n v="11.3087118575475"/>
    <n v="12.7855466550981"/>
    <n v="8.0309576481744198"/>
    <n v="15.996573444289099"/>
    <n v="65.083333333333329"/>
    <n v="0.25752245502811572"/>
    <n v="12"/>
    <n v="1"/>
  </r>
  <r>
    <x v="0"/>
    <s v="2025-05-21 22:25:52"/>
    <n v="7"/>
    <x v="2"/>
    <x v="8"/>
    <x v="1"/>
    <n v="9.7732819174343497"/>
    <n v="2E+20"/>
    <n v="0"/>
    <n v="29.9069330246537"/>
    <n v="68"/>
    <s v="Tener ArticulsoDesembalajeWait Time Per EntityProcess"/>
    <n v="12"/>
    <n v="12.468073479373563"/>
    <n v="2.0390363930253126"/>
    <n v="0.95"/>
    <n v="1.2955419154922878"/>
    <n v="8.8139308019643003"/>
    <n v="15.494339623025001"/>
    <n v="0"/>
    <n v="38.7642988818086"/>
    <n v="65.083333333333329"/>
    <n v="1.2955419154922878"/>
    <n v="12"/>
    <n v="1"/>
  </r>
  <r>
    <x v="0"/>
    <s v="2025-05-21 22:25:52"/>
    <n v="8"/>
    <x v="2"/>
    <x v="6"/>
    <x v="1"/>
    <n v="26.297131927157402"/>
    <n v="2E+20"/>
    <n v="8.9203286451168005"/>
    <n v="51.785477573090503"/>
    <n v="58"/>
    <s v="Tener ArticulsoDesembalajeTotal Time Per EntityProcess"/>
    <n v="12"/>
    <n v="24.51031329670764"/>
    <n v="2.1527028825375165"/>
    <n v="0.95"/>
    <n v="1.3677621573936283"/>
    <n v="20.573219162572599"/>
    <n v="27.6072772087274"/>
    <n v="8.0759119651897908"/>
    <n v="51.785477573090503"/>
    <n v="65.083333333333329"/>
    <n v="1.3677621573936283"/>
    <n v="12"/>
    <n v="1"/>
  </r>
  <r>
    <x v="0"/>
    <s v="2025-05-21 22:25:52"/>
    <n v="8"/>
    <x v="2"/>
    <x v="7"/>
    <x v="1"/>
    <n v="12.717357888592201"/>
    <n v="2E+20"/>
    <n v="8.2932332356660901"/>
    <n v="15.873634017442701"/>
    <n v="58"/>
    <s v="Tener ArticulsoDesembalajeVA Time Per EntityProcess"/>
    <n v="12"/>
    <n v="12.042239817334083"/>
    <n v="0.40531120725956793"/>
    <n v="0.95"/>
    <n v="0.25752245502811572"/>
    <n v="11.3087118575475"/>
    <n v="12.7855466550981"/>
    <n v="8.0309576481744198"/>
    <n v="15.996573444289099"/>
    <n v="65.083333333333329"/>
    <n v="0.25752245502811572"/>
    <n v="12"/>
    <n v="1"/>
  </r>
  <r>
    <x v="0"/>
    <s v="2025-05-21 22:25:52"/>
    <n v="8"/>
    <x v="2"/>
    <x v="8"/>
    <x v="1"/>
    <n v="13.579774038565199"/>
    <n v="2E+20"/>
    <n v="0"/>
    <n v="37.117885218616301"/>
    <n v="58"/>
    <s v="Tener ArticulsoDesembalajeWait Time Per EntityProcess"/>
    <n v="12"/>
    <n v="12.468073479373563"/>
    <n v="2.0390363930253126"/>
    <n v="0.95"/>
    <n v="1.2955419154922878"/>
    <n v="8.8139308019643003"/>
    <n v="15.494339623025001"/>
    <n v="0"/>
    <n v="38.7642988818086"/>
    <n v="65.083333333333329"/>
    <n v="1.2955419154922878"/>
    <n v="12"/>
    <n v="1"/>
  </r>
  <r>
    <x v="0"/>
    <s v="2025-05-21 22:25:52"/>
    <n v="9"/>
    <x v="2"/>
    <x v="6"/>
    <x v="1"/>
    <n v="26.458299482933501"/>
    <n v="2E+20"/>
    <n v="10.6400954983616"/>
    <n v="50.587434630322797"/>
    <n v="69"/>
    <s v="Tener ArticulsoDesembalajeTotal Time Per EntityProcess"/>
    <n v="12"/>
    <n v="24.51031329670764"/>
    <n v="2.1527028825375165"/>
    <n v="0.95"/>
    <n v="1.3677621573936283"/>
    <n v="20.573219162572599"/>
    <n v="27.6072772087274"/>
    <n v="8.0759119651897908"/>
    <n v="51.785477573090503"/>
    <n v="65.083333333333329"/>
    <n v="1.3677621573936283"/>
    <n v="12"/>
    <n v="1"/>
  </r>
  <r>
    <x v="0"/>
    <s v="2025-05-21 22:25:52"/>
    <n v="9"/>
    <x v="2"/>
    <x v="7"/>
    <x v="1"/>
    <n v="12.0389904664043"/>
    <n v="2E+20"/>
    <n v="8.0309576481744198"/>
    <n v="15.8928262669594"/>
    <n v="69"/>
    <s v="Tener ArticulsoDesembalajeVA Time Per EntityProcess"/>
    <n v="12"/>
    <n v="12.042239817334083"/>
    <n v="0.40531120725956793"/>
    <n v="0.95"/>
    <n v="0.25752245502811572"/>
    <n v="11.3087118575475"/>
    <n v="12.7855466550981"/>
    <n v="8.0309576481744198"/>
    <n v="15.996573444289099"/>
    <n v="65.083333333333329"/>
    <n v="0.25752245502811572"/>
    <n v="12"/>
    <n v="1"/>
  </r>
  <r>
    <x v="0"/>
    <s v="2025-05-21 22:25:52"/>
    <n v="9"/>
    <x v="2"/>
    <x v="8"/>
    <x v="1"/>
    <n v="14.419309016529199"/>
    <n v="2E+20"/>
    <n v="0"/>
    <n v="37.807031610671103"/>
    <n v="69"/>
    <s v="Tener ArticulsoDesembalajeWait Time Per EntityProcess"/>
    <n v="12"/>
    <n v="12.468073479373563"/>
    <n v="2.0390363930253126"/>
    <n v="0.95"/>
    <n v="1.2955419154922878"/>
    <n v="8.8139308019643003"/>
    <n v="15.494339623025001"/>
    <n v="0"/>
    <n v="38.7642988818086"/>
    <n v="65.083333333333329"/>
    <n v="1.2955419154922878"/>
    <n v="12"/>
    <n v="1"/>
  </r>
  <r>
    <x v="0"/>
    <s v="2025-05-21 22:25:52"/>
    <n v="10"/>
    <x v="2"/>
    <x v="6"/>
    <x v="1"/>
    <n v="24.566149217179301"/>
    <n v="2E+20"/>
    <n v="10.765285481686099"/>
    <n v="38.890583413916602"/>
    <n v="69"/>
    <s v="Tener ArticulsoDesembalajeTotal Time Per EntityProcess"/>
    <n v="12"/>
    <n v="24.51031329670764"/>
    <n v="2.1527028825375165"/>
    <n v="0.95"/>
    <n v="1.3677621573936283"/>
    <n v="20.573219162572599"/>
    <n v="27.6072772087274"/>
    <n v="8.0759119651897908"/>
    <n v="51.785477573090503"/>
    <n v="65.083333333333329"/>
    <n v="1.3677621573936283"/>
    <n v="12"/>
    <n v="1"/>
  </r>
  <r>
    <x v="0"/>
    <s v="2025-05-21 22:25:52"/>
    <n v="10"/>
    <x v="2"/>
    <x v="7"/>
    <x v="1"/>
    <n v="11.9525751741471"/>
    <n v="2E+20"/>
    <n v="8.1841658182652299"/>
    <n v="15.801098635054601"/>
    <n v="69"/>
    <s v="Tener ArticulsoDesembalajeVA Time Per EntityProcess"/>
    <n v="12"/>
    <n v="12.042239817334083"/>
    <n v="0.40531120725956793"/>
    <n v="0.95"/>
    <n v="0.25752245502811572"/>
    <n v="11.3087118575475"/>
    <n v="12.7855466550981"/>
    <n v="8.0309576481744198"/>
    <n v="15.996573444289099"/>
    <n v="65.083333333333329"/>
    <n v="0.25752245502811572"/>
    <n v="12"/>
    <n v="1"/>
  </r>
  <r>
    <x v="0"/>
    <s v="2025-05-21 22:25:52"/>
    <n v="10"/>
    <x v="2"/>
    <x v="8"/>
    <x v="1"/>
    <n v="12.6135740430322"/>
    <n v="2E+20"/>
    <n v="0"/>
    <n v="24.968801334146299"/>
    <n v="69"/>
    <s v="Tener ArticulsoDesembalajeWait Time Per EntityProcess"/>
    <n v="12"/>
    <n v="12.468073479373563"/>
    <n v="2.0390363930253126"/>
    <n v="0.95"/>
    <n v="1.2955419154922878"/>
    <n v="8.8139308019643003"/>
    <n v="15.494339623025001"/>
    <n v="0"/>
    <n v="38.7642988818086"/>
    <n v="65.083333333333329"/>
    <n v="1.2955419154922878"/>
    <n v="12"/>
    <n v="1"/>
  </r>
  <r>
    <x v="0"/>
    <s v="2025-05-21 22:25:52"/>
    <n v="11"/>
    <x v="2"/>
    <x v="6"/>
    <x v="1"/>
    <n v="25.0166080645633"/>
    <n v="2E+20"/>
    <n v="8.6510532237753104"/>
    <n v="45.852567711655603"/>
    <n v="59"/>
    <s v="Tener ArticulsoDesembalajeTotal Time Per EntityProcess"/>
    <n v="12"/>
    <n v="24.51031329670764"/>
    <n v="2.1527028825375165"/>
    <n v="0.95"/>
    <n v="1.3677621573936283"/>
    <n v="20.573219162572599"/>
    <n v="27.6072772087274"/>
    <n v="8.0759119651897908"/>
    <n v="51.785477573090503"/>
    <n v="65.083333333333329"/>
    <n v="1.3677621573936283"/>
    <n v="12"/>
    <n v="1"/>
  </r>
  <r>
    <x v="0"/>
    <s v="2025-05-21 22:25:52"/>
    <n v="11"/>
    <x v="2"/>
    <x v="7"/>
    <x v="1"/>
    <n v="12.7855466550981"/>
    <n v="2E+20"/>
    <n v="8.0981818559857892"/>
    <n v="15.996573444289099"/>
    <n v="59"/>
    <s v="Tener ArticulsoDesembalajeVA Time Per EntityProcess"/>
    <n v="12"/>
    <n v="12.042239817334083"/>
    <n v="0.40531120725956793"/>
    <n v="0.95"/>
    <n v="0.25752245502811572"/>
    <n v="11.3087118575475"/>
    <n v="12.7855466550981"/>
    <n v="8.0309576481744198"/>
    <n v="15.996573444289099"/>
    <n v="65.083333333333329"/>
    <n v="0.25752245502811572"/>
    <n v="12"/>
    <n v="1"/>
  </r>
  <r>
    <x v="0"/>
    <s v="2025-05-21 22:25:52"/>
    <n v="11"/>
    <x v="2"/>
    <x v="8"/>
    <x v="1"/>
    <n v="12.2310614094652"/>
    <n v="2E+20"/>
    <n v="0"/>
    <n v="30.0276671004906"/>
    <n v="59"/>
    <s v="Tener ArticulsoDesembalajeWait Time Per EntityProcess"/>
    <n v="12"/>
    <n v="12.468073479373563"/>
    <n v="2.0390363930253126"/>
    <n v="0.95"/>
    <n v="1.2955419154922878"/>
    <n v="8.8139308019643003"/>
    <n v="15.494339623025001"/>
    <n v="0"/>
    <n v="38.7642988818086"/>
    <n v="65.083333333333329"/>
    <n v="1.2955419154922878"/>
    <n v="12"/>
    <n v="1"/>
  </r>
  <r>
    <x v="0"/>
    <s v="2025-05-21 22:25:52"/>
    <n v="12"/>
    <x v="2"/>
    <x v="6"/>
    <x v="1"/>
    <n v="23.461959039176701"/>
    <n v="2E+20"/>
    <n v="8.9597346858550999"/>
    <n v="49.564015470417097"/>
    <n v="67"/>
    <s v="Tener ArticulsoDesembalajeTotal Time Per EntityProcess"/>
    <n v="12"/>
    <n v="24.51031329670764"/>
    <n v="2.1527028825375165"/>
    <n v="0.95"/>
    <n v="1.3677621573936283"/>
    <n v="20.573219162572599"/>
    <n v="27.6072772087274"/>
    <n v="8.0759119651897908"/>
    <n v="51.785477573090503"/>
    <n v="65.083333333333329"/>
    <n v="1.3677621573936283"/>
    <n v="12"/>
    <n v="1"/>
  </r>
  <r>
    <x v="0"/>
    <s v="2025-05-21 22:25:52"/>
    <n v="12"/>
    <x v="2"/>
    <x v="7"/>
    <x v="1"/>
    <n v="11.9513078382342"/>
    <n v="2E+20"/>
    <n v="8.1706453104654901"/>
    <n v="15.986649618765799"/>
    <n v="67"/>
    <s v="Tener ArticulsoDesembalajeVA Time Per EntityProcess"/>
    <n v="12"/>
    <n v="12.042239817334083"/>
    <n v="0.40531120725956793"/>
    <n v="0.95"/>
    <n v="0.25752245502811572"/>
    <n v="11.3087118575475"/>
    <n v="12.7855466550981"/>
    <n v="8.0309576481744198"/>
    <n v="15.996573444289099"/>
    <n v="65.083333333333329"/>
    <n v="0.25752245502811572"/>
    <n v="12"/>
    <n v="1"/>
  </r>
  <r>
    <x v="0"/>
    <s v="2025-05-21 22:25:52"/>
    <n v="12"/>
    <x v="2"/>
    <x v="8"/>
    <x v="1"/>
    <n v="11.510651200942499"/>
    <n v="2E+20"/>
    <n v="0"/>
    <n v="34.277580687081098"/>
    <n v="67"/>
    <s v="Tener ArticulsoDesembalajeWait Time Per EntityProcess"/>
    <n v="12"/>
    <n v="12.468073479373563"/>
    <n v="2.0390363930253126"/>
    <n v="0.95"/>
    <n v="1.2955419154922878"/>
    <n v="8.8139308019643003"/>
    <n v="15.494339623025001"/>
    <n v="0"/>
    <n v="38.7642988818086"/>
    <n v="65.083333333333329"/>
    <n v="1.2955419154922878"/>
    <n v="12"/>
    <n v="1"/>
  </r>
  <r>
    <x v="0"/>
    <s v="2025-05-21 22:25:52"/>
    <n v="1"/>
    <x v="3"/>
    <x v="9"/>
    <x v="2"/>
    <n v="10.716115152757901"/>
    <n v="2E+20"/>
    <n v="0"/>
    <n v="29.051690858743001"/>
    <n v="67"/>
    <s v="Tener ArticulsoDesembalaje.QueueWaiting TimeQueue"/>
    <n v="12"/>
    <n v="12.50284312674699"/>
    <n v="2.0905898840755364"/>
    <n v="0.95"/>
    <n v="1.3282974409816715"/>
    <n v="8.8139308019643003"/>
    <n v="15.676857120408901"/>
    <n v="0"/>
    <n v="38.7642988818086"/>
    <n v="65.75"/>
    <n v="1.3282974409816715"/>
    <n v="12"/>
    <n v="1"/>
  </r>
  <r>
    <x v="0"/>
    <s v="2025-05-21 22:25:52"/>
    <n v="2"/>
    <x v="3"/>
    <x v="9"/>
    <x v="2"/>
    <n v="13.935792128320401"/>
    <n v="2E+20"/>
    <n v="0"/>
    <n v="38.7642988818086"/>
    <n v="61"/>
    <s v="Tener ArticulsoDesembalaje.QueueWaiting TimeQueue"/>
    <n v="12"/>
    <n v="12.50284312674699"/>
    <n v="2.0905898840755364"/>
    <n v="0.95"/>
    <n v="1.3282974409816715"/>
    <n v="8.8139308019643003"/>
    <n v="15.676857120408901"/>
    <n v="0"/>
    <n v="38.7642988818086"/>
    <n v="65.75"/>
    <n v="1.3282974409816715"/>
    <n v="12"/>
    <n v="1"/>
  </r>
  <r>
    <x v="0"/>
    <s v="2025-05-21 22:25:52"/>
    <n v="3"/>
    <x v="3"/>
    <x v="9"/>
    <x v="2"/>
    <n v="14.679187493971"/>
    <n v="2E+20"/>
    <n v="0"/>
    <n v="31.352641157038001"/>
    <n v="69"/>
    <s v="Tener ArticulsoDesembalaje.QueueWaiting TimeQueue"/>
    <n v="12"/>
    <n v="12.50284312674699"/>
    <n v="2.0905898840755364"/>
    <n v="0.95"/>
    <n v="1.3282974409816715"/>
    <n v="8.8139308019643003"/>
    <n v="15.676857120408901"/>
    <n v="0"/>
    <n v="38.7642988818086"/>
    <n v="65.75"/>
    <n v="1.3282974409816715"/>
    <n v="12"/>
    <n v="1"/>
  </r>
  <r>
    <x v="0"/>
    <s v="2025-05-21 22:25:52"/>
    <n v="4"/>
    <x v="3"/>
    <x v="9"/>
    <x v="2"/>
    <n v="15.676857120408901"/>
    <n v="2E+20"/>
    <n v="2.3669900662966401"/>
    <n v="33.183638150194199"/>
    <n v="66"/>
    <s v="Tener ArticulsoDesembalaje.QueueWaiting TimeQueue"/>
    <n v="12"/>
    <n v="12.50284312674699"/>
    <n v="2.0905898840755364"/>
    <n v="0.95"/>
    <n v="1.3282974409816715"/>
    <n v="8.8139308019643003"/>
    <n v="15.676857120408901"/>
    <n v="0"/>
    <n v="38.7642988818086"/>
    <n v="65.75"/>
    <n v="1.3282974409816715"/>
    <n v="12"/>
    <n v="1"/>
  </r>
  <r>
    <x v="0"/>
    <s v="2025-05-21 22:25:52"/>
    <n v="5"/>
    <x v="3"/>
    <x v="9"/>
    <x v="2"/>
    <n v="8.8139308019643003"/>
    <n v="2E+20"/>
    <n v="0"/>
    <n v="24.8373076145065"/>
    <n v="62"/>
    <s v="Tener ArticulsoDesembalaje.QueueWaiting TimeQueue"/>
    <n v="12"/>
    <n v="12.50284312674699"/>
    <n v="2.0905898840755364"/>
    <n v="0.95"/>
    <n v="1.3282974409816715"/>
    <n v="8.8139308019643003"/>
    <n v="15.676857120408901"/>
    <n v="0"/>
    <n v="38.7642988818086"/>
    <n v="65.75"/>
    <n v="1.3282974409816715"/>
    <n v="12"/>
    <n v="1"/>
  </r>
  <r>
    <x v="0"/>
    <s v="2025-05-21 22:25:52"/>
    <n v="6"/>
    <x v="3"/>
    <x v="9"/>
    <x v="2"/>
    <n v="11.643156712134299"/>
    <n v="2E+20"/>
    <n v="0"/>
    <n v="26.959518267665899"/>
    <n v="70"/>
    <s v="Tener ArticulsoDesembalaje.QueueWaiting TimeQueue"/>
    <n v="12"/>
    <n v="12.50284312674699"/>
    <n v="2.0905898840755364"/>
    <n v="0.95"/>
    <n v="1.3282974409816715"/>
    <n v="8.8139308019643003"/>
    <n v="15.676857120408901"/>
    <n v="0"/>
    <n v="38.7642988818086"/>
    <n v="65.75"/>
    <n v="1.3282974409816715"/>
    <n v="12"/>
    <n v="1"/>
  </r>
  <r>
    <x v="0"/>
    <s v="2025-05-21 22:25:52"/>
    <n v="7"/>
    <x v="3"/>
    <x v="9"/>
    <x v="2"/>
    <n v="9.8483595237971997"/>
    <n v="2E+20"/>
    <n v="0"/>
    <n v="29.9069330246537"/>
    <n v="69"/>
    <s v="Tener ArticulsoDesembalaje.QueueWaiting TimeQueue"/>
    <n v="12"/>
    <n v="12.50284312674699"/>
    <n v="2.0905898840755364"/>
    <n v="0.95"/>
    <n v="1.3282974409816715"/>
    <n v="8.8139308019643003"/>
    <n v="15.676857120408901"/>
    <n v="0"/>
    <n v="38.7642988818086"/>
    <n v="65.75"/>
    <n v="1.3282974409816715"/>
    <n v="12"/>
    <n v="1"/>
  </r>
  <r>
    <x v="0"/>
    <s v="2025-05-21 22:25:52"/>
    <n v="8"/>
    <x v="3"/>
    <x v="9"/>
    <x v="2"/>
    <n v="13.901088675035499"/>
    <n v="2E+20"/>
    <n v="0"/>
    <n v="37.117885218616301"/>
    <n v="59"/>
    <s v="Tener ArticulsoDesembalaje.QueueWaiting TimeQueue"/>
    <n v="12"/>
    <n v="12.50284312674699"/>
    <n v="2.0905898840755364"/>
    <n v="0.95"/>
    <n v="1.3282974409816715"/>
    <n v="8.8139308019643003"/>
    <n v="15.676857120408901"/>
    <n v="0"/>
    <n v="38.7642988818086"/>
    <n v="65.75"/>
    <n v="1.3282974409816715"/>
    <n v="12"/>
    <n v="1"/>
  </r>
  <r>
    <x v="0"/>
    <s v="2025-05-21 22:25:52"/>
    <n v="9"/>
    <x v="3"/>
    <x v="9"/>
    <x v="2"/>
    <n v="14.419309016529199"/>
    <n v="2E+20"/>
    <n v="0"/>
    <n v="37.807031610671103"/>
    <n v="69"/>
    <s v="Tener ArticulsoDesembalaje.QueueWaiting TimeQueue"/>
    <n v="12"/>
    <n v="12.50284312674699"/>
    <n v="2.0905898840755364"/>
    <n v="0.95"/>
    <n v="1.3282974409816715"/>
    <n v="8.8139308019643003"/>
    <n v="15.676857120408901"/>
    <n v="0"/>
    <n v="38.7642988818086"/>
    <n v="65.75"/>
    <n v="1.3282974409816715"/>
    <n v="12"/>
    <n v="1"/>
  </r>
  <r>
    <x v="0"/>
    <s v="2025-05-21 22:25:52"/>
    <n v="10"/>
    <x v="3"/>
    <x v="9"/>
    <x v="2"/>
    <n v="12.6135740430322"/>
    <n v="2E+20"/>
    <n v="0"/>
    <n v="24.968801334146299"/>
    <n v="69"/>
    <s v="Tener ArticulsoDesembalaje.QueueWaiting TimeQueue"/>
    <n v="12"/>
    <n v="12.50284312674699"/>
    <n v="2.0905898840755364"/>
    <n v="0.95"/>
    <n v="1.3282974409816715"/>
    <n v="8.8139308019643003"/>
    <n v="15.676857120408901"/>
    <n v="0"/>
    <n v="38.7642988818086"/>
    <n v="65.75"/>
    <n v="1.3282974409816715"/>
    <n v="12"/>
    <n v="1"/>
  </r>
  <r>
    <x v="0"/>
    <s v="2025-05-21 22:25:52"/>
    <n v="11"/>
    <x v="3"/>
    <x v="9"/>
    <x v="2"/>
    <n v="12.2420345871985"/>
    <n v="2E+20"/>
    <n v="0"/>
    <n v="30.0276671004906"/>
    <n v="60"/>
    <s v="Tener ArticulsoDesembalaje.QueueWaiting TimeQueue"/>
    <n v="12"/>
    <n v="12.50284312674699"/>
    <n v="2.0905898840755364"/>
    <n v="0.95"/>
    <n v="1.3282974409816715"/>
    <n v="8.8139308019643003"/>
    <n v="15.676857120408901"/>
    <n v="0"/>
    <n v="38.7642988818086"/>
    <n v="65.75"/>
    <n v="1.3282974409816715"/>
    <n v="12"/>
    <n v="1"/>
  </r>
  <r>
    <x v="0"/>
    <s v="2025-05-21 22:25:52"/>
    <n v="12"/>
    <x v="3"/>
    <x v="9"/>
    <x v="2"/>
    <n v="11.5447122658145"/>
    <n v="2E+20"/>
    <n v="0"/>
    <n v="34.277580687081098"/>
    <n v="68"/>
    <s v="Tener ArticulsoDesembalaje.QueueWaiting TimeQueue"/>
    <n v="12"/>
    <n v="12.50284312674699"/>
    <n v="2.0905898840755364"/>
    <n v="0.95"/>
    <n v="1.3282974409816715"/>
    <n v="8.8139308019643003"/>
    <n v="15.676857120408901"/>
    <n v="0"/>
    <n v="38.7642988818086"/>
    <n v="65.75"/>
    <n v="1.3282974409816715"/>
    <n v="12"/>
    <n v="1"/>
  </r>
  <r>
    <x v="0"/>
    <s v="2025-05-21 22:25:52"/>
    <n v="1"/>
    <x v="4"/>
    <x v="9"/>
    <x v="2"/>
    <n v="8.7841805602037706"/>
    <n v="3E+20"/>
    <n v="0"/>
    <n v="47.909826734480198"/>
    <n v="351"/>
    <s v="Tener ArticulsoDetener Carros.QueueWaiting TimeQueue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2"/>
    <x v="4"/>
    <x v="9"/>
    <x v="2"/>
    <n v="9.3103158383720892"/>
    <n v="3E+20"/>
    <n v="0"/>
    <n v="46.266658405999102"/>
    <n v="366"/>
    <s v="Tener ArticulsoDetener Carros.QueueWaiting TimeQueue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3"/>
    <x v="4"/>
    <x v="9"/>
    <x v="2"/>
    <n v="7.94984034571418"/>
    <n v="3E+20"/>
    <n v="0"/>
    <n v="33.267818825565897"/>
    <n v="368"/>
    <s v="Tener ArticulsoDetener Carros.QueueWaiting TimeQueue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4"/>
    <x v="4"/>
    <x v="9"/>
    <x v="2"/>
    <n v="7.3219435624328701"/>
    <n v="2.6342919481136202"/>
    <n v="0"/>
    <n v="40.123315479671902"/>
    <n v="361"/>
    <s v="Tener ArticulsoDetener Carros.QueueWaiting TimeQueue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5"/>
    <x v="4"/>
    <x v="9"/>
    <x v="2"/>
    <n v="5.6735586617221401"/>
    <n v="2.0679587161316602"/>
    <n v="0"/>
    <n v="31.109173200753499"/>
    <n v="331"/>
    <s v="Tener ArticulsoDetener Carros.QueueWaiting TimeQueue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6"/>
    <x v="4"/>
    <x v="9"/>
    <x v="2"/>
    <n v="11.382104151582199"/>
    <n v="3E+20"/>
    <n v="0"/>
    <n v="39.6883878793615"/>
    <n v="351"/>
    <s v="Tener ArticulsoDetener Carros.QueueWaiting TimeQueue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7"/>
    <x v="4"/>
    <x v="9"/>
    <x v="2"/>
    <n v="5.5756560720942296"/>
    <n v="2.1221981058683199"/>
    <n v="0"/>
    <n v="31.306496678171101"/>
    <n v="325"/>
    <s v="Tener ArticulsoDetener Carros.QueueWaiting TimeQueue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8"/>
    <x v="4"/>
    <x v="9"/>
    <x v="2"/>
    <n v="19.688888471878201"/>
    <n v="3E+20"/>
    <n v="0"/>
    <n v="73.330338726468796"/>
    <n v="353"/>
    <s v="Tener ArticulsoDetener Carros.QueueWaiting TimeQueue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9"/>
    <x v="4"/>
    <x v="9"/>
    <x v="2"/>
    <n v="7.8991506026370999"/>
    <n v="3.1548445259414302"/>
    <n v="0"/>
    <n v="35.2264013446513"/>
    <n v="351"/>
    <s v="Tener ArticulsoDetener Carros.QueueWaiting TimeQueue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10"/>
    <x v="4"/>
    <x v="9"/>
    <x v="2"/>
    <n v="5.7411816925788504"/>
    <n v="2.0657461074664401"/>
    <n v="0"/>
    <n v="34.111566291057599"/>
    <n v="346"/>
    <s v="Tener ArticulsoDetener Carros.QueueWaiting TimeQueue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11"/>
    <x v="4"/>
    <x v="9"/>
    <x v="2"/>
    <n v="8.0446007159909207"/>
    <n v="2.9533719016918099"/>
    <n v="0"/>
    <n v="32.820238453490603"/>
    <n v="362"/>
    <s v="Tener ArticulsoDetener Carros.QueueWaiting TimeQueue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12"/>
    <x v="4"/>
    <x v="9"/>
    <x v="2"/>
    <n v="5.5841389533246897"/>
    <n v="1.85790959371933"/>
    <n v="0"/>
    <n v="26.107461507805699"/>
    <n v="322"/>
    <s v="Tener ArticulsoDetener Carros.QueueWaiting TimeQueue"/>
    <n v="12"/>
    <n v="8.5796299690442694"/>
    <n v="3.9204801654846184"/>
    <n v="0.95"/>
    <n v="2.4909542569299354"/>
    <n v="5.5756560720942296"/>
    <n v="19.688888471878201"/>
    <n v="0"/>
    <n v="73.330338726468796"/>
    <n v="348.91666666666669"/>
    <n v="2.4909542569299354"/>
    <n v="12"/>
    <n v="1"/>
  </r>
  <r>
    <x v="0"/>
    <s v="2025-05-21 22:25:52"/>
    <n v="1"/>
    <x v="5"/>
    <x v="9"/>
    <x v="2"/>
    <n v="49.502439361220901"/>
    <n v="2E+20"/>
    <n v="0"/>
    <n v="174.667918570246"/>
    <n v="67"/>
    <s v="Tener ArticulsoNoOrganizar.QueueWaiting TimeQueue"/>
    <n v="12"/>
    <n v="55.98955748533124"/>
    <n v="24.506362046111338"/>
    <n v="0.95"/>
    <n v="15.570599590849211"/>
    <n v="12.0701420487199"/>
    <n v="110.88908690154101"/>
    <n v="0"/>
    <n v="288.328546108833"/>
    <n v="66"/>
    <n v="15.570599590849211"/>
    <n v="12"/>
    <n v="1"/>
  </r>
  <r>
    <x v="0"/>
    <s v="2025-05-21 22:25:52"/>
    <n v="2"/>
    <x v="5"/>
    <x v="9"/>
    <x v="2"/>
    <n v="31.184832760558201"/>
    <n v="2E+20"/>
    <n v="0"/>
    <n v="136.759438407776"/>
    <n v="61"/>
    <s v="Tener ArticulsoNoOrganizar.QueueWaiting TimeQueue"/>
    <n v="12"/>
    <n v="55.98955748533124"/>
    <n v="24.506362046111338"/>
    <n v="0.95"/>
    <n v="15.570599590849211"/>
    <n v="12.0701420487199"/>
    <n v="110.88908690154101"/>
    <n v="0"/>
    <n v="288.328546108833"/>
    <n v="66"/>
    <n v="15.570599590849211"/>
    <n v="12"/>
    <n v="1"/>
  </r>
  <r>
    <x v="0"/>
    <s v="2025-05-21 22:25:52"/>
    <n v="3"/>
    <x v="5"/>
    <x v="9"/>
    <x v="2"/>
    <n v="110.88908690154101"/>
    <n v="2E+20"/>
    <n v="0"/>
    <n v="288.328546108833"/>
    <n v="70"/>
    <s v="Tener ArticulsoNoOrganizar.QueueWaiting TimeQueue"/>
    <n v="12"/>
    <n v="55.98955748533124"/>
    <n v="24.506362046111338"/>
    <n v="0.95"/>
    <n v="15.570599590849211"/>
    <n v="12.0701420487199"/>
    <n v="110.88908690154101"/>
    <n v="0"/>
    <n v="288.328546108833"/>
    <n v="66"/>
    <n v="15.570599590849211"/>
    <n v="12"/>
    <n v="1"/>
  </r>
  <r>
    <x v="0"/>
    <s v="2025-05-21 22:25:52"/>
    <n v="4"/>
    <x v="5"/>
    <x v="9"/>
    <x v="2"/>
    <n v="83.209960467493303"/>
    <n v="2E+20"/>
    <n v="0"/>
    <n v="193.68973400982901"/>
    <n v="66"/>
    <s v="Tener ArticulsoNoOrganizar.QueueWaiting TimeQueue"/>
    <n v="12"/>
    <n v="55.98955748533124"/>
    <n v="24.506362046111338"/>
    <n v="0.95"/>
    <n v="15.570599590849211"/>
    <n v="12.0701420487199"/>
    <n v="110.88908690154101"/>
    <n v="0"/>
    <n v="288.328546108833"/>
    <n v="66"/>
    <n v="15.570599590849211"/>
    <n v="12"/>
    <n v="1"/>
  </r>
  <r>
    <x v="0"/>
    <s v="2025-05-21 22:25:52"/>
    <n v="5"/>
    <x v="5"/>
    <x v="9"/>
    <x v="2"/>
    <n v="12.0701420487199"/>
    <n v="2E+20"/>
    <n v="0"/>
    <n v="63.855574658562503"/>
    <n v="63"/>
    <s v="Tener ArticulsoNoOrganizar.QueueWaiting TimeQueue"/>
    <n v="12"/>
    <n v="55.98955748533124"/>
    <n v="24.506362046111338"/>
    <n v="0.95"/>
    <n v="15.570599590849211"/>
    <n v="12.0701420487199"/>
    <n v="110.88908690154101"/>
    <n v="0"/>
    <n v="288.328546108833"/>
    <n v="66"/>
    <n v="15.570599590849211"/>
    <n v="12"/>
    <n v="1"/>
  </r>
  <r>
    <x v="0"/>
    <s v="2025-05-21 22:25:52"/>
    <n v="6"/>
    <x v="5"/>
    <x v="9"/>
    <x v="2"/>
    <n v="49.968408409355703"/>
    <n v="2E+20"/>
    <n v="0"/>
    <n v="221.24808519120401"/>
    <n v="70"/>
    <s v="Tener ArticulsoNoOrganizar.QueueWaiting TimeQueue"/>
    <n v="12"/>
    <n v="55.98955748533124"/>
    <n v="24.506362046111338"/>
    <n v="0.95"/>
    <n v="15.570599590849211"/>
    <n v="12.0701420487199"/>
    <n v="110.88908690154101"/>
    <n v="0"/>
    <n v="288.328546108833"/>
    <n v="66"/>
    <n v="15.570599590849211"/>
    <n v="12"/>
    <n v="1"/>
  </r>
  <r>
    <x v="0"/>
    <s v="2025-05-21 22:25:52"/>
    <n v="7"/>
    <x v="5"/>
    <x v="9"/>
    <x v="2"/>
    <n v="44.831885449036903"/>
    <n v="2E+20"/>
    <n v="0"/>
    <n v="164.55465747111501"/>
    <n v="69"/>
    <s v="Tener ArticulsoNoOrganizar.QueueWaiting TimeQueue"/>
    <n v="12"/>
    <n v="55.98955748533124"/>
    <n v="24.506362046111338"/>
    <n v="0.95"/>
    <n v="15.570599590849211"/>
    <n v="12.0701420487199"/>
    <n v="110.88908690154101"/>
    <n v="0"/>
    <n v="288.328546108833"/>
    <n v="66"/>
    <n v="15.570599590849211"/>
    <n v="12"/>
    <n v="1"/>
  </r>
  <r>
    <x v="0"/>
    <s v="2025-05-21 22:25:52"/>
    <n v="8"/>
    <x v="5"/>
    <x v="9"/>
    <x v="2"/>
    <n v="63.713283711955597"/>
    <n v="2E+20"/>
    <n v="0"/>
    <n v="226.476686944401"/>
    <n v="59"/>
    <s v="Tener ArticulsoNoOrganizar.QueueWaiting TimeQueue"/>
    <n v="12"/>
    <n v="55.98955748533124"/>
    <n v="24.506362046111338"/>
    <n v="0.95"/>
    <n v="15.570599590849211"/>
    <n v="12.0701420487199"/>
    <n v="110.88908690154101"/>
    <n v="0"/>
    <n v="288.328546108833"/>
    <n v="66"/>
    <n v="15.570599590849211"/>
    <n v="12"/>
    <n v="1"/>
  </r>
  <r>
    <x v="0"/>
    <s v="2025-05-21 22:25:52"/>
    <n v="9"/>
    <x v="5"/>
    <x v="9"/>
    <x v="2"/>
    <n v="52.708138485726202"/>
    <n v="2E+20"/>
    <n v="0"/>
    <n v="136.791558264624"/>
    <n v="69"/>
    <s v="Tener ArticulsoNoOrganizar.QueueWaiting TimeQueue"/>
    <n v="12"/>
    <n v="55.98955748533124"/>
    <n v="24.506362046111338"/>
    <n v="0.95"/>
    <n v="15.570599590849211"/>
    <n v="12.0701420487199"/>
    <n v="110.88908690154101"/>
    <n v="0"/>
    <n v="288.328546108833"/>
    <n v="66"/>
    <n v="15.570599590849211"/>
    <n v="12"/>
    <n v="1"/>
  </r>
  <r>
    <x v="0"/>
    <s v="2025-05-21 22:25:52"/>
    <n v="10"/>
    <x v="5"/>
    <x v="9"/>
    <x v="2"/>
    <n v="58.088090886803499"/>
    <n v="2E+20"/>
    <n v="0"/>
    <n v="163.377192858336"/>
    <n v="70"/>
    <s v="Tener ArticulsoNoOrganizar.QueueWaiting TimeQueue"/>
    <n v="12"/>
    <n v="55.98955748533124"/>
    <n v="24.506362046111338"/>
    <n v="0.95"/>
    <n v="15.570599590849211"/>
    <n v="12.0701420487199"/>
    <n v="110.88908690154101"/>
    <n v="0"/>
    <n v="288.328546108833"/>
    <n v="66"/>
    <n v="15.570599590849211"/>
    <n v="12"/>
    <n v="1"/>
  </r>
  <r>
    <x v="0"/>
    <s v="2025-05-21 22:25:52"/>
    <n v="11"/>
    <x v="5"/>
    <x v="9"/>
    <x v="2"/>
    <n v="54.502378891648398"/>
    <n v="2E+20"/>
    <n v="0"/>
    <n v="259.082768541365"/>
    <n v="60"/>
    <s v="Tener ArticulsoNoOrganizar.QueueWaiting TimeQueue"/>
    <n v="12"/>
    <n v="55.98955748533124"/>
    <n v="24.506362046111338"/>
    <n v="0.95"/>
    <n v="15.570599590849211"/>
    <n v="12.0701420487199"/>
    <n v="110.88908690154101"/>
    <n v="0"/>
    <n v="288.328546108833"/>
    <n v="66"/>
    <n v="15.570599590849211"/>
    <n v="12"/>
    <n v="1"/>
  </r>
  <r>
    <x v="0"/>
    <s v="2025-05-21 22:25:52"/>
    <n v="12"/>
    <x v="5"/>
    <x v="9"/>
    <x v="2"/>
    <n v="61.206042449915401"/>
    <n v="2E+20"/>
    <n v="0"/>
    <n v="193.21513097802199"/>
    <n v="68"/>
    <s v="Tener ArticulsoNoOrganizar.QueueWaiting TimeQueue"/>
    <n v="12"/>
    <n v="55.98955748533124"/>
    <n v="24.506362046111338"/>
    <n v="0.95"/>
    <n v="15.570599590849211"/>
    <n v="12.0701420487199"/>
    <n v="110.88908690154101"/>
    <n v="0"/>
    <n v="288.328546108833"/>
    <n v="66"/>
    <n v="15.570599590849211"/>
    <n v="12"/>
    <n v="1"/>
  </r>
  <r>
    <x v="0"/>
    <s v="2025-05-21 22:25:52"/>
    <n v="1"/>
    <x v="6"/>
    <x v="6"/>
    <x v="1"/>
    <n v="17.1005808621094"/>
    <n v="3E+20"/>
    <n v="1.0632461638233499"/>
    <n v="43.146612077625498"/>
    <n v="793"/>
    <s v="Tener ArticulsoOrganizarTotal Time Per EntityProcess"/>
    <n v="12"/>
    <n v="19.843076309313876"/>
    <n v="3.1108812396048715"/>
    <n v="0.95"/>
    <n v="1.9765596405304995"/>
    <n v="14.333174793708601"/>
    <n v="24.121886739294599"/>
    <n v="1.0058066908302401"/>
    <n v="53.875149285606298"/>
    <n v="786"/>
    <n v="1.9765596405304995"/>
    <n v="12"/>
    <n v="1"/>
  </r>
  <r>
    <x v="0"/>
    <s v="2025-05-21 22:25:52"/>
    <n v="1"/>
    <x v="6"/>
    <x v="7"/>
    <x v="1"/>
    <n v="1.4867058117178"/>
    <n v="2.2011295435485901E-2"/>
    <n v="1.00066749475423"/>
    <n v="1.99857008962454"/>
    <n v="793"/>
    <s v="Tener ArticulsoOrganizarVA Time Per EntityProcess"/>
    <n v="12"/>
    <n v="1.5028538081491225"/>
    <n v="1.3808973413820496E-2"/>
    <n v="0.95"/>
    <n v="8.7738031202962419E-3"/>
    <n v="1.4747133823596901"/>
    <n v="1.51850117283381"/>
    <n v="1.00010180636809"/>
    <n v="1.9999899924728199"/>
    <n v="786"/>
    <n v="8.7738031202962419E-3"/>
    <n v="12"/>
    <n v="1"/>
  </r>
  <r>
    <x v="0"/>
    <s v="2025-05-21 22:25:52"/>
    <n v="1"/>
    <x v="6"/>
    <x v="8"/>
    <x v="1"/>
    <n v="15.6138750503916"/>
    <n v="3E+20"/>
    <n v="0"/>
    <n v="41.574638635399197"/>
    <n v="793"/>
    <s v="Tener ArticulsoOrganizarWait Time Per EntityProcess"/>
    <n v="12"/>
    <n v="18.340222501164735"/>
    <n v="3.1059623683121012"/>
    <n v="0.95"/>
    <n v="1.9734343388151923"/>
    <n v="12.8584614113489"/>
    <n v="22.619907968114202"/>
    <n v="0"/>
    <n v="52.173346869209801"/>
    <n v="786"/>
    <n v="1.9734343388151923"/>
    <n v="12"/>
    <n v="1"/>
  </r>
  <r>
    <x v="0"/>
    <s v="2025-05-21 22:25:52"/>
    <n v="2"/>
    <x v="6"/>
    <x v="6"/>
    <x v="1"/>
    <n v="21.266900866034501"/>
    <n v="3E+20"/>
    <n v="1.01092183270555"/>
    <n v="52.433842000380302"/>
    <n v="829"/>
    <s v="Tener ArticulsoOrganizarTotal Time Per EntityProcess"/>
    <n v="12"/>
    <n v="19.843076309313876"/>
    <n v="3.1108812396048715"/>
    <n v="0.95"/>
    <n v="1.9765596405304995"/>
    <n v="14.333174793708601"/>
    <n v="24.121886739294599"/>
    <n v="1.0058066908302401"/>
    <n v="53.875149285606298"/>
    <n v="786"/>
    <n v="1.9765596405304995"/>
    <n v="12"/>
    <n v="1"/>
  </r>
  <r>
    <x v="0"/>
    <s v="2025-05-21 22:25:52"/>
    <n v="2"/>
    <x v="6"/>
    <x v="7"/>
    <x v="1"/>
    <n v="1.51505223265469"/>
    <n v="1.82731437912226E-2"/>
    <n v="1.00183881967905"/>
    <n v="1.9997865829979"/>
    <n v="829"/>
    <s v="Tener ArticulsoOrganizarVA Time Per EntityProcess"/>
    <n v="12"/>
    <n v="1.5028538081491225"/>
    <n v="1.3808973413820496E-2"/>
    <n v="0.95"/>
    <n v="8.7738031202962419E-3"/>
    <n v="1.4747133823596901"/>
    <n v="1.51850117283381"/>
    <n v="1.00010180636809"/>
    <n v="1.9999899924728199"/>
    <n v="786"/>
    <n v="8.7738031202962419E-3"/>
    <n v="12"/>
    <n v="1"/>
  </r>
  <r>
    <x v="0"/>
    <s v="2025-05-21 22:25:52"/>
    <n v="2"/>
    <x v="6"/>
    <x v="8"/>
    <x v="1"/>
    <n v="19.7518486333799"/>
    <n v="3E+20"/>
    <n v="0"/>
    <n v="50.479819378087797"/>
    <n v="829"/>
    <s v="Tener ArticulsoOrganizarWait Time Per EntityProcess"/>
    <n v="12"/>
    <n v="18.340222501164735"/>
    <n v="3.1059623683121012"/>
    <n v="0.95"/>
    <n v="1.9734343388151923"/>
    <n v="12.8584614113489"/>
    <n v="22.619907968114202"/>
    <n v="0"/>
    <n v="52.173346869209801"/>
    <n v="786"/>
    <n v="1.9734343388151923"/>
    <n v="12"/>
    <n v="1"/>
  </r>
  <r>
    <x v="0"/>
    <s v="2025-05-21 22:25:52"/>
    <n v="3"/>
    <x v="6"/>
    <x v="6"/>
    <x v="1"/>
    <n v="23.344134258473598"/>
    <n v="3E+20"/>
    <n v="1.2674270707398101"/>
    <n v="41.704069790414799"/>
    <n v="821"/>
    <s v="Tener ArticulsoOrganizarTotal Time Per EntityProcess"/>
    <n v="12"/>
    <n v="19.843076309313876"/>
    <n v="3.1108812396048715"/>
    <n v="0.95"/>
    <n v="1.9765596405304995"/>
    <n v="14.333174793708601"/>
    <n v="24.121886739294599"/>
    <n v="1.0058066908302401"/>
    <n v="53.875149285606298"/>
    <n v="786"/>
    <n v="1.9765596405304995"/>
    <n v="12"/>
    <n v="1"/>
  </r>
  <r>
    <x v="0"/>
    <s v="2025-05-21 22:25:52"/>
    <n v="3"/>
    <x v="6"/>
    <x v="7"/>
    <x v="1"/>
    <n v="1.5057387692215201"/>
    <n v="1.51754470810543E-2"/>
    <n v="1.00035773754928"/>
    <n v="1.9993083262479601"/>
    <n v="821"/>
    <s v="Tener ArticulsoOrganizarVA Time Per EntityProcess"/>
    <n v="12"/>
    <n v="1.5028538081491225"/>
    <n v="1.3808973413820496E-2"/>
    <n v="0.95"/>
    <n v="8.7738031202962419E-3"/>
    <n v="1.4747133823596901"/>
    <n v="1.51850117283381"/>
    <n v="1.00010180636809"/>
    <n v="1.9999899924728199"/>
    <n v="786"/>
    <n v="8.7738031202962419E-3"/>
    <n v="12"/>
    <n v="1"/>
  </r>
  <r>
    <x v="0"/>
    <s v="2025-05-21 22:25:52"/>
    <n v="3"/>
    <x v="6"/>
    <x v="8"/>
    <x v="1"/>
    <n v="21.838395489252001"/>
    <n v="3E+20"/>
    <n v="0"/>
    <n v="40.1594867795692"/>
    <n v="821"/>
    <s v="Tener ArticulsoOrganizarWait Time Per EntityProcess"/>
    <n v="12"/>
    <n v="18.340222501164735"/>
    <n v="3.1059623683121012"/>
    <n v="0.95"/>
    <n v="1.9734343388151923"/>
    <n v="12.8584614113489"/>
    <n v="22.619907968114202"/>
    <n v="0"/>
    <n v="52.173346869209801"/>
    <n v="786"/>
    <n v="1.9734343388151923"/>
    <n v="12"/>
    <n v="1"/>
  </r>
  <r>
    <x v="0"/>
    <s v="2025-05-21 22:25:52"/>
    <n v="4"/>
    <x v="6"/>
    <x v="6"/>
    <x v="1"/>
    <n v="23.448759445780301"/>
    <n v="3E+20"/>
    <n v="1.0225228780664699"/>
    <n v="45.704907106325898"/>
    <n v="827"/>
    <s v="Tener ArticulsoOrganizarTotal Time Per EntityProcess"/>
    <n v="12"/>
    <n v="19.843076309313876"/>
    <n v="3.1108812396048715"/>
    <n v="0.95"/>
    <n v="1.9765596405304995"/>
    <n v="14.333174793708601"/>
    <n v="24.121886739294599"/>
    <n v="1.0058066908302401"/>
    <n v="53.875149285606298"/>
    <n v="786"/>
    <n v="1.9765596405304995"/>
    <n v="12"/>
    <n v="1"/>
  </r>
  <r>
    <x v="0"/>
    <s v="2025-05-21 22:25:52"/>
    <n v="4"/>
    <x v="6"/>
    <x v="7"/>
    <x v="1"/>
    <n v="1.49023244352207"/>
    <n v="1.7605715419563801E-2"/>
    <n v="1.0003203370298499"/>
    <n v="1.99979569831805"/>
    <n v="827"/>
    <s v="Tener ArticulsoOrganizarVA Time Per EntityProcess"/>
    <n v="12"/>
    <n v="1.5028538081491225"/>
    <n v="1.3808973413820496E-2"/>
    <n v="0.95"/>
    <n v="8.7738031202962419E-3"/>
    <n v="1.4747133823596901"/>
    <n v="1.51850117283381"/>
    <n v="1.00010180636809"/>
    <n v="1.9999899924728199"/>
    <n v="786"/>
    <n v="8.7738031202962419E-3"/>
    <n v="12"/>
    <n v="1"/>
  </r>
  <r>
    <x v="0"/>
    <s v="2025-05-21 22:25:52"/>
    <n v="4"/>
    <x v="6"/>
    <x v="8"/>
    <x v="1"/>
    <n v="21.958527002258101"/>
    <n v="3E+20"/>
    <n v="0"/>
    <n v="44.031034729777303"/>
    <n v="827"/>
    <s v="Tener ArticulsoOrganizarWait Time Per EntityProcess"/>
    <n v="12"/>
    <n v="18.340222501164735"/>
    <n v="3.1059623683121012"/>
    <n v="0.95"/>
    <n v="1.9734343388151923"/>
    <n v="12.8584614113489"/>
    <n v="22.619907968114202"/>
    <n v="0"/>
    <n v="52.173346869209801"/>
    <n v="786"/>
    <n v="1.9734343388151923"/>
    <n v="12"/>
    <n v="1"/>
  </r>
  <r>
    <x v="0"/>
    <s v="2025-05-21 22:25:52"/>
    <n v="5"/>
    <x v="6"/>
    <x v="6"/>
    <x v="1"/>
    <n v="14.333174793708601"/>
    <n v="3E+20"/>
    <n v="1.0058066908302401"/>
    <n v="38.381292176353597"/>
    <n v="750"/>
    <s v="Tener ArticulsoOrganizarTotal Time Per EntityProcess"/>
    <n v="12"/>
    <n v="19.843076309313876"/>
    <n v="3.1108812396048715"/>
    <n v="0.95"/>
    <n v="1.9765596405304995"/>
    <n v="14.333174793708601"/>
    <n v="24.121886739294599"/>
    <n v="1.0058066908302401"/>
    <n v="53.875149285606298"/>
    <n v="786"/>
    <n v="1.9765596405304995"/>
    <n v="12"/>
    <n v="1"/>
  </r>
  <r>
    <x v="0"/>
    <s v="2025-05-21 22:25:52"/>
    <n v="5"/>
    <x v="6"/>
    <x v="7"/>
    <x v="1"/>
    <n v="1.4747133823596901"/>
    <n v="2.4637952179456801E-2"/>
    <n v="1.00010180636809"/>
    <n v="1.9996440065851899"/>
    <n v="750"/>
    <s v="Tener ArticulsoOrganizarVA Time Per EntityProcess"/>
    <n v="12"/>
    <n v="1.5028538081491225"/>
    <n v="1.3808973413820496E-2"/>
    <n v="0.95"/>
    <n v="8.7738031202962419E-3"/>
    <n v="1.4747133823596901"/>
    <n v="1.51850117283381"/>
    <n v="1.00010180636809"/>
    <n v="1.9999899924728199"/>
    <n v="786"/>
    <n v="8.7738031202962419E-3"/>
    <n v="12"/>
    <n v="1"/>
  </r>
  <r>
    <x v="0"/>
    <s v="2025-05-21 22:25:52"/>
    <n v="5"/>
    <x v="6"/>
    <x v="8"/>
    <x v="1"/>
    <n v="12.8584614113489"/>
    <n v="3E+20"/>
    <n v="0"/>
    <n v="37.245814679736398"/>
    <n v="750"/>
    <s v="Tener ArticulsoOrganizarWait Time Per EntityProcess"/>
    <n v="12"/>
    <n v="18.340222501164735"/>
    <n v="3.1059623683121012"/>
    <n v="0.95"/>
    <n v="1.9734343388151923"/>
    <n v="12.8584614113489"/>
    <n v="22.619907968114202"/>
    <n v="0"/>
    <n v="52.173346869209801"/>
    <n v="786"/>
    <n v="1.9734343388151923"/>
    <n v="12"/>
    <n v="1"/>
  </r>
  <r>
    <x v="0"/>
    <s v="2025-05-21 22:25:52"/>
    <n v="6"/>
    <x v="6"/>
    <x v="6"/>
    <x v="1"/>
    <n v="18.7060271258608"/>
    <n v="3E+20"/>
    <n v="1.03355530882558"/>
    <n v="39.663668953873596"/>
    <n v="790"/>
    <s v="Tener ArticulsoOrganizarTotal Time Per EntityProcess"/>
    <n v="12"/>
    <n v="19.843076309313876"/>
    <n v="3.1108812396048715"/>
    <n v="0.95"/>
    <n v="1.9765596405304995"/>
    <n v="14.333174793708601"/>
    <n v="24.121886739294599"/>
    <n v="1.0058066908302401"/>
    <n v="53.875149285606298"/>
    <n v="786"/>
    <n v="1.9765596405304995"/>
    <n v="12"/>
    <n v="1"/>
  </r>
  <r>
    <x v="0"/>
    <s v="2025-05-21 22:25:52"/>
    <n v="6"/>
    <x v="6"/>
    <x v="7"/>
    <x v="1"/>
    <n v="1.4935563570769901"/>
    <n v="2.3113563276997501E-2"/>
    <n v="1.00331785988374"/>
    <n v="1.9988897435291599"/>
    <n v="790"/>
    <s v="Tener ArticulsoOrganizarVA Time Per EntityProcess"/>
    <n v="12"/>
    <n v="1.5028538081491225"/>
    <n v="1.3808973413820496E-2"/>
    <n v="0.95"/>
    <n v="8.7738031202962419E-3"/>
    <n v="1.4747133823596901"/>
    <n v="1.51850117283381"/>
    <n v="1.00010180636809"/>
    <n v="1.9999899924728199"/>
    <n v="786"/>
    <n v="8.7738031202962419E-3"/>
    <n v="12"/>
    <n v="1"/>
  </r>
  <r>
    <x v="0"/>
    <s v="2025-05-21 22:25:52"/>
    <n v="6"/>
    <x v="6"/>
    <x v="8"/>
    <x v="1"/>
    <n v="17.2124707687837"/>
    <n v="3E+20"/>
    <n v="0"/>
    <n v="37.757768561627003"/>
    <n v="790"/>
    <s v="Tener ArticulsoOrganizarWait Time Per EntityProcess"/>
    <n v="12"/>
    <n v="18.340222501164735"/>
    <n v="3.1059623683121012"/>
    <n v="0.95"/>
    <n v="1.9734343388151923"/>
    <n v="12.8584614113489"/>
    <n v="22.619907968114202"/>
    <n v="0"/>
    <n v="52.173346869209801"/>
    <n v="786"/>
    <n v="1.9734343388151923"/>
    <n v="12"/>
    <n v="1"/>
  </r>
  <r>
    <x v="0"/>
    <s v="2025-05-21 22:25:52"/>
    <n v="7"/>
    <x v="6"/>
    <x v="6"/>
    <x v="1"/>
    <n v="16.004269763015898"/>
    <n v="3E+20"/>
    <n v="1.0233630684397399"/>
    <n v="40.9677834443251"/>
    <n v="735"/>
    <s v="Tener ArticulsoOrganizarTotal Time Per EntityProcess"/>
    <n v="12"/>
    <n v="19.843076309313876"/>
    <n v="3.1108812396048715"/>
    <n v="0.95"/>
    <n v="1.9765596405304995"/>
    <n v="14.333174793708601"/>
    <n v="24.121886739294599"/>
    <n v="1.0058066908302401"/>
    <n v="53.875149285606298"/>
    <n v="786"/>
    <n v="1.9765596405304995"/>
    <n v="12"/>
    <n v="1"/>
  </r>
  <r>
    <x v="0"/>
    <s v="2025-05-21 22:25:52"/>
    <n v="7"/>
    <x v="6"/>
    <x v="7"/>
    <x v="1"/>
    <n v="1.50594951382402"/>
    <n v="2.1064228792471999E-2"/>
    <n v="1.0037033552708901"/>
    <n v="1.99929568331055"/>
    <n v="735"/>
    <s v="Tener ArticulsoOrganizarVA Time Per EntityProcess"/>
    <n v="12"/>
    <n v="1.5028538081491225"/>
    <n v="1.3808973413820496E-2"/>
    <n v="0.95"/>
    <n v="8.7738031202962419E-3"/>
    <n v="1.4747133823596901"/>
    <n v="1.51850117283381"/>
    <n v="1.00010180636809"/>
    <n v="1.9999899924728199"/>
    <n v="786"/>
    <n v="8.7738031202962419E-3"/>
    <n v="12"/>
    <n v="1"/>
  </r>
  <r>
    <x v="0"/>
    <s v="2025-05-21 22:25:52"/>
    <n v="7"/>
    <x v="6"/>
    <x v="8"/>
    <x v="1"/>
    <n v="14.498320249191901"/>
    <n v="3E+20"/>
    <n v="0"/>
    <n v="39.624523707955397"/>
    <n v="735"/>
    <s v="Tener ArticulsoOrganizarWait Time Per EntityProcess"/>
    <n v="12"/>
    <n v="18.340222501164735"/>
    <n v="3.1059623683121012"/>
    <n v="0.95"/>
    <n v="1.9734343388151923"/>
    <n v="12.8584614113489"/>
    <n v="22.619907968114202"/>
    <n v="0"/>
    <n v="52.173346869209801"/>
    <n v="786"/>
    <n v="1.9734343388151923"/>
    <n v="12"/>
    <n v="1"/>
  </r>
  <r>
    <x v="0"/>
    <s v="2025-05-21 22:25:52"/>
    <n v="8"/>
    <x v="6"/>
    <x v="6"/>
    <x v="1"/>
    <n v="21.748284688864"/>
    <n v="3E+20"/>
    <n v="1.0130719441762299"/>
    <n v="53.875149285606298"/>
    <n v="791"/>
    <s v="Tener ArticulsoOrganizarTotal Time Per EntityProcess"/>
    <n v="12"/>
    <n v="19.843076309313876"/>
    <n v="3.1108812396048715"/>
    <n v="0.95"/>
    <n v="1.9765596405304995"/>
    <n v="14.333174793708601"/>
    <n v="24.121886739294599"/>
    <n v="1.0058066908302401"/>
    <n v="53.875149285606298"/>
    <n v="786"/>
    <n v="1.9765596405304995"/>
    <n v="12"/>
    <n v="1"/>
  </r>
  <r>
    <x v="0"/>
    <s v="2025-05-21 22:25:52"/>
    <n v="8"/>
    <x v="6"/>
    <x v="7"/>
    <x v="1"/>
    <n v="1.5115155880048801"/>
    <n v="1.9423250815521001E-2"/>
    <n v="1.0009603347165199"/>
    <n v="1.9977126786302499"/>
    <n v="791"/>
    <s v="Tener ArticulsoOrganizarVA Time Per EntityProcess"/>
    <n v="12"/>
    <n v="1.5028538081491225"/>
    <n v="1.3808973413820496E-2"/>
    <n v="0.95"/>
    <n v="8.7738031202962419E-3"/>
    <n v="1.4747133823596901"/>
    <n v="1.51850117283381"/>
    <n v="1.00010180636809"/>
    <n v="1.9999899924728199"/>
    <n v="786"/>
    <n v="8.7738031202962419E-3"/>
    <n v="12"/>
    <n v="1"/>
  </r>
  <r>
    <x v="0"/>
    <s v="2025-05-21 22:25:52"/>
    <n v="8"/>
    <x v="6"/>
    <x v="8"/>
    <x v="1"/>
    <n v="20.236769100859199"/>
    <n v="3E+20"/>
    <n v="0"/>
    <n v="52.173346869209801"/>
    <n v="791"/>
    <s v="Tener ArticulsoOrganizarWait Time Per EntityProcess"/>
    <n v="12"/>
    <n v="18.340222501164735"/>
    <n v="3.1059623683121012"/>
    <n v="0.95"/>
    <n v="1.9734343388151923"/>
    <n v="12.8584614113489"/>
    <n v="22.619907968114202"/>
    <n v="0"/>
    <n v="52.173346869209801"/>
    <n v="786"/>
    <n v="1.9734343388151923"/>
    <n v="12"/>
    <n v="1"/>
  </r>
  <r>
    <x v="0"/>
    <s v="2025-05-21 22:25:52"/>
    <n v="9"/>
    <x v="6"/>
    <x v="6"/>
    <x v="1"/>
    <n v="24.121886739294599"/>
    <n v="3E+20"/>
    <n v="1.0310286391724299"/>
    <n v="50.605413120347698"/>
    <n v="783"/>
    <s v="Tener ArticulsoOrganizarTotal Time Per EntityProcess"/>
    <n v="12"/>
    <n v="19.843076309313876"/>
    <n v="3.1108812396048715"/>
    <n v="0.95"/>
    <n v="1.9765596405304995"/>
    <n v="14.333174793708601"/>
    <n v="24.121886739294599"/>
    <n v="1.0058066908302401"/>
    <n v="53.875149285606298"/>
    <n v="786"/>
    <n v="1.9765596405304995"/>
    <n v="12"/>
    <n v="1"/>
  </r>
  <r>
    <x v="0"/>
    <s v="2025-05-21 22:25:52"/>
    <n v="9"/>
    <x v="6"/>
    <x v="7"/>
    <x v="1"/>
    <n v="1.50197877118042"/>
    <n v="1.8664035746321202E-2"/>
    <n v="1.0039084970058001"/>
    <n v="1.99742362286474"/>
    <n v="783"/>
    <s v="Tener ArticulsoOrganizarVA Time Per EntityProcess"/>
    <n v="12"/>
    <n v="1.5028538081491225"/>
    <n v="1.3808973413820496E-2"/>
    <n v="0.95"/>
    <n v="8.7738031202962419E-3"/>
    <n v="1.4747133823596901"/>
    <n v="1.51850117283381"/>
    <n v="1.00010180636809"/>
    <n v="1.9999899924728199"/>
    <n v="786"/>
    <n v="8.7738031202962419E-3"/>
    <n v="12"/>
    <n v="1"/>
  </r>
  <r>
    <x v="0"/>
    <s v="2025-05-21 22:25:52"/>
    <n v="9"/>
    <x v="6"/>
    <x v="8"/>
    <x v="1"/>
    <n v="22.619907968114202"/>
    <n v="3E+20"/>
    <n v="0"/>
    <n v="49.129566161430098"/>
    <n v="783"/>
    <s v="Tener ArticulsoOrganizarWait Time Per EntityProcess"/>
    <n v="12"/>
    <n v="18.340222501164735"/>
    <n v="3.1059623683121012"/>
    <n v="0.95"/>
    <n v="1.9734343388151923"/>
    <n v="12.8584614113489"/>
    <n v="22.619907968114202"/>
    <n v="0"/>
    <n v="52.173346869209801"/>
    <n v="786"/>
    <n v="1.9734343388151923"/>
    <n v="12"/>
    <n v="1"/>
  </r>
  <r>
    <x v="0"/>
    <s v="2025-05-21 22:25:52"/>
    <n v="10"/>
    <x v="6"/>
    <x v="6"/>
    <x v="1"/>
    <n v="20.2661347983532"/>
    <n v="3E+20"/>
    <n v="1.1043600027476299"/>
    <n v="42.603706258987799"/>
    <n v="784"/>
    <s v="Tener ArticulsoOrganizarTotal Time Per EntityProcess"/>
    <n v="12"/>
    <n v="19.843076309313876"/>
    <n v="3.1108812396048715"/>
    <n v="0.95"/>
    <n v="1.9765596405304995"/>
    <n v="14.333174793708601"/>
    <n v="24.121886739294599"/>
    <n v="1.0058066908302401"/>
    <n v="53.875149285606298"/>
    <n v="786"/>
    <n v="1.9765596405304995"/>
    <n v="12"/>
    <n v="1"/>
  </r>
  <r>
    <x v="0"/>
    <s v="2025-05-21 22:25:52"/>
    <n v="10"/>
    <x v="6"/>
    <x v="7"/>
    <x v="1"/>
    <n v="1.5129818481153701"/>
    <n v="3E+20"/>
    <n v="1.00034671627742"/>
    <n v="1.9999899924728199"/>
    <n v="784"/>
    <s v="Tener ArticulsoOrganizarVA Time Per EntityProcess"/>
    <n v="12"/>
    <n v="1.5028538081491225"/>
    <n v="1.3808973413820496E-2"/>
    <n v="0.95"/>
    <n v="8.7738031202962419E-3"/>
    <n v="1.4747133823596901"/>
    <n v="1.51850117283381"/>
    <n v="1.00010180636809"/>
    <n v="1.9999899924728199"/>
    <n v="786"/>
    <n v="8.7738031202962419E-3"/>
    <n v="12"/>
    <n v="1"/>
  </r>
  <r>
    <x v="0"/>
    <s v="2025-05-21 22:25:52"/>
    <n v="10"/>
    <x v="6"/>
    <x v="8"/>
    <x v="1"/>
    <n v="18.753152950237801"/>
    <n v="3E+20"/>
    <n v="0"/>
    <n v="40.907766736646202"/>
    <n v="784"/>
    <s v="Tener ArticulsoOrganizarWait Time Per EntityProcess"/>
    <n v="12"/>
    <n v="18.340222501164735"/>
    <n v="3.1059623683121012"/>
    <n v="0.95"/>
    <n v="1.9734343388151923"/>
    <n v="12.8584614113489"/>
    <n v="22.619907968114202"/>
    <n v="0"/>
    <n v="52.173346869209801"/>
    <n v="786"/>
    <n v="1.9734343388151923"/>
    <n v="12"/>
    <n v="1"/>
  </r>
  <r>
    <x v="0"/>
    <s v="2025-05-21 22:25:52"/>
    <n v="11"/>
    <x v="6"/>
    <x v="6"/>
    <x v="1"/>
    <n v="19.700247768436999"/>
    <n v="3.80966046144114"/>
    <n v="1.02322740081104"/>
    <n v="43.736507341030098"/>
    <n v="797"/>
    <s v="Tener ArticulsoOrganizarTotal Time Per EntityProcess"/>
    <n v="12"/>
    <n v="19.843076309313876"/>
    <n v="3.1108812396048715"/>
    <n v="0.95"/>
    <n v="1.9765596405304995"/>
    <n v="14.333174793708601"/>
    <n v="24.121886739294599"/>
    <n v="1.0058066908302401"/>
    <n v="53.875149285606298"/>
    <n v="786"/>
    <n v="1.9765596405304995"/>
    <n v="12"/>
    <n v="1"/>
  </r>
  <r>
    <x v="0"/>
    <s v="2025-05-21 22:25:52"/>
    <n v="11"/>
    <x v="6"/>
    <x v="7"/>
    <x v="1"/>
    <n v="1.51850117283381"/>
    <n v="2.19347051003853E-2"/>
    <n v="1.00041726396603"/>
    <n v="1.99720429056697"/>
    <n v="797"/>
    <s v="Tener ArticulsoOrganizarVA Time Per EntityProcess"/>
    <n v="12"/>
    <n v="1.5028538081491225"/>
    <n v="1.3808973413820496E-2"/>
    <n v="0.95"/>
    <n v="8.7738031202962419E-3"/>
    <n v="1.4747133823596901"/>
    <n v="1.51850117283381"/>
    <n v="1.00010180636809"/>
    <n v="1.9999899924728199"/>
    <n v="786"/>
    <n v="8.7738031202962419E-3"/>
    <n v="12"/>
    <n v="1"/>
  </r>
  <r>
    <x v="0"/>
    <s v="2025-05-21 22:25:52"/>
    <n v="11"/>
    <x v="6"/>
    <x v="8"/>
    <x v="1"/>
    <n v="18.181746595603201"/>
    <n v="3.8018560040226101"/>
    <n v="0"/>
    <n v="42.530699407443102"/>
    <n v="797"/>
    <s v="Tener ArticulsoOrganizarWait Time Per EntityProcess"/>
    <n v="12"/>
    <n v="18.340222501164735"/>
    <n v="3.1059623683121012"/>
    <n v="0.95"/>
    <n v="1.9734343388151923"/>
    <n v="12.8584614113489"/>
    <n v="22.619907968114202"/>
    <n v="0"/>
    <n v="52.173346869209801"/>
    <n v="786"/>
    <n v="1.9734343388151923"/>
    <n v="12"/>
    <n v="1"/>
  </r>
  <r>
    <x v="0"/>
    <s v="2025-05-21 22:25:52"/>
    <n v="12"/>
    <x v="6"/>
    <x v="6"/>
    <x v="1"/>
    <n v="18.076514601834599"/>
    <n v="3E+20"/>
    <n v="1.01480031388189"/>
    <n v="49.948917522678798"/>
    <n v="732"/>
    <s v="Tener ArticulsoOrganizarTotal Time Per EntityProcess"/>
    <n v="12"/>
    <n v="19.843076309313876"/>
    <n v="3.1108812396048715"/>
    <n v="0.95"/>
    <n v="1.9765596405304995"/>
    <n v="14.333174793708601"/>
    <n v="24.121886739294599"/>
    <n v="1.0058066908302401"/>
    <n v="53.875149285606298"/>
    <n v="786"/>
    <n v="1.9765596405304995"/>
    <n v="12"/>
    <n v="1"/>
  </r>
  <r>
    <x v="0"/>
    <s v="2025-05-21 22:25:52"/>
    <n v="12"/>
    <x v="6"/>
    <x v="7"/>
    <x v="1"/>
    <n v="1.5173198072782099"/>
    <n v="1.8065015878545101E-2"/>
    <n v="1.01092942042374"/>
    <n v="1.9994581648816201"/>
    <n v="732"/>
    <s v="Tener ArticulsoOrganizarVA Time Per EntityProcess"/>
    <n v="12"/>
    <n v="1.5028538081491225"/>
    <n v="1.3808973413820496E-2"/>
    <n v="0.95"/>
    <n v="8.7738031202962419E-3"/>
    <n v="1.4747133823596901"/>
    <n v="1.51850117283381"/>
    <n v="1.00010180636809"/>
    <n v="1.9999899924728199"/>
    <n v="786"/>
    <n v="8.7738031202962419E-3"/>
    <n v="12"/>
    <n v="1"/>
  </r>
  <r>
    <x v="0"/>
    <s v="2025-05-21 22:25:52"/>
    <n v="12"/>
    <x v="6"/>
    <x v="8"/>
    <x v="1"/>
    <n v="16.559194794556301"/>
    <n v="3E+20"/>
    <n v="0"/>
    <n v="48.023738644585102"/>
    <n v="732"/>
    <s v="Tener ArticulsoOrganizarWait Time Per EntityProcess"/>
    <n v="12"/>
    <n v="18.340222501164735"/>
    <n v="3.1059623683121012"/>
    <n v="0.95"/>
    <n v="1.9734343388151923"/>
    <n v="12.8584614113489"/>
    <n v="22.619907968114202"/>
    <n v="0"/>
    <n v="52.173346869209801"/>
    <n v="786"/>
    <n v="1.9734343388151923"/>
    <n v="12"/>
    <n v="1"/>
  </r>
  <r>
    <x v="0"/>
    <s v="2025-05-21 22:25:52"/>
    <n v="1"/>
    <x v="7"/>
    <x v="9"/>
    <x v="2"/>
    <n v="15.6138750503916"/>
    <n v="3E+20"/>
    <n v="0"/>
    <n v="41.574638635399197"/>
    <n v="793"/>
    <s v="Tener ArticulsoOrganizar.QueueWaiting TimeQueue"/>
    <n v="12"/>
    <n v="18.340362280972652"/>
    <n v="3.1064675613253501"/>
    <n v="0.95"/>
    <n v="1.9737553231420619"/>
    <n v="12.8566567976914"/>
    <n v="22.621112046443301"/>
    <n v="0"/>
    <n v="52.173346869209801"/>
    <n v="786.33333333333337"/>
    <n v="1.9737553231420619"/>
    <n v="12"/>
    <n v="1"/>
  </r>
  <r>
    <x v="0"/>
    <s v="2025-05-21 22:25:52"/>
    <n v="2"/>
    <x v="7"/>
    <x v="9"/>
    <x v="2"/>
    <n v="19.7518486333799"/>
    <n v="3E+20"/>
    <n v="0"/>
    <n v="50.479819378087797"/>
    <n v="829"/>
    <s v="Tener ArticulsoOrganizar.QueueWaiting TimeQueue"/>
    <n v="12"/>
    <n v="18.340362280972652"/>
    <n v="3.1064675613253501"/>
    <n v="0.95"/>
    <n v="1.9737553231420619"/>
    <n v="12.8566567976914"/>
    <n v="22.621112046443301"/>
    <n v="0"/>
    <n v="52.173346869209801"/>
    <n v="786.33333333333337"/>
    <n v="1.9737553231420619"/>
    <n v="12"/>
    <n v="1"/>
  </r>
  <r>
    <x v="0"/>
    <s v="2025-05-21 22:25:52"/>
    <n v="3"/>
    <x v="7"/>
    <x v="9"/>
    <x v="2"/>
    <n v="21.838807582860401"/>
    <n v="3E+20"/>
    <n v="0"/>
    <n v="40.1594867795692"/>
    <n v="822"/>
    <s v="Tener ArticulsoOrganizar.QueueWaiting TimeQueue"/>
    <n v="12"/>
    <n v="18.340362280972652"/>
    <n v="3.1064675613253501"/>
    <n v="0.95"/>
    <n v="1.9737553231420619"/>
    <n v="12.8566567976914"/>
    <n v="22.621112046443301"/>
    <n v="0"/>
    <n v="52.173346869209801"/>
    <n v="786.33333333333337"/>
    <n v="1.9737553231420619"/>
    <n v="12"/>
    <n v="1"/>
  </r>
  <r>
    <x v="0"/>
    <s v="2025-05-21 22:25:52"/>
    <n v="4"/>
    <x v="7"/>
    <x v="9"/>
    <x v="2"/>
    <n v="21.958527002258101"/>
    <n v="3E+20"/>
    <n v="0"/>
    <n v="44.031034729777303"/>
    <n v="827"/>
    <s v="Tener ArticulsoOrganizar.QueueWaiting TimeQueue"/>
    <n v="12"/>
    <n v="18.340362280972652"/>
    <n v="3.1064675613253501"/>
    <n v="0.95"/>
    <n v="1.9737553231420619"/>
    <n v="12.8566567976914"/>
    <n v="22.621112046443301"/>
    <n v="0"/>
    <n v="52.173346869209801"/>
    <n v="786.33333333333337"/>
    <n v="1.9737553231420619"/>
    <n v="12"/>
    <n v="1"/>
  </r>
  <r>
    <x v="0"/>
    <s v="2025-05-21 22:25:52"/>
    <n v="5"/>
    <x v="7"/>
    <x v="9"/>
    <x v="2"/>
    <n v="12.8566567976914"/>
    <n v="3E+20"/>
    <n v="0"/>
    <n v="37.245814679736398"/>
    <n v="751"/>
    <s v="Tener ArticulsoOrganizar.QueueWaiting TimeQueue"/>
    <n v="12"/>
    <n v="18.340362280972652"/>
    <n v="3.1064675613253501"/>
    <n v="0.95"/>
    <n v="1.9737553231420619"/>
    <n v="12.8566567976914"/>
    <n v="22.621112046443301"/>
    <n v="0"/>
    <n v="52.173346869209801"/>
    <n v="786.33333333333337"/>
    <n v="1.9737553231420619"/>
    <n v="12"/>
    <n v="1"/>
  </r>
  <r>
    <x v="0"/>
    <s v="2025-05-21 22:25:52"/>
    <n v="6"/>
    <x v="7"/>
    <x v="9"/>
    <x v="2"/>
    <n v="17.2124707687837"/>
    <n v="3E+20"/>
    <n v="0"/>
    <n v="37.757768561627003"/>
    <n v="790"/>
    <s v="Tener ArticulsoOrganizar.QueueWaiting TimeQueue"/>
    <n v="12"/>
    <n v="18.340362280972652"/>
    <n v="3.1064675613253501"/>
    <n v="0.95"/>
    <n v="1.9737553231420619"/>
    <n v="12.8566567976914"/>
    <n v="22.621112046443301"/>
    <n v="0"/>
    <n v="52.173346869209801"/>
    <n v="786.33333333333337"/>
    <n v="1.9737553231420619"/>
    <n v="12"/>
    <n v="1"/>
  </r>
  <r>
    <x v="0"/>
    <s v="2025-05-21 22:25:52"/>
    <n v="7"/>
    <x v="7"/>
    <x v="9"/>
    <x v="2"/>
    <n v="14.498320249191901"/>
    <n v="3E+20"/>
    <n v="0"/>
    <n v="39.624523707955397"/>
    <n v="735"/>
    <s v="Tener ArticulsoOrganizar.QueueWaiting TimeQueue"/>
    <n v="12"/>
    <n v="18.340362280972652"/>
    <n v="3.1064675613253501"/>
    <n v="0.95"/>
    <n v="1.9737553231420619"/>
    <n v="12.8566567976914"/>
    <n v="22.621112046443301"/>
    <n v="0"/>
    <n v="52.173346869209801"/>
    <n v="786.33333333333337"/>
    <n v="1.9737553231420619"/>
    <n v="12"/>
    <n v="1"/>
  </r>
  <r>
    <x v="0"/>
    <s v="2025-05-21 22:25:52"/>
    <n v="8"/>
    <x v="7"/>
    <x v="9"/>
    <x v="2"/>
    <n v="20.236769100859199"/>
    <n v="3E+20"/>
    <n v="0"/>
    <n v="52.173346869209801"/>
    <n v="791"/>
    <s v="Tener ArticulsoOrganizar.QueueWaiting TimeQueue"/>
    <n v="12"/>
    <n v="18.340362280972652"/>
    <n v="3.1064675613253501"/>
    <n v="0.95"/>
    <n v="1.9737553231420619"/>
    <n v="12.8566567976914"/>
    <n v="22.621112046443301"/>
    <n v="0"/>
    <n v="52.173346869209801"/>
    <n v="786.33333333333337"/>
    <n v="1.9737553231420619"/>
    <n v="12"/>
    <n v="1"/>
  </r>
  <r>
    <x v="0"/>
    <s v="2025-05-21 22:25:52"/>
    <n v="9"/>
    <x v="7"/>
    <x v="9"/>
    <x v="2"/>
    <n v="22.621112046443301"/>
    <n v="3E+20"/>
    <n v="0"/>
    <n v="49.129566161430098"/>
    <n v="784"/>
    <s v="Tener ArticulsoOrganizar.QueueWaiting TimeQueue"/>
    <n v="12"/>
    <n v="18.340362280972652"/>
    <n v="3.1064675613253501"/>
    <n v="0.95"/>
    <n v="1.9737553231420619"/>
    <n v="12.8566567976914"/>
    <n v="22.621112046443301"/>
    <n v="0"/>
    <n v="52.173346869209801"/>
    <n v="786.33333333333337"/>
    <n v="1.9737553231420619"/>
    <n v="12"/>
    <n v="1"/>
  </r>
  <r>
    <x v="0"/>
    <s v="2025-05-21 22:25:52"/>
    <n v="10"/>
    <x v="7"/>
    <x v="9"/>
    <x v="2"/>
    <n v="18.755018749652798"/>
    <n v="3E+20"/>
    <n v="0"/>
    <n v="40.907766736646202"/>
    <n v="785"/>
    <s v="Tener ArticulsoOrganizar.QueueWaiting TimeQueue"/>
    <n v="12"/>
    <n v="18.340362280972652"/>
    <n v="3.1064675613253501"/>
    <n v="0.95"/>
    <n v="1.9737553231420619"/>
    <n v="12.8566567976914"/>
    <n v="22.621112046443301"/>
    <n v="0"/>
    <n v="52.173346869209801"/>
    <n v="786.33333333333337"/>
    <n v="1.9737553231420619"/>
    <n v="12"/>
    <n v="1"/>
  </r>
  <r>
    <x v="0"/>
    <s v="2025-05-21 22:25:52"/>
    <n v="11"/>
    <x v="7"/>
    <x v="9"/>
    <x v="2"/>
    <n v="18.181746595603201"/>
    <n v="3.8018560040226101"/>
    <n v="0"/>
    <n v="42.530699407443102"/>
    <n v="797"/>
    <s v="Tener ArticulsoOrganizar.QueueWaiting TimeQueue"/>
    <n v="12"/>
    <n v="18.340362280972652"/>
    <n v="3.1064675613253501"/>
    <n v="0.95"/>
    <n v="1.9737553231420619"/>
    <n v="12.8566567976914"/>
    <n v="22.621112046443301"/>
    <n v="0"/>
    <n v="52.173346869209801"/>
    <n v="786.33333333333337"/>
    <n v="1.9737553231420619"/>
    <n v="12"/>
    <n v="1"/>
  </r>
  <r>
    <x v="0"/>
    <s v="2025-05-21 22:25:52"/>
    <n v="12"/>
    <x v="7"/>
    <x v="9"/>
    <x v="2"/>
    <n v="16.559194794556301"/>
    <n v="3E+20"/>
    <n v="0"/>
    <n v="48.023738644585102"/>
    <n v="732"/>
    <s v="Tener ArticulsoOrganizar.QueueWaiting TimeQueue"/>
    <n v="12"/>
    <n v="18.340362280972652"/>
    <n v="3.1064675613253501"/>
    <n v="0.95"/>
    <n v="1.9737553231420619"/>
    <n v="12.8566567976914"/>
    <n v="22.621112046443301"/>
    <n v="0"/>
    <n v="52.173346869209801"/>
    <n v="786.33333333333337"/>
    <n v="1.9737553231420619"/>
    <n v="12"/>
    <n v="1"/>
  </r>
  <r>
    <x v="0"/>
    <s v="2025-05-21 22:25:52"/>
    <n v="1"/>
    <x v="8"/>
    <x v="6"/>
    <x v="1"/>
    <n v="3.4076878257043699"/>
    <n v="0.175343532288014"/>
    <n v="0"/>
    <n v="9.5509374593832508"/>
    <n v="796"/>
    <s v="Tener ArticulsoSacar ArticulosTotal Time Per EntityProcess"/>
    <n v="12"/>
    <n v="3.4422907980918054"/>
    <n v="6.41847244847253E-2"/>
    <n v="0.95"/>
    <n v="4.0781028327263158E-2"/>
    <n v="3.3715879911348301"/>
    <n v="3.5733706442045801"/>
    <n v="0"/>
    <n v="10.157999238121601"/>
    <n v="795.08333333333337"/>
    <n v="4.0781028327263158E-2"/>
    <n v="12"/>
    <n v="1"/>
  </r>
  <r>
    <x v="0"/>
    <s v="2025-05-21 22:25:52"/>
    <n v="1"/>
    <x v="8"/>
    <x v="7"/>
    <x v="1"/>
    <n v="1.97168966939209"/>
    <n v="8.2620820228659894E-2"/>
    <n v="0"/>
    <n v="3.8777067849845799"/>
    <n v="796"/>
    <s v="Tener ArticulsoSacar ArticulosVA Time Per EntityProcess"/>
    <n v="12"/>
    <n v="1.9936632735826756"/>
    <n v="3.5301695029500854E-2"/>
    <n v="0.95"/>
    <n v="2.2429626933135546E-2"/>
    <n v="1.94998410656736"/>
    <n v="2.0714547119998601"/>
    <n v="0"/>
    <n v="3.9809861860223901"/>
    <n v="795.08333333333337"/>
    <n v="2.2429626933135546E-2"/>
    <n v="12"/>
    <n v="1"/>
  </r>
  <r>
    <x v="0"/>
    <s v="2025-05-21 22:25:52"/>
    <n v="1"/>
    <x v="8"/>
    <x v="8"/>
    <x v="1"/>
    <n v="1.4359981563122799"/>
    <n v="0.112711844113752"/>
    <n v="0"/>
    <n v="6.7248242325302998"/>
    <n v="796"/>
    <s v="Tener ArticulsoSacar ArticulosWait Time Per EntityProcess"/>
    <n v="12"/>
    <n v="1.4486275245091296"/>
    <n v="3.4039182804273552E-2"/>
    <n v="0.95"/>
    <n v="2.1627464935341765E-2"/>
    <n v="1.39936694366582"/>
    <n v="1.5269729168688699"/>
    <n v="0"/>
    <n v="7.5129638101070704"/>
    <n v="795.08333333333337"/>
    <n v="2.1627464935341765E-2"/>
    <n v="12"/>
    <n v="1"/>
  </r>
  <r>
    <x v="0"/>
    <s v="2025-05-21 22:25:52"/>
    <n v="2"/>
    <x v="8"/>
    <x v="6"/>
    <x v="1"/>
    <n v="3.4220587327380398"/>
    <n v="0.17006750602120299"/>
    <n v="0"/>
    <n v="9.8025097842662507"/>
    <n v="841"/>
    <s v="Tener ArticulsoSacar ArticulosTotal Time Per EntityProcess"/>
    <n v="12"/>
    <n v="3.4422907980918054"/>
    <n v="6.41847244847253E-2"/>
    <n v="0.95"/>
    <n v="4.0781028327263158E-2"/>
    <n v="3.3715879911348301"/>
    <n v="3.5733706442045801"/>
    <n v="0"/>
    <n v="10.157999238121601"/>
    <n v="795.08333333333337"/>
    <n v="4.0781028327263158E-2"/>
    <n v="12"/>
    <n v="1"/>
  </r>
  <r>
    <x v="0"/>
    <s v="2025-05-21 22:25:52"/>
    <n v="2"/>
    <x v="8"/>
    <x v="7"/>
    <x v="1"/>
    <n v="1.9819122062644701"/>
    <n v="9.1747300904246806E-2"/>
    <n v="0"/>
    <n v="3.9809861860223901"/>
    <n v="841"/>
    <s v="Tener ArticulsoSacar ArticulosVA Time Per EntityProcess"/>
    <n v="12"/>
    <n v="1.9936632735826756"/>
    <n v="3.5301695029500854E-2"/>
    <n v="0.95"/>
    <n v="2.2429626933135546E-2"/>
    <n v="1.94998410656736"/>
    <n v="2.0714547119998601"/>
    <n v="0"/>
    <n v="3.9809861860223901"/>
    <n v="795.08333333333337"/>
    <n v="2.2429626933135546E-2"/>
    <n v="12"/>
    <n v="1"/>
  </r>
  <r>
    <x v="0"/>
    <s v="2025-05-21 22:25:52"/>
    <n v="2"/>
    <x v="8"/>
    <x v="8"/>
    <x v="1"/>
    <n v="1.44014652647357"/>
    <n v="0.109600176962611"/>
    <n v="0"/>
    <n v="6.9008538036630398"/>
    <n v="841"/>
    <s v="Tener ArticulsoSacar ArticulosWait Time Per EntityProcess"/>
    <n v="12"/>
    <n v="1.4486275245091296"/>
    <n v="3.4039182804273552E-2"/>
    <n v="0.95"/>
    <n v="2.1627464935341765E-2"/>
    <n v="1.39936694366582"/>
    <n v="1.5269729168688699"/>
    <n v="0"/>
    <n v="7.5129638101070704"/>
    <n v="795.08333333333337"/>
    <n v="2.1627464935341765E-2"/>
    <n v="12"/>
    <n v="1"/>
  </r>
  <r>
    <x v="0"/>
    <s v="2025-05-21 22:25:52"/>
    <n v="3"/>
    <x v="8"/>
    <x v="6"/>
    <x v="1"/>
    <n v="3.4089565534005501"/>
    <n v="3E+20"/>
    <n v="0"/>
    <n v="9.9798752535812092"/>
    <n v="834"/>
    <s v="Tener ArticulsoSacar ArticulosTotal Time Per EntityProcess"/>
    <n v="12"/>
    <n v="3.4422907980918054"/>
    <n v="6.41847244847253E-2"/>
    <n v="0.95"/>
    <n v="4.0781028327263158E-2"/>
    <n v="3.3715879911348301"/>
    <n v="3.5733706442045801"/>
    <n v="0"/>
    <n v="10.157999238121601"/>
    <n v="795.08333333333337"/>
    <n v="4.0781028327263158E-2"/>
    <n v="12"/>
    <n v="1"/>
  </r>
  <r>
    <x v="0"/>
    <s v="2025-05-21 22:25:52"/>
    <n v="3"/>
    <x v="8"/>
    <x v="7"/>
    <x v="1"/>
    <n v="1.9604638727210599"/>
    <n v="7.2945422426172801E-2"/>
    <n v="0"/>
    <n v="3.9037700328136999"/>
    <n v="834"/>
    <s v="Tener ArticulsoSacar ArticulosVA Time Per EntityProcess"/>
    <n v="12"/>
    <n v="1.9936632735826756"/>
    <n v="3.5301695029500854E-2"/>
    <n v="0.95"/>
    <n v="2.2429626933135546E-2"/>
    <n v="1.94998410656736"/>
    <n v="2.0714547119998601"/>
    <n v="0"/>
    <n v="3.9809861860223901"/>
    <n v="795.08333333333337"/>
    <n v="2.2429626933135546E-2"/>
    <n v="12"/>
    <n v="1"/>
  </r>
  <r>
    <x v="0"/>
    <s v="2025-05-21 22:25:52"/>
    <n v="3"/>
    <x v="8"/>
    <x v="8"/>
    <x v="1"/>
    <n v="1.44849268067949"/>
    <n v="3E+20"/>
    <n v="0"/>
    <n v="7.3132535104938698"/>
    <n v="834"/>
    <s v="Tener ArticulsoSacar ArticulosWait Time Per EntityProcess"/>
    <n v="12"/>
    <n v="1.4486275245091296"/>
    <n v="3.4039182804273552E-2"/>
    <n v="0.95"/>
    <n v="2.1627464935341765E-2"/>
    <n v="1.39936694366582"/>
    <n v="1.5269729168688699"/>
    <n v="0"/>
    <n v="7.5129638101070704"/>
    <n v="795.08333333333337"/>
    <n v="2.1627464935341765E-2"/>
    <n v="12"/>
    <n v="1"/>
  </r>
  <r>
    <x v="0"/>
    <s v="2025-05-21 22:25:52"/>
    <n v="4"/>
    <x v="8"/>
    <x v="6"/>
    <x v="1"/>
    <n v="3.4803036097692401"/>
    <n v="0.17517607530504301"/>
    <n v="0"/>
    <n v="9.7781889970058309"/>
    <n v="835"/>
    <s v="Tener ArticulsoSacar ArticulosTotal Time Per EntityProcess"/>
    <n v="12"/>
    <n v="3.4422907980918054"/>
    <n v="6.41847244847253E-2"/>
    <n v="0.95"/>
    <n v="4.0781028327263158E-2"/>
    <n v="3.3715879911348301"/>
    <n v="3.5733706442045801"/>
    <n v="0"/>
    <n v="10.157999238121601"/>
    <n v="795.08333333333337"/>
    <n v="4.0781028327263158E-2"/>
    <n v="12"/>
    <n v="1"/>
  </r>
  <r>
    <x v="0"/>
    <s v="2025-05-21 22:25:52"/>
    <n v="4"/>
    <x v="8"/>
    <x v="7"/>
    <x v="1"/>
    <n v="2.00384805371757"/>
    <n v="6.7927846153160498E-2"/>
    <n v="0"/>
    <n v="3.9610706503055999"/>
    <n v="835"/>
    <s v="Tener ArticulsoSacar ArticulosVA Time Per EntityProcess"/>
    <n v="12"/>
    <n v="1.9936632735826756"/>
    <n v="3.5301695029500854E-2"/>
    <n v="0.95"/>
    <n v="2.2429626933135546E-2"/>
    <n v="1.94998410656736"/>
    <n v="2.0714547119998601"/>
    <n v="0"/>
    <n v="3.9809861860223901"/>
    <n v="795.08333333333337"/>
    <n v="2.2429626933135546E-2"/>
    <n v="12"/>
    <n v="1"/>
  </r>
  <r>
    <x v="0"/>
    <s v="2025-05-21 22:25:52"/>
    <n v="4"/>
    <x v="8"/>
    <x v="8"/>
    <x v="1"/>
    <n v="1.4764555560516699"/>
    <n v="0.121373757654932"/>
    <n v="0"/>
    <n v="7.2038489727522101"/>
    <n v="835"/>
    <s v="Tener ArticulsoSacar ArticulosWait Time Per EntityProcess"/>
    <n v="12"/>
    <n v="1.4486275245091296"/>
    <n v="3.4039182804273552E-2"/>
    <n v="0.95"/>
    <n v="2.1627464935341765E-2"/>
    <n v="1.39936694366582"/>
    <n v="1.5269729168688699"/>
    <n v="0"/>
    <n v="7.5129638101070704"/>
    <n v="795.08333333333337"/>
    <n v="2.1627464935341765E-2"/>
    <n v="12"/>
    <n v="1"/>
  </r>
  <r>
    <x v="0"/>
    <s v="2025-05-21 22:25:52"/>
    <n v="5"/>
    <x v="8"/>
    <x v="6"/>
    <x v="1"/>
    <n v="3.3873484870192399"/>
    <n v="0.12506117657600099"/>
    <n v="0"/>
    <n v="10.157999238121601"/>
    <n v="756"/>
    <s v="Tener ArticulsoSacar ArticulosTotal Time Per EntityProcess"/>
    <n v="12"/>
    <n v="3.4422907980918054"/>
    <n v="6.41847244847253E-2"/>
    <n v="0.95"/>
    <n v="4.0781028327263158E-2"/>
    <n v="3.3715879911348301"/>
    <n v="3.5733706442045801"/>
    <n v="0"/>
    <n v="10.157999238121601"/>
    <n v="795.08333333333337"/>
    <n v="4.0781028327263158E-2"/>
    <n v="12"/>
    <n v="1"/>
  </r>
  <r>
    <x v="0"/>
    <s v="2025-05-21 22:25:52"/>
    <n v="5"/>
    <x v="8"/>
    <x v="7"/>
    <x v="1"/>
    <n v="1.9706257450410001"/>
    <n v="3E+20"/>
    <n v="0"/>
    <n v="3.8840300406727701"/>
    <n v="756"/>
    <s v="Tener ArticulsoSacar ArticulosVA Time Per EntityProcess"/>
    <n v="12"/>
    <n v="1.9936632735826756"/>
    <n v="3.5301695029500854E-2"/>
    <n v="0.95"/>
    <n v="2.2429626933135546E-2"/>
    <n v="1.94998410656736"/>
    <n v="2.0714547119998601"/>
    <n v="0"/>
    <n v="3.9809861860223901"/>
    <n v="795.08333333333337"/>
    <n v="2.2429626933135546E-2"/>
    <n v="12"/>
    <n v="1"/>
  </r>
  <r>
    <x v="0"/>
    <s v="2025-05-21 22:25:52"/>
    <n v="5"/>
    <x v="8"/>
    <x v="8"/>
    <x v="1"/>
    <n v="1.41672274197824"/>
    <n v="8.2022334096817195E-2"/>
    <n v="0"/>
    <n v="6.5928137441283097"/>
    <n v="756"/>
    <s v="Tener ArticulsoSacar ArticulosWait Time Per EntityProcess"/>
    <n v="12"/>
    <n v="1.4486275245091296"/>
    <n v="3.4039182804273552E-2"/>
    <n v="0.95"/>
    <n v="2.1627464935341765E-2"/>
    <n v="1.39936694366582"/>
    <n v="1.5269729168688699"/>
    <n v="0"/>
    <n v="7.5129638101070704"/>
    <n v="795.08333333333337"/>
    <n v="2.1627464935341765E-2"/>
    <n v="12"/>
    <n v="1"/>
  </r>
  <r>
    <x v="0"/>
    <s v="2025-05-21 22:25:52"/>
    <n v="6"/>
    <x v="8"/>
    <x v="6"/>
    <x v="1"/>
    <n v="3.5733706442045801"/>
    <n v="0.13777296779338999"/>
    <n v="0"/>
    <n v="9.7265699364269302"/>
    <n v="798"/>
    <s v="Tener ArticulsoSacar ArticulosTotal Time Per EntityProcess"/>
    <n v="12"/>
    <n v="3.4422907980918054"/>
    <n v="6.41847244847253E-2"/>
    <n v="0.95"/>
    <n v="4.0781028327263158E-2"/>
    <n v="3.3715879911348301"/>
    <n v="3.5733706442045801"/>
    <n v="0"/>
    <n v="10.157999238121601"/>
    <n v="795.08333333333337"/>
    <n v="4.0781028327263158E-2"/>
    <n v="12"/>
    <n v="1"/>
  </r>
  <r>
    <x v="0"/>
    <s v="2025-05-21 22:25:52"/>
    <n v="6"/>
    <x v="8"/>
    <x v="7"/>
    <x v="1"/>
    <n v="2.0463977273357101"/>
    <n v="7.7039814467311396E-2"/>
    <n v="0"/>
    <n v="3.82825709830797"/>
    <n v="798"/>
    <s v="Tener ArticulsoSacar ArticulosVA Time Per EntityProcess"/>
    <n v="12"/>
    <n v="1.9936632735826756"/>
    <n v="3.5301695029500854E-2"/>
    <n v="0.95"/>
    <n v="2.2429626933135546E-2"/>
    <n v="1.94998410656736"/>
    <n v="2.0714547119998601"/>
    <n v="0"/>
    <n v="3.9809861860223901"/>
    <n v="795.08333333333337"/>
    <n v="2.2429626933135546E-2"/>
    <n v="12"/>
    <n v="1"/>
  </r>
  <r>
    <x v="0"/>
    <s v="2025-05-21 22:25:52"/>
    <n v="6"/>
    <x v="8"/>
    <x v="8"/>
    <x v="1"/>
    <n v="1.5269729168688699"/>
    <n v="9.2072056216226605E-2"/>
    <n v="0"/>
    <n v="7.3261180245390296"/>
    <n v="798"/>
    <s v="Tener ArticulsoSacar ArticulosWait Time Per EntityProcess"/>
    <n v="12"/>
    <n v="1.4486275245091296"/>
    <n v="3.4039182804273552E-2"/>
    <n v="0.95"/>
    <n v="2.1627464935341765E-2"/>
    <n v="1.39936694366582"/>
    <n v="1.5269729168688699"/>
    <n v="0"/>
    <n v="7.5129638101070704"/>
    <n v="795.08333333333337"/>
    <n v="2.1627464935341765E-2"/>
    <n v="12"/>
    <n v="1"/>
  </r>
  <r>
    <x v="0"/>
    <s v="2025-05-21 22:25:52"/>
    <n v="7"/>
    <x v="8"/>
    <x v="6"/>
    <x v="1"/>
    <n v="3.4116674828253002"/>
    <n v="0.13546457977423099"/>
    <n v="0"/>
    <n v="10.088793410781101"/>
    <n v="744"/>
    <s v="Tener ArticulsoSacar ArticulosTotal Time Per EntityProcess"/>
    <n v="12"/>
    <n v="3.4422907980918054"/>
    <n v="6.41847244847253E-2"/>
    <n v="0.95"/>
    <n v="4.0781028327263158E-2"/>
    <n v="3.3715879911348301"/>
    <n v="3.5733706442045801"/>
    <n v="0"/>
    <n v="10.157999238121601"/>
    <n v="795.08333333333337"/>
    <n v="4.0781028327263158E-2"/>
    <n v="12"/>
    <n v="1"/>
  </r>
  <r>
    <x v="0"/>
    <s v="2025-05-21 22:25:52"/>
    <n v="7"/>
    <x v="8"/>
    <x v="7"/>
    <x v="1"/>
    <n v="1.9808917952551699"/>
    <n v="6.8221823488226196E-2"/>
    <n v="0"/>
    <n v="3.8263783634555502"/>
    <n v="744"/>
    <s v="Tener ArticulsoSacar ArticulosVA Time Per EntityProcess"/>
    <n v="12"/>
    <n v="1.9936632735826756"/>
    <n v="3.5301695029500854E-2"/>
    <n v="0.95"/>
    <n v="2.2429626933135546E-2"/>
    <n v="1.94998410656736"/>
    <n v="2.0714547119998601"/>
    <n v="0"/>
    <n v="3.9809861860223901"/>
    <n v="795.08333333333337"/>
    <n v="2.2429626933135546E-2"/>
    <n v="12"/>
    <n v="1"/>
  </r>
  <r>
    <x v="0"/>
    <s v="2025-05-21 22:25:52"/>
    <n v="7"/>
    <x v="8"/>
    <x v="8"/>
    <x v="1"/>
    <n v="1.4307756875701201"/>
    <n v="8.7366639430877399E-2"/>
    <n v="0"/>
    <n v="7.5129638101070704"/>
    <n v="744"/>
    <s v="Tener ArticulsoSacar ArticulosWait Time Per EntityProcess"/>
    <n v="12"/>
    <n v="1.4486275245091296"/>
    <n v="3.4039182804273552E-2"/>
    <n v="0.95"/>
    <n v="2.1627464935341765E-2"/>
    <n v="1.39936694366582"/>
    <n v="1.5269729168688699"/>
    <n v="0"/>
    <n v="7.5129638101070704"/>
    <n v="795.08333333333337"/>
    <n v="2.1627464935341765E-2"/>
    <n v="12"/>
    <n v="1"/>
  </r>
  <r>
    <x v="0"/>
    <s v="2025-05-21 22:25:52"/>
    <n v="8"/>
    <x v="8"/>
    <x v="6"/>
    <x v="1"/>
    <n v="3.42601063329051"/>
    <n v="0.153209117938992"/>
    <n v="0"/>
    <n v="9.9614517597229906"/>
    <n v="813"/>
    <s v="Tener ArticulsoSacar ArticulosTotal Time Per EntityProcess"/>
    <n v="12"/>
    <n v="3.4422907980918054"/>
    <n v="6.41847244847253E-2"/>
    <n v="0.95"/>
    <n v="4.0781028327263158E-2"/>
    <n v="3.3715879911348301"/>
    <n v="3.5733706442045801"/>
    <n v="0"/>
    <n v="10.157999238121601"/>
    <n v="795.08333333333337"/>
    <n v="4.0781028327263158E-2"/>
    <n v="12"/>
    <n v="1"/>
  </r>
  <r>
    <x v="0"/>
    <s v="2025-05-21 22:25:52"/>
    <n v="8"/>
    <x v="8"/>
    <x v="7"/>
    <x v="1"/>
    <n v="1.9807108996027201"/>
    <n v="8.52028326231489E-2"/>
    <n v="0"/>
    <n v="3.9616066828449399"/>
    <n v="813"/>
    <s v="Tener ArticulsoSacar ArticulosVA Time Per EntityProcess"/>
    <n v="12"/>
    <n v="1.9936632735826756"/>
    <n v="3.5301695029500854E-2"/>
    <n v="0.95"/>
    <n v="2.2429626933135546E-2"/>
    <n v="1.94998410656736"/>
    <n v="2.0714547119998601"/>
    <n v="0"/>
    <n v="3.9809861860223901"/>
    <n v="795.08333333333337"/>
    <n v="2.2429626933135546E-2"/>
    <n v="12"/>
    <n v="1"/>
  </r>
  <r>
    <x v="0"/>
    <s v="2025-05-21 22:25:52"/>
    <n v="8"/>
    <x v="8"/>
    <x v="8"/>
    <x v="1"/>
    <n v="1.4452997336878"/>
    <n v="9.3815632698723103E-2"/>
    <n v="0"/>
    <n v="6.7823813133479698"/>
    <n v="813"/>
    <s v="Tener ArticulsoSacar ArticulosWait Time Per EntityProcess"/>
    <n v="12"/>
    <n v="1.4486275245091296"/>
    <n v="3.4039182804273552E-2"/>
    <n v="0.95"/>
    <n v="2.1627464935341765E-2"/>
    <n v="1.39936694366582"/>
    <n v="1.5269729168688699"/>
    <n v="0"/>
    <n v="7.5129638101070704"/>
    <n v="795.08333333333337"/>
    <n v="2.1627464935341765E-2"/>
    <n v="12"/>
    <n v="1"/>
  </r>
  <r>
    <x v="0"/>
    <s v="2025-05-21 22:25:52"/>
    <n v="9"/>
    <x v="8"/>
    <x v="6"/>
    <x v="1"/>
    <n v="3.3715879911348301"/>
    <n v="0.13285988064874199"/>
    <n v="0"/>
    <n v="9.3282542203192005"/>
    <n v="793"/>
    <s v="Tener ArticulsoSacar ArticulosTotal Time Per EntityProcess"/>
    <n v="12"/>
    <n v="3.4422907980918054"/>
    <n v="6.41847244847253E-2"/>
    <n v="0.95"/>
    <n v="4.0781028327263158E-2"/>
    <n v="3.3715879911348301"/>
    <n v="3.5733706442045801"/>
    <n v="0"/>
    <n v="10.157999238121601"/>
    <n v="795.08333333333337"/>
    <n v="4.0781028327263158E-2"/>
    <n v="12"/>
    <n v="1"/>
  </r>
  <r>
    <x v="0"/>
    <s v="2025-05-21 22:25:52"/>
    <n v="9"/>
    <x v="8"/>
    <x v="7"/>
    <x v="1"/>
    <n v="1.94998410656736"/>
    <n v="5.6234616787358097E-2"/>
    <n v="0"/>
    <n v="3.97443206444609"/>
    <n v="793"/>
    <s v="Tener ArticulsoSacar ArticulosVA Time Per EntityProcess"/>
    <n v="12"/>
    <n v="1.9936632735826756"/>
    <n v="3.5301695029500854E-2"/>
    <n v="0.95"/>
    <n v="2.2429626933135546E-2"/>
    <n v="1.94998410656736"/>
    <n v="2.0714547119998601"/>
    <n v="0"/>
    <n v="3.9809861860223901"/>
    <n v="795.08333333333337"/>
    <n v="2.2429626933135546E-2"/>
    <n v="12"/>
    <n v="1"/>
  </r>
  <r>
    <x v="0"/>
    <s v="2025-05-21 22:25:52"/>
    <n v="9"/>
    <x v="8"/>
    <x v="8"/>
    <x v="1"/>
    <n v="1.4216038845674701"/>
    <n v="8.9246041862253295E-2"/>
    <n v="0"/>
    <n v="6.3848591316541397"/>
    <n v="793"/>
    <s v="Tener ArticulsoSacar ArticulosWait Time Per EntityProcess"/>
    <n v="12"/>
    <n v="1.4486275245091296"/>
    <n v="3.4039182804273552E-2"/>
    <n v="0.95"/>
    <n v="2.1627464935341765E-2"/>
    <n v="1.39936694366582"/>
    <n v="1.5269729168688699"/>
    <n v="0"/>
    <n v="7.5129638101070704"/>
    <n v="795.08333333333337"/>
    <n v="2.1627464935341765E-2"/>
    <n v="12"/>
    <n v="1"/>
  </r>
  <r>
    <x v="0"/>
    <s v="2025-05-21 22:25:52"/>
    <n v="10"/>
    <x v="8"/>
    <x v="6"/>
    <x v="1"/>
    <n v="3.47370558673328"/>
    <n v="3E+20"/>
    <n v="0"/>
    <n v="9.9865233867397496"/>
    <n v="793"/>
    <s v="Tener ArticulsoSacar ArticulosTotal Time Per EntityProcess"/>
    <n v="12"/>
    <n v="3.4422907980918054"/>
    <n v="6.41847244847253E-2"/>
    <n v="0.95"/>
    <n v="4.0781028327263158E-2"/>
    <n v="3.3715879911348301"/>
    <n v="3.5733706442045801"/>
    <n v="0"/>
    <n v="10.157999238121601"/>
    <n v="795.08333333333337"/>
    <n v="4.0781028327263158E-2"/>
    <n v="12"/>
    <n v="1"/>
  </r>
  <r>
    <x v="0"/>
    <s v="2025-05-21 22:25:52"/>
    <n v="10"/>
    <x v="8"/>
    <x v="7"/>
    <x v="1"/>
    <n v="2.0102553067397202"/>
    <n v="3E+20"/>
    <n v="0"/>
    <n v="3.9625916313671001"/>
    <n v="793"/>
    <s v="Tener ArticulsoSacar ArticulosVA Time Per EntityProcess"/>
    <n v="12"/>
    <n v="1.9936632735826756"/>
    <n v="3.5301695029500854E-2"/>
    <n v="0.95"/>
    <n v="2.2429626933135546E-2"/>
    <n v="1.94998410656736"/>
    <n v="2.0714547119998601"/>
    <n v="0"/>
    <n v="3.9809861860223901"/>
    <n v="795.08333333333337"/>
    <n v="2.2429626933135546E-2"/>
    <n v="12"/>
    <n v="1"/>
  </r>
  <r>
    <x v="0"/>
    <s v="2025-05-21 22:25:52"/>
    <n v="10"/>
    <x v="8"/>
    <x v="8"/>
    <x v="1"/>
    <n v="1.46345027999356"/>
    <n v="9.2830552346511094E-2"/>
    <n v="0"/>
    <n v="6.9389179748486596"/>
    <n v="793"/>
    <s v="Tener ArticulsoSacar ArticulosWait Time Per EntityProcess"/>
    <n v="12"/>
    <n v="1.4486275245091296"/>
    <n v="3.4039182804273552E-2"/>
    <n v="0.95"/>
    <n v="2.1627464935341765E-2"/>
    <n v="1.39936694366582"/>
    <n v="1.5269729168688699"/>
    <n v="0"/>
    <n v="7.5129638101070704"/>
    <n v="795.08333333333337"/>
    <n v="2.1627464935341765E-2"/>
    <n v="12"/>
    <n v="1"/>
  </r>
  <r>
    <x v="0"/>
    <s v="2025-05-21 22:25:52"/>
    <n v="11"/>
    <x v="8"/>
    <x v="6"/>
    <x v="1"/>
    <n v="3.3950921320212002"/>
    <n v="0.176029309279156"/>
    <n v="0"/>
    <n v="9.4366871429972399"/>
    <n v="801"/>
    <s v="Tener ArticulsoSacar ArticulosTotal Time Per EntityProcess"/>
    <n v="12"/>
    <n v="3.4422907980918054"/>
    <n v="6.41847244847253E-2"/>
    <n v="0.95"/>
    <n v="4.0781028327263158E-2"/>
    <n v="3.3715879911348301"/>
    <n v="3.5733706442045801"/>
    <n v="0"/>
    <n v="10.157999238121601"/>
    <n v="795.08333333333337"/>
    <n v="4.0781028327263158E-2"/>
    <n v="12"/>
    <n v="1"/>
  </r>
  <r>
    <x v="0"/>
    <s v="2025-05-21 22:25:52"/>
    <n v="11"/>
    <x v="8"/>
    <x v="7"/>
    <x v="1"/>
    <n v="1.9957251883553799"/>
    <n v="9.5019356221526394E-2"/>
    <n v="0"/>
    <n v="3.9040816687722799"/>
    <n v="801"/>
    <s v="Tener ArticulsoSacar ArticulosVA Time Per EntityProcess"/>
    <n v="12"/>
    <n v="1.9936632735826756"/>
    <n v="3.5301695029500854E-2"/>
    <n v="0.95"/>
    <n v="2.2429626933135546E-2"/>
    <n v="1.94998410656736"/>
    <n v="2.0714547119998601"/>
    <n v="0"/>
    <n v="3.9809861860223901"/>
    <n v="795.08333333333337"/>
    <n v="2.2429626933135546E-2"/>
    <n v="12"/>
    <n v="1"/>
  </r>
  <r>
    <x v="0"/>
    <s v="2025-05-21 22:25:52"/>
    <n v="11"/>
    <x v="8"/>
    <x v="8"/>
    <x v="1"/>
    <n v="1.39936694366582"/>
    <n v="0.106743581550398"/>
    <n v="0"/>
    <n v="7.0906399852425999"/>
    <n v="801"/>
    <s v="Tener ArticulsoSacar ArticulosWait Time Per EntityProcess"/>
    <n v="12"/>
    <n v="1.4486275245091296"/>
    <n v="3.4039182804273552E-2"/>
    <n v="0.95"/>
    <n v="2.1627464935341765E-2"/>
    <n v="1.39936694366582"/>
    <n v="1.5269729168688699"/>
    <n v="0"/>
    <n v="7.5129638101070704"/>
    <n v="795.08333333333337"/>
    <n v="2.1627464935341765E-2"/>
    <n v="12"/>
    <n v="1"/>
  </r>
  <r>
    <x v="0"/>
    <s v="2025-05-21 22:25:52"/>
    <n v="12"/>
    <x v="8"/>
    <x v="6"/>
    <x v="1"/>
    <n v="3.5496998982605299"/>
    <n v="0.206500369535803"/>
    <n v="0"/>
    <n v="9.3061765197686608"/>
    <n v="737"/>
    <s v="Tener ArticulsoSacar ArticulosTotal Time Per EntityProcess"/>
    <n v="12"/>
    <n v="3.4422907980918054"/>
    <n v="6.41847244847253E-2"/>
    <n v="0.95"/>
    <n v="4.0781028327263158E-2"/>
    <n v="3.3715879911348301"/>
    <n v="3.5733706442045801"/>
    <n v="0"/>
    <n v="10.157999238121601"/>
    <n v="795.08333333333337"/>
    <n v="4.0781028327263158E-2"/>
    <n v="12"/>
    <n v="1"/>
  </r>
  <r>
    <x v="0"/>
    <s v="2025-05-21 22:25:52"/>
    <n v="12"/>
    <x v="8"/>
    <x v="7"/>
    <x v="1"/>
    <n v="2.0714547119998601"/>
    <n v="0.119515971602563"/>
    <n v="0"/>
    <n v="3.8659829327878001"/>
    <n v="737"/>
    <s v="Tener ArticulsoSacar ArticulosVA Time Per EntityProcess"/>
    <n v="12"/>
    <n v="1.9936632735826756"/>
    <n v="3.5301695029500854E-2"/>
    <n v="0.95"/>
    <n v="2.2429626933135546E-2"/>
    <n v="1.94998410656736"/>
    <n v="2.0714547119998601"/>
    <n v="0"/>
    <n v="3.9809861860223901"/>
    <n v="795.08333333333337"/>
    <n v="2.2429626933135546E-2"/>
    <n v="12"/>
    <n v="1"/>
  </r>
  <r>
    <x v="0"/>
    <s v="2025-05-21 22:25:52"/>
    <n v="12"/>
    <x v="8"/>
    <x v="8"/>
    <x v="1"/>
    <n v="1.47824518626066"/>
    <n v="0.116696280344877"/>
    <n v="0"/>
    <n v="6.82923520019727"/>
    <n v="737"/>
    <s v="Tener ArticulsoSacar ArticulosWait Time Per EntityProcess"/>
    <n v="12"/>
    <n v="1.4486275245091296"/>
    <n v="3.4039182804273552E-2"/>
    <n v="0.95"/>
    <n v="2.1627464935341765E-2"/>
    <n v="1.39936694366582"/>
    <n v="1.5269729168688699"/>
    <n v="0"/>
    <n v="7.5129638101070704"/>
    <n v="795.08333333333337"/>
    <n v="2.1627464935341765E-2"/>
    <n v="12"/>
    <n v="1"/>
  </r>
  <r>
    <x v="0"/>
    <s v="2025-05-21 22:25:52"/>
    <n v="1"/>
    <x v="9"/>
    <x v="9"/>
    <x v="2"/>
    <n v="1.43419640203836"/>
    <n v="0.112711844113752"/>
    <n v="0"/>
    <n v="6.7248242325302998"/>
    <n v="797"/>
    <s v="Tener ArticulsoSacar Articulos.QueueWaiting TimeQueue"/>
    <n v="12"/>
    <n v="1.4477888370066827"/>
    <n v="3.4204468115733154E-2"/>
    <n v="0.95"/>
    <n v="2.1732482212004203E-2"/>
    <n v="1.3976220971026501"/>
    <n v="1.5250618118415"/>
    <n v="0"/>
    <n v="7.5129638101070704"/>
    <n v="795.66666666666663"/>
    <n v="2.1732482212004203E-2"/>
    <n v="12"/>
    <n v="1"/>
  </r>
  <r>
    <x v="0"/>
    <s v="2025-05-21 22:25:52"/>
    <n v="2"/>
    <x v="9"/>
    <x v="9"/>
    <x v="2"/>
    <n v="1.43843613867491"/>
    <n v="0.109600176962611"/>
    <n v="0"/>
    <n v="6.9008538036630398"/>
    <n v="842"/>
    <s v="Tener ArticulsoSacar Articulos.QueueWaiting TimeQueue"/>
    <n v="12"/>
    <n v="1.4477888370066827"/>
    <n v="3.4204468115733154E-2"/>
    <n v="0.95"/>
    <n v="2.1732482212004203E-2"/>
    <n v="1.3976220971026501"/>
    <n v="1.5250618118415"/>
    <n v="0"/>
    <n v="7.5129638101070704"/>
    <n v="795.66666666666663"/>
    <n v="2.1732482212004203E-2"/>
    <n v="12"/>
    <n v="1"/>
  </r>
  <r>
    <x v="0"/>
    <s v="2025-05-21 22:25:52"/>
    <n v="3"/>
    <x v="9"/>
    <x v="9"/>
    <x v="2"/>
    <n v="1.4493074616958601"/>
    <n v="3E+20"/>
    <n v="0"/>
    <n v="7.3132535104938698"/>
    <n v="835"/>
    <s v="Tener ArticulsoSacar Articulos.QueueWaiting TimeQueue"/>
    <n v="12"/>
    <n v="1.4477888370066827"/>
    <n v="3.4204468115733154E-2"/>
    <n v="0.95"/>
    <n v="2.1732482212004203E-2"/>
    <n v="1.3976220971026501"/>
    <n v="1.5250618118415"/>
    <n v="0"/>
    <n v="7.5129638101070704"/>
    <n v="795.66666666666663"/>
    <n v="2.1732482212004203E-2"/>
    <n v="12"/>
    <n v="1"/>
  </r>
  <r>
    <x v="0"/>
    <s v="2025-05-21 22:25:52"/>
    <n v="4"/>
    <x v="9"/>
    <x v="9"/>
    <x v="2"/>
    <n v="1.4764555560516699"/>
    <n v="0.121373757654932"/>
    <n v="0"/>
    <n v="7.2038489727522101"/>
    <n v="835"/>
    <s v="Tener ArticulsoSacar Articulos.QueueWaiting TimeQueue"/>
    <n v="12"/>
    <n v="1.4477888370066827"/>
    <n v="3.4204468115733154E-2"/>
    <n v="0.95"/>
    <n v="2.1732482212004203E-2"/>
    <n v="1.3976220971026501"/>
    <n v="1.5250618118415"/>
    <n v="0"/>
    <n v="7.5129638101070704"/>
    <n v="795.66666666666663"/>
    <n v="2.1732482212004203E-2"/>
    <n v="12"/>
    <n v="1"/>
  </r>
  <r>
    <x v="0"/>
    <s v="2025-05-21 22:25:52"/>
    <n v="5"/>
    <x v="9"/>
    <x v="9"/>
    <x v="2"/>
    <n v="1.41672274197824"/>
    <n v="8.2022334096817195E-2"/>
    <n v="0"/>
    <n v="6.5928137441283097"/>
    <n v="756"/>
    <s v="Tener ArticulsoSacar Articulos.QueueWaiting TimeQueue"/>
    <n v="12"/>
    <n v="1.4477888370066827"/>
    <n v="3.4204468115733154E-2"/>
    <n v="0.95"/>
    <n v="2.1732482212004203E-2"/>
    <n v="1.3976220971026501"/>
    <n v="1.5250618118415"/>
    <n v="0"/>
    <n v="7.5129638101070704"/>
    <n v="795.66666666666663"/>
    <n v="2.1732482212004203E-2"/>
    <n v="12"/>
    <n v="1"/>
  </r>
  <r>
    <x v="0"/>
    <s v="2025-05-21 22:25:52"/>
    <n v="6"/>
    <x v="9"/>
    <x v="9"/>
    <x v="2"/>
    <n v="1.5250618118415"/>
    <n v="9.2072056216226605E-2"/>
    <n v="0"/>
    <n v="7.3261180245390296"/>
    <n v="799"/>
    <s v="Tener ArticulsoSacar Articulos.QueueWaiting TimeQueue"/>
    <n v="12"/>
    <n v="1.4477888370066827"/>
    <n v="3.4204468115733154E-2"/>
    <n v="0.95"/>
    <n v="2.1732482212004203E-2"/>
    <n v="1.3976220971026501"/>
    <n v="1.5250618118415"/>
    <n v="0"/>
    <n v="7.5129638101070704"/>
    <n v="795.66666666666663"/>
    <n v="2.1732482212004203E-2"/>
    <n v="12"/>
    <n v="1"/>
  </r>
  <r>
    <x v="0"/>
    <s v="2025-05-21 22:25:52"/>
    <n v="7"/>
    <x v="9"/>
    <x v="9"/>
    <x v="2"/>
    <n v="1.4288551832915"/>
    <n v="8.7366639430877399E-2"/>
    <n v="0"/>
    <n v="7.5129638101070704"/>
    <n v="745"/>
    <s v="Tener ArticulsoSacar Articulos.QueueWaiting TimeQueue"/>
    <n v="12"/>
    <n v="1.4477888370066827"/>
    <n v="3.4204468115733154E-2"/>
    <n v="0.95"/>
    <n v="2.1732482212004203E-2"/>
    <n v="1.3976220971026501"/>
    <n v="1.5250618118415"/>
    <n v="0"/>
    <n v="7.5129638101070704"/>
    <n v="795.66666666666663"/>
    <n v="2.1732482212004203E-2"/>
    <n v="12"/>
    <n v="1"/>
  </r>
  <r>
    <x v="0"/>
    <s v="2025-05-21 22:25:52"/>
    <n v="8"/>
    <x v="9"/>
    <x v="9"/>
    <x v="2"/>
    <n v="1.4452997336878"/>
    <n v="9.3815632698723103E-2"/>
    <n v="0"/>
    <n v="6.7823813133479698"/>
    <n v="813"/>
    <s v="Tener ArticulsoSacar Articulos.QueueWaiting TimeQueue"/>
    <n v="12"/>
    <n v="1.4477888370066827"/>
    <n v="3.4204468115733154E-2"/>
    <n v="0.95"/>
    <n v="2.1732482212004203E-2"/>
    <n v="1.3976220971026501"/>
    <n v="1.5250618118415"/>
    <n v="0"/>
    <n v="7.5129638101070704"/>
    <n v="795.66666666666663"/>
    <n v="2.1732482212004203E-2"/>
    <n v="12"/>
    <n v="1"/>
  </r>
  <r>
    <x v="0"/>
    <s v="2025-05-21 22:25:52"/>
    <n v="9"/>
    <x v="9"/>
    <x v="9"/>
    <x v="2"/>
    <n v="1.4198134514634799"/>
    <n v="8.9246041862253295E-2"/>
    <n v="0"/>
    <n v="6.3848591316541397"/>
    <n v="794"/>
    <s v="Tener ArticulsoSacar Articulos.QueueWaiting TimeQueue"/>
    <n v="12"/>
    <n v="1.4477888370066827"/>
    <n v="3.4204468115733154E-2"/>
    <n v="0.95"/>
    <n v="2.1732482212004203E-2"/>
    <n v="1.3976220971026501"/>
    <n v="1.5250618118415"/>
    <n v="0"/>
    <n v="7.5129638101070704"/>
    <n v="795.66666666666663"/>
    <n v="2.1732482212004203E-2"/>
    <n v="12"/>
    <n v="1"/>
  </r>
  <r>
    <x v="0"/>
    <s v="2025-05-21 22:25:52"/>
    <n v="10"/>
    <x v="9"/>
    <x v="9"/>
    <x v="2"/>
    <n v="1.46345027999356"/>
    <n v="9.2830552346511094E-2"/>
    <n v="0"/>
    <n v="6.9389179748486596"/>
    <n v="793"/>
    <s v="Tener ArticulsoSacar Articulos.QueueWaiting TimeQueue"/>
    <n v="12"/>
    <n v="1.4477888370066827"/>
    <n v="3.4204468115733154E-2"/>
    <n v="0.95"/>
    <n v="2.1732482212004203E-2"/>
    <n v="1.3976220971026501"/>
    <n v="1.5250618118415"/>
    <n v="0"/>
    <n v="7.5129638101070704"/>
    <n v="795.66666666666663"/>
    <n v="2.1732482212004203E-2"/>
    <n v="12"/>
    <n v="1"/>
  </r>
  <r>
    <x v="0"/>
    <s v="2025-05-21 22:25:52"/>
    <n v="11"/>
    <x v="9"/>
    <x v="9"/>
    <x v="2"/>
    <n v="1.3976220971026501"/>
    <n v="0.106743581550398"/>
    <n v="0"/>
    <n v="7.0906399852425999"/>
    <n v="802"/>
    <s v="Tener ArticulsoSacar Articulos.QueueWaiting TimeQueue"/>
    <n v="12"/>
    <n v="1.4477888370066827"/>
    <n v="3.4204468115733154E-2"/>
    <n v="0.95"/>
    <n v="2.1732482212004203E-2"/>
    <n v="1.3976220971026501"/>
    <n v="1.5250618118415"/>
    <n v="0"/>
    <n v="7.5129638101070704"/>
    <n v="795.66666666666663"/>
    <n v="2.1732482212004203E-2"/>
    <n v="12"/>
    <n v="1"/>
  </r>
  <r>
    <x v="0"/>
    <s v="2025-05-21 22:25:52"/>
    <n v="12"/>
    <x v="9"/>
    <x v="9"/>
    <x v="2"/>
    <n v="1.47824518626066"/>
    <n v="0.116696280344877"/>
    <n v="0"/>
    <n v="6.82923520019727"/>
    <n v="737"/>
    <s v="Tener ArticulsoSacar Articulos.QueueWaiting TimeQueue"/>
    <n v="12"/>
    <n v="1.4477888370066827"/>
    <n v="3.4204468115733154E-2"/>
    <n v="0.95"/>
    <n v="2.1732482212004203E-2"/>
    <n v="1.3976220971026501"/>
    <n v="1.5250618118415"/>
    <n v="0"/>
    <n v="7.5129638101070704"/>
    <n v="795.66666666666663"/>
    <n v="2.1732482212004203E-2"/>
    <n v="12"/>
    <n v="1"/>
  </r>
  <r>
    <x v="0"/>
    <s v="2025-05-21 22:25:52"/>
    <n v="1"/>
    <x v="10"/>
    <x v="9"/>
    <x v="2"/>
    <n v="1.4192006726430499"/>
    <n v="8.61936468533894E-2"/>
    <n v="0"/>
    <n v="6.9412030597172798"/>
    <n v="796"/>
    <s v="Tener ArticulsoTenerArticulos.QueueWaiting TimeQueue"/>
    <n v="12"/>
    <n v="1.4572273428819582"/>
    <n v="3.4185611758373625E-2"/>
    <n v="0.95"/>
    <n v="2.1720501454124481E-2"/>
    <n v="1.41293281540393"/>
    <n v="1.5228151748432599"/>
    <n v="0"/>
    <n v="7.1682281439000199"/>
    <n v="794.91666666666663"/>
    <n v="2.1720501454124481E-2"/>
    <n v="12"/>
    <n v="1"/>
  </r>
  <r>
    <x v="0"/>
    <s v="2025-05-21 22:25:52"/>
    <n v="2"/>
    <x v="10"/>
    <x v="9"/>
    <x v="2"/>
    <n v="1.4443687976711901"/>
    <n v="9.3412403363381996E-2"/>
    <n v="0"/>
    <n v="6.8450028437459904"/>
    <n v="841"/>
    <s v="Tener ArticulsoTenerArticulos.QueueWaiting TimeQueue"/>
    <n v="12"/>
    <n v="1.4572273428819582"/>
    <n v="3.4185611758373625E-2"/>
    <n v="0.95"/>
    <n v="2.1720501454124481E-2"/>
    <n v="1.41293281540393"/>
    <n v="1.5228151748432599"/>
    <n v="0"/>
    <n v="7.1682281439000199"/>
    <n v="794.91666666666663"/>
    <n v="2.1720501454124481E-2"/>
    <n v="12"/>
    <n v="1"/>
  </r>
  <r>
    <x v="0"/>
    <s v="2025-05-21 22:25:52"/>
    <n v="3"/>
    <x v="10"/>
    <x v="9"/>
    <x v="2"/>
    <n v="1.41293281540393"/>
    <n v="0.106755198958116"/>
    <n v="0"/>
    <n v="6.9503231526846303"/>
    <n v="833"/>
    <s v="Tener ArticulsoTenerArticulos.QueueWaiting TimeQueue"/>
    <n v="12"/>
    <n v="1.4572273428819582"/>
    <n v="3.4185611758373625E-2"/>
    <n v="0.95"/>
    <n v="2.1720501454124481E-2"/>
    <n v="1.41293281540393"/>
    <n v="1.5228151748432599"/>
    <n v="0"/>
    <n v="7.1682281439000199"/>
    <n v="794.91666666666663"/>
    <n v="2.1720501454124481E-2"/>
    <n v="12"/>
    <n v="1"/>
  </r>
  <r>
    <x v="0"/>
    <s v="2025-05-21 22:25:52"/>
    <n v="4"/>
    <x v="10"/>
    <x v="9"/>
    <x v="2"/>
    <n v="1.4770961311794599"/>
    <n v="0.113978376208236"/>
    <n v="0"/>
    <n v="6.6661922796858999"/>
    <n v="835"/>
    <s v="Tener ArticulsoTenerArticulos.QueueWaiting TimeQueue"/>
    <n v="12"/>
    <n v="1.4572273428819582"/>
    <n v="3.4185611758373625E-2"/>
    <n v="0.95"/>
    <n v="2.1720501454124481E-2"/>
    <n v="1.41293281540393"/>
    <n v="1.5228151748432599"/>
    <n v="0"/>
    <n v="7.1682281439000199"/>
    <n v="794.91666666666663"/>
    <n v="2.1720501454124481E-2"/>
    <n v="12"/>
    <n v="1"/>
  </r>
  <r>
    <x v="0"/>
    <s v="2025-05-21 22:25:52"/>
    <n v="5"/>
    <x v="10"/>
    <x v="9"/>
    <x v="2"/>
    <n v="1.4325087069559099"/>
    <n v="0.101003559816987"/>
    <n v="0"/>
    <n v="6.5249463838760002"/>
    <n v="756"/>
    <s v="Tener ArticulsoTenerArticulos.QueueWaiting TimeQueue"/>
    <n v="12"/>
    <n v="1.4572273428819582"/>
    <n v="3.4185611758373625E-2"/>
    <n v="0.95"/>
    <n v="2.1720501454124481E-2"/>
    <n v="1.41293281540393"/>
    <n v="1.5228151748432599"/>
    <n v="0"/>
    <n v="7.1682281439000199"/>
    <n v="794.91666666666663"/>
    <n v="2.1720501454124481E-2"/>
    <n v="12"/>
    <n v="1"/>
  </r>
  <r>
    <x v="0"/>
    <s v="2025-05-21 22:25:52"/>
    <n v="6"/>
    <x v="10"/>
    <x v="9"/>
    <x v="2"/>
    <n v="1.5228151748432599"/>
    <n v="9.2443977367197006E-2"/>
    <n v="0"/>
    <n v="6.9293348558721801"/>
    <n v="798"/>
    <s v="Tener ArticulsoTenerArticulos.QueueWaiting TimeQueue"/>
    <n v="12"/>
    <n v="1.4572273428819582"/>
    <n v="3.4185611758373625E-2"/>
    <n v="0.95"/>
    <n v="2.1720501454124481E-2"/>
    <n v="1.41293281540393"/>
    <n v="1.5228151748432599"/>
    <n v="0"/>
    <n v="7.1682281439000199"/>
    <n v="794.91666666666663"/>
    <n v="2.1720501454124481E-2"/>
    <n v="12"/>
    <n v="1"/>
  </r>
  <r>
    <x v="0"/>
    <s v="2025-05-21 22:25:52"/>
    <n v="7"/>
    <x v="10"/>
    <x v="9"/>
    <x v="2"/>
    <n v="1.48223716931251"/>
    <n v="0.107128339662366"/>
    <n v="0"/>
    <n v="6.4939520433758799"/>
    <n v="744"/>
    <s v="Tener ArticulsoTenerArticulos.QueueWaiting TimeQueue"/>
    <n v="12"/>
    <n v="1.4572273428819582"/>
    <n v="3.4185611758373625E-2"/>
    <n v="0.95"/>
    <n v="2.1720501454124481E-2"/>
    <n v="1.41293281540393"/>
    <n v="1.5228151748432599"/>
    <n v="0"/>
    <n v="7.1682281439000199"/>
    <n v="794.91666666666663"/>
    <n v="2.1720501454124481E-2"/>
    <n v="12"/>
    <n v="1"/>
  </r>
  <r>
    <x v="0"/>
    <s v="2025-05-21 22:25:52"/>
    <n v="8"/>
    <x v="10"/>
    <x v="9"/>
    <x v="2"/>
    <n v="1.43986078361735"/>
    <n v="0.10494025690584"/>
    <n v="0"/>
    <n v="6.8953986049353899"/>
    <n v="813"/>
    <s v="Tener ArticulsoTenerArticulos.QueueWaiting TimeQueue"/>
    <n v="12"/>
    <n v="1.4572273428819582"/>
    <n v="3.4185611758373625E-2"/>
    <n v="0.95"/>
    <n v="2.1720501454124481E-2"/>
    <n v="1.41293281540393"/>
    <n v="1.5228151748432599"/>
    <n v="0"/>
    <n v="7.1682281439000199"/>
    <n v="794.91666666666663"/>
    <n v="2.1720501454124481E-2"/>
    <n v="12"/>
    <n v="1"/>
  </r>
  <r>
    <x v="0"/>
    <s v="2025-05-21 22:25:52"/>
    <n v="9"/>
    <x v="10"/>
    <x v="9"/>
    <x v="2"/>
    <n v="1.45338726364671"/>
    <n v="0.10724110034979201"/>
    <n v="0"/>
    <n v="6.6687308107225398"/>
    <n v="793"/>
    <s v="Tener ArticulsoTenerArticulos.QueueWaiting TimeQueue"/>
    <n v="12"/>
    <n v="1.4572273428819582"/>
    <n v="3.4185611758373625E-2"/>
    <n v="0.95"/>
    <n v="2.1720501454124481E-2"/>
    <n v="1.41293281540393"/>
    <n v="1.5228151748432599"/>
    <n v="0"/>
    <n v="7.1682281439000199"/>
    <n v="794.91666666666663"/>
    <n v="2.1720501454124481E-2"/>
    <n v="12"/>
    <n v="1"/>
  </r>
  <r>
    <x v="0"/>
    <s v="2025-05-21 22:25:52"/>
    <n v="10"/>
    <x v="10"/>
    <x v="9"/>
    <x v="2"/>
    <n v="1.4751837585994201"/>
    <n v="0.12672766982268199"/>
    <n v="0"/>
    <n v="6.9237032595958699"/>
    <n v="793"/>
    <s v="Tener ArticulsoTenerArticulos.QueueWaiting TimeQueue"/>
    <n v="12"/>
    <n v="1.4572273428819582"/>
    <n v="3.4185611758373625E-2"/>
    <n v="0.95"/>
    <n v="2.1720501454124481E-2"/>
    <n v="1.41293281540393"/>
    <n v="1.5228151748432599"/>
    <n v="0"/>
    <n v="7.1682281439000199"/>
    <n v="794.91666666666663"/>
    <n v="2.1720501454124481E-2"/>
    <n v="12"/>
    <n v="1"/>
  </r>
  <r>
    <x v="0"/>
    <s v="2025-05-21 22:25:52"/>
    <n v="11"/>
    <x v="10"/>
    <x v="9"/>
    <x v="2"/>
    <n v="1.42730816833111"/>
    <n v="3E+20"/>
    <n v="0"/>
    <n v="7.1682281439000199"/>
    <n v="800"/>
    <s v="Tener ArticulsoTenerArticulos.QueueWaiting TimeQueue"/>
    <n v="12"/>
    <n v="1.4572273428819582"/>
    <n v="3.4185611758373625E-2"/>
    <n v="0.95"/>
    <n v="2.1720501454124481E-2"/>
    <n v="1.41293281540393"/>
    <n v="1.5228151748432599"/>
    <n v="0"/>
    <n v="7.1682281439000199"/>
    <n v="794.91666666666663"/>
    <n v="2.1720501454124481E-2"/>
    <n v="12"/>
    <n v="1"/>
  </r>
  <r>
    <x v="0"/>
    <s v="2025-05-21 22:25:52"/>
    <n v="12"/>
    <x v="10"/>
    <x v="9"/>
    <x v="2"/>
    <n v="1.4998286723795999"/>
    <n v="0.10034767947108"/>
    <n v="0"/>
    <n v="6.85709565112791"/>
    <n v="737"/>
    <s v="Tener ArticulsoTenerArticulos.QueueWaiting TimeQueue"/>
    <n v="12"/>
    <n v="1.4572273428819582"/>
    <n v="3.4185611758373625E-2"/>
    <n v="0.95"/>
    <n v="2.1720501454124481E-2"/>
    <n v="1.41293281540393"/>
    <n v="1.5228151748432599"/>
    <n v="0"/>
    <n v="7.1682281439000199"/>
    <n v="794.91666666666663"/>
    <n v="2.1720501454124481E-2"/>
    <n v="12"/>
    <n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2">
  <r>
    <x v="0"/>
    <s v="2025-05-21 22:25:52"/>
    <n v="1"/>
    <x v="0"/>
    <x v="0"/>
    <x v="0"/>
    <n v="798"/>
    <n v="0"/>
    <s v="Tener ArticulsoArticulos.NumberInNumber InEntity"/>
    <n v="12"/>
    <n v="796.41666666666663"/>
    <n v="34.731328098924628"/>
    <n v="0.95"/>
    <n v="22.067233074791599"/>
    <n v="737"/>
    <n v="844"/>
  </r>
  <r>
    <x v="0"/>
    <s v="2025-05-21 22:25:52"/>
    <n v="1"/>
    <x v="1"/>
    <x v="1"/>
    <x v="0"/>
    <n v="792"/>
    <n v="0"/>
    <s v="Tener ArticulsoArticulos.NumberOutNumber OutEntity"/>
    <n v="12"/>
    <n v="783.16666666666663"/>
    <n v="31.541699191368682"/>
    <n v="0.95"/>
    <n v="20.040639553097002"/>
    <n v="730"/>
    <n v="826"/>
  </r>
  <r>
    <x v="0"/>
    <s v="2025-05-21 22:25:52"/>
    <n v="1"/>
    <x v="2"/>
    <x v="0"/>
    <x v="0"/>
    <n v="1151"/>
    <n v="0"/>
    <s v="Tener ArticulsoCarros.NumberInNumber InEntity"/>
    <n v="12"/>
    <n v="1145.9166666666667"/>
    <n v="49.73101891600696"/>
    <n v="0.95"/>
    <n v="31.597581939297463"/>
    <n v="1059"/>
    <n v="1210"/>
  </r>
  <r>
    <x v="0"/>
    <s v="2025-05-21 22:25:52"/>
    <n v="1"/>
    <x v="3"/>
    <x v="1"/>
    <x v="0"/>
    <n v="1149"/>
    <n v="0"/>
    <s v="Tener ArticulsoCarros.NumberOutNumber OutEntity"/>
    <n v="12"/>
    <n v="1145.3333333333333"/>
    <n v="49.816633464104832"/>
    <n v="0.95"/>
    <n v="31.651978827953357"/>
    <n v="1059"/>
    <n v="1210"/>
  </r>
  <r>
    <x v="0"/>
    <s v="2025-05-21 22:25:52"/>
    <n v="1"/>
    <x v="4"/>
    <x v="2"/>
    <x v="1"/>
    <n v="798.09438585157795"/>
    <n v="0"/>
    <s v="Tener ArticulsoDesembalaje Accum VA TimeAccum VA TimeProcess"/>
    <n v="12"/>
    <n v="783.216775239051"/>
    <n v="48.528923107513336"/>
    <n v="0.95"/>
    <n v="30.833806701313396"/>
    <n v="678.52271145285295"/>
    <n v="840.77730126549898"/>
  </r>
  <r>
    <x v="0"/>
    <s v="2025-05-21 22:25:52"/>
    <n v="1"/>
    <x v="5"/>
    <x v="3"/>
    <x v="1"/>
    <n v="717.97971523477804"/>
    <n v="0"/>
    <s v="Tener ArticulsoDesembalaje Accum Wait TimeAccum Wait TimeProcess"/>
    <n v="12"/>
    <n v="811.48948897731191"/>
    <n v="143.72351593510379"/>
    <n v="0.95"/>
    <n v="91.317565381747087"/>
    <n v="546.46370972178704"/>
    <n v="1012.863937084"/>
  </r>
  <r>
    <x v="0"/>
    <s v="2025-05-21 22:25:52"/>
    <n v="1"/>
    <x v="6"/>
    <x v="0"/>
    <x v="1"/>
    <n v="67"/>
    <n v="0"/>
    <s v="Tener ArticulsoDesembalaje Number InNumber InProcess"/>
    <n v="12"/>
    <n v="66"/>
    <n v="4.1560470729681676"/>
    <n v="0.95"/>
    <n v="2.640626329283204"/>
    <n v="59"/>
    <n v="70"/>
  </r>
  <r>
    <x v="0"/>
    <s v="2025-05-21 22:25:52"/>
    <n v="1"/>
    <x v="7"/>
    <x v="1"/>
    <x v="1"/>
    <n v="66"/>
    <n v="0"/>
    <s v="Tener ArticulsoDesembalaje Number OutNumber OutProcess"/>
    <n v="12"/>
    <n v="65.083333333333329"/>
    <n v="4.2310182168734691"/>
    <n v="0.95"/>
    <n v="2.6882607215451362"/>
    <n v="58"/>
    <n v="69"/>
  </r>
  <r>
    <x v="0"/>
    <s v="2025-05-21 22:25:52"/>
    <n v="1"/>
    <x v="8"/>
    <x v="2"/>
    <x v="1"/>
    <n v="1178.95770869222"/>
    <n v="0"/>
    <s v="Tener ArticulsoOrganizar Accum VA TimeAccum VA TimeProcess"/>
    <n v="12"/>
    <n v="1181.2622276627176"/>
    <n v="50.899735842094827"/>
    <n v="0.95"/>
    <n v="32.340149247203939"/>
    <n v="1106.0350367697699"/>
    <n v="1255.97830087074"/>
  </r>
  <r>
    <x v="0"/>
    <s v="2025-05-21 22:25:52"/>
    <n v="1"/>
    <x v="9"/>
    <x v="3"/>
    <x v="1"/>
    <n v="12381.802914960501"/>
    <n v="0"/>
    <s v="Tener ArticulsoOrganizar Accum Wait TimeAccum Wait TimeProcess"/>
    <n v="12"/>
    <n v="14481.366678807759"/>
    <n v="2869.9645631781104"/>
    <n v="0.95"/>
    <n v="1823.4884871564914"/>
    <n v="9643.84605851171"/>
    <n v="18159.7018308675"/>
  </r>
  <r>
    <x v="0"/>
    <s v="2025-05-21 22:25:52"/>
    <n v="1"/>
    <x v="10"/>
    <x v="0"/>
    <x v="1"/>
    <n v="796"/>
    <n v="0"/>
    <s v="Tener ArticulsoOrganizar Number InNumber InProcess"/>
    <n v="12"/>
    <n v="794.91666666666663"/>
    <n v="34.394656914154915"/>
    <n v="0.95"/>
    <n v="21.853322409391229"/>
    <n v="737"/>
    <n v="841"/>
  </r>
  <r>
    <x v="0"/>
    <s v="2025-05-21 22:25:52"/>
    <n v="1"/>
    <x v="11"/>
    <x v="1"/>
    <x v="1"/>
    <n v="793"/>
    <n v="0"/>
    <s v="Tener ArticulsoOrganizar Number OutNumber OutProcess"/>
    <n v="12"/>
    <n v="786"/>
    <n v="32.741411087489801"/>
    <n v="0.95"/>
    <n v="20.80290012542233"/>
    <n v="732"/>
    <n v="829"/>
  </r>
  <r>
    <x v="0"/>
    <s v="2025-05-21 22:25:52"/>
    <n v="1"/>
    <x v="12"/>
    <x v="2"/>
    <x v="1"/>
    <n v="1569.4649768361"/>
    <n v="0"/>
    <s v="Tener ArticulsoSacar Articulos Accum VA TimeAccum VA TimeProcess"/>
    <n v="12"/>
    <n v="1584.7600747574054"/>
    <n v="65.199632506816158"/>
    <n v="0.95"/>
    <n v="41.425870119928376"/>
    <n v="1473.78349566985"/>
    <n v="1673.21312485417"/>
  </r>
  <r>
    <x v="0"/>
    <s v="2025-05-21 22:25:52"/>
    <n v="1"/>
    <x v="13"/>
    <x v="3"/>
    <x v="1"/>
    <n v="1143.05453242458"/>
    <n v="0"/>
    <s v="Tener ArticulsoSacar Articulos Accum Wait TimeAccum Wait TimeProcess"/>
    <n v="12"/>
    <n v="1151.8667665386067"/>
    <n v="58.761364856103697"/>
    <n v="0.95"/>
    <n v="37.335190015744239"/>
    <n v="1064.4971115521701"/>
    <n v="1232.84038930315"/>
  </r>
  <r>
    <x v="0"/>
    <s v="2025-05-21 22:25:52"/>
    <n v="1"/>
    <x v="14"/>
    <x v="0"/>
    <x v="1"/>
    <n v="798"/>
    <n v="0"/>
    <s v="Tener ArticulsoSacar Articulos Number InNumber InProcess"/>
    <n v="12"/>
    <n v="796.41666666666663"/>
    <n v="34.731328098924628"/>
    <n v="0.95"/>
    <n v="22.067233074791599"/>
    <n v="737"/>
    <n v="844"/>
  </r>
  <r>
    <x v="0"/>
    <s v="2025-05-21 22:25:52"/>
    <n v="1"/>
    <x v="15"/>
    <x v="1"/>
    <x v="1"/>
    <n v="796"/>
    <n v="0"/>
    <s v="Tener ArticulsoSacar Articulos Number OutNumber OutProcess"/>
    <n v="12"/>
    <n v="795.08333333333337"/>
    <n v="34.510758094287411"/>
    <n v="0.95"/>
    <n v="21.927089579910728"/>
    <n v="737"/>
    <n v="841"/>
  </r>
  <r>
    <x v="0"/>
    <s v="2025-05-21 22:25:52"/>
    <n v="1"/>
    <x v="16"/>
    <x v="1"/>
    <x v="2"/>
    <n v="1143"/>
    <n v="0"/>
    <s v="Tener ArticulsoSystem.NumberOutNumber OutSystem"/>
    <n v="12"/>
    <n v="1132.0833333333333"/>
    <n v="46.640712479614429"/>
    <n v="0.95"/>
    <n v="29.634094905050876"/>
    <n v="1052"/>
    <n v="1192"/>
  </r>
  <r>
    <x v="0"/>
    <s v="2025-05-21 22:25:52"/>
    <n v="1"/>
    <x v="17"/>
    <x v="4"/>
    <x v="3"/>
    <n v="860"/>
    <n v="0"/>
    <s v="Tener ArticulsorOrganizdor.NumberSeizedTotal Number SeizedResource"/>
    <n v="12"/>
    <n v="852.08333333333337"/>
    <n v="32.103407730002552"/>
    <n v="0.95"/>
    <n v="20.397532131659759"/>
    <n v="800"/>
    <n v="893"/>
  </r>
  <r>
    <x v="0"/>
    <s v="2025-05-21 22:25:52"/>
    <n v="1"/>
    <x v="18"/>
    <x v="5"/>
    <x v="3"/>
    <n v="0.94298304297686897"/>
    <n v="0"/>
    <s v="Tener ArticulsorOrganizdor.ScheduledUtilizationScheduled UtilizationResource"/>
    <n v="12"/>
    <n v="0.93693413710063267"/>
    <n v="3.0080475881637609E-2"/>
    <n v="0.95"/>
    <n v="1.9112222555672933E-2"/>
    <n v="0.87408888428798603"/>
    <n v="0.989515454392208"/>
  </r>
  <r>
    <x v="0"/>
    <s v="2025-05-21 22:25:52"/>
    <n v="1"/>
    <x v="19"/>
    <x v="4"/>
    <x v="3"/>
    <n v="797"/>
    <n v="0"/>
    <s v="Tener ArticulsorSacador.NumberSeizedTotal Number SeizedResource"/>
    <n v="12"/>
    <n v="795.66666666666663"/>
    <n v="34.623516268395946"/>
    <n v="0.95"/>
    <n v="21.998732705738043"/>
    <n v="737"/>
    <n v="842"/>
  </r>
  <r>
    <x v="0"/>
    <s v="2025-05-21 22:25:52"/>
    <n v="1"/>
    <x v="20"/>
    <x v="5"/>
    <x v="3"/>
    <n v="0.74793517119931496"/>
    <n v="0"/>
    <s v="Tener ArticulsorSacador.ScheduledUtilizationScheduled UtilizationResource"/>
    <n v="12"/>
    <n v="0.75499127770842467"/>
    <n v="3.0990673550046054E-2"/>
    <n v="0.95"/>
    <n v="1.9690534563658681E-2"/>
    <n v="0.70281682687036895"/>
    <n v="0.79676815469245998"/>
  </r>
  <r>
    <x v="0"/>
    <s v="2025-05-21 22:25:52"/>
    <n v="2"/>
    <x v="0"/>
    <x v="0"/>
    <x v="0"/>
    <n v="844"/>
    <n v="0"/>
    <s v="Tener ArticulsoArticulos.NumberInNumber InEntity"/>
    <n v="12"/>
    <n v="796.41666666666663"/>
    <n v="34.731328098924628"/>
    <n v="0.95"/>
    <n v="22.067233074791599"/>
    <n v="737"/>
    <n v="844"/>
  </r>
  <r>
    <x v="0"/>
    <s v="2025-05-21 22:25:52"/>
    <n v="2"/>
    <x v="1"/>
    <x v="1"/>
    <x v="0"/>
    <n v="826"/>
    <n v="0"/>
    <s v="Tener ArticulsoArticulos.NumberOutNumber OutEntity"/>
    <n v="12"/>
    <n v="783.16666666666663"/>
    <n v="31.541699191368682"/>
    <n v="0.95"/>
    <n v="20.040639553097002"/>
    <n v="730"/>
    <n v="826"/>
  </r>
  <r>
    <x v="0"/>
    <s v="2025-05-21 22:25:52"/>
    <n v="2"/>
    <x v="2"/>
    <x v="0"/>
    <x v="0"/>
    <n v="1210"/>
    <n v="0"/>
    <s v="Tener ArticulsoCarros.NumberInNumber InEntity"/>
    <n v="12"/>
    <n v="1145.9166666666667"/>
    <n v="49.73101891600696"/>
    <n v="0.95"/>
    <n v="31.597581939297463"/>
    <n v="1059"/>
    <n v="1210"/>
  </r>
  <r>
    <x v="0"/>
    <s v="2025-05-21 22:25:52"/>
    <n v="2"/>
    <x v="3"/>
    <x v="1"/>
    <x v="0"/>
    <n v="1210"/>
    <n v="0"/>
    <s v="Tener ArticulsoCarros.NumberOutNumber OutEntity"/>
    <n v="12"/>
    <n v="1145.3333333333333"/>
    <n v="49.816633464104832"/>
    <n v="0.95"/>
    <n v="31.651978827953357"/>
    <n v="1059"/>
    <n v="1210"/>
  </r>
  <r>
    <x v="0"/>
    <s v="2025-05-21 22:25:52"/>
    <n v="2"/>
    <x v="4"/>
    <x v="2"/>
    <x v="1"/>
    <n v="678.52271145285295"/>
    <n v="0"/>
    <s v="Tener ArticulsoDesembalaje Accum VA TimeAccum VA TimeProcess"/>
    <n v="12"/>
    <n v="783.216775239051"/>
    <n v="48.528923107513336"/>
    <n v="0.95"/>
    <n v="30.833806701313396"/>
    <n v="678.52271145285295"/>
    <n v="840.77730126549898"/>
  </r>
  <r>
    <x v="0"/>
    <s v="2025-05-21 22:25:52"/>
    <n v="2"/>
    <x v="5"/>
    <x v="3"/>
    <x v="1"/>
    <n v="832.65296431967795"/>
    <n v="0"/>
    <s v="Tener ArticulsoDesembalaje Accum Wait TimeAccum Wait TimeProcess"/>
    <n v="12"/>
    <n v="811.48948897731191"/>
    <n v="143.72351593510379"/>
    <n v="0.95"/>
    <n v="91.317565381747087"/>
    <n v="546.46370972178704"/>
    <n v="1012.863937084"/>
  </r>
  <r>
    <x v="0"/>
    <s v="2025-05-21 22:25:52"/>
    <n v="2"/>
    <x v="6"/>
    <x v="0"/>
    <x v="1"/>
    <n v="61"/>
    <n v="0"/>
    <s v="Tener ArticulsoDesembalaje Number InNumber InProcess"/>
    <n v="12"/>
    <n v="66"/>
    <n v="4.1560470729681676"/>
    <n v="0.95"/>
    <n v="2.640626329283204"/>
    <n v="59"/>
    <n v="70"/>
  </r>
  <r>
    <x v="0"/>
    <s v="2025-05-21 22:25:52"/>
    <n v="2"/>
    <x v="7"/>
    <x v="1"/>
    <x v="1"/>
    <n v="60"/>
    <n v="0"/>
    <s v="Tener ArticulsoDesembalaje Number OutNumber OutProcess"/>
    <n v="12"/>
    <n v="65.083333333333329"/>
    <n v="4.2310182168734691"/>
    <n v="0.95"/>
    <n v="2.6882607215451362"/>
    <n v="58"/>
    <n v="69"/>
  </r>
  <r>
    <x v="0"/>
    <s v="2025-05-21 22:25:52"/>
    <n v="2"/>
    <x v="8"/>
    <x v="2"/>
    <x v="1"/>
    <n v="1255.97830087074"/>
    <n v="0"/>
    <s v="Tener ArticulsoOrganizar Accum VA TimeAccum VA TimeProcess"/>
    <n v="12"/>
    <n v="1181.2622276627176"/>
    <n v="50.899735842094827"/>
    <n v="0.95"/>
    <n v="32.340149247203939"/>
    <n v="1106.0350367697699"/>
    <n v="1255.97830087074"/>
  </r>
  <r>
    <x v="0"/>
    <s v="2025-05-21 22:25:52"/>
    <n v="2"/>
    <x v="9"/>
    <x v="3"/>
    <x v="1"/>
    <n v="16374.282517071901"/>
    <n v="0"/>
    <s v="Tener ArticulsoOrganizar Accum Wait TimeAccum Wait TimeProcess"/>
    <n v="12"/>
    <n v="14481.366678807759"/>
    <n v="2869.9645631781104"/>
    <n v="0.95"/>
    <n v="1823.4884871564914"/>
    <n v="9643.84605851171"/>
    <n v="18159.7018308675"/>
  </r>
  <r>
    <x v="0"/>
    <s v="2025-05-21 22:25:52"/>
    <n v="2"/>
    <x v="10"/>
    <x v="0"/>
    <x v="1"/>
    <n v="841"/>
    <n v="0"/>
    <s v="Tener ArticulsoOrganizar Number InNumber InProcess"/>
    <n v="12"/>
    <n v="794.91666666666663"/>
    <n v="34.394656914154915"/>
    <n v="0.95"/>
    <n v="21.853322409391229"/>
    <n v="737"/>
    <n v="841"/>
  </r>
  <r>
    <x v="0"/>
    <s v="2025-05-21 22:25:52"/>
    <n v="2"/>
    <x v="11"/>
    <x v="1"/>
    <x v="1"/>
    <n v="829"/>
    <n v="0"/>
    <s v="Tener ArticulsoOrganizar Number OutNumber OutProcess"/>
    <n v="12"/>
    <n v="786"/>
    <n v="32.741411087489801"/>
    <n v="0.95"/>
    <n v="20.80290012542233"/>
    <n v="732"/>
    <n v="829"/>
  </r>
  <r>
    <x v="0"/>
    <s v="2025-05-21 22:25:52"/>
    <n v="2"/>
    <x v="12"/>
    <x v="2"/>
    <x v="1"/>
    <n v="1666.7881654684199"/>
    <n v="0"/>
    <s v="Tener ArticulsoSacar Articulos Accum VA TimeAccum VA TimeProcess"/>
    <n v="12"/>
    <n v="1584.7600747574054"/>
    <n v="65.199632506816158"/>
    <n v="0.95"/>
    <n v="41.425870119928376"/>
    <n v="1473.78349566985"/>
    <n v="1673.21312485417"/>
  </r>
  <r>
    <x v="0"/>
    <s v="2025-05-21 22:25:52"/>
    <n v="2"/>
    <x v="13"/>
    <x v="3"/>
    <x v="1"/>
    <n v="1211.1632287642699"/>
    <n v="0"/>
    <s v="Tener ArticulsoSacar Articulos Accum Wait TimeAccum Wait TimeProcess"/>
    <n v="12"/>
    <n v="1151.8667665386067"/>
    <n v="58.761364856103697"/>
    <n v="0.95"/>
    <n v="37.335190015744239"/>
    <n v="1064.4971115521701"/>
    <n v="1232.84038930315"/>
  </r>
  <r>
    <x v="0"/>
    <s v="2025-05-21 22:25:52"/>
    <n v="2"/>
    <x v="14"/>
    <x v="0"/>
    <x v="1"/>
    <n v="844"/>
    <n v="0"/>
    <s v="Tener ArticulsoSacar Articulos Number InNumber InProcess"/>
    <n v="12"/>
    <n v="796.41666666666663"/>
    <n v="34.731328098924628"/>
    <n v="0.95"/>
    <n v="22.067233074791599"/>
    <n v="737"/>
    <n v="844"/>
  </r>
  <r>
    <x v="0"/>
    <s v="2025-05-21 22:25:52"/>
    <n v="2"/>
    <x v="15"/>
    <x v="1"/>
    <x v="1"/>
    <n v="841"/>
    <n v="0"/>
    <s v="Tener ArticulsoSacar Articulos Number OutNumber OutProcess"/>
    <n v="12"/>
    <n v="795.08333333333337"/>
    <n v="34.510758094287411"/>
    <n v="0.95"/>
    <n v="21.927089579910728"/>
    <n v="737"/>
    <n v="841"/>
  </r>
  <r>
    <x v="0"/>
    <s v="2025-05-21 22:25:52"/>
    <n v="2"/>
    <x v="16"/>
    <x v="1"/>
    <x v="2"/>
    <n v="1192"/>
    <n v="0"/>
    <s v="Tener ArticulsoSystem.NumberOutNumber OutSystem"/>
    <n v="12"/>
    <n v="1132.0833333333333"/>
    <n v="46.640712479614429"/>
    <n v="0.95"/>
    <n v="29.634094905050876"/>
    <n v="1052"/>
    <n v="1192"/>
  </r>
  <r>
    <x v="0"/>
    <s v="2025-05-21 22:25:52"/>
    <n v="2"/>
    <x v="17"/>
    <x v="4"/>
    <x v="3"/>
    <n v="890"/>
    <n v="0"/>
    <s v="Tener ArticulsorOrganizdor.NumberSeizedTotal Number SeizedResource"/>
    <n v="12"/>
    <n v="852.08333333333337"/>
    <n v="32.103407730002552"/>
    <n v="0.95"/>
    <n v="20.397532131659759"/>
    <n v="800"/>
    <n v="893"/>
  </r>
  <r>
    <x v="0"/>
    <s v="2025-05-21 22:25:52"/>
    <n v="2"/>
    <x v="18"/>
    <x v="5"/>
    <x v="3"/>
    <n v="0.92627316119155401"/>
    <n v="0"/>
    <s v="Tener ArticulsorOrganizdor.ScheduledUtilizationScheduled UtilizationResource"/>
    <n v="12"/>
    <n v="0.93693413710063267"/>
    <n v="3.0080475881637609E-2"/>
    <n v="0.95"/>
    <n v="1.9112222555672933E-2"/>
    <n v="0.87408888428798603"/>
    <n v="0.989515454392208"/>
  </r>
  <r>
    <x v="0"/>
    <s v="2025-05-21 22:25:52"/>
    <n v="2"/>
    <x v="19"/>
    <x v="4"/>
    <x v="3"/>
    <n v="842"/>
    <n v="0"/>
    <s v="Tener ArticulsorSacador.NumberSeizedTotal Number SeizedResource"/>
    <n v="12"/>
    <n v="795.66666666666663"/>
    <n v="34.623516268395946"/>
    <n v="0.95"/>
    <n v="21.998732705738043"/>
    <n v="737"/>
    <n v="842"/>
  </r>
  <r>
    <x v="0"/>
    <s v="2025-05-21 22:25:52"/>
    <n v="2"/>
    <x v="20"/>
    <x v="5"/>
    <x v="3"/>
    <n v="0.79408347529050305"/>
    <n v="0"/>
    <s v="Tener ArticulsorSacador.ScheduledUtilizationScheduled UtilizationResource"/>
    <n v="12"/>
    <n v="0.75499127770842467"/>
    <n v="3.0990673550046054E-2"/>
    <n v="0.95"/>
    <n v="1.9690534563658681E-2"/>
    <n v="0.70281682687036895"/>
    <n v="0.79676815469245998"/>
  </r>
  <r>
    <x v="0"/>
    <s v="2025-05-21 22:25:52"/>
    <n v="3"/>
    <x v="0"/>
    <x v="0"/>
    <x v="0"/>
    <n v="836"/>
    <n v="0"/>
    <s v="Tener ArticulsoArticulos.NumberInNumber InEntity"/>
    <n v="12"/>
    <n v="796.41666666666663"/>
    <n v="34.731328098924628"/>
    <n v="0.95"/>
    <n v="22.067233074791599"/>
    <n v="737"/>
    <n v="844"/>
  </r>
  <r>
    <x v="0"/>
    <s v="2025-05-21 22:25:52"/>
    <n v="3"/>
    <x v="1"/>
    <x v="1"/>
    <x v="0"/>
    <n v="813"/>
    <n v="0"/>
    <s v="Tener ArticulsoArticulos.NumberOutNumber OutEntity"/>
    <n v="12"/>
    <n v="783.16666666666663"/>
    <n v="31.541699191368682"/>
    <n v="0.95"/>
    <n v="20.040639553097002"/>
    <n v="730"/>
    <n v="826"/>
  </r>
  <r>
    <x v="0"/>
    <s v="2025-05-21 22:25:52"/>
    <n v="3"/>
    <x v="2"/>
    <x v="0"/>
    <x v="0"/>
    <n v="1204"/>
    <n v="0"/>
    <s v="Tener ArticulsoCarros.NumberInNumber InEntity"/>
    <n v="12"/>
    <n v="1145.9166666666667"/>
    <n v="49.73101891600696"/>
    <n v="0.95"/>
    <n v="31.597581939297463"/>
    <n v="1059"/>
    <n v="1210"/>
  </r>
  <r>
    <x v="0"/>
    <s v="2025-05-21 22:25:52"/>
    <n v="3"/>
    <x v="3"/>
    <x v="1"/>
    <x v="0"/>
    <n v="1204"/>
    <n v="0"/>
    <s v="Tener ArticulsoCarros.NumberOutNumber OutEntity"/>
    <n v="12"/>
    <n v="1145.3333333333333"/>
    <n v="49.816633464104832"/>
    <n v="0.95"/>
    <n v="31.651978827953357"/>
    <n v="1059"/>
    <n v="1210"/>
  </r>
  <r>
    <x v="0"/>
    <s v="2025-05-21 22:25:52"/>
    <n v="3"/>
    <x v="4"/>
    <x v="2"/>
    <x v="1"/>
    <n v="840.77730126549898"/>
    <n v="0"/>
    <s v="Tener ArticulsoDesembalaje Accum VA TimeAccum VA TimeProcess"/>
    <n v="12"/>
    <n v="783.216775239051"/>
    <n v="48.528923107513336"/>
    <n v="0.95"/>
    <n v="30.833806701313396"/>
    <n v="678.52271145285295"/>
    <n v="840.77730126549898"/>
  </r>
  <r>
    <x v="0"/>
    <s v="2025-05-21 22:25:52"/>
    <n v="3"/>
    <x v="5"/>
    <x v="3"/>
    <x v="1"/>
    <n v="1012.863937084"/>
    <n v="0"/>
    <s v="Tener ArticulsoDesembalaje Accum Wait TimeAccum Wait TimeProcess"/>
    <n v="12"/>
    <n v="811.48948897731191"/>
    <n v="143.72351593510379"/>
    <n v="0.95"/>
    <n v="91.317565381747087"/>
    <n v="546.46370972178704"/>
    <n v="1012.863937084"/>
  </r>
  <r>
    <x v="0"/>
    <s v="2025-05-21 22:25:52"/>
    <n v="3"/>
    <x v="6"/>
    <x v="0"/>
    <x v="1"/>
    <n v="70"/>
    <n v="0"/>
    <s v="Tener ArticulsoDesembalaje Number InNumber InProcess"/>
    <n v="12"/>
    <n v="66"/>
    <n v="4.1560470729681676"/>
    <n v="0.95"/>
    <n v="2.640626329283204"/>
    <n v="59"/>
    <n v="70"/>
  </r>
  <r>
    <x v="0"/>
    <s v="2025-05-21 22:25:52"/>
    <n v="3"/>
    <x v="7"/>
    <x v="1"/>
    <x v="1"/>
    <n v="69"/>
    <n v="0"/>
    <s v="Tener ArticulsoDesembalaje Number OutNumber OutProcess"/>
    <n v="12"/>
    <n v="65.083333333333329"/>
    <n v="4.2310182168734691"/>
    <n v="0.95"/>
    <n v="2.6882607215451362"/>
    <n v="58"/>
    <n v="69"/>
  </r>
  <r>
    <x v="0"/>
    <s v="2025-05-21 22:25:52"/>
    <n v="3"/>
    <x v="8"/>
    <x v="2"/>
    <x v="1"/>
    <n v="1236.2115295308699"/>
    <n v="0"/>
    <s v="Tener ArticulsoOrganizar Accum VA TimeAccum VA TimeProcess"/>
    <n v="12"/>
    <n v="1181.2622276627176"/>
    <n v="50.899735842094827"/>
    <n v="0.95"/>
    <n v="32.340149247203939"/>
    <n v="1106.0350367697699"/>
    <n v="1255.97830087074"/>
  </r>
  <r>
    <x v="0"/>
    <s v="2025-05-21 22:25:52"/>
    <n v="3"/>
    <x v="9"/>
    <x v="3"/>
    <x v="1"/>
    <n v="17929.322696675899"/>
    <n v="0"/>
    <s v="Tener ArticulsoOrganizar Accum Wait TimeAccum Wait TimeProcess"/>
    <n v="12"/>
    <n v="14481.366678807759"/>
    <n v="2869.9645631781104"/>
    <n v="0.95"/>
    <n v="1823.4884871564914"/>
    <n v="9643.84605851171"/>
    <n v="18159.7018308675"/>
  </r>
  <r>
    <x v="0"/>
    <s v="2025-05-21 22:25:52"/>
    <n v="3"/>
    <x v="10"/>
    <x v="0"/>
    <x v="1"/>
    <n v="833"/>
    <n v="0"/>
    <s v="Tener ArticulsoOrganizar Number InNumber InProcess"/>
    <n v="12"/>
    <n v="794.91666666666663"/>
    <n v="34.394656914154915"/>
    <n v="0.95"/>
    <n v="21.853322409391229"/>
    <n v="737"/>
    <n v="841"/>
  </r>
  <r>
    <x v="0"/>
    <s v="2025-05-21 22:25:52"/>
    <n v="3"/>
    <x v="11"/>
    <x v="1"/>
    <x v="1"/>
    <n v="821"/>
    <n v="0"/>
    <s v="Tener ArticulsoOrganizar Number OutNumber OutProcess"/>
    <n v="12"/>
    <n v="786"/>
    <n v="32.741411087489801"/>
    <n v="0.95"/>
    <n v="20.80290012542233"/>
    <n v="732"/>
    <n v="829"/>
  </r>
  <r>
    <x v="0"/>
    <s v="2025-05-21 22:25:52"/>
    <n v="3"/>
    <x v="12"/>
    <x v="2"/>
    <x v="1"/>
    <n v="1635.0268698493601"/>
    <n v="0"/>
    <s v="Tener ArticulsoSacar Articulos Accum VA TimeAccum VA TimeProcess"/>
    <n v="12"/>
    <n v="1584.7600747574054"/>
    <n v="65.199632506816158"/>
    <n v="0.95"/>
    <n v="41.425870119928376"/>
    <n v="1473.78349566985"/>
    <n v="1673.21312485417"/>
  </r>
  <r>
    <x v="0"/>
    <s v="2025-05-21 22:25:52"/>
    <n v="3"/>
    <x v="13"/>
    <x v="3"/>
    <x v="1"/>
    <n v="1208.0428956866999"/>
    <n v="0"/>
    <s v="Tener ArticulsoSacar Articulos Accum Wait TimeAccum Wait TimeProcess"/>
    <n v="12"/>
    <n v="1151.8667665386067"/>
    <n v="58.761364856103697"/>
    <n v="0.95"/>
    <n v="37.335190015744239"/>
    <n v="1064.4971115521701"/>
    <n v="1232.84038930315"/>
  </r>
  <r>
    <x v="0"/>
    <s v="2025-05-21 22:25:52"/>
    <n v="3"/>
    <x v="14"/>
    <x v="0"/>
    <x v="1"/>
    <n v="836"/>
    <n v="0"/>
    <s v="Tener ArticulsoSacar Articulos Number InNumber InProcess"/>
    <n v="12"/>
    <n v="796.41666666666663"/>
    <n v="34.731328098924628"/>
    <n v="0.95"/>
    <n v="22.067233074791599"/>
    <n v="737"/>
    <n v="844"/>
  </r>
  <r>
    <x v="0"/>
    <s v="2025-05-21 22:25:52"/>
    <n v="3"/>
    <x v="15"/>
    <x v="1"/>
    <x v="1"/>
    <n v="834"/>
    <n v="0"/>
    <s v="Tener ArticulsoSacar Articulos Number OutNumber OutProcess"/>
    <n v="12"/>
    <n v="795.08333333333337"/>
    <n v="34.510758094287411"/>
    <n v="0.95"/>
    <n v="21.927089579910728"/>
    <n v="737"/>
    <n v="841"/>
  </r>
  <r>
    <x v="0"/>
    <s v="2025-05-21 22:25:52"/>
    <n v="3"/>
    <x v="16"/>
    <x v="1"/>
    <x v="2"/>
    <n v="1181"/>
    <n v="0"/>
    <s v="Tener ArticulsoSystem.NumberOutNumber OutSystem"/>
    <n v="12"/>
    <n v="1132.0833333333333"/>
    <n v="46.640712479614429"/>
    <n v="0.95"/>
    <n v="29.634094905050876"/>
    <n v="1052"/>
    <n v="1192"/>
  </r>
  <r>
    <x v="0"/>
    <s v="2025-05-21 22:25:52"/>
    <n v="3"/>
    <x v="17"/>
    <x v="4"/>
    <x v="3"/>
    <n v="891"/>
    <n v="0"/>
    <s v="Tener ArticulsorOrganizdor.NumberSeizedTotal Number SeizedResource"/>
    <n v="12"/>
    <n v="852.08333333333337"/>
    <n v="32.103407730002552"/>
    <n v="0.95"/>
    <n v="20.397532131659759"/>
    <n v="800"/>
    <n v="893"/>
  </r>
  <r>
    <x v="0"/>
    <s v="2025-05-21 22:25:52"/>
    <n v="3"/>
    <x v="18"/>
    <x v="5"/>
    <x v="3"/>
    <n v="0.989515454392208"/>
    <n v="0"/>
    <s v="Tener ArticulsorOrganizdor.ScheduledUtilizationScheduled UtilizationResource"/>
    <n v="12"/>
    <n v="0.93693413710063267"/>
    <n v="3.0080475881637609E-2"/>
    <n v="0.95"/>
    <n v="1.9112222555672933E-2"/>
    <n v="0.87408888428798603"/>
    <n v="0.989515454392208"/>
  </r>
  <r>
    <x v="0"/>
    <s v="2025-05-21 22:25:52"/>
    <n v="3"/>
    <x v="19"/>
    <x v="4"/>
    <x v="3"/>
    <n v="835"/>
    <n v="0"/>
    <s v="Tener ArticulsorSacador.NumberSeizedTotal Number SeizedResource"/>
    <n v="12"/>
    <n v="795.66666666666663"/>
    <n v="34.623516268395946"/>
    <n v="0.95"/>
    <n v="21.998732705738043"/>
    <n v="737"/>
    <n v="842"/>
  </r>
  <r>
    <x v="0"/>
    <s v="2025-05-21 22:25:52"/>
    <n v="3"/>
    <x v="20"/>
    <x v="5"/>
    <x v="3"/>
    <n v="0.77912326322433201"/>
    <n v="0"/>
    <s v="Tener ArticulsorSacador.ScheduledUtilizationScheduled UtilizationResource"/>
    <n v="12"/>
    <n v="0.75499127770842467"/>
    <n v="3.0990673550046054E-2"/>
    <n v="0.95"/>
    <n v="1.9690534563658681E-2"/>
    <n v="0.70281682687036895"/>
    <n v="0.79676815469245998"/>
  </r>
  <r>
    <x v="0"/>
    <s v="2025-05-21 22:25:52"/>
    <n v="4"/>
    <x v="0"/>
    <x v="0"/>
    <x v="0"/>
    <n v="835"/>
    <n v="0"/>
    <s v="Tener ArticulsoArticulos.NumberInNumber InEntity"/>
    <n v="12"/>
    <n v="796.41666666666663"/>
    <n v="34.731328098924628"/>
    <n v="0.95"/>
    <n v="22.067233074791599"/>
    <n v="737"/>
    <n v="844"/>
  </r>
  <r>
    <x v="0"/>
    <s v="2025-05-21 22:25:52"/>
    <n v="4"/>
    <x v="1"/>
    <x v="1"/>
    <x v="0"/>
    <n v="823"/>
    <n v="0"/>
    <s v="Tener ArticulsoArticulos.NumberOutNumber OutEntity"/>
    <n v="12"/>
    <n v="783.16666666666663"/>
    <n v="31.541699191368682"/>
    <n v="0.95"/>
    <n v="20.040639553097002"/>
    <n v="730"/>
    <n v="826"/>
  </r>
  <r>
    <x v="0"/>
    <s v="2025-05-21 22:25:52"/>
    <n v="4"/>
    <x v="2"/>
    <x v="0"/>
    <x v="0"/>
    <n v="1196"/>
    <n v="0"/>
    <s v="Tener ArticulsoCarros.NumberInNumber InEntity"/>
    <n v="12"/>
    <n v="1145.9166666666667"/>
    <n v="49.73101891600696"/>
    <n v="0.95"/>
    <n v="31.597581939297463"/>
    <n v="1059"/>
    <n v="1210"/>
  </r>
  <r>
    <x v="0"/>
    <s v="2025-05-21 22:25:52"/>
    <n v="4"/>
    <x v="3"/>
    <x v="1"/>
    <x v="0"/>
    <n v="1196"/>
    <n v="0"/>
    <s v="Tener ArticulsoCarros.NumberOutNumber OutEntity"/>
    <n v="12"/>
    <n v="1145.3333333333333"/>
    <n v="49.816633464104832"/>
    <n v="0.95"/>
    <n v="31.651978827953357"/>
    <n v="1059"/>
    <n v="1210"/>
  </r>
  <r>
    <x v="0"/>
    <s v="2025-05-21 22:25:52"/>
    <n v="4"/>
    <x v="4"/>
    <x v="2"/>
    <x v="1"/>
    <n v="787.34094307065402"/>
    <n v="0"/>
    <s v="Tener ArticulsoDesembalaje Accum VA TimeAccum VA TimeProcess"/>
    <n v="12"/>
    <n v="783.216775239051"/>
    <n v="48.528923107513336"/>
    <n v="0.95"/>
    <n v="30.833806701313396"/>
    <n v="678.52271145285295"/>
    <n v="840.77730126549898"/>
  </r>
  <r>
    <x v="0"/>
    <s v="2025-05-21 22:25:52"/>
    <n v="4"/>
    <x v="5"/>
    <x v="3"/>
    <x v="1"/>
    <n v="1007.13207549663"/>
    <n v="0"/>
    <s v="Tener ArticulsoDesembalaje Accum Wait TimeAccum Wait TimeProcess"/>
    <n v="12"/>
    <n v="811.48948897731191"/>
    <n v="143.72351593510379"/>
    <n v="0.95"/>
    <n v="91.317565381747087"/>
    <n v="546.46370972178704"/>
    <n v="1012.863937084"/>
  </r>
  <r>
    <x v="0"/>
    <s v="2025-05-21 22:25:52"/>
    <n v="4"/>
    <x v="6"/>
    <x v="0"/>
    <x v="1"/>
    <n v="66"/>
    <n v="0"/>
    <s v="Tener ArticulsoDesembalaje Number InNumber InProcess"/>
    <n v="12"/>
    <n v="66"/>
    <n v="4.1560470729681676"/>
    <n v="0.95"/>
    <n v="2.640626329283204"/>
    <n v="59"/>
    <n v="70"/>
  </r>
  <r>
    <x v="0"/>
    <s v="2025-05-21 22:25:52"/>
    <n v="4"/>
    <x v="7"/>
    <x v="1"/>
    <x v="1"/>
    <n v="65"/>
    <n v="0"/>
    <s v="Tener ArticulsoDesembalaje Number OutNumber OutProcess"/>
    <n v="12"/>
    <n v="65.083333333333329"/>
    <n v="4.2310182168734691"/>
    <n v="0.95"/>
    <n v="2.6882607215451362"/>
    <n v="58"/>
    <n v="69"/>
  </r>
  <r>
    <x v="0"/>
    <s v="2025-05-21 22:25:52"/>
    <n v="4"/>
    <x v="8"/>
    <x v="2"/>
    <x v="1"/>
    <n v="1232.42223079276"/>
    <n v="0"/>
    <s v="Tener ArticulsoOrganizar Accum VA TimeAccum VA TimeProcess"/>
    <n v="12"/>
    <n v="1181.2622276627176"/>
    <n v="50.899735842094827"/>
    <n v="0.95"/>
    <n v="32.340149247203939"/>
    <n v="1106.0350367697699"/>
    <n v="1255.97830087074"/>
  </r>
  <r>
    <x v="0"/>
    <s v="2025-05-21 22:25:52"/>
    <n v="4"/>
    <x v="9"/>
    <x v="3"/>
    <x v="1"/>
    <n v="18159.7018308675"/>
    <n v="0"/>
    <s v="Tener ArticulsoOrganizar Accum Wait TimeAccum Wait TimeProcess"/>
    <n v="12"/>
    <n v="14481.366678807759"/>
    <n v="2869.9645631781104"/>
    <n v="0.95"/>
    <n v="1823.4884871564914"/>
    <n v="9643.84605851171"/>
    <n v="18159.7018308675"/>
  </r>
  <r>
    <x v="0"/>
    <s v="2025-05-21 22:25:52"/>
    <n v="4"/>
    <x v="10"/>
    <x v="0"/>
    <x v="1"/>
    <n v="835"/>
    <n v="0"/>
    <s v="Tener ArticulsoOrganizar Number InNumber InProcess"/>
    <n v="12"/>
    <n v="794.91666666666663"/>
    <n v="34.394656914154915"/>
    <n v="0.95"/>
    <n v="21.853322409391229"/>
    <n v="737"/>
    <n v="841"/>
  </r>
  <r>
    <x v="0"/>
    <s v="2025-05-21 22:25:52"/>
    <n v="4"/>
    <x v="11"/>
    <x v="1"/>
    <x v="1"/>
    <n v="827"/>
    <n v="0"/>
    <s v="Tener ArticulsoOrganizar Number OutNumber OutProcess"/>
    <n v="12"/>
    <n v="786"/>
    <n v="32.741411087489801"/>
    <n v="0.95"/>
    <n v="20.80290012542233"/>
    <n v="732"/>
    <n v="829"/>
  </r>
  <r>
    <x v="0"/>
    <s v="2025-05-21 22:25:52"/>
    <n v="4"/>
    <x v="12"/>
    <x v="2"/>
    <x v="1"/>
    <n v="1673.21312485417"/>
    <n v="0"/>
    <s v="Tener ArticulsoSacar Articulos Accum VA TimeAccum VA TimeProcess"/>
    <n v="12"/>
    <n v="1584.7600747574054"/>
    <n v="65.199632506816158"/>
    <n v="0.95"/>
    <n v="41.425870119928376"/>
    <n v="1473.78349566985"/>
    <n v="1673.21312485417"/>
  </r>
  <r>
    <x v="0"/>
    <s v="2025-05-21 22:25:52"/>
    <n v="4"/>
    <x v="13"/>
    <x v="3"/>
    <x v="1"/>
    <n v="1232.84038930315"/>
    <n v="0"/>
    <s v="Tener ArticulsoSacar Articulos Accum Wait TimeAccum Wait TimeProcess"/>
    <n v="12"/>
    <n v="1151.8667665386067"/>
    <n v="58.761364856103697"/>
    <n v="0.95"/>
    <n v="37.335190015744239"/>
    <n v="1064.4971115521701"/>
    <n v="1232.84038930315"/>
  </r>
  <r>
    <x v="0"/>
    <s v="2025-05-21 22:25:52"/>
    <n v="4"/>
    <x v="14"/>
    <x v="0"/>
    <x v="1"/>
    <n v="835"/>
    <n v="0"/>
    <s v="Tener ArticulsoSacar Articulos Number InNumber InProcess"/>
    <n v="12"/>
    <n v="796.41666666666663"/>
    <n v="34.731328098924628"/>
    <n v="0.95"/>
    <n v="22.067233074791599"/>
    <n v="737"/>
    <n v="844"/>
  </r>
  <r>
    <x v="0"/>
    <s v="2025-05-21 22:25:52"/>
    <n v="4"/>
    <x v="15"/>
    <x v="1"/>
    <x v="1"/>
    <n v="835"/>
    <n v="0"/>
    <s v="Tener ArticulsoSacar Articulos Number OutNumber OutProcess"/>
    <n v="12"/>
    <n v="795.08333333333337"/>
    <n v="34.510758094287411"/>
    <n v="0.95"/>
    <n v="21.927089579910728"/>
    <n v="737"/>
    <n v="841"/>
  </r>
  <r>
    <x v="0"/>
    <s v="2025-05-21 22:25:52"/>
    <n v="4"/>
    <x v="16"/>
    <x v="1"/>
    <x v="2"/>
    <n v="1184"/>
    <n v="0"/>
    <s v="Tener ArticulsoSystem.NumberOutNumber OutSystem"/>
    <n v="12"/>
    <n v="1132.0833333333333"/>
    <n v="46.640712479614429"/>
    <n v="0.95"/>
    <n v="29.634094905050876"/>
    <n v="1052"/>
    <n v="1192"/>
  </r>
  <r>
    <x v="0"/>
    <s v="2025-05-21 22:25:52"/>
    <n v="4"/>
    <x v="17"/>
    <x v="4"/>
    <x v="3"/>
    <n v="893"/>
    <n v="0"/>
    <s v="Tener ArticulsorOrganizdor.NumberSeizedTotal Number SeizedResource"/>
    <n v="12"/>
    <n v="852.08333333333337"/>
    <n v="32.103407730002552"/>
    <n v="0.95"/>
    <n v="20.397532131659759"/>
    <n v="800"/>
    <n v="893"/>
  </r>
  <r>
    <x v="0"/>
    <s v="2025-05-21 22:25:52"/>
    <n v="4"/>
    <x v="18"/>
    <x v="5"/>
    <x v="3"/>
    <n v="0.96274032380429897"/>
    <n v="0"/>
    <s v="Tener ArticulsorOrganizdor.ScheduledUtilizationScheduled UtilizationResource"/>
    <n v="12"/>
    <n v="0.93693413710063267"/>
    <n v="3.0080475881637609E-2"/>
    <n v="0.95"/>
    <n v="1.9112222555672933E-2"/>
    <n v="0.87408888428798603"/>
    <n v="0.989515454392208"/>
  </r>
  <r>
    <x v="0"/>
    <s v="2025-05-21 22:25:52"/>
    <n v="4"/>
    <x v="19"/>
    <x v="4"/>
    <x v="3"/>
    <n v="835"/>
    <n v="0"/>
    <s v="Tener ArticulsorSacador.NumberSeizedTotal Number SeizedResource"/>
    <n v="12"/>
    <n v="795.66666666666663"/>
    <n v="34.623516268395946"/>
    <n v="0.95"/>
    <n v="21.998732705738043"/>
    <n v="737"/>
    <n v="842"/>
  </r>
  <r>
    <x v="0"/>
    <s v="2025-05-21 22:25:52"/>
    <n v="4"/>
    <x v="20"/>
    <x v="5"/>
    <x v="3"/>
    <n v="0.79676815469245998"/>
    <n v="0"/>
    <s v="Tener ArticulsorSacador.ScheduledUtilizationScheduled UtilizationResource"/>
    <n v="12"/>
    <n v="0.75499127770842467"/>
    <n v="3.0990673550046054E-2"/>
    <n v="0.95"/>
    <n v="1.9690534563658681E-2"/>
    <n v="0.70281682687036895"/>
    <n v="0.79676815469245998"/>
  </r>
  <r>
    <x v="0"/>
    <s v="2025-05-21 22:25:52"/>
    <n v="5"/>
    <x v="0"/>
    <x v="0"/>
    <x v="0"/>
    <n v="756"/>
    <n v="0"/>
    <s v="Tener ArticulsoArticulos.NumberInNumber InEntity"/>
    <n v="12"/>
    <n v="796.41666666666663"/>
    <n v="34.731328098924628"/>
    <n v="0.95"/>
    <n v="22.067233074791599"/>
    <n v="737"/>
    <n v="844"/>
  </r>
  <r>
    <x v="0"/>
    <s v="2025-05-21 22:25:52"/>
    <n v="5"/>
    <x v="1"/>
    <x v="1"/>
    <x v="0"/>
    <n v="749"/>
    <n v="0"/>
    <s v="Tener ArticulsoArticulos.NumberOutNumber OutEntity"/>
    <n v="12"/>
    <n v="783.16666666666663"/>
    <n v="31.541699191368682"/>
    <n v="0.95"/>
    <n v="20.040639553097002"/>
    <n v="730"/>
    <n v="826"/>
  </r>
  <r>
    <x v="0"/>
    <s v="2025-05-21 22:25:52"/>
    <n v="5"/>
    <x v="2"/>
    <x v="0"/>
    <x v="0"/>
    <n v="1087"/>
    <n v="0"/>
    <s v="Tener ArticulsoCarros.NumberInNumber InEntity"/>
    <n v="12"/>
    <n v="1145.9166666666667"/>
    <n v="49.73101891600696"/>
    <n v="0.95"/>
    <n v="31.597581939297463"/>
    <n v="1059"/>
    <n v="1210"/>
  </r>
  <r>
    <x v="0"/>
    <s v="2025-05-21 22:25:52"/>
    <n v="5"/>
    <x v="3"/>
    <x v="1"/>
    <x v="0"/>
    <n v="1087"/>
    <n v="0"/>
    <s v="Tener ArticulsoCarros.NumberOutNumber OutEntity"/>
    <n v="12"/>
    <n v="1145.3333333333333"/>
    <n v="49.816633464104832"/>
    <n v="0.95"/>
    <n v="31.651978827953357"/>
    <n v="1059"/>
    <n v="1210"/>
  </r>
  <r>
    <x v="0"/>
    <s v="2025-05-21 22:25:52"/>
    <n v="5"/>
    <x v="4"/>
    <x v="2"/>
    <x v="1"/>
    <n v="729.07587835771596"/>
    <n v="0"/>
    <s v="Tener ArticulsoDesembalaje Accum VA TimeAccum VA TimeProcess"/>
    <n v="12"/>
    <n v="783.216775239051"/>
    <n v="48.528923107513336"/>
    <n v="0.95"/>
    <n v="30.833806701313396"/>
    <n v="678.52271145285295"/>
    <n v="840.77730126549898"/>
  </r>
  <r>
    <x v="0"/>
    <s v="2025-05-21 22:25:52"/>
    <n v="5"/>
    <x v="5"/>
    <x v="3"/>
    <x v="1"/>
    <n v="546.46370972178704"/>
    <n v="0"/>
    <s v="Tener ArticulsoDesembalaje Accum Wait TimeAccum Wait TimeProcess"/>
    <n v="12"/>
    <n v="811.48948897731191"/>
    <n v="143.72351593510379"/>
    <n v="0.95"/>
    <n v="91.317565381747087"/>
    <n v="546.46370972178704"/>
    <n v="1012.863937084"/>
  </r>
  <r>
    <x v="0"/>
    <s v="2025-05-21 22:25:52"/>
    <n v="5"/>
    <x v="6"/>
    <x v="0"/>
    <x v="1"/>
    <n v="63"/>
    <n v="0"/>
    <s v="Tener ArticulsoDesembalaje Number InNumber InProcess"/>
    <n v="12"/>
    <n v="66"/>
    <n v="4.1560470729681676"/>
    <n v="0.95"/>
    <n v="2.640626329283204"/>
    <n v="59"/>
    <n v="70"/>
  </r>
  <r>
    <x v="0"/>
    <s v="2025-05-21 22:25:52"/>
    <n v="5"/>
    <x v="7"/>
    <x v="1"/>
    <x v="1"/>
    <n v="62"/>
    <n v="0"/>
    <s v="Tener ArticulsoDesembalaje Number OutNumber OutProcess"/>
    <n v="12"/>
    <n v="65.083333333333329"/>
    <n v="4.2310182168734691"/>
    <n v="0.95"/>
    <n v="2.6882607215451362"/>
    <n v="58"/>
    <n v="69"/>
  </r>
  <r>
    <x v="0"/>
    <s v="2025-05-21 22:25:52"/>
    <n v="5"/>
    <x v="8"/>
    <x v="2"/>
    <x v="1"/>
    <n v="1106.0350367697699"/>
    <n v="0"/>
    <s v="Tener ArticulsoOrganizar Accum VA TimeAccum VA TimeProcess"/>
    <n v="12"/>
    <n v="1181.2622276627176"/>
    <n v="50.899735842094827"/>
    <n v="0.95"/>
    <n v="32.340149247203939"/>
    <n v="1106.0350367697699"/>
    <n v="1255.97830087074"/>
  </r>
  <r>
    <x v="0"/>
    <s v="2025-05-21 22:25:52"/>
    <n v="5"/>
    <x v="9"/>
    <x v="3"/>
    <x v="1"/>
    <n v="9643.84605851171"/>
    <n v="0"/>
    <s v="Tener ArticulsoOrganizar Accum Wait TimeAccum Wait TimeProcess"/>
    <n v="12"/>
    <n v="14481.366678807759"/>
    <n v="2869.9645631781104"/>
    <n v="0.95"/>
    <n v="1823.4884871564914"/>
    <n v="9643.84605851171"/>
    <n v="18159.7018308675"/>
  </r>
  <r>
    <x v="0"/>
    <s v="2025-05-21 22:25:52"/>
    <n v="5"/>
    <x v="10"/>
    <x v="0"/>
    <x v="1"/>
    <n v="756"/>
    <n v="0"/>
    <s v="Tener ArticulsoOrganizar Number InNumber InProcess"/>
    <n v="12"/>
    <n v="794.91666666666663"/>
    <n v="34.394656914154915"/>
    <n v="0.95"/>
    <n v="21.853322409391229"/>
    <n v="737"/>
    <n v="841"/>
  </r>
  <r>
    <x v="0"/>
    <s v="2025-05-21 22:25:52"/>
    <n v="5"/>
    <x v="11"/>
    <x v="1"/>
    <x v="1"/>
    <n v="750"/>
    <n v="0"/>
    <s v="Tener ArticulsoOrganizar Number OutNumber OutProcess"/>
    <n v="12"/>
    <n v="786"/>
    <n v="32.741411087489801"/>
    <n v="0.95"/>
    <n v="20.80290012542233"/>
    <n v="732"/>
    <n v="829"/>
  </r>
  <r>
    <x v="0"/>
    <s v="2025-05-21 22:25:52"/>
    <n v="5"/>
    <x v="12"/>
    <x v="2"/>
    <x v="1"/>
    <n v="1489.7930632509899"/>
    <n v="0"/>
    <s v="Tener ArticulsoSacar Articulos Accum VA TimeAccum VA TimeProcess"/>
    <n v="12"/>
    <n v="1584.7600747574054"/>
    <n v="65.199632506816158"/>
    <n v="0.95"/>
    <n v="41.425870119928376"/>
    <n v="1473.78349566985"/>
    <n v="1673.21312485417"/>
  </r>
  <r>
    <x v="0"/>
    <s v="2025-05-21 22:25:52"/>
    <n v="5"/>
    <x v="13"/>
    <x v="3"/>
    <x v="1"/>
    <n v="1071.04239293555"/>
    <n v="0"/>
    <s v="Tener ArticulsoSacar Articulos Accum Wait TimeAccum Wait TimeProcess"/>
    <n v="12"/>
    <n v="1151.8667665386067"/>
    <n v="58.761364856103697"/>
    <n v="0.95"/>
    <n v="37.335190015744239"/>
    <n v="1064.4971115521701"/>
    <n v="1232.84038930315"/>
  </r>
  <r>
    <x v="0"/>
    <s v="2025-05-21 22:25:52"/>
    <n v="5"/>
    <x v="14"/>
    <x v="0"/>
    <x v="1"/>
    <n v="756"/>
    <n v="0"/>
    <s v="Tener ArticulsoSacar Articulos Number InNumber InProcess"/>
    <n v="12"/>
    <n v="796.41666666666663"/>
    <n v="34.731328098924628"/>
    <n v="0.95"/>
    <n v="22.067233074791599"/>
    <n v="737"/>
    <n v="844"/>
  </r>
  <r>
    <x v="0"/>
    <s v="2025-05-21 22:25:52"/>
    <n v="5"/>
    <x v="15"/>
    <x v="1"/>
    <x v="1"/>
    <n v="756"/>
    <n v="0"/>
    <s v="Tener ArticulsoSacar Articulos Number OutNumber OutProcess"/>
    <n v="12"/>
    <n v="795.08333333333337"/>
    <n v="34.510758094287411"/>
    <n v="0.95"/>
    <n v="21.927089579910728"/>
    <n v="737"/>
    <n v="841"/>
  </r>
  <r>
    <x v="0"/>
    <s v="2025-05-21 22:25:52"/>
    <n v="5"/>
    <x v="16"/>
    <x v="1"/>
    <x v="2"/>
    <n v="1080"/>
    <n v="0"/>
    <s v="Tener ArticulsoSystem.NumberOutNumber OutSystem"/>
    <n v="12"/>
    <n v="1132.0833333333333"/>
    <n v="46.640712479614429"/>
    <n v="0.95"/>
    <n v="29.634094905050876"/>
    <n v="1052"/>
    <n v="1192"/>
  </r>
  <r>
    <x v="0"/>
    <s v="2025-05-21 22:25:52"/>
    <n v="5"/>
    <x v="17"/>
    <x v="4"/>
    <x v="3"/>
    <n v="813"/>
    <n v="0"/>
    <s v="Tener ArticulsorOrganizdor.NumberSeizedTotal Number SeizedResource"/>
    <n v="12"/>
    <n v="852.08333333333337"/>
    <n v="32.103407730002552"/>
    <n v="0.95"/>
    <n v="20.397532131659759"/>
    <n v="800"/>
    <n v="893"/>
  </r>
  <r>
    <x v="0"/>
    <s v="2025-05-21 22:25:52"/>
    <n v="5"/>
    <x v="18"/>
    <x v="5"/>
    <x v="3"/>
    <n v="0.87408888428798603"/>
    <n v="0"/>
    <s v="Tener ArticulsorOrganizdor.ScheduledUtilizationScheduled UtilizationResource"/>
    <n v="12"/>
    <n v="0.93693413710063267"/>
    <n v="3.0080475881637609E-2"/>
    <n v="0.95"/>
    <n v="1.9112222555672933E-2"/>
    <n v="0.87408888428798603"/>
    <n v="0.989515454392208"/>
  </r>
  <r>
    <x v="0"/>
    <s v="2025-05-21 22:25:52"/>
    <n v="5"/>
    <x v="19"/>
    <x v="4"/>
    <x v="3"/>
    <n v="756"/>
    <n v="0"/>
    <s v="Tener ArticulsorSacador.NumberSeizedTotal Number SeizedResource"/>
    <n v="12"/>
    <n v="795.66666666666663"/>
    <n v="34.623516268395946"/>
    <n v="0.95"/>
    <n v="21.998732705738043"/>
    <n v="737"/>
    <n v="842"/>
  </r>
  <r>
    <x v="0"/>
    <s v="2025-05-21 22:25:52"/>
    <n v="5"/>
    <x v="20"/>
    <x v="5"/>
    <x v="3"/>
    <n v="0.70942526821475904"/>
    <n v="0"/>
    <s v="Tener ArticulsorSacador.ScheduledUtilizationScheduled UtilizationResource"/>
    <n v="12"/>
    <n v="0.75499127770842467"/>
    <n v="3.0990673550046054E-2"/>
    <n v="0.95"/>
    <n v="1.9690534563658681E-2"/>
    <n v="0.70281682687036895"/>
    <n v="0.79676815469245998"/>
  </r>
  <r>
    <x v="0"/>
    <s v="2025-05-21 22:25:52"/>
    <n v="6"/>
    <x v="0"/>
    <x v="0"/>
    <x v="0"/>
    <n v="801"/>
    <n v="0"/>
    <s v="Tener ArticulsoArticulos.NumberInNumber InEntity"/>
    <n v="12"/>
    <n v="796.41666666666663"/>
    <n v="34.731328098924628"/>
    <n v="0.95"/>
    <n v="22.067233074791599"/>
    <n v="737"/>
    <n v="844"/>
  </r>
  <r>
    <x v="0"/>
    <s v="2025-05-21 22:25:52"/>
    <n v="6"/>
    <x v="1"/>
    <x v="1"/>
    <x v="0"/>
    <n v="788"/>
    <n v="0"/>
    <s v="Tener ArticulsoArticulos.NumberOutNumber OutEntity"/>
    <n v="12"/>
    <n v="783.16666666666663"/>
    <n v="31.541699191368682"/>
    <n v="0.95"/>
    <n v="20.040639553097002"/>
    <n v="730"/>
    <n v="826"/>
  </r>
  <r>
    <x v="0"/>
    <s v="2025-05-21 22:25:52"/>
    <n v="6"/>
    <x v="2"/>
    <x v="0"/>
    <x v="0"/>
    <n v="1154"/>
    <n v="0"/>
    <s v="Tener ArticulsoCarros.NumberInNumber InEntity"/>
    <n v="12"/>
    <n v="1145.9166666666667"/>
    <n v="49.73101891600696"/>
    <n v="0.95"/>
    <n v="31.597581939297463"/>
    <n v="1059"/>
    <n v="1210"/>
  </r>
  <r>
    <x v="0"/>
    <s v="2025-05-21 22:25:52"/>
    <n v="6"/>
    <x v="3"/>
    <x v="1"/>
    <x v="0"/>
    <n v="1152"/>
    <n v="0"/>
    <s v="Tener ArticulsoCarros.NumberOutNumber OutEntity"/>
    <n v="12"/>
    <n v="1145.3333333333333"/>
    <n v="49.816633464104832"/>
    <n v="0.95"/>
    <n v="31.651978827953357"/>
    <n v="1059"/>
    <n v="1210"/>
  </r>
  <r>
    <x v="0"/>
    <s v="2025-05-21 22:25:52"/>
    <n v="6"/>
    <x v="4"/>
    <x v="2"/>
    <x v="1"/>
    <n v="807.34076275448695"/>
    <n v="0"/>
    <s v="Tener ArticulsoDesembalaje Accum VA TimeAccum VA TimeProcess"/>
    <n v="12"/>
    <n v="783.216775239051"/>
    <n v="48.528923107513336"/>
    <n v="0.95"/>
    <n v="30.833806701313396"/>
    <n v="678.52271145285295"/>
    <n v="840.77730126549898"/>
  </r>
  <r>
    <x v="0"/>
    <s v="2025-05-21 22:25:52"/>
    <n v="6"/>
    <x v="5"/>
    <x v="3"/>
    <x v="1"/>
    <n v="810.45621651721899"/>
    <n v="0"/>
    <s v="Tener ArticulsoDesembalaje Accum Wait TimeAccum Wait TimeProcess"/>
    <n v="12"/>
    <n v="811.48948897731191"/>
    <n v="143.72351593510379"/>
    <n v="0.95"/>
    <n v="91.317565381747087"/>
    <n v="546.46370972178704"/>
    <n v="1012.863937084"/>
  </r>
  <r>
    <x v="0"/>
    <s v="2025-05-21 22:25:52"/>
    <n v="6"/>
    <x v="6"/>
    <x v="0"/>
    <x v="1"/>
    <n v="70"/>
    <n v="0"/>
    <s v="Tener ArticulsoDesembalaje Number InNumber InProcess"/>
    <n v="12"/>
    <n v="66"/>
    <n v="4.1560470729681676"/>
    <n v="0.95"/>
    <n v="2.640626329283204"/>
    <n v="59"/>
    <n v="70"/>
  </r>
  <r>
    <x v="0"/>
    <s v="2025-05-21 22:25:52"/>
    <n v="6"/>
    <x v="7"/>
    <x v="1"/>
    <x v="1"/>
    <n v="69"/>
    <n v="0"/>
    <s v="Tener ArticulsoDesembalaje Number OutNumber OutProcess"/>
    <n v="12"/>
    <n v="65.083333333333329"/>
    <n v="4.2310182168734691"/>
    <n v="0.95"/>
    <n v="2.6882607215451362"/>
    <n v="58"/>
    <n v="69"/>
  </r>
  <r>
    <x v="0"/>
    <s v="2025-05-21 22:25:52"/>
    <n v="6"/>
    <x v="8"/>
    <x v="2"/>
    <x v="1"/>
    <n v="1179.90952209083"/>
    <n v="0"/>
    <s v="Tener ArticulsoOrganizar Accum VA TimeAccum VA TimeProcess"/>
    <n v="12"/>
    <n v="1181.2622276627176"/>
    <n v="50.899735842094827"/>
    <n v="0.95"/>
    <n v="32.340149247203939"/>
    <n v="1106.0350367697699"/>
    <n v="1255.97830087074"/>
  </r>
  <r>
    <x v="0"/>
    <s v="2025-05-21 22:25:52"/>
    <n v="6"/>
    <x v="9"/>
    <x v="3"/>
    <x v="1"/>
    <n v="13597.8519073392"/>
    <n v="0"/>
    <s v="Tener ArticulsoOrganizar Accum Wait TimeAccum Wait TimeProcess"/>
    <n v="12"/>
    <n v="14481.366678807759"/>
    <n v="2869.9645631781104"/>
    <n v="0.95"/>
    <n v="1823.4884871564914"/>
    <n v="9643.84605851171"/>
    <n v="18159.7018308675"/>
  </r>
  <r>
    <x v="0"/>
    <s v="2025-05-21 22:25:52"/>
    <n v="6"/>
    <x v="10"/>
    <x v="0"/>
    <x v="1"/>
    <n v="798"/>
    <n v="0"/>
    <s v="Tener ArticulsoOrganizar Number InNumber InProcess"/>
    <n v="12"/>
    <n v="794.91666666666663"/>
    <n v="34.394656914154915"/>
    <n v="0.95"/>
    <n v="21.853322409391229"/>
    <n v="737"/>
    <n v="841"/>
  </r>
  <r>
    <x v="0"/>
    <s v="2025-05-21 22:25:52"/>
    <n v="6"/>
    <x v="11"/>
    <x v="1"/>
    <x v="1"/>
    <n v="790"/>
    <n v="0"/>
    <s v="Tener ArticulsoOrganizar Number OutNumber OutProcess"/>
    <n v="12"/>
    <n v="786"/>
    <n v="32.741411087489801"/>
    <n v="0.95"/>
    <n v="20.80290012542233"/>
    <n v="732"/>
    <n v="829"/>
  </r>
  <r>
    <x v="0"/>
    <s v="2025-05-21 22:25:52"/>
    <n v="6"/>
    <x v="12"/>
    <x v="2"/>
    <x v="1"/>
    <n v="1633.0253864138899"/>
    <n v="0"/>
    <s v="Tener ArticulsoSacar Articulos Accum VA TimeAccum VA TimeProcess"/>
    <n v="12"/>
    <n v="1584.7600747574054"/>
    <n v="65.199632506816158"/>
    <n v="0.95"/>
    <n v="41.425870119928376"/>
    <n v="1473.78349566985"/>
    <n v="1673.21312485417"/>
  </r>
  <r>
    <x v="0"/>
    <s v="2025-05-21 22:25:52"/>
    <n v="6"/>
    <x v="13"/>
    <x v="3"/>
    <x v="1"/>
    <n v="1218.5243876613599"/>
    <n v="0"/>
    <s v="Tener ArticulsoSacar Articulos Accum Wait TimeAccum Wait TimeProcess"/>
    <n v="12"/>
    <n v="1151.8667665386067"/>
    <n v="58.761364856103697"/>
    <n v="0.95"/>
    <n v="37.335190015744239"/>
    <n v="1064.4971115521701"/>
    <n v="1232.84038930315"/>
  </r>
  <r>
    <x v="0"/>
    <s v="2025-05-21 22:25:52"/>
    <n v="6"/>
    <x v="14"/>
    <x v="0"/>
    <x v="1"/>
    <n v="801"/>
    <n v="0"/>
    <s v="Tener ArticulsoSacar Articulos Number InNumber InProcess"/>
    <n v="12"/>
    <n v="796.41666666666663"/>
    <n v="34.731328098924628"/>
    <n v="0.95"/>
    <n v="22.067233074791599"/>
    <n v="737"/>
    <n v="844"/>
  </r>
  <r>
    <x v="0"/>
    <s v="2025-05-21 22:25:52"/>
    <n v="6"/>
    <x v="15"/>
    <x v="1"/>
    <x v="1"/>
    <n v="798"/>
    <n v="0"/>
    <s v="Tener ArticulsoSacar Articulos Number OutNumber OutProcess"/>
    <n v="12"/>
    <n v="795.08333333333337"/>
    <n v="34.510758094287411"/>
    <n v="0.95"/>
    <n v="21.927089579910728"/>
    <n v="737"/>
    <n v="841"/>
  </r>
  <r>
    <x v="0"/>
    <s v="2025-05-21 22:25:52"/>
    <n v="6"/>
    <x v="16"/>
    <x v="1"/>
    <x v="2"/>
    <n v="1139"/>
    <n v="0"/>
    <s v="Tener ArticulsoSystem.NumberOutNumber OutSystem"/>
    <n v="12"/>
    <n v="1132.0833333333333"/>
    <n v="46.640712479614429"/>
    <n v="0.95"/>
    <n v="29.634094905050876"/>
    <n v="1052"/>
    <n v="1192"/>
  </r>
  <r>
    <x v="0"/>
    <s v="2025-05-21 22:25:52"/>
    <n v="6"/>
    <x v="17"/>
    <x v="4"/>
    <x v="3"/>
    <n v="860"/>
    <n v="0"/>
    <s v="Tener ArticulsorOrganizdor.NumberSeizedTotal Number SeizedResource"/>
    <n v="12"/>
    <n v="852.08333333333337"/>
    <n v="32.103407730002552"/>
    <n v="0.95"/>
    <n v="20.397532131659759"/>
    <n v="800"/>
    <n v="893"/>
  </r>
  <r>
    <x v="0"/>
    <s v="2025-05-21 22:25:52"/>
    <n v="6"/>
    <x v="18"/>
    <x v="5"/>
    <x v="3"/>
    <n v="0.95118807722640097"/>
    <n v="0"/>
    <s v="Tener ArticulsorOrganizdor.ScheduledUtilizationScheduled UtilizationResource"/>
    <n v="12"/>
    <n v="0.93693413710063267"/>
    <n v="3.0080475881637609E-2"/>
    <n v="0.95"/>
    <n v="1.9112222555672933E-2"/>
    <n v="0.87408888428798603"/>
    <n v="0.989515454392208"/>
  </r>
  <r>
    <x v="0"/>
    <s v="2025-05-21 22:25:52"/>
    <n v="6"/>
    <x v="19"/>
    <x v="4"/>
    <x v="3"/>
    <n v="799"/>
    <n v="0"/>
    <s v="Tener ArticulsorSacador.NumberSeizedTotal Number SeizedResource"/>
    <n v="12"/>
    <n v="795.66666666666663"/>
    <n v="34.623516268395946"/>
    <n v="0.95"/>
    <n v="21.998732705738043"/>
    <n v="737"/>
    <n v="842"/>
  </r>
  <r>
    <x v="0"/>
    <s v="2025-05-21 22:25:52"/>
    <n v="6"/>
    <x v="20"/>
    <x v="5"/>
    <x v="3"/>
    <n v="0.77794878116621502"/>
    <n v="0"/>
    <s v="Tener ArticulsorSacador.ScheduledUtilizationScheduled UtilizationResource"/>
    <n v="12"/>
    <n v="0.75499127770842467"/>
    <n v="3.0990673550046054E-2"/>
    <n v="0.95"/>
    <n v="1.9690534563658681E-2"/>
    <n v="0.70281682687036895"/>
    <n v="0.79676815469245998"/>
  </r>
  <r>
    <x v="0"/>
    <s v="2025-05-21 22:25:52"/>
    <n v="7"/>
    <x v="0"/>
    <x v="0"/>
    <x v="0"/>
    <n v="747"/>
    <n v="0"/>
    <s v="Tener ArticulsoArticulos.NumberInNumber InEntity"/>
    <n v="12"/>
    <n v="796.41666666666663"/>
    <n v="34.731328098924628"/>
    <n v="0.95"/>
    <n v="22.067233074791599"/>
    <n v="737"/>
    <n v="844"/>
  </r>
  <r>
    <x v="0"/>
    <s v="2025-05-21 22:25:52"/>
    <n v="7"/>
    <x v="1"/>
    <x v="1"/>
    <x v="0"/>
    <n v="734"/>
    <n v="0"/>
    <s v="Tener ArticulsoArticulos.NumberOutNumber OutEntity"/>
    <n v="12"/>
    <n v="783.16666666666663"/>
    <n v="31.541699191368682"/>
    <n v="0.95"/>
    <n v="20.040639553097002"/>
    <n v="730"/>
    <n v="826"/>
  </r>
  <r>
    <x v="0"/>
    <s v="2025-05-21 22:25:52"/>
    <n v="7"/>
    <x v="2"/>
    <x v="0"/>
    <x v="0"/>
    <n v="1073"/>
    <n v="0"/>
    <s v="Tener ArticulsoCarros.NumberInNumber InEntity"/>
    <n v="12"/>
    <n v="1145.9166666666667"/>
    <n v="49.73101891600696"/>
    <n v="0.95"/>
    <n v="31.597581939297463"/>
    <n v="1059"/>
    <n v="1210"/>
  </r>
  <r>
    <x v="0"/>
    <s v="2025-05-21 22:25:52"/>
    <n v="7"/>
    <x v="3"/>
    <x v="1"/>
    <x v="0"/>
    <n v="1072"/>
    <n v="0"/>
    <s v="Tener ArticulsoCarros.NumberOutNumber OutEntity"/>
    <n v="12"/>
    <n v="1145.3333333333333"/>
    <n v="49.816633464104832"/>
    <n v="0.95"/>
    <n v="31.651978827953357"/>
    <n v="1059"/>
    <n v="1210"/>
  </r>
  <r>
    <x v="0"/>
    <s v="2025-05-21 22:25:52"/>
    <n v="7"/>
    <x v="4"/>
    <x v="2"/>
    <x v="1"/>
    <n v="809.33965556695796"/>
    <n v="0"/>
    <s v="Tener ArticulsoDesembalaje Accum VA TimeAccum VA TimeProcess"/>
    <n v="12"/>
    <n v="783.216775239051"/>
    <n v="48.528923107513336"/>
    <n v="0.95"/>
    <n v="30.833806701313396"/>
    <n v="678.52271145285295"/>
    <n v="840.77730126549898"/>
  </r>
  <r>
    <x v="0"/>
    <s v="2025-05-21 22:25:52"/>
    <n v="7"/>
    <x v="5"/>
    <x v="3"/>
    <x v="1"/>
    <n v="664.58317038553605"/>
    <n v="0"/>
    <s v="Tener ArticulsoDesembalaje Accum Wait TimeAccum Wait TimeProcess"/>
    <n v="12"/>
    <n v="811.48948897731191"/>
    <n v="143.72351593510379"/>
    <n v="0.95"/>
    <n v="91.317565381747087"/>
    <n v="546.46370972178704"/>
    <n v="1012.863937084"/>
  </r>
  <r>
    <x v="0"/>
    <s v="2025-05-21 22:25:52"/>
    <n v="7"/>
    <x v="6"/>
    <x v="0"/>
    <x v="1"/>
    <n v="69"/>
    <n v="0"/>
    <s v="Tener ArticulsoDesembalaje Number InNumber InProcess"/>
    <n v="12"/>
    <n v="66"/>
    <n v="4.1560470729681676"/>
    <n v="0.95"/>
    <n v="2.640626329283204"/>
    <n v="59"/>
    <n v="70"/>
  </r>
  <r>
    <x v="0"/>
    <s v="2025-05-21 22:25:52"/>
    <n v="7"/>
    <x v="7"/>
    <x v="1"/>
    <x v="1"/>
    <n v="68"/>
    <n v="0"/>
    <s v="Tener ArticulsoDesembalaje Number OutNumber OutProcess"/>
    <n v="12"/>
    <n v="65.083333333333329"/>
    <n v="4.2310182168734691"/>
    <n v="0.95"/>
    <n v="2.6882607215451362"/>
    <n v="58"/>
    <n v="69"/>
  </r>
  <r>
    <x v="0"/>
    <s v="2025-05-21 22:25:52"/>
    <n v="7"/>
    <x v="8"/>
    <x v="2"/>
    <x v="1"/>
    <n v="1106.87289266065"/>
    <n v="0"/>
    <s v="Tener ArticulsoOrganizar Accum VA TimeAccum VA TimeProcess"/>
    <n v="12"/>
    <n v="1181.2622276627176"/>
    <n v="50.899735842094827"/>
    <n v="0.95"/>
    <n v="32.340149247203939"/>
    <n v="1106.0350367697699"/>
    <n v="1255.97830087074"/>
  </r>
  <r>
    <x v="0"/>
    <s v="2025-05-21 22:25:52"/>
    <n v="7"/>
    <x v="9"/>
    <x v="3"/>
    <x v="1"/>
    <n v="10656.265383156"/>
    <n v="0"/>
    <s v="Tener ArticulsoOrganizar Accum Wait TimeAccum Wait TimeProcess"/>
    <n v="12"/>
    <n v="14481.366678807759"/>
    <n v="2869.9645631781104"/>
    <n v="0.95"/>
    <n v="1823.4884871564914"/>
    <n v="9643.84605851171"/>
    <n v="18159.7018308675"/>
  </r>
  <r>
    <x v="0"/>
    <s v="2025-05-21 22:25:52"/>
    <n v="7"/>
    <x v="10"/>
    <x v="0"/>
    <x v="1"/>
    <n v="744"/>
    <n v="0"/>
    <s v="Tener ArticulsoOrganizar Number InNumber InProcess"/>
    <n v="12"/>
    <n v="794.91666666666663"/>
    <n v="34.394656914154915"/>
    <n v="0.95"/>
    <n v="21.853322409391229"/>
    <n v="737"/>
    <n v="841"/>
  </r>
  <r>
    <x v="0"/>
    <s v="2025-05-21 22:25:52"/>
    <n v="7"/>
    <x v="11"/>
    <x v="1"/>
    <x v="1"/>
    <n v="735"/>
    <n v="0"/>
    <s v="Tener ArticulsoOrganizar Number OutNumber OutProcess"/>
    <n v="12"/>
    <n v="786"/>
    <n v="32.741411087489801"/>
    <n v="0.95"/>
    <n v="20.80290012542233"/>
    <n v="732"/>
    <n v="829"/>
  </r>
  <r>
    <x v="0"/>
    <s v="2025-05-21 22:25:52"/>
    <n v="7"/>
    <x v="12"/>
    <x v="2"/>
    <x v="1"/>
    <n v="1473.78349566985"/>
    <n v="0"/>
    <s v="Tener ArticulsoSacar Articulos Accum VA TimeAccum VA TimeProcess"/>
    <n v="12"/>
    <n v="1584.7600747574054"/>
    <n v="65.199632506816158"/>
    <n v="0.95"/>
    <n v="41.425870119928376"/>
    <n v="1473.78349566985"/>
    <n v="1673.21312485417"/>
  </r>
  <r>
    <x v="0"/>
    <s v="2025-05-21 22:25:52"/>
    <n v="7"/>
    <x v="13"/>
    <x v="3"/>
    <x v="1"/>
    <n v="1064.4971115521701"/>
    <n v="0"/>
    <s v="Tener ArticulsoSacar Articulos Accum Wait TimeAccum Wait TimeProcess"/>
    <n v="12"/>
    <n v="1151.8667665386067"/>
    <n v="58.761364856103697"/>
    <n v="0.95"/>
    <n v="37.335190015744239"/>
    <n v="1064.4971115521701"/>
    <n v="1232.84038930315"/>
  </r>
  <r>
    <x v="0"/>
    <s v="2025-05-21 22:25:52"/>
    <n v="7"/>
    <x v="14"/>
    <x v="0"/>
    <x v="1"/>
    <n v="747"/>
    <n v="0"/>
    <s v="Tener ArticulsoSacar Articulos Number InNumber InProcess"/>
    <n v="12"/>
    <n v="796.41666666666663"/>
    <n v="34.731328098924628"/>
    <n v="0.95"/>
    <n v="22.067233074791599"/>
    <n v="737"/>
    <n v="844"/>
  </r>
  <r>
    <x v="0"/>
    <s v="2025-05-21 22:25:52"/>
    <n v="7"/>
    <x v="15"/>
    <x v="1"/>
    <x v="1"/>
    <n v="744"/>
    <n v="0"/>
    <s v="Tener ArticulsoSacar Articulos Number OutNumber OutProcess"/>
    <n v="12"/>
    <n v="795.08333333333337"/>
    <n v="34.510758094287411"/>
    <n v="0.95"/>
    <n v="21.927089579910728"/>
    <n v="737"/>
    <n v="841"/>
  </r>
  <r>
    <x v="0"/>
    <s v="2025-05-21 22:25:52"/>
    <n v="7"/>
    <x v="16"/>
    <x v="1"/>
    <x v="2"/>
    <n v="1059"/>
    <n v="0"/>
    <s v="Tener ArticulsoSystem.NumberOutNumber OutSystem"/>
    <n v="12"/>
    <n v="1132.0833333333333"/>
    <n v="46.640712479614429"/>
    <n v="0.95"/>
    <n v="29.634094905050876"/>
    <n v="1052"/>
    <n v="1192"/>
  </r>
  <r>
    <x v="0"/>
    <s v="2025-05-21 22:25:52"/>
    <n v="7"/>
    <x v="17"/>
    <x v="4"/>
    <x v="3"/>
    <n v="804"/>
    <n v="0"/>
    <s v="Tener ArticulsorOrganizdor.NumberSeizedTotal Number SeizedResource"/>
    <n v="12"/>
    <n v="852.08333333333337"/>
    <n v="32.103407730002552"/>
    <n v="0.95"/>
    <n v="20.397532131659759"/>
    <n v="800"/>
    <n v="893"/>
  </r>
  <r>
    <x v="0"/>
    <s v="2025-05-21 22:25:52"/>
    <n v="7"/>
    <x v="18"/>
    <x v="5"/>
    <x v="3"/>
    <n v="0.91448050938635805"/>
    <n v="0"/>
    <s v="Tener ArticulsorOrganizdor.ScheduledUtilizationScheduled UtilizationResource"/>
    <n v="12"/>
    <n v="0.93693413710063267"/>
    <n v="3.0080475881637609E-2"/>
    <n v="0.95"/>
    <n v="1.9112222555672933E-2"/>
    <n v="0.87408888428798603"/>
    <n v="0.989515454392208"/>
  </r>
  <r>
    <x v="0"/>
    <s v="2025-05-21 22:25:52"/>
    <n v="7"/>
    <x v="19"/>
    <x v="4"/>
    <x v="3"/>
    <n v="745"/>
    <n v="0"/>
    <s v="Tener ArticulsorSacador.NumberSeizedTotal Number SeizedResource"/>
    <n v="12"/>
    <n v="795.66666666666663"/>
    <n v="34.623516268395946"/>
    <n v="0.95"/>
    <n v="21.998732705738043"/>
    <n v="737"/>
    <n v="842"/>
  </r>
  <r>
    <x v="0"/>
    <s v="2025-05-21 22:25:52"/>
    <n v="7"/>
    <x v="20"/>
    <x v="5"/>
    <x v="3"/>
    <n v="0.70281682687036895"/>
    <n v="0"/>
    <s v="Tener ArticulsorSacador.ScheduledUtilizationScheduled UtilizationResource"/>
    <n v="12"/>
    <n v="0.75499127770842467"/>
    <n v="3.0990673550046054E-2"/>
    <n v="0.95"/>
    <n v="1.9690534563658681E-2"/>
    <n v="0.70281682687036895"/>
    <n v="0.79676815469245998"/>
  </r>
  <r>
    <x v="0"/>
    <s v="2025-05-21 22:25:52"/>
    <n v="8"/>
    <x v="0"/>
    <x v="0"/>
    <x v="0"/>
    <n v="813"/>
    <n v="0"/>
    <s v="Tener ArticulsoArticulos.NumberInNumber InEntity"/>
    <n v="12"/>
    <n v="796.41666666666663"/>
    <n v="34.731328098924628"/>
    <n v="0.95"/>
    <n v="22.067233074791599"/>
    <n v="737"/>
    <n v="844"/>
  </r>
  <r>
    <x v="0"/>
    <s v="2025-05-21 22:25:52"/>
    <n v="8"/>
    <x v="1"/>
    <x v="1"/>
    <x v="0"/>
    <n v="784"/>
    <n v="0"/>
    <s v="Tener ArticulsoArticulos.NumberOutNumber OutEntity"/>
    <n v="12"/>
    <n v="783.16666666666663"/>
    <n v="31.541699191368682"/>
    <n v="0.95"/>
    <n v="20.040639553097002"/>
    <n v="730"/>
    <n v="826"/>
  </r>
  <r>
    <x v="0"/>
    <s v="2025-05-21 22:25:52"/>
    <n v="8"/>
    <x v="2"/>
    <x v="0"/>
    <x v="0"/>
    <n v="1166"/>
    <n v="0"/>
    <s v="Tener ArticulsoCarros.NumberInNumber InEntity"/>
    <n v="12"/>
    <n v="1145.9166666666667"/>
    <n v="49.73101891600696"/>
    <n v="0.95"/>
    <n v="31.597581939297463"/>
    <n v="1059"/>
    <n v="1210"/>
  </r>
  <r>
    <x v="0"/>
    <s v="2025-05-21 22:25:52"/>
    <n v="8"/>
    <x v="3"/>
    <x v="1"/>
    <x v="0"/>
    <n v="1166"/>
    <n v="0"/>
    <s v="Tener ArticulsoCarros.NumberOutNumber OutEntity"/>
    <n v="12"/>
    <n v="1145.3333333333333"/>
    <n v="49.816633464104832"/>
    <n v="0.95"/>
    <n v="31.651978827953357"/>
    <n v="1059"/>
    <n v="1210"/>
  </r>
  <r>
    <x v="0"/>
    <s v="2025-05-21 22:25:52"/>
    <n v="8"/>
    <x v="4"/>
    <x v="2"/>
    <x v="1"/>
    <n v="737.60675753834903"/>
    <n v="0"/>
    <s v="Tener ArticulsoDesembalaje Accum VA TimeAccum VA TimeProcess"/>
    <n v="12"/>
    <n v="783.216775239051"/>
    <n v="48.528923107513336"/>
    <n v="0.95"/>
    <n v="30.833806701313396"/>
    <n v="678.52271145285295"/>
    <n v="840.77730126549898"/>
  </r>
  <r>
    <x v="0"/>
    <s v="2025-05-21 22:25:52"/>
    <n v="8"/>
    <x v="5"/>
    <x v="3"/>
    <x v="1"/>
    <n v="787.62689423678"/>
    <n v="0"/>
    <s v="Tener ArticulsoDesembalaje Accum Wait TimeAccum Wait TimeProcess"/>
    <n v="12"/>
    <n v="811.48948897731191"/>
    <n v="143.72351593510379"/>
    <n v="0.95"/>
    <n v="91.317565381747087"/>
    <n v="546.46370972178704"/>
    <n v="1012.863937084"/>
  </r>
  <r>
    <x v="0"/>
    <s v="2025-05-21 22:25:52"/>
    <n v="8"/>
    <x v="6"/>
    <x v="0"/>
    <x v="1"/>
    <n v="59"/>
    <n v="0"/>
    <s v="Tener ArticulsoDesembalaje Number InNumber InProcess"/>
    <n v="12"/>
    <n v="66"/>
    <n v="4.1560470729681676"/>
    <n v="0.95"/>
    <n v="2.640626329283204"/>
    <n v="59"/>
    <n v="70"/>
  </r>
  <r>
    <x v="0"/>
    <s v="2025-05-21 22:25:52"/>
    <n v="8"/>
    <x v="7"/>
    <x v="1"/>
    <x v="1"/>
    <n v="58"/>
    <n v="0"/>
    <s v="Tener ArticulsoDesembalaje Number OutNumber OutProcess"/>
    <n v="12"/>
    <n v="65.083333333333329"/>
    <n v="4.2310182168734691"/>
    <n v="0.95"/>
    <n v="2.6882607215451362"/>
    <n v="58"/>
    <n v="69"/>
  </r>
  <r>
    <x v="0"/>
    <s v="2025-05-21 22:25:52"/>
    <n v="8"/>
    <x v="8"/>
    <x v="2"/>
    <x v="1"/>
    <n v="1195.60883011186"/>
    <n v="0"/>
    <s v="Tener ArticulsoOrganizar Accum VA TimeAccum VA TimeProcess"/>
    <n v="12"/>
    <n v="1181.2622276627176"/>
    <n v="50.899735842094827"/>
    <n v="0.95"/>
    <n v="32.340149247203939"/>
    <n v="1106.0350367697699"/>
    <n v="1255.97830087074"/>
  </r>
  <r>
    <x v="0"/>
    <s v="2025-05-21 22:25:52"/>
    <n v="8"/>
    <x v="9"/>
    <x v="3"/>
    <x v="1"/>
    <n v="16007.2843587796"/>
    <n v="0"/>
    <s v="Tener ArticulsoOrganizar Accum Wait TimeAccum Wait TimeProcess"/>
    <n v="12"/>
    <n v="14481.366678807759"/>
    <n v="2869.9645631781104"/>
    <n v="0.95"/>
    <n v="1823.4884871564914"/>
    <n v="9643.84605851171"/>
    <n v="18159.7018308675"/>
  </r>
  <r>
    <x v="0"/>
    <s v="2025-05-21 22:25:52"/>
    <n v="8"/>
    <x v="10"/>
    <x v="0"/>
    <x v="1"/>
    <n v="813"/>
    <n v="0"/>
    <s v="Tener ArticulsoOrganizar Number InNumber InProcess"/>
    <n v="12"/>
    <n v="794.91666666666663"/>
    <n v="34.394656914154915"/>
    <n v="0.95"/>
    <n v="21.853322409391229"/>
    <n v="737"/>
    <n v="841"/>
  </r>
  <r>
    <x v="0"/>
    <s v="2025-05-21 22:25:52"/>
    <n v="8"/>
    <x v="11"/>
    <x v="1"/>
    <x v="1"/>
    <n v="791"/>
    <n v="0"/>
    <s v="Tener ArticulsoOrganizar Number OutNumber OutProcess"/>
    <n v="12"/>
    <n v="786"/>
    <n v="32.741411087489801"/>
    <n v="0.95"/>
    <n v="20.80290012542233"/>
    <n v="732"/>
    <n v="829"/>
  </r>
  <r>
    <x v="0"/>
    <s v="2025-05-21 22:25:52"/>
    <n v="8"/>
    <x v="12"/>
    <x v="2"/>
    <x v="1"/>
    <n v="1610.3179613770101"/>
    <n v="0"/>
    <s v="Tener ArticulsoSacar Articulos Accum VA TimeAccum VA TimeProcess"/>
    <n v="12"/>
    <n v="1584.7600747574054"/>
    <n v="65.199632506816158"/>
    <n v="0.95"/>
    <n v="41.425870119928376"/>
    <n v="1473.78349566985"/>
    <n v="1673.21312485417"/>
  </r>
  <r>
    <x v="0"/>
    <s v="2025-05-21 22:25:52"/>
    <n v="8"/>
    <x v="13"/>
    <x v="3"/>
    <x v="1"/>
    <n v="1175.0286834881799"/>
    <n v="0"/>
    <s v="Tener ArticulsoSacar Articulos Accum Wait TimeAccum Wait TimeProcess"/>
    <n v="12"/>
    <n v="1151.8667665386067"/>
    <n v="58.761364856103697"/>
    <n v="0.95"/>
    <n v="37.335190015744239"/>
    <n v="1064.4971115521701"/>
    <n v="1232.84038930315"/>
  </r>
  <r>
    <x v="0"/>
    <s v="2025-05-21 22:25:52"/>
    <n v="8"/>
    <x v="14"/>
    <x v="0"/>
    <x v="1"/>
    <n v="813"/>
    <n v="0"/>
    <s v="Tener ArticulsoSacar Articulos Number InNumber InProcess"/>
    <n v="12"/>
    <n v="796.41666666666663"/>
    <n v="34.731328098924628"/>
    <n v="0.95"/>
    <n v="22.067233074791599"/>
    <n v="737"/>
    <n v="844"/>
  </r>
  <r>
    <x v="0"/>
    <s v="2025-05-21 22:25:52"/>
    <n v="8"/>
    <x v="15"/>
    <x v="1"/>
    <x v="1"/>
    <n v="813"/>
    <n v="0"/>
    <s v="Tener ArticulsoSacar Articulos Number OutNumber OutProcess"/>
    <n v="12"/>
    <n v="795.08333333333337"/>
    <n v="34.510758094287411"/>
    <n v="0.95"/>
    <n v="21.927089579910728"/>
    <n v="737"/>
    <n v="841"/>
  </r>
  <r>
    <x v="0"/>
    <s v="2025-05-21 22:25:52"/>
    <n v="8"/>
    <x v="16"/>
    <x v="1"/>
    <x v="2"/>
    <n v="1137"/>
    <n v="0"/>
    <s v="Tener ArticulsoSystem.NumberOutNumber OutSystem"/>
    <n v="12"/>
    <n v="1132.0833333333333"/>
    <n v="46.640712479614429"/>
    <n v="0.95"/>
    <n v="29.634094905050876"/>
    <n v="1052"/>
    <n v="1192"/>
  </r>
  <r>
    <x v="0"/>
    <s v="2025-05-21 22:25:52"/>
    <n v="8"/>
    <x v="17"/>
    <x v="4"/>
    <x v="3"/>
    <n v="850"/>
    <n v="0"/>
    <s v="Tener ArticulsorOrganizdor.NumberSeizedTotal Number SeizedResource"/>
    <n v="12"/>
    <n v="852.08333333333337"/>
    <n v="32.103407730002552"/>
    <n v="0.95"/>
    <n v="20.397532131659759"/>
    <n v="800"/>
    <n v="893"/>
  </r>
  <r>
    <x v="0"/>
    <s v="2025-05-21 22:25:52"/>
    <n v="8"/>
    <x v="18"/>
    <x v="5"/>
    <x v="3"/>
    <n v="0.92216547893183298"/>
    <n v="0"/>
    <s v="Tener ArticulsorOrganizdor.ScheduledUtilizationScheduled UtilizationResource"/>
    <n v="12"/>
    <n v="0.93693413710063267"/>
    <n v="3.0080475881637609E-2"/>
    <n v="0.95"/>
    <n v="1.9112222555672933E-2"/>
    <n v="0.87408888428798603"/>
    <n v="0.989515454392208"/>
  </r>
  <r>
    <x v="0"/>
    <s v="2025-05-21 22:25:52"/>
    <n v="8"/>
    <x v="19"/>
    <x v="4"/>
    <x v="3"/>
    <n v="813"/>
    <n v="0"/>
    <s v="Tener ArticulsorSacador.NumberSeizedTotal Number SeizedResource"/>
    <n v="12"/>
    <n v="795.66666666666663"/>
    <n v="34.623516268395946"/>
    <n v="0.95"/>
    <n v="21.998732705738043"/>
    <n v="737"/>
    <n v="842"/>
  </r>
  <r>
    <x v="0"/>
    <s v="2025-05-21 22:25:52"/>
    <n v="8"/>
    <x v="20"/>
    <x v="5"/>
    <x v="3"/>
    <n v="0.76681807684619496"/>
    <n v="0"/>
    <s v="Tener ArticulsorSacador.ScheduledUtilizationScheduled UtilizationResource"/>
    <n v="12"/>
    <n v="0.75499127770842467"/>
    <n v="3.0990673550046054E-2"/>
    <n v="0.95"/>
    <n v="1.9690534563658681E-2"/>
    <n v="0.70281682687036895"/>
    <n v="0.79676815469245998"/>
  </r>
  <r>
    <x v="0"/>
    <s v="2025-05-21 22:25:52"/>
    <n v="9"/>
    <x v="0"/>
    <x v="0"/>
    <x v="0"/>
    <n v="795"/>
    <n v="0"/>
    <s v="Tener ArticulsoArticulos.NumberInNumber InEntity"/>
    <n v="12"/>
    <n v="796.41666666666663"/>
    <n v="34.731328098924628"/>
    <n v="0.95"/>
    <n v="22.067233074791599"/>
    <n v="737"/>
    <n v="844"/>
  </r>
  <r>
    <x v="0"/>
    <s v="2025-05-21 22:25:52"/>
    <n v="9"/>
    <x v="1"/>
    <x v="1"/>
    <x v="0"/>
    <n v="783"/>
    <n v="0"/>
    <s v="Tener ArticulsoArticulos.NumberOutNumber OutEntity"/>
    <n v="12"/>
    <n v="783.16666666666663"/>
    <n v="31.541699191368682"/>
    <n v="0.95"/>
    <n v="20.040639553097002"/>
    <n v="730"/>
    <n v="826"/>
  </r>
  <r>
    <x v="0"/>
    <s v="2025-05-21 22:25:52"/>
    <n v="9"/>
    <x v="2"/>
    <x v="0"/>
    <x v="0"/>
    <n v="1148"/>
    <n v="0"/>
    <s v="Tener ArticulsoCarros.NumberInNumber InEntity"/>
    <n v="12"/>
    <n v="1145.9166666666667"/>
    <n v="49.73101891600696"/>
    <n v="0.95"/>
    <n v="31.597581939297463"/>
    <n v="1059"/>
    <n v="1210"/>
  </r>
  <r>
    <x v="0"/>
    <s v="2025-05-21 22:25:52"/>
    <n v="9"/>
    <x v="3"/>
    <x v="1"/>
    <x v="0"/>
    <n v="1146"/>
    <n v="0"/>
    <s v="Tener ArticulsoCarros.NumberOutNumber OutEntity"/>
    <n v="12"/>
    <n v="1145.3333333333333"/>
    <n v="49.816633464104832"/>
    <n v="0.95"/>
    <n v="31.651978827953357"/>
    <n v="1059"/>
    <n v="1210"/>
  </r>
  <r>
    <x v="0"/>
    <s v="2025-05-21 22:25:52"/>
    <n v="9"/>
    <x v="4"/>
    <x v="2"/>
    <x v="1"/>
    <n v="830.69034218189302"/>
    <n v="0"/>
    <s v="Tener ArticulsoDesembalaje Accum VA TimeAccum VA TimeProcess"/>
    <n v="12"/>
    <n v="783.216775239051"/>
    <n v="48.528923107513336"/>
    <n v="0.95"/>
    <n v="30.833806701313396"/>
    <n v="678.52271145285295"/>
    <n v="840.77730126549898"/>
  </r>
  <r>
    <x v="0"/>
    <s v="2025-05-21 22:25:52"/>
    <n v="9"/>
    <x v="5"/>
    <x v="3"/>
    <x v="1"/>
    <n v="994.93232214051795"/>
    <n v="0"/>
    <s v="Tener ArticulsoDesembalaje Accum Wait TimeAccum Wait TimeProcess"/>
    <n v="12"/>
    <n v="811.48948897731191"/>
    <n v="143.72351593510379"/>
    <n v="0.95"/>
    <n v="91.317565381747087"/>
    <n v="546.46370972178704"/>
    <n v="1012.863937084"/>
  </r>
  <r>
    <x v="0"/>
    <s v="2025-05-21 22:25:52"/>
    <n v="9"/>
    <x v="6"/>
    <x v="0"/>
    <x v="1"/>
    <n v="69"/>
    <n v="0"/>
    <s v="Tener ArticulsoDesembalaje Number InNumber InProcess"/>
    <n v="12"/>
    <n v="66"/>
    <n v="4.1560470729681676"/>
    <n v="0.95"/>
    <n v="2.640626329283204"/>
    <n v="59"/>
    <n v="70"/>
  </r>
  <r>
    <x v="0"/>
    <s v="2025-05-21 22:25:52"/>
    <n v="9"/>
    <x v="7"/>
    <x v="1"/>
    <x v="1"/>
    <n v="69"/>
    <n v="0"/>
    <s v="Tener ArticulsoDesembalaje Number OutNumber OutProcess"/>
    <n v="12"/>
    <n v="65.083333333333329"/>
    <n v="4.2310182168734691"/>
    <n v="0.95"/>
    <n v="2.6882607215451362"/>
    <n v="58"/>
    <n v="69"/>
  </r>
  <r>
    <x v="0"/>
    <s v="2025-05-21 22:25:52"/>
    <n v="9"/>
    <x v="8"/>
    <x v="2"/>
    <x v="1"/>
    <n v="1176.04937783427"/>
    <n v="0"/>
    <s v="Tener ArticulsoOrganizar Accum VA TimeAccum VA TimeProcess"/>
    <n v="12"/>
    <n v="1181.2622276627176"/>
    <n v="50.899735842094827"/>
    <n v="0.95"/>
    <n v="32.340149247203939"/>
    <n v="1106.0350367697699"/>
    <n v="1255.97830087074"/>
  </r>
  <r>
    <x v="0"/>
    <s v="2025-05-21 22:25:52"/>
    <n v="9"/>
    <x v="9"/>
    <x v="3"/>
    <x v="1"/>
    <n v="17711.3879390334"/>
    <n v="0"/>
    <s v="Tener ArticulsoOrganizar Accum Wait TimeAccum Wait TimeProcess"/>
    <n v="12"/>
    <n v="14481.366678807759"/>
    <n v="2869.9645631781104"/>
    <n v="0.95"/>
    <n v="1823.4884871564914"/>
    <n v="9643.84605851171"/>
    <n v="18159.7018308675"/>
  </r>
  <r>
    <x v="0"/>
    <s v="2025-05-21 22:25:52"/>
    <n v="9"/>
    <x v="10"/>
    <x v="0"/>
    <x v="1"/>
    <n v="793"/>
    <n v="0"/>
    <s v="Tener ArticulsoOrganizar Number InNumber InProcess"/>
    <n v="12"/>
    <n v="794.91666666666663"/>
    <n v="34.394656914154915"/>
    <n v="0.95"/>
    <n v="21.853322409391229"/>
    <n v="737"/>
    <n v="841"/>
  </r>
  <r>
    <x v="0"/>
    <s v="2025-05-21 22:25:52"/>
    <n v="9"/>
    <x v="11"/>
    <x v="1"/>
    <x v="1"/>
    <n v="783"/>
    <n v="0"/>
    <s v="Tener ArticulsoOrganizar Number OutNumber OutProcess"/>
    <n v="12"/>
    <n v="786"/>
    <n v="32.741411087489801"/>
    <n v="0.95"/>
    <n v="20.80290012542233"/>
    <n v="732"/>
    <n v="829"/>
  </r>
  <r>
    <x v="0"/>
    <s v="2025-05-21 22:25:52"/>
    <n v="9"/>
    <x v="12"/>
    <x v="2"/>
    <x v="1"/>
    <n v="1546.3373965079199"/>
    <n v="0"/>
    <s v="Tener ArticulsoSacar Articulos Accum VA TimeAccum VA TimeProcess"/>
    <n v="12"/>
    <n v="1584.7600747574054"/>
    <n v="65.199632506816158"/>
    <n v="0.95"/>
    <n v="41.425870119928376"/>
    <n v="1473.78349566985"/>
    <n v="1673.21312485417"/>
  </r>
  <r>
    <x v="0"/>
    <s v="2025-05-21 22:25:52"/>
    <n v="9"/>
    <x v="13"/>
    <x v="3"/>
    <x v="1"/>
    <n v="1127.3318804620001"/>
    <n v="0"/>
    <s v="Tener ArticulsoSacar Articulos Accum Wait TimeAccum Wait TimeProcess"/>
    <n v="12"/>
    <n v="1151.8667665386067"/>
    <n v="58.761364856103697"/>
    <n v="0.95"/>
    <n v="37.335190015744239"/>
    <n v="1064.4971115521701"/>
    <n v="1232.84038930315"/>
  </r>
  <r>
    <x v="0"/>
    <s v="2025-05-21 22:25:52"/>
    <n v="9"/>
    <x v="14"/>
    <x v="0"/>
    <x v="1"/>
    <n v="795"/>
    <n v="0"/>
    <s v="Tener ArticulsoSacar Articulos Number InNumber InProcess"/>
    <n v="12"/>
    <n v="796.41666666666663"/>
    <n v="34.731328098924628"/>
    <n v="0.95"/>
    <n v="22.067233074791599"/>
    <n v="737"/>
    <n v="844"/>
  </r>
  <r>
    <x v="0"/>
    <s v="2025-05-21 22:25:52"/>
    <n v="9"/>
    <x v="15"/>
    <x v="1"/>
    <x v="1"/>
    <n v="793"/>
    <n v="0"/>
    <s v="Tener ArticulsoSacar Articulos Number OutNumber OutProcess"/>
    <n v="12"/>
    <n v="795.08333333333337"/>
    <n v="34.510758094287411"/>
    <n v="0.95"/>
    <n v="21.927089579910728"/>
    <n v="737"/>
    <n v="841"/>
  </r>
  <r>
    <x v="0"/>
    <s v="2025-05-21 22:25:52"/>
    <n v="9"/>
    <x v="16"/>
    <x v="1"/>
    <x v="2"/>
    <n v="1134"/>
    <n v="0"/>
    <s v="Tener ArticulsoSystem.NumberOutNumber OutSystem"/>
    <n v="12"/>
    <n v="1132.0833333333333"/>
    <n v="46.640712479614429"/>
    <n v="0.95"/>
    <n v="29.634094905050876"/>
    <n v="1052"/>
    <n v="1192"/>
  </r>
  <r>
    <x v="0"/>
    <s v="2025-05-21 22:25:52"/>
    <n v="9"/>
    <x v="17"/>
    <x v="4"/>
    <x v="3"/>
    <n v="853"/>
    <n v="0"/>
    <s v="Tener ArticulsorOrganizdor.NumberSeizedTotal Number SeizedResource"/>
    <n v="12"/>
    <n v="852.08333333333337"/>
    <n v="32.103407730002552"/>
    <n v="0.95"/>
    <n v="20.397532131659759"/>
    <n v="800"/>
    <n v="893"/>
  </r>
  <r>
    <x v="0"/>
    <s v="2025-05-21 22:25:52"/>
    <n v="9"/>
    <x v="18"/>
    <x v="5"/>
    <x v="3"/>
    <n v="0.95576822242497705"/>
    <n v="0"/>
    <s v="Tener ArticulsorOrganizdor.ScheduledUtilizationScheduled UtilizationResource"/>
    <n v="12"/>
    <n v="0.93693413710063267"/>
    <n v="3.0080475881637609E-2"/>
    <n v="0.95"/>
    <n v="1.9112222555672933E-2"/>
    <n v="0.87408888428798603"/>
    <n v="0.989515454392208"/>
  </r>
  <r>
    <x v="0"/>
    <s v="2025-05-21 22:25:52"/>
    <n v="9"/>
    <x v="19"/>
    <x v="4"/>
    <x v="3"/>
    <n v="794"/>
    <n v="0"/>
    <s v="Tener ArticulsorSacador.NumberSeizedTotal Number SeizedResource"/>
    <n v="12"/>
    <n v="795.66666666666663"/>
    <n v="34.623516268395946"/>
    <n v="0.95"/>
    <n v="21.998732705738043"/>
    <n v="737"/>
    <n v="842"/>
  </r>
  <r>
    <x v="0"/>
    <s v="2025-05-21 22:25:52"/>
    <n v="9"/>
    <x v="20"/>
    <x v="5"/>
    <x v="3"/>
    <n v="0.73658584086425105"/>
    <n v="0"/>
    <s v="Tener ArticulsorSacador.ScheduledUtilizationScheduled UtilizationResource"/>
    <n v="12"/>
    <n v="0.75499127770842467"/>
    <n v="3.0990673550046054E-2"/>
    <n v="0.95"/>
    <n v="1.9690534563658681E-2"/>
    <n v="0.70281682687036895"/>
    <n v="0.79676815469245998"/>
  </r>
  <r>
    <x v="0"/>
    <s v="2025-05-21 22:25:52"/>
    <n v="10"/>
    <x v="0"/>
    <x v="0"/>
    <x v="0"/>
    <n v="793"/>
    <n v="0"/>
    <s v="Tener ArticulsoArticulos.NumberInNumber InEntity"/>
    <n v="12"/>
    <n v="796.41666666666663"/>
    <n v="34.731328098924628"/>
    <n v="0.95"/>
    <n v="22.067233074791599"/>
    <n v="737"/>
    <n v="844"/>
  </r>
  <r>
    <x v="0"/>
    <s v="2025-05-21 22:25:52"/>
    <n v="10"/>
    <x v="1"/>
    <x v="1"/>
    <x v="0"/>
    <n v="782"/>
    <n v="0"/>
    <s v="Tener ArticulsoArticulos.NumberOutNumber OutEntity"/>
    <n v="12"/>
    <n v="783.16666666666663"/>
    <n v="31.541699191368682"/>
    <n v="0.95"/>
    <n v="20.040639553097002"/>
    <n v="730"/>
    <n v="826"/>
  </r>
  <r>
    <x v="0"/>
    <s v="2025-05-21 22:25:52"/>
    <n v="10"/>
    <x v="2"/>
    <x v="0"/>
    <x v="0"/>
    <n v="1139"/>
    <n v="0"/>
    <s v="Tener ArticulsoCarros.NumberInNumber InEntity"/>
    <n v="12"/>
    <n v="1145.9166666666667"/>
    <n v="49.73101891600696"/>
    <n v="0.95"/>
    <n v="31.597581939297463"/>
    <n v="1059"/>
    <n v="1210"/>
  </r>
  <r>
    <x v="0"/>
    <s v="2025-05-21 22:25:52"/>
    <n v="10"/>
    <x v="3"/>
    <x v="1"/>
    <x v="0"/>
    <n v="1139"/>
    <n v="0"/>
    <s v="Tener ArticulsoCarros.NumberOutNumber OutEntity"/>
    <n v="12"/>
    <n v="1145.3333333333333"/>
    <n v="49.816633464104832"/>
    <n v="0.95"/>
    <n v="31.651978827953357"/>
    <n v="1059"/>
    <n v="1210"/>
  </r>
  <r>
    <x v="0"/>
    <s v="2025-05-21 22:25:52"/>
    <n v="10"/>
    <x v="4"/>
    <x v="2"/>
    <x v="1"/>
    <n v="824.72768701614905"/>
    <n v="0"/>
    <s v="Tener ArticulsoDesembalaje Accum VA TimeAccum VA TimeProcess"/>
    <n v="12"/>
    <n v="783.216775239051"/>
    <n v="48.528923107513336"/>
    <n v="0.95"/>
    <n v="30.833806701313396"/>
    <n v="678.52271145285295"/>
    <n v="840.77730126549898"/>
  </r>
  <r>
    <x v="0"/>
    <s v="2025-05-21 22:25:52"/>
    <n v="10"/>
    <x v="5"/>
    <x v="3"/>
    <x v="1"/>
    <n v="870.33660896922402"/>
    <n v="0"/>
    <s v="Tener ArticulsoDesembalaje Accum Wait TimeAccum Wait TimeProcess"/>
    <n v="12"/>
    <n v="811.48948897731191"/>
    <n v="143.72351593510379"/>
    <n v="0.95"/>
    <n v="91.317565381747087"/>
    <n v="546.46370972178704"/>
    <n v="1012.863937084"/>
  </r>
  <r>
    <x v="0"/>
    <s v="2025-05-21 22:25:52"/>
    <n v="10"/>
    <x v="6"/>
    <x v="0"/>
    <x v="1"/>
    <n v="70"/>
    <n v="0"/>
    <s v="Tener ArticulsoDesembalaje Number InNumber InProcess"/>
    <n v="12"/>
    <n v="66"/>
    <n v="4.1560470729681676"/>
    <n v="0.95"/>
    <n v="2.640626329283204"/>
    <n v="59"/>
    <n v="70"/>
  </r>
  <r>
    <x v="0"/>
    <s v="2025-05-21 22:25:52"/>
    <n v="10"/>
    <x v="7"/>
    <x v="1"/>
    <x v="1"/>
    <n v="69"/>
    <n v="0"/>
    <s v="Tener ArticulsoDesembalaje Number OutNumber OutProcess"/>
    <n v="12"/>
    <n v="65.083333333333329"/>
    <n v="4.2310182168734691"/>
    <n v="0.95"/>
    <n v="2.6882607215451362"/>
    <n v="58"/>
    <n v="69"/>
  </r>
  <r>
    <x v="0"/>
    <s v="2025-05-21 22:25:52"/>
    <n v="10"/>
    <x v="8"/>
    <x v="2"/>
    <x v="1"/>
    <n v="1186.17776892245"/>
    <n v="0"/>
    <s v="Tener ArticulsoOrganizar Accum VA TimeAccum VA TimeProcess"/>
    <n v="12"/>
    <n v="1181.2622276627176"/>
    <n v="50.899735842094827"/>
    <n v="0.95"/>
    <n v="32.340149247203939"/>
    <n v="1106.0350367697699"/>
    <n v="1255.97830087074"/>
  </r>
  <r>
    <x v="0"/>
    <s v="2025-05-21 22:25:52"/>
    <n v="10"/>
    <x v="9"/>
    <x v="3"/>
    <x v="1"/>
    <n v="14702.471912986401"/>
    <n v="0"/>
    <s v="Tener ArticulsoOrganizar Accum Wait TimeAccum Wait TimeProcess"/>
    <n v="12"/>
    <n v="14481.366678807759"/>
    <n v="2869.9645631781104"/>
    <n v="0.95"/>
    <n v="1823.4884871564914"/>
    <n v="9643.84605851171"/>
    <n v="18159.7018308675"/>
  </r>
  <r>
    <x v="0"/>
    <s v="2025-05-21 22:25:52"/>
    <n v="10"/>
    <x v="10"/>
    <x v="0"/>
    <x v="1"/>
    <n v="793"/>
    <n v="0"/>
    <s v="Tener ArticulsoOrganizar Number InNumber InProcess"/>
    <n v="12"/>
    <n v="794.91666666666663"/>
    <n v="34.394656914154915"/>
    <n v="0.95"/>
    <n v="21.853322409391229"/>
    <n v="737"/>
    <n v="841"/>
  </r>
  <r>
    <x v="0"/>
    <s v="2025-05-21 22:25:52"/>
    <n v="10"/>
    <x v="11"/>
    <x v="1"/>
    <x v="1"/>
    <n v="784"/>
    <n v="0"/>
    <s v="Tener ArticulsoOrganizar Number OutNumber OutProcess"/>
    <n v="12"/>
    <n v="786"/>
    <n v="32.741411087489801"/>
    <n v="0.95"/>
    <n v="20.80290012542233"/>
    <n v="732"/>
    <n v="829"/>
  </r>
  <r>
    <x v="0"/>
    <s v="2025-05-21 22:25:52"/>
    <n v="10"/>
    <x v="12"/>
    <x v="2"/>
    <x v="1"/>
    <n v="1594.1324582446"/>
    <n v="0"/>
    <s v="Tener ArticulsoSacar Articulos Accum VA TimeAccum VA TimeProcess"/>
    <n v="12"/>
    <n v="1584.7600747574054"/>
    <n v="65.199632506816158"/>
    <n v="0.95"/>
    <n v="41.425870119928376"/>
    <n v="1473.78349566985"/>
    <n v="1673.21312485417"/>
  </r>
  <r>
    <x v="0"/>
    <s v="2025-05-21 22:25:52"/>
    <n v="10"/>
    <x v="13"/>
    <x v="3"/>
    <x v="1"/>
    <n v="1160.5160720348899"/>
    <n v="0"/>
    <s v="Tener ArticulsoSacar Articulos Accum Wait TimeAccum Wait TimeProcess"/>
    <n v="12"/>
    <n v="1151.8667665386067"/>
    <n v="58.761364856103697"/>
    <n v="0.95"/>
    <n v="37.335190015744239"/>
    <n v="1064.4971115521701"/>
    <n v="1232.84038930315"/>
  </r>
  <r>
    <x v="0"/>
    <s v="2025-05-21 22:25:52"/>
    <n v="10"/>
    <x v="14"/>
    <x v="0"/>
    <x v="1"/>
    <n v="793"/>
    <n v="0"/>
    <s v="Tener ArticulsoSacar Articulos Number InNumber InProcess"/>
    <n v="12"/>
    <n v="796.41666666666663"/>
    <n v="34.731328098924628"/>
    <n v="0.95"/>
    <n v="22.067233074791599"/>
    <n v="737"/>
    <n v="844"/>
  </r>
  <r>
    <x v="0"/>
    <s v="2025-05-21 22:25:52"/>
    <n v="10"/>
    <x v="15"/>
    <x v="1"/>
    <x v="1"/>
    <n v="793"/>
    <n v="0"/>
    <s v="Tener ArticulsoSacar Articulos Number OutNumber OutProcess"/>
    <n v="12"/>
    <n v="795.08333333333337"/>
    <n v="34.510758094287411"/>
    <n v="0.95"/>
    <n v="21.927089579910728"/>
    <n v="737"/>
    <n v="841"/>
  </r>
  <r>
    <x v="0"/>
    <s v="2025-05-21 22:25:52"/>
    <n v="10"/>
    <x v="16"/>
    <x v="1"/>
    <x v="2"/>
    <n v="1128"/>
    <n v="0"/>
    <s v="Tener ArticulsoSystem.NumberOutNumber OutSystem"/>
    <n v="12"/>
    <n v="1132.0833333333333"/>
    <n v="46.640712479614429"/>
    <n v="0.95"/>
    <n v="29.634094905050876"/>
    <n v="1052"/>
    <n v="1192"/>
  </r>
  <r>
    <x v="0"/>
    <s v="2025-05-21 22:25:52"/>
    <n v="10"/>
    <x v="17"/>
    <x v="4"/>
    <x v="3"/>
    <n v="854"/>
    <n v="0"/>
    <s v="Tener ArticulsorOrganizdor.NumberSeizedTotal Number SeizedResource"/>
    <n v="12"/>
    <n v="852.08333333333337"/>
    <n v="32.103407730002552"/>
    <n v="0.95"/>
    <n v="20.397532131659759"/>
    <n v="800"/>
    <n v="893"/>
  </r>
  <r>
    <x v="0"/>
    <s v="2025-05-21 22:25:52"/>
    <n v="10"/>
    <x v="18"/>
    <x v="5"/>
    <x v="3"/>
    <n v="0.95778659094739305"/>
    <n v="0"/>
    <s v="Tener ArticulsorOrganizdor.ScheduledUtilizationScheduled UtilizationResource"/>
    <n v="12"/>
    <n v="0.93693413710063267"/>
    <n v="3.0080475881637609E-2"/>
    <n v="0.95"/>
    <n v="1.9112222555672933E-2"/>
    <n v="0.87408888428798603"/>
    <n v="0.989515454392208"/>
  </r>
  <r>
    <x v="0"/>
    <s v="2025-05-21 22:25:52"/>
    <n v="10"/>
    <x v="19"/>
    <x v="4"/>
    <x v="3"/>
    <n v="793"/>
    <n v="0"/>
    <s v="Tener ArticulsorSacador.NumberSeizedTotal Number SeizedResource"/>
    <n v="12"/>
    <n v="795.66666666666663"/>
    <n v="34.623516268395946"/>
    <n v="0.95"/>
    <n v="21.998732705738043"/>
    <n v="737"/>
    <n v="842"/>
  </r>
  <r>
    <x v="0"/>
    <s v="2025-05-21 22:25:52"/>
    <n v="10"/>
    <x v="20"/>
    <x v="5"/>
    <x v="3"/>
    <n v="0.75911069440218903"/>
    <n v="0"/>
    <s v="Tener ArticulsorSacador.ScheduledUtilizationScheduled UtilizationResource"/>
    <n v="12"/>
    <n v="0.75499127770842467"/>
    <n v="3.0990673550046054E-2"/>
    <n v="0.95"/>
    <n v="1.9690534563658681E-2"/>
    <n v="0.70281682687036895"/>
    <n v="0.79676815469245998"/>
  </r>
  <r>
    <x v="0"/>
    <s v="2025-05-21 22:25:52"/>
    <n v="11"/>
    <x v="0"/>
    <x v="0"/>
    <x v="0"/>
    <n v="802"/>
    <n v="0"/>
    <s v="Tener ArticulsoArticulos.NumberInNumber InEntity"/>
    <n v="12"/>
    <n v="796.41666666666663"/>
    <n v="34.731328098924628"/>
    <n v="0.95"/>
    <n v="22.067233074791599"/>
    <n v="737"/>
    <n v="844"/>
  </r>
  <r>
    <x v="0"/>
    <s v="2025-05-21 22:25:52"/>
    <n v="11"/>
    <x v="1"/>
    <x v="1"/>
    <x v="0"/>
    <n v="794"/>
    <n v="0"/>
    <s v="Tener ArticulsoArticulos.NumberOutNumber OutEntity"/>
    <n v="12"/>
    <n v="783.16666666666663"/>
    <n v="31.541699191368682"/>
    <n v="0.95"/>
    <n v="20.040639553097002"/>
    <n v="730"/>
    <n v="826"/>
  </r>
  <r>
    <x v="0"/>
    <s v="2025-05-21 22:25:52"/>
    <n v="11"/>
    <x v="2"/>
    <x v="0"/>
    <x v="0"/>
    <n v="1164"/>
    <n v="0"/>
    <s v="Tener ArticulsoCarros.NumberInNumber InEntity"/>
    <n v="12"/>
    <n v="1145.9166666666667"/>
    <n v="49.73101891600696"/>
    <n v="0.95"/>
    <n v="31.597581939297463"/>
    <n v="1059"/>
    <n v="1210"/>
  </r>
  <r>
    <x v="0"/>
    <s v="2025-05-21 22:25:52"/>
    <n v="11"/>
    <x v="3"/>
    <x v="1"/>
    <x v="0"/>
    <n v="1164"/>
    <n v="0"/>
    <s v="Tener ArticulsoCarros.NumberOutNumber OutEntity"/>
    <n v="12"/>
    <n v="1145.3333333333333"/>
    <n v="49.816633464104832"/>
    <n v="0.95"/>
    <n v="31.651978827953357"/>
    <n v="1059"/>
    <n v="1210"/>
  </r>
  <r>
    <x v="0"/>
    <s v="2025-05-21 22:25:52"/>
    <n v="11"/>
    <x v="4"/>
    <x v="2"/>
    <x v="1"/>
    <n v="754.347252650786"/>
    <n v="0"/>
    <s v="Tener ArticulsoDesembalaje Accum VA TimeAccum VA TimeProcess"/>
    <n v="12"/>
    <n v="783.216775239051"/>
    <n v="48.528923107513336"/>
    <n v="0.95"/>
    <n v="30.833806701313396"/>
    <n v="678.52271145285295"/>
    <n v="840.77730126549898"/>
  </r>
  <r>
    <x v="0"/>
    <s v="2025-05-21 22:25:52"/>
    <n v="11"/>
    <x v="5"/>
    <x v="3"/>
    <x v="1"/>
    <n v="721.63262315844599"/>
    <n v="0"/>
    <s v="Tener ArticulsoDesembalaje Accum Wait TimeAccum Wait TimeProcess"/>
    <n v="12"/>
    <n v="811.48948897731191"/>
    <n v="143.72351593510379"/>
    <n v="0.95"/>
    <n v="91.317565381747087"/>
    <n v="546.46370972178704"/>
    <n v="1012.863937084"/>
  </r>
  <r>
    <x v="0"/>
    <s v="2025-05-21 22:25:52"/>
    <n v="11"/>
    <x v="6"/>
    <x v="0"/>
    <x v="1"/>
    <n v="60"/>
    <n v="0"/>
    <s v="Tener ArticulsoDesembalaje Number InNumber InProcess"/>
    <n v="12"/>
    <n v="66"/>
    <n v="4.1560470729681676"/>
    <n v="0.95"/>
    <n v="2.640626329283204"/>
    <n v="59"/>
    <n v="70"/>
  </r>
  <r>
    <x v="0"/>
    <s v="2025-05-21 22:25:52"/>
    <n v="11"/>
    <x v="7"/>
    <x v="1"/>
    <x v="1"/>
    <n v="59"/>
    <n v="0"/>
    <s v="Tener ArticulsoDesembalaje Number OutNumber OutProcess"/>
    <n v="12"/>
    <n v="65.083333333333329"/>
    <n v="4.2310182168734691"/>
    <n v="0.95"/>
    <n v="2.6882607215451362"/>
    <n v="58"/>
    <n v="69"/>
  </r>
  <r>
    <x v="0"/>
    <s v="2025-05-21 22:25:52"/>
    <n v="11"/>
    <x v="8"/>
    <x v="2"/>
    <x v="1"/>
    <n v="1210.24543474854"/>
    <n v="0"/>
    <s v="Tener ArticulsoOrganizar Accum VA TimeAccum VA TimeProcess"/>
    <n v="12"/>
    <n v="1181.2622276627176"/>
    <n v="50.899735842094827"/>
    <n v="0.95"/>
    <n v="32.340149247203939"/>
    <n v="1106.0350367697699"/>
    <n v="1255.97830087074"/>
  </r>
  <r>
    <x v="0"/>
    <s v="2025-05-21 22:25:52"/>
    <n v="11"/>
    <x v="9"/>
    <x v="3"/>
    <x v="1"/>
    <n v="14490.8520366958"/>
    <n v="0"/>
    <s v="Tener ArticulsoOrganizar Accum Wait TimeAccum Wait TimeProcess"/>
    <n v="12"/>
    <n v="14481.366678807759"/>
    <n v="2869.9645631781104"/>
    <n v="0.95"/>
    <n v="1823.4884871564914"/>
    <n v="9643.84605851171"/>
    <n v="18159.7018308675"/>
  </r>
  <r>
    <x v="0"/>
    <s v="2025-05-21 22:25:52"/>
    <n v="11"/>
    <x v="10"/>
    <x v="0"/>
    <x v="1"/>
    <n v="800"/>
    <n v="0"/>
    <s v="Tener ArticulsoOrganizar Number InNumber InProcess"/>
    <n v="12"/>
    <n v="794.91666666666663"/>
    <n v="34.394656914154915"/>
    <n v="0.95"/>
    <n v="21.853322409391229"/>
    <n v="737"/>
    <n v="841"/>
  </r>
  <r>
    <x v="0"/>
    <s v="2025-05-21 22:25:52"/>
    <n v="11"/>
    <x v="11"/>
    <x v="1"/>
    <x v="1"/>
    <n v="797"/>
    <n v="0"/>
    <s v="Tener ArticulsoOrganizar Number OutNumber OutProcess"/>
    <n v="12"/>
    <n v="786"/>
    <n v="32.741411087489801"/>
    <n v="0.95"/>
    <n v="20.80290012542233"/>
    <n v="732"/>
    <n v="829"/>
  </r>
  <r>
    <x v="0"/>
    <s v="2025-05-21 22:25:52"/>
    <n v="11"/>
    <x v="12"/>
    <x v="2"/>
    <x v="1"/>
    <n v="1598.5758758726599"/>
    <n v="0"/>
    <s v="Tener ArticulsoSacar Articulos Accum VA TimeAccum VA TimeProcess"/>
    <n v="12"/>
    <n v="1584.7600747574054"/>
    <n v="65.199632506816158"/>
    <n v="0.95"/>
    <n v="41.425870119928376"/>
    <n v="1473.78349566985"/>
    <n v="1673.21312485417"/>
  </r>
  <r>
    <x v="0"/>
    <s v="2025-05-21 22:25:52"/>
    <n v="11"/>
    <x v="13"/>
    <x v="3"/>
    <x v="1"/>
    <n v="1120.8929218763201"/>
    <n v="0"/>
    <s v="Tener ArticulsoSacar Articulos Accum Wait TimeAccum Wait TimeProcess"/>
    <n v="12"/>
    <n v="1151.8667665386067"/>
    <n v="58.761364856103697"/>
    <n v="0.95"/>
    <n v="37.335190015744239"/>
    <n v="1064.4971115521701"/>
    <n v="1232.84038930315"/>
  </r>
  <r>
    <x v="0"/>
    <s v="2025-05-21 22:25:52"/>
    <n v="11"/>
    <x v="14"/>
    <x v="0"/>
    <x v="1"/>
    <n v="802"/>
    <n v="0"/>
    <s v="Tener ArticulsoSacar Articulos Number InNumber InProcess"/>
    <n v="12"/>
    <n v="796.41666666666663"/>
    <n v="34.731328098924628"/>
    <n v="0.95"/>
    <n v="22.067233074791599"/>
    <n v="737"/>
    <n v="844"/>
  </r>
  <r>
    <x v="0"/>
    <s v="2025-05-21 22:25:52"/>
    <n v="11"/>
    <x v="15"/>
    <x v="1"/>
    <x v="1"/>
    <n v="801"/>
    <n v="0"/>
    <s v="Tener ArticulsoSacar Articulos Number OutNumber OutProcess"/>
    <n v="12"/>
    <n v="795.08333333333337"/>
    <n v="34.510758094287411"/>
    <n v="0.95"/>
    <n v="21.927089579910728"/>
    <n v="737"/>
    <n v="841"/>
  </r>
  <r>
    <x v="0"/>
    <s v="2025-05-21 22:25:52"/>
    <n v="11"/>
    <x v="16"/>
    <x v="1"/>
    <x v="2"/>
    <n v="1156"/>
    <n v="0"/>
    <s v="Tener ArticulsoSystem.NumberOutNumber OutSystem"/>
    <n v="12"/>
    <n v="1132.0833333333333"/>
    <n v="46.640712479614429"/>
    <n v="0.95"/>
    <n v="29.634094905050876"/>
    <n v="1052"/>
    <n v="1192"/>
  </r>
  <r>
    <x v="0"/>
    <s v="2025-05-21 22:25:52"/>
    <n v="11"/>
    <x v="17"/>
    <x v="4"/>
    <x v="3"/>
    <n v="857"/>
    <n v="0"/>
    <s v="Tener ArticulsorOrganizdor.NumberSeizedTotal Number SeizedResource"/>
    <n v="12"/>
    <n v="852.08333333333337"/>
    <n v="32.103407730002552"/>
    <n v="0.95"/>
    <n v="20.397532131659759"/>
    <n v="800"/>
    <n v="893"/>
  </r>
  <r>
    <x v="0"/>
    <s v="2025-05-21 22:25:52"/>
    <n v="11"/>
    <x v="18"/>
    <x v="5"/>
    <x v="3"/>
    <n v="0.93586616929636302"/>
    <n v="0"/>
    <s v="Tener ArticulsorOrganizdor.ScheduledUtilizationScheduled UtilizationResource"/>
    <n v="12"/>
    <n v="0.93693413710063267"/>
    <n v="3.0080475881637609E-2"/>
    <n v="0.95"/>
    <n v="1.9112222555672933E-2"/>
    <n v="0.87408888428798603"/>
    <n v="0.989515454392208"/>
  </r>
  <r>
    <x v="0"/>
    <s v="2025-05-21 22:25:52"/>
    <n v="11"/>
    <x v="19"/>
    <x v="4"/>
    <x v="3"/>
    <n v="802"/>
    <n v="0"/>
    <s v="Tener ArticulsorSacador.NumberSeizedTotal Number SeizedResource"/>
    <n v="12"/>
    <n v="795.66666666666663"/>
    <n v="34.623516268395946"/>
    <n v="0.95"/>
    <n v="21.998732705738043"/>
    <n v="737"/>
    <n v="842"/>
  </r>
  <r>
    <x v="0"/>
    <s v="2025-05-21 22:25:52"/>
    <n v="11"/>
    <x v="20"/>
    <x v="5"/>
    <x v="3"/>
    <n v="0.76229781651912798"/>
    <n v="0"/>
    <s v="Tener ArticulsorSacador.ScheduledUtilizationScheduled UtilizationResource"/>
    <n v="12"/>
    <n v="0.75499127770842467"/>
    <n v="3.0990673550046054E-2"/>
    <n v="0.95"/>
    <n v="1.9690534563658681E-2"/>
    <n v="0.70281682687036895"/>
    <n v="0.79676815469245998"/>
  </r>
  <r>
    <x v="0"/>
    <s v="2025-05-21 22:25:52"/>
    <n v="12"/>
    <x v="0"/>
    <x v="0"/>
    <x v="0"/>
    <n v="737"/>
    <n v="0"/>
    <s v="Tener ArticulsoArticulos.NumberInNumber InEntity"/>
    <n v="12"/>
    <n v="796.41666666666663"/>
    <n v="34.731328098924628"/>
    <n v="0.95"/>
    <n v="22.067233074791599"/>
    <n v="737"/>
    <n v="844"/>
  </r>
  <r>
    <x v="0"/>
    <s v="2025-05-21 22:25:52"/>
    <n v="12"/>
    <x v="1"/>
    <x v="1"/>
    <x v="0"/>
    <n v="730"/>
    <n v="0"/>
    <s v="Tener ArticulsoArticulos.NumberOutNumber OutEntity"/>
    <n v="12"/>
    <n v="783.16666666666663"/>
    <n v="31.541699191368682"/>
    <n v="0.95"/>
    <n v="20.040639553097002"/>
    <n v="730"/>
    <n v="826"/>
  </r>
  <r>
    <x v="0"/>
    <s v="2025-05-21 22:25:52"/>
    <n v="12"/>
    <x v="2"/>
    <x v="0"/>
    <x v="0"/>
    <n v="1059"/>
    <n v="0"/>
    <s v="Tener ArticulsoCarros.NumberInNumber InEntity"/>
    <n v="12"/>
    <n v="1145.9166666666667"/>
    <n v="49.73101891600696"/>
    <n v="0.95"/>
    <n v="31.597581939297463"/>
    <n v="1059"/>
    <n v="1210"/>
  </r>
  <r>
    <x v="0"/>
    <s v="2025-05-21 22:25:52"/>
    <n v="12"/>
    <x v="3"/>
    <x v="1"/>
    <x v="0"/>
    <n v="1059"/>
    <n v="0"/>
    <s v="Tener ArticulsoCarros.NumberOutNumber OutEntity"/>
    <n v="12"/>
    <n v="1145.3333333333333"/>
    <n v="49.816633464104832"/>
    <n v="0.95"/>
    <n v="31.651978827953357"/>
    <n v="1059"/>
    <n v="1210"/>
  </r>
  <r>
    <x v="0"/>
    <s v="2025-05-21 22:25:52"/>
    <n v="12"/>
    <x v="4"/>
    <x v="2"/>
    <x v="1"/>
    <n v="800.73762516168995"/>
    <n v="0"/>
    <s v="Tener ArticulsoDesembalaje Accum VA TimeAccum VA TimeProcess"/>
    <n v="12"/>
    <n v="783.216775239051"/>
    <n v="48.528923107513336"/>
    <n v="0.95"/>
    <n v="30.833806701313396"/>
    <n v="678.52271145285295"/>
    <n v="840.77730126549898"/>
  </r>
  <r>
    <x v="0"/>
    <s v="2025-05-21 22:25:52"/>
    <n v="12"/>
    <x v="5"/>
    <x v="3"/>
    <x v="1"/>
    <n v="771.21363046314502"/>
    <n v="0"/>
    <s v="Tener ArticulsoDesembalaje Accum Wait TimeAccum Wait TimeProcess"/>
    <n v="12"/>
    <n v="811.48948897731191"/>
    <n v="143.72351593510379"/>
    <n v="0.95"/>
    <n v="91.317565381747087"/>
    <n v="546.46370972178704"/>
    <n v="1012.863937084"/>
  </r>
  <r>
    <x v="0"/>
    <s v="2025-05-21 22:25:52"/>
    <n v="12"/>
    <x v="6"/>
    <x v="0"/>
    <x v="1"/>
    <n v="68"/>
    <n v="0"/>
    <s v="Tener ArticulsoDesembalaje Number InNumber InProcess"/>
    <n v="12"/>
    <n v="66"/>
    <n v="4.1560470729681676"/>
    <n v="0.95"/>
    <n v="2.640626329283204"/>
    <n v="59"/>
    <n v="70"/>
  </r>
  <r>
    <x v="0"/>
    <s v="2025-05-21 22:25:52"/>
    <n v="12"/>
    <x v="7"/>
    <x v="1"/>
    <x v="1"/>
    <n v="67"/>
    <n v="0"/>
    <s v="Tener ArticulsoDesembalaje Number OutNumber OutProcess"/>
    <n v="12"/>
    <n v="65.083333333333329"/>
    <n v="4.2310182168734691"/>
    <n v="0.95"/>
    <n v="2.6882607215451362"/>
    <n v="58"/>
    <n v="69"/>
  </r>
  <r>
    <x v="0"/>
    <s v="2025-05-21 22:25:52"/>
    <n v="12"/>
    <x v="8"/>
    <x v="2"/>
    <x v="1"/>
    <n v="1110.6780989276499"/>
    <n v="0"/>
    <s v="Tener ArticulsoOrganizar Accum VA TimeAccum VA TimeProcess"/>
    <n v="12"/>
    <n v="1181.2622276627176"/>
    <n v="50.899735842094827"/>
    <n v="0.95"/>
    <n v="32.340149247203939"/>
    <n v="1106.0350367697699"/>
    <n v="1255.97830087074"/>
  </r>
  <r>
    <x v="0"/>
    <s v="2025-05-21 22:25:52"/>
    <n v="12"/>
    <x v="9"/>
    <x v="3"/>
    <x v="1"/>
    <n v="12121.3305896152"/>
    <n v="0"/>
    <s v="Tener ArticulsoOrganizar Accum Wait TimeAccum Wait TimeProcess"/>
    <n v="12"/>
    <n v="14481.366678807759"/>
    <n v="2869.9645631781104"/>
    <n v="0.95"/>
    <n v="1823.4884871564914"/>
    <n v="9643.84605851171"/>
    <n v="18159.7018308675"/>
  </r>
  <r>
    <x v="0"/>
    <s v="2025-05-21 22:25:52"/>
    <n v="12"/>
    <x v="10"/>
    <x v="0"/>
    <x v="1"/>
    <n v="737"/>
    <n v="0"/>
    <s v="Tener ArticulsoOrganizar Number InNumber InProcess"/>
    <n v="12"/>
    <n v="794.91666666666663"/>
    <n v="34.394656914154915"/>
    <n v="0.95"/>
    <n v="21.853322409391229"/>
    <n v="737"/>
    <n v="841"/>
  </r>
  <r>
    <x v="0"/>
    <s v="2025-05-21 22:25:52"/>
    <n v="12"/>
    <x v="11"/>
    <x v="1"/>
    <x v="1"/>
    <n v="732"/>
    <n v="0"/>
    <s v="Tener ArticulsoOrganizar Number OutNumber OutProcess"/>
    <n v="12"/>
    <n v="786"/>
    <n v="32.741411087489801"/>
    <n v="0.95"/>
    <n v="20.80290012542233"/>
    <n v="732"/>
    <n v="829"/>
  </r>
  <r>
    <x v="0"/>
    <s v="2025-05-21 22:25:52"/>
    <n v="12"/>
    <x v="12"/>
    <x v="2"/>
    <x v="1"/>
    <n v="1526.6621227439"/>
    <n v="0"/>
    <s v="Tener ArticulsoSacar Articulos Accum VA TimeAccum VA TimeProcess"/>
    <n v="12"/>
    <n v="1584.7600747574054"/>
    <n v="65.199632506816158"/>
    <n v="0.95"/>
    <n v="41.425870119928376"/>
    <n v="1473.78349566985"/>
    <n v="1673.21312485417"/>
  </r>
  <r>
    <x v="0"/>
    <s v="2025-05-21 22:25:52"/>
    <n v="12"/>
    <x v="13"/>
    <x v="3"/>
    <x v="1"/>
    <n v="1089.46670227411"/>
    <n v="0"/>
    <s v="Tener ArticulsoSacar Articulos Accum Wait TimeAccum Wait TimeProcess"/>
    <n v="12"/>
    <n v="1151.8667665386067"/>
    <n v="58.761364856103697"/>
    <n v="0.95"/>
    <n v="37.335190015744239"/>
    <n v="1064.4971115521701"/>
    <n v="1232.84038930315"/>
  </r>
  <r>
    <x v="0"/>
    <s v="2025-05-21 22:25:52"/>
    <n v="12"/>
    <x v="14"/>
    <x v="0"/>
    <x v="1"/>
    <n v="737"/>
    <n v="0"/>
    <s v="Tener ArticulsoSacar Articulos Number InNumber InProcess"/>
    <n v="12"/>
    <n v="796.41666666666663"/>
    <n v="34.731328098924628"/>
    <n v="0.95"/>
    <n v="22.067233074791599"/>
    <n v="737"/>
    <n v="844"/>
  </r>
  <r>
    <x v="0"/>
    <s v="2025-05-21 22:25:52"/>
    <n v="12"/>
    <x v="15"/>
    <x v="1"/>
    <x v="1"/>
    <n v="737"/>
    <n v="0"/>
    <s v="Tener ArticulsoSacar Articulos Number OutNumber OutProcess"/>
    <n v="12"/>
    <n v="795.08333333333337"/>
    <n v="34.510758094287411"/>
    <n v="0.95"/>
    <n v="21.927089579910728"/>
    <n v="737"/>
    <n v="841"/>
  </r>
  <r>
    <x v="0"/>
    <s v="2025-05-21 22:25:52"/>
    <n v="12"/>
    <x v="16"/>
    <x v="1"/>
    <x v="2"/>
    <n v="1052"/>
    <n v="0"/>
    <s v="Tener ArticulsoSystem.NumberOutNumber OutSystem"/>
    <n v="12"/>
    <n v="1132.0833333333333"/>
    <n v="46.640712479614429"/>
    <n v="0.95"/>
    <n v="29.634094905050876"/>
    <n v="1052"/>
    <n v="1192"/>
  </r>
  <r>
    <x v="0"/>
    <s v="2025-05-21 22:25:52"/>
    <n v="12"/>
    <x v="17"/>
    <x v="4"/>
    <x v="3"/>
    <n v="800"/>
    <n v="0"/>
    <s v="Tener ArticulsorOrganizdor.NumberSeizedTotal Number SeizedResource"/>
    <n v="12"/>
    <n v="852.08333333333337"/>
    <n v="32.103407730002552"/>
    <n v="0.95"/>
    <n v="20.397532131659759"/>
    <n v="800"/>
    <n v="893"/>
  </r>
  <r>
    <x v="0"/>
    <s v="2025-05-21 22:25:52"/>
    <n v="12"/>
    <x v="18"/>
    <x v="5"/>
    <x v="3"/>
    <n v="0.91035373034135203"/>
    <n v="0"/>
    <s v="Tener ArticulsorOrganizdor.ScheduledUtilizationScheduled UtilizationResource"/>
    <n v="12"/>
    <n v="0.93693413710063267"/>
    <n v="3.0080475881637609E-2"/>
    <n v="0.95"/>
    <n v="1.9112222555672933E-2"/>
    <n v="0.87408888428798603"/>
    <n v="0.989515454392208"/>
  </r>
  <r>
    <x v="0"/>
    <s v="2025-05-21 22:25:52"/>
    <n v="12"/>
    <x v="19"/>
    <x v="4"/>
    <x v="3"/>
    <n v="737"/>
    <n v="0"/>
    <s v="Tener ArticulsorSacador.NumberSeizedTotal Number SeizedResource"/>
    <n v="12"/>
    <n v="795.66666666666663"/>
    <n v="34.623516268395946"/>
    <n v="0.95"/>
    <n v="21.998732705738043"/>
    <n v="737"/>
    <n v="842"/>
  </r>
  <r>
    <x v="0"/>
    <s v="2025-05-21 22:25:52"/>
    <n v="12"/>
    <x v="20"/>
    <x v="5"/>
    <x v="3"/>
    <n v="0.72698196321138198"/>
    <n v="0"/>
    <s v="Tener ArticulsorSacador.ScheduledUtilizationScheduled UtilizationResource"/>
    <n v="12"/>
    <n v="0.75499127770842467"/>
    <n v="3.0990673550046054E-2"/>
    <n v="0.95"/>
    <n v="1.9690534563658681E-2"/>
    <n v="0.70281682687036895"/>
    <n v="0.7967681546924599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x v="0"/>
    <s v="2025-05-21 22:25:52"/>
    <n v="1"/>
    <x v="0"/>
    <x v="0"/>
    <x v="0"/>
    <n v="10.5928133884502"/>
    <n v="3E+20"/>
    <n v="0"/>
    <n v="28"/>
    <n v="6"/>
    <n v="0"/>
    <s v="Tener ArticulsoArticulosWIPEntity"/>
    <n v="12"/>
    <n v="11.967618013540566"/>
    <n v="2.2199622266915817"/>
    <n v="0.95"/>
    <n v="1.4104967058588604"/>
    <n v="7.8453940222015603"/>
    <n v="16.013877975802099"/>
    <n v="1.4104967058588604"/>
  </r>
  <r>
    <x v="0"/>
    <s v="2025-05-21 22:25:52"/>
    <n v="1"/>
    <x v="1"/>
    <x v="0"/>
    <x v="0"/>
    <n v="1.47103481502128"/>
    <n v="3E+20"/>
    <n v="0"/>
    <n v="13"/>
    <n v="2"/>
    <n v="0"/>
    <s v="Tener ArticulsoCarrosWIPEntity"/>
    <n v="12"/>
    <n v="1.4357426212197542"/>
    <n v="0.67481269179007708"/>
    <n v="0.95"/>
    <n v="0.4287555289894085"/>
    <n v="0.85623463950978496"/>
    <n v="3.3096083955109501"/>
    <n v="0.4287555289894085"/>
  </r>
  <r>
    <x v="0"/>
    <s v="2025-05-21 22:25:52"/>
    <n v="1"/>
    <x v="2"/>
    <x v="1"/>
    <x v="1"/>
    <n v="0.34189510249275101"/>
    <n v="2E+20"/>
    <n v="0"/>
    <n v="1"/>
    <n v="0"/>
    <n v="0"/>
    <s v="Tener ArticulsoDesembalaje.QueueNumber WaitingQueue"/>
    <n v="12"/>
    <n v="0.39305431340749158"/>
    <n v="6.9825204530481425E-2"/>
    <n v="0.95"/>
    <n v="4.4364818370329934E-2"/>
    <n v="0.26379051411540999"/>
    <n v="0.492701223784278"/>
    <n v="4.4364818370329934E-2"/>
  </r>
  <r>
    <x v="0"/>
    <s v="2025-05-21 22:25:52"/>
    <n v="1"/>
    <x v="3"/>
    <x v="1"/>
    <x v="1"/>
    <n v="1.47103481502128"/>
    <n v="3E+20"/>
    <n v="0"/>
    <n v="10"/>
    <n v="2"/>
    <n v="0"/>
    <s v="Tener ArticulsoDetener Carros.QueueNumber WaitingQueue"/>
    <n v="12"/>
    <n v="1.4357426212197553"/>
    <n v="0.67481269179007586"/>
    <n v="0.95"/>
    <n v="0.42875552898940772"/>
    <n v="0.85623463950978496"/>
    <n v="3.3096083955109501"/>
    <n v="0.42875552898940772"/>
  </r>
  <r>
    <x v="0"/>
    <s v="2025-05-21 22:25:52"/>
    <n v="1"/>
    <x v="4"/>
    <x v="1"/>
    <x v="1"/>
    <n v="1.5793635415246701"/>
    <n v="2E+20"/>
    <n v="0"/>
    <n v="8"/>
    <n v="0"/>
    <n v="0"/>
    <s v="Tener ArticulsoNoOrganizar.QueueNumber WaitingQueue"/>
    <n v="12"/>
    <n v="1.8367908590220434"/>
    <n v="0.88849214816383859"/>
    <n v="0.95"/>
    <n v="0.56452097837458637"/>
    <n v="0.36210426146159602"/>
    <n v="4.0028313893775698"/>
    <n v="0.56452097837458637"/>
  </r>
  <r>
    <x v="0"/>
    <s v="2025-05-21 22:25:52"/>
    <n v="1"/>
    <x v="5"/>
    <x v="1"/>
    <x v="1"/>
    <n v="5.8978093157180496"/>
    <n v="3E+20"/>
    <n v="0"/>
    <n v="19"/>
    <n v="3"/>
    <n v="0"/>
    <s v="Tener ArticulsoOrganizar.QueueNumber WaitingQueue"/>
    <n v="12"/>
    <n v="6.9452151315179975"/>
    <n v="1.3904671864747102"/>
    <n v="0.95"/>
    <n v="0.88346070151395062"/>
    <n v="4.6102617725055204"/>
    <n v="8.6997606838150698"/>
    <n v="0.88346070151395062"/>
  </r>
  <r>
    <x v="0"/>
    <s v="2025-05-21 22:25:52"/>
    <n v="1"/>
    <x v="6"/>
    <x v="1"/>
    <x v="1"/>
    <n v="0.54488257862239897"/>
    <n v="7.0943525346274405E-2"/>
    <n v="0"/>
    <n v="2"/>
    <n v="1"/>
    <n v="0"/>
    <s v="Tener ArticulsoSacar Articulos.QueueNumber WaitingQueue"/>
    <n v="12"/>
    <n v="0.54907359753581719"/>
    <n v="2.8061047329126759E-2"/>
    <n v="0.95"/>
    <n v="1.7829138867677546E-2"/>
    <n v="0.50893371098476703"/>
    <n v="0.58706685204911901"/>
    <n v="1.7829138867677546E-2"/>
  </r>
  <r>
    <x v="0"/>
    <s v="2025-05-21 22:25:52"/>
    <n v="1"/>
    <x v="7"/>
    <x v="1"/>
    <x v="1"/>
    <n v="0.53794463591612596"/>
    <n v="6.5315018641057196E-2"/>
    <n v="0"/>
    <n v="3"/>
    <n v="0"/>
    <n v="0"/>
    <s v="Tener ArticulsoTenerArticulos.QueueNumber WaitingQueue"/>
    <n v="12"/>
    <n v="0.55155869724816453"/>
    <n v="2.2857263166408359E-2"/>
    <n v="0.95"/>
    <n v="1.4522812151275023E-2"/>
    <n v="0.51570313450412797"/>
    <n v="0.58732155692135601"/>
    <n v="1.4522812151275023E-2"/>
  </r>
  <r>
    <x v="0"/>
    <s v="2025-05-21 22:25:52"/>
    <n v="1"/>
    <x v="8"/>
    <x v="2"/>
    <x v="2"/>
    <n v="0.94298304297686897"/>
    <n v="2E+20"/>
    <n v="0"/>
    <n v="1"/>
    <n v="1"/>
    <n v="0"/>
    <s v="Tener ArticulsorOrganizdorInstantaneous Utilization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1"/>
    <x v="8"/>
    <x v="3"/>
    <x v="2"/>
    <n v="0.94298304297686897"/>
    <n v="2E+20"/>
    <n v="0"/>
    <n v="1"/>
    <n v="1"/>
    <n v="0"/>
    <s v="Tener ArticulsorOrganizdorNumber Busy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1"/>
    <x v="8"/>
    <x v="4"/>
    <x v="2"/>
    <n v="1"/>
    <n v="2E+20"/>
    <n v="1"/>
    <n v="1"/>
    <n v="1"/>
    <n v="0"/>
    <s v="Tener ArticulsorOrganizdorNumber ScheduledResource"/>
    <n v="12"/>
    <n v="1"/>
    <n v="0"/>
    <n v="0.95"/>
    <n v="0"/>
    <n v="1"/>
    <n v="1"/>
    <n v="0"/>
  </r>
  <r>
    <x v="0"/>
    <s v="2025-05-21 22:25:52"/>
    <n v="1"/>
    <x v="9"/>
    <x v="2"/>
    <x v="2"/>
    <n v="0.74793517119931496"/>
    <n v="2E+20"/>
    <n v="0"/>
    <n v="1"/>
    <n v="1"/>
    <n v="0"/>
    <s v="Tener ArticulsorSacadorInstantaneous Utilization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1"/>
    <x v="9"/>
    <x v="3"/>
    <x v="2"/>
    <n v="0.74793517119931496"/>
    <n v="2E+20"/>
    <n v="0"/>
    <n v="1"/>
    <n v="1"/>
    <n v="0"/>
    <s v="Tener ArticulsorSacadorNumber Busy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1"/>
    <x v="9"/>
    <x v="4"/>
    <x v="2"/>
    <n v="1"/>
    <n v="2E+20"/>
    <n v="1"/>
    <n v="1"/>
    <n v="1"/>
    <n v="0"/>
    <s v="Tener ArticulsorSacadorNumber ScheduledResource"/>
    <n v="12"/>
    <n v="1"/>
    <n v="0"/>
    <n v="0.95"/>
    <n v="0"/>
    <n v="1"/>
    <n v="1"/>
    <n v="0"/>
  </r>
  <r>
    <x v="0"/>
    <s v="2025-05-21 22:25:52"/>
    <n v="2"/>
    <x v="0"/>
    <x v="0"/>
    <x v="0"/>
    <n v="12.162203886381"/>
    <n v="3E+20"/>
    <n v="0"/>
    <n v="30"/>
    <n v="18"/>
    <n v="0"/>
    <s v="Tener ArticulsoArticulosWIPEntity"/>
    <n v="12"/>
    <n v="11.967618013540566"/>
    <n v="2.2199622266915817"/>
    <n v="0.95"/>
    <n v="1.4104967058588604"/>
    <n v="7.8453940222015603"/>
    <n v="16.013877975802099"/>
    <n v="1.4104967058588604"/>
  </r>
  <r>
    <x v="0"/>
    <s v="2025-05-21 22:25:52"/>
    <n v="2"/>
    <x v="1"/>
    <x v="0"/>
    <x v="0"/>
    <n v="1.6226550461162801"/>
    <n v="3E+20"/>
    <n v="0"/>
    <n v="14"/>
    <n v="0"/>
    <n v="0"/>
    <s v="Tener ArticulsoCarrosWIPEntity"/>
    <n v="12"/>
    <n v="1.4357426212197542"/>
    <n v="0.67481269179007708"/>
    <n v="0.95"/>
    <n v="0.4287555289894085"/>
    <n v="0.85623463950978496"/>
    <n v="3.3096083955109501"/>
    <n v="0.4287555289894085"/>
  </r>
  <r>
    <x v="0"/>
    <s v="2025-05-21 22:25:52"/>
    <n v="2"/>
    <x v="2"/>
    <x v="1"/>
    <x v="1"/>
    <n v="0.40480158087026002"/>
    <n v="2E+20"/>
    <n v="0"/>
    <n v="1"/>
    <n v="0"/>
    <n v="0"/>
    <s v="Tener ArticulsoDesembalaje.QueueNumber WaitingQueue"/>
    <n v="12"/>
    <n v="0.39305431340749158"/>
    <n v="6.9825204530481425E-2"/>
    <n v="0.95"/>
    <n v="4.4364818370329934E-2"/>
    <n v="0.26379051411540999"/>
    <n v="0.492701223784278"/>
    <n v="4.4364818370329934E-2"/>
  </r>
  <r>
    <x v="0"/>
    <s v="2025-05-21 22:25:52"/>
    <n v="2"/>
    <x v="3"/>
    <x v="1"/>
    <x v="1"/>
    <n v="1.6226550461162801"/>
    <n v="3E+20"/>
    <n v="0"/>
    <n v="12"/>
    <n v="0"/>
    <n v="0"/>
    <s v="Tener ArticulsoDetener Carros.QueueNumber WaitingQueue"/>
    <n v="12"/>
    <n v="1.4357426212197553"/>
    <n v="0.67481269179007586"/>
    <n v="0.95"/>
    <n v="0.42875552898940772"/>
    <n v="0.85623463950978496"/>
    <n v="3.3096083955109501"/>
    <n v="0.42875552898940772"/>
  </r>
  <r>
    <x v="0"/>
    <s v="2025-05-21 22:25:52"/>
    <n v="2"/>
    <x v="4"/>
    <x v="1"/>
    <x v="1"/>
    <n v="0.98367468971319505"/>
    <n v="2E+20"/>
    <n v="0"/>
    <n v="4"/>
    <n v="2"/>
    <n v="0"/>
    <s v="Tener ArticulsoNoOrganizar.QueueNumber WaitingQueue"/>
    <n v="12"/>
    <n v="1.8367908590220434"/>
    <n v="0.88849214816383859"/>
    <n v="0.95"/>
    <n v="0.56452097837458637"/>
    <n v="0.36210426146159602"/>
    <n v="4.0028313893775698"/>
    <n v="0.56452097837458637"/>
  </r>
  <r>
    <x v="0"/>
    <s v="2025-05-21 22:25:52"/>
    <n v="2"/>
    <x v="5"/>
    <x v="1"/>
    <x v="1"/>
    <n v="7.89744162079697"/>
    <n v="3E+20"/>
    <n v="0"/>
    <n v="26"/>
    <n v="12"/>
    <n v="0"/>
    <s v="Tener ArticulsoOrganizar.QueueNumber WaitingQueue"/>
    <n v="12"/>
    <n v="6.9452151315179975"/>
    <n v="1.3904671864747102"/>
    <n v="0.95"/>
    <n v="0.88346070151395062"/>
    <n v="4.6102617725055204"/>
    <n v="8.6997606838150698"/>
    <n v="0.88346070151395062"/>
  </r>
  <r>
    <x v="0"/>
    <s v="2025-05-21 22:25:52"/>
    <n v="2"/>
    <x v="6"/>
    <x v="1"/>
    <x v="1"/>
    <n v="0.57749404478454203"/>
    <n v="5.2845923686624302E-2"/>
    <n v="0"/>
    <n v="2"/>
    <n v="2"/>
    <n v="0"/>
    <s v="Tener ArticulsoSacar Articulos.QueueNumber WaitingQueue"/>
    <n v="12"/>
    <n v="0.54907359753581719"/>
    <n v="2.8061047329126759E-2"/>
    <n v="0.95"/>
    <n v="1.7829138867677546E-2"/>
    <n v="0.50893371098476703"/>
    <n v="0.58706685204911901"/>
    <n v="1.7829138867677546E-2"/>
  </r>
  <r>
    <x v="0"/>
    <s v="2025-05-21 22:25:52"/>
    <n v="2"/>
    <x v="7"/>
    <x v="1"/>
    <x v="1"/>
    <n v="0.57843531373403501"/>
    <n v="5.2416051648690801E-2"/>
    <n v="0"/>
    <n v="3"/>
    <n v="0"/>
    <n v="0"/>
    <s v="Tener ArticulsoTenerArticulos.QueueNumber WaitingQueue"/>
    <n v="12"/>
    <n v="0.55155869724816453"/>
    <n v="2.2857263166408359E-2"/>
    <n v="0.95"/>
    <n v="1.4522812151275023E-2"/>
    <n v="0.51570313450412797"/>
    <n v="0.58732155692135601"/>
    <n v="1.4522812151275023E-2"/>
  </r>
  <r>
    <x v="0"/>
    <s v="2025-05-21 22:25:52"/>
    <n v="2"/>
    <x v="8"/>
    <x v="2"/>
    <x v="2"/>
    <n v="0.92627316119155401"/>
    <n v="2E+20"/>
    <n v="0"/>
    <n v="1"/>
    <n v="1"/>
    <n v="0"/>
    <s v="Tener ArticulsorOrganizdorInstantaneous Utilization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2"/>
    <x v="8"/>
    <x v="3"/>
    <x v="2"/>
    <n v="0.92627316119155401"/>
    <n v="2E+20"/>
    <n v="0"/>
    <n v="1"/>
    <n v="1"/>
    <n v="0"/>
    <s v="Tener ArticulsorOrganizdorNumber Busy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2"/>
    <x v="8"/>
    <x v="4"/>
    <x v="2"/>
    <n v="1"/>
    <n v="2E+20"/>
    <n v="1"/>
    <n v="1"/>
    <n v="1"/>
    <n v="0"/>
    <s v="Tener ArticulsorOrganizdorNumber ScheduledResource"/>
    <n v="12"/>
    <n v="1"/>
    <n v="0"/>
    <n v="0.95"/>
    <n v="0"/>
    <n v="1"/>
    <n v="1"/>
    <n v="0"/>
  </r>
  <r>
    <x v="0"/>
    <s v="2025-05-21 22:25:52"/>
    <n v="2"/>
    <x v="9"/>
    <x v="2"/>
    <x v="2"/>
    <n v="0.79408347529050305"/>
    <n v="2E+20"/>
    <n v="0"/>
    <n v="1"/>
    <n v="1"/>
    <n v="0"/>
    <s v="Tener ArticulsorSacadorInstantaneous Utilization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2"/>
    <x v="9"/>
    <x v="3"/>
    <x v="2"/>
    <n v="0.79408347529050305"/>
    <n v="2E+20"/>
    <n v="0"/>
    <n v="1"/>
    <n v="1"/>
    <n v="0"/>
    <s v="Tener ArticulsorSacadorNumber Busy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2"/>
    <x v="9"/>
    <x v="4"/>
    <x v="2"/>
    <n v="1"/>
    <n v="2E+20"/>
    <n v="1"/>
    <n v="1"/>
    <n v="1"/>
    <n v="0"/>
    <s v="Tener ArticulsorSacadorNumber ScheduledResource"/>
    <n v="12"/>
    <n v="1"/>
    <n v="0"/>
    <n v="0.95"/>
    <n v="0"/>
    <n v="1"/>
    <n v="1"/>
    <n v="0"/>
  </r>
  <r>
    <x v="0"/>
    <s v="2025-05-21 22:25:52"/>
    <n v="3"/>
    <x v="0"/>
    <x v="0"/>
    <x v="0"/>
    <n v="16.013877975802099"/>
    <n v="3E+20"/>
    <n v="0"/>
    <n v="33"/>
    <n v="23"/>
    <n v="0"/>
    <s v="Tener ArticulsoArticulosWIPEntity"/>
    <n v="12"/>
    <n v="11.967618013540566"/>
    <n v="2.2199622266915817"/>
    <n v="0.95"/>
    <n v="1.4104967058588604"/>
    <n v="7.8453940222015603"/>
    <n v="16.013877975802099"/>
    <n v="1.4104967058588604"/>
  </r>
  <r>
    <x v="0"/>
    <s v="2025-05-21 22:25:52"/>
    <n v="3"/>
    <x v="1"/>
    <x v="0"/>
    <x v="0"/>
    <n v="1.39311487962991"/>
    <n v="3E+20"/>
    <n v="0"/>
    <n v="11"/>
    <n v="0"/>
    <n v="0"/>
    <s v="Tener ArticulsoCarrosWIPEntity"/>
    <n v="12"/>
    <n v="1.4357426212197542"/>
    <n v="0.67481269179007708"/>
    <n v="0.95"/>
    <n v="0.4287555289894085"/>
    <n v="0.85623463950978496"/>
    <n v="3.3096083955109501"/>
    <n v="0.4287555289894085"/>
  </r>
  <r>
    <x v="0"/>
    <s v="2025-05-21 22:25:52"/>
    <n v="3"/>
    <x v="2"/>
    <x v="1"/>
    <x v="1"/>
    <n v="0.49202335575108203"/>
    <n v="2E+20"/>
    <n v="0"/>
    <n v="1"/>
    <n v="1"/>
    <n v="0"/>
    <s v="Tener ArticulsoDesembalaje.QueueNumber WaitingQueue"/>
    <n v="12"/>
    <n v="0.39305431340749158"/>
    <n v="6.9825204530481425E-2"/>
    <n v="0.95"/>
    <n v="4.4364818370329934E-2"/>
    <n v="0.26379051411540999"/>
    <n v="0.492701223784278"/>
    <n v="4.4364818370329934E-2"/>
  </r>
  <r>
    <x v="0"/>
    <s v="2025-05-21 22:25:52"/>
    <n v="3"/>
    <x v="3"/>
    <x v="1"/>
    <x v="1"/>
    <n v="1.39311487962991"/>
    <n v="3E+20"/>
    <n v="0"/>
    <n v="9"/>
    <n v="0"/>
    <n v="0"/>
    <s v="Tener ArticulsoDetener Carros.QueueNumber WaitingQueue"/>
    <n v="12"/>
    <n v="1.4357426212197553"/>
    <n v="0.67481269179007586"/>
    <n v="0.95"/>
    <n v="0.42875552898940772"/>
    <n v="0.85623463950978496"/>
    <n v="3.3096083955109501"/>
    <n v="0.42875552898940772"/>
  </r>
  <r>
    <x v="0"/>
    <s v="2025-05-21 22:25:52"/>
    <n v="3"/>
    <x v="4"/>
    <x v="1"/>
    <x v="1"/>
    <n v="4.0028313893775698"/>
    <n v="2E+20"/>
    <n v="0"/>
    <n v="13"/>
    <n v="7"/>
    <n v="0"/>
    <s v="Tener ArticulsoNoOrganizar.QueueNumber WaitingQueue"/>
    <n v="12"/>
    <n v="1.8367908590220434"/>
    <n v="0.88849214816383859"/>
    <n v="0.95"/>
    <n v="0.56452097837458637"/>
    <n v="0.36210426146159602"/>
    <n v="4.0028313893775698"/>
    <n v="0.56452097837458637"/>
  </r>
  <r>
    <x v="0"/>
    <s v="2025-05-21 22:25:52"/>
    <n v="3"/>
    <x v="5"/>
    <x v="1"/>
    <x v="1"/>
    <n v="8.6115571004757498"/>
    <n v="3E+20"/>
    <n v="0"/>
    <n v="21"/>
    <n v="11"/>
    <n v="0"/>
    <s v="Tener ArticulsoOrganizar.QueueNumber WaitingQueue"/>
    <n v="12"/>
    <n v="6.9452151315179975"/>
    <n v="1.3904671864747102"/>
    <n v="0.95"/>
    <n v="0.88346070151395062"/>
    <n v="4.6102617725055204"/>
    <n v="8.6997606838150698"/>
    <n v="0.88346070151395062"/>
  </r>
  <r>
    <x v="0"/>
    <s v="2025-05-21 22:25:52"/>
    <n v="3"/>
    <x v="6"/>
    <x v="1"/>
    <x v="1"/>
    <n v="0.57782502298434202"/>
    <n v="3E+20"/>
    <n v="0"/>
    <n v="2"/>
    <n v="1"/>
    <n v="0"/>
    <s v="Tener ArticulsoSacar Articulos.QueueNumber WaitingQueue"/>
    <n v="12"/>
    <n v="0.54907359753581719"/>
    <n v="2.8061047329126759E-2"/>
    <n v="0.95"/>
    <n v="1.7829138867677546E-2"/>
    <n v="0.50893371098476703"/>
    <n v="0.58706685204911901"/>
    <n v="1.7829138867677546E-2"/>
  </r>
  <r>
    <x v="0"/>
    <s v="2025-05-21 22:25:52"/>
    <n v="3"/>
    <x v="7"/>
    <x v="1"/>
    <x v="1"/>
    <n v="0.56100238959676596"/>
    <n v="7.2421625433608E-2"/>
    <n v="0"/>
    <n v="3"/>
    <n v="1"/>
    <n v="0"/>
    <s v="Tener ArticulsoTenerArticulos.QueueNumber WaitingQueue"/>
    <n v="12"/>
    <n v="0.55155869724816453"/>
    <n v="2.2857263166408359E-2"/>
    <n v="0.95"/>
    <n v="1.4522812151275023E-2"/>
    <n v="0.51570313450412797"/>
    <n v="0.58732155692135601"/>
    <n v="1.4522812151275023E-2"/>
  </r>
  <r>
    <x v="0"/>
    <s v="2025-05-21 22:25:52"/>
    <n v="3"/>
    <x v="8"/>
    <x v="2"/>
    <x v="2"/>
    <n v="0.989515454392208"/>
    <n v="2E+20"/>
    <n v="0"/>
    <n v="1"/>
    <n v="1"/>
    <n v="0"/>
    <s v="Tener ArticulsorOrganizdorInstantaneous Utilization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3"/>
    <x v="8"/>
    <x v="3"/>
    <x v="2"/>
    <n v="0.989515454392208"/>
    <n v="2E+20"/>
    <n v="0"/>
    <n v="1"/>
    <n v="1"/>
    <n v="0"/>
    <s v="Tener ArticulsorOrganizdorNumber Busy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3"/>
    <x v="8"/>
    <x v="4"/>
    <x v="2"/>
    <n v="1"/>
    <n v="2E+20"/>
    <n v="1"/>
    <n v="1"/>
    <n v="1"/>
    <n v="0"/>
    <s v="Tener ArticulsorOrganizdorNumber ScheduledResource"/>
    <n v="12"/>
    <n v="1"/>
    <n v="0"/>
    <n v="0.95"/>
    <n v="0"/>
    <n v="1"/>
    <n v="1"/>
    <n v="0"/>
  </r>
  <r>
    <x v="0"/>
    <s v="2025-05-21 22:25:52"/>
    <n v="3"/>
    <x v="9"/>
    <x v="2"/>
    <x v="2"/>
    <n v="0.77912326322433201"/>
    <n v="2E+20"/>
    <n v="0"/>
    <n v="1"/>
    <n v="1"/>
    <n v="0"/>
    <s v="Tener ArticulsorSacadorInstantaneous Utilization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3"/>
    <x v="9"/>
    <x v="3"/>
    <x v="2"/>
    <n v="0.77912326322433201"/>
    <n v="2E+20"/>
    <n v="0"/>
    <n v="1"/>
    <n v="1"/>
    <n v="0"/>
    <s v="Tener ArticulsorSacadorNumber Busy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3"/>
    <x v="9"/>
    <x v="4"/>
    <x v="2"/>
    <n v="1"/>
    <n v="2E+20"/>
    <n v="1"/>
    <n v="1"/>
    <n v="1"/>
    <n v="0"/>
    <s v="Tener ArticulsorSacadorNumber ScheduledResource"/>
    <n v="12"/>
    <n v="1"/>
    <n v="0"/>
    <n v="0.95"/>
    <n v="0"/>
    <n v="1"/>
    <n v="1"/>
    <n v="0"/>
  </r>
  <r>
    <x v="0"/>
    <s v="2025-05-21 22:25:52"/>
    <n v="4"/>
    <x v="0"/>
    <x v="0"/>
    <x v="0"/>
    <n v="14.796502455206101"/>
    <n v="3E+20"/>
    <n v="0"/>
    <n v="30"/>
    <n v="12"/>
    <n v="0"/>
    <s v="Tener ArticulsoArticulosWIPEntity"/>
    <n v="12"/>
    <n v="11.967618013540566"/>
    <n v="2.2199622266915817"/>
    <n v="0.95"/>
    <n v="1.4104967058588604"/>
    <n v="7.8453940222015603"/>
    <n v="16.013877975802099"/>
    <n v="1.4104967058588604"/>
  </r>
  <r>
    <x v="0"/>
    <s v="2025-05-21 22:25:52"/>
    <n v="4"/>
    <x v="1"/>
    <x v="0"/>
    <x v="0"/>
    <n v="1.2586769647801299"/>
    <n v="3E+20"/>
    <n v="0"/>
    <n v="10"/>
    <n v="0"/>
    <n v="0"/>
    <s v="Tener ArticulsoCarrosWIPEntity"/>
    <n v="12"/>
    <n v="1.4357426212197542"/>
    <n v="0.67481269179007708"/>
    <n v="0.95"/>
    <n v="0.4287555289894085"/>
    <n v="0.85623463950978496"/>
    <n v="3.3096083955109501"/>
    <n v="0.4287555289894085"/>
  </r>
  <r>
    <x v="0"/>
    <s v="2025-05-21 22:25:52"/>
    <n v="4"/>
    <x v="2"/>
    <x v="1"/>
    <x v="1"/>
    <n v="0.492701223784278"/>
    <n v="2E+20"/>
    <n v="0"/>
    <n v="1"/>
    <n v="0"/>
    <n v="0"/>
    <s v="Tener ArticulsoDesembalaje.QueueNumber WaitingQueue"/>
    <n v="12"/>
    <n v="0.39305431340749158"/>
    <n v="6.9825204530481425E-2"/>
    <n v="0.95"/>
    <n v="4.4364818370329934E-2"/>
    <n v="0.26379051411540999"/>
    <n v="0.492701223784278"/>
    <n v="4.4364818370329934E-2"/>
  </r>
  <r>
    <x v="0"/>
    <s v="2025-05-21 22:25:52"/>
    <n v="4"/>
    <x v="3"/>
    <x v="1"/>
    <x v="1"/>
    <n v="1.2586769647801299"/>
    <n v="3E+20"/>
    <n v="0"/>
    <n v="7"/>
    <n v="0"/>
    <n v="0"/>
    <s v="Tener ArticulsoDetener Carros.QueueNumber WaitingQueue"/>
    <n v="12"/>
    <n v="1.4357426212197553"/>
    <n v="0.67481269179007586"/>
    <n v="0.95"/>
    <n v="0.42875552898940772"/>
    <n v="0.85623463950978496"/>
    <n v="3.3096083955109501"/>
    <n v="0.42875552898940772"/>
  </r>
  <r>
    <x v="0"/>
    <s v="2025-05-21 22:25:52"/>
    <n v="4"/>
    <x v="4"/>
    <x v="1"/>
    <x v="1"/>
    <n v="2.6701436601395501"/>
    <n v="2E+20"/>
    <n v="0"/>
    <n v="8"/>
    <n v="3"/>
    <n v="0"/>
    <s v="Tener ArticulsoNoOrganizar.QueueNumber WaitingQueue"/>
    <n v="12"/>
    <n v="1.8367908590220434"/>
    <n v="0.88849214816383859"/>
    <n v="0.95"/>
    <n v="0.56452097837458637"/>
    <n v="0.36210426146159602"/>
    <n v="4.0028313893775698"/>
    <n v="0.56452097837458637"/>
  </r>
  <r>
    <x v="0"/>
    <s v="2025-05-21 22:25:52"/>
    <n v="4"/>
    <x v="5"/>
    <x v="1"/>
    <x v="1"/>
    <n v="8.6997606838150698"/>
    <n v="3E+20"/>
    <n v="0"/>
    <n v="23"/>
    <n v="8"/>
    <n v="0"/>
    <s v="Tener ArticulsoOrganizar.QueueNumber WaitingQueue"/>
    <n v="12"/>
    <n v="6.9452151315179975"/>
    <n v="1.3904671864747102"/>
    <n v="0.95"/>
    <n v="0.88346070151395062"/>
    <n v="4.6102617725055204"/>
    <n v="8.6997606838150698"/>
    <n v="0.88346070151395062"/>
  </r>
  <r>
    <x v="0"/>
    <s v="2025-05-21 22:25:52"/>
    <n v="4"/>
    <x v="6"/>
    <x v="1"/>
    <x v="1"/>
    <n v="0.58706685204911901"/>
    <n v="3E+20"/>
    <n v="0"/>
    <n v="2"/>
    <n v="0"/>
    <n v="0"/>
    <s v="Tener ArticulsoSacar Articulos.QueueNumber WaitingQueue"/>
    <n v="12"/>
    <n v="0.54907359753581719"/>
    <n v="2.8061047329126759E-2"/>
    <n v="0.95"/>
    <n v="1.7829138867677546E-2"/>
    <n v="0.50893371098476703"/>
    <n v="0.58706685204911901"/>
    <n v="1.7829138867677546E-2"/>
  </r>
  <r>
    <x v="0"/>
    <s v="2025-05-21 22:25:52"/>
    <n v="4"/>
    <x v="7"/>
    <x v="1"/>
    <x v="1"/>
    <n v="0.58732155692135601"/>
    <n v="3E+20"/>
    <n v="0"/>
    <n v="3"/>
    <n v="0"/>
    <n v="0"/>
    <s v="Tener ArticulsoTenerArticulos.QueueNumber WaitingQueue"/>
    <n v="12"/>
    <n v="0.55155869724816453"/>
    <n v="2.2857263166408359E-2"/>
    <n v="0.95"/>
    <n v="1.4522812151275023E-2"/>
    <n v="0.51570313450412797"/>
    <n v="0.58732155692135601"/>
    <n v="1.4522812151275023E-2"/>
  </r>
  <r>
    <x v="0"/>
    <s v="2025-05-21 22:25:52"/>
    <n v="4"/>
    <x v="8"/>
    <x v="2"/>
    <x v="2"/>
    <n v="0.96274032380429897"/>
    <n v="2E+20"/>
    <n v="0"/>
    <n v="1"/>
    <n v="1"/>
    <n v="0"/>
    <s v="Tener ArticulsorOrganizdorInstantaneous Utilization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4"/>
    <x v="8"/>
    <x v="3"/>
    <x v="2"/>
    <n v="0.96274032380429897"/>
    <n v="2E+20"/>
    <n v="0"/>
    <n v="1"/>
    <n v="1"/>
    <n v="0"/>
    <s v="Tener ArticulsorOrganizdorNumber Busy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4"/>
    <x v="8"/>
    <x v="4"/>
    <x v="2"/>
    <n v="1"/>
    <n v="2E+20"/>
    <n v="1"/>
    <n v="1"/>
    <n v="1"/>
    <n v="0"/>
    <s v="Tener ArticulsorOrganizdorNumber ScheduledResource"/>
    <n v="12"/>
    <n v="1"/>
    <n v="0"/>
    <n v="0.95"/>
    <n v="0"/>
    <n v="1"/>
    <n v="1"/>
    <n v="0"/>
  </r>
  <r>
    <x v="0"/>
    <s v="2025-05-21 22:25:52"/>
    <n v="4"/>
    <x v="9"/>
    <x v="2"/>
    <x v="2"/>
    <n v="0.79676815469245998"/>
    <n v="2E+20"/>
    <n v="0"/>
    <n v="1"/>
    <n v="0"/>
    <n v="0"/>
    <s v="Tener ArticulsorSacadorInstantaneous Utilization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4"/>
    <x v="9"/>
    <x v="3"/>
    <x v="2"/>
    <n v="0.79676815469245998"/>
    <n v="2E+20"/>
    <n v="0"/>
    <n v="1"/>
    <n v="0"/>
    <n v="0"/>
    <s v="Tener ArticulsorSacadorNumber Busy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4"/>
    <x v="9"/>
    <x v="4"/>
    <x v="2"/>
    <n v="1"/>
    <n v="2E+20"/>
    <n v="1"/>
    <n v="1"/>
    <n v="1"/>
    <n v="0"/>
    <s v="Tener ArticulsorSacadorNumber ScheduledResource"/>
    <n v="12"/>
    <n v="1"/>
    <n v="0"/>
    <n v="0.95"/>
    <n v="0"/>
    <n v="1"/>
    <n v="1"/>
    <n v="0"/>
  </r>
  <r>
    <x v="0"/>
    <s v="2025-05-21 22:25:52"/>
    <n v="5"/>
    <x v="0"/>
    <x v="0"/>
    <x v="0"/>
    <n v="7.8453940222015603"/>
    <n v="3E+20"/>
    <n v="0"/>
    <n v="21"/>
    <n v="7"/>
    <n v="0"/>
    <s v="Tener ArticulsoArticulosWIPEntity"/>
    <n v="12"/>
    <n v="11.967618013540566"/>
    <n v="2.2199622266915817"/>
    <n v="0.95"/>
    <n v="1.4104967058588604"/>
    <n v="7.8453940222015603"/>
    <n v="16.013877975802099"/>
    <n v="1.4104967058588604"/>
  </r>
  <r>
    <x v="0"/>
    <s v="2025-05-21 22:25:52"/>
    <n v="5"/>
    <x v="1"/>
    <x v="0"/>
    <x v="0"/>
    <n v="0.89426091287144105"/>
    <n v="0.32738360525840998"/>
    <n v="0"/>
    <n v="10"/>
    <n v="0"/>
    <n v="0"/>
    <s v="Tener ArticulsoCarrosWIPEntity"/>
    <n v="12"/>
    <n v="1.4357426212197542"/>
    <n v="0.67481269179007708"/>
    <n v="0.95"/>
    <n v="0.4287555289894085"/>
    <n v="0.85623463950978496"/>
    <n v="3.3096083955109501"/>
    <n v="0.4287555289894085"/>
  </r>
  <r>
    <x v="0"/>
    <s v="2025-05-21 22:25:52"/>
    <n v="5"/>
    <x v="2"/>
    <x v="1"/>
    <x v="1"/>
    <n v="0.26379051411540999"/>
    <n v="2E+20"/>
    <n v="0"/>
    <n v="1"/>
    <n v="1"/>
    <n v="0"/>
    <s v="Tener ArticulsoDesembalaje.QueueNumber WaitingQueue"/>
    <n v="12"/>
    <n v="0.39305431340749158"/>
    <n v="6.9825204530481425E-2"/>
    <n v="0.95"/>
    <n v="4.4364818370329934E-2"/>
    <n v="0.26379051411540999"/>
    <n v="0.492701223784278"/>
    <n v="4.4364818370329934E-2"/>
  </r>
  <r>
    <x v="0"/>
    <s v="2025-05-21 22:25:52"/>
    <n v="5"/>
    <x v="3"/>
    <x v="1"/>
    <x v="1"/>
    <n v="0.89426091287144205"/>
    <n v="0.32738360525840998"/>
    <n v="0"/>
    <n v="7"/>
    <n v="0"/>
    <n v="0"/>
    <s v="Tener ArticulsoDetener Carros.QueueNumber WaitingQueue"/>
    <n v="12"/>
    <n v="1.4357426212197553"/>
    <n v="0.67481269179007586"/>
    <n v="0.95"/>
    <n v="0.42875552898940772"/>
    <n v="0.85623463950978496"/>
    <n v="3.3096083955109501"/>
    <n v="0.42875552898940772"/>
  </r>
  <r>
    <x v="0"/>
    <s v="2025-05-21 22:25:52"/>
    <n v="5"/>
    <x v="4"/>
    <x v="1"/>
    <x v="1"/>
    <n v="0.36210426146159602"/>
    <n v="2E+20"/>
    <n v="0"/>
    <n v="2"/>
    <n v="0"/>
    <n v="0"/>
    <s v="Tener ArticulsoNoOrganizar.QueueNumber WaitingQueue"/>
    <n v="12"/>
    <n v="1.8367908590220434"/>
    <n v="0.88849214816383859"/>
    <n v="0.95"/>
    <n v="0.56452097837458637"/>
    <n v="0.36210426146159602"/>
    <n v="4.0028313893775698"/>
    <n v="0.56452097837458637"/>
  </r>
  <r>
    <x v="0"/>
    <s v="2025-05-21 22:25:52"/>
    <n v="5"/>
    <x v="5"/>
    <x v="1"/>
    <x v="1"/>
    <n v="4.6102617725055204"/>
    <n v="3E+20"/>
    <n v="0"/>
    <n v="17"/>
    <n v="5"/>
    <n v="0"/>
    <s v="Tener ArticulsoOrganizar.QueueNumber WaitingQueue"/>
    <n v="12"/>
    <n v="6.9452151315179975"/>
    <n v="1.3904671864747102"/>
    <n v="0.95"/>
    <n v="0.88346070151395062"/>
    <n v="4.6102617725055204"/>
    <n v="8.6997606838150698"/>
    <n v="0.88346070151395062"/>
  </r>
  <r>
    <x v="0"/>
    <s v="2025-05-21 22:25:52"/>
    <n v="5"/>
    <x v="6"/>
    <x v="1"/>
    <x v="1"/>
    <n v="0.51002018711216801"/>
    <n v="6.1338014917536397E-2"/>
    <n v="0"/>
    <n v="2"/>
    <n v="0"/>
    <n v="0"/>
    <s v="Tener ArticulsoSacar Articulos.QueueNumber WaitingQueue"/>
    <n v="12"/>
    <n v="0.54907359753581719"/>
    <n v="2.8061047329126759E-2"/>
    <n v="0.95"/>
    <n v="1.7829138867677546E-2"/>
    <n v="0.50893371098476703"/>
    <n v="0.58706685204911901"/>
    <n v="1.7829138867677546E-2"/>
  </r>
  <r>
    <x v="0"/>
    <s v="2025-05-21 22:25:52"/>
    <n v="5"/>
    <x v="7"/>
    <x v="1"/>
    <x v="1"/>
    <n v="0.51570313450412797"/>
    <n v="6.1268049686860802E-2"/>
    <n v="0"/>
    <n v="3"/>
    <n v="0"/>
    <n v="0"/>
    <s v="Tener ArticulsoTenerArticulos.QueueNumber WaitingQueue"/>
    <n v="12"/>
    <n v="0.55155869724816453"/>
    <n v="2.2857263166408359E-2"/>
    <n v="0.95"/>
    <n v="1.4522812151275023E-2"/>
    <n v="0.51570313450412797"/>
    <n v="0.58732155692135601"/>
    <n v="1.4522812151275023E-2"/>
  </r>
  <r>
    <x v="0"/>
    <s v="2025-05-21 22:25:52"/>
    <n v="5"/>
    <x v="8"/>
    <x v="2"/>
    <x v="2"/>
    <n v="0.87408888428798603"/>
    <n v="2E+20"/>
    <n v="0"/>
    <n v="1"/>
    <n v="1"/>
    <n v="0"/>
    <s v="Tener ArticulsorOrganizdorInstantaneous Utilization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5"/>
    <x v="8"/>
    <x v="3"/>
    <x v="2"/>
    <n v="0.87408888428798603"/>
    <n v="2E+20"/>
    <n v="0"/>
    <n v="1"/>
    <n v="1"/>
    <n v="0"/>
    <s v="Tener ArticulsorOrganizdorNumber Busy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5"/>
    <x v="8"/>
    <x v="4"/>
    <x v="2"/>
    <n v="1"/>
    <n v="2E+20"/>
    <n v="1"/>
    <n v="1"/>
    <n v="1"/>
    <n v="0"/>
    <s v="Tener ArticulsorOrganizdorNumber ScheduledResource"/>
    <n v="12"/>
    <n v="1"/>
    <n v="0"/>
    <n v="0.95"/>
    <n v="0"/>
    <n v="1"/>
    <n v="1"/>
    <n v="0"/>
  </r>
  <r>
    <x v="0"/>
    <s v="2025-05-21 22:25:52"/>
    <n v="5"/>
    <x v="9"/>
    <x v="2"/>
    <x v="2"/>
    <n v="0.70942526821475904"/>
    <n v="2E+20"/>
    <n v="0"/>
    <n v="1"/>
    <n v="0"/>
    <n v="0"/>
    <s v="Tener ArticulsorSacadorInstantaneous Utilization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5"/>
    <x v="9"/>
    <x v="3"/>
    <x v="2"/>
    <n v="0.70942526821475904"/>
    <n v="2E+20"/>
    <n v="0"/>
    <n v="1"/>
    <n v="0"/>
    <n v="0"/>
    <s v="Tener ArticulsorSacadorNumber Busy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5"/>
    <x v="9"/>
    <x v="4"/>
    <x v="2"/>
    <n v="1"/>
    <n v="2E+20"/>
    <n v="1"/>
    <n v="1"/>
    <n v="1"/>
    <n v="0"/>
    <s v="Tener ArticulsorSacadorNumber ScheduledResource"/>
    <n v="12"/>
    <n v="1"/>
    <n v="0"/>
    <n v="0.95"/>
    <n v="0"/>
    <n v="1"/>
    <n v="1"/>
    <n v="0"/>
  </r>
  <r>
    <x v="0"/>
    <s v="2025-05-21 22:25:52"/>
    <n v="6"/>
    <x v="0"/>
    <x v="0"/>
    <x v="0"/>
    <n v="11.464364756274"/>
    <n v="3E+20"/>
    <n v="0"/>
    <n v="27"/>
    <n v="13"/>
    <n v="0"/>
    <s v="Tener ArticulsoArticulosWIPEntity"/>
    <n v="12"/>
    <n v="11.967618013540566"/>
    <n v="2.2199622266915817"/>
    <n v="0.95"/>
    <n v="1.4104967058588604"/>
    <n v="7.8453940222015603"/>
    <n v="16.013877975802099"/>
    <n v="1.4104967058588604"/>
  </r>
  <r>
    <x v="0"/>
    <s v="2025-05-21 22:25:52"/>
    <n v="6"/>
    <x v="1"/>
    <x v="0"/>
    <x v="0"/>
    <n v="1.9028108277795699"/>
    <n v="3E+20"/>
    <n v="0"/>
    <n v="13"/>
    <n v="2"/>
    <n v="0"/>
    <s v="Tener ArticulsoCarrosWIPEntity"/>
    <n v="12"/>
    <n v="1.4357426212197542"/>
    <n v="0.67481269179007708"/>
    <n v="0.95"/>
    <n v="0.4287555289894085"/>
    <n v="0.85623463950978496"/>
    <n v="3.3096083955109501"/>
    <n v="0.4287555289894085"/>
  </r>
  <r>
    <x v="0"/>
    <s v="2025-05-21 22:25:52"/>
    <n v="6"/>
    <x v="2"/>
    <x v="1"/>
    <x v="1"/>
    <n v="0.38810522373780998"/>
    <n v="2E+20"/>
    <n v="0"/>
    <n v="1"/>
    <n v="0"/>
    <n v="0"/>
    <s v="Tener ArticulsoDesembalaje.QueueNumber WaitingQueue"/>
    <n v="12"/>
    <n v="0.39305431340749158"/>
    <n v="6.9825204530481425E-2"/>
    <n v="0.95"/>
    <n v="4.4364818370329934E-2"/>
    <n v="0.26379051411540999"/>
    <n v="0.492701223784278"/>
    <n v="4.4364818370329934E-2"/>
  </r>
  <r>
    <x v="0"/>
    <s v="2025-05-21 22:25:52"/>
    <n v="6"/>
    <x v="3"/>
    <x v="1"/>
    <x v="1"/>
    <n v="1.9028108277795699"/>
    <n v="3E+20"/>
    <n v="0"/>
    <n v="10"/>
    <n v="2"/>
    <n v="0"/>
    <s v="Tener ArticulsoDetener Carros.QueueNumber WaitingQueue"/>
    <n v="12"/>
    <n v="1.4357426212197553"/>
    <n v="0.67481269179007586"/>
    <n v="0.95"/>
    <n v="0.42875552898940772"/>
    <n v="0.85623463950978496"/>
    <n v="3.3096083955109501"/>
    <n v="0.42875552898940772"/>
  </r>
  <r>
    <x v="0"/>
    <s v="2025-05-21 22:25:52"/>
    <n v="6"/>
    <x v="4"/>
    <x v="1"/>
    <x v="1"/>
    <n v="1.67950119269878"/>
    <n v="2E+20"/>
    <n v="0"/>
    <n v="7"/>
    <n v="1"/>
    <n v="0"/>
    <s v="Tener ArticulsoNoOrganizar.QueueNumber WaitingQueue"/>
    <n v="12"/>
    <n v="1.8367908590220434"/>
    <n v="0.88849214816383859"/>
    <n v="0.95"/>
    <n v="0.56452097837458637"/>
    <n v="0.36210426146159602"/>
    <n v="4.0028313893775698"/>
    <n v="0.56452097837458637"/>
  </r>
  <r>
    <x v="0"/>
    <s v="2025-05-21 22:25:52"/>
    <n v="6"/>
    <x v="5"/>
    <x v="1"/>
    <x v="1"/>
    <n v="6.5080667170369502"/>
    <n v="3E+20"/>
    <n v="0"/>
    <n v="18"/>
    <n v="8"/>
    <n v="0"/>
    <s v="Tener ArticulsoOrganizar.QueueNumber WaitingQueue"/>
    <n v="12"/>
    <n v="6.9452151315179975"/>
    <n v="1.3904671864747102"/>
    <n v="0.95"/>
    <n v="0.88346070151395062"/>
    <n v="4.6102617725055204"/>
    <n v="8.6997606838150698"/>
    <n v="0.88346070151395062"/>
  </r>
  <r>
    <x v="0"/>
    <s v="2025-05-21 22:25:52"/>
    <n v="6"/>
    <x v="6"/>
    <x v="1"/>
    <x v="1"/>
    <n v="0.58088499796745996"/>
    <n v="6.3904649366133201E-2"/>
    <n v="0"/>
    <n v="2"/>
    <n v="2"/>
    <n v="0"/>
    <s v="Tener ArticulsoSacar Articulos.QueueNumber WaitingQueue"/>
    <n v="12"/>
    <n v="0.54907359753581719"/>
    <n v="2.8061047329126759E-2"/>
    <n v="0.95"/>
    <n v="1.7829138867677546E-2"/>
    <n v="0.50893371098476703"/>
    <n v="0.58706685204911901"/>
    <n v="1.7829138867677546E-2"/>
  </r>
  <r>
    <x v="0"/>
    <s v="2025-05-21 22:25:52"/>
    <n v="6"/>
    <x v="7"/>
    <x v="1"/>
    <x v="1"/>
    <n v="0.57866976644043799"/>
    <n v="6.6883910374002306E-2"/>
    <n v="0"/>
    <n v="3"/>
    <n v="0"/>
    <n v="0"/>
    <s v="Tener ArticulsoTenerArticulos.QueueNumber WaitingQueue"/>
    <n v="12"/>
    <n v="0.55155869724816453"/>
    <n v="2.2857263166408359E-2"/>
    <n v="0.95"/>
    <n v="1.4522812151275023E-2"/>
    <n v="0.51570313450412797"/>
    <n v="0.58732155692135601"/>
    <n v="1.4522812151275023E-2"/>
  </r>
  <r>
    <x v="0"/>
    <s v="2025-05-21 22:25:52"/>
    <n v="6"/>
    <x v="8"/>
    <x v="2"/>
    <x v="2"/>
    <n v="0.95118807722640097"/>
    <n v="2E+20"/>
    <n v="0"/>
    <n v="1"/>
    <n v="1"/>
    <n v="0"/>
    <s v="Tener ArticulsorOrganizdorInstantaneous Utilization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6"/>
    <x v="8"/>
    <x v="3"/>
    <x v="2"/>
    <n v="0.95118807722640097"/>
    <n v="2E+20"/>
    <n v="0"/>
    <n v="1"/>
    <n v="1"/>
    <n v="0"/>
    <s v="Tener ArticulsorOrganizdorNumber Busy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6"/>
    <x v="8"/>
    <x v="4"/>
    <x v="2"/>
    <n v="1"/>
    <n v="2E+20"/>
    <n v="1"/>
    <n v="1"/>
    <n v="1"/>
    <n v="0"/>
    <s v="Tener ArticulsorOrganizdorNumber ScheduledResource"/>
    <n v="12"/>
    <n v="1"/>
    <n v="0"/>
    <n v="0.95"/>
    <n v="0"/>
    <n v="1"/>
    <n v="1"/>
    <n v="0"/>
  </r>
  <r>
    <x v="0"/>
    <s v="2025-05-21 22:25:52"/>
    <n v="6"/>
    <x v="9"/>
    <x v="2"/>
    <x v="2"/>
    <n v="0.77794878116621502"/>
    <n v="2E+20"/>
    <n v="0"/>
    <n v="1"/>
    <n v="1"/>
    <n v="0"/>
    <s v="Tener ArticulsorSacadorInstantaneous Utilization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6"/>
    <x v="9"/>
    <x v="3"/>
    <x v="2"/>
    <n v="0.77794878116621502"/>
    <n v="2E+20"/>
    <n v="0"/>
    <n v="1"/>
    <n v="1"/>
    <n v="0"/>
    <s v="Tener ArticulsorSacadorNumber Busy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6"/>
    <x v="9"/>
    <x v="4"/>
    <x v="2"/>
    <n v="1"/>
    <n v="2E+20"/>
    <n v="1"/>
    <n v="1"/>
    <n v="1"/>
    <n v="0"/>
    <s v="Tener ArticulsorSacadorNumber ScheduledResource"/>
    <n v="12"/>
    <n v="1"/>
    <n v="0"/>
    <n v="0.95"/>
    <n v="0"/>
    <n v="1"/>
    <n v="1"/>
    <n v="0"/>
  </r>
  <r>
    <x v="0"/>
    <s v="2025-05-21 22:25:52"/>
    <n v="7"/>
    <x v="0"/>
    <x v="0"/>
    <x v="0"/>
    <n v="9.5582322408800309"/>
    <n v="3E+20"/>
    <n v="0"/>
    <n v="30"/>
    <n v="13"/>
    <n v="0"/>
    <s v="Tener ArticulsoArticulosWIPEntity"/>
    <n v="12"/>
    <n v="11.967618013540566"/>
    <n v="2.2199622266915817"/>
    <n v="0.95"/>
    <n v="1.4104967058588604"/>
    <n v="7.8453940222015603"/>
    <n v="16.013877975802099"/>
    <n v="1.4104967058588604"/>
  </r>
  <r>
    <x v="0"/>
    <s v="2025-05-21 22:25:52"/>
    <n v="7"/>
    <x v="1"/>
    <x v="0"/>
    <x v="0"/>
    <n v="0.86459252289113697"/>
    <n v="0.32677974640116703"/>
    <n v="0"/>
    <n v="9"/>
    <n v="1"/>
    <n v="0"/>
    <s v="Tener ArticulsoCarrosWIPEntity"/>
    <n v="12"/>
    <n v="1.4357426212197542"/>
    <n v="0.67481269179007708"/>
    <n v="0.95"/>
    <n v="0.4287555289894085"/>
    <n v="0.85623463950978496"/>
    <n v="3.3096083955109501"/>
    <n v="0.4287555289894085"/>
  </r>
  <r>
    <x v="0"/>
    <s v="2025-05-21 22:25:52"/>
    <n v="7"/>
    <x v="2"/>
    <x v="1"/>
    <x v="1"/>
    <n v="0.32358895578190799"/>
    <n v="2E+20"/>
    <n v="0"/>
    <n v="1"/>
    <n v="0"/>
    <n v="0"/>
    <s v="Tener ArticulsoDesembalaje.QueueNumber WaitingQueue"/>
    <n v="12"/>
    <n v="0.39305431340749158"/>
    <n v="6.9825204530481425E-2"/>
    <n v="0.95"/>
    <n v="4.4364818370329934E-2"/>
    <n v="0.26379051411540999"/>
    <n v="0.492701223784278"/>
    <n v="4.4364818370329934E-2"/>
  </r>
  <r>
    <x v="0"/>
    <s v="2025-05-21 22:25:52"/>
    <n v="7"/>
    <x v="3"/>
    <x v="1"/>
    <x v="1"/>
    <n v="0.86459252289113697"/>
    <n v="0.32677974640116703"/>
    <n v="0"/>
    <n v="6"/>
    <n v="1"/>
    <n v="0"/>
    <s v="Tener ArticulsoDetener Carros.QueueNumber WaitingQueue"/>
    <n v="12"/>
    <n v="1.4357426212197553"/>
    <n v="0.67481269179007586"/>
    <n v="0.95"/>
    <n v="0.42875552898940772"/>
    <n v="0.85623463950978496"/>
    <n v="3.3096083955109501"/>
    <n v="0.42875552898940772"/>
  </r>
  <r>
    <x v="0"/>
    <s v="2025-05-21 22:25:52"/>
    <n v="7"/>
    <x v="4"/>
    <x v="1"/>
    <x v="1"/>
    <n v="1.47304766475407"/>
    <n v="2E+20"/>
    <n v="0"/>
    <n v="7"/>
    <n v="0"/>
    <n v="0"/>
    <s v="Tener ArticulsoNoOrganizar.QueueNumber WaitingQueue"/>
    <n v="12"/>
    <n v="1.8367908590220434"/>
    <n v="0.88849214816383859"/>
    <n v="0.95"/>
    <n v="0.56452097837458637"/>
    <n v="0.36210426146159602"/>
    <n v="4.0028313893775698"/>
    <n v="0.56452097837458637"/>
  </r>
  <r>
    <x v="0"/>
    <s v="2025-05-21 22:25:52"/>
    <n v="7"/>
    <x v="5"/>
    <x v="1"/>
    <x v="1"/>
    <n v="5.1102291188318301"/>
    <n v="3E+20"/>
    <n v="0"/>
    <n v="21"/>
    <n v="9"/>
    <n v="0"/>
    <s v="Tener ArticulsoOrganizar.QueueNumber WaitingQueue"/>
    <n v="12"/>
    <n v="6.9452151315179975"/>
    <n v="1.3904671864747102"/>
    <n v="0.95"/>
    <n v="0.88346070151395062"/>
    <n v="4.6102617725055204"/>
    <n v="8.6997606838150698"/>
    <n v="0.88346070151395062"/>
  </r>
  <r>
    <x v="0"/>
    <s v="2025-05-21 22:25:52"/>
    <n v="7"/>
    <x v="6"/>
    <x v="1"/>
    <x v="1"/>
    <n v="0.50893371098476703"/>
    <n v="6.1700574395921901E-2"/>
    <n v="0"/>
    <n v="2"/>
    <n v="2"/>
    <n v="0"/>
    <s v="Tener ArticulsoSacar Articulos.QueueNumber WaitingQueue"/>
    <n v="12"/>
    <n v="0.54907359753581719"/>
    <n v="2.8061047329126759E-2"/>
    <n v="0.95"/>
    <n v="1.7829138867677546E-2"/>
    <n v="0.50893371098476703"/>
    <n v="0.58706685204911901"/>
    <n v="1.7829138867677546E-2"/>
  </r>
  <r>
    <x v="0"/>
    <s v="2025-05-21 22:25:52"/>
    <n v="7"/>
    <x v="7"/>
    <x v="1"/>
    <x v="1"/>
    <n v="0.52513545427071995"/>
    <n v="6.6622424702605501E-2"/>
    <n v="0"/>
    <n v="3"/>
    <n v="0"/>
    <n v="0"/>
    <s v="Tener ArticulsoTenerArticulos.QueueNumber WaitingQueue"/>
    <n v="12"/>
    <n v="0.55155869724816453"/>
    <n v="2.2857263166408359E-2"/>
    <n v="0.95"/>
    <n v="1.4522812151275023E-2"/>
    <n v="0.51570313450412797"/>
    <n v="0.58732155692135601"/>
    <n v="1.4522812151275023E-2"/>
  </r>
  <r>
    <x v="0"/>
    <s v="2025-05-21 22:25:52"/>
    <n v="7"/>
    <x v="8"/>
    <x v="2"/>
    <x v="2"/>
    <n v="0.91448050938635805"/>
    <n v="2E+20"/>
    <n v="0"/>
    <n v="1"/>
    <n v="1"/>
    <n v="0"/>
    <s v="Tener ArticulsorOrganizdorInstantaneous Utilization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7"/>
    <x v="8"/>
    <x v="3"/>
    <x v="2"/>
    <n v="0.91448050938635805"/>
    <n v="2E+20"/>
    <n v="0"/>
    <n v="1"/>
    <n v="1"/>
    <n v="0"/>
    <s v="Tener ArticulsorOrganizdorNumber Busy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7"/>
    <x v="8"/>
    <x v="4"/>
    <x v="2"/>
    <n v="1"/>
    <n v="2E+20"/>
    <n v="1"/>
    <n v="1"/>
    <n v="1"/>
    <n v="0"/>
    <s v="Tener ArticulsorOrganizdorNumber ScheduledResource"/>
    <n v="12"/>
    <n v="1"/>
    <n v="0"/>
    <n v="0.95"/>
    <n v="0"/>
    <n v="1"/>
    <n v="1"/>
    <n v="0"/>
  </r>
  <r>
    <x v="0"/>
    <s v="2025-05-21 22:25:52"/>
    <n v="7"/>
    <x v="9"/>
    <x v="2"/>
    <x v="2"/>
    <n v="0.70281682687036895"/>
    <n v="2E+20"/>
    <n v="0"/>
    <n v="1"/>
    <n v="1"/>
    <n v="0"/>
    <s v="Tener ArticulsorSacadorInstantaneous Utilization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7"/>
    <x v="9"/>
    <x v="3"/>
    <x v="2"/>
    <n v="0.70281682687036895"/>
    <n v="2E+20"/>
    <n v="0"/>
    <n v="1"/>
    <n v="1"/>
    <n v="0"/>
    <s v="Tener ArticulsorSacadorNumber Busy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7"/>
    <x v="9"/>
    <x v="4"/>
    <x v="2"/>
    <n v="1"/>
    <n v="2E+20"/>
    <n v="1"/>
    <n v="1"/>
    <n v="1"/>
    <n v="0"/>
    <s v="Tener ArticulsorSacadorNumber ScheduledResource"/>
    <n v="12"/>
    <n v="1"/>
    <n v="0"/>
    <n v="0.95"/>
    <n v="0"/>
    <n v="1"/>
    <n v="1"/>
    <n v="0"/>
  </r>
  <r>
    <x v="0"/>
    <s v="2025-05-21 22:25:52"/>
    <n v="8"/>
    <x v="0"/>
    <x v="0"/>
    <x v="0"/>
    <n v="13.029562163729199"/>
    <n v="3E+20"/>
    <n v="0"/>
    <n v="33"/>
    <n v="29"/>
    <n v="0"/>
    <s v="Tener ArticulsoArticulosWIPEntity"/>
    <n v="12"/>
    <n v="11.967618013540566"/>
    <n v="2.2199622266915817"/>
    <n v="0.95"/>
    <n v="1.4104967058588604"/>
    <n v="7.8453940222015603"/>
    <n v="16.013877975802099"/>
    <n v="1.4104967058588604"/>
  </r>
  <r>
    <x v="0"/>
    <s v="2025-05-21 22:25:52"/>
    <n v="8"/>
    <x v="1"/>
    <x v="0"/>
    <x v="0"/>
    <n v="3.3096083955109501"/>
    <n v="3E+20"/>
    <n v="0"/>
    <n v="18"/>
    <n v="0"/>
    <n v="0"/>
    <s v="Tener ArticulsoCarrosWIPEntity"/>
    <n v="12"/>
    <n v="1.4357426212197542"/>
    <n v="0.67481269179007708"/>
    <n v="0.95"/>
    <n v="0.4287555289894085"/>
    <n v="0.85623463950978496"/>
    <n v="3.3096083955109501"/>
    <n v="0.4287555289894085"/>
  </r>
  <r>
    <x v="0"/>
    <s v="2025-05-21 22:25:52"/>
    <n v="8"/>
    <x v="2"/>
    <x v="1"/>
    <x v="1"/>
    <n v="0.39055439610813902"/>
    <n v="2E+20"/>
    <n v="0"/>
    <n v="1"/>
    <n v="0"/>
    <n v="0"/>
    <s v="Tener ArticulsoDesembalaje.QueueNumber WaitingQueue"/>
    <n v="12"/>
    <n v="0.39305431340749158"/>
    <n v="6.9825204530481425E-2"/>
    <n v="0.95"/>
    <n v="4.4364818370329934E-2"/>
    <n v="0.26379051411540999"/>
    <n v="0.492701223784278"/>
    <n v="4.4364818370329934E-2"/>
  </r>
  <r>
    <x v="0"/>
    <s v="2025-05-21 22:25:52"/>
    <n v="8"/>
    <x v="3"/>
    <x v="1"/>
    <x v="1"/>
    <n v="3.3096083955109501"/>
    <n v="3E+20"/>
    <n v="0"/>
    <n v="16"/>
    <n v="0"/>
    <n v="0"/>
    <s v="Tener ArticulsoDetener Carros.QueueNumber WaitingQueue"/>
    <n v="12"/>
    <n v="1.4357426212197553"/>
    <n v="0.67481269179007586"/>
    <n v="0.95"/>
    <n v="0.42875552898940772"/>
    <n v="0.85623463950978496"/>
    <n v="3.3096083955109501"/>
    <n v="0.42875552898940772"/>
  </r>
  <r>
    <x v="0"/>
    <s v="2025-05-21 22:25:52"/>
    <n v="8"/>
    <x v="4"/>
    <x v="1"/>
    <x v="1"/>
    <n v="2.0609315539156499"/>
    <n v="2E+20"/>
    <n v="0"/>
    <n v="11"/>
    <n v="6"/>
    <n v="0"/>
    <s v="Tener ArticulsoNoOrganizar.QueueNumber WaitingQueue"/>
    <n v="12"/>
    <n v="1.8367908590220434"/>
    <n v="0.88849214816383859"/>
    <n v="0.95"/>
    <n v="0.56452097837458637"/>
    <n v="0.36210426146159602"/>
    <n v="4.0028313893775698"/>
    <n v="0.56452097837458637"/>
  </r>
  <r>
    <x v="0"/>
    <s v="2025-05-21 22:25:52"/>
    <n v="8"/>
    <x v="5"/>
    <x v="1"/>
    <x v="1"/>
    <n v="7.7721233719420999"/>
    <n v="3E+20"/>
    <n v="0"/>
    <n v="24"/>
    <n v="22"/>
    <n v="0"/>
    <s v="Tener ArticulsoOrganizar.QueueNumber WaitingQueue"/>
    <n v="12"/>
    <n v="6.9452151315179975"/>
    <n v="1.3904671864747102"/>
    <n v="0.95"/>
    <n v="0.88346070151395062"/>
    <n v="4.6102617725055204"/>
    <n v="8.6997606838150698"/>
    <n v="0.88346070151395062"/>
  </r>
  <r>
    <x v="0"/>
    <s v="2025-05-21 22:25:52"/>
    <n v="8"/>
    <x v="6"/>
    <x v="1"/>
    <x v="1"/>
    <n v="0.55953746832770501"/>
    <n v="3E+20"/>
    <n v="0"/>
    <n v="2"/>
    <n v="0"/>
    <n v="0"/>
    <s v="Tener ArticulsoSacar Articulos.QueueNumber WaitingQueue"/>
    <n v="12"/>
    <n v="0.54907359753581719"/>
    <n v="2.8061047329126759E-2"/>
    <n v="0.95"/>
    <n v="1.7829138867677546E-2"/>
    <n v="0.50893371098476703"/>
    <n v="0.58706685204911901"/>
    <n v="1.7829138867677546E-2"/>
  </r>
  <r>
    <x v="0"/>
    <s v="2025-05-21 22:25:52"/>
    <n v="8"/>
    <x v="7"/>
    <x v="1"/>
    <x v="1"/>
    <n v="0.55743181765757499"/>
    <n v="3E+20"/>
    <n v="0"/>
    <n v="3"/>
    <n v="0"/>
    <n v="0"/>
    <s v="Tener ArticulsoTenerArticulos.QueueNumber WaitingQueue"/>
    <n v="12"/>
    <n v="0.55155869724816453"/>
    <n v="2.2857263166408359E-2"/>
    <n v="0.95"/>
    <n v="1.4522812151275023E-2"/>
    <n v="0.51570313450412797"/>
    <n v="0.58732155692135601"/>
    <n v="1.4522812151275023E-2"/>
  </r>
  <r>
    <x v="0"/>
    <s v="2025-05-21 22:25:52"/>
    <n v="8"/>
    <x v="8"/>
    <x v="2"/>
    <x v="2"/>
    <n v="0.92216547893183298"/>
    <n v="2E+20"/>
    <n v="0"/>
    <n v="1"/>
    <n v="1"/>
    <n v="0"/>
    <s v="Tener ArticulsorOrganizdorInstantaneous Utilization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8"/>
    <x v="8"/>
    <x v="3"/>
    <x v="2"/>
    <n v="0.92216547893183298"/>
    <n v="2E+20"/>
    <n v="0"/>
    <n v="1"/>
    <n v="1"/>
    <n v="0"/>
    <s v="Tener ArticulsorOrganizdorNumber Busy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8"/>
    <x v="8"/>
    <x v="4"/>
    <x v="2"/>
    <n v="1"/>
    <n v="2E+20"/>
    <n v="1"/>
    <n v="1"/>
    <n v="1"/>
    <n v="0"/>
    <s v="Tener ArticulsorOrganizdorNumber ScheduledResource"/>
    <n v="12"/>
    <n v="1"/>
    <n v="0"/>
    <n v="0.95"/>
    <n v="0"/>
    <n v="1"/>
    <n v="1"/>
    <n v="0"/>
  </r>
  <r>
    <x v="0"/>
    <s v="2025-05-21 22:25:52"/>
    <n v="8"/>
    <x v="9"/>
    <x v="2"/>
    <x v="2"/>
    <n v="0.76681807684619496"/>
    <n v="2E+20"/>
    <n v="0"/>
    <n v="1"/>
    <n v="0"/>
    <n v="0"/>
    <s v="Tener ArticulsorSacadorInstantaneous Utilization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8"/>
    <x v="9"/>
    <x v="3"/>
    <x v="2"/>
    <n v="0.76681807684619496"/>
    <n v="2E+20"/>
    <n v="0"/>
    <n v="1"/>
    <n v="0"/>
    <n v="0"/>
    <s v="Tener ArticulsorSacadorNumber Busy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8"/>
    <x v="9"/>
    <x v="4"/>
    <x v="2"/>
    <n v="1"/>
    <n v="2E+20"/>
    <n v="1"/>
    <n v="1"/>
    <n v="1"/>
    <n v="0"/>
    <s v="Tener ArticulsorSacadorNumber ScheduledResource"/>
    <n v="12"/>
    <n v="1"/>
    <n v="0"/>
    <n v="0.95"/>
    <n v="0"/>
    <n v="1"/>
    <n v="1"/>
    <n v="0"/>
  </r>
  <r>
    <x v="0"/>
    <s v="2025-05-21 22:25:52"/>
    <n v="9"/>
    <x v="0"/>
    <x v="0"/>
    <x v="0"/>
    <n v="13.4674076347287"/>
    <n v="3E+20"/>
    <n v="0"/>
    <n v="32"/>
    <n v="12"/>
    <n v="0"/>
    <s v="Tener ArticulsoArticulosWIPEntity"/>
    <n v="12"/>
    <n v="11.967618013540566"/>
    <n v="2.2199622266915817"/>
    <n v="0.95"/>
    <n v="1.4104967058588604"/>
    <n v="7.8453940222015603"/>
    <n v="16.013877975802099"/>
    <n v="1.4104967058588604"/>
  </r>
  <r>
    <x v="0"/>
    <s v="2025-05-21 22:25:52"/>
    <n v="9"/>
    <x v="1"/>
    <x v="0"/>
    <x v="0"/>
    <n v="1.3232584863260901"/>
    <n v="0.57716500223642797"/>
    <n v="0"/>
    <n v="10"/>
    <n v="2"/>
    <n v="0"/>
    <s v="Tener ArticulsoCarrosWIPEntity"/>
    <n v="12"/>
    <n v="1.4357426212197542"/>
    <n v="0.67481269179007708"/>
    <n v="0.95"/>
    <n v="0.4287555289894085"/>
    <n v="0.85623463950978496"/>
    <n v="3.3096083955109501"/>
    <n v="0.4287555289894085"/>
  </r>
  <r>
    <x v="0"/>
    <s v="2025-05-21 22:25:52"/>
    <n v="9"/>
    <x v="2"/>
    <x v="1"/>
    <x v="1"/>
    <n v="0.47377729625738901"/>
    <n v="2E+20"/>
    <n v="0"/>
    <n v="1"/>
    <n v="0"/>
    <n v="0"/>
    <s v="Tener ArticulsoDesembalaje.QueueNumber WaitingQueue"/>
    <n v="12"/>
    <n v="0.39305431340749158"/>
    <n v="6.9825204530481425E-2"/>
    <n v="0.95"/>
    <n v="4.4364818370329934E-2"/>
    <n v="0.26379051411540999"/>
    <n v="0.492701223784278"/>
    <n v="4.4364818370329934E-2"/>
  </r>
  <r>
    <x v="0"/>
    <s v="2025-05-21 22:25:52"/>
    <n v="9"/>
    <x v="3"/>
    <x v="1"/>
    <x v="1"/>
    <n v="1.3232584863261001"/>
    <n v="0.57716500223642797"/>
    <n v="0"/>
    <n v="8"/>
    <n v="2"/>
    <n v="0"/>
    <s v="Tener ArticulsoDetener Carros.QueueNumber WaitingQueue"/>
    <n v="12"/>
    <n v="1.4357426212197553"/>
    <n v="0.67481269179007586"/>
    <n v="0.95"/>
    <n v="0.42875552898940772"/>
    <n v="0.85623463950978496"/>
    <n v="3.3096083955109501"/>
    <n v="0.42875552898940772"/>
  </r>
  <r>
    <x v="0"/>
    <s v="2025-05-21 22:25:52"/>
    <n v="9"/>
    <x v="4"/>
    <x v="1"/>
    <x v="1"/>
    <n v="1.73183883595958"/>
    <n v="2E+20"/>
    <n v="0"/>
    <n v="4"/>
    <n v="0"/>
    <n v="0"/>
    <s v="Tener ArticulsoNoOrganizar.QueueNumber WaitingQueue"/>
    <n v="12"/>
    <n v="1.8367908590220434"/>
    <n v="0.88849214816383859"/>
    <n v="0.95"/>
    <n v="0.56452097837458637"/>
    <n v="0.36210426146159602"/>
    <n v="4.0028313893775698"/>
    <n v="0.56452097837458637"/>
  </r>
  <r>
    <x v="0"/>
    <s v="2025-05-21 22:25:52"/>
    <n v="9"/>
    <x v="5"/>
    <x v="1"/>
    <x v="1"/>
    <n v="8.4835513202506991"/>
    <n v="3E+20"/>
    <n v="0"/>
    <n v="24"/>
    <n v="9"/>
    <n v="0"/>
    <s v="Tener ArticulsoOrganizar.QueueNumber WaitingQueue"/>
    <n v="12"/>
    <n v="6.9452151315179975"/>
    <n v="1.3904671864747102"/>
    <n v="0.95"/>
    <n v="0.88346070151395062"/>
    <n v="4.6102617725055204"/>
    <n v="8.6997606838150698"/>
    <n v="0.88346070151395062"/>
  </r>
  <r>
    <x v="0"/>
    <s v="2025-05-21 22:25:52"/>
    <n v="9"/>
    <x v="6"/>
    <x v="1"/>
    <x v="1"/>
    <n v="0.53705940465191304"/>
    <n v="5.2701720767845101E-2"/>
    <n v="0"/>
    <n v="2"/>
    <n v="1"/>
    <n v="0"/>
    <s v="Tener ArticulsoSacar Articulos.QueueNumber WaitingQueue"/>
    <n v="12"/>
    <n v="0.54907359753581719"/>
    <n v="2.8061047329126759E-2"/>
    <n v="0.95"/>
    <n v="1.7829138867677546E-2"/>
    <n v="0.50893371098476703"/>
    <n v="0.58706685204911901"/>
    <n v="1.7829138867677546E-2"/>
  </r>
  <r>
    <x v="0"/>
    <s v="2025-05-21 22:25:52"/>
    <n v="9"/>
    <x v="7"/>
    <x v="1"/>
    <x v="1"/>
    <n v="0.54882671431992303"/>
    <n v="6.2881802720981303E-2"/>
    <n v="0"/>
    <n v="3"/>
    <n v="0"/>
    <n v="0"/>
    <s v="Tener ArticulsoTenerArticulos.QueueNumber WaitingQueue"/>
    <n v="12"/>
    <n v="0.55155869724816453"/>
    <n v="2.2857263166408359E-2"/>
    <n v="0.95"/>
    <n v="1.4522812151275023E-2"/>
    <n v="0.51570313450412797"/>
    <n v="0.58732155692135601"/>
    <n v="1.4522812151275023E-2"/>
  </r>
  <r>
    <x v="0"/>
    <s v="2025-05-21 22:25:52"/>
    <n v="9"/>
    <x v="8"/>
    <x v="2"/>
    <x v="2"/>
    <n v="0.95576822242497705"/>
    <n v="2E+20"/>
    <n v="0"/>
    <n v="1"/>
    <n v="1"/>
    <n v="0"/>
    <s v="Tener ArticulsorOrganizdorInstantaneous Utilization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9"/>
    <x v="8"/>
    <x v="3"/>
    <x v="2"/>
    <n v="0.95576822242497705"/>
    <n v="2E+20"/>
    <n v="0"/>
    <n v="1"/>
    <n v="1"/>
    <n v="0"/>
    <s v="Tener ArticulsorOrganizdorNumber Busy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9"/>
    <x v="8"/>
    <x v="4"/>
    <x v="2"/>
    <n v="1"/>
    <n v="2E+20"/>
    <n v="1"/>
    <n v="1"/>
    <n v="1"/>
    <n v="0"/>
    <s v="Tener ArticulsorOrganizdorNumber ScheduledResource"/>
    <n v="12"/>
    <n v="1"/>
    <n v="0"/>
    <n v="0.95"/>
    <n v="0"/>
    <n v="1"/>
    <n v="1"/>
    <n v="0"/>
  </r>
  <r>
    <x v="0"/>
    <s v="2025-05-21 22:25:52"/>
    <n v="9"/>
    <x v="9"/>
    <x v="2"/>
    <x v="2"/>
    <n v="0.73658584086425105"/>
    <n v="2E+20"/>
    <n v="0"/>
    <n v="1"/>
    <n v="1"/>
    <n v="0"/>
    <s v="Tener ArticulsorSacadorInstantaneous Utilization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9"/>
    <x v="9"/>
    <x v="3"/>
    <x v="2"/>
    <n v="0.73658584086425105"/>
    <n v="2E+20"/>
    <n v="0"/>
    <n v="1"/>
    <n v="1"/>
    <n v="0"/>
    <s v="Tener ArticulsorSacadorNumber Busy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9"/>
    <x v="9"/>
    <x v="4"/>
    <x v="2"/>
    <n v="1"/>
    <n v="2E+20"/>
    <n v="1"/>
    <n v="1"/>
    <n v="1"/>
    <n v="0"/>
    <s v="Tener ArticulsorSacadorNumber ScheduledResource"/>
    <n v="12"/>
    <n v="1"/>
    <n v="0"/>
    <n v="0.95"/>
    <n v="0"/>
    <n v="1"/>
    <n v="1"/>
    <n v="0"/>
  </r>
  <r>
    <x v="0"/>
    <s v="2025-05-21 22:25:52"/>
    <n v="10"/>
    <x v="0"/>
    <x v="0"/>
    <x v="0"/>
    <n v="12.2428770686635"/>
    <n v="3E+20"/>
    <n v="0"/>
    <n v="27"/>
    <n v="11"/>
    <n v="0"/>
    <s v="Tener ArticulsoArticulosWIPEntity"/>
    <n v="12"/>
    <n v="11.967618013540566"/>
    <n v="2.2199622266915817"/>
    <n v="0.95"/>
    <n v="1.4104967058588604"/>
    <n v="7.8453940222015603"/>
    <n v="16.013877975802099"/>
    <n v="1.4104967058588604"/>
  </r>
  <r>
    <x v="0"/>
    <s v="2025-05-21 22:25:52"/>
    <n v="10"/>
    <x v="1"/>
    <x v="0"/>
    <x v="0"/>
    <n v="0.94592803125346803"/>
    <n v="0.36002434057084998"/>
    <n v="0"/>
    <n v="9"/>
    <n v="0"/>
    <n v="0"/>
    <s v="Tener ArticulsoCarrosWIPEntity"/>
    <n v="12"/>
    <n v="1.4357426212197542"/>
    <n v="0.67481269179007708"/>
    <n v="0.95"/>
    <n v="0.4287555289894085"/>
    <n v="0.85623463950978496"/>
    <n v="3.3096083955109501"/>
    <n v="0.4287555289894085"/>
  </r>
  <r>
    <x v="0"/>
    <s v="2025-05-21 22:25:52"/>
    <n v="10"/>
    <x v="2"/>
    <x v="1"/>
    <x v="1"/>
    <n v="0.42181291708263402"/>
    <n v="2E+20"/>
    <n v="0"/>
    <n v="1"/>
    <n v="1"/>
    <n v="0"/>
    <s v="Tener ArticulsoDesembalaje.QueueNumber WaitingQueue"/>
    <n v="12"/>
    <n v="0.39305431340749158"/>
    <n v="6.9825204530481425E-2"/>
    <n v="0.95"/>
    <n v="4.4364818370329934E-2"/>
    <n v="0.26379051411540999"/>
    <n v="0.492701223784278"/>
    <n v="4.4364818370329934E-2"/>
  </r>
  <r>
    <x v="0"/>
    <s v="2025-05-21 22:25:52"/>
    <n v="10"/>
    <x v="3"/>
    <x v="1"/>
    <x v="1"/>
    <n v="0.94592803125346803"/>
    <n v="0.36002434057084998"/>
    <n v="0"/>
    <n v="7"/>
    <n v="0"/>
    <n v="0"/>
    <s v="Tener ArticulsoDetener Carros.QueueNumber WaitingQueue"/>
    <n v="12"/>
    <n v="1.4357426212197553"/>
    <n v="0.67481269179007586"/>
    <n v="0.95"/>
    <n v="0.42875552898940772"/>
    <n v="0.85623463950978496"/>
    <n v="3.3096083955109501"/>
    <n v="0.42875552898940772"/>
  </r>
  <r>
    <x v="0"/>
    <s v="2025-05-21 22:25:52"/>
    <n v="10"/>
    <x v="4"/>
    <x v="1"/>
    <x v="1"/>
    <n v="1.9381838575584001"/>
    <n v="2E+20"/>
    <n v="0"/>
    <n v="7"/>
    <n v="1"/>
    <n v="0"/>
    <s v="Tener ArticulsoNoOrganizar.QueueNumber WaitingQueue"/>
    <n v="12"/>
    <n v="1.8367908590220434"/>
    <n v="0.88849214816383859"/>
    <n v="0.95"/>
    <n v="0.56452097837458637"/>
    <n v="0.36210426146159602"/>
    <n v="4.0028313893775698"/>
    <n v="0.56452097837458637"/>
  </r>
  <r>
    <x v="0"/>
    <s v="2025-05-21 22:25:52"/>
    <n v="10"/>
    <x v="5"/>
    <x v="1"/>
    <x v="1"/>
    <n v="7.0562988217184301"/>
    <n v="3E+20"/>
    <n v="0"/>
    <n v="19"/>
    <n v="8"/>
    <n v="0"/>
    <s v="Tener ArticulsoOrganizar.QueueNumber WaitingQueue"/>
    <n v="12"/>
    <n v="6.9452151315179975"/>
    <n v="1.3904671864747102"/>
    <n v="0.95"/>
    <n v="0.88346070151395062"/>
    <n v="4.6102617725055204"/>
    <n v="8.6997606838150698"/>
    <n v="0.88346070151395062"/>
  </r>
  <r>
    <x v="0"/>
    <s v="2025-05-21 22:25:52"/>
    <n v="10"/>
    <x v="6"/>
    <x v="1"/>
    <x v="1"/>
    <n v="0.55262670096899602"/>
    <n v="5.4126545775697699E-2"/>
    <n v="0"/>
    <n v="2"/>
    <n v="0"/>
    <n v="0"/>
    <s v="Tener ArticulsoSacar Articulos.QueueNumber WaitingQueue"/>
    <n v="12"/>
    <n v="0.54907359753581719"/>
    <n v="2.8061047329126759E-2"/>
    <n v="0.95"/>
    <n v="1.7829138867677546E-2"/>
    <n v="0.50893371098476703"/>
    <n v="0.58706685204911901"/>
    <n v="1.7829138867677546E-2"/>
  </r>
  <r>
    <x v="0"/>
    <s v="2025-05-21 22:25:52"/>
    <n v="10"/>
    <x v="7"/>
    <x v="1"/>
    <x v="1"/>
    <n v="0.55705748598540095"/>
    <n v="6.5180391793773995E-2"/>
    <n v="0"/>
    <n v="3"/>
    <n v="0"/>
    <n v="0"/>
    <s v="Tener ArticulsoTenerArticulos.QueueNumber WaitingQueue"/>
    <n v="12"/>
    <n v="0.55155869724816453"/>
    <n v="2.2857263166408359E-2"/>
    <n v="0.95"/>
    <n v="1.4522812151275023E-2"/>
    <n v="0.51570313450412797"/>
    <n v="0.58732155692135601"/>
    <n v="1.4522812151275023E-2"/>
  </r>
  <r>
    <x v="0"/>
    <s v="2025-05-21 22:25:52"/>
    <n v="10"/>
    <x v="8"/>
    <x v="2"/>
    <x v="2"/>
    <n v="0.95778659094739305"/>
    <n v="2E+20"/>
    <n v="0"/>
    <n v="1"/>
    <n v="1"/>
    <n v="0"/>
    <s v="Tener ArticulsorOrganizdorInstantaneous Utilization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10"/>
    <x v="8"/>
    <x v="3"/>
    <x v="2"/>
    <n v="0.95778659094739305"/>
    <n v="2E+20"/>
    <n v="0"/>
    <n v="1"/>
    <n v="1"/>
    <n v="0"/>
    <s v="Tener ArticulsorOrganizdorNumber Busy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10"/>
    <x v="8"/>
    <x v="4"/>
    <x v="2"/>
    <n v="1"/>
    <n v="2E+20"/>
    <n v="1"/>
    <n v="1"/>
    <n v="1"/>
    <n v="0"/>
    <s v="Tener ArticulsorOrganizdorNumber ScheduledResource"/>
    <n v="12"/>
    <n v="1"/>
    <n v="0"/>
    <n v="0.95"/>
    <n v="0"/>
    <n v="1"/>
    <n v="1"/>
    <n v="0"/>
  </r>
  <r>
    <x v="0"/>
    <s v="2025-05-21 22:25:52"/>
    <n v="10"/>
    <x v="9"/>
    <x v="2"/>
    <x v="2"/>
    <n v="0.75911069440218903"/>
    <n v="2E+20"/>
    <n v="0"/>
    <n v="1"/>
    <n v="0"/>
    <n v="0"/>
    <s v="Tener ArticulsorSacadorInstantaneous Utilization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10"/>
    <x v="9"/>
    <x v="3"/>
    <x v="2"/>
    <n v="0.75911069440218903"/>
    <n v="2E+20"/>
    <n v="0"/>
    <n v="1"/>
    <n v="0"/>
    <n v="0"/>
    <s v="Tener ArticulsorSacadorNumber Busy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10"/>
    <x v="9"/>
    <x v="4"/>
    <x v="2"/>
    <n v="1"/>
    <n v="2E+20"/>
    <n v="1"/>
    <n v="1"/>
    <n v="1"/>
    <n v="0"/>
    <s v="Tener ArticulsorSacadorNumber ScheduledResource"/>
    <n v="12"/>
    <n v="1"/>
    <n v="0"/>
    <n v="0.95"/>
    <n v="0"/>
    <n v="1"/>
    <n v="1"/>
    <n v="0"/>
  </r>
  <r>
    <x v="0"/>
    <s v="2025-05-21 22:25:52"/>
    <n v="11"/>
    <x v="0"/>
    <x v="0"/>
    <x v="0"/>
    <n v="11.5953968427027"/>
    <n v="3E+20"/>
    <n v="0"/>
    <n v="29"/>
    <n v="8"/>
    <n v="0"/>
    <s v="Tener ArticulsoArticulosWIPEntity"/>
    <n v="12"/>
    <n v="11.967618013540566"/>
    <n v="2.2199622266915817"/>
    <n v="0.95"/>
    <n v="1.4104967058588604"/>
    <n v="7.8453940222015603"/>
    <n v="16.013877975802099"/>
    <n v="1.4104967058588604"/>
  </r>
  <r>
    <x v="0"/>
    <s v="2025-05-21 22:25:52"/>
    <n v="11"/>
    <x v="1"/>
    <x v="0"/>
    <x v="0"/>
    <n v="1.3867359329470099"/>
    <n v="0.57158009828504697"/>
    <n v="0"/>
    <n v="12"/>
    <n v="0"/>
    <n v="0"/>
    <s v="Tener ArticulsoCarrosWIPEntity"/>
    <n v="12"/>
    <n v="1.4357426212197542"/>
    <n v="0.67481269179007708"/>
    <n v="0.95"/>
    <n v="0.4287555289894085"/>
    <n v="0.85623463950978496"/>
    <n v="3.3096083955109501"/>
    <n v="0.4287555289894085"/>
  </r>
  <r>
    <x v="0"/>
    <s v="2025-05-21 22:25:52"/>
    <n v="11"/>
    <x v="2"/>
    <x v="1"/>
    <x v="1"/>
    <n v="0.34977241677710103"/>
    <n v="2E+20"/>
    <n v="0"/>
    <n v="1"/>
    <n v="0"/>
    <n v="0"/>
    <s v="Tener ArticulsoDesembalaje.QueueNumber WaitingQueue"/>
    <n v="12"/>
    <n v="0.39305431340749158"/>
    <n v="6.9825204530481425E-2"/>
    <n v="0.95"/>
    <n v="4.4364818370329934E-2"/>
    <n v="0.26379051411540999"/>
    <n v="0.492701223784278"/>
    <n v="4.4364818370329934E-2"/>
  </r>
  <r>
    <x v="0"/>
    <s v="2025-05-21 22:25:52"/>
    <n v="11"/>
    <x v="3"/>
    <x v="1"/>
    <x v="1"/>
    <n v="1.3867359329470099"/>
    <n v="0.57158009828504697"/>
    <n v="0"/>
    <n v="9"/>
    <n v="0"/>
    <n v="0"/>
    <s v="Tener ArticulsoDetener Carros.QueueNumber WaitingQueue"/>
    <n v="12"/>
    <n v="1.4357426212197553"/>
    <n v="0.67481269179007586"/>
    <n v="0.95"/>
    <n v="0.42875552898940772"/>
    <n v="0.85623463950978496"/>
    <n v="3.3096083955109501"/>
    <n v="0.42875552898940772"/>
  </r>
  <r>
    <x v="0"/>
    <s v="2025-05-21 22:25:52"/>
    <n v="11"/>
    <x v="4"/>
    <x v="1"/>
    <x v="1"/>
    <n v="1.5636395086758199"/>
    <n v="2E+20"/>
    <n v="0"/>
    <n v="9"/>
    <n v="2"/>
    <n v="0"/>
    <s v="Tener ArticulsoNoOrganizar.QueueNumber WaitingQueue"/>
    <n v="12"/>
    <n v="1.8367908590220434"/>
    <n v="0.88849214816383859"/>
    <n v="0.95"/>
    <n v="0.56452097837458637"/>
    <n v="0.36210426146159602"/>
    <n v="4.0028313893775698"/>
    <n v="0.56452097837458637"/>
  </r>
  <r>
    <x v="0"/>
    <s v="2025-05-21 22:25:52"/>
    <n v="11"/>
    <x v="5"/>
    <x v="1"/>
    <x v="1"/>
    <n v="6.9052547431682303"/>
    <n v="3E+20"/>
    <n v="0"/>
    <n v="20"/>
    <n v="3"/>
    <n v="0"/>
    <s v="Tener ArticulsoOrganizar.QueueNumber WaitingQueue"/>
    <n v="12"/>
    <n v="6.9452151315179975"/>
    <n v="1.3904671864747102"/>
    <n v="0.95"/>
    <n v="0.88346070151395062"/>
    <n v="4.6102617725055204"/>
    <n v="8.6997606838150698"/>
    <n v="0.88346070151395062"/>
  </r>
  <r>
    <x v="0"/>
    <s v="2025-05-21 22:25:52"/>
    <n v="11"/>
    <x v="6"/>
    <x v="1"/>
    <x v="1"/>
    <n v="0.53375853422681996"/>
    <n v="5.47992712557933E-2"/>
    <n v="0"/>
    <n v="2"/>
    <n v="0"/>
    <n v="0"/>
    <s v="Tener ArticulsoSacar Articulos.QueueNumber WaitingQueue"/>
    <n v="12"/>
    <n v="0.54907359753581719"/>
    <n v="2.8061047329126759E-2"/>
    <n v="0.95"/>
    <n v="1.7829138867677546E-2"/>
    <n v="0.50893371098476703"/>
    <n v="0.58706685204911901"/>
    <n v="1.7829138867677546E-2"/>
  </r>
  <r>
    <x v="0"/>
    <s v="2025-05-21 22:25:52"/>
    <n v="11"/>
    <x v="7"/>
    <x v="1"/>
    <x v="1"/>
    <n v="0.54480765403923903"/>
    <n v="7.1608879184660107E-2"/>
    <n v="0"/>
    <n v="3"/>
    <n v="1"/>
    <n v="0"/>
    <s v="Tener ArticulsoTenerArticulos.QueueNumber WaitingQueue"/>
    <n v="12"/>
    <n v="0.55155869724816453"/>
    <n v="2.2857263166408359E-2"/>
    <n v="0.95"/>
    <n v="1.4522812151275023E-2"/>
    <n v="0.51570313450412797"/>
    <n v="0.58732155692135601"/>
    <n v="1.4522812151275023E-2"/>
  </r>
  <r>
    <x v="0"/>
    <s v="2025-05-21 22:25:52"/>
    <n v="11"/>
    <x v="8"/>
    <x v="2"/>
    <x v="2"/>
    <n v="0.93586616929636302"/>
    <n v="2E+20"/>
    <n v="0"/>
    <n v="1"/>
    <n v="1"/>
    <n v="0"/>
    <s v="Tener ArticulsorOrganizdorInstantaneous Utilization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11"/>
    <x v="8"/>
    <x v="3"/>
    <x v="2"/>
    <n v="0.93586616929636302"/>
    <n v="2E+20"/>
    <n v="0"/>
    <n v="1"/>
    <n v="1"/>
    <n v="0"/>
    <s v="Tener ArticulsorOrganizdorNumber Busy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11"/>
    <x v="8"/>
    <x v="4"/>
    <x v="2"/>
    <n v="1"/>
    <n v="2E+20"/>
    <n v="1"/>
    <n v="1"/>
    <n v="1"/>
    <n v="0"/>
    <s v="Tener ArticulsorOrganizdorNumber ScheduledResource"/>
    <n v="12"/>
    <n v="1"/>
    <n v="0"/>
    <n v="0.95"/>
    <n v="0"/>
    <n v="1"/>
    <n v="1"/>
    <n v="0"/>
  </r>
  <r>
    <x v="0"/>
    <s v="2025-05-21 22:25:52"/>
    <n v="11"/>
    <x v="9"/>
    <x v="2"/>
    <x v="2"/>
    <n v="0.76229781651912798"/>
    <n v="2E+20"/>
    <n v="0"/>
    <n v="1"/>
    <n v="1"/>
    <n v="0"/>
    <s v="Tener ArticulsorSacadorInstantaneous Utilization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11"/>
    <x v="9"/>
    <x v="3"/>
    <x v="2"/>
    <n v="0.76229781651912798"/>
    <n v="2E+20"/>
    <n v="0"/>
    <n v="1"/>
    <n v="1"/>
    <n v="0"/>
    <s v="Tener ArticulsorSacadorNumber Busy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11"/>
    <x v="9"/>
    <x v="4"/>
    <x v="2"/>
    <n v="1"/>
    <n v="2E+20"/>
    <n v="1"/>
    <n v="1"/>
    <n v="1"/>
    <n v="0"/>
    <s v="Tener ArticulsorSacadorNumber ScheduledResource"/>
    <n v="12"/>
    <n v="1"/>
    <n v="0"/>
    <n v="0.95"/>
    <n v="0"/>
    <n v="1"/>
    <n v="1"/>
    <n v="0"/>
  </r>
  <r>
    <x v="0"/>
    <s v="2025-05-21 22:25:52"/>
    <n v="12"/>
    <x v="0"/>
    <x v="0"/>
    <x v="0"/>
    <n v="10.842783727467699"/>
    <n v="3E+20"/>
    <n v="0"/>
    <n v="29"/>
    <n v="7"/>
    <n v="0"/>
    <s v="Tener ArticulsoArticulosWIPEntity"/>
    <n v="12"/>
    <n v="11.967618013540566"/>
    <n v="2.2199622266915817"/>
    <n v="0.95"/>
    <n v="1.4104967058588604"/>
    <n v="7.8453940222015603"/>
    <n v="16.013877975802099"/>
    <n v="1.4104967058588604"/>
  </r>
  <r>
    <x v="0"/>
    <s v="2025-05-21 22:25:52"/>
    <n v="12"/>
    <x v="1"/>
    <x v="0"/>
    <x v="0"/>
    <n v="0.85623463950978496"/>
    <n v="0.32030431303336598"/>
    <n v="0"/>
    <n v="9"/>
    <n v="0"/>
    <n v="0"/>
    <s v="Tener ArticulsoCarrosWIPEntity"/>
    <n v="12"/>
    <n v="1.4357426212197542"/>
    <n v="0.67481269179007708"/>
    <n v="0.95"/>
    <n v="0.4287555289894085"/>
    <n v="0.85623463950978496"/>
    <n v="3.3096083955109501"/>
    <n v="0.4287555289894085"/>
  </r>
  <r>
    <x v="0"/>
    <s v="2025-05-21 22:25:52"/>
    <n v="12"/>
    <x v="2"/>
    <x v="1"/>
    <x v="1"/>
    <n v="0.37382877813113802"/>
    <n v="2E+20"/>
    <n v="0"/>
    <n v="1"/>
    <n v="0"/>
    <n v="0"/>
    <s v="Tener ArticulsoDesembalaje.QueueNumber WaitingQueue"/>
    <n v="12"/>
    <n v="0.39305431340749158"/>
    <n v="6.9825204530481425E-2"/>
    <n v="0.95"/>
    <n v="4.4364818370329934E-2"/>
    <n v="0.26379051411540999"/>
    <n v="0.492701223784278"/>
    <n v="4.4364818370329934E-2"/>
  </r>
  <r>
    <x v="0"/>
    <s v="2025-05-21 22:25:52"/>
    <n v="12"/>
    <x v="3"/>
    <x v="1"/>
    <x v="1"/>
    <n v="0.85623463950978496"/>
    <n v="0.32030431303336598"/>
    <n v="0"/>
    <n v="7"/>
    <n v="0"/>
    <n v="0"/>
    <s v="Tener ArticulsoDetener Carros.QueueNumber WaitingQueue"/>
    <n v="12"/>
    <n v="1.4357426212197553"/>
    <n v="0.67481269179007586"/>
    <n v="0.95"/>
    <n v="0.42875552898940772"/>
    <n v="0.85623463950978496"/>
    <n v="3.3096083955109501"/>
    <n v="0.42875552898940772"/>
  </r>
  <r>
    <x v="0"/>
    <s v="2025-05-21 22:25:52"/>
    <n v="12"/>
    <x v="4"/>
    <x v="1"/>
    <x v="1"/>
    <n v="1.9962301524856401"/>
    <n v="2E+20"/>
    <n v="0"/>
    <n v="9"/>
    <n v="1"/>
    <n v="0"/>
    <s v="Tener ArticulsoNoOrganizar.QueueNumber WaitingQueue"/>
    <n v="12"/>
    <n v="1.8367908590220434"/>
    <n v="0.88849214816383859"/>
    <n v="0.95"/>
    <n v="0.56452097837458637"/>
    <n v="0.36210426146159602"/>
    <n v="4.0028313893775698"/>
    <n v="0.56452097837458637"/>
  </r>
  <r>
    <x v="0"/>
    <s v="2025-05-21 22:25:52"/>
    <n v="12"/>
    <x v="5"/>
    <x v="1"/>
    <x v="1"/>
    <n v="5.7902269919563603"/>
    <n v="3E+20"/>
    <n v="0"/>
    <n v="24"/>
    <n v="5"/>
    <n v="0"/>
    <s v="Tener ArticulsoOrganizar.QueueNumber WaitingQueue"/>
    <n v="12"/>
    <n v="6.9452151315179975"/>
    <n v="1.3904671864747102"/>
    <n v="0.95"/>
    <n v="0.88346070151395062"/>
    <n v="4.6102617725055204"/>
    <n v="8.6997606838150698"/>
    <n v="0.88346070151395062"/>
  </r>
  <r>
    <x v="0"/>
    <s v="2025-05-21 22:25:52"/>
    <n v="12"/>
    <x v="6"/>
    <x v="1"/>
    <x v="1"/>
    <n v="0.51879366774957603"/>
    <n v="5.8243997662991702E-2"/>
    <n v="0"/>
    <n v="2"/>
    <n v="0"/>
    <n v="0"/>
    <s v="Tener ArticulsoSacar Articulos.QueueNumber WaitingQueue"/>
    <n v="12"/>
    <n v="0.54907359753581719"/>
    <n v="2.8061047329126759E-2"/>
    <n v="0.95"/>
    <n v="1.7829138867677546E-2"/>
    <n v="0.50893371098476703"/>
    <n v="0.58706685204911901"/>
    <n v="1.7829138867677546E-2"/>
  </r>
  <r>
    <x v="0"/>
    <s v="2025-05-21 22:25:52"/>
    <n v="12"/>
    <x v="7"/>
    <x v="1"/>
    <x v="1"/>
    <n v="0.52636844359226798"/>
    <n v="4.9432875170770302E-2"/>
    <n v="0"/>
    <n v="3"/>
    <n v="0"/>
    <n v="0"/>
    <s v="Tener ArticulsoTenerArticulos.QueueNumber WaitingQueue"/>
    <n v="12"/>
    <n v="0.55155869724816453"/>
    <n v="2.2857263166408359E-2"/>
    <n v="0.95"/>
    <n v="1.4522812151275023E-2"/>
    <n v="0.51570313450412797"/>
    <n v="0.58732155692135601"/>
    <n v="1.4522812151275023E-2"/>
  </r>
  <r>
    <x v="0"/>
    <s v="2025-05-21 22:25:52"/>
    <n v="12"/>
    <x v="8"/>
    <x v="2"/>
    <x v="2"/>
    <n v="0.91035373034135203"/>
    <n v="2E+20"/>
    <n v="0"/>
    <n v="1"/>
    <n v="1"/>
    <n v="0"/>
    <s v="Tener ArticulsorOrganizdorInstantaneous Utilization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12"/>
    <x v="8"/>
    <x v="3"/>
    <x v="2"/>
    <n v="0.91035373034135203"/>
    <n v="2E+20"/>
    <n v="0"/>
    <n v="1"/>
    <n v="1"/>
    <n v="0"/>
    <s v="Tener ArticulsorOrganizdorNumber BusyResource"/>
    <n v="12"/>
    <n v="0.93693413710063267"/>
    <n v="3.0080475881637609E-2"/>
    <n v="0.95"/>
    <n v="1.9112222555672933E-2"/>
    <n v="0.87408888428798603"/>
    <n v="0.989515454392208"/>
    <n v="1.9112222555672933E-2"/>
  </r>
  <r>
    <x v="0"/>
    <s v="2025-05-21 22:25:52"/>
    <n v="12"/>
    <x v="8"/>
    <x v="4"/>
    <x v="2"/>
    <n v="1"/>
    <n v="2E+20"/>
    <n v="1"/>
    <n v="1"/>
    <n v="1"/>
    <n v="0"/>
    <s v="Tener ArticulsorOrganizdorNumber ScheduledResource"/>
    <n v="12"/>
    <n v="1"/>
    <n v="0"/>
    <n v="0.95"/>
    <n v="0"/>
    <n v="1"/>
    <n v="1"/>
    <n v="0"/>
  </r>
  <r>
    <x v="0"/>
    <s v="2025-05-21 22:25:52"/>
    <n v="12"/>
    <x v="9"/>
    <x v="2"/>
    <x v="2"/>
    <n v="0.72698196321138198"/>
    <n v="2E+20"/>
    <n v="0"/>
    <n v="1"/>
    <n v="0"/>
    <n v="0"/>
    <s v="Tener ArticulsorSacadorInstantaneous Utilization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12"/>
    <x v="9"/>
    <x v="3"/>
    <x v="2"/>
    <n v="0.72698196321138198"/>
    <n v="2E+20"/>
    <n v="0"/>
    <n v="1"/>
    <n v="0"/>
    <n v="0"/>
    <s v="Tener ArticulsorSacadorNumber BusyResource"/>
    <n v="12"/>
    <n v="0.75499127770842467"/>
    <n v="3.0990673550046054E-2"/>
    <n v="0.95"/>
    <n v="1.9690534563658681E-2"/>
    <n v="0.70281682687036895"/>
    <n v="0.79676815469245998"/>
    <n v="1.9690534563658681E-2"/>
  </r>
  <r>
    <x v="0"/>
    <s v="2025-05-21 22:25:52"/>
    <n v="12"/>
    <x v="9"/>
    <x v="4"/>
    <x v="2"/>
    <n v="1"/>
    <n v="2E+20"/>
    <n v="1"/>
    <n v="1"/>
    <n v="1"/>
    <n v="0"/>
    <s v="Tener ArticulsorSacadorNumber ScheduledResource"/>
    <n v="12"/>
    <n v="1"/>
    <n v="0"/>
    <n v="0.95"/>
    <n v="0"/>
    <n v="1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29" firstHeaderRow="0" firstDataRow="1" firstDataCol="4"/>
  <pivotFields count="25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0">
        <item m="1" x="21"/>
        <item m="1" x="44"/>
        <item m="1" x="16"/>
        <item m="1" x="96"/>
        <item m="1" x="79"/>
        <item m="1" x="49"/>
        <item m="1" x="105"/>
        <item m="1" x="37"/>
        <item m="1" x="41"/>
        <item m="1" x="108"/>
        <item m="1" x="74"/>
        <item m="1" x="86"/>
        <item m="1" x="91"/>
        <item m="1" x="15"/>
        <item m="1" x="43"/>
        <item m="1" x="33"/>
        <item m="1" x="109"/>
        <item m="1" x="103"/>
        <item m="1" x="31"/>
        <item m="1" x="25"/>
        <item m="1" x="97"/>
        <item m="1" x="17"/>
        <item m="1" x="50"/>
        <item m="1" x="36"/>
        <item m="1" x="61"/>
        <item m="1" x="88"/>
        <item m="1" x="52"/>
        <item m="1" x="22"/>
        <item m="1" x="46"/>
        <item m="1" x="75"/>
        <item m="1" x="65"/>
        <item m="1" x="23"/>
        <item m="1" x="82"/>
        <item m="1" x="14"/>
        <item m="1" x="102"/>
        <item m="1" x="70"/>
        <item m="1" x="90"/>
        <item m="1" x="45"/>
        <item m="1" x="104"/>
        <item m="1" x="73"/>
        <item m="1" x="27"/>
        <item m="1" x="64"/>
        <item m="1" x="78"/>
        <item m="1" x="89"/>
        <item m="1" x="95"/>
        <item m="1" x="13"/>
        <item m="1" x="26"/>
        <item m="1" x="35"/>
        <item m="1" x="28"/>
        <item m="1" x="12"/>
        <item m="1" x="87"/>
        <item m="1" x="99"/>
        <item m="1" x="39"/>
        <item m="1" x="69"/>
        <item m="1" x="30"/>
        <item m="1" x="47"/>
        <item m="1" x="34"/>
        <item m="1" x="55"/>
        <item m="1" x="42"/>
        <item m="1" x="62"/>
        <item m="1" x="48"/>
        <item m="1" x="71"/>
        <item m="1" x="56"/>
        <item m="1" x="76"/>
        <item m="1" x="63"/>
        <item m="1" x="84"/>
        <item m="1" x="77"/>
        <item m="1" x="92"/>
        <item m="1" x="100"/>
        <item m="1" x="80"/>
        <item m="1" x="59"/>
        <item m="1" x="40"/>
        <item m="1" x="53"/>
        <item m="1" x="24"/>
        <item m="1" x="29"/>
        <item m="1" x="38"/>
        <item m="1" x="66"/>
        <item m="1" x="101"/>
        <item m="1" x="94"/>
        <item m="1" x="81"/>
        <item m="1" x="54"/>
        <item m="1" x="67"/>
        <item m="1" x="58"/>
        <item m="1" x="83"/>
        <item m="1" x="68"/>
        <item m="1" x="51"/>
        <item m="1" x="57"/>
        <item m="1" x="20"/>
        <item m="1" x="60"/>
        <item m="1" x="72"/>
        <item m="1" x="85"/>
        <item m="1" x="93"/>
        <item m="1" x="98"/>
        <item m="1" x="107"/>
        <item m="1" x="18"/>
        <item m="1" x="32"/>
        <item m="1" x="106"/>
        <item m="1" x="19"/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9"/>
        <item x="6"/>
        <item x="7"/>
        <item x="8"/>
        <item m="1" x="10"/>
      </items>
    </pivotField>
    <pivotField axis="axisRow" compact="0" outline="0" showAll="0" defaultSubtotal="0">
      <items count="5">
        <item x="0"/>
        <item x="2"/>
        <item m="1" x="4"/>
        <item x="1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27">
    <i>
      <x v="4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8"/>
      <x v="3"/>
    </i>
    <i r="2">
      <x v="9"/>
      <x v="3"/>
    </i>
    <i r="2">
      <x v="10"/>
      <x v="3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8"/>
      <x v="3"/>
    </i>
    <i r="2">
      <x v="9"/>
      <x v="3"/>
    </i>
    <i r="2">
      <x v="10"/>
      <x v="3"/>
    </i>
    <i r="1">
      <x v="106"/>
      <x v="7"/>
      <x v="1"/>
    </i>
    <i r="1">
      <x v="107"/>
      <x v="8"/>
      <x v="3"/>
    </i>
    <i r="2">
      <x v="9"/>
      <x v="3"/>
    </i>
    <i r="2">
      <x v="10"/>
      <x v="3"/>
    </i>
    <i r="1">
      <x v="108"/>
      <x v="7"/>
      <x v="1"/>
    </i>
    <i r="1">
      <x v="109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23" firstHeaderRow="0" firstDataRow="1" firstDataCol="4"/>
  <pivotFields count="16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9">
        <item m="1" x="46"/>
        <item m="1" x="22"/>
        <item m="1" x="47"/>
        <item m="1" x="23"/>
        <item m="1" x="48"/>
        <item m="1" x="24"/>
        <item m="1" x="49"/>
        <item m="1" x="25"/>
        <item m="1" x="81"/>
        <item m="1" x="36"/>
        <item x="16"/>
        <item m="1" x="80"/>
        <item m="1" x="67"/>
        <item m="1" x="84"/>
        <item m="1" x="69"/>
        <item m="1" x="85"/>
        <item m="1" x="92"/>
        <item m="1" x="61"/>
        <item m="1" x="29"/>
        <item m="1" x="78"/>
        <item m="1" x="68"/>
        <item m="1" x="66"/>
        <item m="1" x="32"/>
        <item m="1" x="76"/>
        <item m="1" x="41"/>
        <item m="1" x="77"/>
        <item m="1" x="42"/>
        <item m="1" x="75"/>
        <item m="1" x="95"/>
        <item m="1" x="35"/>
        <item m="1" x="98"/>
        <item m="1" x="63"/>
        <item m="1" x="30"/>
        <item m="1" x="93"/>
        <item m="1" x="88"/>
        <item m="1" x="64"/>
        <item m="1" x="31"/>
        <item m="1" x="94"/>
        <item m="1" x="89"/>
        <item m="1" x="26"/>
        <item m="1" x="60"/>
        <item m="1" x="44"/>
        <item m="1" x="34"/>
        <item m="1" x="86"/>
        <item m="1" x="56"/>
        <item m="1" x="87"/>
        <item m="1" x="57"/>
        <item m="1" x="43"/>
        <item m="1" x="38"/>
        <item m="1" x="65"/>
        <item m="1" x="40"/>
        <item m="1" x="97"/>
        <item m="1" x="90"/>
        <item m="1" x="39"/>
        <item m="1" x="37"/>
        <item m="1" x="82"/>
        <item m="1" x="91"/>
        <item m="1" x="27"/>
        <item m="1" x="45"/>
        <item m="1" x="58"/>
        <item m="1" x="79"/>
        <item m="1" x="96"/>
        <item m="1" x="28"/>
        <item m="1" x="55"/>
        <item m="1" x="59"/>
        <item m="1" x="83"/>
        <item m="1" x="62"/>
        <item m="1" x="33"/>
        <item m="1" x="50"/>
        <item m="1" x="70"/>
        <item m="1" x="51"/>
        <item m="1" x="71"/>
        <item m="1" x="52"/>
        <item m="1" x="72"/>
        <item m="1" x="53"/>
        <item m="1" x="73"/>
        <item m="1" x="54"/>
        <item m="1" x="74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</items>
    </pivotField>
    <pivotField axis="axisRow" compact="0" outline="0" showAll="0" defaultSubtotal="0">
      <items count="7">
        <item x="0"/>
        <item x="1"/>
        <item x="5"/>
        <item x="4"/>
        <item x="2"/>
        <item x="3"/>
        <item m="1" x="6"/>
      </items>
    </pivotField>
    <pivotField axis="axisRow" compact="0" outline="0" showAll="0" defaultSubtotal="0">
      <items count="5">
        <item x="0"/>
        <item x="3"/>
        <item x="2"/>
        <item x="1"/>
        <item m="1" x="4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1">
    <i>
      <x v="4"/>
      <x v="10"/>
      <x v="1"/>
      <x v="2"/>
    </i>
    <i r="1">
      <x v="79"/>
      <x/>
      <x/>
    </i>
    <i r="1">
      <x v="80"/>
      <x v="1"/>
      <x/>
    </i>
    <i r="1">
      <x v="81"/>
      <x/>
      <x/>
    </i>
    <i r="1">
      <x v="82"/>
      <x v="1"/>
      <x/>
    </i>
    <i r="1">
      <x v="83"/>
      <x v="4"/>
      <x v="3"/>
    </i>
    <i r="1">
      <x v="84"/>
      <x v="5"/>
      <x v="3"/>
    </i>
    <i r="1">
      <x v="85"/>
      <x/>
      <x v="3"/>
    </i>
    <i r="1">
      <x v="86"/>
      <x v="1"/>
      <x v="3"/>
    </i>
    <i r="1">
      <x v="87"/>
      <x v="4"/>
      <x v="3"/>
    </i>
    <i r="1">
      <x v="88"/>
      <x v="5"/>
      <x v="3"/>
    </i>
    <i r="1">
      <x v="89"/>
      <x/>
      <x v="3"/>
    </i>
    <i r="1">
      <x v="90"/>
      <x v="1"/>
      <x v="3"/>
    </i>
    <i r="1">
      <x v="91"/>
      <x v="4"/>
      <x v="3"/>
    </i>
    <i r="1">
      <x v="92"/>
      <x v="5"/>
      <x v="3"/>
    </i>
    <i r="1">
      <x v="93"/>
      <x/>
      <x v="3"/>
    </i>
    <i r="1">
      <x v="94"/>
      <x v="1"/>
      <x v="3"/>
    </i>
    <i r="1">
      <x v="95"/>
      <x v="3"/>
      <x v="1"/>
    </i>
    <i r="1">
      <x v="96"/>
      <x v="2"/>
      <x v="1"/>
    </i>
    <i r="1">
      <x v="97"/>
      <x v="3"/>
      <x v="1"/>
    </i>
    <i r="1">
      <x v="98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6" firstHeaderRow="0" firstDataRow="1" firstDataCol="4"/>
  <pivotFields count="21">
    <pivotField name="Project Name" axis="axisRow" compact="0" outline="0" subtotalTop="0" showAll="0" defaultSubtotal="0">
      <items count="5">
        <item m="1" x="3"/>
        <item m="1" x="1"/>
        <item m="1" x="2"/>
        <item m="1" x="4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4">
        <item m="1" x="25"/>
        <item m="1" x="16"/>
        <item m="1" x="32"/>
        <item m="1" x="41"/>
        <item m="1" x="54"/>
        <item m="1" x="53"/>
        <item m="1" x="17"/>
        <item m="1" x="118"/>
        <item m="1" x="96"/>
        <item m="1" x="59"/>
        <item m="1" x="46"/>
        <item m="1" x="50"/>
        <item m="1" x="132"/>
        <item m="1" x="35"/>
        <item m="1" x="117"/>
        <item m="1" x="39"/>
        <item m="1" x="90"/>
        <item m="1" x="104"/>
        <item m="1" x="14"/>
        <item m="1" x="40"/>
        <item m="1" x="127"/>
        <item m="1" x="29"/>
        <item m="1" x="119"/>
        <item m="1" x="18"/>
        <item m="1" x="45"/>
        <item m="1" x="71"/>
        <item m="1" x="15"/>
        <item m="1" x="21"/>
        <item m="1" x="91"/>
        <item m="1" x="72"/>
        <item m="1" x="106"/>
        <item m="1" x="62"/>
        <item m="1" x="26"/>
        <item m="1" x="56"/>
        <item m="1" x="92"/>
        <item m="1" x="77"/>
        <item m="1" x="27"/>
        <item m="1" x="37"/>
        <item m="1" x="99"/>
        <item m="1" x="13"/>
        <item m="1" x="126"/>
        <item m="1" x="84"/>
        <item m="1" x="24"/>
        <item m="1" x="109"/>
        <item m="1" x="55"/>
        <item m="1" x="128"/>
        <item m="1" x="89"/>
        <item m="1" x="31"/>
        <item m="1" x="76"/>
        <item m="1" x="95"/>
        <item m="1" x="108"/>
        <item m="1" x="116"/>
        <item m="1" x="125"/>
        <item m="1" x="12"/>
        <item m="1" x="30"/>
        <item m="1" x="44"/>
        <item m="1" x="33"/>
        <item m="1" x="11"/>
        <item m="1" x="105"/>
        <item m="1" x="122"/>
        <item m="1" x="48"/>
        <item m="1" x="83"/>
        <item m="1" x="36"/>
        <item m="1" x="57"/>
        <item m="1" x="42"/>
        <item m="1" x="66"/>
        <item m="1" x="51"/>
        <item m="1" x="73"/>
        <item m="1" x="58"/>
        <item m="1" x="85"/>
        <item m="1" x="67"/>
        <item m="1" x="93"/>
        <item m="1" x="74"/>
        <item m="1" x="102"/>
        <item m="1" x="86"/>
        <item m="1" x="107"/>
        <item m="1" x="94"/>
        <item m="1" x="111"/>
        <item m="1" x="123"/>
        <item m="1" x="113"/>
        <item m="1" x="97"/>
        <item m="1" x="70"/>
        <item m="1" x="49"/>
        <item m="1" x="64"/>
        <item m="1" x="28"/>
        <item m="1" x="34"/>
        <item m="1" x="43"/>
        <item m="1" x="47"/>
        <item m="1" x="79"/>
        <item m="1" x="124"/>
        <item m="1" x="114"/>
        <item m="1" x="98"/>
        <item m="1" x="65"/>
        <item m="1" x="133"/>
        <item m="1" x="81"/>
        <item m="1" x="69"/>
        <item m="1" x="101"/>
        <item m="1" x="82"/>
        <item m="1" x="61"/>
        <item m="1" x="68"/>
        <item m="1" x="22"/>
        <item m="1" x="87"/>
        <item m="1" x="103"/>
        <item m="1" x="112"/>
        <item m="1" x="120"/>
        <item m="1" x="131"/>
        <item m="1" x="19"/>
        <item m="1" x="38"/>
        <item m="1" x="130"/>
        <item m="1" x="20"/>
        <item m="1" x="88"/>
        <item m="1" x="63"/>
        <item m="1" x="78"/>
        <item m="1" x="23"/>
        <item m="1" x="129"/>
        <item m="1" x="110"/>
        <item m="1" x="60"/>
        <item m="1" x="121"/>
        <item m="1" x="80"/>
        <item m="1" x="100"/>
        <item m="1" x="115"/>
        <item m="1" x="52"/>
        <item m="1" x="75"/>
        <item m="1" x="10"/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4">
    <i>
      <x v="4"/>
      <x v="124"/>
      <x v="4"/>
      <x/>
    </i>
    <i r="1">
      <x v="125"/>
      <x v="4"/>
      <x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/>
      <x v="2"/>
    </i>
    <i r="2">
      <x v="1"/>
      <x v="2"/>
    </i>
    <i r="2">
      <x v="2"/>
      <x v="2"/>
    </i>
    <i r="1">
      <x v="133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25" tableType="queryTable" totalsRowShown="0">
  <autoFilter ref="A1:Y325" xr:uid="{C3D003CA-1AFF-426C-A03D-D3AF5760DF1A}"/>
  <sortState xmlns:xlrd2="http://schemas.microsoft.com/office/spreadsheetml/2017/richdata2" ref="A2:Y325">
    <sortCondition ref="D1:D32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69" tableType="queryTable" totalsRowShown="0">
  <autoFilter ref="A1:U169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53" tableType="queryTable" totalsRowShown="0">
  <autoFilter ref="A1:P253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5" x14ac:dyDescent="0.25"/>
  <cols>
    <col min="1" max="1" width="14.85546875" bestFit="1" customWidth="1"/>
    <col min="2" max="2" width="81.140625" bestFit="1" customWidth="1"/>
    <col min="3" max="3" width="18.28515625" bestFit="1" customWidth="1"/>
    <col min="4" max="4" width="12.42578125" bestFit="1" customWidth="1"/>
    <col min="5" max="5" width="24" bestFit="1" customWidth="1"/>
    <col min="6" max="6" width="25.42578125" bestFit="1" customWidth="1"/>
    <col min="7" max="7" width="20.5703125" bestFit="1" customWidth="1"/>
    <col min="8" max="10" width="19.42578125" bestFit="1" customWidth="1"/>
    <col min="11" max="11" width="19.42578125" customWidth="1"/>
  </cols>
  <sheetData>
    <row r="1" spans="1:7" x14ac:dyDescent="0.2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5">
      <c r="A2" t="s">
        <v>68</v>
      </c>
      <c r="B2" t="s">
        <v>69</v>
      </c>
      <c r="C2" t="s">
        <v>70</v>
      </c>
      <c r="D2">
        <v>2</v>
      </c>
      <c r="E2">
        <v>12</v>
      </c>
      <c r="F2">
        <v>2100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44"/>
  <sheetViews>
    <sheetView tabSelected="1" topLeftCell="A23" workbookViewId="0">
      <selection activeCell="D35" sqref="D35"/>
    </sheetView>
  </sheetViews>
  <sheetFormatPr defaultRowHeight="15" x14ac:dyDescent="0.25"/>
  <cols>
    <col min="1" max="1" width="33.28515625" customWidth="1"/>
    <col min="2" max="2" width="28.7109375" bestFit="1" customWidth="1"/>
    <col min="3" max="3" width="21.42578125" bestFit="1" customWidth="1"/>
    <col min="4" max="4" width="9.28515625" bestFit="1" customWidth="1"/>
    <col min="5" max="5" width="34.28515625" customWidth="1"/>
    <col min="6" max="6" width="20.85546875" bestFit="1" customWidth="1"/>
    <col min="7" max="7" width="12" bestFit="1" customWidth="1"/>
    <col min="8" max="8" width="28.28515625" bestFit="1" customWidth="1"/>
    <col min="9" max="9" width="28.42578125" bestFit="1" customWidth="1"/>
    <col min="10" max="10" width="28.7109375" bestFit="1" customWidth="1"/>
    <col min="11" max="11" width="17.28515625" bestFit="1" customWidth="1"/>
    <col min="12" max="12" width="17.5703125" bestFit="1" customWidth="1"/>
    <col min="13" max="13" width="31" bestFit="1" customWidth="1"/>
    <col min="14" max="14" width="27.7109375" bestFit="1" customWidth="1"/>
    <col min="15" max="15" width="18.7109375" bestFit="1" customWidth="1"/>
    <col min="16" max="16" width="23" bestFit="1" customWidth="1"/>
    <col min="17" max="17" width="12.5703125" bestFit="1" customWidth="1"/>
    <col min="18" max="18" width="9.28515625" bestFit="1" customWidth="1"/>
    <col min="19" max="19" width="30.5703125" bestFit="1" customWidth="1"/>
    <col min="20" max="20" width="12" bestFit="1" customWidth="1"/>
    <col min="21" max="21" width="28.28515625" bestFit="1" customWidth="1"/>
    <col min="22" max="22" width="23.140625" bestFit="1" customWidth="1"/>
    <col min="23" max="23" width="23.42578125" bestFit="1" customWidth="1"/>
    <col min="24" max="24" width="17.28515625" bestFit="1" customWidth="1"/>
    <col min="25" max="25" width="17.5703125" bestFit="1" customWidth="1"/>
    <col min="26" max="26" width="16.28515625" bestFit="1" customWidth="1"/>
    <col min="27" max="27" width="20.7109375" bestFit="1" customWidth="1"/>
    <col min="28" max="28" width="24.7109375" bestFit="1" customWidth="1"/>
    <col min="29" max="29" width="12" bestFit="1" customWidth="1"/>
    <col min="30" max="30" width="9.28515625" bestFit="1" customWidth="1"/>
    <col min="31" max="31" width="26.28515625" bestFit="1" customWidth="1"/>
    <col min="32" max="32" width="10.85546875" bestFit="1" customWidth="1"/>
    <col min="33" max="33" width="31.140625" bestFit="1" customWidth="1"/>
    <col min="34" max="34" width="20.85546875" bestFit="1" customWidth="1"/>
    <col min="35" max="35" width="21.140625" bestFit="1" customWidth="1"/>
    <col min="36" max="36" width="19.85546875" bestFit="1" customWidth="1"/>
    <col min="37" max="37" width="32.28515625" bestFit="1" customWidth="1"/>
    <col min="38" max="38" width="24.7109375" bestFit="1" customWidth="1"/>
    <col min="39" max="39" width="12" bestFit="1" customWidth="1"/>
    <col min="40" max="40" width="9.28515625" bestFit="1" customWidth="1"/>
    <col min="41" max="41" width="26.28515625" bestFit="1" customWidth="1"/>
    <col min="42" max="42" width="12" bestFit="1" customWidth="1"/>
    <col min="43" max="43" width="31.140625" bestFit="1" customWidth="1"/>
    <col min="44" max="44" width="20.85546875" bestFit="1" customWidth="1"/>
    <col min="45" max="45" width="21.140625" bestFit="1" customWidth="1"/>
    <col min="46" max="46" width="19.85546875" bestFit="1" customWidth="1"/>
    <col min="47" max="47" width="14.85546875" bestFit="1" customWidth="1"/>
    <col min="48" max="48" width="20.7109375" bestFit="1" customWidth="1"/>
    <col min="49" max="49" width="26.28515625" bestFit="1" customWidth="1"/>
    <col min="50" max="50" width="9.28515625" bestFit="1" customWidth="1"/>
    <col min="51" max="51" width="27.5703125" bestFit="1" customWidth="1"/>
    <col min="52" max="52" width="28.7109375" bestFit="1" customWidth="1"/>
    <col min="53" max="53" width="27" bestFit="1" customWidth="1"/>
    <col min="54" max="54" width="24.85546875" bestFit="1" customWidth="1"/>
    <col min="55" max="55" width="29.28515625" bestFit="1" customWidth="1"/>
    <col min="56" max="56" width="31.85546875" bestFit="1" customWidth="1"/>
    <col min="57" max="57" width="21.7109375" bestFit="1" customWidth="1"/>
  </cols>
  <sheetData>
    <row r="1" spans="1:52" ht="18.75" x14ac:dyDescent="0.3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5">
      <c r="A3" t="s">
        <v>68</v>
      </c>
      <c r="B3" t="s">
        <v>71</v>
      </c>
      <c r="C3" t="s">
        <v>72</v>
      </c>
      <c r="D3" t="s">
        <v>73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783.16666666666663</v>
      </c>
      <c r="O3" t="s">
        <v>68</v>
      </c>
      <c r="P3" t="s">
        <v>71</v>
      </c>
      <c r="Q3" t="s">
        <v>95</v>
      </c>
      <c r="R3" t="s">
        <v>73</v>
      </c>
      <c r="S3" s="5">
        <v>11.967618013540566</v>
      </c>
      <c r="T3" s="5">
        <v>1.4104967058588604</v>
      </c>
      <c r="U3" s="5">
        <v>2.2199622266915817</v>
      </c>
      <c r="V3" s="5">
        <v>7.8453940222015603</v>
      </c>
      <c r="W3" s="5">
        <v>16.013877975802099</v>
      </c>
      <c r="X3" s="5">
        <v>0</v>
      </c>
      <c r="Y3" s="5">
        <v>33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68</v>
      </c>
      <c r="AL3" t="s">
        <v>123</v>
      </c>
      <c r="AM3" t="s">
        <v>106</v>
      </c>
      <c r="AN3" t="s">
        <v>124</v>
      </c>
      <c r="AO3" s="5">
        <v>1132.0833333333333</v>
      </c>
      <c r="AP3" s="5">
        <v>29.634094905050876</v>
      </c>
      <c r="AQ3" s="5">
        <v>46.640712479614429</v>
      </c>
      <c r="AR3" s="5">
        <v>1052</v>
      </c>
      <c r="AS3" s="5">
        <v>1192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5">
      <c r="C4" t="s">
        <v>74</v>
      </c>
      <c r="D4" t="s">
        <v>73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783.16666666666663</v>
      </c>
      <c r="P4" t="s">
        <v>79</v>
      </c>
      <c r="Q4" t="s">
        <v>95</v>
      </c>
      <c r="R4" t="s">
        <v>73</v>
      </c>
      <c r="S4" s="5">
        <v>1.4357426212197542</v>
      </c>
      <c r="T4" s="5">
        <v>0.4287555289894085</v>
      </c>
      <c r="U4" s="5">
        <v>0.67481269179007708</v>
      </c>
      <c r="V4" s="5">
        <v>0.85623463950978496</v>
      </c>
      <c r="W4" s="5">
        <v>3.3096083955109501</v>
      </c>
      <c r="X4" s="5">
        <v>0</v>
      </c>
      <c r="Y4" s="5">
        <v>18</v>
      </c>
      <c r="AL4" t="s">
        <v>103</v>
      </c>
      <c r="AM4" t="s">
        <v>104</v>
      </c>
      <c r="AN4" t="s">
        <v>73</v>
      </c>
      <c r="AO4" s="5">
        <v>796.41666666666663</v>
      </c>
      <c r="AP4" s="5">
        <v>22.067233074791599</v>
      </c>
      <c r="AQ4" s="5">
        <v>34.731328098924628</v>
      </c>
      <c r="AR4" s="5">
        <v>737</v>
      </c>
      <c r="AS4" s="5">
        <v>844</v>
      </c>
    </row>
    <row r="5" spans="1:52" x14ac:dyDescent="0.25">
      <c r="C5" t="s">
        <v>75</v>
      </c>
      <c r="D5" t="s">
        <v>73</v>
      </c>
      <c r="E5" s="5">
        <v>31.443465566031005</v>
      </c>
      <c r="F5" s="5">
        <v>1</v>
      </c>
      <c r="G5" s="5">
        <v>3.0424050674765848</v>
      </c>
      <c r="H5" s="5">
        <v>4.7884013482899288</v>
      </c>
      <c r="I5" s="5">
        <v>21.869819245231099</v>
      </c>
      <c r="J5" s="5">
        <v>39.749511711720999</v>
      </c>
      <c r="K5" s="5">
        <v>1.3051780606112999</v>
      </c>
      <c r="L5" s="5">
        <v>348.59837157348801</v>
      </c>
      <c r="M5" s="5">
        <v>783.16666666666663</v>
      </c>
      <c r="P5" t="s">
        <v>85</v>
      </c>
      <c r="Q5" t="s">
        <v>96</v>
      </c>
      <c r="R5" t="s">
        <v>87</v>
      </c>
      <c r="S5" s="5">
        <v>0.39305431340749158</v>
      </c>
      <c r="T5" s="5">
        <v>4.4364818370329934E-2</v>
      </c>
      <c r="U5" s="5">
        <v>6.9825204530481425E-2</v>
      </c>
      <c r="V5" s="5">
        <v>0.26379051411540999</v>
      </c>
      <c r="W5" s="5">
        <v>0.492701223784278</v>
      </c>
      <c r="X5" s="5">
        <v>0</v>
      </c>
      <c r="Y5" s="5">
        <v>1</v>
      </c>
      <c r="AL5" t="s">
        <v>105</v>
      </c>
      <c r="AM5" t="s">
        <v>106</v>
      </c>
      <c r="AN5" t="s">
        <v>73</v>
      </c>
      <c r="AO5" s="5">
        <v>783.16666666666663</v>
      </c>
      <c r="AP5" s="5">
        <v>20.040639553097002</v>
      </c>
      <c r="AQ5" s="5">
        <v>31.541699191368682</v>
      </c>
      <c r="AR5" s="5">
        <v>730</v>
      </c>
      <c r="AS5" s="5">
        <v>826</v>
      </c>
    </row>
    <row r="6" spans="1:52" x14ac:dyDescent="0.25">
      <c r="C6" t="s">
        <v>76</v>
      </c>
      <c r="D6" t="s">
        <v>73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783.16666666666663</v>
      </c>
      <c r="P6" t="s">
        <v>88</v>
      </c>
      <c r="Q6" t="s">
        <v>96</v>
      </c>
      <c r="R6" t="s">
        <v>87</v>
      </c>
      <c r="S6" s="5">
        <v>1.4357426212197553</v>
      </c>
      <c r="T6" s="5">
        <v>0.42875552898940772</v>
      </c>
      <c r="U6" s="5">
        <v>0.67481269179007586</v>
      </c>
      <c r="V6" s="5">
        <v>0.85623463950978496</v>
      </c>
      <c r="W6" s="5">
        <v>3.3096083955109501</v>
      </c>
      <c r="X6" s="5">
        <v>0</v>
      </c>
      <c r="Y6" s="5">
        <v>16</v>
      </c>
      <c r="AL6" t="s">
        <v>107</v>
      </c>
      <c r="AM6" t="s">
        <v>104</v>
      </c>
      <c r="AN6" t="s">
        <v>73</v>
      </c>
      <c r="AO6" s="5">
        <v>1145.9166666666667</v>
      </c>
      <c r="AP6" s="5">
        <v>31.597581939297463</v>
      </c>
      <c r="AQ6" s="5">
        <v>49.73101891600696</v>
      </c>
      <c r="AR6" s="5">
        <v>1059</v>
      </c>
      <c r="AS6" s="5">
        <v>1210</v>
      </c>
    </row>
    <row r="7" spans="1:52" x14ac:dyDescent="0.25">
      <c r="C7" t="s">
        <v>77</v>
      </c>
      <c r="D7" t="s">
        <v>73</v>
      </c>
      <c r="E7" s="5">
        <v>4.4972558269618901</v>
      </c>
      <c r="F7" s="5">
        <v>1</v>
      </c>
      <c r="G7" s="5">
        <v>6.0091988326368861E-2</v>
      </c>
      <c r="H7" s="5">
        <v>9.4577990616504876E-2</v>
      </c>
      <c r="I7" s="5">
        <v>4.3179545296811002</v>
      </c>
      <c r="J7" s="5">
        <v>4.6805733214061496</v>
      </c>
      <c r="K7" s="5">
        <v>1.00010180636809</v>
      </c>
      <c r="L7" s="5">
        <v>21.211822368947701</v>
      </c>
      <c r="M7" s="5">
        <v>783.16666666666663</v>
      </c>
      <c r="P7" t="s">
        <v>89</v>
      </c>
      <c r="Q7" t="s">
        <v>96</v>
      </c>
      <c r="R7" t="s">
        <v>87</v>
      </c>
      <c r="S7" s="5">
        <v>1.8367908590220434</v>
      </c>
      <c r="T7" s="5">
        <v>0.56452097837458637</v>
      </c>
      <c r="U7" s="5">
        <v>0.88849214816383859</v>
      </c>
      <c r="V7" s="5">
        <v>0.36210426146159602</v>
      </c>
      <c r="W7" s="5">
        <v>4.0028313893775698</v>
      </c>
      <c r="X7" s="5">
        <v>0</v>
      </c>
      <c r="Y7" s="5">
        <v>13</v>
      </c>
      <c r="AL7" t="s">
        <v>108</v>
      </c>
      <c r="AM7" t="s">
        <v>106</v>
      </c>
      <c r="AN7" t="s">
        <v>73</v>
      </c>
      <c r="AO7" s="5">
        <v>1145.3333333333333</v>
      </c>
      <c r="AP7" s="5">
        <v>31.651978827953357</v>
      </c>
      <c r="AQ7" s="5">
        <v>49.816633464104832</v>
      </c>
      <c r="AR7" s="5">
        <v>1059</v>
      </c>
      <c r="AS7" s="5">
        <v>1210</v>
      </c>
    </row>
    <row r="8" spans="1:52" x14ac:dyDescent="0.25">
      <c r="C8" t="s">
        <v>78</v>
      </c>
      <c r="D8" t="s">
        <v>73</v>
      </c>
      <c r="E8" s="5">
        <v>26.946209739069115</v>
      </c>
      <c r="F8" s="5">
        <v>1</v>
      </c>
      <c r="G8" s="5">
        <v>3.039422878817212</v>
      </c>
      <c r="H8" s="5">
        <v>4.7837077207549079</v>
      </c>
      <c r="I8" s="5">
        <v>17.449877569488098</v>
      </c>
      <c r="J8" s="5">
        <v>35.256685333982702</v>
      </c>
      <c r="K8" s="5">
        <v>0</v>
      </c>
      <c r="L8" s="5">
        <v>334.16964925652798</v>
      </c>
      <c r="M8" s="5">
        <v>783.16666666666663</v>
      </c>
      <c r="P8" t="s">
        <v>91</v>
      </c>
      <c r="Q8" t="s">
        <v>96</v>
      </c>
      <c r="R8" t="s">
        <v>87</v>
      </c>
      <c r="S8" s="5">
        <v>6.9452151315179975</v>
      </c>
      <c r="T8" s="5">
        <v>0.88346070151395062</v>
      </c>
      <c r="U8" s="5">
        <v>1.3904671864747102</v>
      </c>
      <c r="V8" s="5">
        <v>4.6102617725055204</v>
      </c>
      <c r="W8" s="5">
        <v>8.6997606838150698</v>
      </c>
      <c r="X8" s="5">
        <v>0</v>
      </c>
      <c r="Y8" s="5">
        <v>26</v>
      </c>
      <c r="AL8" t="s">
        <v>109</v>
      </c>
      <c r="AM8" t="s">
        <v>110</v>
      </c>
      <c r="AN8" t="s">
        <v>82</v>
      </c>
      <c r="AO8" s="5">
        <v>783.216775239051</v>
      </c>
      <c r="AP8" s="5">
        <v>30.833806701313396</v>
      </c>
      <c r="AQ8" s="5">
        <v>48.528923107513336</v>
      </c>
      <c r="AR8" s="5">
        <v>678.52271145285295</v>
      </c>
      <c r="AS8" s="5">
        <v>840.77730126549898</v>
      </c>
    </row>
    <row r="9" spans="1:52" x14ac:dyDescent="0.25">
      <c r="B9" t="s">
        <v>79</v>
      </c>
      <c r="C9" t="s">
        <v>72</v>
      </c>
      <c r="D9" t="s">
        <v>73</v>
      </c>
      <c r="E9" s="5">
        <v>0</v>
      </c>
      <c r="F9" s="5">
        <v>1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348.91666666666669</v>
      </c>
      <c r="P9" t="s">
        <v>93</v>
      </c>
      <c r="Q9" t="s">
        <v>96</v>
      </c>
      <c r="R9" t="s">
        <v>87</v>
      </c>
      <c r="S9" s="5">
        <v>0.54907359753581719</v>
      </c>
      <c r="T9" s="5">
        <v>1.7829138867677546E-2</v>
      </c>
      <c r="U9" s="5">
        <v>2.8061047329126759E-2</v>
      </c>
      <c r="V9" s="5">
        <v>0.50893371098476703</v>
      </c>
      <c r="W9" s="5">
        <v>0.58706685204911901</v>
      </c>
      <c r="X9" s="5">
        <v>0</v>
      </c>
      <c r="Y9" s="5">
        <v>2</v>
      </c>
      <c r="AL9" t="s">
        <v>111</v>
      </c>
      <c r="AM9" t="s">
        <v>112</v>
      </c>
      <c r="AN9" t="s">
        <v>82</v>
      </c>
      <c r="AO9" s="5">
        <v>811.48948897731191</v>
      </c>
      <c r="AP9" s="5">
        <v>91.317565381747087</v>
      </c>
      <c r="AQ9" s="5">
        <v>143.72351593510379</v>
      </c>
      <c r="AR9" s="5">
        <v>546.46370972178704</v>
      </c>
      <c r="AS9" s="5">
        <v>1012.863937084</v>
      </c>
    </row>
    <row r="10" spans="1:52" x14ac:dyDescent="0.25">
      <c r="C10" t="s">
        <v>74</v>
      </c>
      <c r="D10" t="s">
        <v>73</v>
      </c>
      <c r="E10" s="5">
        <v>0</v>
      </c>
      <c r="F10" s="5">
        <v>1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348.91666666666669</v>
      </c>
      <c r="P10" t="s">
        <v>94</v>
      </c>
      <c r="Q10" t="s">
        <v>96</v>
      </c>
      <c r="R10" t="s">
        <v>87</v>
      </c>
      <c r="S10" s="5">
        <v>0.55155869724816453</v>
      </c>
      <c r="T10" s="5">
        <v>1.4522812151275023E-2</v>
      </c>
      <c r="U10" s="5">
        <v>2.2857263166408359E-2</v>
      </c>
      <c r="V10" s="5">
        <v>0.51570313450412797</v>
      </c>
      <c r="W10" s="5">
        <v>0.58732155692135601</v>
      </c>
      <c r="X10" s="5">
        <v>0</v>
      </c>
      <c r="Y10" s="5">
        <v>3</v>
      </c>
      <c r="AL10" t="s">
        <v>113</v>
      </c>
      <c r="AM10" t="s">
        <v>104</v>
      </c>
      <c r="AN10" t="s">
        <v>82</v>
      </c>
      <c r="AO10" s="5">
        <v>66</v>
      </c>
      <c r="AP10" s="5">
        <v>2.640626329283204</v>
      </c>
      <c r="AQ10" s="5">
        <v>4.1560470729681676</v>
      </c>
      <c r="AR10" s="5">
        <v>59</v>
      </c>
      <c r="AS10" s="5">
        <v>70</v>
      </c>
    </row>
    <row r="11" spans="1:52" x14ac:dyDescent="0.25">
      <c r="C11" t="s">
        <v>75</v>
      </c>
      <c r="D11" t="s">
        <v>73</v>
      </c>
      <c r="E11" s="5">
        <v>8.5796299690442694</v>
      </c>
      <c r="F11" s="5">
        <v>1</v>
      </c>
      <c r="G11" s="5">
        <v>2.4909542569299354</v>
      </c>
      <c r="H11" s="5">
        <v>3.9204801654846184</v>
      </c>
      <c r="I11" s="5">
        <v>5.5756560720942296</v>
      </c>
      <c r="J11" s="5">
        <v>19.688888471878201</v>
      </c>
      <c r="K11" s="5">
        <v>0</v>
      </c>
      <c r="L11" s="5">
        <v>73.330338726468796</v>
      </c>
      <c r="M11" s="5">
        <v>348.91666666666669</v>
      </c>
      <c r="P11" t="s">
        <v>97</v>
      </c>
      <c r="Q11" t="s">
        <v>98</v>
      </c>
      <c r="R11" t="s">
        <v>99</v>
      </c>
      <c r="S11" s="5">
        <v>0.93693413710063267</v>
      </c>
      <c r="T11" s="5">
        <v>1.9112222555672933E-2</v>
      </c>
      <c r="U11" s="5">
        <v>3.0080475881637609E-2</v>
      </c>
      <c r="V11" s="5">
        <v>0.87408888428798603</v>
      </c>
      <c r="W11" s="5">
        <v>0.989515454392208</v>
      </c>
      <c r="X11" s="5">
        <v>0</v>
      </c>
      <c r="Y11" s="5">
        <v>1</v>
      </c>
      <c r="AL11" t="s">
        <v>114</v>
      </c>
      <c r="AM11" t="s">
        <v>106</v>
      </c>
      <c r="AN11" t="s">
        <v>82</v>
      </c>
      <c r="AO11" s="5">
        <v>65.083333333333329</v>
      </c>
      <c r="AP11" s="5">
        <v>2.6882607215451362</v>
      </c>
      <c r="AQ11" s="5">
        <v>4.2310182168734691</v>
      </c>
      <c r="AR11" s="5">
        <v>58</v>
      </c>
      <c r="AS11" s="5">
        <v>69</v>
      </c>
    </row>
    <row r="12" spans="1:52" x14ac:dyDescent="0.25">
      <c r="C12" t="s">
        <v>76</v>
      </c>
      <c r="D12" t="s">
        <v>73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348.91666666666669</v>
      </c>
      <c r="Q12" t="s">
        <v>100</v>
      </c>
      <c r="R12" t="s">
        <v>99</v>
      </c>
      <c r="S12" s="5">
        <v>0.93693413710063267</v>
      </c>
      <c r="T12" s="5">
        <v>1.9112222555672933E-2</v>
      </c>
      <c r="U12" s="5">
        <v>3.0080475881637609E-2</v>
      </c>
      <c r="V12" s="5">
        <v>0.87408888428798603</v>
      </c>
      <c r="W12" s="5">
        <v>0.989515454392208</v>
      </c>
      <c r="X12" s="5">
        <v>0</v>
      </c>
      <c r="Y12" s="5">
        <v>1</v>
      </c>
      <c r="AL12" t="s">
        <v>115</v>
      </c>
      <c r="AM12" t="s">
        <v>110</v>
      </c>
      <c r="AN12" t="s">
        <v>82</v>
      </c>
      <c r="AO12" s="5">
        <v>1181.2622276627176</v>
      </c>
      <c r="AP12" s="5">
        <v>32.340149247203939</v>
      </c>
      <c r="AQ12" s="5">
        <v>50.899735842094827</v>
      </c>
      <c r="AR12" s="5">
        <v>1106.0350367697699</v>
      </c>
      <c r="AS12" s="5">
        <v>1255.97830087074</v>
      </c>
    </row>
    <row r="13" spans="1:52" x14ac:dyDescent="0.25">
      <c r="C13" t="s">
        <v>77</v>
      </c>
      <c r="D13" t="s">
        <v>73</v>
      </c>
      <c r="E13" s="5">
        <v>0</v>
      </c>
      <c r="F13" s="5">
        <v>1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348.91666666666669</v>
      </c>
      <c r="Q13" t="s">
        <v>101</v>
      </c>
      <c r="R13" t="s">
        <v>99</v>
      </c>
      <c r="S13" s="5">
        <v>1</v>
      </c>
      <c r="T13" s="5">
        <v>0</v>
      </c>
      <c r="U13" s="5">
        <v>0</v>
      </c>
      <c r="V13" s="5">
        <v>1</v>
      </c>
      <c r="W13" s="5">
        <v>1</v>
      </c>
      <c r="X13" s="5">
        <v>1</v>
      </c>
      <c r="Y13" s="5">
        <v>1</v>
      </c>
      <c r="AL13" t="s">
        <v>116</v>
      </c>
      <c r="AM13" t="s">
        <v>112</v>
      </c>
      <c r="AN13" t="s">
        <v>82</v>
      </c>
      <c r="AO13" s="5">
        <v>14481.366678807759</v>
      </c>
      <c r="AP13" s="5">
        <v>1823.4884871564914</v>
      </c>
      <c r="AQ13" s="5">
        <v>2869.9645631781104</v>
      </c>
      <c r="AR13" s="5">
        <v>9643.84605851171</v>
      </c>
      <c r="AS13" s="5">
        <v>18159.7018308675</v>
      </c>
    </row>
    <row r="14" spans="1:52" x14ac:dyDescent="0.25">
      <c r="C14" t="s">
        <v>78</v>
      </c>
      <c r="D14" t="s">
        <v>73</v>
      </c>
      <c r="E14" s="5">
        <v>8.5796299690442694</v>
      </c>
      <c r="F14" s="5">
        <v>1</v>
      </c>
      <c r="G14" s="5">
        <v>2.4909542569299354</v>
      </c>
      <c r="H14" s="5">
        <v>3.9204801654846184</v>
      </c>
      <c r="I14" s="5">
        <v>5.5756560720942296</v>
      </c>
      <c r="J14" s="5">
        <v>19.688888471878201</v>
      </c>
      <c r="K14" s="5">
        <v>0</v>
      </c>
      <c r="L14" s="5">
        <v>73.330338726468796</v>
      </c>
      <c r="M14" s="5">
        <v>348.91666666666669</v>
      </c>
      <c r="P14" t="s">
        <v>102</v>
      </c>
      <c r="Q14" t="s">
        <v>98</v>
      </c>
      <c r="R14" t="s">
        <v>99</v>
      </c>
      <c r="S14" s="5">
        <v>0.75499127770842467</v>
      </c>
      <c r="T14" s="5">
        <v>1.9690534563658681E-2</v>
      </c>
      <c r="U14" s="5">
        <v>3.0990673550046054E-2</v>
      </c>
      <c r="V14" s="5">
        <v>0.70281682687036895</v>
      </c>
      <c r="W14" s="5">
        <v>0.79676815469245998</v>
      </c>
      <c r="X14" s="5">
        <v>0</v>
      </c>
      <c r="Y14" s="5">
        <v>1</v>
      </c>
      <c r="AL14" t="s">
        <v>117</v>
      </c>
      <c r="AM14" t="s">
        <v>104</v>
      </c>
      <c r="AN14" t="s">
        <v>82</v>
      </c>
      <c r="AO14" s="5">
        <v>794.91666666666663</v>
      </c>
      <c r="AP14" s="5">
        <v>21.853322409391229</v>
      </c>
      <c r="AQ14" s="5">
        <v>34.394656914154915</v>
      </c>
      <c r="AR14" s="5">
        <v>737</v>
      </c>
      <c r="AS14" s="5">
        <v>841</v>
      </c>
    </row>
    <row r="15" spans="1:52" x14ac:dyDescent="0.25">
      <c r="B15" t="s">
        <v>80</v>
      </c>
      <c r="C15" t="s">
        <v>81</v>
      </c>
      <c r="D15" t="s">
        <v>82</v>
      </c>
      <c r="E15" s="5">
        <v>24.51031329670764</v>
      </c>
      <c r="F15" s="5">
        <v>1</v>
      </c>
      <c r="G15" s="5">
        <v>1.3677621573936283</v>
      </c>
      <c r="H15" s="5">
        <v>2.1527028825375165</v>
      </c>
      <c r="I15" s="5">
        <v>20.573219162572599</v>
      </c>
      <c r="J15" s="5">
        <v>27.6072772087274</v>
      </c>
      <c r="K15" s="5">
        <v>8.0759119651897908</v>
      </c>
      <c r="L15" s="5">
        <v>51.785477573090503</v>
      </c>
      <c r="M15" s="5">
        <v>65.083333333333329</v>
      </c>
      <c r="Q15" t="s">
        <v>100</v>
      </c>
      <c r="R15" t="s">
        <v>99</v>
      </c>
      <c r="S15" s="5">
        <v>0.75499127770842467</v>
      </c>
      <c r="T15" s="5">
        <v>1.9690534563658681E-2</v>
      </c>
      <c r="U15" s="5">
        <v>3.0990673550046054E-2</v>
      </c>
      <c r="V15" s="5">
        <v>0.70281682687036895</v>
      </c>
      <c r="W15" s="5">
        <v>0.79676815469245998</v>
      </c>
      <c r="X15" s="5">
        <v>0</v>
      </c>
      <c r="Y15" s="5">
        <v>1</v>
      </c>
      <c r="AL15" t="s">
        <v>118</v>
      </c>
      <c r="AM15" t="s">
        <v>106</v>
      </c>
      <c r="AN15" t="s">
        <v>82</v>
      </c>
      <c r="AO15" s="5">
        <v>786</v>
      </c>
      <c r="AP15" s="5">
        <v>20.80290012542233</v>
      </c>
      <c r="AQ15" s="5">
        <v>32.741411087489801</v>
      </c>
      <c r="AR15" s="5">
        <v>732</v>
      </c>
      <c r="AS15" s="5">
        <v>829</v>
      </c>
    </row>
    <row r="16" spans="1:52" x14ac:dyDescent="0.25">
      <c r="C16" t="s">
        <v>83</v>
      </c>
      <c r="D16" t="s">
        <v>82</v>
      </c>
      <c r="E16" s="5">
        <v>12.042239817334083</v>
      </c>
      <c r="F16" s="5">
        <v>1</v>
      </c>
      <c r="G16" s="5">
        <v>0.25752245502811572</v>
      </c>
      <c r="H16" s="5">
        <v>0.40531120725956793</v>
      </c>
      <c r="I16" s="5">
        <v>11.3087118575475</v>
      </c>
      <c r="J16" s="5">
        <v>12.7855466550981</v>
      </c>
      <c r="K16" s="5">
        <v>8.0309576481744198</v>
      </c>
      <c r="L16" s="5">
        <v>15.996573444289099</v>
      </c>
      <c r="M16" s="5">
        <v>65.083333333333329</v>
      </c>
      <c r="Q16" t="s">
        <v>101</v>
      </c>
      <c r="R16" t="s">
        <v>99</v>
      </c>
      <c r="S16" s="5">
        <v>1</v>
      </c>
      <c r="T16" s="5">
        <v>0</v>
      </c>
      <c r="U16" s="5">
        <v>0</v>
      </c>
      <c r="V16" s="5">
        <v>1</v>
      </c>
      <c r="W16" s="5">
        <v>1</v>
      </c>
      <c r="X16" s="5">
        <v>1</v>
      </c>
      <c r="Y16" s="5">
        <v>1</v>
      </c>
      <c r="AL16" t="s">
        <v>119</v>
      </c>
      <c r="AM16" t="s">
        <v>110</v>
      </c>
      <c r="AN16" t="s">
        <v>82</v>
      </c>
      <c r="AO16" s="5">
        <v>1584.7600747574054</v>
      </c>
      <c r="AP16" s="5">
        <v>41.425870119928376</v>
      </c>
      <c r="AQ16" s="5">
        <v>65.199632506816158</v>
      </c>
      <c r="AR16" s="5">
        <v>1473.78349566985</v>
      </c>
      <c r="AS16" s="5">
        <v>1673.21312485417</v>
      </c>
    </row>
    <row r="17" spans="2:45" x14ac:dyDescent="0.25">
      <c r="C17" t="s">
        <v>84</v>
      </c>
      <c r="D17" t="s">
        <v>82</v>
      </c>
      <c r="E17" s="5">
        <v>12.468073479373563</v>
      </c>
      <c r="F17" s="5">
        <v>1</v>
      </c>
      <c r="G17" s="5">
        <v>1.2955419154922878</v>
      </c>
      <c r="H17" s="5">
        <v>2.0390363930253126</v>
      </c>
      <c r="I17" s="5">
        <v>8.8139308019643003</v>
      </c>
      <c r="J17" s="5">
        <v>15.494339623025001</v>
      </c>
      <c r="K17" s="5">
        <v>0</v>
      </c>
      <c r="L17" s="5">
        <v>38.7642988818086</v>
      </c>
      <c r="M17" s="5">
        <v>65.083333333333329</v>
      </c>
      <c r="AL17" t="s">
        <v>120</v>
      </c>
      <c r="AM17" t="s">
        <v>112</v>
      </c>
      <c r="AN17" t="s">
        <v>82</v>
      </c>
      <c r="AO17" s="5">
        <v>1151.8667665386067</v>
      </c>
      <c r="AP17" s="5">
        <v>37.335190015744239</v>
      </c>
      <c r="AQ17" s="5">
        <v>58.761364856103697</v>
      </c>
      <c r="AR17" s="5">
        <v>1064.4971115521701</v>
      </c>
      <c r="AS17" s="5">
        <v>1232.84038930315</v>
      </c>
    </row>
    <row r="18" spans="2:45" x14ac:dyDescent="0.25">
      <c r="B18" t="s">
        <v>85</v>
      </c>
      <c r="C18" t="s">
        <v>86</v>
      </c>
      <c r="D18" t="s">
        <v>87</v>
      </c>
      <c r="E18" s="5">
        <v>12.50284312674699</v>
      </c>
      <c r="F18" s="5">
        <v>1</v>
      </c>
      <c r="G18" s="5">
        <v>1.3282974409816715</v>
      </c>
      <c r="H18" s="5">
        <v>2.0905898840755364</v>
      </c>
      <c r="I18" s="5">
        <v>8.8139308019643003</v>
      </c>
      <c r="J18" s="5">
        <v>15.676857120408901</v>
      </c>
      <c r="K18" s="5">
        <v>0</v>
      </c>
      <c r="L18" s="5">
        <v>38.7642988818086</v>
      </c>
      <c r="M18" s="5">
        <v>65.75</v>
      </c>
      <c r="AL18" t="s">
        <v>121</v>
      </c>
      <c r="AM18" t="s">
        <v>104</v>
      </c>
      <c r="AN18" t="s">
        <v>82</v>
      </c>
      <c r="AO18" s="5">
        <v>796.41666666666663</v>
      </c>
      <c r="AP18" s="5">
        <v>22.067233074791599</v>
      </c>
      <c r="AQ18" s="5">
        <v>34.731328098924628</v>
      </c>
      <c r="AR18" s="5">
        <v>737</v>
      </c>
      <c r="AS18" s="5">
        <v>844</v>
      </c>
    </row>
    <row r="19" spans="2:45" x14ac:dyDescent="0.25">
      <c r="B19" t="s">
        <v>88</v>
      </c>
      <c r="C19" t="s">
        <v>86</v>
      </c>
      <c r="D19" t="s">
        <v>87</v>
      </c>
      <c r="E19" s="5">
        <v>8.5796299690442694</v>
      </c>
      <c r="F19" s="5">
        <v>1</v>
      </c>
      <c r="G19" s="5">
        <v>2.4909542569299354</v>
      </c>
      <c r="H19" s="5">
        <v>3.9204801654846184</v>
      </c>
      <c r="I19" s="5">
        <v>5.5756560720942296</v>
      </c>
      <c r="J19" s="5">
        <v>19.688888471878201</v>
      </c>
      <c r="K19" s="5">
        <v>0</v>
      </c>
      <c r="L19" s="5">
        <v>73.330338726468796</v>
      </c>
      <c r="M19" s="5">
        <v>348.91666666666669</v>
      </c>
      <c r="AL19" t="s">
        <v>122</v>
      </c>
      <c r="AM19" t="s">
        <v>106</v>
      </c>
      <c r="AN19" t="s">
        <v>82</v>
      </c>
      <c r="AO19" s="5">
        <v>795.08333333333337</v>
      </c>
      <c r="AP19" s="5">
        <v>21.927089579910728</v>
      </c>
      <c r="AQ19" s="5">
        <v>34.510758094287411</v>
      </c>
      <c r="AR19" s="5">
        <v>737</v>
      </c>
      <c r="AS19" s="5">
        <v>841</v>
      </c>
    </row>
    <row r="20" spans="2:45" x14ac:dyDescent="0.25">
      <c r="B20" t="s">
        <v>89</v>
      </c>
      <c r="C20" t="s">
        <v>86</v>
      </c>
      <c r="D20" t="s">
        <v>87</v>
      </c>
      <c r="E20" s="5">
        <v>55.98955748533124</v>
      </c>
      <c r="F20" s="5">
        <v>1</v>
      </c>
      <c r="G20" s="5">
        <v>15.570599590849211</v>
      </c>
      <c r="H20" s="5">
        <v>24.506362046111338</v>
      </c>
      <c r="I20" s="5">
        <v>12.0701420487199</v>
      </c>
      <c r="J20" s="5">
        <v>110.88908690154101</v>
      </c>
      <c r="K20" s="5">
        <v>0</v>
      </c>
      <c r="L20" s="5">
        <v>288.328546108833</v>
      </c>
      <c r="M20" s="5">
        <v>66</v>
      </c>
      <c r="AL20" t="s">
        <v>125</v>
      </c>
      <c r="AM20" t="s">
        <v>126</v>
      </c>
      <c r="AN20" t="s">
        <v>99</v>
      </c>
      <c r="AO20" s="5">
        <v>852.08333333333337</v>
      </c>
      <c r="AP20" s="5">
        <v>20.397532131659759</v>
      </c>
      <c r="AQ20" s="5">
        <v>32.103407730002552</v>
      </c>
      <c r="AR20" s="5">
        <v>800</v>
      </c>
      <c r="AS20" s="5">
        <v>893</v>
      </c>
    </row>
    <row r="21" spans="2:45" x14ac:dyDescent="0.25">
      <c r="B21" t="s">
        <v>90</v>
      </c>
      <c r="C21" t="s">
        <v>81</v>
      </c>
      <c r="D21" t="s">
        <v>82</v>
      </c>
      <c r="E21" s="5">
        <v>19.843076309313876</v>
      </c>
      <c r="F21" s="5">
        <v>1</v>
      </c>
      <c r="G21" s="5">
        <v>1.9765596405304995</v>
      </c>
      <c r="H21" s="5">
        <v>3.1108812396048715</v>
      </c>
      <c r="I21" s="5">
        <v>14.333174793708601</v>
      </c>
      <c r="J21" s="5">
        <v>24.121886739294599</v>
      </c>
      <c r="K21" s="5">
        <v>1.0058066908302401</v>
      </c>
      <c r="L21" s="5">
        <v>53.875149285606298</v>
      </c>
      <c r="M21" s="5">
        <v>786</v>
      </c>
      <c r="AL21" t="s">
        <v>127</v>
      </c>
      <c r="AM21" t="s">
        <v>128</v>
      </c>
      <c r="AN21" t="s">
        <v>99</v>
      </c>
      <c r="AO21" s="5">
        <v>0.93693413710063267</v>
      </c>
      <c r="AP21" s="5">
        <v>1.9112222555672933E-2</v>
      </c>
      <c r="AQ21" s="5">
        <v>3.0080475881637609E-2</v>
      </c>
      <c r="AR21" s="5">
        <v>0.87408888428798603</v>
      </c>
      <c r="AS21" s="5">
        <v>0.989515454392208</v>
      </c>
    </row>
    <row r="22" spans="2:45" x14ac:dyDescent="0.25">
      <c r="C22" t="s">
        <v>83</v>
      </c>
      <c r="D22" t="s">
        <v>82</v>
      </c>
      <c r="E22" s="5">
        <v>1.5028538081491225</v>
      </c>
      <c r="F22" s="5">
        <v>1</v>
      </c>
      <c r="G22" s="5">
        <v>8.7738031202962419E-3</v>
      </c>
      <c r="H22" s="5">
        <v>1.3808973413820496E-2</v>
      </c>
      <c r="I22" s="5">
        <v>1.4747133823596901</v>
      </c>
      <c r="J22" s="5">
        <v>1.51850117283381</v>
      </c>
      <c r="K22" s="5">
        <v>1.00010180636809</v>
      </c>
      <c r="L22" s="5">
        <v>1.9999899924728199</v>
      </c>
      <c r="M22" s="5">
        <v>786</v>
      </c>
      <c r="AL22" t="s">
        <v>129</v>
      </c>
      <c r="AM22" t="s">
        <v>126</v>
      </c>
      <c r="AN22" t="s">
        <v>99</v>
      </c>
      <c r="AO22" s="5">
        <v>795.66666666666663</v>
      </c>
      <c r="AP22" s="5">
        <v>21.998732705738043</v>
      </c>
      <c r="AQ22" s="5">
        <v>34.623516268395946</v>
      </c>
      <c r="AR22" s="5">
        <v>737</v>
      </c>
      <c r="AS22" s="5">
        <v>842</v>
      </c>
    </row>
    <row r="23" spans="2:45" x14ac:dyDescent="0.25">
      <c r="C23" t="s">
        <v>84</v>
      </c>
      <c r="D23" t="s">
        <v>82</v>
      </c>
      <c r="E23" s="5">
        <v>18.340222501164735</v>
      </c>
      <c r="F23" s="5">
        <v>1</v>
      </c>
      <c r="G23" s="5">
        <v>1.9734343388151923</v>
      </c>
      <c r="H23" s="5">
        <v>3.1059623683121012</v>
      </c>
      <c r="I23" s="5">
        <v>12.8584614113489</v>
      </c>
      <c r="J23" s="5">
        <v>22.619907968114202</v>
      </c>
      <c r="K23" s="5">
        <v>0</v>
      </c>
      <c r="L23" s="5">
        <v>52.173346869209801</v>
      </c>
      <c r="M23" s="5">
        <v>786</v>
      </c>
      <c r="AL23" t="s">
        <v>130</v>
      </c>
      <c r="AM23" t="s">
        <v>128</v>
      </c>
      <c r="AN23" t="s">
        <v>99</v>
      </c>
      <c r="AO23" s="5">
        <v>0.75499127770842467</v>
      </c>
      <c r="AP23" s="5">
        <v>1.9690534563658681E-2</v>
      </c>
      <c r="AQ23" s="5">
        <v>3.0990673550046054E-2</v>
      </c>
      <c r="AR23" s="5">
        <v>0.70281682687036895</v>
      </c>
      <c r="AS23" s="5">
        <v>0.79676815469245998</v>
      </c>
    </row>
    <row r="24" spans="2:45" x14ac:dyDescent="0.25">
      <c r="B24" t="s">
        <v>91</v>
      </c>
      <c r="C24" t="s">
        <v>86</v>
      </c>
      <c r="D24" t="s">
        <v>87</v>
      </c>
      <c r="E24" s="5">
        <v>18.340362280972652</v>
      </c>
      <c r="F24" s="5">
        <v>1</v>
      </c>
      <c r="G24" s="5">
        <v>1.9737553231420619</v>
      </c>
      <c r="H24" s="5">
        <v>3.1064675613253501</v>
      </c>
      <c r="I24" s="5">
        <v>12.8566567976914</v>
      </c>
      <c r="J24" s="5">
        <v>22.621112046443301</v>
      </c>
      <c r="K24" s="5">
        <v>0</v>
      </c>
      <c r="L24" s="5">
        <v>52.173346869209801</v>
      </c>
      <c r="M24" s="5">
        <v>786.33333333333337</v>
      </c>
    </row>
    <row r="25" spans="2:45" x14ac:dyDescent="0.25">
      <c r="B25" t="s">
        <v>92</v>
      </c>
      <c r="C25" t="s">
        <v>81</v>
      </c>
      <c r="D25" t="s">
        <v>82</v>
      </c>
      <c r="E25" s="5">
        <v>3.4422907980918054</v>
      </c>
      <c r="F25" s="5">
        <v>1</v>
      </c>
      <c r="G25" s="5">
        <v>4.0781028327263158E-2</v>
      </c>
      <c r="H25" s="5">
        <v>6.41847244847253E-2</v>
      </c>
      <c r="I25" s="5">
        <v>3.3715879911348301</v>
      </c>
      <c r="J25" s="5">
        <v>3.5733706442045801</v>
      </c>
      <c r="K25" s="5">
        <v>0</v>
      </c>
      <c r="L25" s="5">
        <v>10.157999238121601</v>
      </c>
      <c r="M25" s="5">
        <v>795.08333333333337</v>
      </c>
    </row>
    <row r="26" spans="2:45" x14ac:dyDescent="0.25">
      <c r="C26" t="s">
        <v>83</v>
      </c>
      <c r="D26" t="s">
        <v>82</v>
      </c>
      <c r="E26" s="5">
        <v>1.9936632735826756</v>
      </c>
      <c r="F26" s="5">
        <v>1</v>
      </c>
      <c r="G26" s="5">
        <v>2.2429626933135546E-2</v>
      </c>
      <c r="H26" s="5">
        <v>3.5301695029500854E-2</v>
      </c>
      <c r="I26" s="5">
        <v>1.94998410656736</v>
      </c>
      <c r="J26" s="5">
        <v>2.0714547119998601</v>
      </c>
      <c r="K26" s="5">
        <v>0</v>
      </c>
      <c r="L26" s="5">
        <v>3.9809861860223901</v>
      </c>
      <c r="M26" s="5">
        <v>795.08333333333337</v>
      </c>
    </row>
    <row r="27" spans="2:45" x14ac:dyDescent="0.25">
      <c r="C27" t="s">
        <v>84</v>
      </c>
      <c r="D27" t="s">
        <v>82</v>
      </c>
      <c r="E27" s="5">
        <v>1.4486275245091296</v>
      </c>
      <c r="F27" s="5">
        <v>1</v>
      </c>
      <c r="G27" s="5">
        <v>2.1627464935341765E-2</v>
      </c>
      <c r="H27" s="5">
        <v>3.4039182804273552E-2</v>
      </c>
      <c r="I27" s="5">
        <v>1.39936694366582</v>
      </c>
      <c r="J27" s="5">
        <v>1.5269729168688699</v>
      </c>
      <c r="K27" s="5">
        <v>0</v>
      </c>
      <c r="L27" s="5">
        <v>7.5129638101070704</v>
      </c>
      <c r="M27" s="5">
        <v>795.08333333333337</v>
      </c>
    </row>
    <row r="28" spans="2:45" x14ac:dyDescent="0.25">
      <c r="B28" t="s">
        <v>93</v>
      </c>
      <c r="C28" t="s">
        <v>86</v>
      </c>
      <c r="D28" t="s">
        <v>87</v>
      </c>
      <c r="E28" s="5">
        <v>1.4477888370066827</v>
      </c>
      <c r="F28" s="5">
        <v>1</v>
      </c>
      <c r="G28" s="5">
        <v>2.1732482212004203E-2</v>
      </c>
      <c r="H28" s="5">
        <v>3.4204468115733154E-2</v>
      </c>
      <c r="I28" s="5">
        <v>1.3976220971026501</v>
      </c>
      <c r="J28" s="5">
        <v>1.5250618118415</v>
      </c>
      <c r="K28" s="5">
        <v>0</v>
      </c>
      <c r="L28" s="5">
        <v>7.5129638101070704</v>
      </c>
      <c r="M28" s="5">
        <v>795.66666666666663</v>
      </c>
    </row>
    <row r="29" spans="2:45" x14ac:dyDescent="0.25">
      <c r="B29" t="s">
        <v>94</v>
      </c>
      <c r="C29" t="s">
        <v>86</v>
      </c>
      <c r="D29" t="s">
        <v>87</v>
      </c>
      <c r="E29" s="5">
        <v>1.4572273428819582</v>
      </c>
      <c r="F29" s="5">
        <v>1</v>
      </c>
      <c r="G29" s="5">
        <v>2.1720501454124481E-2</v>
      </c>
      <c r="H29" s="5">
        <v>3.4185611758373625E-2</v>
      </c>
      <c r="I29" s="5">
        <v>1.41293281540393</v>
      </c>
      <c r="J29" s="5">
        <v>1.5228151748432599</v>
      </c>
      <c r="K29" s="5">
        <v>0</v>
      </c>
      <c r="L29" s="5">
        <v>7.1682281439000199</v>
      </c>
      <c r="M29" s="5">
        <v>794.91666666666663</v>
      </c>
    </row>
    <row r="32" spans="2:45" x14ac:dyDescent="0.25">
      <c r="E32" s="8" t="s">
        <v>131</v>
      </c>
      <c r="F32" s="8"/>
      <c r="G32" s="8"/>
      <c r="I32" s="8" t="s">
        <v>137</v>
      </c>
      <c r="J32" s="8"/>
      <c r="K32" s="7">
        <f>GETPIVOTDATA("Average Of Replication Averages",$A$2,"Project Name","Tener Articulso","Name","TenerArticulos.Queue","Type","Waiting Time","Source","Queue")-GETPIVOTDATA("Half-Width",$A$2,"Project Name","Tener Articulso","Name","TenerArticulos.Queue","Type","Waiting Time","Source","Queue")</f>
        <v>1.4355068414278338</v>
      </c>
      <c r="L32" s="7">
        <f>GETPIVOTDATA("Average Of Replication Averages",$A$2,"Project Name","Tener Articulso","Name","TenerArticulos.Queue","Type","Waiting Time","Source","Queue")+GETPIVOTDATA("Half-Width",$A$2,"Project Name","Tener Articulso","Name","TenerArticulos.Queue","Type","Waiting Time","Source","Queue")</f>
        <v>1.4789478443360826</v>
      </c>
    </row>
    <row r="33" spans="3:12" x14ac:dyDescent="0.25">
      <c r="E33" s="6" t="s">
        <v>133</v>
      </c>
      <c r="F33" s="6" t="s">
        <v>134</v>
      </c>
      <c r="G33" s="6" t="s">
        <v>135</v>
      </c>
    </row>
    <row r="34" spans="3:12" x14ac:dyDescent="0.25">
      <c r="E34" s="6" t="s">
        <v>132</v>
      </c>
      <c r="F34" s="7">
        <f>GETPIVOTDATA("Average Of Replication Averages",$O$2,"Project Name","Tener Articulso","Name","rSacador","Type","Instantaneous Utilization","Source","Resource")-GETPIVOTDATA("Half-Width",$O$2,"Project Name","Tener Articulso","Name","rSacador","Type","Instantaneous Utilization","Source","Resource")</f>
        <v>0.73530074314476601</v>
      </c>
      <c r="G34" s="7">
        <f>GETPIVOTDATA("Average Of Replication Averages",$O$2,"Project Name","Tener Articulso","Name","rSacador","Type","Instantaneous Utilization","Source","Resource")+GETPIVOTDATA("Half-Width",$O$2,"Project Name","Tener Articulso","Name","rSacador","Type","Instantaneous Utilization","Source","Resource")</f>
        <v>0.77468181227208333</v>
      </c>
    </row>
    <row r="35" spans="3:12" x14ac:dyDescent="0.25">
      <c r="E35" s="6" t="s">
        <v>136</v>
      </c>
      <c r="F35" s="7">
        <f>GETPIVOTDATA("Average Of Replication Averages",$O$2,"Project Name","Tener Articulso","Name","rOrganizdor","Type","Instantaneous Utilization","Source","Resource")-GETPIVOTDATA("Half-Width",$O$2,"Project Name","Tener Articulso","Name","rOrganizdor","Type","Instantaneous Utilization","Source","Resource")</f>
        <v>0.91782191454495976</v>
      </c>
      <c r="G35" s="7">
        <f>GETPIVOTDATA("Average Of Replication Averages",$O$2,"Project Name","Tener Articulso","Name","rOrganizdor","Type","Instantaneous Utilization","Source","Resource")+GETPIVOTDATA("Half-Width",$O$2,"Project Name","Tener Articulso","Name","rOrganizdor","Type","Instantaneous Utilization","Source","Resource")</f>
        <v>0.95604635965630558</v>
      </c>
      <c r="I35" s="8" t="s">
        <v>138</v>
      </c>
      <c r="J35" s="8"/>
      <c r="K35" s="6">
        <f>GETPIVOTDATA("Average Of Replication Averages",$O$2,"Project Name","Tener Articulso","Name","TenerArticulos.Queue","Type","Number Waiting","Source","Queue")-GETPIVOTDATA("Half-Width",$O$2,"Project Name","Tener Articulso","Name","TenerArticulos.Queue","Type","Number Waiting","Source","Queue")</f>
        <v>0.53703588509688949</v>
      </c>
      <c r="L35" s="6">
        <f>GETPIVOTDATA("Average Of Replication Averages",$O$2,"Project Name","Tener Articulso","Name","TenerArticulos.Queue","Type","Number Waiting","Source","Queue")+GETPIVOTDATA("Half-Width",$O$2,"Project Name","Tener Articulso","Name","TenerArticulos.Queue","Type","Number Waiting","Source","Queue")</f>
        <v>0.56608150939943958</v>
      </c>
    </row>
    <row r="38" spans="3:12" x14ac:dyDescent="0.25">
      <c r="C38" s="8" t="s">
        <v>140</v>
      </c>
      <c r="D38" s="8"/>
      <c r="E38" s="8"/>
      <c r="F38" s="6">
        <f>GETPIVOTDATA("Average Of Replication Averages",$O$2,"Project Name","Tener Articulso","Name","Organizar.Queue","Type","Number Waiting","Source","Queue")-GETPIVOTDATA("Half-Width",$O$2,"Project Name","Tener Articulso","Name","Organizar.Queue","Type","Number Waiting","Source","Queue")</f>
        <v>6.0617544300040471</v>
      </c>
      <c r="G38" s="6">
        <f>GETPIVOTDATA("Average Of Replication Averages",$O$2,"Project Name","Tener Articulso","Name","Organizar.Queue","Type","Number Waiting","Source","Queue")+GETPIVOTDATA("Half-Width",$O$2,"Project Name","Tener Articulso","Name","Organizar.Queue","Type","Number Waiting","Source","Queue")</f>
        <v>7.8286758330319479</v>
      </c>
      <c r="I38" s="9" t="s">
        <v>139</v>
      </c>
      <c r="J38" s="9"/>
      <c r="K38" s="7">
        <f>GETPIVOTDATA("Average Of Replication Averages",$A$2,"Project Name","Tener Articulso","Name","Organizar","Type","Total Time Per Entity","Source","Process")-GETPIVOTDATA("Half-Width",$A$2,"Project Name","Tener Articulso","Name","Organizar","Type","Total Time Per Entity","Source","Process")</f>
        <v>17.866516668783376</v>
      </c>
      <c r="L38" s="7">
        <f>GETPIVOTDATA("Average Of Replication Averages",$A$2,"Project Name","Tener Articulso","Name","Organizar","Type","Total Time Per Entity","Source","Process")+GETPIVOTDATA("Half-Width",$A$2,"Project Name","Tener Articulso","Name","Organizar","Type","Total Time Per Entity","Source","Process")</f>
        <v>21.819635949844375</v>
      </c>
    </row>
    <row r="41" spans="3:12" x14ac:dyDescent="0.25">
      <c r="C41" s="8" t="s">
        <v>141</v>
      </c>
      <c r="D41" s="8"/>
      <c r="E41" s="8"/>
      <c r="F41" s="7">
        <f>GETPIVOTDATA("Average Of Replication Averages",$A$2,"Project Name","Tener Articulso","Name","NoOrganizar.Queue","Type","Waiting Time","Source","Queue")-GETPIVOTDATA("Half-Width",$A$2,"Project Name","Tener Articulso","Name","NoOrganizar.Queue","Type","Waiting Time","Source","Queue")</f>
        <v>40.418957894482027</v>
      </c>
      <c r="G41" s="7">
        <f>GETPIVOTDATA("Average Of Replication Averages",$A$2,"Project Name","Tener Articulso","Name","NoOrganizar.Queue","Type","Waiting Time","Source","Queue")+GETPIVOTDATA("Half-Width",$A$2,"Project Name","Tener Articulso","Name","NoOrganizar.Queue","Type","Waiting Time","Source","Queue")</f>
        <v>71.560157076180445</v>
      </c>
    </row>
    <row r="44" spans="3:12" x14ac:dyDescent="0.25">
      <c r="C44" s="10" t="s">
        <v>142</v>
      </c>
      <c r="D44" s="10"/>
      <c r="E44" s="10"/>
      <c r="F44" s="7">
        <f>GETPIVOTDATA("Average Of Replication Averages",$O$2,"Project Name","Tener Articulso","Name","NoOrganizar.Queue","Type","Number Waiting","Source","Queue")-GETPIVOTDATA("Half-Width",$O$2,"Project Name","Tener Articulso","Name","NoOrganizar.Queue","Type","Number Waiting","Source","Queue")</f>
        <v>1.2722698806474571</v>
      </c>
      <c r="G44" s="7">
        <f>GETPIVOTDATA("Average Of Replication Averages",$O$2,"Project Name","Tener Articulso","Name","NoOrganizar.Queue","Type","Number Waiting","Source","Queue")+GETPIVOTDATA("Half-Width",$O$2,"Project Name","Tener Articulso","Name","NoOrganizar.Queue","Type","Number Waiting","Source","Queue")</f>
        <v>2.40131183739663</v>
      </c>
    </row>
  </sheetData>
  <dataConsolidate/>
  <mergeCells count="7">
    <mergeCell ref="C41:E41"/>
    <mergeCell ref="C44:E44"/>
    <mergeCell ref="E32:G32"/>
    <mergeCell ref="I32:J32"/>
    <mergeCell ref="I35:J35"/>
    <mergeCell ref="I38:J38"/>
    <mergeCell ref="C38:E38"/>
  </mergeCells>
  <conditionalFormatting pivot="1" sqref="G3:G29">
    <cfRule type="expression" dxfId="31" priority="14">
      <formula>G3=200000000000000000000</formula>
    </cfRule>
  </conditionalFormatting>
  <conditionalFormatting pivot="1" sqref="T3:T16">
    <cfRule type="expression" dxfId="30" priority="13">
      <formula>T3=200000000000000000000</formula>
    </cfRule>
  </conditionalFormatting>
  <conditionalFormatting pivot="1" sqref="T3:T16">
    <cfRule type="expression" dxfId="29" priority="12">
      <formula>T3=300000000000000000000</formula>
    </cfRule>
  </conditionalFormatting>
  <conditionalFormatting pivot="1" sqref="G3:G29">
    <cfRule type="expression" dxfId="28" priority="11">
      <formula>G3=300000000000000000000</formula>
    </cfRule>
  </conditionalFormatting>
  <conditionalFormatting pivot="1" sqref="F3:F29">
    <cfRule type="expression" dxfId="27" priority="10">
      <formula>F3=0</formula>
    </cfRule>
  </conditionalFormatting>
  <conditionalFormatting pivot="1" sqref="F3:F29">
    <cfRule type="expression" dxfId="26" priority="9">
      <formula>F3=1</formula>
    </cfRule>
  </conditionalFormatting>
  <conditionalFormatting pivot="1" sqref="T3:T16">
    <cfRule type="expression" dxfId="25" priority="8">
      <formula>T3=400000000000000000000</formula>
    </cfRule>
  </conditionalFormatting>
  <conditionalFormatting pivot="1" sqref="AP3:AP2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2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25"/>
  <sheetViews>
    <sheetView workbookViewId="0">
      <selection activeCell="A2" sqref="A2:K61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21.140625" bestFit="1" customWidth="1"/>
    <col min="5" max="5" width="19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2.5703125" bestFit="1" customWidth="1"/>
    <col min="12" max="12" width="53.7109375" bestFit="1" customWidth="1"/>
    <col min="13" max="13" width="17.28515625" bestFit="1" customWidth="1"/>
    <col min="14" max="14" width="20.28515625" bestFit="1" customWidth="1"/>
    <col min="15" max="15" width="18" bestFit="1" customWidth="1"/>
    <col min="16" max="16" width="20.5703125" bestFit="1" customWidth="1"/>
    <col min="17" max="17" width="12.42578125" bestFit="1" customWidth="1"/>
    <col min="18" max="18" width="19.5703125" bestFit="1" customWidth="1"/>
    <col min="19" max="19" width="19.85546875" bestFit="1" customWidth="1"/>
    <col min="20" max="20" width="18.5703125" bestFit="1" customWidth="1"/>
    <col min="21" max="21" width="18.85546875" bestFit="1" customWidth="1"/>
    <col min="22" max="22" width="30.140625" bestFit="1" customWidth="1"/>
    <col min="23" max="23" width="21" bestFit="1" customWidth="1"/>
    <col min="24" max="24" width="24.42578125" bestFit="1" customWidth="1"/>
    <col min="25" max="25" width="22.7109375" bestFit="1" customWidth="1"/>
  </cols>
  <sheetData>
    <row r="1" spans="1:2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5">
      <c r="A2" t="s">
        <v>68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</v>
      </c>
      <c r="H2">
        <v>0</v>
      </c>
      <c r="I2">
        <v>0</v>
      </c>
      <c r="J2">
        <v>0</v>
      </c>
      <c r="K2">
        <v>792</v>
      </c>
      <c r="L2" t="str">
        <f>DiscreteStatsTable[[#This Row],[ProjectName]]&amp;DiscreteStatsTable[[#This Row],[Name]]&amp;DiscreteStatsTable[[#This Row],[Type]]&amp;DiscreteStatsTable[[#This Row],[Source]]</f>
        <v>Tener ArticulsoArticulosNVA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12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12</v>
      </c>
      <c r="Y2">
        <f>IF(DiscreteStatsTable[[#This Row],[RepsRequested]]=DiscreteStatsTable[[#This Row],[RepsWithStatObserved]],1,0)</f>
        <v>1</v>
      </c>
    </row>
    <row r="3" spans="1:25" x14ac:dyDescent="0.25">
      <c r="A3" t="s">
        <v>68</v>
      </c>
      <c r="B3" t="s">
        <v>70</v>
      </c>
      <c r="C3">
        <v>1</v>
      </c>
      <c r="D3" t="s">
        <v>71</v>
      </c>
      <c r="E3" t="s">
        <v>74</v>
      </c>
      <c r="F3" t="s">
        <v>73</v>
      </c>
      <c r="G3">
        <v>0</v>
      </c>
      <c r="H3">
        <v>0</v>
      </c>
      <c r="I3">
        <v>0</v>
      </c>
      <c r="J3">
        <v>0</v>
      </c>
      <c r="K3">
        <v>792</v>
      </c>
      <c r="L3" t="str">
        <f>DiscreteStatsTable[[#This Row],[ProjectName]]&amp;DiscreteStatsTable[[#This Row],[Name]]&amp;DiscreteStatsTable[[#This Row],[Type]]&amp;DiscreteStatsTable[[#This Row],[Source]]</f>
        <v>Tener ArticulsoArticulosOther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12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12</v>
      </c>
      <c r="Y3">
        <f>IF(DiscreteStatsTable[[#This Row],[RepsRequested]]=DiscreteStatsTable[[#This Row],[RepsWithStatObserved]],1,0)</f>
        <v>1</v>
      </c>
    </row>
    <row r="4" spans="1:25" x14ac:dyDescent="0.25">
      <c r="A4" t="s">
        <v>68</v>
      </c>
      <c r="B4" t="s">
        <v>70</v>
      </c>
      <c r="C4">
        <v>1</v>
      </c>
      <c r="D4" t="s">
        <v>71</v>
      </c>
      <c r="E4" t="s">
        <v>75</v>
      </c>
      <c r="F4" t="s">
        <v>73</v>
      </c>
      <c r="G4">
        <v>28.039297634545701</v>
      </c>
      <c r="H4">
        <v>3E+20</v>
      </c>
      <c r="I4">
        <v>4.2588660827511999</v>
      </c>
      <c r="J4">
        <v>230.83211146855101</v>
      </c>
      <c r="K4">
        <v>792</v>
      </c>
      <c r="L4" t="str">
        <f>DiscreteStatsTable[[#This Row],[ProjectName]]&amp;DiscreteStatsTable[[#This Row],[Name]]&amp;DiscreteStatsTable[[#This Row],[Type]]&amp;DiscreteStatsTable[[#This Row],[Source]]</f>
        <v>Tener ArticulsoArticulosTotal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12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31.443465566031005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4.7884013482899288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3.0424050674765848</v>
      </c>
      <c r="R4" cm="1">
        <f t="array" ref="R4">MIN(IF((DiscreteStatsTable[GroupByKey]=DiscreteStatsTable[[#This Row],[GroupByKey]]),(DiscreteStatsTable[GroupByKey]=DiscreteStatsTable[[#This Row],[GroupByKey]])*DiscreteStatsTable[Average]))</f>
        <v>21.869819245231099</v>
      </c>
      <c r="S4" cm="1">
        <f t="array" ref="S4">MAX(IF((DiscreteStatsTable[GroupByKey]=DiscreteStatsTable[[#This Row],[GroupByKey]]),(DiscreteStatsTable[GroupByKey]=DiscreteStatsTable[[#This Row],[GroupByKey]])*DiscreteStatsTable[Average]))</f>
        <v>39.749511711720999</v>
      </c>
      <c r="T4" cm="1">
        <f t="array" ref="T4">MIN(IF((DiscreteStatsTable[GroupByKey]=DiscreteStatsTable[[#This Row],[GroupByKey]]),(DiscreteStatsTable[GroupByKey]=DiscreteStatsTable[[#This Row],[GroupByKey]])*DiscreteStatsTable[Minimum]))</f>
        <v>1.3051780606112999</v>
      </c>
      <c r="U4" cm="1">
        <f t="array" ref="U4">MAX(IF((DiscreteStatsTable[GroupByKey]=DiscreteStatsTable[[#This Row],[GroupByKey]]),(DiscreteStatsTable[GroupByKey]=DiscreteStatsTable[[#This Row],[GroupByKey]])*DiscreteStatsTable[Maximum]))</f>
        <v>348.59837157348801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4">
        <f>IF((DiscreteStatsTable[[#This Row],[RepsRequested]]&gt;1),DiscreteStatsTable[[#This Row],[HalfWidth]],DiscreteStatsTable[[#This Row],[BatchMeansHalfWidth]])</f>
        <v>3.0424050674765848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12</v>
      </c>
      <c r="Y4">
        <f>IF(DiscreteStatsTable[[#This Row],[RepsRequested]]=DiscreteStatsTable[[#This Row],[RepsWithStatObserved]],1,0)</f>
        <v>1</v>
      </c>
    </row>
    <row r="5" spans="1:25" x14ac:dyDescent="0.25">
      <c r="A5" t="s">
        <v>68</v>
      </c>
      <c r="B5" t="s">
        <v>70</v>
      </c>
      <c r="C5">
        <v>1</v>
      </c>
      <c r="D5" t="s">
        <v>71</v>
      </c>
      <c r="E5" t="s">
        <v>76</v>
      </c>
      <c r="F5" t="s">
        <v>73</v>
      </c>
      <c r="G5">
        <v>0</v>
      </c>
      <c r="H5">
        <v>0</v>
      </c>
      <c r="I5">
        <v>0</v>
      </c>
      <c r="J5">
        <v>0</v>
      </c>
      <c r="K5">
        <v>792</v>
      </c>
      <c r="L5" t="str">
        <f>DiscreteStatsTable[[#This Row],[ProjectName]]&amp;DiscreteStatsTable[[#This Row],[Name]]&amp;DiscreteStatsTable[[#This Row],[Type]]&amp;DiscreteStatsTable[[#This Row],[Source]]</f>
        <v>Tener ArticulsoArticulosTransfer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12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12</v>
      </c>
      <c r="Y5">
        <f>IF(DiscreteStatsTable[[#This Row],[RepsRequested]]=DiscreteStatsTable[[#This Row],[RepsWithStatObserved]],1,0)</f>
        <v>1</v>
      </c>
    </row>
    <row r="6" spans="1:25" x14ac:dyDescent="0.25">
      <c r="A6" t="s">
        <v>68</v>
      </c>
      <c r="B6" t="s">
        <v>70</v>
      </c>
      <c r="C6">
        <v>1</v>
      </c>
      <c r="D6" t="s">
        <v>71</v>
      </c>
      <c r="E6" t="s">
        <v>77</v>
      </c>
      <c r="F6" t="s">
        <v>73</v>
      </c>
      <c r="G6">
        <v>4.4631144444376201</v>
      </c>
      <c r="H6">
        <v>3E+20</v>
      </c>
      <c r="I6">
        <v>1.0027701744294899</v>
      </c>
      <c r="J6">
        <v>20.274524040505899</v>
      </c>
      <c r="K6">
        <v>792</v>
      </c>
      <c r="L6" t="str">
        <f>DiscreteStatsTable[[#This Row],[ProjectName]]&amp;DiscreteStatsTable[[#This Row],[Name]]&amp;DiscreteStatsTable[[#This Row],[Type]]&amp;DiscreteStatsTable[[#This Row],[Source]]</f>
        <v>Tener ArticulsoArticulosVA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12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4.4972558269618901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9.4577990616504876E-2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6.0091988326368861E-2</v>
      </c>
      <c r="R6" cm="1">
        <f t="array" ref="R6">MIN(IF((DiscreteStatsTable[GroupByKey]=DiscreteStatsTable[[#This Row],[GroupByKey]]),(DiscreteStatsTable[GroupByKey]=DiscreteStatsTable[[#This Row],[GroupByKey]])*DiscreteStatsTable[Average]))</f>
        <v>4.3179545296811002</v>
      </c>
      <c r="S6" cm="1">
        <f t="array" ref="S6">MAX(IF((DiscreteStatsTable[GroupByKey]=DiscreteStatsTable[[#This Row],[GroupByKey]]),(DiscreteStatsTable[GroupByKey]=DiscreteStatsTable[[#This Row],[GroupByKey]])*DiscreteStatsTable[Average]))</f>
        <v>4.6805733214061496</v>
      </c>
      <c r="T6" cm="1">
        <f t="array" ref="T6">MIN(IF((DiscreteStatsTable[GroupByKey]=DiscreteStatsTable[[#This Row],[GroupByKey]]),(DiscreteStatsTable[GroupByKey]=DiscreteStatsTable[[#This Row],[GroupByKey]])*DiscreteStatsTable[Minimum]))</f>
        <v>1.00010180636809</v>
      </c>
      <c r="U6" cm="1">
        <f t="array" ref="U6">MAX(IF((DiscreteStatsTable[GroupByKey]=DiscreteStatsTable[[#This Row],[GroupByKey]]),(DiscreteStatsTable[GroupByKey]=DiscreteStatsTable[[#This Row],[GroupByKey]])*DiscreteStatsTable[Maximum]))</f>
        <v>21.211822368947701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6">
        <f>IF((DiscreteStatsTable[[#This Row],[RepsRequested]]&gt;1),DiscreteStatsTable[[#This Row],[HalfWidth]],DiscreteStatsTable[[#This Row],[BatchMeansHalfWidth]])</f>
        <v>6.0091988326368861E-2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12</v>
      </c>
      <c r="Y6">
        <f>IF(DiscreteStatsTable[[#This Row],[RepsRequested]]=DiscreteStatsTable[[#This Row],[RepsWithStatObserved]],1,0)</f>
        <v>1</v>
      </c>
    </row>
    <row r="7" spans="1:25" x14ac:dyDescent="0.25">
      <c r="A7" t="s">
        <v>68</v>
      </c>
      <c r="B7" t="s">
        <v>70</v>
      </c>
      <c r="C7">
        <v>1</v>
      </c>
      <c r="D7" t="s">
        <v>71</v>
      </c>
      <c r="E7" t="s">
        <v>78</v>
      </c>
      <c r="F7" t="s">
        <v>73</v>
      </c>
      <c r="G7">
        <v>23.5761831901081</v>
      </c>
      <c r="H7">
        <v>3E+20</v>
      </c>
      <c r="I7">
        <v>0</v>
      </c>
      <c r="J7">
        <v>216.22640179016099</v>
      </c>
      <c r="K7">
        <v>792</v>
      </c>
      <c r="L7" t="str">
        <f>DiscreteStatsTable[[#This Row],[ProjectName]]&amp;DiscreteStatsTable[[#This Row],[Name]]&amp;DiscreteStatsTable[[#This Row],[Type]]&amp;DiscreteStatsTable[[#This Row],[Source]]</f>
        <v>Tener ArticulsoArticulosWait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12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26.946209739069115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4.7837077207549079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3.039422878817212</v>
      </c>
      <c r="R7" cm="1">
        <f t="array" ref="R7">MIN(IF((DiscreteStatsTable[GroupByKey]=DiscreteStatsTable[[#This Row],[GroupByKey]]),(DiscreteStatsTable[GroupByKey]=DiscreteStatsTable[[#This Row],[GroupByKey]])*DiscreteStatsTable[Average]))</f>
        <v>17.449877569488098</v>
      </c>
      <c r="S7" cm="1">
        <f t="array" ref="S7">MAX(IF((DiscreteStatsTable[GroupByKey]=DiscreteStatsTable[[#This Row],[GroupByKey]]),(DiscreteStatsTable[GroupByKey]=DiscreteStatsTable[[#This Row],[GroupByKey]])*DiscreteStatsTable[Average]))</f>
        <v>35.256685333982702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334.16964925652798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7">
        <f>IF((DiscreteStatsTable[[#This Row],[RepsRequested]]&gt;1),DiscreteStatsTable[[#This Row],[HalfWidth]],DiscreteStatsTable[[#This Row],[BatchMeansHalfWidth]])</f>
        <v>3.039422878817212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12</v>
      </c>
      <c r="Y7">
        <f>IF(DiscreteStatsTable[[#This Row],[RepsRequested]]=DiscreteStatsTable[[#This Row],[RepsWithStatObserved]],1,0)</f>
        <v>1</v>
      </c>
    </row>
    <row r="8" spans="1:25" x14ac:dyDescent="0.25">
      <c r="A8" t="s">
        <v>68</v>
      </c>
      <c r="B8" t="s">
        <v>70</v>
      </c>
      <c r="C8">
        <v>2</v>
      </c>
      <c r="D8" t="s">
        <v>71</v>
      </c>
      <c r="E8" t="s">
        <v>72</v>
      </c>
      <c r="F8" t="s">
        <v>73</v>
      </c>
      <c r="G8">
        <v>0</v>
      </c>
      <c r="H8">
        <v>0</v>
      </c>
      <c r="I8">
        <v>0</v>
      </c>
      <c r="J8">
        <v>0</v>
      </c>
      <c r="K8">
        <v>826</v>
      </c>
      <c r="L8" t="str">
        <f>DiscreteStatsTable[[#This Row],[ProjectName]]&amp;DiscreteStatsTable[[#This Row],[Name]]&amp;DiscreteStatsTable[[#This Row],[Type]]&amp;DiscreteStatsTable[[#This Row],[Source]]</f>
        <v>Tener ArticulsoArticulosNVA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12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12</v>
      </c>
      <c r="Y8">
        <f>IF(DiscreteStatsTable[[#This Row],[RepsRequested]]=DiscreteStatsTable[[#This Row],[RepsWithStatObserved]],1,0)</f>
        <v>1</v>
      </c>
    </row>
    <row r="9" spans="1:25" x14ac:dyDescent="0.25">
      <c r="A9" t="s">
        <v>68</v>
      </c>
      <c r="B9" t="s">
        <v>70</v>
      </c>
      <c r="C9">
        <v>2</v>
      </c>
      <c r="D9" t="s">
        <v>71</v>
      </c>
      <c r="E9" t="s">
        <v>74</v>
      </c>
      <c r="F9" t="s">
        <v>73</v>
      </c>
      <c r="G9">
        <v>0</v>
      </c>
      <c r="H9">
        <v>0</v>
      </c>
      <c r="I9">
        <v>0</v>
      </c>
      <c r="J9">
        <v>0</v>
      </c>
      <c r="K9">
        <v>826</v>
      </c>
      <c r="L9" t="str">
        <f>DiscreteStatsTable[[#This Row],[ProjectName]]&amp;DiscreteStatsTable[[#This Row],[Name]]&amp;DiscreteStatsTable[[#This Row],[Type]]&amp;DiscreteStatsTable[[#This Row],[Source]]</f>
        <v>Tener ArticulsoArticulosOther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12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12</v>
      </c>
      <c r="Y9">
        <f>IF(DiscreteStatsTable[[#This Row],[RepsRequested]]=DiscreteStatsTable[[#This Row],[RepsWithStatObserved]],1,0)</f>
        <v>1</v>
      </c>
    </row>
    <row r="10" spans="1:25" x14ac:dyDescent="0.25">
      <c r="A10" t="s">
        <v>68</v>
      </c>
      <c r="B10" t="s">
        <v>70</v>
      </c>
      <c r="C10">
        <v>2</v>
      </c>
      <c r="D10" t="s">
        <v>71</v>
      </c>
      <c r="E10" t="s">
        <v>75</v>
      </c>
      <c r="F10" t="s">
        <v>73</v>
      </c>
      <c r="G10">
        <v>30.0905004393578</v>
      </c>
      <c r="H10">
        <v>3E+20</v>
      </c>
      <c r="I10">
        <v>3.3941082072393001</v>
      </c>
      <c r="J10">
        <v>204.44700139002401</v>
      </c>
      <c r="K10">
        <v>826</v>
      </c>
      <c r="L10" t="str">
        <f>DiscreteStatsTable[[#This Row],[ProjectName]]&amp;DiscreteStatsTable[[#This Row],[Name]]&amp;DiscreteStatsTable[[#This Row],[Type]]&amp;DiscreteStatsTable[[#This Row],[Source]]</f>
        <v>Tener ArticulsoArticulosTotal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12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31.443465566031005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4.7884013482899288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3.0424050674765848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21.869819245231099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39.749511711720999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1.3051780606112999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348.59837157348801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10">
        <f>IF((DiscreteStatsTable[[#This Row],[RepsRequested]]&gt;1),DiscreteStatsTable[[#This Row],[HalfWidth]],DiscreteStatsTable[[#This Row],[BatchMeansHalfWidth]])</f>
        <v>3.0424050674765848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12</v>
      </c>
      <c r="Y10">
        <f>IF(DiscreteStatsTable[[#This Row],[RepsRequested]]=DiscreteStatsTable[[#This Row],[RepsWithStatObserved]],1,0)</f>
        <v>1</v>
      </c>
    </row>
    <row r="11" spans="1:25" x14ac:dyDescent="0.25">
      <c r="A11" t="s">
        <v>68</v>
      </c>
      <c r="B11" t="s">
        <v>70</v>
      </c>
      <c r="C11">
        <v>2</v>
      </c>
      <c r="D11" t="s">
        <v>71</v>
      </c>
      <c r="E11" t="s">
        <v>76</v>
      </c>
      <c r="F11" t="s">
        <v>73</v>
      </c>
      <c r="G11">
        <v>0</v>
      </c>
      <c r="H11">
        <v>0</v>
      </c>
      <c r="I11">
        <v>0</v>
      </c>
      <c r="J11">
        <v>0</v>
      </c>
      <c r="K11">
        <v>826</v>
      </c>
      <c r="L11" t="str">
        <f>DiscreteStatsTable[[#This Row],[ProjectName]]&amp;DiscreteStatsTable[[#This Row],[Name]]&amp;DiscreteStatsTable[[#This Row],[Type]]&amp;DiscreteStatsTable[[#This Row],[Source]]</f>
        <v>Tener ArticulsoArticulosTransfer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12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12</v>
      </c>
      <c r="Y11">
        <f>IF(DiscreteStatsTable[[#This Row],[RepsRequested]]=DiscreteStatsTable[[#This Row],[RepsWithStatObserved]],1,0)</f>
        <v>1</v>
      </c>
    </row>
    <row r="12" spans="1:25" x14ac:dyDescent="0.25">
      <c r="A12" t="s">
        <v>68</v>
      </c>
      <c r="B12" t="s">
        <v>70</v>
      </c>
      <c r="C12">
        <v>2</v>
      </c>
      <c r="D12" t="s">
        <v>71</v>
      </c>
      <c r="E12" t="s">
        <v>77</v>
      </c>
      <c r="F12" t="s">
        <v>73</v>
      </c>
      <c r="G12">
        <v>4.3179545296811002</v>
      </c>
      <c r="H12">
        <v>0.23139014315904899</v>
      </c>
      <c r="I12">
        <v>1.00325808177729</v>
      </c>
      <c r="J12">
        <v>19.726816514879602</v>
      </c>
      <c r="K12">
        <v>826</v>
      </c>
      <c r="L12" t="str">
        <f>DiscreteStatsTable[[#This Row],[ProjectName]]&amp;DiscreteStatsTable[[#This Row],[Name]]&amp;DiscreteStatsTable[[#This Row],[Type]]&amp;DiscreteStatsTable[[#This Row],[Source]]</f>
        <v>Tener ArticulsoArticulosVA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12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4.4972558269618901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9.4577990616504876E-2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6.0091988326368861E-2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4.3179545296811002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4.6805733214061496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1.00010180636809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21.211822368947701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12">
        <f>IF((DiscreteStatsTable[[#This Row],[RepsRequested]]&gt;1),DiscreteStatsTable[[#This Row],[HalfWidth]],DiscreteStatsTable[[#This Row],[BatchMeansHalfWidth]])</f>
        <v>6.0091988326368861E-2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12</v>
      </c>
      <c r="Y12">
        <f>IF(DiscreteStatsTable[[#This Row],[RepsRequested]]=DiscreteStatsTable[[#This Row],[RepsWithStatObserved]],1,0)</f>
        <v>1</v>
      </c>
    </row>
    <row r="13" spans="1:25" x14ac:dyDescent="0.25">
      <c r="A13" t="s">
        <v>68</v>
      </c>
      <c r="B13" t="s">
        <v>70</v>
      </c>
      <c r="C13">
        <v>2</v>
      </c>
      <c r="D13" t="s">
        <v>71</v>
      </c>
      <c r="E13" t="s">
        <v>78</v>
      </c>
      <c r="F13" t="s">
        <v>73</v>
      </c>
      <c r="G13">
        <v>25.772545909676701</v>
      </c>
      <c r="H13">
        <v>3E+20</v>
      </c>
      <c r="I13">
        <v>0</v>
      </c>
      <c r="J13">
        <v>190.32862822726699</v>
      </c>
      <c r="K13">
        <v>826</v>
      </c>
      <c r="L13" t="str">
        <f>DiscreteStatsTable[[#This Row],[ProjectName]]&amp;DiscreteStatsTable[[#This Row],[Name]]&amp;DiscreteStatsTable[[#This Row],[Type]]&amp;DiscreteStatsTable[[#This Row],[Source]]</f>
        <v>Tener ArticulsoArticulosWait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12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26.946209739069115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4.7837077207549079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3.039422878817212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17.449877569488098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35.256685333982702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334.16964925652798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13">
        <f>IF((DiscreteStatsTable[[#This Row],[RepsRequested]]&gt;1),DiscreteStatsTable[[#This Row],[HalfWidth]],DiscreteStatsTable[[#This Row],[BatchMeansHalfWidth]])</f>
        <v>3.039422878817212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12</v>
      </c>
      <c r="Y13">
        <f>IF(DiscreteStatsTable[[#This Row],[RepsRequested]]=DiscreteStatsTable[[#This Row],[RepsWithStatObserved]],1,0)</f>
        <v>1</v>
      </c>
    </row>
    <row r="14" spans="1:25" x14ac:dyDescent="0.25">
      <c r="A14" t="s">
        <v>68</v>
      </c>
      <c r="B14" t="s">
        <v>70</v>
      </c>
      <c r="C14">
        <v>3</v>
      </c>
      <c r="D14" t="s">
        <v>71</v>
      </c>
      <c r="E14" t="s">
        <v>72</v>
      </c>
      <c r="F14" t="s">
        <v>73</v>
      </c>
      <c r="G14">
        <v>0</v>
      </c>
      <c r="H14">
        <v>0</v>
      </c>
      <c r="I14">
        <v>0</v>
      </c>
      <c r="J14">
        <v>0</v>
      </c>
      <c r="K14">
        <v>813</v>
      </c>
      <c r="L14" t="str">
        <f>DiscreteStatsTable[[#This Row],[ProjectName]]&amp;DiscreteStatsTable[[#This Row],[Name]]&amp;DiscreteStatsTable[[#This Row],[Type]]&amp;DiscreteStatsTable[[#This Row],[Source]]</f>
        <v>Tener ArticulsoArticulosNVA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12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12</v>
      </c>
      <c r="Y14">
        <f>IF(DiscreteStatsTable[[#This Row],[RepsRequested]]=DiscreteStatsTable[[#This Row],[RepsWithStatObserved]],1,0)</f>
        <v>1</v>
      </c>
    </row>
    <row r="15" spans="1:25" x14ac:dyDescent="0.25">
      <c r="A15" t="s">
        <v>68</v>
      </c>
      <c r="B15" t="s">
        <v>70</v>
      </c>
      <c r="C15">
        <v>3</v>
      </c>
      <c r="D15" t="s">
        <v>71</v>
      </c>
      <c r="E15" t="s">
        <v>74</v>
      </c>
      <c r="F15" t="s">
        <v>73</v>
      </c>
      <c r="G15">
        <v>0</v>
      </c>
      <c r="H15">
        <v>0</v>
      </c>
      <c r="I15">
        <v>0</v>
      </c>
      <c r="J15">
        <v>0</v>
      </c>
      <c r="K15">
        <v>813</v>
      </c>
      <c r="L15" t="str">
        <f>DiscreteStatsTable[[#This Row],[ProjectName]]&amp;DiscreteStatsTable[[#This Row],[Name]]&amp;DiscreteStatsTable[[#This Row],[Type]]&amp;DiscreteStatsTable[[#This Row],[Source]]</f>
        <v>Tener ArticulsoArticulosOther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12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12</v>
      </c>
      <c r="Y15">
        <f>IF(DiscreteStatsTable[[#This Row],[RepsRequested]]=DiscreteStatsTable[[#This Row],[RepsWithStatObserved]],1,0)</f>
        <v>1</v>
      </c>
    </row>
    <row r="16" spans="1:25" x14ac:dyDescent="0.25">
      <c r="A16" t="s">
        <v>68</v>
      </c>
      <c r="B16" t="s">
        <v>70</v>
      </c>
      <c r="C16">
        <v>3</v>
      </c>
      <c r="D16" t="s">
        <v>71</v>
      </c>
      <c r="E16" t="s">
        <v>75</v>
      </c>
      <c r="F16" t="s">
        <v>73</v>
      </c>
      <c r="G16">
        <v>39.749511711720999</v>
      </c>
      <c r="H16">
        <v>3E+20</v>
      </c>
      <c r="I16">
        <v>4.5673943700439796</v>
      </c>
      <c r="J16">
        <v>348.59837157348801</v>
      </c>
      <c r="K16">
        <v>813</v>
      </c>
      <c r="L16" t="str">
        <f>DiscreteStatsTable[[#This Row],[ProjectName]]&amp;DiscreteStatsTable[[#This Row],[Name]]&amp;DiscreteStatsTable[[#This Row],[Type]]&amp;DiscreteStatsTable[[#This Row],[Source]]</f>
        <v>Tener ArticulsoArticulosTotal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12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31.443465566031005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4.7884013482899288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3.0424050674765848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21.869819245231099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39.749511711720999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1.3051780606112999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348.59837157348801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16">
        <f>IF((DiscreteStatsTable[[#This Row],[RepsRequested]]&gt;1),DiscreteStatsTable[[#This Row],[HalfWidth]],DiscreteStatsTable[[#This Row],[BatchMeansHalfWidth]])</f>
        <v>3.0424050674765848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12</v>
      </c>
      <c r="Y16">
        <f>IF(DiscreteStatsTable[[#This Row],[RepsRequested]]=DiscreteStatsTable[[#This Row],[RepsWithStatObserved]],1,0)</f>
        <v>1</v>
      </c>
    </row>
    <row r="17" spans="1:25" x14ac:dyDescent="0.25">
      <c r="A17" t="s">
        <v>68</v>
      </c>
      <c r="B17" t="s">
        <v>70</v>
      </c>
      <c r="C17">
        <v>3</v>
      </c>
      <c r="D17" t="s">
        <v>71</v>
      </c>
      <c r="E17" t="s">
        <v>76</v>
      </c>
      <c r="F17" t="s">
        <v>73</v>
      </c>
      <c r="G17">
        <v>0</v>
      </c>
      <c r="H17">
        <v>0</v>
      </c>
      <c r="I17">
        <v>0</v>
      </c>
      <c r="J17">
        <v>0</v>
      </c>
      <c r="K17">
        <v>813</v>
      </c>
      <c r="L17" t="str">
        <f>DiscreteStatsTable[[#This Row],[ProjectName]]&amp;DiscreteStatsTable[[#This Row],[Name]]&amp;DiscreteStatsTable[[#This Row],[Type]]&amp;DiscreteStatsTable[[#This Row],[Source]]</f>
        <v>Tener ArticulsoArticulosTransfer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12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12</v>
      </c>
      <c r="Y17">
        <f>IF(DiscreteStatsTable[[#This Row],[RepsRequested]]=DiscreteStatsTable[[#This Row],[RepsWithStatObserved]],1,0)</f>
        <v>1</v>
      </c>
    </row>
    <row r="18" spans="1:25" x14ac:dyDescent="0.25">
      <c r="A18" t="s">
        <v>68</v>
      </c>
      <c r="B18" t="s">
        <v>70</v>
      </c>
      <c r="C18">
        <v>3</v>
      </c>
      <c r="D18" t="s">
        <v>71</v>
      </c>
      <c r="E18" t="s">
        <v>77</v>
      </c>
      <c r="F18" t="s">
        <v>73</v>
      </c>
      <c r="G18">
        <v>4.4928263777383401</v>
      </c>
      <c r="H18">
        <v>0.26159023952908</v>
      </c>
      <c r="I18">
        <v>1.0094591001925399</v>
      </c>
      <c r="J18">
        <v>20.8586124184732</v>
      </c>
      <c r="K18">
        <v>813</v>
      </c>
      <c r="L18" t="str">
        <f>DiscreteStatsTable[[#This Row],[ProjectName]]&amp;DiscreteStatsTable[[#This Row],[Name]]&amp;DiscreteStatsTable[[#This Row],[Type]]&amp;DiscreteStatsTable[[#This Row],[Source]]</f>
        <v>Tener ArticulsoArticulosVA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12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4.4972558269618901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9.4577990616504876E-2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6.0091988326368861E-2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4.3179545296811002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4.6805733214061496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1.00010180636809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21.211822368947701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18">
        <f>IF((DiscreteStatsTable[[#This Row],[RepsRequested]]&gt;1),DiscreteStatsTable[[#This Row],[HalfWidth]],DiscreteStatsTable[[#This Row],[BatchMeansHalfWidth]])</f>
        <v>6.0091988326368861E-2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12</v>
      </c>
      <c r="Y18">
        <f>IF(DiscreteStatsTable[[#This Row],[RepsRequested]]=DiscreteStatsTable[[#This Row],[RepsWithStatObserved]],1,0)</f>
        <v>1</v>
      </c>
    </row>
    <row r="19" spans="1:25" x14ac:dyDescent="0.25">
      <c r="A19" t="s">
        <v>68</v>
      </c>
      <c r="B19" t="s">
        <v>70</v>
      </c>
      <c r="C19">
        <v>3</v>
      </c>
      <c r="D19" t="s">
        <v>71</v>
      </c>
      <c r="E19" t="s">
        <v>78</v>
      </c>
      <c r="F19" t="s">
        <v>73</v>
      </c>
      <c r="G19">
        <v>35.256685333982702</v>
      </c>
      <c r="H19">
        <v>3E+20</v>
      </c>
      <c r="I19">
        <v>0</v>
      </c>
      <c r="J19">
        <v>334.16964925652798</v>
      </c>
      <c r="K19">
        <v>813</v>
      </c>
      <c r="L19" t="str">
        <f>DiscreteStatsTable[[#This Row],[ProjectName]]&amp;DiscreteStatsTable[[#This Row],[Name]]&amp;DiscreteStatsTable[[#This Row],[Type]]&amp;DiscreteStatsTable[[#This Row],[Source]]</f>
        <v>Tener ArticulsoArticulosWait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12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26.946209739069115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4.7837077207549079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3.039422878817212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17.449877569488098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35.256685333982702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334.16964925652798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19">
        <f>IF((DiscreteStatsTable[[#This Row],[RepsRequested]]&gt;1),DiscreteStatsTable[[#This Row],[HalfWidth]],DiscreteStatsTable[[#This Row],[BatchMeansHalfWidth]])</f>
        <v>3.039422878817212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12</v>
      </c>
      <c r="Y19">
        <f>IF(DiscreteStatsTable[[#This Row],[RepsRequested]]=DiscreteStatsTable[[#This Row],[RepsWithStatObserved]],1,0)</f>
        <v>1</v>
      </c>
    </row>
    <row r="20" spans="1:25" x14ac:dyDescent="0.25">
      <c r="A20" t="s">
        <v>68</v>
      </c>
      <c r="B20" t="s">
        <v>70</v>
      </c>
      <c r="C20">
        <v>4</v>
      </c>
      <c r="D20" t="s">
        <v>71</v>
      </c>
      <c r="E20" t="s">
        <v>72</v>
      </c>
      <c r="F20" t="s">
        <v>73</v>
      </c>
      <c r="G20">
        <v>0</v>
      </c>
      <c r="H20">
        <v>0</v>
      </c>
      <c r="I20">
        <v>0</v>
      </c>
      <c r="J20">
        <v>0</v>
      </c>
      <c r="K20">
        <v>823</v>
      </c>
      <c r="L20" t="str">
        <f>DiscreteStatsTable[[#This Row],[ProjectName]]&amp;DiscreteStatsTable[[#This Row],[Name]]&amp;DiscreteStatsTable[[#This Row],[Type]]&amp;DiscreteStatsTable[[#This Row],[Source]]</f>
        <v>Tener ArticulsoArticulosNVA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12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12</v>
      </c>
      <c r="Y20">
        <f>IF(DiscreteStatsTable[[#This Row],[RepsRequested]]=DiscreteStatsTable[[#This Row],[RepsWithStatObserved]],1,0)</f>
        <v>1</v>
      </c>
    </row>
    <row r="21" spans="1:25" x14ac:dyDescent="0.25">
      <c r="A21" t="s">
        <v>68</v>
      </c>
      <c r="B21" t="s">
        <v>70</v>
      </c>
      <c r="C21">
        <v>4</v>
      </c>
      <c r="D21" t="s">
        <v>71</v>
      </c>
      <c r="E21" t="s">
        <v>74</v>
      </c>
      <c r="F21" t="s">
        <v>73</v>
      </c>
      <c r="G21">
        <v>0</v>
      </c>
      <c r="H21">
        <v>0</v>
      </c>
      <c r="I21">
        <v>0</v>
      </c>
      <c r="J21">
        <v>0</v>
      </c>
      <c r="K21">
        <v>823</v>
      </c>
      <c r="L21" t="str">
        <f>DiscreteStatsTable[[#This Row],[ProjectName]]&amp;DiscreteStatsTable[[#This Row],[Name]]&amp;DiscreteStatsTable[[#This Row],[Type]]&amp;DiscreteStatsTable[[#This Row],[Source]]</f>
        <v>Tener ArticulsoArticulosOther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12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12</v>
      </c>
      <c r="Y21">
        <f>IF(DiscreteStatsTable[[#This Row],[RepsRequested]]=DiscreteStatsTable[[#This Row],[RepsWithStatObserved]],1,0)</f>
        <v>1</v>
      </c>
    </row>
    <row r="22" spans="1:25" x14ac:dyDescent="0.25">
      <c r="A22" t="s">
        <v>68</v>
      </c>
      <c r="B22" t="s">
        <v>70</v>
      </c>
      <c r="C22">
        <v>4</v>
      </c>
      <c r="D22" t="s">
        <v>71</v>
      </c>
      <c r="E22" t="s">
        <v>75</v>
      </c>
      <c r="F22" t="s">
        <v>73</v>
      </c>
      <c r="G22">
        <v>37.151106267878099</v>
      </c>
      <c r="H22">
        <v>3E+20</v>
      </c>
      <c r="I22">
        <v>1.70363794431564</v>
      </c>
      <c r="J22">
        <v>253.330765291923</v>
      </c>
      <c r="K22">
        <v>823</v>
      </c>
      <c r="L22" t="str">
        <f>DiscreteStatsTable[[#This Row],[ProjectName]]&amp;DiscreteStatsTable[[#This Row],[Name]]&amp;DiscreteStatsTable[[#This Row],[Type]]&amp;DiscreteStatsTable[[#This Row],[Source]]</f>
        <v>Tener ArticulsoArticulosTotal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12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31.443465566031005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4.7884013482899288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3.0424050674765848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21.869819245231099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39.749511711720999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1.3051780606112999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348.59837157348801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22">
        <f>IF((DiscreteStatsTable[[#This Row],[RepsRequested]]&gt;1),DiscreteStatsTable[[#This Row],[HalfWidth]],DiscreteStatsTable[[#This Row],[BatchMeansHalfWidth]])</f>
        <v>3.0424050674765848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12</v>
      </c>
      <c r="Y22">
        <f>IF(DiscreteStatsTable[[#This Row],[RepsRequested]]=DiscreteStatsTable[[#This Row],[RepsWithStatObserved]],1,0)</f>
        <v>1</v>
      </c>
    </row>
    <row r="23" spans="1:25" x14ac:dyDescent="0.25">
      <c r="A23" t="s">
        <v>68</v>
      </c>
      <c r="B23" t="s">
        <v>70</v>
      </c>
      <c r="C23">
        <v>4</v>
      </c>
      <c r="D23" t="s">
        <v>71</v>
      </c>
      <c r="E23" t="s">
        <v>76</v>
      </c>
      <c r="F23" t="s">
        <v>73</v>
      </c>
      <c r="G23">
        <v>0</v>
      </c>
      <c r="H23">
        <v>0</v>
      </c>
      <c r="I23">
        <v>0</v>
      </c>
      <c r="J23">
        <v>0</v>
      </c>
      <c r="K23">
        <v>823</v>
      </c>
      <c r="L23" t="str">
        <f>DiscreteStatsTable[[#This Row],[ProjectName]]&amp;DiscreteStatsTable[[#This Row],[Name]]&amp;DiscreteStatsTable[[#This Row],[Type]]&amp;DiscreteStatsTable[[#This Row],[Source]]</f>
        <v>Tener ArticulsoArticulosTransfer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12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12</v>
      </c>
      <c r="Y23">
        <f>IF(DiscreteStatsTable[[#This Row],[RepsRequested]]=DiscreteStatsTable[[#This Row],[RepsWithStatObserved]],1,0)</f>
        <v>1</v>
      </c>
    </row>
    <row r="24" spans="1:25" x14ac:dyDescent="0.25">
      <c r="A24" t="s">
        <v>68</v>
      </c>
      <c r="B24" t="s">
        <v>70</v>
      </c>
      <c r="C24">
        <v>4</v>
      </c>
      <c r="D24" t="s">
        <v>71</v>
      </c>
      <c r="E24" t="s">
        <v>77</v>
      </c>
      <c r="F24" t="s">
        <v>73</v>
      </c>
      <c r="G24">
        <v>4.4507114836621797</v>
      </c>
      <c r="H24">
        <v>0.209628071743373</v>
      </c>
      <c r="I24">
        <v>1.00486892322488</v>
      </c>
      <c r="J24">
        <v>21.182520116348499</v>
      </c>
      <c r="K24">
        <v>823</v>
      </c>
      <c r="L24" t="str">
        <f>DiscreteStatsTable[[#This Row],[ProjectName]]&amp;DiscreteStatsTable[[#This Row],[Name]]&amp;DiscreteStatsTable[[#This Row],[Type]]&amp;DiscreteStatsTable[[#This Row],[Source]]</f>
        <v>Tener ArticulsoArticulosVA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12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4.4972558269618901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9.4577990616504876E-2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6.0091988326368861E-2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4.3179545296811002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4.6805733214061496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1.00010180636809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21.211822368947701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24">
        <f>IF((DiscreteStatsTable[[#This Row],[RepsRequested]]&gt;1),DiscreteStatsTable[[#This Row],[HalfWidth]],DiscreteStatsTable[[#This Row],[BatchMeansHalfWidth]])</f>
        <v>6.0091988326368861E-2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12</v>
      </c>
      <c r="Y24">
        <f>IF(DiscreteStatsTable[[#This Row],[RepsRequested]]=DiscreteStatsTable[[#This Row],[RepsWithStatObserved]],1,0)</f>
        <v>1</v>
      </c>
    </row>
    <row r="25" spans="1:25" x14ac:dyDescent="0.25">
      <c r="A25" t="s">
        <v>68</v>
      </c>
      <c r="B25" t="s">
        <v>70</v>
      </c>
      <c r="C25">
        <v>4</v>
      </c>
      <c r="D25" t="s">
        <v>71</v>
      </c>
      <c r="E25" t="s">
        <v>78</v>
      </c>
      <c r="F25" t="s">
        <v>73</v>
      </c>
      <c r="G25">
        <v>32.700394784215902</v>
      </c>
      <c r="H25">
        <v>3E+20</v>
      </c>
      <c r="I25">
        <v>0</v>
      </c>
      <c r="J25">
        <v>233.09706279895201</v>
      </c>
      <c r="K25">
        <v>823</v>
      </c>
      <c r="L25" t="str">
        <f>DiscreteStatsTable[[#This Row],[ProjectName]]&amp;DiscreteStatsTable[[#This Row],[Name]]&amp;DiscreteStatsTable[[#This Row],[Type]]&amp;DiscreteStatsTable[[#This Row],[Source]]</f>
        <v>Tener ArticulsoArticulosWait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12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26.946209739069115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4.7837077207549079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3.039422878817212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17.449877569488098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35.256685333982702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334.16964925652798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25">
        <f>IF((DiscreteStatsTable[[#This Row],[RepsRequested]]&gt;1),DiscreteStatsTable[[#This Row],[HalfWidth]],DiscreteStatsTable[[#This Row],[BatchMeansHalfWidth]])</f>
        <v>3.039422878817212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12</v>
      </c>
      <c r="Y25">
        <f>IF(DiscreteStatsTable[[#This Row],[RepsRequested]]=DiscreteStatsTable[[#This Row],[RepsWithStatObserved]],1,0)</f>
        <v>1</v>
      </c>
    </row>
    <row r="26" spans="1:25" x14ac:dyDescent="0.25">
      <c r="A26" t="s">
        <v>68</v>
      </c>
      <c r="B26" t="s">
        <v>70</v>
      </c>
      <c r="C26">
        <v>5</v>
      </c>
      <c r="D26" t="s">
        <v>71</v>
      </c>
      <c r="E26" t="s">
        <v>72</v>
      </c>
      <c r="F26" t="s">
        <v>73</v>
      </c>
      <c r="G26">
        <v>0</v>
      </c>
      <c r="H26">
        <v>0</v>
      </c>
      <c r="I26">
        <v>0</v>
      </c>
      <c r="J26">
        <v>0</v>
      </c>
      <c r="K26">
        <v>749</v>
      </c>
      <c r="L26" t="str">
        <f>DiscreteStatsTable[[#This Row],[ProjectName]]&amp;DiscreteStatsTable[[#This Row],[Name]]&amp;DiscreteStatsTable[[#This Row],[Type]]&amp;DiscreteStatsTable[[#This Row],[Source]]</f>
        <v>Tener ArticulsoArticulosNVA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12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12</v>
      </c>
      <c r="Y26">
        <f>IF(DiscreteStatsTable[[#This Row],[RepsRequested]]=DiscreteStatsTable[[#This Row],[RepsWithStatObserved]],1,0)</f>
        <v>1</v>
      </c>
    </row>
    <row r="27" spans="1:25" x14ac:dyDescent="0.25">
      <c r="A27" t="s">
        <v>68</v>
      </c>
      <c r="B27" t="s">
        <v>70</v>
      </c>
      <c r="C27">
        <v>5</v>
      </c>
      <c r="D27" t="s">
        <v>71</v>
      </c>
      <c r="E27" t="s">
        <v>74</v>
      </c>
      <c r="F27" t="s">
        <v>73</v>
      </c>
      <c r="G27">
        <v>0</v>
      </c>
      <c r="H27">
        <v>0</v>
      </c>
      <c r="I27">
        <v>0</v>
      </c>
      <c r="J27">
        <v>0</v>
      </c>
      <c r="K27">
        <v>749</v>
      </c>
      <c r="L27" t="str">
        <f>DiscreteStatsTable[[#This Row],[ProjectName]]&amp;DiscreteStatsTable[[#This Row],[Name]]&amp;DiscreteStatsTable[[#This Row],[Type]]&amp;DiscreteStatsTable[[#This Row],[Source]]</f>
        <v>Tener ArticulsoArticulosOther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12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12</v>
      </c>
      <c r="Y27">
        <f>IF(DiscreteStatsTable[[#This Row],[RepsRequested]]=DiscreteStatsTable[[#This Row],[RepsWithStatObserved]],1,0)</f>
        <v>1</v>
      </c>
    </row>
    <row r="28" spans="1:25" x14ac:dyDescent="0.25">
      <c r="A28" t="s">
        <v>68</v>
      </c>
      <c r="B28" t="s">
        <v>70</v>
      </c>
      <c r="C28">
        <v>5</v>
      </c>
      <c r="D28" t="s">
        <v>71</v>
      </c>
      <c r="E28" t="s">
        <v>75</v>
      </c>
      <c r="F28" t="s">
        <v>73</v>
      </c>
      <c r="G28">
        <v>21.869819245231099</v>
      </c>
      <c r="H28">
        <v>3E+20</v>
      </c>
      <c r="I28">
        <v>4.0134681800502703</v>
      </c>
      <c r="J28">
        <v>123.898322028409</v>
      </c>
      <c r="K28">
        <v>749</v>
      </c>
      <c r="L28" t="str">
        <f>DiscreteStatsTable[[#This Row],[ProjectName]]&amp;DiscreteStatsTable[[#This Row],[Name]]&amp;DiscreteStatsTable[[#This Row],[Type]]&amp;DiscreteStatsTable[[#This Row],[Source]]</f>
        <v>Tener ArticulsoArticulosTotal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12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31.443465566031005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4.7884013482899288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3.0424050674765848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21.869819245231099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39.749511711720999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1.3051780606112999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348.59837157348801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28">
        <f>IF((DiscreteStatsTable[[#This Row],[RepsRequested]]&gt;1),DiscreteStatsTable[[#This Row],[HalfWidth]],DiscreteStatsTable[[#This Row],[BatchMeansHalfWidth]])</f>
        <v>3.0424050674765848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12</v>
      </c>
      <c r="Y28">
        <f>IF(DiscreteStatsTable[[#This Row],[RepsRequested]]=DiscreteStatsTable[[#This Row],[RepsWithStatObserved]],1,0)</f>
        <v>1</v>
      </c>
    </row>
    <row r="29" spans="1:25" x14ac:dyDescent="0.25">
      <c r="A29" t="s">
        <v>68</v>
      </c>
      <c r="B29" t="s">
        <v>70</v>
      </c>
      <c r="C29">
        <v>5</v>
      </c>
      <c r="D29" t="s">
        <v>71</v>
      </c>
      <c r="E29" t="s">
        <v>76</v>
      </c>
      <c r="F29" t="s">
        <v>73</v>
      </c>
      <c r="G29">
        <v>0</v>
      </c>
      <c r="H29">
        <v>0</v>
      </c>
      <c r="I29">
        <v>0</v>
      </c>
      <c r="J29">
        <v>0</v>
      </c>
      <c r="K29">
        <v>749</v>
      </c>
      <c r="L29" t="str">
        <f>DiscreteStatsTable[[#This Row],[ProjectName]]&amp;DiscreteStatsTable[[#This Row],[Name]]&amp;DiscreteStatsTable[[#This Row],[Type]]&amp;DiscreteStatsTable[[#This Row],[Source]]</f>
        <v>Tener ArticulsoArticulosTransfer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12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12</v>
      </c>
      <c r="Y29">
        <f>IF(DiscreteStatsTable[[#This Row],[RepsRequested]]=DiscreteStatsTable[[#This Row],[RepsWithStatObserved]],1,0)</f>
        <v>1</v>
      </c>
    </row>
    <row r="30" spans="1:25" x14ac:dyDescent="0.25">
      <c r="A30" t="s">
        <v>68</v>
      </c>
      <c r="B30" t="s">
        <v>70</v>
      </c>
      <c r="C30">
        <v>5</v>
      </c>
      <c r="D30" t="s">
        <v>71</v>
      </c>
      <c r="E30" t="s">
        <v>77</v>
      </c>
      <c r="F30" t="s">
        <v>73</v>
      </c>
      <c r="G30">
        <v>4.4199416757429804</v>
      </c>
      <c r="H30">
        <v>0.19722302197442401</v>
      </c>
      <c r="I30">
        <v>1.00010180636809</v>
      </c>
      <c r="J30">
        <v>19.748844924335199</v>
      </c>
      <c r="K30">
        <v>749</v>
      </c>
      <c r="L30" t="str">
        <f>DiscreteStatsTable[[#This Row],[ProjectName]]&amp;DiscreteStatsTable[[#This Row],[Name]]&amp;DiscreteStatsTable[[#This Row],[Type]]&amp;DiscreteStatsTable[[#This Row],[Source]]</f>
        <v>Tener ArticulsoArticulosVA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12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4.4972558269618901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9.4577990616504876E-2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6.0091988326368861E-2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4.3179545296811002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4.6805733214061496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1.00010180636809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21.211822368947701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30">
        <f>IF((DiscreteStatsTable[[#This Row],[RepsRequested]]&gt;1),DiscreteStatsTable[[#This Row],[HalfWidth]],DiscreteStatsTable[[#This Row],[BatchMeansHalfWidth]])</f>
        <v>6.0091988326368861E-2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12</v>
      </c>
      <c r="Y30">
        <f>IF(DiscreteStatsTable[[#This Row],[RepsRequested]]=DiscreteStatsTable[[#This Row],[RepsWithStatObserved]],1,0)</f>
        <v>1</v>
      </c>
    </row>
    <row r="31" spans="1:25" x14ac:dyDescent="0.25">
      <c r="A31" t="s">
        <v>68</v>
      </c>
      <c r="B31" t="s">
        <v>70</v>
      </c>
      <c r="C31">
        <v>5</v>
      </c>
      <c r="D31" t="s">
        <v>71</v>
      </c>
      <c r="E31" t="s">
        <v>78</v>
      </c>
      <c r="F31" t="s">
        <v>73</v>
      </c>
      <c r="G31">
        <v>17.449877569488098</v>
      </c>
      <c r="H31">
        <v>3E+20</v>
      </c>
      <c r="I31">
        <v>0</v>
      </c>
      <c r="J31">
        <v>106.77027761036901</v>
      </c>
      <c r="K31">
        <v>749</v>
      </c>
      <c r="L31" t="str">
        <f>DiscreteStatsTable[[#This Row],[ProjectName]]&amp;DiscreteStatsTable[[#This Row],[Name]]&amp;DiscreteStatsTable[[#This Row],[Type]]&amp;DiscreteStatsTable[[#This Row],[Source]]</f>
        <v>Tener ArticulsoArticulosWait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12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26.946209739069115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4.7837077207549079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3.039422878817212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17.449877569488098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35.256685333982702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334.16964925652798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31">
        <f>IF((DiscreteStatsTable[[#This Row],[RepsRequested]]&gt;1),DiscreteStatsTable[[#This Row],[HalfWidth]],DiscreteStatsTable[[#This Row],[BatchMeansHalfWidth]])</f>
        <v>3.039422878817212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12</v>
      </c>
      <c r="Y31">
        <f>IF(DiscreteStatsTable[[#This Row],[RepsRequested]]=DiscreteStatsTable[[#This Row],[RepsWithStatObserved]],1,0)</f>
        <v>1</v>
      </c>
    </row>
    <row r="32" spans="1:25" x14ac:dyDescent="0.25">
      <c r="A32" t="s">
        <v>68</v>
      </c>
      <c r="B32" t="s">
        <v>70</v>
      </c>
      <c r="C32">
        <v>6</v>
      </c>
      <c r="D32" t="s">
        <v>71</v>
      </c>
      <c r="E32" t="s">
        <v>72</v>
      </c>
      <c r="F32" t="s">
        <v>73</v>
      </c>
      <c r="G32">
        <v>0</v>
      </c>
      <c r="H32">
        <v>0</v>
      </c>
      <c r="I32">
        <v>0</v>
      </c>
      <c r="J32">
        <v>0</v>
      </c>
      <c r="K32">
        <v>788</v>
      </c>
      <c r="L32" t="str">
        <f>DiscreteStatsTable[[#This Row],[ProjectName]]&amp;DiscreteStatsTable[[#This Row],[Name]]&amp;DiscreteStatsTable[[#This Row],[Type]]&amp;DiscreteStatsTable[[#This Row],[Source]]</f>
        <v>Tener ArticulsoArticulosNVA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12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12</v>
      </c>
      <c r="Y32">
        <f>IF(DiscreteStatsTable[[#This Row],[RepsRequested]]=DiscreteStatsTable[[#This Row],[RepsWithStatObserved]],1,0)</f>
        <v>1</v>
      </c>
    </row>
    <row r="33" spans="1:25" x14ac:dyDescent="0.25">
      <c r="A33" t="s">
        <v>68</v>
      </c>
      <c r="B33" t="s">
        <v>70</v>
      </c>
      <c r="C33">
        <v>6</v>
      </c>
      <c r="D33" t="s">
        <v>71</v>
      </c>
      <c r="E33" t="s">
        <v>74</v>
      </c>
      <c r="F33" t="s">
        <v>73</v>
      </c>
      <c r="G33">
        <v>0</v>
      </c>
      <c r="H33">
        <v>0</v>
      </c>
      <c r="I33">
        <v>0</v>
      </c>
      <c r="J33">
        <v>0</v>
      </c>
      <c r="K33">
        <v>788</v>
      </c>
      <c r="L33" t="str">
        <f>DiscreteStatsTable[[#This Row],[ProjectName]]&amp;DiscreteStatsTable[[#This Row],[Name]]&amp;DiscreteStatsTable[[#This Row],[Type]]&amp;DiscreteStatsTable[[#This Row],[Source]]</f>
        <v>Tener ArticulsoArticulosOther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12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12</v>
      </c>
      <c r="Y33">
        <f>IF(DiscreteStatsTable[[#This Row],[RepsRequested]]=DiscreteStatsTable[[#This Row],[RepsWithStatObserved]],1,0)</f>
        <v>1</v>
      </c>
    </row>
    <row r="34" spans="1:25" x14ac:dyDescent="0.25">
      <c r="A34" t="s">
        <v>68</v>
      </c>
      <c r="B34" t="s">
        <v>70</v>
      </c>
      <c r="C34">
        <v>6</v>
      </c>
      <c r="D34" t="s">
        <v>71</v>
      </c>
      <c r="E34" t="s">
        <v>75</v>
      </c>
      <c r="F34" t="s">
        <v>73</v>
      </c>
      <c r="G34">
        <v>30.253173868289899</v>
      </c>
      <c r="H34">
        <v>3E+20</v>
      </c>
      <c r="I34">
        <v>3.55546575554001</v>
      </c>
      <c r="J34">
        <v>278.93107558928602</v>
      </c>
      <c r="K34">
        <v>788</v>
      </c>
      <c r="L34" t="str">
        <f>DiscreteStatsTable[[#This Row],[ProjectName]]&amp;DiscreteStatsTable[[#This Row],[Name]]&amp;DiscreteStatsTable[[#This Row],[Type]]&amp;DiscreteStatsTable[[#This Row],[Source]]</f>
        <v>Tener ArticulsoArticulosTotal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12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31.443465566031005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4.7884013482899288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3.0424050674765848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21.869819245231099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39.749511711720999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1.3051780606112999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348.59837157348801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34">
        <f>IF((DiscreteStatsTable[[#This Row],[RepsRequested]]&gt;1),DiscreteStatsTable[[#This Row],[HalfWidth]],DiscreteStatsTable[[#This Row],[BatchMeansHalfWidth]])</f>
        <v>3.0424050674765848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12</v>
      </c>
      <c r="Y34">
        <f>IF(DiscreteStatsTable[[#This Row],[RepsRequested]]=DiscreteStatsTable[[#This Row],[RepsWithStatObserved]],1,0)</f>
        <v>1</v>
      </c>
    </row>
    <row r="35" spans="1:25" x14ac:dyDescent="0.25">
      <c r="A35" t="s">
        <v>68</v>
      </c>
      <c r="B35" t="s">
        <v>70</v>
      </c>
      <c r="C35">
        <v>6</v>
      </c>
      <c r="D35" t="s">
        <v>71</v>
      </c>
      <c r="E35" t="s">
        <v>76</v>
      </c>
      <c r="F35" t="s">
        <v>73</v>
      </c>
      <c r="G35">
        <v>0</v>
      </c>
      <c r="H35">
        <v>0</v>
      </c>
      <c r="I35">
        <v>0</v>
      </c>
      <c r="J35">
        <v>0</v>
      </c>
      <c r="K35">
        <v>788</v>
      </c>
      <c r="L35" t="str">
        <f>DiscreteStatsTable[[#This Row],[ProjectName]]&amp;DiscreteStatsTable[[#This Row],[Name]]&amp;DiscreteStatsTable[[#This Row],[Type]]&amp;DiscreteStatsTable[[#This Row],[Source]]</f>
        <v>Tener ArticulsoArticulosTransfer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12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12</v>
      </c>
      <c r="Y35">
        <f>IF(DiscreteStatsTable[[#This Row],[RepsRequested]]=DiscreteStatsTable[[#This Row],[RepsWithStatObserved]],1,0)</f>
        <v>1</v>
      </c>
    </row>
    <row r="36" spans="1:25" x14ac:dyDescent="0.25">
      <c r="A36" t="s">
        <v>68</v>
      </c>
      <c r="B36" t="s">
        <v>70</v>
      </c>
      <c r="C36">
        <v>6</v>
      </c>
      <c r="D36" t="s">
        <v>71</v>
      </c>
      <c r="E36" t="s">
        <v>77</v>
      </c>
      <c r="F36" t="s">
        <v>73</v>
      </c>
      <c r="G36">
        <v>4.5639735335521596</v>
      </c>
      <c r="H36">
        <v>0.21933066859262701</v>
      </c>
      <c r="I36">
        <v>1.0068584218233201</v>
      </c>
      <c r="J36">
        <v>20.1463052691727</v>
      </c>
      <c r="K36">
        <v>788</v>
      </c>
      <c r="L36" t="str">
        <f>DiscreteStatsTable[[#This Row],[ProjectName]]&amp;DiscreteStatsTable[[#This Row],[Name]]&amp;DiscreteStatsTable[[#This Row],[Type]]&amp;DiscreteStatsTable[[#This Row],[Source]]</f>
        <v>Tener ArticulsoArticulosVA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12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4.4972558269618901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9.4577990616504876E-2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6.0091988326368861E-2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4.3179545296811002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4.6805733214061496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1.00010180636809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21.211822368947701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36">
        <f>IF((DiscreteStatsTable[[#This Row],[RepsRequested]]&gt;1),DiscreteStatsTable[[#This Row],[HalfWidth]],DiscreteStatsTable[[#This Row],[BatchMeansHalfWidth]])</f>
        <v>6.0091988326368861E-2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12</v>
      </c>
      <c r="Y36">
        <f>IF(DiscreteStatsTable[[#This Row],[RepsRequested]]=DiscreteStatsTable[[#This Row],[RepsWithStatObserved]],1,0)</f>
        <v>1</v>
      </c>
    </row>
    <row r="37" spans="1:25" x14ac:dyDescent="0.25">
      <c r="A37" t="s">
        <v>68</v>
      </c>
      <c r="B37" t="s">
        <v>70</v>
      </c>
      <c r="C37">
        <v>6</v>
      </c>
      <c r="D37" t="s">
        <v>71</v>
      </c>
      <c r="E37" t="s">
        <v>78</v>
      </c>
      <c r="F37" t="s">
        <v>73</v>
      </c>
      <c r="G37">
        <v>25.689200334737698</v>
      </c>
      <c r="H37">
        <v>3E+20</v>
      </c>
      <c r="I37">
        <v>0.10342591447843601</v>
      </c>
      <c r="J37">
        <v>265.32186945300299</v>
      </c>
      <c r="K37">
        <v>788</v>
      </c>
      <c r="L37" t="str">
        <f>DiscreteStatsTable[[#This Row],[ProjectName]]&amp;DiscreteStatsTable[[#This Row],[Name]]&amp;DiscreteStatsTable[[#This Row],[Type]]&amp;DiscreteStatsTable[[#This Row],[Source]]</f>
        <v>Tener ArticulsoArticulosWait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12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26.946209739069115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4.7837077207549079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3.039422878817212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17.449877569488098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35.256685333982702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334.16964925652798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37">
        <f>IF((DiscreteStatsTable[[#This Row],[RepsRequested]]&gt;1),DiscreteStatsTable[[#This Row],[HalfWidth]],DiscreteStatsTable[[#This Row],[BatchMeansHalfWidth]])</f>
        <v>3.039422878817212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12</v>
      </c>
      <c r="Y37">
        <f>IF(DiscreteStatsTable[[#This Row],[RepsRequested]]=DiscreteStatsTable[[#This Row],[RepsWithStatObserved]],1,0)</f>
        <v>1</v>
      </c>
    </row>
    <row r="38" spans="1:25" x14ac:dyDescent="0.25">
      <c r="A38" t="s">
        <v>68</v>
      </c>
      <c r="B38" t="s">
        <v>70</v>
      </c>
      <c r="C38">
        <v>7</v>
      </c>
      <c r="D38" t="s">
        <v>71</v>
      </c>
      <c r="E38" t="s">
        <v>72</v>
      </c>
      <c r="F38" t="s">
        <v>73</v>
      </c>
      <c r="G38">
        <v>0</v>
      </c>
      <c r="H38">
        <v>0</v>
      </c>
      <c r="I38">
        <v>0</v>
      </c>
      <c r="J38">
        <v>0</v>
      </c>
      <c r="K38">
        <v>734</v>
      </c>
      <c r="L38" t="str">
        <f>DiscreteStatsTable[[#This Row],[ProjectName]]&amp;DiscreteStatsTable[[#This Row],[Name]]&amp;DiscreteStatsTable[[#This Row],[Type]]&amp;DiscreteStatsTable[[#This Row],[Source]]</f>
        <v>Tener ArticulsoArticulosNVA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12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12</v>
      </c>
      <c r="Y38">
        <f>IF(DiscreteStatsTable[[#This Row],[RepsRequested]]=DiscreteStatsTable[[#This Row],[RepsWithStatObserved]],1,0)</f>
        <v>1</v>
      </c>
    </row>
    <row r="39" spans="1:25" x14ac:dyDescent="0.25">
      <c r="A39" t="s">
        <v>68</v>
      </c>
      <c r="B39" t="s">
        <v>70</v>
      </c>
      <c r="C39">
        <v>7</v>
      </c>
      <c r="D39" t="s">
        <v>71</v>
      </c>
      <c r="E39" t="s">
        <v>74</v>
      </c>
      <c r="F39" t="s">
        <v>73</v>
      </c>
      <c r="G39">
        <v>0</v>
      </c>
      <c r="H39">
        <v>0</v>
      </c>
      <c r="I39">
        <v>0</v>
      </c>
      <c r="J39">
        <v>0</v>
      </c>
      <c r="K39">
        <v>734</v>
      </c>
      <c r="L39" t="str">
        <f>DiscreteStatsTable[[#This Row],[ProjectName]]&amp;DiscreteStatsTable[[#This Row],[Name]]&amp;DiscreteStatsTable[[#This Row],[Type]]&amp;DiscreteStatsTable[[#This Row],[Source]]</f>
        <v>Tener ArticulsoArticulosOther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12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12</v>
      </c>
      <c r="Y39">
        <f>IF(DiscreteStatsTable[[#This Row],[RepsRequested]]=DiscreteStatsTable[[#This Row],[RepsWithStatObserved]],1,0)</f>
        <v>1</v>
      </c>
    </row>
    <row r="40" spans="1:25" x14ac:dyDescent="0.25">
      <c r="A40" t="s">
        <v>68</v>
      </c>
      <c r="B40" t="s">
        <v>70</v>
      </c>
      <c r="C40">
        <v>7</v>
      </c>
      <c r="D40" t="s">
        <v>71</v>
      </c>
      <c r="E40" t="s">
        <v>75</v>
      </c>
      <c r="F40" t="s">
        <v>73</v>
      </c>
      <c r="G40">
        <v>27.099001010333001</v>
      </c>
      <c r="H40">
        <v>3E+20</v>
      </c>
      <c r="I40">
        <v>1.3115910692425801</v>
      </c>
      <c r="J40">
        <v>227.671380307867</v>
      </c>
      <c r="K40">
        <v>734</v>
      </c>
      <c r="L40" t="str">
        <f>DiscreteStatsTable[[#This Row],[ProjectName]]&amp;DiscreteStatsTable[[#This Row],[Name]]&amp;DiscreteStatsTable[[#This Row],[Type]]&amp;DiscreteStatsTable[[#This Row],[Source]]</f>
        <v>Tener ArticulsoArticulosTotal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12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31.443465566031005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4.7884013482899288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3.0424050674765848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21.869819245231099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39.749511711720999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1.3051780606112999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348.59837157348801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40">
        <f>IF((DiscreteStatsTable[[#This Row],[RepsRequested]]&gt;1),DiscreteStatsTable[[#This Row],[HalfWidth]],DiscreteStatsTable[[#This Row],[BatchMeansHalfWidth]])</f>
        <v>3.0424050674765848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12</v>
      </c>
      <c r="Y40">
        <f>IF(DiscreteStatsTable[[#This Row],[RepsRequested]]=DiscreteStatsTable[[#This Row],[RepsWithStatObserved]],1,0)</f>
        <v>1</v>
      </c>
    </row>
    <row r="41" spans="1:25" x14ac:dyDescent="0.25">
      <c r="A41" t="s">
        <v>68</v>
      </c>
      <c r="B41" t="s">
        <v>70</v>
      </c>
      <c r="C41">
        <v>7</v>
      </c>
      <c r="D41" t="s">
        <v>71</v>
      </c>
      <c r="E41" t="s">
        <v>76</v>
      </c>
      <c r="F41" t="s">
        <v>73</v>
      </c>
      <c r="G41">
        <v>0</v>
      </c>
      <c r="H41">
        <v>0</v>
      </c>
      <c r="I41">
        <v>0</v>
      </c>
      <c r="J41">
        <v>0</v>
      </c>
      <c r="K41">
        <v>734</v>
      </c>
      <c r="L41" t="str">
        <f>DiscreteStatsTable[[#This Row],[ProjectName]]&amp;DiscreteStatsTable[[#This Row],[Name]]&amp;DiscreteStatsTable[[#This Row],[Type]]&amp;DiscreteStatsTable[[#This Row],[Source]]</f>
        <v>Tener ArticulsoArticulosTransfer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12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12</v>
      </c>
      <c r="Y41">
        <f>IF(DiscreteStatsTable[[#This Row],[RepsRequested]]=DiscreteStatsTable[[#This Row],[RepsWithStatObserved]],1,0)</f>
        <v>1</v>
      </c>
    </row>
    <row r="42" spans="1:25" x14ac:dyDescent="0.25">
      <c r="A42" t="s">
        <v>68</v>
      </c>
      <c r="B42" t="s">
        <v>70</v>
      </c>
      <c r="C42">
        <v>7</v>
      </c>
      <c r="D42" t="s">
        <v>71</v>
      </c>
      <c r="E42" t="s">
        <v>77</v>
      </c>
      <c r="F42" t="s">
        <v>73</v>
      </c>
      <c r="G42">
        <v>4.5858474417453898</v>
      </c>
      <c r="H42">
        <v>0.26867624579500599</v>
      </c>
      <c r="I42">
        <v>1.0043405322142001</v>
      </c>
      <c r="J42">
        <v>19.567423917868201</v>
      </c>
      <c r="K42">
        <v>734</v>
      </c>
      <c r="L42" t="str">
        <f>DiscreteStatsTable[[#This Row],[ProjectName]]&amp;DiscreteStatsTable[[#This Row],[Name]]&amp;DiscreteStatsTable[[#This Row],[Type]]&amp;DiscreteStatsTable[[#This Row],[Source]]</f>
        <v>Tener ArticulsoArticulosVA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12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4.4972558269618901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9.4577990616504876E-2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6.0091988326368861E-2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4.3179545296811002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4.6805733214061496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1.00010180636809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21.211822368947701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42">
        <f>IF((DiscreteStatsTable[[#This Row],[RepsRequested]]&gt;1),DiscreteStatsTable[[#This Row],[HalfWidth]],DiscreteStatsTable[[#This Row],[BatchMeansHalfWidth]])</f>
        <v>6.0091988326368861E-2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12</v>
      </c>
      <c r="Y42">
        <f>IF(DiscreteStatsTable[[#This Row],[RepsRequested]]=DiscreteStatsTable[[#This Row],[RepsWithStatObserved]],1,0)</f>
        <v>1</v>
      </c>
    </row>
    <row r="43" spans="1:25" x14ac:dyDescent="0.25">
      <c r="A43" t="s">
        <v>68</v>
      </c>
      <c r="B43" t="s">
        <v>70</v>
      </c>
      <c r="C43">
        <v>7</v>
      </c>
      <c r="D43" t="s">
        <v>71</v>
      </c>
      <c r="E43" t="s">
        <v>78</v>
      </c>
      <c r="F43" t="s">
        <v>73</v>
      </c>
      <c r="G43">
        <v>22.513153568587601</v>
      </c>
      <c r="H43">
        <v>3E+20</v>
      </c>
      <c r="I43">
        <v>0</v>
      </c>
      <c r="J43">
        <v>210.362516580506</v>
      </c>
      <c r="K43">
        <v>734</v>
      </c>
      <c r="L43" t="str">
        <f>DiscreteStatsTable[[#This Row],[ProjectName]]&amp;DiscreteStatsTable[[#This Row],[Name]]&amp;DiscreteStatsTable[[#This Row],[Type]]&amp;DiscreteStatsTable[[#This Row],[Source]]</f>
        <v>Tener ArticulsoArticulosWait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12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26.946209739069115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4.7837077207549079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3.039422878817212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17.449877569488098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35.256685333982702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334.16964925652798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43">
        <f>IF((DiscreteStatsTable[[#This Row],[RepsRequested]]&gt;1),DiscreteStatsTable[[#This Row],[HalfWidth]],DiscreteStatsTable[[#This Row],[BatchMeansHalfWidth]])</f>
        <v>3.039422878817212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12</v>
      </c>
      <c r="Y43">
        <f>IF(DiscreteStatsTable[[#This Row],[RepsRequested]]=DiscreteStatsTable[[#This Row],[RepsWithStatObserved]],1,0)</f>
        <v>1</v>
      </c>
    </row>
    <row r="44" spans="1:25" x14ac:dyDescent="0.25">
      <c r="A44" t="s">
        <v>68</v>
      </c>
      <c r="B44" t="s">
        <v>70</v>
      </c>
      <c r="C44">
        <v>8</v>
      </c>
      <c r="D44" t="s">
        <v>71</v>
      </c>
      <c r="E44" t="s">
        <v>72</v>
      </c>
      <c r="F44" t="s">
        <v>73</v>
      </c>
      <c r="G44">
        <v>0</v>
      </c>
      <c r="H44">
        <v>0</v>
      </c>
      <c r="I44">
        <v>0</v>
      </c>
      <c r="J44">
        <v>0</v>
      </c>
      <c r="K44">
        <v>784</v>
      </c>
      <c r="L44" t="str">
        <f>DiscreteStatsTable[[#This Row],[ProjectName]]&amp;DiscreteStatsTable[[#This Row],[Name]]&amp;DiscreteStatsTable[[#This Row],[Type]]&amp;DiscreteStatsTable[[#This Row],[Source]]</f>
        <v>Tener ArticulsoArticulosNVA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12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12</v>
      </c>
      <c r="Y44">
        <f>IF(DiscreteStatsTable[[#This Row],[RepsRequested]]=DiscreteStatsTable[[#This Row],[RepsWithStatObserved]],1,0)</f>
        <v>1</v>
      </c>
    </row>
    <row r="45" spans="1:25" x14ac:dyDescent="0.25">
      <c r="A45" t="s">
        <v>68</v>
      </c>
      <c r="B45" t="s">
        <v>70</v>
      </c>
      <c r="C45">
        <v>8</v>
      </c>
      <c r="D45" t="s">
        <v>71</v>
      </c>
      <c r="E45" t="s">
        <v>74</v>
      </c>
      <c r="F45" t="s">
        <v>73</v>
      </c>
      <c r="G45">
        <v>0</v>
      </c>
      <c r="H45">
        <v>0</v>
      </c>
      <c r="I45">
        <v>0</v>
      </c>
      <c r="J45">
        <v>0</v>
      </c>
      <c r="K45">
        <v>784</v>
      </c>
      <c r="L45" t="str">
        <f>DiscreteStatsTable[[#This Row],[ProjectName]]&amp;DiscreteStatsTable[[#This Row],[Name]]&amp;DiscreteStatsTable[[#This Row],[Type]]&amp;DiscreteStatsTable[[#This Row],[Source]]</f>
        <v>Tener ArticulsoArticulosOther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12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12</v>
      </c>
      <c r="Y45">
        <f>IF(DiscreteStatsTable[[#This Row],[RepsRequested]]=DiscreteStatsTable[[#This Row],[RepsWithStatObserved]],1,0)</f>
        <v>1</v>
      </c>
    </row>
    <row r="46" spans="1:25" x14ac:dyDescent="0.25">
      <c r="A46" t="s">
        <v>68</v>
      </c>
      <c r="B46" t="s">
        <v>70</v>
      </c>
      <c r="C46">
        <v>8</v>
      </c>
      <c r="D46" t="s">
        <v>71</v>
      </c>
      <c r="E46" t="s">
        <v>75</v>
      </c>
      <c r="F46" t="s">
        <v>73</v>
      </c>
      <c r="G46">
        <v>33.1739186954781</v>
      </c>
      <c r="H46">
        <v>3E+20</v>
      </c>
      <c r="I46">
        <v>1.3051780606112999</v>
      </c>
      <c r="J46">
        <v>273.871923598504</v>
      </c>
      <c r="K46">
        <v>784</v>
      </c>
      <c r="L46" t="str">
        <f>DiscreteStatsTable[[#This Row],[ProjectName]]&amp;DiscreteStatsTable[[#This Row],[Name]]&amp;DiscreteStatsTable[[#This Row],[Type]]&amp;DiscreteStatsTable[[#This Row],[Source]]</f>
        <v>Tener ArticulsoArticulosTotal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12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31.443465566031005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4.7884013482899288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3.0424050674765848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21.869819245231099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39.749511711720999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1.3051780606112999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348.59837157348801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46">
        <f>IF((DiscreteStatsTable[[#This Row],[RepsRequested]]&gt;1),DiscreteStatsTable[[#This Row],[HalfWidth]],DiscreteStatsTable[[#This Row],[BatchMeansHalfWidth]])</f>
        <v>3.0424050674765848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12</v>
      </c>
      <c r="Y46">
        <f>IF(DiscreteStatsTable[[#This Row],[RepsRequested]]=DiscreteStatsTable[[#This Row],[RepsWithStatObserved]],1,0)</f>
        <v>1</v>
      </c>
    </row>
    <row r="47" spans="1:25" x14ac:dyDescent="0.25">
      <c r="A47" t="s">
        <v>68</v>
      </c>
      <c r="B47" t="s">
        <v>70</v>
      </c>
      <c r="C47">
        <v>8</v>
      </c>
      <c r="D47" t="s">
        <v>71</v>
      </c>
      <c r="E47" t="s">
        <v>76</v>
      </c>
      <c r="F47" t="s">
        <v>73</v>
      </c>
      <c r="G47">
        <v>0</v>
      </c>
      <c r="H47">
        <v>0</v>
      </c>
      <c r="I47">
        <v>0</v>
      </c>
      <c r="J47">
        <v>0</v>
      </c>
      <c r="K47">
        <v>784</v>
      </c>
      <c r="L47" t="str">
        <f>DiscreteStatsTable[[#This Row],[ProjectName]]&amp;DiscreteStatsTable[[#This Row],[Name]]&amp;DiscreteStatsTable[[#This Row],[Type]]&amp;DiscreteStatsTable[[#This Row],[Source]]</f>
        <v>Tener ArticulsoArticulosTransfer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12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12</v>
      </c>
      <c r="Y47">
        <f>IF(DiscreteStatsTable[[#This Row],[RepsRequested]]=DiscreteStatsTable[[#This Row],[RepsWithStatObserved]],1,0)</f>
        <v>1</v>
      </c>
    </row>
    <row r="48" spans="1:25" x14ac:dyDescent="0.25">
      <c r="A48" t="s">
        <v>68</v>
      </c>
      <c r="B48" t="s">
        <v>70</v>
      </c>
      <c r="C48">
        <v>8</v>
      </c>
      <c r="D48" t="s">
        <v>71</v>
      </c>
      <c r="E48" t="s">
        <v>77</v>
      </c>
      <c r="F48" t="s">
        <v>73</v>
      </c>
      <c r="G48">
        <v>4.4386453343128798</v>
      </c>
      <c r="H48">
        <v>0.278891283846599</v>
      </c>
      <c r="I48">
        <v>1.0009603347165199</v>
      </c>
      <c r="J48">
        <v>20.904900509799202</v>
      </c>
      <c r="K48">
        <v>784</v>
      </c>
      <c r="L48" t="str">
        <f>DiscreteStatsTable[[#This Row],[ProjectName]]&amp;DiscreteStatsTable[[#This Row],[Name]]&amp;DiscreteStatsTable[[#This Row],[Type]]&amp;DiscreteStatsTable[[#This Row],[Source]]</f>
        <v>Tener ArticulsoArticulosVA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12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4.4972558269618901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9.4577990616504876E-2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6.0091988326368861E-2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4.3179545296811002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4.6805733214061496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1.00010180636809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21.211822368947701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48">
        <f>IF((DiscreteStatsTable[[#This Row],[RepsRequested]]&gt;1),DiscreteStatsTable[[#This Row],[HalfWidth]],DiscreteStatsTable[[#This Row],[BatchMeansHalfWidth]])</f>
        <v>6.0091988326368861E-2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12</v>
      </c>
      <c r="Y48">
        <f>IF(DiscreteStatsTable[[#This Row],[RepsRequested]]=DiscreteStatsTable[[#This Row],[RepsWithStatObserved]],1,0)</f>
        <v>1</v>
      </c>
    </row>
    <row r="49" spans="1:25" x14ac:dyDescent="0.25">
      <c r="A49" t="s">
        <v>68</v>
      </c>
      <c r="B49" t="s">
        <v>70</v>
      </c>
      <c r="C49">
        <v>8</v>
      </c>
      <c r="D49" t="s">
        <v>71</v>
      </c>
      <c r="E49" t="s">
        <v>78</v>
      </c>
      <c r="F49" t="s">
        <v>73</v>
      </c>
      <c r="G49">
        <v>28.735273361165198</v>
      </c>
      <c r="H49">
        <v>3E+20</v>
      </c>
      <c r="I49">
        <v>0</v>
      </c>
      <c r="J49">
        <v>254.84280366744099</v>
      </c>
      <c r="K49">
        <v>784</v>
      </c>
      <c r="L49" t="str">
        <f>DiscreteStatsTable[[#This Row],[ProjectName]]&amp;DiscreteStatsTable[[#This Row],[Name]]&amp;DiscreteStatsTable[[#This Row],[Type]]&amp;DiscreteStatsTable[[#This Row],[Source]]</f>
        <v>Tener ArticulsoArticulosWait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12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26.946209739069115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4.7837077207549079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3.039422878817212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17.449877569488098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35.256685333982702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334.16964925652798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49">
        <f>IF((DiscreteStatsTable[[#This Row],[RepsRequested]]&gt;1),DiscreteStatsTable[[#This Row],[HalfWidth]],DiscreteStatsTable[[#This Row],[BatchMeansHalfWidth]])</f>
        <v>3.039422878817212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12</v>
      </c>
      <c r="Y49">
        <f>IF(DiscreteStatsTable[[#This Row],[RepsRequested]]=DiscreteStatsTable[[#This Row],[RepsWithStatObserved]],1,0)</f>
        <v>1</v>
      </c>
    </row>
    <row r="50" spans="1:25" x14ac:dyDescent="0.25">
      <c r="A50" t="s">
        <v>68</v>
      </c>
      <c r="B50" t="s">
        <v>70</v>
      </c>
      <c r="C50">
        <v>9</v>
      </c>
      <c r="D50" t="s">
        <v>71</v>
      </c>
      <c r="E50" t="s">
        <v>72</v>
      </c>
      <c r="F50" t="s">
        <v>73</v>
      </c>
      <c r="G50">
        <v>0</v>
      </c>
      <c r="H50">
        <v>0</v>
      </c>
      <c r="I50">
        <v>0</v>
      </c>
      <c r="J50">
        <v>0</v>
      </c>
      <c r="K50">
        <v>783</v>
      </c>
      <c r="L50" t="str">
        <f>DiscreteStatsTable[[#This Row],[ProjectName]]&amp;DiscreteStatsTable[[#This Row],[Name]]&amp;DiscreteStatsTable[[#This Row],[Type]]&amp;DiscreteStatsTable[[#This Row],[Source]]</f>
        <v>Tener ArticulsoArticulosNVA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12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12</v>
      </c>
      <c r="Y50">
        <f>IF(DiscreteStatsTable[[#This Row],[RepsRequested]]=DiscreteStatsTable[[#This Row],[RepsWithStatObserved]],1,0)</f>
        <v>1</v>
      </c>
    </row>
    <row r="51" spans="1:25" x14ac:dyDescent="0.25">
      <c r="A51" t="s">
        <v>68</v>
      </c>
      <c r="B51" t="s">
        <v>70</v>
      </c>
      <c r="C51">
        <v>9</v>
      </c>
      <c r="D51" t="s">
        <v>71</v>
      </c>
      <c r="E51" t="s">
        <v>74</v>
      </c>
      <c r="F51" t="s">
        <v>73</v>
      </c>
      <c r="G51">
        <v>0</v>
      </c>
      <c r="H51">
        <v>0</v>
      </c>
      <c r="I51">
        <v>0</v>
      </c>
      <c r="J51">
        <v>0</v>
      </c>
      <c r="K51">
        <v>783</v>
      </c>
      <c r="L51" t="str">
        <f>DiscreteStatsTable[[#This Row],[ProjectName]]&amp;DiscreteStatsTable[[#This Row],[Name]]&amp;DiscreteStatsTable[[#This Row],[Type]]&amp;DiscreteStatsTable[[#This Row],[Source]]</f>
        <v>Tener ArticulsoArticulosOther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12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12</v>
      </c>
      <c r="Y51">
        <f>IF(DiscreteStatsTable[[#This Row],[RepsRequested]]=DiscreteStatsTable[[#This Row],[RepsWithStatObserved]],1,0)</f>
        <v>1</v>
      </c>
    </row>
    <row r="52" spans="1:25" x14ac:dyDescent="0.25">
      <c r="A52" t="s">
        <v>68</v>
      </c>
      <c r="B52" t="s">
        <v>70</v>
      </c>
      <c r="C52">
        <v>9</v>
      </c>
      <c r="D52" t="s">
        <v>71</v>
      </c>
      <c r="E52" t="s">
        <v>75</v>
      </c>
      <c r="F52" t="s">
        <v>73</v>
      </c>
      <c r="G52">
        <v>35.912859180304601</v>
      </c>
      <c r="H52">
        <v>3E+20</v>
      </c>
      <c r="I52">
        <v>4.24917829715086</v>
      </c>
      <c r="J52">
        <v>192.783258044175</v>
      </c>
      <c r="K52">
        <v>783</v>
      </c>
      <c r="L52" t="str">
        <f>DiscreteStatsTable[[#This Row],[ProjectName]]&amp;DiscreteStatsTable[[#This Row],[Name]]&amp;DiscreteStatsTable[[#This Row],[Type]]&amp;DiscreteStatsTable[[#This Row],[Source]]</f>
        <v>Tener ArticulsoArticulosTotal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12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31.443465566031005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4.7884013482899288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3.0424050674765848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21.869819245231099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39.749511711720999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1.3051780606112999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348.59837157348801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52">
        <f>IF((DiscreteStatsTable[[#This Row],[RepsRequested]]&gt;1),DiscreteStatsTable[[#This Row],[HalfWidth]],DiscreteStatsTable[[#This Row],[BatchMeansHalfWidth]])</f>
        <v>3.0424050674765848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12</v>
      </c>
      <c r="Y52">
        <f>IF(DiscreteStatsTable[[#This Row],[RepsRequested]]=DiscreteStatsTable[[#This Row],[RepsWithStatObserved]],1,0)</f>
        <v>1</v>
      </c>
    </row>
    <row r="53" spans="1:25" x14ac:dyDescent="0.25">
      <c r="A53" t="s">
        <v>68</v>
      </c>
      <c r="B53" t="s">
        <v>70</v>
      </c>
      <c r="C53">
        <v>9</v>
      </c>
      <c r="D53" t="s">
        <v>71</v>
      </c>
      <c r="E53" t="s">
        <v>76</v>
      </c>
      <c r="F53" t="s">
        <v>73</v>
      </c>
      <c r="G53">
        <v>0</v>
      </c>
      <c r="H53">
        <v>0</v>
      </c>
      <c r="I53">
        <v>0</v>
      </c>
      <c r="J53">
        <v>0</v>
      </c>
      <c r="K53">
        <v>783</v>
      </c>
      <c r="L53" t="str">
        <f>DiscreteStatsTable[[#This Row],[ProjectName]]&amp;DiscreteStatsTable[[#This Row],[Name]]&amp;DiscreteStatsTable[[#This Row],[Type]]&amp;DiscreteStatsTable[[#This Row],[Source]]</f>
        <v>Tener ArticulsoArticulosTransfer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12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12</v>
      </c>
      <c r="Y53">
        <f>IF(DiscreteStatsTable[[#This Row],[RepsRequested]]=DiscreteStatsTable[[#This Row],[RepsWithStatObserved]],1,0)</f>
        <v>1</v>
      </c>
    </row>
    <row r="54" spans="1:25" x14ac:dyDescent="0.25">
      <c r="A54" t="s">
        <v>68</v>
      </c>
      <c r="B54" t="s">
        <v>70</v>
      </c>
      <c r="C54">
        <v>9</v>
      </c>
      <c r="D54" t="s">
        <v>71</v>
      </c>
      <c r="E54" t="s">
        <v>77</v>
      </c>
      <c r="F54" t="s">
        <v>73</v>
      </c>
      <c r="G54">
        <v>4.5054755017768597</v>
      </c>
      <c r="H54">
        <v>0.19418076500165399</v>
      </c>
      <c r="I54">
        <v>1.0042792863432599</v>
      </c>
      <c r="J54">
        <v>20.6110582494989</v>
      </c>
      <c r="K54">
        <v>783</v>
      </c>
      <c r="L54" t="str">
        <f>DiscreteStatsTable[[#This Row],[ProjectName]]&amp;DiscreteStatsTable[[#This Row],[Name]]&amp;DiscreteStatsTable[[#This Row],[Type]]&amp;DiscreteStatsTable[[#This Row],[Source]]</f>
        <v>Tener ArticulsoArticulosVA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12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4.4972558269618901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9.4577990616504876E-2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6.0091988326368861E-2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4.3179545296811002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4.6805733214061496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1.00010180636809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21.211822368947701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54">
        <f>IF((DiscreteStatsTable[[#This Row],[RepsRequested]]&gt;1),DiscreteStatsTable[[#This Row],[HalfWidth]],DiscreteStatsTable[[#This Row],[BatchMeansHalfWidth]])</f>
        <v>6.0091988326368861E-2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12</v>
      </c>
      <c r="Y54">
        <f>IF(DiscreteStatsTable[[#This Row],[RepsRequested]]=DiscreteStatsTable[[#This Row],[RepsWithStatObserved]],1,0)</f>
        <v>1</v>
      </c>
    </row>
    <row r="55" spans="1:25" x14ac:dyDescent="0.25">
      <c r="A55" t="s">
        <v>68</v>
      </c>
      <c r="B55" t="s">
        <v>70</v>
      </c>
      <c r="C55">
        <v>9</v>
      </c>
      <c r="D55" t="s">
        <v>71</v>
      </c>
      <c r="E55" t="s">
        <v>78</v>
      </c>
      <c r="F55" t="s">
        <v>73</v>
      </c>
      <c r="G55">
        <v>31.407383678527701</v>
      </c>
      <c r="H55">
        <v>3E+20</v>
      </c>
      <c r="I55">
        <v>1.11678865912842</v>
      </c>
      <c r="J55">
        <v>180.086390461945</v>
      </c>
      <c r="K55">
        <v>783</v>
      </c>
      <c r="L55" t="str">
        <f>DiscreteStatsTable[[#This Row],[ProjectName]]&amp;DiscreteStatsTable[[#This Row],[Name]]&amp;DiscreteStatsTable[[#This Row],[Type]]&amp;DiscreteStatsTable[[#This Row],[Source]]</f>
        <v>Tener ArticulsoArticulosWait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12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26.946209739069115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4.7837077207549079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3.039422878817212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17.449877569488098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35.256685333982702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334.16964925652798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55">
        <f>IF((DiscreteStatsTable[[#This Row],[RepsRequested]]&gt;1),DiscreteStatsTable[[#This Row],[HalfWidth]],DiscreteStatsTable[[#This Row],[BatchMeansHalfWidth]])</f>
        <v>3.039422878817212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12</v>
      </c>
      <c r="Y55">
        <f>IF(DiscreteStatsTable[[#This Row],[RepsRequested]]=DiscreteStatsTable[[#This Row],[RepsWithStatObserved]],1,0)</f>
        <v>1</v>
      </c>
    </row>
    <row r="56" spans="1:25" x14ac:dyDescent="0.25">
      <c r="A56" t="s">
        <v>68</v>
      </c>
      <c r="B56" t="s">
        <v>70</v>
      </c>
      <c r="C56">
        <v>10</v>
      </c>
      <c r="D56" t="s">
        <v>71</v>
      </c>
      <c r="E56" t="s">
        <v>72</v>
      </c>
      <c r="F56" t="s">
        <v>73</v>
      </c>
      <c r="G56">
        <v>0</v>
      </c>
      <c r="H56">
        <v>0</v>
      </c>
      <c r="I56">
        <v>0</v>
      </c>
      <c r="J56">
        <v>0</v>
      </c>
      <c r="K56">
        <v>782</v>
      </c>
      <c r="L56" t="str">
        <f>DiscreteStatsTable[[#This Row],[ProjectName]]&amp;DiscreteStatsTable[[#This Row],[Name]]&amp;DiscreteStatsTable[[#This Row],[Type]]&amp;DiscreteStatsTable[[#This Row],[Source]]</f>
        <v>Tener ArticulsoArticulosNVA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12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12</v>
      </c>
      <c r="Y56">
        <f>IF(DiscreteStatsTable[[#This Row],[RepsRequested]]=DiscreteStatsTable[[#This Row],[RepsWithStatObserved]],1,0)</f>
        <v>1</v>
      </c>
    </row>
    <row r="57" spans="1:25" x14ac:dyDescent="0.25">
      <c r="A57" t="s">
        <v>68</v>
      </c>
      <c r="B57" t="s">
        <v>70</v>
      </c>
      <c r="C57">
        <v>10</v>
      </c>
      <c r="D57" t="s">
        <v>71</v>
      </c>
      <c r="E57" t="s">
        <v>74</v>
      </c>
      <c r="F57" t="s">
        <v>73</v>
      </c>
      <c r="G57">
        <v>0</v>
      </c>
      <c r="H57">
        <v>0</v>
      </c>
      <c r="I57">
        <v>0</v>
      </c>
      <c r="J57">
        <v>0</v>
      </c>
      <c r="K57">
        <v>782</v>
      </c>
      <c r="L57" t="str">
        <f>DiscreteStatsTable[[#This Row],[ProjectName]]&amp;DiscreteStatsTable[[#This Row],[Name]]&amp;DiscreteStatsTable[[#This Row],[Type]]&amp;DiscreteStatsTable[[#This Row],[Source]]</f>
        <v>Tener ArticulsoArticulosOther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12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12</v>
      </c>
      <c r="Y57">
        <f>IF(DiscreteStatsTable[[#This Row],[RepsRequested]]=DiscreteStatsTable[[#This Row],[RepsWithStatObserved]],1,0)</f>
        <v>1</v>
      </c>
    </row>
    <row r="58" spans="1:25" x14ac:dyDescent="0.25">
      <c r="A58" t="s">
        <v>68</v>
      </c>
      <c r="B58" t="s">
        <v>70</v>
      </c>
      <c r="C58">
        <v>10</v>
      </c>
      <c r="D58" t="s">
        <v>71</v>
      </c>
      <c r="E58" t="s">
        <v>75</v>
      </c>
      <c r="F58" t="s">
        <v>73</v>
      </c>
      <c r="G58">
        <v>32.526993567481199</v>
      </c>
      <c r="H58">
        <v>3E+20</v>
      </c>
      <c r="I58">
        <v>2.5440233649633202</v>
      </c>
      <c r="J58">
        <v>220.633621077481</v>
      </c>
      <c r="K58">
        <v>782</v>
      </c>
      <c r="L58" t="str">
        <f>DiscreteStatsTable[[#This Row],[ProjectName]]&amp;DiscreteStatsTable[[#This Row],[Name]]&amp;DiscreteStatsTable[[#This Row],[Type]]&amp;DiscreteStatsTable[[#This Row],[Source]]</f>
        <v>Tener ArticulsoArticulosTotal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12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31.443465566031005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4.7884013482899288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3.0424050674765848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21.869819245231099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39.749511711720999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1.3051780606112999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348.59837157348801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58">
        <f>IF((DiscreteStatsTable[[#This Row],[RepsRequested]]&gt;1),DiscreteStatsTable[[#This Row],[HalfWidth]],DiscreteStatsTable[[#This Row],[BatchMeansHalfWidth]])</f>
        <v>3.0424050674765848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12</v>
      </c>
      <c r="Y58">
        <f>IF(DiscreteStatsTable[[#This Row],[RepsRequested]]=DiscreteStatsTable[[#This Row],[RepsWithStatObserved]],1,0)</f>
        <v>1</v>
      </c>
    </row>
    <row r="59" spans="1:25" x14ac:dyDescent="0.25">
      <c r="A59" t="s">
        <v>68</v>
      </c>
      <c r="B59" t="s">
        <v>70</v>
      </c>
      <c r="C59">
        <v>10</v>
      </c>
      <c r="D59" t="s">
        <v>71</v>
      </c>
      <c r="E59" t="s">
        <v>76</v>
      </c>
      <c r="F59" t="s">
        <v>73</v>
      </c>
      <c r="G59">
        <v>0</v>
      </c>
      <c r="H59">
        <v>0</v>
      </c>
      <c r="I59">
        <v>0</v>
      </c>
      <c r="J59">
        <v>0</v>
      </c>
      <c r="K59">
        <v>782</v>
      </c>
      <c r="L59" t="str">
        <f>DiscreteStatsTable[[#This Row],[ProjectName]]&amp;DiscreteStatsTable[[#This Row],[Name]]&amp;DiscreteStatsTable[[#This Row],[Type]]&amp;DiscreteStatsTable[[#This Row],[Source]]</f>
        <v>Tener ArticulsoArticulosTransfer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12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12</v>
      </c>
      <c r="Y59">
        <f>IF(DiscreteStatsTable[[#This Row],[RepsRequested]]=DiscreteStatsTable[[#This Row],[RepsWithStatObserved]],1,0)</f>
        <v>1</v>
      </c>
    </row>
    <row r="60" spans="1:25" x14ac:dyDescent="0.25">
      <c r="A60" t="s">
        <v>68</v>
      </c>
      <c r="B60" t="s">
        <v>70</v>
      </c>
      <c r="C60">
        <v>10</v>
      </c>
      <c r="D60" t="s">
        <v>71</v>
      </c>
      <c r="E60" t="s">
        <v>77</v>
      </c>
      <c r="F60" t="s">
        <v>73</v>
      </c>
      <c r="G60">
        <v>4.5791315152111904</v>
      </c>
      <c r="H60">
        <v>0.18379184198548801</v>
      </c>
      <c r="I60">
        <v>1.0144801542689901</v>
      </c>
      <c r="J60">
        <v>20.667935248690601</v>
      </c>
      <c r="K60">
        <v>782</v>
      </c>
      <c r="L60" t="str">
        <f>DiscreteStatsTable[[#This Row],[ProjectName]]&amp;DiscreteStatsTable[[#This Row],[Name]]&amp;DiscreteStatsTable[[#This Row],[Type]]&amp;DiscreteStatsTable[[#This Row],[Source]]</f>
        <v>Tener ArticulsoArticulosVA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12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4.4972558269618901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9.4577990616504876E-2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6.0091988326368861E-2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4.3179545296811002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4.6805733214061496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1.00010180636809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21.211822368947701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60">
        <f>IF((DiscreteStatsTable[[#This Row],[RepsRequested]]&gt;1),DiscreteStatsTable[[#This Row],[HalfWidth]],DiscreteStatsTable[[#This Row],[BatchMeansHalfWidth]])</f>
        <v>6.0091988326368861E-2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12</v>
      </c>
      <c r="Y60">
        <f>IF(DiscreteStatsTable[[#This Row],[RepsRequested]]=DiscreteStatsTable[[#This Row],[RepsWithStatObserved]],1,0)</f>
        <v>1</v>
      </c>
    </row>
    <row r="61" spans="1:25" x14ac:dyDescent="0.25">
      <c r="A61" t="s">
        <v>68</v>
      </c>
      <c r="B61" t="s">
        <v>70</v>
      </c>
      <c r="C61">
        <v>10</v>
      </c>
      <c r="D61" t="s">
        <v>71</v>
      </c>
      <c r="E61" t="s">
        <v>78</v>
      </c>
      <c r="F61" t="s">
        <v>73</v>
      </c>
      <c r="G61">
        <v>27.9478620522701</v>
      </c>
      <c r="H61">
        <v>3E+20</v>
      </c>
      <c r="I61">
        <v>0</v>
      </c>
      <c r="J61">
        <v>207.64542257500901</v>
      </c>
      <c r="K61">
        <v>782</v>
      </c>
      <c r="L61" t="str">
        <f>DiscreteStatsTable[[#This Row],[ProjectName]]&amp;DiscreteStatsTable[[#This Row],[Name]]&amp;DiscreteStatsTable[[#This Row],[Type]]&amp;DiscreteStatsTable[[#This Row],[Source]]</f>
        <v>Tener ArticulsoArticulosWait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12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26.946209739069115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4.7837077207549079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3.039422878817212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17.449877569488098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35.256685333982702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334.16964925652798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61">
        <f>IF((DiscreteStatsTable[[#This Row],[RepsRequested]]&gt;1),DiscreteStatsTable[[#This Row],[HalfWidth]],DiscreteStatsTable[[#This Row],[BatchMeansHalfWidth]])</f>
        <v>3.039422878817212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12</v>
      </c>
      <c r="Y61">
        <f>IF(DiscreteStatsTable[[#This Row],[RepsRequested]]=DiscreteStatsTable[[#This Row],[RepsWithStatObserved]],1,0)</f>
        <v>1</v>
      </c>
    </row>
    <row r="62" spans="1:25" x14ac:dyDescent="0.25">
      <c r="A62" t="s">
        <v>68</v>
      </c>
      <c r="B62" t="s">
        <v>70</v>
      </c>
      <c r="C62">
        <v>11</v>
      </c>
      <c r="D62" t="s">
        <v>71</v>
      </c>
      <c r="E62" t="s">
        <v>72</v>
      </c>
      <c r="F62" t="s">
        <v>73</v>
      </c>
      <c r="G62">
        <v>0</v>
      </c>
      <c r="H62">
        <v>0</v>
      </c>
      <c r="I62">
        <v>0</v>
      </c>
      <c r="J62">
        <v>0</v>
      </c>
      <c r="K62">
        <v>794</v>
      </c>
      <c r="L62" s="5" t="str">
        <f>DiscreteStatsTable[[#This Row],[ProjectName]]&amp;DiscreteStatsTable[[#This Row],[Name]]&amp;DiscreteStatsTable[[#This Row],[Type]]&amp;DiscreteStatsTable[[#This Row],[Source]]</f>
        <v>Tener ArticulsoArticulosNVA TimeEntity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12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12</v>
      </c>
      <c r="Y62" s="5">
        <f>IF(DiscreteStatsTable[[#This Row],[RepsRequested]]=DiscreteStatsTable[[#This Row],[RepsWithStatObserved]],1,0)</f>
        <v>1</v>
      </c>
    </row>
    <row r="63" spans="1:25" x14ac:dyDescent="0.25">
      <c r="A63" t="s">
        <v>68</v>
      </c>
      <c r="B63" t="s">
        <v>70</v>
      </c>
      <c r="C63">
        <v>11</v>
      </c>
      <c r="D63" t="s">
        <v>71</v>
      </c>
      <c r="E63" t="s">
        <v>74</v>
      </c>
      <c r="F63" t="s">
        <v>73</v>
      </c>
      <c r="G63">
        <v>0</v>
      </c>
      <c r="H63">
        <v>0</v>
      </c>
      <c r="I63">
        <v>0</v>
      </c>
      <c r="J63">
        <v>0</v>
      </c>
      <c r="K63">
        <v>794</v>
      </c>
      <c r="L63" s="5" t="str">
        <f>DiscreteStatsTable[[#This Row],[ProjectName]]&amp;DiscreteStatsTable[[#This Row],[Name]]&amp;DiscreteStatsTable[[#This Row],[Type]]&amp;DiscreteStatsTable[[#This Row],[Source]]</f>
        <v>Tener ArticulsoArticulosOther TimeEntity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12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63" s="5">
        <f>IF((DiscreteStatsTable[[#This Row],[RepsRequested]]&gt;1),DiscreteStatsTable[[#This Row],[HalfWidth]],DiscreteStatsTable[[#This Row],[BatchMeansHalfWidth]])</f>
        <v>0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12</v>
      </c>
      <c r="Y63" s="5">
        <f>IF(DiscreteStatsTable[[#This Row],[RepsRequested]]=DiscreteStatsTable[[#This Row],[RepsWithStatObserved]],1,0)</f>
        <v>1</v>
      </c>
    </row>
    <row r="64" spans="1:25" x14ac:dyDescent="0.25">
      <c r="A64" t="s">
        <v>68</v>
      </c>
      <c r="B64" t="s">
        <v>70</v>
      </c>
      <c r="C64">
        <v>11</v>
      </c>
      <c r="D64" t="s">
        <v>71</v>
      </c>
      <c r="E64" t="s">
        <v>75</v>
      </c>
      <c r="F64" t="s">
        <v>73</v>
      </c>
      <c r="G64">
        <v>30.487141478533299</v>
      </c>
      <c r="H64">
        <v>3E+20</v>
      </c>
      <c r="I64">
        <v>1.36370187625607</v>
      </c>
      <c r="J64">
        <v>320.05769178589298</v>
      </c>
      <c r="K64">
        <v>794</v>
      </c>
      <c r="L64" s="5" t="str">
        <f>DiscreteStatsTable[[#This Row],[ProjectName]]&amp;DiscreteStatsTable[[#This Row],[Name]]&amp;DiscreteStatsTable[[#This Row],[Type]]&amp;DiscreteStatsTable[[#This Row],[Source]]</f>
        <v>Tener ArticulsoArticulosTotal TimeEntity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12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31.443465566031005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4.7884013482899288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3.0424050674765848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21.869819245231099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39.749511711720999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1.3051780606112999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348.59837157348801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64" s="5">
        <f>IF((DiscreteStatsTable[[#This Row],[RepsRequested]]&gt;1),DiscreteStatsTable[[#This Row],[HalfWidth]],DiscreteStatsTable[[#This Row],[BatchMeansHalfWidth]])</f>
        <v>3.0424050674765848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12</v>
      </c>
      <c r="Y64" s="5">
        <f>IF(DiscreteStatsTable[[#This Row],[RepsRequested]]=DiscreteStatsTable[[#This Row],[RepsWithStatObserved]],1,0)</f>
        <v>1</v>
      </c>
    </row>
    <row r="65" spans="1:25" x14ac:dyDescent="0.25">
      <c r="A65" t="s">
        <v>68</v>
      </c>
      <c r="B65" t="s">
        <v>70</v>
      </c>
      <c r="C65">
        <v>11</v>
      </c>
      <c r="D65" t="s">
        <v>71</v>
      </c>
      <c r="E65" t="s">
        <v>76</v>
      </c>
      <c r="F65" t="s">
        <v>73</v>
      </c>
      <c r="G65">
        <v>0</v>
      </c>
      <c r="H65">
        <v>0</v>
      </c>
      <c r="I65">
        <v>0</v>
      </c>
      <c r="J65">
        <v>0</v>
      </c>
      <c r="K65">
        <v>794</v>
      </c>
      <c r="L65" s="5" t="str">
        <f>DiscreteStatsTable[[#This Row],[ProjectName]]&amp;DiscreteStatsTable[[#This Row],[Name]]&amp;DiscreteStatsTable[[#This Row],[Type]]&amp;DiscreteStatsTable[[#This Row],[Source]]</f>
        <v>Tener ArticulsoArticulosTransfer TimeEntity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12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65" s="5">
        <f>IF((DiscreteStatsTable[[#This Row],[RepsRequested]]&gt;1),DiscreteStatsTable[[#This Row],[HalfWidth]],DiscreteStatsTable[[#This Row],[BatchMeansHalfWidth]])</f>
        <v>0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12</v>
      </c>
      <c r="Y65" s="5">
        <f>IF(DiscreteStatsTable[[#This Row],[RepsRequested]]=DiscreteStatsTable[[#This Row],[RepsWithStatObserved]],1,0)</f>
        <v>1</v>
      </c>
    </row>
    <row r="66" spans="1:25" x14ac:dyDescent="0.25">
      <c r="A66" t="s">
        <v>68</v>
      </c>
      <c r="B66" t="s">
        <v>70</v>
      </c>
      <c r="C66">
        <v>11</v>
      </c>
      <c r="D66" t="s">
        <v>71</v>
      </c>
      <c r="E66" t="s">
        <v>77</v>
      </c>
      <c r="F66" t="s">
        <v>73</v>
      </c>
      <c r="G66">
        <v>4.4688747642758404</v>
      </c>
      <c r="H66">
        <v>0.24500048557884299</v>
      </c>
      <c r="I66">
        <v>1.00041726396603</v>
      </c>
      <c r="J66">
        <v>21.211822368947701</v>
      </c>
      <c r="K66">
        <v>794</v>
      </c>
      <c r="L66" s="5" t="str">
        <f>DiscreteStatsTable[[#This Row],[ProjectName]]&amp;DiscreteStatsTable[[#This Row],[Name]]&amp;DiscreteStatsTable[[#This Row],[Type]]&amp;DiscreteStatsTable[[#This Row],[Source]]</f>
        <v>Tener ArticulsoArticulosVA TimeEntity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12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4.4972558269618901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9.4577990616504876E-2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6.0091988326368861E-2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4.3179545296811002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4.6805733214061496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1.00010180636809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21.211822368947701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66" s="5">
        <f>IF((DiscreteStatsTable[[#This Row],[RepsRequested]]&gt;1),DiscreteStatsTable[[#This Row],[HalfWidth]],DiscreteStatsTable[[#This Row],[BatchMeansHalfWidth]])</f>
        <v>6.0091988326368861E-2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12</v>
      </c>
      <c r="Y66" s="5">
        <f>IF(DiscreteStatsTable[[#This Row],[RepsRequested]]=DiscreteStatsTable[[#This Row],[RepsWithStatObserved]],1,0)</f>
        <v>1</v>
      </c>
    </row>
    <row r="67" spans="1:25" x14ac:dyDescent="0.25">
      <c r="A67" t="s">
        <v>68</v>
      </c>
      <c r="B67" t="s">
        <v>70</v>
      </c>
      <c r="C67">
        <v>11</v>
      </c>
      <c r="D67" t="s">
        <v>71</v>
      </c>
      <c r="E67" t="s">
        <v>78</v>
      </c>
      <c r="F67" t="s">
        <v>73</v>
      </c>
      <c r="G67">
        <v>26.0182667142575</v>
      </c>
      <c r="H67">
        <v>3E+20</v>
      </c>
      <c r="I67">
        <v>0</v>
      </c>
      <c r="J67">
        <v>302.05992035082699</v>
      </c>
      <c r="K67">
        <v>794</v>
      </c>
      <c r="L67" s="5" t="str">
        <f>DiscreteStatsTable[[#This Row],[ProjectName]]&amp;DiscreteStatsTable[[#This Row],[Name]]&amp;DiscreteStatsTable[[#This Row],[Type]]&amp;DiscreteStatsTable[[#This Row],[Source]]</f>
        <v>Tener ArticulsoArticulosWait TimeEntity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12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26.946209739069115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4.7837077207549079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3.039422878817212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17.449877569488098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35.256685333982702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334.16964925652798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67" s="5">
        <f>IF((DiscreteStatsTable[[#This Row],[RepsRequested]]&gt;1),DiscreteStatsTable[[#This Row],[HalfWidth]],DiscreteStatsTable[[#This Row],[BatchMeansHalfWidth]])</f>
        <v>3.039422878817212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12</v>
      </c>
      <c r="Y67" s="5">
        <f>IF(DiscreteStatsTable[[#This Row],[RepsRequested]]=DiscreteStatsTable[[#This Row],[RepsWithStatObserved]],1,0)</f>
        <v>1</v>
      </c>
    </row>
    <row r="68" spans="1:25" x14ac:dyDescent="0.25">
      <c r="A68" t="s">
        <v>68</v>
      </c>
      <c r="B68" t="s">
        <v>70</v>
      </c>
      <c r="C68">
        <v>12</v>
      </c>
      <c r="D68" t="s">
        <v>71</v>
      </c>
      <c r="E68" t="s">
        <v>72</v>
      </c>
      <c r="F68" t="s">
        <v>73</v>
      </c>
      <c r="G68">
        <v>0</v>
      </c>
      <c r="H68">
        <v>0</v>
      </c>
      <c r="I68">
        <v>0</v>
      </c>
      <c r="J68">
        <v>0</v>
      </c>
      <c r="K68">
        <v>730</v>
      </c>
      <c r="L68" s="5" t="str">
        <f>DiscreteStatsTable[[#This Row],[ProjectName]]&amp;DiscreteStatsTable[[#This Row],[Name]]&amp;DiscreteStatsTable[[#This Row],[Type]]&amp;DiscreteStatsTable[[#This Row],[Source]]</f>
        <v>Tener ArticulsoArticulosNVA TimeEntity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12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12</v>
      </c>
      <c r="Y68" s="5">
        <f>IF(DiscreteStatsTable[[#This Row],[RepsRequested]]=DiscreteStatsTable[[#This Row],[RepsWithStatObserved]],1,0)</f>
        <v>1</v>
      </c>
    </row>
    <row r="69" spans="1:25" x14ac:dyDescent="0.25">
      <c r="A69" t="s">
        <v>68</v>
      </c>
      <c r="B69" t="s">
        <v>70</v>
      </c>
      <c r="C69">
        <v>12</v>
      </c>
      <c r="D69" t="s">
        <v>71</v>
      </c>
      <c r="E69" t="s">
        <v>74</v>
      </c>
      <c r="F69" t="s">
        <v>73</v>
      </c>
      <c r="G69">
        <v>0</v>
      </c>
      <c r="H69">
        <v>0</v>
      </c>
      <c r="I69">
        <v>0</v>
      </c>
      <c r="J69">
        <v>0</v>
      </c>
      <c r="K69">
        <v>730</v>
      </c>
      <c r="L69" s="5" t="str">
        <f>DiscreteStatsTable[[#This Row],[ProjectName]]&amp;DiscreteStatsTable[[#This Row],[Name]]&amp;DiscreteStatsTable[[#This Row],[Type]]&amp;DiscreteStatsTable[[#This Row],[Source]]</f>
        <v>Tener ArticulsoArticulosOther TimeEntity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12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69" s="5">
        <f>IF((DiscreteStatsTable[[#This Row],[RepsRequested]]&gt;1),DiscreteStatsTable[[#This Row],[HalfWidth]],DiscreteStatsTable[[#This Row],[BatchMeansHalfWidth]])</f>
        <v>0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12</v>
      </c>
      <c r="Y69" s="5">
        <f>IF(DiscreteStatsTable[[#This Row],[RepsRequested]]=DiscreteStatsTable[[#This Row],[RepsWithStatObserved]],1,0)</f>
        <v>1</v>
      </c>
    </row>
    <row r="70" spans="1:25" x14ac:dyDescent="0.25">
      <c r="A70" t="s">
        <v>68</v>
      </c>
      <c r="B70" t="s">
        <v>70</v>
      </c>
      <c r="C70">
        <v>12</v>
      </c>
      <c r="D70" t="s">
        <v>71</v>
      </c>
      <c r="E70" t="s">
        <v>75</v>
      </c>
      <c r="F70" t="s">
        <v>73</v>
      </c>
      <c r="G70">
        <v>30.968263693218201</v>
      </c>
      <c r="H70">
        <v>3E+20</v>
      </c>
      <c r="I70">
        <v>2.8329648563785099</v>
      </c>
      <c r="J70">
        <v>245.22445244644501</v>
      </c>
      <c r="K70">
        <v>730</v>
      </c>
      <c r="L70" s="5" t="str">
        <f>DiscreteStatsTable[[#This Row],[ProjectName]]&amp;DiscreteStatsTable[[#This Row],[Name]]&amp;DiscreteStatsTable[[#This Row],[Type]]&amp;DiscreteStatsTable[[#This Row],[Source]]</f>
        <v>Tener ArticulsoArticulosTotal TimeEntity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12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31.443465566031005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4.7884013482899288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3.0424050674765848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21.869819245231099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39.749511711720999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1.3051780606112999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348.59837157348801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70" s="5">
        <f>IF((DiscreteStatsTable[[#This Row],[RepsRequested]]&gt;1),DiscreteStatsTable[[#This Row],[HalfWidth]],DiscreteStatsTable[[#This Row],[BatchMeansHalfWidth]])</f>
        <v>3.0424050674765848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12</v>
      </c>
      <c r="Y70" s="5">
        <f>IF(DiscreteStatsTable[[#This Row],[RepsRequested]]=DiscreteStatsTable[[#This Row],[RepsWithStatObserved]],1,0)</f>
        <v>1</v>
      </c>
    </row>
    <row r="71" spans="1:25" x14ac:dyDescent="0.25">
      <c r="A71" t="s">
        <v>68</v>
      </c>
      <c r="B71" t="s">
        <v>70</v>
      </c>
      <c r="C71">
        <v>12</v>
      </c>
      <c r="D71" t="s">
        <v>71</v>
      </c>
      <c r="E71" t="s">
        <v>76</v>
      </c>
      <c r="F71" t="s">
        <v>73</v>
      </c>
      <c r="G71">
        <v>0</v>
      </c>
      <c r="H71">
        <v>0</v>
      </c>
      <c r="I71">
        <v>0</v>
      </c>
      <c r="J71">
        <v>0</v>
      </c>
      <c r="K71">
        <v>730</v>
      </c>
      <c r="L71" s="5" t="str">
        <f>DiscreteStatsTable[[#This Row],[ProjectName]]&amp;DiscreteStatsTable[[#This Row],[Name]]&amp;DiscreteStatsTable[[#This Row],[Type]]&amp;DiscreteStatsTable[[#This Row],[Source]]</f>
        <v>Tener ArticulsoArticulosTransfer TimeEntity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12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71" s="5">
        <f>IF((DiscreteStatsTable[[#This Row],[RepsRequested]]&gt;1),DiscreteStatsTable[[#This Row],[HalfWidth]],DiscreteStatsTable[[#This Row],[BatchMeansHalfWidth]])</f>
        <v>0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12</v>
      </c>
      <c r="Y71" s="5">
        <f>IF(DiscreteStatsTable[[#This Row],[RepsRequested]]=DiscreteStatsTable[[#This Row],[RepsWithStatObserved]],1,0)</f>
        <v>1</v>
      </c>
    </row>
    <row r="72" spans="1:25" x14ac:dyDescent="0.25">
      <c r="A72" t="s">
        <v>68</v>
      </c>
      <c r="B72" t="s">
        <v>70</v>
      </c>
      <c r="C72">
        <v>12</v>
      </c>
      <c r="D72" t="s">
        <v>71</v>
      </c>
      <c r="E72" t="s">
        <v>77</v>
      </c>
      <c r="F72" t="s">
        <v>73</v>
      </c>
      <c r="G72">
        <v>4.6805733214061496</v>
      </c>
      <c r="H72">
        <v>0.29122354294775399</v>
      </c>
      <c r="I72">
        <v>1.01328202261959</v>
      </c>
      <c r="J72">
        <v>20.0000641635975</v>
      </c>
      <c r="K72">
        <v>730</v>
      </c>
      <c r="L72" s="5" t="str">
        <f>DiscreteStatsTable[[#This Row],[ProjectName]]&amp;DiscreteStatsTable[[#This Row],[Name]]&amp;DiscreteStatsTable[[#This Row],[Type]]&amp;DiscreteStatsTable[[#This Row],[Source]]</f>
        <v>Tener ArticulsoArticulosVA TimeEntity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12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4.4972558269618901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9.4577990616504876E-2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6.0091988326368861E-2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4.3179545296811002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4.6805733214061496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1.00010180636809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21.211822368947701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72" s="5">
        <f>IF((DiscreteStatsTable[[#This Row],[RepsRequested]]&gt;1),DiscreteStatsTable[[#This Row],[HalfWidth]],DiscreteStatsTable[[#This Row],[BatchMeansHalfWidth]])</f>
        <v>6.0091988326368861E-2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12</v>
      </c>
      <c r="Y72" s="5">
        <f>IF(DiscreteStatsTable[[#This Row],[RepsRequested]]=DiscreteStatsTable[[#This Row],[RepsWithStatObserved]],1,0)</f>
        <v>1</v>
      </c>
    </row>
    <row r="73" spans="1:25" x14ac:dyDescent="0.25">
      <c r="A73" t="s">
        <v>68</v>
      </c>
      <c r="B73" t="s">
        <v>70</v>
      </c>
      <c r="C73">
        <v>12</v>
      </c>
      <c r="D73" t="s">
        <v>71</v>
      </c>
      <c r="E73" t="s">
        <v>78</v>
      </c>
      <c r="F73" t="s">
        <v>73</v>
      </c>
      <c r="G73">
        <v>26.287690371812001</v>
      </c>
      <c r="H73">
        <v>3E+20</v>
      </c>
      <c r="I73">
        <v>0</v>
      </c>
      <c r="J73">
        <v>229.78375299697001</v>
      </c>
      <c r="K73">
        <v>730</v>
      </c>
      <c r="L73" s="5" t="str">
        <f>DiscreteStatsTable[[#This Row],[ProjectName]]&amp;DiscreteStatsTable[[#This Row],[Name]]&amp;DiscreteStatsTable[[#This Row],[Type]]&amp;DiscreteStatsTable[[#This Row],[Source]]</f>
        <v>Tener ArticulsoArticulosWait TimeEntity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12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26.946209739069115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4.7837077207549079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3.039422878817212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17.449877569488098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35.256685333982702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334.16964925652798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783.16666666666663</v>
      </c>
      <c r="W73" s="5">
        <f>IF((DiscreteStatsTable[[#This Row],[RepsRequested]]&gt;1),DiscreteStatsTable[[#This Row],[HalfWidth]],DiscreteStatsTable[[#This Row],[BatchMeansHalfWidth]])</f>
        <v>3.039422878817212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12</v>
      </c>
      <c r="Y73" s="5">
        <f>IF(DiscreteStatsTable[[#This Row],[RepsRequested]]=DiscreteStatsTable[[#This Row],[RepsWithStatObserved]],1,0)</f>
        <v>1</v>
      </c>
    </row>
    <row r="74" spans="1:25" x14ac:dyDescent="0.25">
      <c r="A74" t="s">
        <v>68</v>
      </c>
      <c r="B74" t="s">
        <v>70</v>
      </c>
      <c r="C74">
        <v>1</v>
      </c>
      <c r="D74" t="s">
        <v>79</v>
      </c>
      <c r="E74" t="s">
        <v>72</v>
      </c>
      <c r="F74" t="s">
        <v>73</v>
      </c>
      <c r="G74">
        <v>0</v>
      </c>
      <c r="H74">
        <v>0</v>
      </c>
      <c r="I74">
        <v>0</v>
      </c>
      <c r="J74">
        <v>0</v>
      </c>
      <c r="K74">
        <v>351</v>
      </c>
      <c r="L74" s="5" t="str">
        <f>DiscreteStatsTable[[#This Row],[ProjectName]]&amp;DiscreteStatsTable[[#This Row],[Name]]&amp;DiscreteStatsTable[[#This Row],[Type]]&amp;DiscreteStatsTable[[#This Row],[Source]]</f>
        <v>Tener ArticulsoCarrosNVA TimeEntity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12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12</v>
      </c>
      <c r="Y74" s="5">
        <f>IF(DiscreteStatsTable[[#This Row],[RepsRequested]]=DiscreteStatsTable[[#This Row],[RepsWithStatObserved]],1,0)</f>
        <v>1</v>
      </c>
    </row>
    <row r="75" spans="1:25" x14ac:dyDescent="0.25">
      <c r="A75" t="s">
        <v>68</v>
      </c>
      <c r="B75" t="s">
        <v>70</v>
      </c>
      <c r="C75">
        <v>1</v>
      </c>
      <c r="D75" t="s">
        <v>79</v>
      </c>
      <c r="E75" t="s">
        <v>74</v>
      </c>
      <c r="F75" t="s">
        <v>73</v>
      </c>
      <c r="G75">
        <v>0</v>
      </c>
      <c r="H75">
        <v>0</v>
      </c>
      <c r="I75">
        <v>0</v>
      </c>
      <c r="J75">
        <v>0</v>
      </c>
      <c r="K75">
        <v>351</v>
      </c>
      <c r="L75" s="5" t="str">
        <f>DiscreteStatsTable[[#This Row],[ProjectName]]&amp;DiscreteStatsTable[[#This Row],[Name]]&amp;DiscreteStatsTable[[#This Row],[Type]]&amp;DiscreteStatsTable[[#This Row],[Source]]</f>
        <v>Tener ArticulsoCarrosOther TimeEntity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12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75" s="5">
        <f>IF((DiscreteStatsTable[[#This Row],[RepsRequested]]&gt;1),DiscreteStatsTable[[#This Row],[HalfWidth]],DiscreteStatsTable[[#This Row],[BatchMeansHalfWidth]])</f>
        <v>0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12</v>
      </c>
      <c r="Y75" s="5">
        <f>IF(DiscreteStatsTable[[#This Row],[RepsRequested]]=DiscreteStatsTable[[#This Row],[RepsWithStatObserved]],1,0)</f>
        <v>1</v>
      </c>
    </row>
    <row r="76" spans="1:25" x14ac:dyDescent="0.25">
      <c r="A76" t="s">
        <v>68</v>
      </c>
      <c r="B76" t="s">
        <v>70</v>
      </c>
      <c r="C76">
        <v>1</v>
      </c>
      <c r="D76" t="s">
        <v>79</v>
      </c>
      <c r="E76" t="s">
        <v>75</v>
      </c>
      <c r="F76" t="s">
        <v>73</v>
      </c>
      <c r="G76">
        <v>8.7841805602037706</v>
      </c>
      <c r="H76">
        <v>3E+20</v>
      </c>
      <c r="I76">
        <v>0</v>
      </c>
      <c r="J76">
        <v>47.909826734480198</v>
      </c>
      <c r="K76">
        <v>351</v>
      </c>
      <c r="L76" s="5" t="str">
        <f>DiscreteStatsTable[[#This Row],[ProjectName]]&amp;DiscreteStatsTable[[#This Row],[Name]]&amp;DiscreteStatsTable[[#This Row],[Type]]&amp;DiscreteStatsTable[[#This Row],[Source]]</f>
        <v>Tener ArticulsoCarrosTotal TimeEntity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12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8.5796299690442694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3.9204801654846184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5.5756560720942296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19.688888471878201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73.330338726468796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76" s="5">
        <f>IF((DiscreteStatsTable[[#This Row],[RepsRequested]]&gt;1),DiscreteStatsTable[[#This Row],[HalfWidth]],DiscreteStatsTable[[#This Row],[BatchMeansHalfWidth]])</f>
        <v>2.4909542569299354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12</v>
      </c>
      <c r="Y76" s="5">
        <f>IF(DiscreteStatsTable[[#This Row],[RepsRequested]]=DiscreteStatsTable[[#This Row],[RepsWithStatObserved]],1,0)</f>
        <v>1</v>
      </c>
    </row>
    <row r="77" spans="1:25" x14ac:dyDescent="0.25">
      <c r="A77" t="s">
        <v>68</v>
      </c>
      <c r="B77" t="s">
        <v>70</v>
      </c>
      <c r="C77">
        <v>1</v>
      </c>
      <c r="D77" t="s">
        <v>79</v>
      </c>
      <c r="E77" t="s">
        <v>76</v>
      </c>
      <c r="F77" t="s">
        <v>73</v>
      </c>
      <c r="G77">
        <v>0</v>
      </c>
      <c r="H77">
        <v>0</v>
      </c>
      <c r="I77">
        <v>0</v>
      </c>
      <c r="J77">
        <v>0</v>
      </c>
      <c r="K77">
        <v>351</v>
      </c>
      <c r="L77" s="5" t="str">
        <f>DiscreteStatsTable[[#This Row],[ProjectName]]&amp;DiscreteStatsTable[[#This Row],[Name]]&amp;DiscreteStatsTable[[#This Row],[Type]]&amp;DiscreteStatsTable[[#This Row],[Source]]</f>
        <v>Tener ArticulsoCarrosTransfer TimeEntity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12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77" s="5">
        <f>IF((DiscreteStatsTable[[#This Row],[RepsRequested]]&gt;1),DiscreteStatsTable[[#This Row],[HalfWidth]],DiscreteStatsTable[[#This Row],[BatchMeansHalfWidth]])</f>
        <v>0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12</v>
      </c>
      <c r="Y77" s="5">
        <f>IF(DiscreteStatsTable[[#This Row],[RepsRequested]]=DiscreteStatsTable[[#This Row],[RepsWithStatObserved]],1,0)</f>
        <v>1</v>
      </c>
    </row>
    <row r="78" spans="1:25" x14ac:dyDescent="0.25">
      <c r="A78" t="s">
        <v>68</v>
      </c>
      <c r="B78" t="s">
        <v>70</v>
      </c>
      <c r="C78">
        <v>1</v>
      </c>
      <c r="D78" t="s">
        <v>79</v>
      </c>
      <c r="E78" t="s">
        <v>77</v>
      </c>
      <c r="F78" t="s">
        <v>73</v>
      </c>
      <c r="G78">
        <v>0</v>
      </c>
      <c r="H78">
        <v>0</v>
      </c>
      <c r="I78">
        <v>0</v>
      </c>
      <c r="J78">
        <v>0</v>
      </c>
      <c r="K78">
        <v>351</v>
      </c>
      <c r="L78" s="5" t="str">
        <f>DiscreteStatsTable[[#This Row],[ProjectName]]&amp;DiscreteStatsTable[[#This Row],[Name]]&amp;DiscreteStatsTable[[#This Row],[Type]]&amp;DiscreteStatsTable[[#This Row],[Source]]</f>
        <v>Tener ArticulsoCarrosVA TimeEntity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12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0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0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0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0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78" s="5">
        <f>IF((DiscreteStatsTable[[#This Row],[RepsRequested]]&gt;1),DiscreteStatsTable[[#This Row],[HalfWidth]],DiscreteStatsTable[[#This Row],[BatchMeansHalfWidth]])</f>
        <v>0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12</v>
      </c>
      <c r="Y78" s="5">
        <f>IF(DiscreteStatsTable[[#This Row],[RepsRequested]]=DiscreteStatsTable[[#This Row],[RepsWithStatObserved]],1,0)</f>
        <v>1</v>
      </c>
    </row>
    <row r="79" spans="1:25" x14ac:dyDescent="0.25">
      <c r="A79" t="s">
        <v>68</v>
      </c>
      <c r="B79" t="s">
        <v>70</v>
      </c>
      <c r="C79">
        <v>1</v>
      </c>
      <c r="D79" t="s">
        <v>79</v>
      </c>
      <c r="E79" t="s">
        <v>78</v>
      </c>
      <c r="F79" t="s">
        <v>73</v>
      </c>
      <c r="G79">
        <v>8.7841805602037706</v>
      </c>
      <c r="H79">
        <v>3E+20</v>
      </c>
      <c r="I79">
        <v>0</v>
      </c>
      <c r="J79">
        <v>47.909826734480198</v>
      </c>
      <c r="K79">
        <v>351</v>
      </c>
      <c r="L79" s="5" t="str">
        <f>DiscreteStatsTable[[#This Row],[ProjectName]]&amp;DiscreteStatsTable[[#This Row],[Name]]&amp;DiscreteStatsTable[[#This Row],[Type]]&amp;DiscreteStatsTable[[#This Row],[Source]]</f>
        <v>Tener ArticulsoCarrosWait TimeEntity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12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8.5796299690442694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3.9204801654846184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5.5756560720942296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19.688888471878201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73.330338726468796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79" s="5">
        <f>IF((DiscreteStatsTable[[#This Row],[RepsRequested]]&gt;1),DiscreteStatsTable[[#This Row],[HalfWidth]],DiscreteStatsTable[[#This Row],[BatchMeansHalfWidth]])</f>
        <v>2.4909542569299354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12</v>
      </c>
      <c r="Y79" s="5">
        <f>IF(DiscreteStatsTable[[#This Row],[RepsRequested]]=DiscreteStatsTable[[#This Row],[RepsWithStatObserved]],1,0)</f>
        <v>1</v>
      </c>
    </row>
    <row r="80" spans="1:25" x14ac:dyDescent="0.25">
      <c r="A80" t="s">
        <v>68</v>
      </c>
      <c r="B80" t="s">
        <v>70</v>
      </c>
      <c r="C80">
        <v>2</v>
      </c>
      <c r="D80" t="s">
        <v>79</v>
      </c>
      <c r="E80" t="s">
        <v>72</v>
      </c>
      <c r="F80" t="s">
        <v>73</v>
      </c>
      <c r="G80">
        <v>0</v>
      </c>
      <c r="H80">
        <v>0</v>
      </c>
      <c r="I80">
        <v>0</v>
      </c>
      <c r="J80">
        <v>0</v>
      </c>
      <c r="K80">
        <v>366</v>
      </c>
      <c r="L80" s="5" t="str">
        <f>DiscreteStatsTable[[#This Row],[ProjectName]]&amp;DiscreteStatsTable[[#This Row],[Name]]&amp;DiscreteStatsTable[[#This Row],[Type]]&amp;DiscreteStatsTable[[#This Row],[Source]]</f>
        <v>Tener ArticulsoCarrosNVA TimeEntity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12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12</v>
      </c>
      <c r="Y80" s="5">
        <f>IF(DiscreteStatsTable[[#This Row],[RepsRequested]]=DiscreteStatsTable[[#This Row],[RepsWithStatObserved]],1,0)</f>
        <v>1</v>
      </c>
    </row>
    <row r="81" spans="1:25" x14ac:dyDescent="0.25">
      <c r="A81" t="s">
        <v>68</v>
      </c>
      <c r="B81" t="s">
        <v>70</v>
      </c>
      <c r="C81">
        <v>2</v>
      </c>
      <c r="D81" t="s">
        <v>79</v>
      </c>
      <c r="E81" t="s">
        <v>74</v>
      </c>
      <c r="F81" t="s">
        <v>73</v>
      </c>
      <c r="G81">
        <v>0</v>
      </c>
      <c r="H81">
        <v>0</v>
      </c>
      <c r="I81">
        <v>0</v>
      </c>
      <c r="J81">
        <v>0</v>
      </c>
      <c r="K81">
        <v>366</v>
      </c>
      <c r="L81" s="5" t="str">
        <f>DiscreteStatsTable[[#This Row],[ProjectName]]&amp;DiscreteStatsTable[[#This Row],[Name]]&amp;DiscreteStatsTable[[#This Row],[Type]]&amp;DiscreteStatsTable[[#This Row],[Source]]</f>
        <v>Tener ArticulsoCarrosOther TimeEntity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12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81" s="5">
        <f>IF((DiscreteStatsTable[[#This Row],[RepsRequested]]&gt;1),DiscreteStatsTable[[#This Row],[HalfWidth]],DiscreteStatsTable[[#This Row],[BatchMeansHalfWidth]])</f>
        <v>0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12</v>
      </c>
      <c r="Y81" s="5">
        <f>IF(DiscreteStatsTable[[#This Row],[RepsRequested]]=DiscreteStatsTable[[#This Row],[RepsWithStatObserved]],1,0)</f>
        <v>1</v>
      </c>
    </row>
    <row r="82" spans="1:25" x14ac:dyDescent="0.25">
      <c r="A82" t="s">
        <v>68</v>
      </c>
      <c r="B82" t="s">
        <v>70</v>
      </c>
      <c r="C82">
        <v>2</v>
      </c>
      <c r="D82" t="s">
        <v>79</v>
      </c>
      <c r="E82" t="s">
        <v>75</v>
      </c>
      <c r="F82" t="s">
        <v>73</v>
      </c>
      <c r="G82">
        <v>9.3103158383720892</v>
      </c>
      <c r="H82">
        <v>3E+20</v>
      </c>
      <c r="I82">
        <v>0</v>
      </c>
      <c r="J82">
        <v>46.266658405999102</v>
      </c>
      <c r="K82">
        <v>366</v>
      </c>
      <c r="L82" s="5" t="str">
        <f>DiscreteStatsTable[[#This Row],[ProjectName]]&amp;DiscreteStatsTable[[#This Row],[Name]]&amp;DiscreteStatsTable[[#This Row],[Type]]&amp;DiscreteStatsTable[[#This Row],[Source]]</f>
        <v>Tener ArticulsoCarrosTotal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12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8.5796299690442694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3.9204801654846184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5.5756560720942296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19.688888471878201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73.330338726468796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82" s="5">
        <f>IF((DiscreteStatsTable[[#This Row],[RepsRequested]]&gt;1),DiscreteStatsTable[[#This Row],[HalfWidth]],DiscreteStatsTable[[#This Row],[BatchMeansHalfWidth]])</f>
        <v>2.4909542569299354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12</v>
      </c>
      <c r="Y82" s="5">
        <f>IF(DiscreteStatsTable[[#This Row],[RepsRequested]]=DiscreteStatsTable[[#This Row],[RepsWithStatObserved]],1,0)</f>
        <v>1</v>
      </c>
    </row>
    <row r="83" spans="1:25" x14ac:dyDescent="0.25">
      <c r="A83" t="s">
        <v>68</v>
      </c>
      <c r="B83" t="s">
        <v>70</v>
      </c>
      <c r="C83">
        <v>2</v>
      </c>
      <c r="D83" t="s">
        <v>79</v>
      </c>
      <c r="E83" t="s">
        <v>76</v>
      </c>
      <c r="F83" t="s">
        <v>73</v>
      </c>
      <c r="G83">
        <v>0</v>
      </c>
      <c r="H83">
        <v>0</v>
      </c>
      <c r="I83">
        <v>0</v>
      </c>
      <c r="J83">
        <v>0</v>
      </c>
      <c r="K83">
        <v>366</v>
      </c>
      <c r="L83" s="5" t="str">
        <f>DiscreteStatsTable[[#This Row],[ProjectName]]&amp;DiscreteStatsTable[[#This Row],[Name]]&amp;DiscreteStatsTable[[#This Row],[Type]]&amp;DiscreteStatsTable[[#This Row],[Source]]</f>
        <v>Tener ArticulsoCarrosTransfer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12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12</v>
      </c>
      <c r="Y83" s="5">
        <f>IF(DiscreteStatsTable[[#This Row],[RepsRequested]]=DiscreteStatsTable[[#This Row],[RepsWithStatObserved]],1,0)</f>
        <v>1</v>
      </c>
    </row>
    <row r="84" spans="1:25" x14ac:dyDescent="0.25">
      <c r="A84" t="s">
        <v>68</v>
      </c>
      <c r="B84" t="s">
        <v>70</v>
      </c>
      <c r="C84">
        <v>2</v>
      </c>
      <c r="D84" t="s">
        <v>79</v>
      </c>
      <c r="E84" t="s">
        <v>77</v>
      </c>
      <c r="F84" t="s">
        <v>73</v>
      </c>
      <c r="G84">
        <v>0</v>
      </c>
      <c r="H84">
        <v>0</v>
      </c>
      <c r="I84">
        <v>0</v>
      </c>
      <c r="J84">
        <v>0</v>
      </c>
      <c r="K84">
        <v>366</v>
      </c>
      <c r="L84" s="5" t="str">
        <f>DiscreteStatsTable[[#This Row],[ProjectName]]&amp;DiscreteStatsTable[[#This Row],[Name]]&amp;DiscreteStatsTable[[#This Row],[Type]]&amp;DiscreteStatsTable[[#This Row],[Source]]</f>
        <v>Tener ArticulsoCarrosVA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12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0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0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0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0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84" s="5">
        <f>IF((DiscreteStatsTable[[#This Row],[RepsRequested]]&gt;1),DiscreteStatsTable[[#This Row],[HalfWidth]],DiscreteStatsTable[[#This Row],[BatchMeansHalfWidth]])</f>
        <v>0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12</v>
      </c>
      <c r="Y84" s="5">
        <f>IF(DiscreteStatsTable[[#This Row],[RepsRequested]]=DiscreteStatsTable[[#This Row],[RepsWithStatObserved]],1,0)</f>
        <v>1</v>
      </c>
    </row>
    <row r="85" spans="1:25" x14ac:dyDescent="0.25">
      <c r="A85" t="s">
        <v>68</v>
      </c>
      <c r="B85" t="s">
        <v>70</v>
      </c>
      <c r="C85">
        <v>2</v>
      </c>
      <c r="D85" t="s">
        <v>79</v>
      </c>
      <c r="E85" t="s">
        <v>78</v>
      </c>
      <c r="F85" t="s">
        <v>73</v>
      </c>
      <c r="G85">
        <v>9.3103158383720892</v>
      </c>
      <c r="H85">
        <v>3E+20</v>
      </c>
      <c r="I85">
        <v>0</v>
      </c>
      <c r="J85">
        <v>46.266658405999102</v>
      </c>
      <c r="K85">
        <v>366</v>
      </c>
      <c r="L85" s="5" t="str">
        <f>DiscreteStatsTable[[#This Row],[ProjectName]]&amp;DiscreteStatsTable[[#This Row],[Name]]&amp;DiscreteStatsTable[[#This Row],[Type]]&amp;DiscreteStatsTable[[#This Row],[Source]]</f>
        <v>Tener ArticulsoCarrosWait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12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8.5796299690442694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3.9204801654846184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5.5756560720942296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19.688888471878201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73.330338726468796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85" s="5">
        <f>IF((DiscreteStatsTable[[#This Row],[RepsRequested]]&gt;1),DiscreteStatsTable[[#This Row],[HalfWidth]],DiscreteStatsTable[[#This Row],[BatchMeansHalfWidth]])</f>
        <v>2.4909542569299354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12</v>
      </c>
      <c r="Y85" s="5">
        <f>IF(DiscreteStatsTable[[#This Row],[RepsRequested]]=DiscreteStatsTable[[#This Row],[RepsWithStatObserved]],1,0)</f>
        <v>1</v>
      </c>
    </row>
    <row r="86" spans="1:25" x14ac:dyDescent="0.25">
      <c r="A86" t="s">
        <v>68</v>
      </c>
      <c r="B86" t="s">
        <v>70</v>
      </c>
      <c r="C86">
        <v>3</v>
      </c>
      <c r="D86" t="s">
        <v>79</v>
      </c>
      <c r="E86" t="s">
        <v>72</v>
      </c>
      <c r="F86" t="s">
        <v>73</v>
      </c>
      <c r="G86">
        <v>0</v>
      </c>
      <c r="H86">
        <v>0</v>
      </c>
      <c r="I86">
        <v>0</v>
      </c>
      <c r="J86">
        <v>0</v>
      </c>
      <c r="K86">
        <v>368</v>
      </c>
      <c r="L86" s="5" t="str">
        <f>DiscreteStatsTable[[#This Row],[ProjectName]]&amp;DiscreteStatsTable[[#This Row],[Name]]&amp;DiscreteStatsTable[[#This Row],[Type]]&amp;DiscreteStatsTable[[#This Row],[Source]]</f>
        <v>Tener ArticulsoCarrosNVA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12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12</v>
      </c>
      <c r="Y86" s="5">
        <f>IF(DiscreteStatsTable[[#This Row],[RepsRequested]]=DiscreteStatsTable[[#This Row],[RepsWithStatObserved]],1,0)</f>
        <v>1</v>
      </c>
    </row>
    <row r="87" spans="1:25" x14ac:dyDescent="0.25">
      <c r="A87" t="s">
        <v>68</v>
      </c>
      <c r="B87" t="s">
        <v>70</v>
      </c>
      <c r="C87">
        <v>3</v>
      </c>
      <c r="D87" t="s">
        <v>79</v>
      </c>
      <c r="E87" t="s">
        <v>74</v>
      </c>
      <c r="F87" t="s">
        <v>73</v>
      </c>
      <c r="G87">
        <v>0</v>
      </c>
      <c r="H87">
        <v>0</v>
      </c>
      <c r="I87">
        <v>0</v>
      </c>
      <c r="J87">
        <v>0</v>
      </c>
      <c r="K87">
        <v>368</v>
      </c>
      <c r="L87" s="5" t="str">
        <f>DiscreteStatsTable[[#This Row],[ProjectName]]&amp;DiscreteStatsTable[[#This Row],[Name]]&amp;DiscreteStatsTable[[#This Row],[Type]]&amp;DiscreteStatsTable[[#This Row],[Source]]</f>
        <v>Tener ArticulsoCarrosOther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12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87" s="5">
        <f>IF((DiscreteStatsTable[[#This Row],[RepsRequested]]&gt;1),DiscreteStatsTable[[#This Row],[HalfWidth]],DiscreteStatsTable[[#This Row],[BatchMeansHalfWidth]])</f>
        <v>0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12</v>
      </c>
      <c r="Y87" s="5">
        <f>IF(DiscreteStatsTable[[#This Row],[RepsRequested]]=DiscreteStatsTable[[#This Row],[RepsWithStatObserved]],1,0)</f>
        <v>1</v>
      </c>
    </row>
    <row r="88" spans="1:25" x14ac:dyDescent="0.25">
      <c r="A88" t="s">
        <v>68</v>
      </c>
      <c r="B88" t="s">
        <v>70</v>
      </c>
      <c r="C88">
        <v>3</v>
      </c>
      <c r="D88" t="s">
        <v>79</v>
      </c>
      <c r="E88" t="s">
        <v>75</v>
      </c>
      <c r="F88" t="s">
        <v>73</v>
      </c>
      <c r="G88">
        <v>7.94984034571418</v>
      </c>
      <c r="H88">
        <v>3E+20</v>
      </c>
      <c r="I88">
        <v>0</v>
      </c>
      <c r="J88">
        <v>33.267818825565897</v>
      </c>
      <c r="K88">
        <v>368</v>
      </c>
      <c r="L88" s="5" t="str">
        <f>DiscreteStatsTable[[#This Row],[ProjectName]]&amp;DiscreteStatsTable[[#This Row],[Name]]&amp;DiscreteStatsTable[[#This Row],[Type]]&amp;DiscreteStatsTable[[#This Row],[Source]]</f>
        <v>Tener ArticulsoCarrosTotal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12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8.5796299690442694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3.9204801654846184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5.5756560720942296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19.688888471878201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73.330338726468796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88" s="5">
        <f>IF((DiscreteStatsTable[[#This Row],[RepsRequested]]&gt;1),DiscreteStatsTable[[#This Row],[HalfWidth]],DiscreteStatsTable[[#This Row],[BatchMeansHalfWidth]])</f>
        <v>2.4909542569299354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12</v>
      </c>
      <c r="Y88" s="5">
        <f>IF(DiscreteStatsTable[[#This Row],[RepsRequested]]=DiscreteStatsTable[[#This Row],[RepsWithStatObserved]],1,0)</f>
        <v>1</v>
      </c>
    </row>
    <row r="89" spans="1:25" x14ac:dyDescent="0.25">
      <c r="A89" t="s">
        <v>68</v>
      </c>
      <c r="B89" t="s">
        <v>70</v>
      </c>
      <c r="C89">
        <v>3</v>
      </c>
      <c r="D89" t="s">
        <v>79</v>
      </c>
      <c r="E89" t="s">
        <v>76</v>
      </c>
      <c r="F89" t="s">
        <v>73</v>
      </c>
      <c r="G89">
        <v>0</v>
      </c>
      <c r="H89">
        <v>0</v>
      </c>
      <c r="I89">
        <v>0</v>
      </c>
      <c r="J89">
        <v>0</v>
      </c>
      <c r="K89">
        <v>368</v>
      </c>
      <c r="L89" s="5" t="str">
        <f>DiscreteStatsTable[[#This Row],[ProjectName]]&amp;DiscreteStatsTable[[#This Row],[Name]]&amp;DiscreteStatsTable[[#This Row],[Type]]&amp;DiscreteStatsTable[[#This Row],[Source]]</f>
        <v>Tener ArticulsoCarrosTransfer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12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12</v>
      </c>
      <c r="Y89" s="5">
        <f>IF(DiscreteStatsTable[[#This Row],[RepsRequested]]=DiscreteStatsTable[[#This Row],[RepsWithStatObserved]],1,0)</f>
        <v>1</v>
      </c>
    </row>
    <row r="90" spans="1:25" x14ac:dyDescent="0.25">
      <c r="A90" t="s">
        <v>68</v>
      </c>
      <c r="B90" t="s">
        <v>70</v>
      </c>
      <c r="C90">
        <v>3</v>
      </c>
      <c r="D90" t="s">
        <v>79</v>
      </c>
      <c r="E90" t="s">
        <v>77</v>
      </c>
      <c r="F90" t="s">
        <v>73</v>
      </c>
      <c r="G90">
        <v>0</v>
      </c>
      <c r="H90">
        <v>0</v>
      </c>
      <c r="I90">
        <v>0</v>
      </c>
      <c r="J90">
        <v>0</v>
      </c>
      <c r="K90">
        <v>368</v>
      </c>
      <c r="L90" s="5" t="str">
        <f>DiscreteStatsTable[[#This Row],[ProjectName]]&amp;DiscreteStatsTable[[#This Row],[Name]]&amp;DiscreteStatsTable[[#This Row],[Type]]&amp;DiscreteStatsTable[[#This Row],[Source]]</f>
        <v>Tener ArticulsoCarrosVA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12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0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0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0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0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90" s="5">
        <f>IF((DiscreteStatsTable[[#This Row],[RepsRequested]]&gt;1),DiscreteStatsTable[[#This Row],[HalfWidth]],DiscreteStatsTable[[#This Row],[BatchMeansHalfWidth]])</f>
        <v>0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12</v>
      </c>
      <c r="Y90" s="5">
        <f>IF(DiscreteStatsTable[[#This Row],[RepsRequested]]=DiscreteStatsTable[[#This Row],[RepsWithStatObserved]],1,0)</f>
        <v>1</v>
      </c>
    </row>
    <row r="91" spans="1:25" x14ac:dyDescent="0.25">
      <c r="A91" t="s">
        <v>68</v>
      </c>
      <c r="B91" t="s">
        <v>70</v>
      </c>
      <c r="C91">
        <v>3</v>
      </c>
      <c r="D91" t="s">
        <v>79</v>
      </c>
      <c r="E91" t="s">
        <v>78</v>
      </c>
      <c r="F91" t="s">
        <v>73</v>
      </c>
      <c r="G91">
        <v>7.94984034571418</v>
      </c>
      <c r="H91">
        <v>3E+20</v>
      </c>
      <c r="I91">
        <v>0</v>
      </c>
      <c r="J91">
        <v>33.267818825565897</v>
      </c>
      <c r="K91">
        <v>368</v>
      </c>
      <c r="L91" s="5" t="str">
        <f>DiscreteStatsTable[[#This Row],[ProjectName]]&amp;DiscreteStatsTable[[#This Row],[Name]]&amp;DiscreteStatsTable[[#This Row],[Type]]&amp;DiscreteStatsTable[[#This Row],[Source]]</f>
        <v>Tener ArticulsoCarrosWait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12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8.5796299690442694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3.9204801654846184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5.5756560720942296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19.688888471878201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73.330338726468796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91" s="5">
        <f>IF((DiscreteStatsTable[[#This Row],[RepsRequested]]&gt;1),DiscreteStatsTable[[#This Row],[HalfWidth]],DiscreteStatsTable[[#This Row],[BatchMeansHalfWidth]])</f>
        <v>2.4909542569299354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12</v>
      </c>
      <c r="Y91" s="5">
        <f>IF(DiscreteStatsTable[[#This Row],[RepsRequested]]=DiscreteStatsTable[[#This Row],[RepsWithStatObserved]],1,0)</f>
        <v>1</v>
      </c>
    </row>
    <row r="92" spans="1:25" x14ac:dyDescent="0.25">
      <c r="A92" t="s">
        <v>68</v>
      </c>
      <c r="B92" t="s">
        <v>70</v>
      </c>
      <c r="C92">
        <v>4</v>
      </c>
      <c r="D92" t="s">
        <v>79</v>
      </c>
      <c r="E92" t="s">
        <v>72</v>
      </c>
      <c r="F92" t="s">
        <v>73</v>
      </c>
      <c r="G92">
        <v>0</v>
      </c>
      <c r="H92">
        <v>0</v>
      </c>
      <c r="I92">
        <v>0</v>
      </c>
      <c r="J92">
        <v>0</v>
      </c>
      <c r="K92">
        <v>361</v>
      </c>
      <c r="L92" s="5" t="str">
        <f>DiscreteStatsTable[[#This Row],[ProjectName]]&amp;DiscreteStatsTable[[#This Row],[Name]]&amp;DiscreteStatsTable[[#This Row],[Type]]&amp;DiscreteStatsTable[[#This Row],[Source]]</f>
        <v>Tener ArticulsoCarrosNVA TimeEntity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12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92" s="5">
        <f>IF((DiscreteStatsTable[[#This Row],[RepsRequested]]&gt;1),DiscreteStatsTable[[#This Row],[HalfWidth]],DiscreteStatsTable[[#This Row],[BatchMeansHalfWidth]])</f>
        <v>0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12</v>
      </c>
      <c r="Y92" s="5">
        <f>IF(DiscreteStatsTable[[#This Row],[RepsRequested]]=DiscreteStatsTable[[#This Row],[RepsWithStatObserved]],1,0)</f>
        <v>1</v>
      </c>
    </row>
    <row r="93" spans="1:25" x14ac:dyDescent="0.25">
      <c r="A93" t="s">
        <v>68</v>
      </c>
      <c r="B93" t="s">
        <v>70</v>
      </c>
      <c r="C93">
        <v>4</v>
      </c>
      <c r="D93" t="s">
        <v>79</v>
      </c>
      <c r="E93" t="s">
        <v>74</v>
      </c>
      <c r="F93" t="s">
        <v>73</v>
      </c>
      <c r="G93">
        <v>0</v>
      </c>
      <c r="H93">
        <v>0</v>
      </c>
      <c r="I93">
        <v>0</v>
      </c>
      <c r="J93">
        <v>0</v>
      </c>
      <c r="K93">
        <v>361</v>
      </c>
      <c r="L93" s="5" t="str">
        <f>DiscreteStatsTable[[#This Row],[ProjectName]]&amp;DiscreteStatsTable[[#This Row],[Name]]&amp;DiscreteStatsTable[[#This Row],[Type]]&amp;DiscreteStatsTable[[#This Row],[Source]]</f>
        <v>Tener ArticulsoCarrosOther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12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93" s="5">
        <f>IF((DiscreteStatsTable[[#This Row],[RepsRequested]]&gt;1),DiscreteStatsTable[[#This Row],[HalfWidth]],DiscreteStatsTable[[#This Row],[BatchMeansHalfWidth]])</f>
        <v>0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12</v>
      </c>
      <c r="Y93" s="5">
        <f>IF(DiscreteStatsTable[[#This Row],[RepsRequested]]=DiscreteStatsTable[[#This Row],[RepsWithStatObserved]],1,0)</f>
        <v>1</v>
      </c>
    </row>
    <row r="94" spans="1:25" x14ac:dyDescent="0.25">
      <c r="A94" t="s">
        <v>68</v>
      </c>
      <c r="B94" t="s">
        <v>70</v>
      </c>
      <c r="C94">
        <v>4</v>
      </c>
      <c r="D94" t="s">
        <v>79</v>
      </c>
      <c r="E94" t="s">
        <v>75</v>
      </c>
      <c r="F94" t="s">
        <v>73</v>
      </c>
      <c r="G94">
        <v>7.3219435624328701</v>
      </c>
      <c r="H94">
        <v>2.6342919481136202</v>
      </c>
      <c r="I94">
        <v>0</v>
      </c>
      <c r="J94">
        <v>40.123315479671902</v>
      </c>
      <c r="K94">
        <v>361</v>
      </c>
      <c r="L94" s="5" t="str">
        <f>DiscreteStatsTable[[#This Row],[ProjectName]]&amp;DiscreteStatsTable[[#This Row],[Name]]&amp;DiscreteStatsTable[[#This Row],[Type]]&amp;DiscreteStatsTable[[#This Row],[Source]]</f>
        <v>Tener ArticulsoCarrosTotal TimeEntity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12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8.5796299690442694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3.9204801654846184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5.5756560720942296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19.688888471878201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73.330338726468796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94" s="5">
        <f>IF((DiscreteStatsTable[[#This Row],[RepsRequested]]&gt;1),DiscreteStatsTable[[#This Row],[HalfWidth]],DiscreteStatsTable[[#This Row],[BatchMeansHalfWidth]])</f>
        <v>2.4909542569299354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12</v>
      </c>
      <c r="Y94" s="5">
        <f>IF(DiscreteStatsTable[[#This Row],[RepsRequested]]=DiscreteStatsTable[[#This Row],[RepsWithStatObserved]],1,0)</f>
        <v>1</v>
      </c>
    </row>
    <row r="95" spans="1:25" x14ac:dyDescent="0.25">
      <c r="A95" t="s">
        <v>68</v>
      </c>
      <c r="B95" t="s">
        <v>70</v>
      </c>
      <c r="C95">
        <v>4</v>
      </c>
      <c r="D95" t="s">
        <v>79</v>
      </c>
      <c r="E95" t="s">
        <v>76</v>
      </c>
      <c r="F95" t="s">
        <v>73</v>
      </c>
      <c r="G95">
        <v>0</v>
      </c>
      <c r="H95">
        <v>0</v>
      </c>
      <c r="I95">
        <v>0</v>
      </c>
      <c r="J95">
        <v>0</v>
      </c>
      <c r="K95">
        <v>361</v>
      </c>
      <c r="L95" s="5" t="str">
        <f>DiscreteStatsTable[[#This Row],[ProjectName]]&amp;DiscreteStatsTable[[#This Row],[Name]]&amp;DiscreteStatsTable[[#This Row],[Type]]&amp;DiscreteStatsTable[[#This Row],[Source]]</f>
        <v>Tener ArticulsoCarrosTransfer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12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95" s="5">
        <f>IF((DiscreteStatsTable[[#This Row],[RepsRequested]]&gt;1),DiscreteStatsTable[[#This Row],[HalfWidth]],DiscreteStatsTable[[#This Row],[BatchMeansHalfWidth]])</f>
        <v>0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12</v>
      </c>
      <c r="Y95" s="5">
        <f>IF(DiscreteStatsTable[[#This Row],[RepsRequested]]=DiscreteStatsTable[[#This Row],[RepsWithStatObserved]],1,0)</f>
        <v>1</v>
      </c>
    </row>
    <row r="96" spans="1:25" x14ac:dyDescent="0.25">
      <c r="A96" t="s">
        <v>68</v>
      </c>
      <c r="B96" t="s">
        <v>70</v>
      </c>
      <c r="C96">
        <v>4</v>
      </c>
      <c r="D96" t="s">
        <v>79</v>
      </c>
      <c r="E96" t="s">
        <v>77</v>
      </c>
      <c r="F96" t="s">
        <v>73</v>
      </c>
      <c r="G96">
        <v>0</v>
      </c>
      <c r="H96">
        <v>0</v>
      </c>
      <c r="I96">
        <v>0</v>
      </c>
      <c r="J96">
        <v>0</v>
      </c>
      <c r="K96">
        <v>361</v>
      </c>
      <c r="L96" s="5" t="str">
        <f>DiscreteStatsTable[[#This Row],[ProjectName]]&amp;DiscreteStatsTable[[#This Row],[Name]]&amp;DiscreteStatsTable[[#This Row],[Type]]&amp;DiscreteStatsTable[[#This Row],[Source]]</f>
        <v>Tener ArticulsoCarrosVA TimeEntity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12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0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0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0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0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96" s="5">
        <f>IF((DiscreteStatsTable[[#This Row],[RepsRequested]]&gt;1),DiscreteStatsTable[[#This Row],[HalfWidth]],DiscreteStatsTable[[#This Row],[BatchMeansHalfWidth]])</f>
        <v>0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12</v>
      </c>
      <c r="Y96" s="5">
        <f>IF(DiscreteStatsTable[[#This Row],[RepsRequested]]=DiscreteStatsTable[[#This Row],[RepsWithStatObserved]],1,0)</f>
        <v>1</v>
      </c>
    </row>
    <row r="97" spans="1:25" x14ac:dyDescent="0.25">
      <c r="A97" t="s">
        <v>68</v>
      </c>
      <c r="B97" t="s">
        <v>70</v>
      </c>
      <c r="C97">
        <v>4</v>
      </c>
      <c r="D97" t="s">
        <v>79</v>
      </c>
      <c r="E97" t="s">
        <v>78</v>
      </c>
      <c r="F97" t="s">
        <v>73</v>
      </c>
      <c r="G97">
        <v>7.3219435624328701</v>
      </c>
      <c r="H97">
        <v>2.6342919481136202</v>
      </c>
      <c r="I97">
        <v>0</v>
      </c>
      <c r="J97">
        <v>40.123315479671902</v>
      </c>
      <c r="K97">
        <v>361</v>
      </c>
      <c r="L97" s="5" t="str">
        <f>DiscreteStatsTable[[#This Row],[ProjectName]]&amp;DiscreteStatsTable[[#This Row],[Name]]&amp;DiscreteStatsTable[[#This Row],[Type]]&amp;DiscreteStatsTable[[#This Row],[Source]]</f>
        <v>Tener ArticulsoCarrosWait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12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8.5796299690442694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3.9204801654846184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5.5756560720942296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19.688888471878201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73.330338726468796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97" s="5">
        <f>IF((DiscreteStatsTable[[#This Row],[RepsRequested]]&gt;1),DiscreteStatsTable[[#This Row],[HalfWidth]],DiscreteStatsTable[[#This Row],[BatchMeansHalfWidth]])</f>
        <v>2.4909542569299354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12</v>
      </c>
      <c r="Y97" s="5">
        <f>IF(DiscreteStatsTable[[#This Row],[RepsRequested]]=DiscreteStatsTable[[#This Row],[RepsWithStatObserved]],1,0)</f>
        <v>1</v>
      </c>
    </row>
    <row r="98" spans="1:25" x14ac:dyDescent="0.25">
      <c r="A98" t="s">
        <v>68</v>
      </c>
      <c r="B98" t="s">
        <v>70</v>
      </c>
      <c r="C98">
        <v>5</v>
      </c>
      <c r="D98" t="s">
        <v>79</v>
      </c>
      <c r="E98" t="s">
        <v>72</v>
      </c>
      <c r="F98" t="s">
        <v>73</v>
      </c>
      <c r="G98">
        <v>0</v>
      </c>
      <c r="H98">
        <v>0</v>
      </c>
      <c r="I98">
        <v>0</v>
      </c>
      <c r="J98">
        <v>0</v>
      </c>
      <c r="K98">
        <v>331</v>
      </c>
      <c r="L98" s="5" t="str">
        <f>DiscreteStatsTable[[#This Row],[ProjectName]]&amp;DiscreteStatsTable[[#This Row],[Name]]&amp;DiscreteStatsTable[[#This Row],[Type]]&amp;DiscreteStatsTable[[#This Row],[Source]]</f>
        <v>Tener ArticulsoCarrosNVA TimeEntity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12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98" s="5">
        <f>IF((DiscreteStatsTable[[#This Row],[RepsRequested]]&gt;1),DiscreteStatsTable[[#This Row],[HalfWidth]],DiscreteStatsTable[[#This Row],[BatchMeansHalfWidth]])</f>
        <v>0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12</v>
      </c>
      <c r="Y98" s="5">
        <f>IF(DiscreteStatsTable[[#This Row],[RepsRequested]]=DiscreteStatsTable[[#This Row],[RepsWithStatObserved]],1,0)</f>
        <v>1</v>
      </c>
    </row>
    <row r="99" spans="1:25" x14ac:dyDescent="0.25">
      <c r="A99" t="s">
        <v>68</v>
      </c>
      <c r="B99" t="s">
        <v>70</v>
      </c>
      <c r="C99">
        <v>5</v>
      </c>
      <c r="D99" t="s">
        <v>79</v>
      </c>
      <c r="E99" t="s">
        <v>74</v>
      </c>
      <c r="F99" t="s">
        <v>73</v>
      </c>
      <c r="G99">
        <v>0</v>
      </c>
      <c r="H99">
        <v>0</v>
      </c>
      <c r="I99">
        <v>0</v>
      </c>
      <c r="J99">
        <v>0</v>
      </c>
      <c r="K99">
        <v>331</v>
      </c>
      <c r="L99" s="5" t="str">
        <f>DiscreteStatsTable[[#This Row],[ProjectName]]&amp;DiscreteStatsTable[[#This Row],[Name]]&amp;DiscreteStatsTable[[#This Row],[Type]]&amp;DiscreteStatsTable[[#This Row],[Source]]</f>
        <v>Tener ArticulsoCarrosOther TimeEntity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12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99" s="5">
        <f>IF((DiscreteStatsTable[[#This Row],[RepsRequested]]&gt;1),DiscreteStatsTable[[#This Row],[HalfWidth]],DiscreteStatsTable[[#This Row],[BatchMeansHalfWidth]])</f>
        <v>0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12</v>
      </c>
      <c r="Y99" s="5">
        <f>IF(DiscreteStatsTable[[#This Row],[RepsRequested]]=DiscreteStatsTable[[#This Row],[RepsWithStatObserved]],1,0)</f>
        <v>1</v>
      </c>
    </row>
    <row r="100" spans="1:25" x14ac:dyDescent="0.25">
      <c r="A100" t="s">
        <v>68</v>
      </c>
      <c r="B100" t="s">
        <v>70</v>
      </c>
      <c r="C100">
        <v>5</v>
      </c>
      <c r="D100" t="s">
        <v>79</v>
      </c>
      <c r="E100" t="s">
        <v>75</v>
      </c>
      <c r="F100" t="s">
        <v>73</v>
      </c>
      <c r="G100">
        <v>5.6735586617221401</v>
      </c>
      <c r="H100">
        <v>2.0679587161316602</v>
      </c>
      <c r="I100">
        <v>0</v>
      </c>
      <c r="J100">
        <v>31.109173200753499</v>
      </c>
      <c r="K100">
        <v>331</v>
      </c>
      <c r="L100" s="5" t="str">
        <f>DiscreteStatsTable[[#This Row],[ProjectName]]&amp;DiscreteStatsTable[[#This Row],[Name]]&amp;DiscreteStatsTable[[#This Row],[Type]]&amp;DiscreteStatsTable[[#This Row],[Source]]</f>
        <v>Tener ArticulsoCarrosTotal TimeEntity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12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8.5796299690442694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3.9204801654846184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5.5756560720942296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19.688888471878201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73.330338726468796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00" s="5">
        <f>IF((DiscreteStatsTable[[#This Row],[RepsRequested]]&gt;1),DiscreteStatsTable[[#This Row],[HalfWidth]],DiscreteStatsTable[[#This Row],[BatchMeansHalfWidth]])</f>
        <v>2.4909542569299354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12</v>
      </c>
      <c r="Y100" s="5">
        <f>IF(DiscreteStatsTable[[#This Row],[RepsRequested]]=DiscreteStatsTable[[#This Row],[RepsWithStatObserved]],1,0)</f>
        <v>1</v>
      </c>
    </row>
    <row r="101" spans="1:25" x14ac:dyDescent="0.25">
      <c r="A101" t="s">
        <v>68</v>
      </c>
      <c r="B101" t="s">
        <v>70</v>
      </c>
      <c r="C101">
        <v>5</v>
      </c>
      <c r="D101" t="s">
        <v>79</v>
      </c>
      <c r="E101" t="s">
        <v>76</v>
      </c>
      <c r="F101" t="s">
        <v>73</v>
      </c>
      <c r="G101">
        <v>0</v>
      </c>
      <c r="H101">
        <v>0</v>
      </c>
      <c r="I101">
        <v>0</v>
      </c>
      <c r="J101">
        <v>0</v>
      </c>
      <c r="K101">
        <v>331</v>
      </c>
      <c r="L101" s="5" t="str">
        <f>DiscreteStatsTable[[#This Row],[ProjectName]]&amp;DiscreteStatsTable[[#This Row],[Name]]&amp;DiscreteStatsTable[[#This Row],[Type]]&amp;DiscreteStatsTable[[#This Row],[Source]]</f>
        <v>Tener ArticulsoCarrosTransfer TimeEntity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12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01" s="5">
        <f>IF((DiscreteStatsTable[[#This Row],[RepsRequested]]&gt;1),DiscreteStatsTable[[#This Row],[HalfWidth]],DiscreteStatsTable[[#This Row],[BatchMeansHalfWidth]])</f>
        <v>0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12</v>
      </c>
      <c r="Y101" s="5">
        <f>IF(DiscreteStatsTable[[#This Row],[RepsRequested]]=DiscreteStatsTable[[#This Row],[RepsWithStatObserved]],1,0)</f>
        <v>1</v>
      </c>
    </row>
    <row r="102" spans="1:25" x14ac:dyDescent="0.25">
      <c r="A102" t="s">
        <v>68</v>
      </c>
      <c r="B102" t="s">
        <v>70</v>
      </c>
      <c r="C102">
        <v>5</v>
      </c>
      <c r="D102" t="s">
        <v>79</v>
      </c>
      <c r="E102" t="s">
        <v>77</v>
      </c>
      <c r="F102" t="s">
        <v>73</v>
      </c>
      <c r="G102">
        <v>0</v>
      </c>
      <c r="H102">
        <v>0</v>
      </c>
      <c r="I102">
        <v>0</v>
      </c>
      <c r="J102">
        <v>0</v>
      </c>
      <c r="K102">
        <v>331</v>
      </c>
      <c r="L102" s="5" t="str">
        <f>DiscreteStatsTable[[#This Row],[ProjectName]]&amp;DiscreteStatsTable[[#This Row],[Name]]&amp;DiscreteStatsTable[[#This Row],[Type]]&amp;DiscreteStatsTable[[#This Row],[Source]]</f>
        <v>Tener ArticulsoCarrosVA TimeEntity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12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0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0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0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0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02" s="5">
        <f>IF((DiscreteStatsTable[[#This Row],[RepsRequested]]&gt;1),DiscreteStatsTable[[#This Row],[HalfWidth]],DiscreteStatsTable[[#This Row],[BatchMeansHalfWidth]])</f>
        <v>0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12</v>
      </c>
      <c r="Y102" s="5">
        <f>IF(DiscreteStatsTable[[#This Row],[RepsRequested]]=DiscreteStatsTable[[#This Row],[RepsWithStatObserved]],1,0)</f>
        <v>1</v>
      </c>
    </row>
    <row r="103" spans="1:25" x14ac:dyDescent="0.25">
      <c r="A103" t="s">
        <v>68</v>
      </c>
      <c r="B103" t="s">
        <v>70</v>
      </c>
      <c r="C103">
        <v>5</v>
      </c>
      <c r="D103" t="s">
        <v>79</v>
      </c>
      <c r="E103" t="s">
        <v>78</v>
      </c>
      <c r="F103" t="s">
        <v>73</v>
      </c>
      <c r="G103">
        <v>5.6735586617221401</v>
      </c>
      <c r="H103">
        <v>2.0679587161316602</v>
      </c>
      <c r="I103">
        <v>0</v>
      </c>
      <c r="J103">
        <v>31.109173200753499</v>
      </c>
      <c r="K103">
        <v>331</v>
      </c>
      <c r="L103" s="5" t="str">
        <f>DiscreteStatsTable[[#This Row],[ProjectName]]&amp;DiscreteStatsTable[[#This Row],[Name]]&amp;DiscreteStatsTable[[#This Row],[Type]]&amp;DiscreteStatsTable[[#This Row],[Source]]</f>
        <v>Tener ArticulsoCarrosWait TimeEntity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12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8.5796299690442694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3.9204801654846184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5.5756560720942296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19.688888471878201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73.330338726468796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03" s="5">
        <f>IF((DiscreteStatsTable[[#This Row],[RepsRequested]]&gt;1),DiscreteStatsTable[[#This Row],[HalfWidth]],DiscreteStatsTable[[#This Row],[BatchMeansHalfWidth]])</f>
        <v>2.4909542569299354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12</v>
      </c>
      <c r="Y103" s="5">
        <f>IF(DiscreteStatsTable[[#This Row],[RepsRequested]]=DiscreteStatsTable[[#This Row],[RepsWithStatObserved]],1,0)</f>
        <v>1</v>
      </c>
    </row>
    <row r="104" spans="1:25" x14ac:dyDescent="0.25">
      <c r="A104" t="s">
        <v>68</v>
      </c>
      <c r="B104" t="s">
        <v>70</v>
      </c>
      <c r="C104">
        <v>6</v>
      </c>
      <c r="D104" t="s">
        <v>79</v>
      </c>
      <c r="E104" t="s">
        <v>72</v>
      </c>
      <c r="F104" t="s">
        <v>73</v>
      </c>
      <c r="G104">
        <v>0</v>
      </c>
      <c r="H104">
        <v>0</v>
      </c>
      <c r="I104">
        <v>0</v>
      </c>
      <c r="J104">
        <v>0</v>
      </c>
      <c r="K104">
        <v>351</v>
      </c>
      <c r="L104" s="5" t="str">
        <f>DiscreteStatsTable[[#This Row],[ProjectName]]&amp;DiscreteStatsTable[[#This Row],[Name]]&amp;DiscreteStatsTable[[#This Row],[Type]]&amp;DiscreteStatsTable[[#This Row],[Source]]</f>
        <v>Tener ArticulsoCarrosNVA TimeEntity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12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04" s="5">
        <f>IF((DiscreteStatsTable[[#This Row],[RepsRequested]]&gt;1),DiscreteStatsTable[[#This Row],[HalfWidth]],DiscreteStatsTable[[#This Row],[BatchMeansHalfWidth]])</f>
        <v>0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12</v>
      </c>
      <c r="Y104" s="5">
        <f>IF(DiscreteStatsTable[[#This Row],[RepsRequested]]=DiscreteStatsTable[[#This Row],[RepsWithStatObserved]],1,0)</f>
        <v>1</v>
      </c>
    </row>
    <row r="105" spans="1:25" x14ac:dyDescent="0.25">
      <c r="A105" t="s">
        <v>68</v>
      </c>
      <c r="B105" t="s">
        <v>70</v>
      </c>
      <c r="C105">
        <v>6</v>
      </c>
      <c r="D105" t="s">
        <v>79</v>
      </c>
      <c r="E105" t="s">
        <v>74</v>
      </c>
      <c r="F105" t="s">
        <v>73</v>
      </c>
      <c r="G105">
        <v>0</v>
      </c>
      <c r="H105">
        <v>0</v>
      </c>
      <c r="I105">
        <v>0</v>
      </c>
      <c r="J105">
        <v>0</v>
      </c>
      <c r="K105">
        <v>351</v>
      </c>
      <c r="L105" s="5" t="str">
        <f>DiscreteStatsTable[[#This Row],[ProjectName]]&amp;DiscreteStatsTable[[#This Row],[Name]]&amp;DiscreteStatsTable[[#This Row],[Type]]&amp;DiscreteStatsTable[[#This Row],[Source]]</f>
        <v>Tener ArticulsoCarrosOther TimeEntity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12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05" s="5">
        <f>IF((DiscreteStatsTable[[#This Row],[RepsRequested]]&gt;1),DiscreteStatsTable[[#This Row],[HalfWidth]],DiscreteStatsTable[[#This Row],[BatchMeansHalfWidth]])</f>
        <v>0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12</v>
      </c>
      <c r="Y105" s="5">
        <f>IF(DiscreteStatsTable[[#This Row],[RepsRequested]]=DiscreteStatsTable[[#This Row],[RepsWithStatObserved]],1,0)</f>
        <v>1</v>
      </c>
    </row>
    <row r="106" spans="1:25" x14ac:dyDescent="0.25">
      <c r="A106" t="s">
        <v>68</v>
      </c>
      <c r="B106" t="s">
        <v>70</v>
      </c>
      <c r="C106">
        <v>6</v>
      </c>
      <c r="D106" t="s">
        <v>79</v>
      </c>
      <c r="E106" t="s">
        <v>75</v>
      </c>
      <c r="F106" t="s">
        <v>73</v>
      </c>
      <c r="G106">
        <v>11.382104151582199</v>
      </c>
      <c r="H106">
        <v>3E+20</v>
      </c>
      <c r="I106">
        <v>0</v>
      </c>
      <c r="J106">
        <v>39.6883878793615</v>
      </c>
      <c r="K106">
        <v>351</v>
      </c>
      <c r="L106" s="5" t="str">
        <f>DiscreteStatsTable[[#This Row],[ProjectName]]&amp;DiscreteStatsTable[[#This Row],[Name]]&amp;DiscreteStatsTable[[#This Row],[Type]]&amp;DiscreteStatsTable[[#This Row],[Source]]</f>
        <v>Tener ArticulsoCarrosTotal TimeEntity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12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8.5796299690442694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3.9204801654846184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5.5756560720942296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19.688888471878201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73.330338726468796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06" s="5">
        <f>IF((DiscreteStatsTable[[#This Row],[RepsRequested]]&gt;1),DiscreteStatsTable[[#This Row],[HalfWidth]],DiscreteStatsTable[[#This Row],[BatchMeansHalfWidth]])</f>
        <v>2.4909542569299354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12</v>
      </c>
      <c r="Y106" s="5">
        <f>IF(DiscreteStatsTable[[#This Row],[RepsRequested]]=DiscreteStatsTable[[#This Row],[RepsWithStatObserved]],1,0)</f>
        <v>1</v>
      </c>
    </row>
    <row r="107" spans="1:25" x14ac:dyDescent="0.25">
      <c r="A107" t="s">
        <v>68</v>
      </c>
      <c r="B107" t="s">
        <v>70</v>
      </c>
      <c r="C107">
        <v>6</v>
      </c>
      <c r="D107" t="s">
        <v>79</v>
      </c>
      <c r="E107" t="s">
        <v>76</v>
      </c>
      <c r="F107" t="s">
        <v>73</v>
      </c>
      <c r="G107">
        <v>0</v>
      </c>
      <c r="H107">
        <v>0</v>
      </c>
      <c r="I107">
        <v>0</v>
      </c>
      <c r="J107">
        <v>0</v>
      </c>
      <c r="K107">
        <v>351</v>
      </c>
      <c r="L107" s="5" t="str">
        <f>DiscreteStatsTable[[#This Row],[ProjectName]]&amp;DiscreteStatsTable[[#This Row],[Name]]&amp;DiscreteStatsTable[[#This Row],[Type]]&amp;DiscreteStatsTable[[#This Row],[Source]]</f>
        <v>Tener ArticulsoCarrosTransfer TimeEntity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12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07" s="5">
        <f>IF((DiscreteStatsTable[[#This Row],[RepsRequested]]&gt;1),DiscreteStatsTable[[#This Row],[HalfWidth]],DiscreteStatsTable[[#This Row],[BatchMeansHalfWidth]])</f>
        <v>0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12</v>
      </c>
      <c r="Y107" s="5">
        <f>IF(DiscreteStatsTable[[#This Row],[RepsRequested]]=DiscreteStatsTable[[#This Row],[RepsWithStatObserved]],1,0)</f>
        <v>1</v>
      </c>
    </row>
    <row r="108" spans="1:25" x14ac:dyDescent="0.25">
      <c r="A108" t="s">
        <v>68</v>
      </c>
      <c r="B108" t="s">
        <v>70</v>
      </c>
      <c r="C108">
        <v>6</v>
      </c>
      <c r="D108" t="s">
        <v>79</v>
      </c>
      <c r="E108" t="s">
        <v>77</v>
      </c>
      <c r="F108" t="s">
        <v>73</v>
      </c>
      <c r="G108">
        <v>0</v>
      </c>
      <c r="H108">
        <v>0</v>
      </c>
      <c r="I108">
        <v>0</v>
      </c>
      <c r="J108">
        <v>0</v>
      </c>
      <c r="K108">
        <v>351</v>
      </c>
      <c r="L108" s="5" t="str">
        <f>DiscreteStatsTable[[#This Row],[ProjectName]]&amp;DiscreteStatsTable[[#This Row],[Name]]&amp;DiscreteStatsTable[[#This Row],[Type]]&amp;DiscreteStatsTable[[#This Row],[Source]]</f>
        <v>Tener ArticulsoCarrosVA TimeEntity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12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0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0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0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0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08" s="5">
        <f>IF((DiscreteStatsTable[[#This Row],[RepsRequested]]&gt;1),DiscreteStatsTable[[#This Row],[HalfWidth]],DiscreteStatsTable[[#This Row],[BatchMeansHalfWidth]])</f>
        <v>0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12</v>
      </c>
      <c r="Y108" s="5">
        <f>IF(DiscreteStatsTable[[#This Row],[RepsRequested]]=DiscreteStatsTable[[#This Row],[RepsWithStatObserved]],1,0)</f>
        <v>1</v>
      </c>
    </row>
    <row r="109" spans="1:25" x14ac:dyDescent="0.25">
      <c r="A109" t="s">
        <v>68</v>
      </c>
      <c r="B109" t="s">
        <v>70</v>
      </c>
      <c r="C109">
        <v>6</v>
      </c>
      <c r="D109" t="s">
        <v>79</v>
      </c>
      <c r="E109" t="s">
        <v>78</v>
      </c>
      <c r="F109" t="s">
        <v>73</v>
      </c>
      <c r="G109">
        <v>11.382104151582199</v>
      </c>
      <c r="H109">
        <v>3E+20</v>
      </c>
      <c r="I109">
        <v>0</v>
      </c>
      <c r="J109">
        <v>39.6883878793615</v>
      </c>
      <c r="K109">
        <v>351</v>
      </c>
      <c r="L109" s="5" t="str">
        <f>DiscreteStatsTable[[#This Row],[ProjectName]]&amp;DiscreteStatsTable[[#This Row],[Name]]&amp;DiscreteStatsTable[[#This Row],[Type]]&amp;DiscreteStatsTable[[#This Row],[Source]]</f>
        <v>Tener ArticulsoCarrosWait TimeEntity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12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8.5796299690442694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3.9204801654846184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5.5756560720942296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19.688888471878201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73.330338726468796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09" s="5">
        <f>IF((DiscreteStatsTable[[#This Row],[RepsRequested]]&gt;1),DiscreteStatsTable[[#This Row],[HalfWidth]],DiscreteStatsTable[[#This Row],[BatchMeansHalfWidth]])</f>
        <v>2.4909542569299354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12</v>
      </c>
      <c r="Y109" s="5">
        <f>IF(DiscreteStatsTable[[#This Row],[RepsRequested]]=DiscreteStatsTable[[#This Row],[RepsWithStatObserved]],1,0)</f>
        <v>1</v>
      </c>
    </row>
    <row r="110" spans="1:25" x14ac:dyDescent="0.25">
      <c r="A110" t="s">
        <v>68</v>
      </c>
      <c r="B110" t="s">
        <v>70</v>
      </c>
      <c r="C110">
        <v>7</v>
      </c>
      <c r="D110" t="s">
        <v>79</v>
      </c>
      <c r="E110" t="s">
        <v>72</v>
      </c>
      <c r="F110" t="s">
        <v>73</v>
      </c>
      <c r="G110">
        <v>0</v>
      </c>
      <c r="H110">
        <v>0</v>
      </c>
      <c r="I110">
        <v>0</v>
      </c>
      <c r="J110">
        <v>0</v>
      </c>
      <c r="K110">
        <v>325</v>
      </c>
      <c r="L110" s="5" t="str">
        <f>DiscreteStatsTable[[#This Row],[ProjectName]]&amp;DiscreteStatsTable[[#This Row],[Name]]&amp;DiscreteStatsTable[[#This Row],[Type]]&amp;DiscreteStatsTable[[#This Row],[Source]]</f>
        <v>Tener ArticulsoCarrosNVA TimeEntity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12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10" s="5">
        <f>IF((DiscreteStatsTable[[#This Row],[RepsRequested]]&gt;1),DiscreteStatsTable[[#This Row],[HalfWidth]],DiscreteStatsTable[[#This Row],[BatchMeansHalfWidth]])</f>
        <v>0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12</v>
      </c>
      <c r="Y110" s="5">
        <f>IF(DiscreteStatsTable[[#This Row],[RepsRequested]]=DiscreteStatsTable[[#This Row],[RepsWithStatObserved]],1,0)</f>
        <v>1</v>
      </c>
    </row>
    <row r="111" spans="1:25" x14ac:dyDescent="0.25">
      <c r="A111" t="s">
        <v>68</v>
      </c>
      <c r="B111" t="s">
        <v>70</v>
      </c>
      <c r="C111">
        <v>7</v>
      </c>
      <c r="D111" t="s">
        <v>79</v>
      </c>
      <c r="E111" t="s">
        <v>74</v>
      </c>
      <c r="F111" t="s">
        <v>73</v>
      </c>
      <c r="G111">
        <v>0</v>
      </c>
      <c r="H111">
        <v>0</v>
      </c>
      <c r="I111">
        <v>0</v>
      </c>
      <c r="J111">
        <v>0</v>
      </c>
      <c r="K111">
        <v>325</v>
      </c>
      <c r="L111" s="5" t="str">
        <f>DiscreteStatsTable[[#This Row],[ProjectName]]&amp;DiscreteStatsTable[[#This Row],[Name]]&amp;DiscreteStatsTable[[#This Row],[Type]]&amp;DiscreteStatsTable[[#This Row],[Source]]</f>
        <v>Tener ArticulsoCarrosOther TimeEntity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12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11" s="5">
        <f>IF((DiscreteStatsTable[[#This Row],[RepsRequested]]&gt;1),DiscreteStatsTable[[#This Row],[HalfWidth]],DiscreteStatsTable[[#This Row],[BatchMeansHalfWidth]])</f>
        <v>0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12</v>
      </c>
      <c r="Y111" s="5">
        <f>IF(DiscreteStatsTable[[#This Row],[RepsRequested]]=DiscreteStatsTable[[#This Row],[RepsWithStatObserved]],1,0)</f>
        <v>1</v>
      </c>
    </row>
    <row r="112" spans="1:25" x14ac:dyDescent="0.25">
      <c r="A112" t="s">
        <v>68</v>
      </c>
      <c r="B112" t="s">
        <v>70</v>
      </c>
      <c r="C112">
        <v>7</v>
      </c>
      <c r="D112" t="s">
        <v>79</v>
      </c>
      <c r="E112" t="s">
        <v>75</v>
      </c>
      <c r="F112" t="s">
        <v>73</v>
      </c>
      <c r="G112">
        <v>5.5756560720942296</v>
      </c>
      <c r="H112">
        <v>2.1221981058683199</v>
      </c>
      <c r="I112">
        <v>0</v>
      </c>
      <c r="J112">
        <v>31.306496678171101</v>
      </c>
      <c r="K112">
        <v>325</v>
      </c>
      <c r="L112" s="5" t="str">
        <f>DiscreteStatsTable[[#This Row],[ProjectName]]&amp;DiscreteStatsTable[[#This Row],[Name]]&amp;DiscreteStatsTable[[#This Row],[Type]]&amp;DiscreteStatsTable[[#This Row],[Source]]</f>
        <v>Tener ArticulsoCarrosTotal TimeEntity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12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8.5796299690442694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3.9204801654846184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5.5756560720942296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19.688888471878201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73.330338726468796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12" s="5">
        <f>IF((DiscreteStatsTable[[#This Row],[RepsRequested]]&gt;1),DiscreteStatsTable[[#This Row],[HalfWidth]],DiscreteStatsTable[[#This Row],[BatchMeansHalfWidth]])</f>
        <v>2.4909542569299354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12</v>
      </c>
      <c r="Y112" s="5">
        <f>IF(DiscreteStatsTable[[#This Row],[RepsRequested]]=DiscreteStatsTable[[#This Row],[RepsWithStatObserved]],1,0)</f>
        <v>1</v>
      </c>
    </row>
    <row r="113" spans="1:25" x14ac:dyDescent="0.25">
      <c r="A113" t="s">
        <v>68</v>
      </c>
      <c r="B113" t="s">
        <v>70</v>
      </c>
      <c r="C113">
        <v>7</v>
      </c>
      <c r="D113" t="s">
        <v>79</v>
      </c>
      <c r="E113" t="s">
        <v>76</v>
      </c>
      <c r="F113" t="s">
        <v>73</v>
      </c>
      <c r="G113">
        <v>0</v>
      </c>
      <c r="H113">
        <v>0</v>
      </c>
      <c r="I113">
        <v>0</v>
      </c>
      <c r="J113">
        <v>0</v>
      </c>
      <c r="K113">
        <v>325</v>
      </c>
      <c r="L113" s="5" t="str">
        <f>DiscreteStatsTable[[#This Row],[ProjectName]]&amp;DiscreteStatsTable[[#This Row],[Name]]&amp;DiscreteStatsTable[[#This Row],[Type]]&amp;DiscreteStatsTable[[#This Row],[Source]]</f>
        <v>Tener ArticulsoCarrosTransfer TimeEntity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12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13" s="5">
        <f>IF((DiscreteStatsTable[[#This Row],[RepsRequested]]&gt;1),DiscreteStatsTable[[#This Row],[HalfWidth]],DiscreteStatsTable[[#This Row],[BatchMeansHalfWidth]])</f>
        <v>0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12</v>
      </c>
      <c r="Y113" s="5">
        <f>IF(DiscreteStatsTable[[#This Row],[RepsRequested]]=DiscreteStatsTable[[#This Row],[RepsWithStatObserved]],1,0)</f>
        <v>1</v>
      </c>
    </row>
    <row r="114" spans="1:25" x14ac:dyDescent="0.25">
      <c r="A114" t="s">
        <v>68</v>
      </c>
      <c r="B114" t="s">
        <v>70</v>
      </c>
      <c r="C114">
        <v>7</v>
      </c>
      <c r="D114" t="s">
        <v>79</v>
      </c>
      <c r="E114" t="s">
        <v>77</v>
      </c>
      <c r="F114" t="s">
        <v>73</v>
      </c>
      <c r="G114">
        <v>0</v>
      </c>
      <c r="H114">
        <v>0</v>
      </c>
      <c r="I114">
        <v>0</v>
      </c>
      <c r="J114">
        <v>0</v>
      </c>
      <c r="K114">
        <v>325</v>
      </c>
      <c r="L114" s="5" t="str">
        <f>DiscreteStatsTable[[#This Row],[ProjectName]]&amp;DiscreteStatsTable[[#This Row],[Name]]&amp;DiscreteStatsTable[[#This Row],[Type]]&amp;DiscreteStatsTable[[#This Row],[Source]]</f>
        <v>Tener ArticulsoCarrosVA TimeEntity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12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0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0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0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0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14" s="5">
        <f>IF((DiscreteStatsTable[[#This Row],[RepsRequested]]&gt;1),DiscreteStatsTable[[#This Row],[HalfWidth]],DiscreteStatsTable[[#This Row],[BatchMeansHalfWidth]])</f>
        <v>0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12</v>
      </c>
      <c r="Y114" s="5">
        <f>IF(DiscreteStatsTable[[#This Row],[RepsRequested]]=DiscreteStatsTable[[#This Row],[RepsWithStatObserved]],1,0)</f>
        <v>1</v>
      </c>
    </row>
    <row r="115" spans="1:25" x14ac:dyDescent="0.25">
      <c r="A115" t="s">
        <v>68</v>
      </c>
      <c r="B115" t="s">
        <v>70</v>
      </c>
      <c r="C115">
        <v>7</v>
      </c>
      <c r="D115" t="s">
        <v>79</v>
      </c>
      <c r="E115" t="s">
        <v>78</v>
      </c>
      <c r="F115" t="s">
        <v>73</v>
      </c>
      <c r="G115">
        <v>5.5756560720942296</v>
      </c>
      <c r="H115">
        <v>2.1221981058683199</v>
      </c>
      <c r="I115">
        <v>0</v>
      </c>
      <c r="J115">
        <v>31.306496678171101</v>
      </c>
      <c r="K115">
        <v>325</v>
      </c>
      <c r="L115" s="5" t="str">
        <f>DiscreteStatsTable[[#This Row],[ProjectName]]&amp;DiscreteStatsTable[[#This Row],[Name]]&amp;DiscreteStatsTable[[#This Row],[Type]]&amp;DiscreteStatsTable[[#This Row],[Source]]</f>
        <v>Tener ArticulsoCarrosWait TimeEntity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12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8.5796299690442694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3.9204801654846184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5.5756560720942296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19.688888471878201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73.330338726468796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15" s="5">
        <f>IF((DiscreteStatsTable[[#This Row],[RepsRequested]]&gt;1),DiscreteStatsTable[[#This Row],[HalfWidth]],DiscreteStatsTable[[#This Row],[BatchMeansHalfWidth]])</f>
        <v>2.4909542569299354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12</v>
      </c>
      <c r="Y115" s="5">
        <f>IF(DiscreteStatsTable[[#This Row],[RepsRequested]]=DiscreteStatsTable[[#This Row],[RepsWithStatObserved]],1,0)</f>
        <v>1</v>
      </c>
    </row>
    <row r="116" spans="1:25" x14ac:dyDescent="0.25">
      <c r="A116" t="s">
        <v>68</v>
      </c>
      <c r="B116" t="s">
        <v>70</v>
      </c>
      <c r="C116">
        <v>8</v>
      </c>
      <c r="D116" t="s">
        <v>79</v>
      </c>
      <c r="E116" t="s">
        <v>72</v>
      </c>
      <c r="F116" t="s">
        <v>73</v>
      </c>
      <c r="G116">
        <v>0</v>
      </c>
      <c r="H116">
        <v>0</v>
      </c>
      <c r="I116">
        <v>0</v>
      </c>
      <c r="J116">
        <v>0</v>
      </c>
      <c r="K116">
        <v>353</v>
      </c>
      <c r="L116" s="5" t="str">
        <f>DiscreteStatsTable[[#This Row],[ProjectName]]&amp;DiscreteStatsTable[[#This Row],[Name]]&amp;DiscreteStatsTable[[#This Row],[Type]]&amp;DiscreteStatsTable[[#This Row],[Source]]</f>
        <v>Tener ArticulsoCarrosNVA TimeEntity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12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16" s="5">
        <f>IF((DiscreteStatsTable[[#This Row],[RepsRequested]]&gt;1),DiscreteStatsTable[[#This Row],[HalfWidth]],DiscreteStatsTable[[#This Row],[BatchMeansHalfWidth]])</f>
        <v>0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12</v>
      </c>
      <c r="Y116" s="5">
        <f>IF(DiscreteStatsTable[[#This Row],[RepsRequested]]=DiscreteStatsTable[[#This Row],[RepsWithStatObserved]],1,0)</f>
        <v>1</v>
      </c>
    </row>
    <row r="117" spans="1:25" x14ac:dyDescent="0.25">
      <c r="A117" t="s">
        <v>68</v>
      </c>
      <c r="B117" t="s">
        <v>70</v>
      </c>
      <c r="C117">
        <v>8</v>
      </c>
      <c r="D117" t="s">
        <v>79</v>
      </c>
      <c r="E117" t="s">
        <v>74</v>
      </c>
      <c r="F117" t="s">
        <v>73</v>
      </c>
      <c r="G117">
        <v>0</v>
      </c>
      <c r="H117">
        <v>0</v>
      </c>
      <c r="I117">
        <v>0</v>
      </c>
      <c r="J117">
        <v>0</v>
      </c>
      <c r="K117">
        <v>353</v>
      </c>
      <c r="L117" s="5" t="str">
        <f>DiscreteStatsTable[[#This Row],[ProjectName]]&amp;DiscreteStatsTable[[#This Row],[Name]]&amp;DiscreteStatsTable[[#This Row],[Type]]&amp;DiscreteStatsTable[[#This Row],[Source]]</f>
        <v>Tener ArticulsoCarrosOther TimeEntity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12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17" s="5">
        <f>IF((DiscreteStatsTable[[#This Row],[RepsRequested]]&gt;1),DiscreteStatsTable[[#This Row],[HalfWidth]],DiscreteStatsTable[[#This Row],[BatchMeansHalfWidth]])</f>
        <v>0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12</v>
      </c>
      <c r="Y117" s="5">
        <f>IF(DiscreteStatsTable[[#This Row],[RepsRequested]]=DiscreteStatsTable[[#This Row],[RepsWithStatObserved]],1,0)</f>
        <v>1</v>
      </c>
    </row>
    <row r="118" spans="1:25" x14ac:dyDescent="0.25">
      <c r="A118" t="s">
        <v>68</v>
      </c>
      <c r="B118" t="s">
        <v>70</v>
      </c>
      <c r="C118">
        <v>8</v>
      </c>
      <c r="D118" t="s">
        <v>79</v>
      </c>
      <c r="E118" t="s">
        <v>75</v>
      </c>
      <c r="F118" t="s">
        <v>73</v>
      </c>
      <c r="G118">
        <v>19.688888471878201</v>
      </c>
      <c r="H118">
        <v>3E+20</v>
      </c>
      <c r="I118">
        <v>0</v>
      </c>
      <c r="J118">
        <v>73.330338726468796</v>
      </c>
      <c r="K118">
        <v>353</v>
      </c>
      <c r="L118" s="5" t="str">
        <f>DiscreteStatsTable[[#This Row],[ProjectName]]&amp;DiscreteStatsTable[[#This Row],[Name]]&amp;DiscreteStatsTable[[#This Row],[Type]]&amp;DiscreteStatsTable[[#This Row],[Source]]</f>
        <v>Tener ArticulsoCarrosTotal TimeEntity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12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8.5796299690442694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3.9204801654846184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5.5756560720942296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19.688888471878201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73.330338726468796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18" s="5">
        <f>IF((DiscreteStatsTable[[#This Row],[RepsRequested]]&gt;1),DiscreteStatsTable[[#This Row],[HalfWidth]],DiscreteStatsTable[[#This Row],[BatchMeansHalfWidth]])</f>
        <v>2.4909542569299354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12</v>
      </c>
      <c r="Y118" s="5">
        <f>IF(DiscreteStatsTable[[#This Row],[RepsRequested]]=DiscreteStatsTable[[#This Row],[RepsWithStatObserved]],1,0)</f>
        <v>1</v>
      </c>
    </row>
    <row r="119" spans="1:25" x14ac:dyDescent="0.25">
      <c r="A119" t="s">
        <v>68</v>
      </c>
      <c r="B119" t="s">
        <v>70</v>
      </c>
      <c r="C119">
        <v>8</v>
      </c>
      <c r="D119" t="s">
        <v>79</v>
      </c>
      <c r="E119" t="s">
        <v>76</v>
      </c>
      <c r="F119" t="s">
        <v>73</v>
      </c>
      <c r="G119">
        <v>0</v>
      </c>
      <c r="H119">
        <v>0</v>
      </c>
      <c r="I119">
        <v>0</v>
      </c>
      <c r="J119">
        <v>0</v>
      </c>
      <c r="K119">
        <v>353</v>
      </c>
      <c r="L119" s="5" t="str">
        <f>DiscreteStatsTable[[#This Row],[ProjectName]]&amp;DiscreteStatsTable[[#This Row],[Name]]&amp;DiscreteStatsTable[[#This Row],[Type]]&amp;DiscreteStatsTable[[#This Row],[Source]]</f>
        <v>Tener ArticulsoCarrosTransfer TimeEntity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12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19" s="5">
        <f>IF((DiscreteStatsTable[[#This Row],[RepsRequested]]&gt;1),DiscreteStatsTable[[#This Row],[HalfWidth]],DiscreteStatsTable[[#This Row],[BatchMeansHalfWidth]])</f>
        <v>0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12</v>
      </c>
      <c r="Y119" s="5">
        <f>IF(DiscreteStatsTable[[#This Row],[RepsRequested]]=DiscreteStatsTable[[#This Row],[RepsWithStatObserved]],1,0)</f>
        <v>1</v>
      </c>
    </row>
    <row r="120" spans="1:25" x14ac:dyDescent="0.25">
      <c r="A120" t="s">
        <v>68</v>
      </c>
      <c r="B120" t="s">
        <v>70</v>
      </c>
      <c r="C120">
        <v>8</v>
      </c>
      <c r="D120" t="s">
        <v>79</v>
      </c>
      <c r="E120" t="s">
        <v>77</v>
      </c>
      <c r="F120" t="s">
        <v>73</v>
      </c>
      <c r="G120">
        <v>0</v>
      </c>
      <c r="H120">
        <v>0</v>
      </c>
      <c r="I120">
        <v>0</v>
      </c>
      <c r="J120">
        <v>0</v>
      </c>
      <c r="K120">
        <v>353</v>
      </c>
      <c r="L120" s="5" t="str">
        <f>DiscreteStatsTable[[#This Row],[ProjectName]]&amp;DiscreteStatsTable[[#This Row],[Name]]&amp;DiscreteStatsTable[[#This Row],[Type]]&amp;DiscreteStatsTable[[#This Row],[Source]]</f>
        <v>Tener ArticulsoCarrosVA TimeEntity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12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0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0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0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0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0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20" s="5">
        <f>IF((DiscreteStatsTable[[#This Row],[RepsRequested]]&gt;1),DiscreteStatsTable[[#This Row],[HalfWidth]],DiscreteStatsTable[[#This Row],[BatchMeansHalfWidth]])</f>
        <v>0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12</v>
      </c>
      <c r="Y120" s="5">
        <f>IF(DiscreteStatsTable[[#This Row],[RepsRequested]]=DiscreteStatsTable[[#This Row],[RepsWithStatObserved]],1,0)</f>
        <v>1</v>
      </c>
    </row>
    <row r="121" spans="1:25" x14ac:dyDescent="0.25">
      <c r="A121" t="s">
        <v>68</v>
      </c>
      <c r="B121" t="s">
        <v>70</v>
      </c>
      <c r="C121">
        <v>8</v>
      </c>
      <c r="D121" t="s">
        <v>79</v>
      </c>
      <c r="E121" t="s">
        <v>78</v>
      </c>
      <c r="F121" t="s">
        <v>73</v>
      </c>
      <c r="G121">
        <v>19.688888471878201</v>
      </c>
      <c r="H121">
        <v>3E+20</v>
      </c>
      <c r="I121">
        <v>0</v>
      </c>
      <c r="J121">
        <v>73.330338726468796</v>
      </c>
      <c r="K121">
        <v>353</v>
      </c>
      <c r="L121" s="5" t="str">
        <f>DiscreteStatsTable[[#This Row],[ProjectName]]&amp;DiscreteStatsTable[[#This Row],[Name]]&amp;DiscreteStatsTable[[#This Row],[Type]]&amp;DiscreteStatsTable[[#This Row],[Source]]</f>
        <v>Tener ArticulsoCarrosWait TimeEntity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12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8.5796299690442694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3.9204801654846184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5.5756560720942296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19.688888471878201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73.330338726468796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21" s="5">
        <f>IF((DiscreteStatsTable[[#This Row],[RepsRequested]]&gt;1),DiscreteStatsTable[[#This Row],[HalfWidth]],DiscreteStatsTable[[#This Row],[BatchMeansHalfWidth]])</f>
        <v>2.4909542569299354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12</v>
      </c>
      <c r="Y121" s="5">
        <f>IF(DiscreteStatsTable[[#This Row],[RepsRequested]]=DiscreteStatsTable[[#This Row],[RepsWithStatObserved]],1,0)</f>
        <v>1</v>
      </c>
    </row>
    <row r="122" spans="1:25" x14ac:dyDescent="0.25">
      <c r="A122" t="s">
        <v>68</v>
      </c>
      <c r="B122" t="s">
        <v>70</v>
      </c>
      <c r="C122">
        <v>9</v>
      </c>
      <c r="D122" t="s">
        <v>79</v>
      </c>
      <c r="E122" t="s">
        <v>72</v>
      </c>
      <c r="F122" t="s">
        <v>73</v>
      </c>
      <c r="G122">
        <v>0</v>
      </c>
      <c r="H122">
        <v>0</v>
      </c>
      <c r="I122">
        <v>0</v>
      </c>
      <c r="J122">
        <v>0</v>
      </c>
      <c r="K122">
        <v>351</v>
      </c>
      <c r="L122" s="5" t="str">
        <f>DiscreteStatsTable[[#This Row],[ProjectName]]&amp;DiscreteStatsTable[[#This Row],[Name]]&amp;DiscreteStatsTable[[#This Row],[Type]]&amp;DiscreteStatsTable[[#This Row],[Source]]</f>
        <v>Tener ArticulsoCarrosNVA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12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12</v>
      </c>
      <c r="Y122" s="5">
        <f>IF(DiscreteStatsTable[[#This Row],[RepsRequested]]=DiscreteStatsTable[[#This Row],[RepsWithStatObserved]],1,0)</f>
        <v>1</v>
      </c>
    </row>
    <row r="123" spans="1:25" x14ac:dyDescent="0.25">
      <c r="A123" t="s">
        <v>68</v>
      </c>
      <c r="B123" t="s">
        <v>70</v>
      </c>
      <c r="C123">
        <v>9</v>
      </c>
      <c r="D123" t="s">
        <v>79</v>
      </c>
      <c r="E123" t="s">
        <v>74</v>
      </c>
      <c r="F123" t="s">
        <v>73</v>
      </c>
      <c r="G123">
        <v>0</v>
      </c>
      <c r="H123">
        <v>0</v>
      </c>
      <c r="I123">
        <v>0</v>
      </c>
      <c r="J123">
        <v>0</v>
      </c>
      <c r="K123">
        <v>351</v>
      </c>
      <c r="L123" s="5" t="str">
        <f>DiscreteStatsTable[[#This Row],[ProjectName]]&amp;DiscreteStatsTable[[#This Row],[Name]]&amp;DiscreteStatsTable[[#This Row],[Type]]&amp;DiscreteStatsTable[[#This Row],[Source]]</f>
        <v>Tener ArticulsoCarrosOther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12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12</v>
      </c>
      <c r="Y123" s="5">
        <f>IF(DiscreteStatsTable[[#This Row],[RepsRequested]]=DiscreteStatsTable[[#This Row],[RepsWithStatObserved]],1,0)</f>
        <v>1</v>
      </c>
    </row>
    <row r="124" spans="1:25" x14ac:dyDescent="0.25">
      <c r="A124" t="s">
        <v>68</v>
      </c>
      <c r="B124" t="s">
        <v>70</v>
      </c>
      <c r="C124">
        <v>9</v>
      </c>
      <c r="D124" t="s">
        <v>79</v>
      </c>
      <c r="E124" t="s">
        <v>75</v>
      </c>
      <c r="F124" t="s">
        <v>73</v>
      </c>
      <c r="G124">
        <v>7.8991506026370999</v>
      </c>
      <c r="H124">
        <v>3.1548445259414302</v>
      </c>
      <c r="I124">
        <v>0</v>
      </c>
      <c r="J124">
        <v>35.2264013446513</v>
      </c>
      <c r="K124">
        <v>351</v>
      </c>
      <c r="L124" s="5" t="str">
        <f>DiscreteStatsTable[[#This Row],[ProjectName]]&amp;DiscreteStatsTable[[#This Row],[Name]]&amp;DiscreteStatsTable[[#This Row],[Type]]&amp;DiscreteStatsTable[[#This Row],[Source]]</f>
        <v>Tener ArticulsoCarrosTotal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12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8.5796299690442694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3.9204801654846184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5.5756560720942296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19.688888471878201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73.330338726468796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24" s="5">
        <f>IF((DiscreteStatsTable[[#This Row],[RepsRequested]]&gt;1),DiscreteStatsTable[[#This Row],[HalfWidth]],DiscreteStatsTable[[#This Row],[BatchMeansHalfWidth]])</f>
        <v>2.4909542569299354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12</v>
      </c>
      <c r="Y124" s="5">
        <f>IF(DiscreteStatsTable[[#This Row],[RepsRequested]]=DiscreteStatsTable[[#This Row],[RepsWithStatObserved]],1,0)</f>
        <v>1</v>
      </c>
    </row>
    <row r="125" spans="1:25" x14ac:dyDescent="0.25">
      <c r="A125" t="s">
        <v>68</v>
      </c>
      <c r="B125" t="s">
        <v>70</v>
      </c>
      <c r="C125">
        <v>9</v>
      </c>
      <c r="D125" t="s">
        <v>79</v>
      </c>
      <c r="E125" t="s">
        <v>76</v>
      </c>
      <c r="F125" t="s">
        <v>73</v>
      </c>
      <c r="G125">
        <v>0</v>
      </c>
      <c r="H125">
        <v>0</v>
      </c>
      <c r="I125">
        <v>0</v>
      </c>
      <c r="J125">
        <v>0</v>
      </c>
      <c r="K125">
        <v>351</v>
      </c>
      <c r="L125" s="5" t="str">
        <f>DiscreteStatsTable[[#This Row],[ProjectName]]&amp;DiscreteStatsTable[[#This Row],[Name]]&amp;DiscreteStatsTable[[#This Row],[Type]]&amp;DiscreteStatsTable[[#This Row],[Source]]</f>
        <v>Tener ArticulsoCarrosTransfer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12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12</v>
      </c>
      <c r="Y125" s="5">
        <f>IF(DiscreteStatsTable[[#This Row],[RepsRequested]]=DiscreteStatsTable[[#This Row],[RepsWithStatObserved]],1,0)</f>
        <v>1</v>
      </c>
    </row>
    <row r="126" spans="1:25" x14ac:dyDescent="0.25">
      <c r="A126" t="s">
        <v>68</v>
      </c>
      <c r="B126" t="s">
        <v>70</v>
      </c>
      <c r="C126">
        <v>9</v>
      </c>
      <c r="D126" t="s">
        <v>79</v>
      </c>
      <c r="E126" t="s">
        <v>77</v>
      </c>
      <c r="F126" t="s">
        <v>73</v>
      </c>
      <c r="G126">
        <v>0</v>
      </c>
      <c r="H126">
        <v>0</v>
      </c>
      <c r="I126">
        <v>0</v>
      </c>
      <c r="J126">
        <v>0</v>
      </c>
      <c r="K126">
        <v>351</v>
      </c>
      <c r="L126" s="5" t="str">
        <f>DiscreteStatsTable[[#This Row],[ProjectName]]&amp;DiscreteStatsTable[[#This Row],[Name]]&amp;DiscreteStatsTable[[#This Row],[Type]]&amp;DiscreteStatsTable[[#This Row],[Source]]</f>
        <v>Tener ArticulsoCarrosVA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12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0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0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0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0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26" s="5">
        <f>IF((DiscreteStatsTable[[#This Row],[RepsRequested]]&gt;1),DiscreteStatsTable[[#This Row],[HalfWidth]],DiscreteStatsTable[[#This Row],[BatchMeansHalfWidth]])</f>
        <v>0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12</v>
      </c>
      <c r="Y126" s="5">
        <f>IF(DiscreteStatsTable[[#This Row],[RepsRequested]]=DiscreteStatsTable[[#This Row],[RepsWithStatObserved]],1,0)</f>
        <v>1</v>
      </c>
    </row>
    <row r="127" spans="1:25" x14ac:dyDescent="0.25">
      <c r="A127" t="s">
        <v>68</v>
      </c>
      <c r="B127" t="s">
        <v>70</v>
      </c>
      <c r="C127">
        <v>9</v>
      </c>
      <c r="D127" t="s">
        <v>79</v>
      </c>
      <c r="E127" t="s">
        <v>78</v>
      </c>
      <c r="F127" t="s">
        <v>73</v>
      </c>
      <c r="G127">
        <v>7.8991506026370999</v>
      </c>
      <c r="H127">
        <v>3.1548445259414302</v>
      </c>
      <c r="I127">
        <v>0</v>
      </c>
      <c r="J127">
        <v>35.2264013446513</v>
      </c>
      <c r="K127">
        <v>351</v>
      </c>
      <c r="L127" s="5" t="str">
        <f>DiscreteStatsTable[[#This Row],[ProjectName]]&amp;DiscreteStatsTable[[#This Row],[Name]]&amp;DiscreteStatsTable[[#This Row],[Type]]&amp;DiscreteStatsTable[[#This Row],[Source]]</f>
        <v>Tener ArticulsoCarrosWait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12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8.5796299690442694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3.9204801654846184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5.5756560720942296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19.688888471878201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73.330338726468796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27" s="5">
        <f>IF((DiscreteStatsTable[[#This Row],[RepsRequested]]&gt;1),DiscreteStatsTable[[#This Row],[HalfWidth]],DiscreteStatsTable[[#This Row],[BatchMeansHalfWidth]])</f>
        <v>2.4909542569299354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12</v>
      </c>
      <c r="Y127" s="5">
        <f>IF(DiscreteStatsTable[[#This Row],[RepsRequested]]=DiscreteStatsTable[[#This Row],[RepsWithStatObserved]],1,0)</f>
        <v>1</v>
      </c>
    </row>
    <row r="128" spans="1:25" x14ac:dyDescent="0.25">
      <c r="A128" t="s">
        <v>68</v>
      </c>
      <c r="B128" t="s">
        <v>70</v>
      </c>
      <c r="C128">
        <v>10</v>
      </c>
      <c r="D128" t="s">
        <v>79</v>
      </c>
      <c r="E128" t="s">
        <v>72</v>
      </c>
      <c r="F128" t="s">
        <v>73</v>
      </c>
      <c r="G128">
        <v>0</v>
      </c>
      <c r="H128">
        <v>0</v>
      </c>
      <c r="I128">
        <v>0</v>
      </c>
      <c r="J128">
        <v>0</v>
      </c>
      <c r="K128">
        <v>346</v>
      </c>
      <c r="L128" s="5" t="str">
        <f>DiscreteStatsTable[[#This Row],[ProjectName]]&amp;DiscreteStatsTable[[#This Row],[Name]]&amp;DiscreteStatsTable[[#This Row],[Type]]&amp;DiscreteStatsTable[[#This Row],[Source]]</f>
        <v>Tener ArticulsoCarrosNVA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12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12</v>
      </c>
      <c r="Y128" s="5">
        <f>IF(DiscreteStatsTable[[#This Row],[RepsRequested]]=DiscreteStatsTable[[#This Row],[RepsWithStatObserved]],1,0)</f>
        <v>1</v>
      </c>
    </row>
    <row r="129" spans="1:25" x14ac:dyDescent="0.25">
      <c r="A129" t="s">
        <v>68</v>
      </c>
      <c r="B129" t="s">
        <v>70</v>
      </c>
      <c r="C129">
        <v>10</v>
      </c>
      <c r="D129" t="s">
        <v>79</v>
      </c>
      <c r="E129" t="s">
        <v>74</v>
      </c>
      <c r="F129" t="s">
        <v>73</v>
      </c>
      <c r="G129">
        <v>0</v>
      </c>
      <c r="H129">
        <v>0</v>
      </c>
      <c r="I129">
        <v>0</v>
      </c>
      <c r="J129">
        <v>0</v>
      </c>
      <c r="K129">
        <v>346</v>
      </c>
      <c r="L129" s="5" t="str">
        <f>DiscreteStatsTable[[#This Row],[ProjectName]]&amp;DiscreteStatsTable[[#This Row],[Name]]&amp;DiscreteStatsTable[[#This Row],[Type]]&amp;DiscreteStatsTable[[#This Row],[Source]]</f>
        <v>Tener ArticulsoCarrosOther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12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12</v>
      </c>
      <c r="Y129" s="5">
        <f>IF(DiscreteStatsTable[[#This Row],[RepsRequested]]=DiscreteStatsTable[[#This Row],[RepsWithStatObserved]],1,0)</f>
        <v>1</v>
      </c>
    </row>
    <row r="130" spans="1:25" x14ac:dyDescent="0.25">
      <c r="A130" t="s">
        <v>68</v>
      </c>
      <c r="B130" t="s">
        <v>70</v>
      </c>
      <c r="C130">
        <v>10</v>
      </c>
      <c r="D130" t="s">
        <v>79</v>
      </c>
      <c r="E130" t="s">
        <v>75</v>
      </c>
      <c r="F130" t="s">
        <v>73</v>
      </c>
      <c r="G130">
        <v>5.7411816925788504</v>
      </c>
      <c r="H130">
        <v>2.0657461074664401</v>
      </c>
      <c r="I130">
        <v>0</v>
      </c>
      <c r="J130">
        <v>34.111566291057599</v>
      </c>
      <c r="K130">
        <v>346</v>
      </c>
      <c r="L130" s="5" t="str">
        <f>DiscreteStatsTable[[#This Row],[ProjectName]]&amp;DiscreteStatsTable[[#This Row],[Name]]&amp;DiscreteStatsTable[[#This Row],[Type]]&amp;DiscreteStatsTable[[#This Row],[Source]]</f>
        <v>Tener ArticulsoCarrosTotal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12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8.5796299690442694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3.9204801654846184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5.5756560720942296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19.688888471878201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73.330338726468796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30" s="5">
        <f>IF((DiscreteStatsTable[[#This Row],[RepsRequested]]&gt;1),DiscreteStatsTable[[#This Row],[HalfWidth]],DiscreteStatsTable[[#This Row],[BatchMeansHalfWidth]])</f>
        <v>2.4909542569299354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12</v>
      </c>
      <c r="Y130" s="5">
        <f>IF(DiscreteStatsTable[[#This Row],[RepsRequested]]=DiscreteStatsTable[[#This Row],[RepsWithStatObserved]],1,0)</f>
        <v>1</v>
      </c>
    </row>
    <row r="131" spans="1:25" x14ac:dyDescent="0.25">
      <c r="A131" t="s">
        <v>68</v>
      </c>
      <c r="B131" t="s">
        <v>70</v>
      </c>
      <c r="C131">
        <v>10</v>
      </c>
      <c r="D131" t="s">
        <v>79</v>
      </c>
      <c r="E131" t="s">
        <v>76</v>
      </c>
      <c r="F131" t="s">
        <v>73</v>
      </c>
      <c r="G131">
        <v>0</v>
      </c>
      <c r="H131">
        <v>0</v>
      </c>
      <c r="I131">
        <v>0</v>
      </c>
      <c r="J131">
        <v>0</v>
      </c>
      <c r="K131">
        <v>346</v>
      </c>
      <c r="L131" s="5" t="str">
        <f>DiscreteStatsTable[[#This Row],[ProjectName]]&amp;DiscreteStatsTable[[#This Row],[Name]]&amp;DiscreteStatsTable[[#This Row],[Type]]&amp;DiscreteStatsTable[[#This Row],[Source]]</f>
        <v>Tener ArticulsoCarrosTransfer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12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12</v>
      </c>
      <c r="Y131" s="5">
        <f>IF(DiscreteStatsTable[[#This Row],[RepsRequested]]=DiscreteStatsTable[[#This Row],[RepsWithStatObserved]],1,0)</f>
        <v>1</v>
      </c>
    </row>
    <row r="132" spans="1:25" x14ac:dyDescent="0.25">
      <c r="A132" t="s">
        <v>68</v>
      </c>
      <c r="B132" t="s">
        <v>70</v>
      </c>
      <c r="C132">
        <v>10</v>
      </c>
      <c r="D132" t="s">
        <v>79</v>
      </c>
      <c r="E132" t="s">
        <v>77</v>
      </c>
      <c r="F132" t="s">
        <v>73</v>
      </c>
      <c r="G132">
        <v>0</v>
      </c>
      <c r="H132">
        <v>0</v>
      </c>
      <c r="I132">
        <v>0</v>
      </c>
      <c r="J132">
        <v>0</v>
      </c>
      <c r="K132">
        <v>346</v>
      </c>
      <c r="L132" s="5" t="str">
        <f>DiscreteStatsTable[[#This Row],[ProjectName]]&amp;DiscreteStatsTable[[#This Row],[Name]]&amp;DiscreteStatsTable[[#This Row],[Type]]&amp;DiscreteStatsTable[[#This Row],[Source]]</f>
        <v>Tener ArticulsoCarrosVA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12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0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0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0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0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32" s="5">
        <f>IF((DiscreteStatsTable[[#This Row],[RepsRequested]]&gt;1),DiscreteStatsTable[[#This Row],[HalfWidth]],DiscreteStatsTable[[#This Row],[BatchMeansHalfWidth]])</f>
        <v>0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12</v>
      </c>
      <c r="Y132" s="5">
        <f>IF(DiscreteStatsTable[[#This Row],[RepsRequested]]=DiscreteStatsTable[[#This Row],[RepsWithStatObserved]],1,0)</f>
        <v>1</v>
      </c>
    </row>
    <row r="133" spans="1:25" x14ac:dyDescent="0.25">
      <c r="A133" t="s">
        <v>68</v>
      </c>
      <c r="B133" t="s">
        <v>70</v>
      </c>
      <c r="C133">
        <v>10</v>
      </c>
      <c r="D133" t="s">
        <v>79</v>
      </c>
      <c r="E133" t="s">
        <v>78</v>
      </c>
      <c r="F133" t="s">
        <v>73</v>
      </c>
      <c r="G133">
        <v>5.7411816925788504</v>
      </c>
      <c r="H133">
        <v>2.0657461074664401</v>
      </c>
      <c r="I133">
        <v>0</v>
      </c>
      <c r="J133">
        <v>34.111566291057599</v>
      </c>
      <c r="K133">
        <v>346</v>
      </c>
      <c r="L133" s="5" t="str">
        <f>DiscreteStatsTable[[#This Row],[ProjectName]]&amp;DiscreteStatsTable[[#This Row],[Name]]&amp;DiscreteStatsTable[[#This Row],[Type]]&amp;DiscreteStatsTable[[#This Row],[Source]]</f>
        <v>Tener ArticulsoCarrosWait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12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8.5796299690442694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3.9204801654846184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5.5756560720942296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19.688888471878201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73.330338726468796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33" s="5">
        <f>IF((DiscreteStatsTable[[#This Row],[RepsRequested]]&gt;1),DiscreteStatsTable[[#This Row],[HalfWidth]],DiscreteStatsTable[[#This Row],[BatchMeansHalfWidth]])</f>
        <v>2.4909542569299354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12</v>
      </c>
      <c r="Y133" s="5">
        <f>IF(DiscreteStatsTable[[#This Row],[RepsRequested]]=DiscreteStatsTable[[#This Row],[RepsWithStatObserved]],1,0)</f>
        <v>1</v>
      </c>
    </row>
    <row r="134" spans="1:25" x14ac:dyDescent="0.25">
      <c r="A134" t="s">
        <v>68</v>
      </c>
      <c r="B134" t="s">
        <v>70</v>
      </c>
      <c r="C134">
        <v>11</v>
      </c>
      <c r="D134" t="s">
        <v>79</v>
      </c>
      <c r="E134" t="s">
        <v>72</v>
      </c>
      <c r="F134" t="s">
        <v>73</v>
      </c>
      <c r="G134">
        <v>0</v>
      </c>
      <c r="H134">
        <v>0</v>
      </c>
      <c r="I134">
        <v>0</v>
      </c>
      <c r="J134">
        <v>0</v>
      </c>
      <c r="K134">
        <v>362</v>
      </c>
      <c r="L134" s="5" t="str">
        <f>DiscreteStatsTable[[#This Row],[ProjectName]]&amp;DiscreteStatsTable[[#This Row],[Name]]&amp;DiscreteStatsTable[[#This Row],[Type]]&amp;DiscreteStatsTable[[#This Row],[Source]]</f>
        <v>Tener ArticulsoCarrosNVA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12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12</v>
      </c>
      <c r="Y134" s="5">
        <f>IF(DiscreteStatsTable[[#This Row],[RepsRequested]]=DiscreteStatsTable[[#This Row],[RepsWithStatObserved]],1,0)</f>
        <v>1</v>
      </c>
    </row>
    <row r="135" spans="1:25" x14ac:dyDescent="0.25">
      <c r="A135" t="s">
        <v>68</v>
      </c>
      <c r="B135" t="s">
        <v>70</v>
      </c>
      <c r="C135">
        <v>11</v>
      </c>
      <c r="D135" t="s">
        <v>79</v>
      </c>
      <c r="E135" t="s">
        <v>74</v>
      </c>
      <c r="F135" t="s">
        <v>73</v>
      </c>
      <c r="G135">
        <v>0</v>
      </c>
      <c r="H135">
        <v>0</v>
      </c>
      <c r="I135">
        <v>0</v>
      </c>
      <c r="J135">
        <v>0</v>
      </c>
      <c r="K135">
        <v>362</v>
      </c>
      <c r="L135" s="5" t="str">
        <f>DiscreteStatsTable[[#This Row],[ProjectName]]&amp;DiscreteStatsTable[[#This Row],[Name]]&amp;DiscreteStatsTable[[#This Row],[Type]]&amp;DiscreteStatsTable[[#This Row],[Source]]</f>
        <v>Tener ArticulsoCarrosOther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12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12</v>
      </c>
      <c r="Y135" s="5">
        <f>IF(DiscreteStatsTable[[#This Row],[RepsRequested]]=DiscreteStatsTable[[#This Row],[RepsWithStatObserved]],1,0)</f>
        <v>1</v>
      </c>
    </row>
    <row r="136" spans="1:25" x14ac:dyDescent="0.25">
      <c r="A136" t="s">
        <v>68</v>
      </c>
      <c r="B136" t="s">
        <v>70</v>
      </c>
      <c r="C136">
        <v>11</v>
      </c>
      <c r="D136" t="s">
        <v>79</v>
      </c>
      <c r="E136" t="s">
        <v>75</v>
      </c>
      <c r="F136" t="s">
        <v>73</v>
      </c>
      <c r="G136">
        <v>8.0446007159909207</v>
      </c>
      <c r="H136">
        <v>2.9533719016918099</v>
      </c>
      <c r="I136">
        <v>0</v>
      </c>
      <c r="J136">
        <v>32.820238453490603</v>
      </c>
      <c r="K136">
        <v>362</v>
      </c>
      <c r="L136" s="5" t="str">
        <f>DiscreteStatsTable[[#This Row],[ProjectName]]&amp;DiscreteStatsTable[[#This Row],[Name]]&amp;DiscreteStatsTable[[#This Row],[Type]]&amp;DiscreteStatsTable[[#This Row],[Source]]</f>
        <v>Tener ArticulsoCarrosTotal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12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8.5796299690442694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3.9204801654846184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5.5756560720942296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19.688888471878201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73.330338726468796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36" s="5">
        <f>IF((DiscreteStatsTable[[#This Row],[RepsRequested]]&gt;1),DiscreteStatsTable[[#This Row],[HalfWidth]],DiscreteStatsTable[[#This Row],[BatchMeansHalfWidth]])</f>
        <v>2.4909542569299354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12</v>
      </c>
      <c r="Y136" s="5">
        <f>IF(DiscreteStatsTable[[#This Row],[RepsRequested]]=DiscreteStatsTable[[#This Row],[RepsWithStatObserved]],1,0)</f>
        <v>1</v>
      </c>
    </row>
    <row r="137" spans="1:25" x14ac:dyDescent="0.25">
      <c r="A137" t="s">
        <v>68</v>
      </c>
      <c r="B137" t="s">
        <v>70</v>
      </c>
      <c r="C137">
        <v>11</v>
      </c>
      <c r="D137" t="s">
        <v>79</v>
      </c>
      <c r="E137" t="s">
        <v>76</v>
      </c>
      <c r="F137" t="s">
        <v>73</v>
      </c>
      <c r="G137">
        <v>0</v>
      </c>
      <c r="H137">
        <v>0</v>
      </c>
      <c r="I137">
        <v>0</v>
      </c>
      <c r="J137">
        <v>0</v>
      </c>
      <c r="K137">
        <v>362</v>
      </c>
      <c r="L137" s="5" t="str">
        <f>DiscreteStatsTable[[#This Row],[ProjectName]]&amp;DiscreteStatsTable[[#This Row],[Name]]&amp;DiscreteStatsTable[[#This Row],[Type]]&amp;DiscreteStatsTable[[#This Row],[Source]]</f>
        <v>Tener ArticulsoCarrosTransfer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12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12</v>
      </c>
      <c r="Y137" s="5">
        <f>IF(DiscreteStatsTable[[#This Row],[RepsRequested]]=DiscreteStatsTable[[#This Row],[RepsWithStatObserved]],1,0)</f>
        <v>1</v>
      </c>
    </row>
    <row r="138" spans="1:25" x14ac:dyDescent="0.25">
      <c r="A138" t="s">
        <v>68</v>
      </c>
      <c r="B138" t="s">
        <v>70</v>
      </c>
      <c r="C138">
        <v>11</v>
      </c>
      <c r="D138" t="s">
        <v>79</v>
      </c>
      <c r="E138" t="s">
        <v>77</v>
      </c>
      <c r="F138" t="s">
        <v>73</v>
      </c>
      <c r="G138">
        <v>0</v>
      </c>
      <c r="H138">
        <v>0</v>
      </c>
      <c r="I138">
        <v>0</v>
      </c>
      <c r="J138">
        <v>0</v>
      </c>
      <c r="K138">
        <v>362</v>
      </c>
      <c r="L138" s="5" t="str">
        <f>DiscreteStatsTable[[#This Row],[ProjectName]]&amp;DiscreteStatsTable[[#This Row],[Name]]&amp;DiscreteStatsTable[[#This Row],[Type]]&amp;DiscreteStatsTable[[#This Row],[Source]]</f>
        <v>Tener ArticulsoCarrosVA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12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0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0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0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0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38" s="5">
        <f>IF((DiscreteStatsTable[[#This Row],[RepsRequested]]&gt;1),DiscreteStatsTable[[#This Row],[HalfWidth]],DiscreteStatsTable[[#This Row],[BatchMeansHalfWidth]])</f>
        <v>0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12</v>
      </c>
      <c r="Y138" s="5">
        <f>IF(DiscreteStatsTable[[#This Row],[RepsRequested]]=DiscreteStatsTable[[#This Row],[RepsWithStatObserved]],1,0)</f>
        <v>1</v>
      </c>
    </row>
    <row r="139" spans="1:25" x14ac:dyDescent="0.25">
      <c r="A139" t="s">
        <v>68</v>
      </c>
      <c r="B139" t="s">
        <v>70</v>
      </c>
      <c r="C139">
        <v>11</v>
      </c>
      <c r="D139" t="s">
        <v>79</v>
      </c>
      <c r="E139" t="s">
        <v>78</v>
      </c>
      <c r="F139" t="s">
        <v>73</v>
      </c>
      <c r="G139">
        <v>8.0446007159909207</v>
      </c>
      <c r="H139">
        <v>2.9533719016918099</v>
      </c>
      <c r="I139">
        <v>0</v>
      </c>
      <c r="J139">
        <v>32.820238453490603</v>
      </c>
      <c r="K139">
        <v>362</v>
      </c>
      <c r="L139" s="5" t="str">
        <f>DiscreteStatsTable[[#This Row],[ProjectName]]&amp;DiscreteStatsTable[[#This Row],[Name]]&amp;DiscreteStatsTable[[#This Row],[Type]]&amp;DiscreteStatsTable[[#This Row],[Source]]</f>
        <v>Tener ArticulsoCarrosWait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12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8.5796299690442694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3.9204801654846184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5.5756560720942296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19.688888471878201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73.330338726468796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39" s="5">
        <f>IF((DiscreteStatsTable[[#This Row],[RepsRequested]]&gt;1),DiscreteStatsTable[[#This Row],[HalfWidth]],DiscreteStatsTable[[#This Row],[BatchMeansHalfWidth]])</f>
        <v>2.4909542569299354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12</v>
      </c>
      <c r="Y139" s="5">
        <f>IF(DiscreteStatsTable[[#This Row],[RepsRequested]]=DiscreteStatsTable[[#This Row],[RepsWithStatObserved]],1,0)</f>
        <v>1</v>
      </c>
    </row>
    <row r="140" spans="1:25" x14ac:dyDescent="0.25">
      <c r="A140" t="s">
        <v>68</v>
      </c>
      <c r="B140" t="s">
        <v>70</v>
      </c>
      <c r="C140">
        <v>12</v>
      </c>
      <c r="D140" t="s">
        <v>79</v>
      </c>
      <c r="E140" t="s">
        <v>72</v>
      </c>
      <c r="F140" t="s">
        <v>73</v>
      </c>
      <c r="G140">
        <v>0</v>
      </c>
      <c r="H140">
        <v>0</v>
      </c>
      <c r="I140">
        <v>0</v>
      </c>
      <c r="J140">
        <v>0</v>
      </c>
      <c r="K140">
        <v>322</v>
      </c>
      <c r="L140" s="5" t="str">
        <f>DiscreteStatsTable[[#This Row],[ProjectName]]&amp;DiscreteStatsTable[[#This Row],[Name]]&amp;DiscreteStatsTable[[#This Row],[Type]]&amp;DiscreteStatsTable[[#This Row],[Source]]</f>
        <v>Tener ArticulsoCarrosNVA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12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12</v>
      </c>
      <c r="Y140" s="5">
        <f>IF(DiscreteStatsTable[[#This Row],[RepsRequested]]=DiscreteStatsTable[[#This Row],[RepsWithStatObserved]],1,0)</f>
        <v>1</v>
      </c>
    </row>
    <row r="141" spans="1:25" x14ac:dyDescent="0.25">
      <c r="A141" t="s">
        <v>68</v>
      </c>
      <c r="B141" t="s">
        <v>70</v>
      </c>
      <c r="C141">
        <v>12</v>
      </c>
      <c r="D141" t="s">
        <v>79</v>
      </c>
      <c r="E141" t="s">
        <v>74</v>
      </c>
      <c r="F141" t="s">
        <v>73</v>
      </c>
      <c r="G141">
        <v>0</v>
      </c>
      <c r="H141">
        <v>0</v>
      </c>
      <c r="I141">
        <v>0</v>
      </c>
      <c r="J141">
        <v>0</v>
      </c>
      <c r="K141">
        <v>322</v>
      </c>
      <c r="L141" s="5" t="str">
        <f>DiscreteStatsTable[[#This Row],[ProjectName]]&amp;DiscreteStatsTable[[#This Row],[Name]]&amp;DiscreteStatsTable[[#This Row],[Type]]&amp;DiscreteStatsTable[[#This Row],[Source]]</f>
        <v>Tener ArticulsoCarrosOther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12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12</v>
      </c>
      <c r="Y141" s="5">
        <f>IF(DiscreteStatsTable[[#This Row],[RepsRequested]]=DiscreteStatsTable[[#This Row],[RepsWithStatObserved]],1,0)</f>
        <v>1</v>
      </c>
    </row>
    <row r="142" spans="1:25" x14ac:dyDescent="0.25">
      <c r="A142" t="s">
        <v>68</v>
      </c>
      <c r="B142" t="s">
        <v>70</v>
      </c>
      <c r="C142">
        <v>12</v>
      </c>
      <c r="D142" t="s">
        <v>79</v>
      </c>
      <c r="E142" t="s">
        <v>75</v>
      </c>
      <c r="F142" t="s">
        <v>73</v>
      </c>
      <c r="G142">
        <v>5.5841389533246897</v>
      </c>
      <c r="H142">
        <v>1.85790959371933</v>
      </c>
      <c r="I142">
        <v>0</v>
      </c>
      <c r="J142">
        <v>26.107461507805699</v>
      </c>
      <c r="K142">
        <v>322</v>
      </c>
      <c r="L142" s="5" t="str">
        <f>DiscreteStatsTable[[#This Row],[ProjectName]]&amp;DiscreteStatsTable[[#This Row],[Name]]&amp;DiscreteStatsTable[[#This Row],[Type]]&amp;DiscreteStatsTable[[#This Row],[Source]]</f>
        <v>Tener ArticulsoCarrosTotal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12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8.5796299690442694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3.9204801654846184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5.5756560720942296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19.688888471878201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73.330338726468796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42" s="5">
        <f>IF((DiscreteStatsTable[[#This Row],[RepsRequested]]&gt;1),DiscreteStatsTable[[#This Row],[HalfWidth]],DiscreteStatsTable[[#This Row],[BatchMeansHalfWidth]])</f>
        <v>2.4909542569299354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12</v>
      </c>
      <c r="Y142" s="5">
        <f>IF(DiscreteStatsTable[[#This Row],[RepsRequested]]=DiscreteStatsTable[[#This Row],[RepsWithStatObserved]],1,0)</f>
        <v>1</v>
      </c>
    </row>
    <row r="143" spans="1:25" x14ac:dyDescent="0.25">
      <c r="A143" t="s">
        <v>68</v>
      </c>
      <c r="B143" t="s">
        <v>70</v>
      </c>
      <c r="C143">
        <v>12</v>
      </c>
      <c r="D143" t="s">
        <v>79</v>
      </c>
      <c r="E143" t="s">
        <v>76</v>
      </c>
      <c r="F143" t="s">
        <v>73</v>
      </c>
      <c r="G143">
        <v>0</v>
      </c>
      <c r="H143">
        <v>0</v>
      </c>
      <c r="I143">
        <v>0</v>
      </c>
      <c r="J143">
        <v>0</v>
      </c>
      <c r="K143">
        <v>322</v>
      </c>
      <c r="L143" s="5" t="str">
        <f>DiscreteStatsTable[[#This Row],[ProjectName]]&amp;DiscreteStatsTable[[#This Row],[Name]]&amp;DiscreteStatsTable[[#This Row],[Type]]&amp;DiscreteStatsTable[[#This Row],[Source]]</f>
        <v>Tener ArticulsoCarrosTransfer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12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12</v>
      </c>
      <c r="Y143" s="5">
        <f>IF(DiscreteStatsTable[[#This Row],[RepsRequested]]=DiscreteStatsTable[[#This Row],[RepsWithStatObserved]],1,0)</f>
        <v>1</v>
      </c>
    </row>
    <row r="144" spans="1:25" x14ac:dyDescent="0.25">
      <c r="A144" t="s">
        <v>68</v>
      </c>
      <c r="B144" t="s">
        <v>70</v>
      </c>
      <c r="C144">
        <v>12</v>
      </c>
      <c r="D144" t="s">
        <v>79</v>
      </c>
      <c r="E144" t="s">
        <v>77</v>
      </c>
      <c r="F144" t="s">
        <v>73</v>
      </c>
      <c r="G144">
        <v>0</v>
      </c>
      <c r="H144">
        <v>0</v>
      </c>
      <c r="I144">
        <v>0</v>
      </c>
      <c r="J144">
        <v>0</v>
      </c>
      <c r="K144">
        <v>322</v>
      </c>
      <c r="L144" s="5" t="str">
        <f>DiscreteStatsTable[[#This Row],[ProjectName]]&amp;DiscreteStatsTable[[#This Row],[Name]]&amp;DiscreteStatsTable[[#This Row],[Type]]&amp;DiscreteStatsTable[[#This Row],[Source]]</f>
        <v>Tener ArticulsoCarrosVA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12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0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0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0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0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44" s="5">
        <f>IF((DiscreteStatsTable[[#This Row],[RepsRequested]]&gt;1),DiscreteStatsTable[[#This Row],[HalfWidth]],DiscreteStatsTable[[#This Row],[BatchMeansHalfWidth]])</f>
        <v>0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12</v>
      </c>
      <c r="Y144" s="5">
        <f>IF(DiscreteStatsTable[[#This Row],[RepsRequested]]=DiscreteStatsTable[[#This Row],[RepsWithStatObserved]],1,0)</f>
        <v>1</v>
      </c>
    </row>
    <row r="145" spans="1:25" x14ac:dyDescent="0.25">
      <c r="A145" t="s">
        <v>68</v>
      </c>
      <c r="B145" t="s">
        <v>70</v>
      </c>
      <c r="C145">
        <v>12</v>
      </c>
      <c r="D145" t="s">
        <v>79</v>
      </c>
      <c r="E145" t="s">
        <v>78</v>
      </c>
      <c r="F145" t="s">
        <v>73</v>
      </c>
      <c r="G145">
        <v>5.5841389533246897</v>
      </c>
      <c r="H145">
        <v>1.85790959371933</v>
      </c>
      <c r="I145">
        <v>0</v>
      </c>
      <c r="J145">
        <v>26.107461507805699</v>
      </c>
      <c r="K145">
        <v>322</v>
      </c>
      <c r="L145" s="5" t="str">
        <f>DiscreteStatsTable[[#This Row],[ProjectName]]&amp;DiscreteStatsTable[[#This Row],[Name]]&amp;DiscreteStatsTable[[#This Row],[Type]]&amp;DiscreteStatsTable[[#This Row],[Source]]</f>
        <v>Tener ArticulsoCarrosWait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12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8.5796299690442694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3.9204801654846184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5.5756560720942296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19.688888471878201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73.330338726468796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45" s="5">
        <f>IF((DiscreteStatsTable[[#This Row],[RepsRequested]]&gt;1),DiscreteStatsTable[[#This Row],[HalfWidth]],DiscreteStatsTable[[#This Row],[BatchMeansHalfWidth]])</f>
        <v>2.4909542569299354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12</v>
      </c>
      <c r="Y145" s="5">
        <f>IF(DiscreteStatsTable[[#This Row],[RepsRequested]]=DiscreteStatsTable[[#This Row],[RepsWithStatObserved]],1,0)</f>
        <v>1</v>
      </c>
    </row>
    <row r="146" spans="1:25" x14ac:dyDescent="0.25">
      <c r="A146" t="s">
        <v>68</v>
      </c>
      <c r="B146" t="s">
        <v>70</v>
      </c>
      <c r="C146">
        <v>1</v>
      </c>
      <c r="D146" t="s">
        <v>80</v>
      </c>
      <c r="E146" t="s">
        <v>81</v>
      </c>
      <c r="F146" t="s">
        <v>82</v>
      </c>
      <c r="G146">
        <v>22.970819713429599</v>
      </c>
      <c r="H146">
        <v>2E+20</v>
      </c>
      <c r="I146">
        <v>11.954644324844899</v>
      </c>
      <c r="J146">
        <v>40.955888600037603</v>
      </c>
      <c r="K146">
        <v>66</v>
      </c>
      <c r="L146" s="5" t="str">
        <f>DiscreteStatsTable[[#This Row],[ProjectName]]&amp;DiscreteStatsTable[[#This Row],[Name]]&amp;DiscreteStatsTable[[#This Row],[Type]]&amp;DiscreteStatsTable[[#This Row],[Source]]</f>
        <v>Tener ArticulsoDesembalajeTotal Time Per EntityProcess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12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24.51031329670764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2.1527028825375165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1.3677621573936283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20.573219162572599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27.6072772087274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8.0759119651897908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51.785477573090503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46" s="5">
        <f>IF((DiscreteStatsTable[[#This Row],[RepsRequested]]&gt;1),DiscreteStatsTable[[#This Row],[HalfWidth]],DiscreteStatsTable[[#This Row],[BatchMeansHalfWidth]])</f>
        <v>1.3677621573936283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12</v>
      </c>
      <c r="Y146" s="5">
        <f>IF(DiscreteStatsTable[[#This Row],[RepsRequested]]=DiscreteStatsTable[[#This Row],[RepsWithStatObserved]],1,0)</f>
        <v>1</v>
      </c>
    </row>
    <row r="147" spans="1:25" x14ac:dyDescent="0.25">
      <c r="A147" t="s">
        <v>68</v>
      </c>
      <c r="B147" t="s">
        <v>70</v>
      </c>
      <c r="C147">
        <v>1</v>
      </c>
      <c r="D147" t="s">
        <v>80</v>
      </c>
      <c r="E147" t="s">
        <v>83</v>
      </c>
      <c r="F147" t="s">
        <v>82</v>
      </c>
      <c r="G147">
        <v>12.0923391795694</v>
      </c>
      <c r="H147">
        <v>2E+20</v>
      </c>
      <c r="I147">
        <v>8.3241301746441003</v>
      </c>
      <c r="J147">
        <v>15.593851071576401</v>
      </c>
      <c r="K147">
        <v>66</v>
      </c>
      <c r="L147" s="5" t="str">
        <f>DiscreteStatsTable[[#This Row],[ProjectName]]&amp;DiscreteStatsTable[[#This Row],[Name]]&amp;DiscreteStatsTable[[#This Row],[Type]]&amp;DiscreteStatsTable[[#This Row],[Source]]</f>
        <v>Tener ArticulsoDesembalajeVA Time Per EntityProcess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12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12.042239817334083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0.40531120725956793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0.25752245502811572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11.3087118575475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12.7855466550981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8.0309576481744198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15.996573444289099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47" s="5">
        <f>IF((DiscreteStatsTable[[#This Row],[RepsRequested]]&gt;1),DiscreteStatsTable[[#This Row],[HalfWidth]],DiscreteStatsTable[[#This Row],[BatchMeansHalfWidth]])</f>
        <v>0.25752245502811572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12</v>
      </c>
      <c r="Y147" s="5">
        <f>IF(DiscreteStatsTable[[#This Row],[RepsRequested]]=DiscreteStatsTable[[#This Row],[RepsWithStatObserved]],1,0)</f>
        <v>1</v>
      </c>
    </row>
    <row r="148" spans="1:25" x14ac:dyDescent="0.25">
      <c r="A148" t="s">
        <v>68</v>
      </c>
      <c r="B148" t="s">
        <v>70</v>
      </c>
      <c r="C148">
        <v>1</v>
      </c>
      <c r="D148" t="s">
        <v>80</v>
      </c>
      <c r="E148" t="s">
        <v>84</v>
      </c>
      <c r="F148" t="s">
        <v>82</v>
      </c>
      <c r="G148">
        <v>10.8784805338603</v>
      </c>
      <c r="H148">
        <v>2E+20</v>
      </c>
      <c r="I148">
        <v>0</v>
      </c>
      <c r="J148">
        <v>29.051690858743001</v>
      </c>
      <c r="K148">
        <v>66</v>
      </c>
      <c r="L148" s="5" t="str">
        <f>DiscreteStatsTable[[#This Row],[ProjectName]]&amp;DiscreteStatsTable[[#This Row],[Name]]&amp;DiscreteStatsTable[[#This Row],[Type]]&amp;DiscreteStatsTable[[#This Row],[Source]]</f>
        <v>Tener ArticulsoDesembalajeWait Time Per EntityProcess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12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12.468073479373563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2.0390363930253126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1.2955419154922878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8.8139308019643003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15.494339623025001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38.7642988818086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48" s="5">
        <f>IF((DiscreteStatsTable[[#This Row],[RepsRequested]]&gt;1),DiscreteStatsTable[[#This Row],[HalfWidth]],DiscreteStatsTable[[#This Row],[BatchMeansHalfWidth]])</f>
        <v>1.2955419154922878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12</v>
      </c>
      <c r="Y148" s="5">
        <f>IF(DiscreteStatsTable[[#This Row],[RepsRequested]]=DiscreteStatsTable[[#This Row],[RepsWithStatObserved]],1,0)</f>
        <v>1</v>
      </c>
    </row>
    <row r="149" spans="1:25" x14ac:dyDescent="0.25">
      <c r="A149" t="s">
        <v>68</v>
      </c>
      <c r="B149" t="s">
        <v>70</v>
      </c>
      <c r="C149">
        <v>2</v>
      </c>
      <c r="D149" t="s">
        <v>80</v>
      </c>
      <c r="E149" t="s">
        <v>81</v>
      </c>
      <c r="F149" t="s">
        <v>82</v>
      </c>
      <c r="G149">
        <v>25.186261262875501</v>
      </c>
      <c r="H149">
        <v>2E+20</v>
      </c>
      <c r="I149">
        <v>9.8077359236351604</v>
      </c>
      <c r="J149">
        <v>51.263088342264801</v>
      </c>
      <c r="K149">
        <v>60</v>
      </c>
      <c r="L149" s="5" t="str">
        <f>DiscreteStatsTable[[#This Row],[ProjectName]]&amp;DiscreteStatsTable[[#This Row],[Name]]&amp;DiscreteStatsTable[[#This Row],[Type]]&amp;DiscreteStatsTable[[#This Row],[Source]]</f>
        <v>Tener ArticulsoDesembalajeTotal Time Per EntityProcess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12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24.51031329670764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2.1527028825375165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1.3677621573936283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20.573219162572599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27.6072772087274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8.0759119651897908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51.785477573090503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49" s="5">
        <f>IF((DiscreteStatsTable[[#This Row],[RepsRequested]]&gt;1),DiscreteStatsTable[[#This Row],[HalfWidth]],DiscreteStatsTable[[#This Row],[BatchMeansHalfWidth]])</f>
        <v>1.3677621573936283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12</v>
      </c>
      <c r="Y149" s="5">
        <f>IF(DiscreteStatsTable[[#This Row],[RepsRequested]]=DiscreteStatsTable[[#This Row],[RepsWithStatObserved]],1,0)</f>
        <v>1</v>
      </c>
    </row>
    <row r="150" spans="1:25" x14ac:dyDescent="0.25">
      <c r="A150" t="s">
        <v>68</v>
      </c>
      <c r="B150" t="s">
        <v>70</v>
      </c>
      <c r="C150">
        <v>2</v>
      </c>
      <c r="D150" t="s">
        <v>80</v>
      </c>
      <c r="E150" t="s">
        <v>83</v>
      </c>
      <c r="F150" t="s">
        <v>82</v>
      </c>
      <c r="G150">
        <v>11.3087118575475</v>
      </c>
      <c r="H150">
        <v>2E+20</v>
      </c>
      <c r="I150">
        <v>8.0766401272308599</v>
      </c>
      <c r="J150">
        <v>15.6746084643512</v>
      </c>
      <c r="K150">
        <v>60</v>
      </c>
      <c r="L150" s="5" t="str">
        <f>DiscreteStatsTable[[#This Row],[ProjectName]]&amp;DiscreteStatsTable[[#This Row],[Name]]&amp;DiscreteStatsTable[[#This Row],[Type]]&amp;DiscreteStatsTable[[#This Row],[Source]]</f>
        <v>Tener ArticulsoDesembalajeVA Time Per EntityProcess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12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12.042239817334083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0.40531120725956793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0.25752245502811572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11.3087118575475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12.7855466550981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8.0309576481744198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15.996573444289099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50" s="5">
        <f>IF((DiscreteStatsTable[[#This Row],[RepsRequested]]&gt;1),DiscreteStatsTable[[#This Row],[HalfWidth]],DiscreteStatsTable[[#This Row],[BatchMeansHalfWidth]])</f>
        <v>0.25752245502811572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12</v>
      </c>
      <c r="Y150" s="5">
        <f>IF(DiscreteStatsTable[[#This Row],[RepsRequested]]=DiscreteStatsTable[[#This Row],[RepsWithStatObserved]],1,0)</f>
        <v>1</v>
      </c>
    </row>
    <row r="151" spans="1:25" x14ac:dyDescent="0.25">
      <c r="A151" t="s">
        <v>68</v>
      </c>
      <c r="B151" t="s">
        <v>70</v>
      </c>
      <c r="C151">
        <v>2</v>
      </c>
      <c r="D151" t="s">
        <v>80</v>
      </c>
      <c r="E151" t="s">
        <v>84</v>
      </c>
      <c r="F151" t="s">
        <v>82</v>
      </c>
      <c r="G151">
        <v>13.877549405328001</v>
      </c>
      <c r="H151">
        <v>2E+20</v>
      </c>
      <c r="I151">
        <v>0</v>
      </c>
      <c r="J151">
        <v>38.7642988818086</v>
      </c>
      <c r="K151">
        <v>60</v>
      </c>
      <c r="L151" s="5" t="str">
        <f>DiscreteStatsTable[[#This Row],[ProjectName]]&amp;DiscreteStatsTable[[#This Row],[Name]]&amp;DiscreteStatsTable[[#This Row],[Type]]&amp;DiscreteStatsTable[[#This Row],[Source]]</f>
        <v>Tener ArticulsoDesembalajeWait Time Per EntityProcess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12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12.468073479373563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2.0390363930253126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1.2955419154922878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8.8139308019643003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15.494339623025001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38.7642988818086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51" s="5">
        <f>IF((DiscreteStatsTable[[#This Row],[RepsRequested]]&gt;1),DiscreteStatsTable[[#This Row],[HalfWidth]],DiscreteStatsTable[[#This Row],[BatchMeansHalfWidth]])</f>
        <v>1.2955419154922878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12</v>
      </c>
      <c r="Y151" s="5">
        <f>IF(DiscreteStatsTable[[#This Row],[RepsRequested]]=DiscreteStatsTable[[#This Row],[RepsWithStatObserved]],1,0)</f>
        <v>1</v>
      </c>
    </row>
    <row r="152" spans="1:25" x14ac:dyDescent="0.25">
      <c r="A152" t="s">
        <v>68</v>
      </c>
      <c r="B152" t="s">
        <v>70</v>
      </c>
      <c r="C152">
        <v>3</v>
      </c>
      <c r="D152" t="s">
        <v>80</v>
      </c>
      <c r="E152" t="s">
        <v>81</v>
      </c>
      <c r="F152" t="s">
        <v>82</v>
      </c>
      <c r="G152">
        <v>26.864365773181099</v>
      </c>
      <c r="H152">
        <v>2E+20</v>
      </c>
      <c r="I152">
        <v>12.210246432559</v>
      </c>
      <c r="J152">
        <v>41.385850408496701</v>
      </c>
      <c r="K152">
        <v>69</v>
      </c>
      <c r="L152" s="5" t="str">
        <f>DiscreteStatsTable[[#This Row],[ProjectName]]&amp;DiscreteStatsTable[[#This Row],[Name]]&amp;DiscreteStatsTable[[#This Row],[Type]]&amp;DiscreteStatsTable[[#This Row],[Source]]</f>
        <v>Tener ArticulsoDesembalajeTotal Time Per EntityProcess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12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24.51031329670764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2.1527028825375165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1.3677621573936283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20.573219162572599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27.6072772087274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8.0759119651897908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51.785477573090503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52" s="5">
        <f>IF((DiscreteStatsTable[[#This Row],[RepsRequested]]&gt;1),DiscreteStatsTable[[#This Row],[HalfWidth]],DiscreteStatsTable[[#This Row],[BatchMeansHalfWidth]])</f>
        <v>1.3677621573936283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12</v>
      </c>
      <c r="Y152" s="5">
        <f>IF(DiscreteStatsTable[[#This Row],[RepsRequested]]=DiscreteStatsTable[[#This Row],[RepsWithStatObserved]],1,0)</f>
        <v>1</v>
      </c>
    </row>
    <row r="153" spans="1:25" x14ac:dyDescent="0.25">
      <c r="A153" t="s">
        <v>68</v>
      </c>
      <c r="B153" t="s">
        <v>70</v>
      </c>
      <c r="C153">
        <v>3</v>
      </c>
      <c r="D153" t="s">
        <v>80</v>
      </c>
      <c r="E153" t="s">
        <v>83</v>
      </c>
      <c r="F153" t="s">
        <v>82</v>
      </c>
      <c r="G153">
        <v>12.185178279210101</v>
      </c>
      <c r="H153">
        <v>2E+20</v>
      </c>
      <c r="I153">
        <v>8.1389926143571607</v>
      </c>
      <c r="J153">
        <v>15.992605831114201</v>
      </c>
      <c r="K153">
        <v>69</v>
      </c>
      <c r="L153" s="5" t="str">
        <f>DiscreteStatsTable[[#This Row],[ProjectName]]&amp;DiscreteStatsTable[[#This Row],[Name]]&amp;DiscreteStatsTable[[#This Row],[Type]]&amp;DiscreteStatsTable[[#This Row],[Source]]</f>
        <v>Tener ArticulsoDesembalajeVA Time Per EntityProcess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12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12.042239817334083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0.40531120725956793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0.25752245502811572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11.3087118575475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12.7855466550981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8.0309576481744198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15.996573444289099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53" s="5">
        <f>IF((DiscreteStatsTable[[#This Row],[RepsRequested]]&gt;1),DiscreteStatsTable[[#This Row],[HalfWidth]],DiscreteStatsTable[[#This Row],[BatchMeansHalfWidth]])</f>
        <v>0.25752245502811572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12</v>
      </c>
      <c r="Y153" s="5">
        <f>IF(DiscreteStatsTable[[#This Row],[RepsRequested]]=DiscreteStatsTable[[#This Row],[RepsWithStatObserved]],1,0)</f>
        <v>1</v>
      </c>
    </row>
    <row r="154" spans="1:25" x14ac:dyDescent="0.25">
      <c r="A154" t="s">
        <v>68</v>
      </c>
      <c r="B154" t="s">
        <v>70</v>
      </c>
      <c r="C154">
        <v>3</v>
      </c>
      <c r="D154" t="s">
        <v>80</v>
      </c>
      <c r="E154" t="s">
        <v>84</v>
      </c>
      <c r="F154" t="s">
        <v>82</v>
      </c>
      <c r="G154">
        <v>14.679187493971</v>
      </c>
      <c r="H154">
        <v>2E+20</v>
      </c>
      <c r="I154">
        <v>0</v>
      </c>
      <c r="J154">
        <v>31.352641157038001</v>
      </c>
      <c r="K154">
        <v>69</v>
      </c>
      <c r="L154" s="5" t="str">
        <f>DiscreteStatsTable[[#This Row],[ProjectName]]&amp;DiscreteStatsTable[[#This Row],[Name]]&amp;DiscreteStatsTable[[#This Row],[Type]]&amp;DiscreteStatsTable[[#This Row],[Source]]</f>
        <v>Tener ArticulsoDesembalajeWait Time Per EntityProcess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12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12.468073479373563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2.0390363930253126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1.2955419154922878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8.8139308019643003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15.494339623025001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38.7642988818086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54" s="5">
        <f>IF((DiscreteStatsTable[[#This Row],[RepsRequested]]&gt;1),DiscreteStatsTable[[#This Row],[HalfWidth]],DiscreteStatsTable[[#This Row],[BatchMeansHalfWidth]])</f>
        <v>1.2955419154922878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12</v>
      </c>
      <c r="Y154" s="5">
        <f>IF(DiscreteStatsTable[[#This Row],[RepsRequested]]=DiscreteStatsTable[[#This Row],[RepsWithStatObserved]],1,0)</f>
        <v>1</v>
      </c>
    </row>
    <row r="155" spans="1:25" x14ac:dyDescent="0.25">
      <c r="A155" t="s">
        <v>68</v>
      </c>
      <c r="B155" t="s">
        <v>70</v>
      </c>
      <c r="C155">
        <v>4</v>
      </c>
      <c r="D155" t="s">
        <v>80</v>
      </c>
      <c r="E155" t="s">
        <v>81</v>
      </c>
      <c r="F155" t="s">
        <v>82</v>
      </c>
      <c r="G155">
        <v>27.6072772087274</v>
      </c>
      <c r="H155">
        <v>2E+20</v>
      </c>
      <c r="I155">
        <v>12.0568734495637</v>
      </c>
      <c r="J155">
        <v>46.089411616951303</v>
      </c>
      <c r="K155">
        <v>65</v>
      </c>
      <c r="L155" s="5" t="str">
        <f>DiscreteStatsTable[[#This Row],[ProjectName]]&amp;DiscreteStatsTable[[#This Row],[Name]]&amp;DiscreteStatsTable[[#This Row],[Type]]&amp;DiscreteStatsTable[[#This Row],[Source]]</f>
        <v>Tener ArticulsoDesembalajeTotal Time Per EntityProcess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12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24.51031329670764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2.1527028825375165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1.3677621573936283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20.573219162572599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27.6072772087274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8.0759119651897908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51.785477573090503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55" s="5">
        <f>IF((DiscreteStatsTable[[#This Row],[RepsRequested]]&gt;1),DiscreteStatsTable[[#This Row],[HalfWidth]],DiscreteStatsTable[[#This Row],[BatchMeansHalfWidth]])</f>
        <v>1.3677621573936283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12</v>
      </c>
      <c r="Y155" s="5">
        <f>IF(DiscreteStatsTable[[#This Row],[RepsRequested]]=DiscreteStatsTable[[#This Row],[RepsWithStatObserved]],1,0)</f>
        <v>1</v>
      </c>
    </row>
    <row r="156" spans="1:25" x14ac:dyDescent="0.25">
      <c r="A156" t="s">
        <v>68</v>
      </c>
      <c r="B156" t="s">
        <v>70</v>
      </c>
      <c r="C156">
        <v>4</v>
      </c>
      <c r="D156" t="s">
        <v>80</v>
      </c>
      <c r="E156" t="s">
        <v>83</v>
      </c>
      <c r="F156" t="s">
        <v>82</v>
      </c>
      <c r="G156">
        <v>12.112937585702401</v>
      </c>
      <c r="H156">
        <v>2E+20</v>
      </c>
      <c r="I156">
        <v>8.2275055571339806</v>
      </c>
      <c r="J156">
        <v>15.9836011800385</v>
      </c>
      <c r="K156">
        <v>65</v>
      </c>
      <c r="L156" s="5" t="str">
        <f>DiscreteStatsTable[[#This Row],[ProjectName]]&amp;DiscreteStatsTable[[#This Row],[Name]]&amp;DiscreteStatsTable[[#This Row],[Type]]&amp;DiscreteStatsTable[[#This Row],[Source]]</f>
        <v>Tener ArticulsoDesembalajeVA Time Per EntityProcess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12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12.042239817334083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0.40531120725956793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0.25752245502811572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11.3087118575475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12.7855466550981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8.0309576481744198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15.996573444289099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56" s="5">
        <f>IF((DiscreteStatsTable[[#This Row],[RepsRequested]]&gt;1),DiscreteStatsTable[[#This Row],[HalfWidth]],DiscreteStatsTable[[#This Row],[BatchMeansHalfWidth]])</f>
        <v>0.25752245502811572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12</v>
      </c>
      <c r="Y156" s="5">
        <f>IF(DiscreteStatsTable[[#This Row],[RepsRequested]]=DiscreteStatsTable[[#This Row],[RepsWithStatObserved]],1,0)</f>
        <v>1</v>
      </c>
    </row>
    <row r="157" spans="1:25" x14ac:dyDescent="0.25">
      <c r="A157" t="s">
        <v>68</v>
      </c>
      <c r="B157" t="s">
        <v>70</v>
      </c>
      <c r="C157">
        <v>4</v>
      </c>
      <c r="D157" t="s">
        <v>80</v>
      </c>
      <c r="E157" t="s">
        <v>84</v>
      </c>
      <c r="F157" t="s">
        <v>82</v>
      </c>
      <c r="G157">
        <v>15.494339623025001</v>
      </c>
      <c r="H157">
        <v>2E+20</v>
      </c>
      <c r="I157">
        <v>2.3669900662966401</v>
      </c>
      <c r="J157">
        <v>33.183638150194199</v>
      </c>
      <c r="K157">
        <v>65</v>
      </c>
      <c r="L157" s="5" t="str">
        <f>DiscreteStatsTable[[#This Row],[ProjectName]]&amp;DiscreteStatsTable[[#This Row],[Name]]&amp;DiscreteStatsTable[[#This Row],[Type]]&amp;DiscreteStatsTable[[#This Row],[Source]]</f>
        <v>Tener ArticulsoDesembalajeWait Time Per EntityProcess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12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12.468073479373563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2.0390363930253126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1.2955419154922878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8.8139308019643003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15.494339623025001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38.7642988818086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57" s="5">
        <f>IF((DiscreteStatsTable[[#This Row],[RepsRequested]]&gt;1),DiscreteStatsTable[[#This Row],[HalfWidth]],DiscreteStatsTable[[#This Row],[BatchMeansHalfWidth]])</f>
        <v>1.2955419154922878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12</v>
      </c>
      <c r="Y157" s="5">
        <f>IF(DiscreteStatsTable[[#This Row],[RepsRequested]]=DiscreteStatsTable[[#This Row],[RepsWithStatObserved]],1,0)</f>
        <v>1</v>
      </c>
    </row>
    <row r="158" spans="1:25" x14ac:dyDescent="0.25">
      <c r="A158" t="s">
        <v>68</v>
      </c>
      <c r="B158" t="s">
        <v>70</v>
      </c>
      <c r="C158">
        <v>5</v>
      </c>
      <c r="D158" t="s">
        <v>80</v>
      </c>
      <c r="E158" t="s">
        <v>81</v>
      </c>
      <c r="F158" t="s">
        <v>82</v>
      </c>
      <c r="G158">
        <v>20.573219162572599</v>
      </c>
      <c r="H158">
        <v>2E+20</v>
      </c>
      <c r="I158">
        <v>9.4723300462860607</v>
      </c>
      <c r="J158">
        <v>38.850868926111197</v>
      </c>
      <c r="K158">
        <v>62</v>
      </c>
      <c r="L158" s="5" t="str">
        <f>DiscreteStatsTable[[#This Row],[ProjectName]]&amp;DiscreteStatsTable[[#This Row],[Name]]&amp;DiscreteStatsTable[[#This Row],[Type]]&amp;DiscreteStatsTable[[#This Row],[Source]]</f>
        <v>Tener ArticulsoDesembalajeTotal Time Per EntityProcess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12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24.51031329670764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2.1527028825375165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1.3677621573936283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20.573219162572599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27.6072772087274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8.0759119651897908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51.785477573090503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58" s="5">
        <f>IF((DiscreteStatsTable[[#This Row],[RepsRequested]]&gt;1),DiscreteStatsTable[[#This Row],[HalfWidth]],DiscreteStatsTable[[#This Row],[BatchMeansHalfWidth]])</f>
        <v>1.3677621573936283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12</v>
      </c>
      <c r="Y158" s="5">
        <f>IF(DiscreteStatsTable[[#This Row],[RepsRequested]]=DiscreteStatsTable[[#This Row],[RepsWithStatObserved]],1,0)</f>
        <v>1</v>
      </c>
    </row>
    <row r="159" spans="1:25" x14ac:dyDescent="0.25">
      <c r="A159" t="s">
        <v>68</v>
      </c>
      <c r="B159" t="s">
        <v>70</v>
      </c>
      <c r="C159">
        <v>5</v>
      </c>
      <c r="D159" t="s">
        <v>80</v>
      </c>
      <c r="E159" t="s">
        <v>83</v>
      </c>
      <c r="F159" t="s">
        <v>82</v>
      </c>
      <c r="G159">
        <v>11.7592883606083</v>
      </c>
      <c r="H159">
        <v>2E+20</v>
      </c>
      <c r="I159">
        <v>8.2496266635534994</v>
      </c>
      <c r="J159">
        <v>15.829198361444901</v>
      </c>
      <c r="K159">
        <v>62</v>
      </c>
      <c r="L159" s="5" t="str">
        <f>DiscreteStatsTable[[#This Row],[ProjectName]]&amp;DiscreteStatsTable[[#This Row],[Name]]&amp;DiscreteStatsTable[[#This Row],[Type]]&amp;DiscreteStatsTable[[#This Row],[Source]]</f>
        <v>Tener ArticulsoDesembalajeVA Time Per EntityProcess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12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12.042239817334083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0.40531120725956793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0.25752245502811572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11.3087118575475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12.7855466550981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8.0309576481744198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15.996573444289099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59" s="5">
        <f>IF((DiscreteStatsTable[[#This Row],[RepsRequested]]&gt;1),DiscreteStatsTable[[#This Row],[HalfWidth]],DiscreteStatsTable[[#This Row],[BatchMeansHalfWidth]])</f>
        <v>0.25752245502811572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12</v>
      </c>
      <c r="Y159" s="5">
        <f>IF(DiscreteStatsTable[[#This Row],[RepsRequested]]=DiscreteStatsTable[[#This Row],[RepsWithStatObserved]],1,0)</f>
        <v>1</v>
      </c>
    </row>
    <row r="160" spans="1:25" x14ac:dyDescent="0.25">
      <c r="A160" t="s">
        <v>68</v>
      </c>
      <c r="B160" t="s">
        <v>70</v>
      </c>
      <c r="C160">
        <v>5</v>
      </c>
      <c r="D160" t="s">
        <v>80</v>
      </c>
      <c r="E160" t="s">
        <v>84</v>
      </c>
      <c r="F160" t="s">
        <v>82</v>
      </c>
      <c r="G160">
        <v>8.8139308019643003</v>
      </c>
      <c r="H160">
        <v>2E+20</v>
      </c>
      <c r="I160">
        <v>0</v>
      </c>
      <c r="J160">
        <v>24.8373076145065</v>
      </c>
      <c r="K160">
        <v>62</v>
      </c>
      <c r="L160" s="5" t="str">
        <f>DiscreteStatsTable[[#This Row],[ProjectName]]&amp;DiscreteStatsTable[[#This Row],[Name]]&amp;DiscreteStatsTable[[#This Row],[Type]]&amp;DiscreteStatsTable[[#This Row],[Source]]</f>
        <v>Tener ArticulsoDesembalajeWait Time Per EntityProcess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12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12.468073479373563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2.0390363930253126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1.2955419154922878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8.8139308019643003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15.494339623025001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38.7642988818086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60" s="5">
        <f>IF((DiscreteStatsTable[[#This Row],[RepsRequested]]&gt;1),DiscreteStatsTable[[#This Row],[HalfWidth]],DiscreteStatsTable[[#This Row],[BatchMeansHalfWidth]])</f>
        <v>1.2955419154922878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12</v>
      </c>
      <c r="Y160" s="5">
        <f>IF(DiscreteStatsTable[[#This Row],[RepsRequested]]=DiscreteStatsTable[[#This Row],[RepsWithStatObserved]],1,0)</f>
        <v>1</v>
      </c>
    </row>
    <row r="161" spans="1:25" x14ac:dyDescent="0.25">
      <c r="A161" t="s">
        <v>68</v>
      </c>
      <c r="B161" t="s">
        <v>70</v>
      </c>
      <c r="C161">
        <v>6</v>
      </c>
      <c r="D161" t="s">
        <v>80</v>
      </c>
      <c r="E161" t="s">
        <v>81</v>
      </c>
      <c r="F161" t="s">
        <v>82</v>
      </c>
      <c r="G161">
        <v>23.446333032923299</v>
      </c>
      <c r="H161">
        <v>2E+20</v>
      </c>
      <c r="I161">
        <v>8.7719615551968708</v>
      </c>
      <c r="J161">
        <v>39.2123814754625</v>
      </c>
      <c r="K161">
        <v>69</v>
      </c>
      <c r="L161" s="5" t="str">
        <f>DiscreteStatsTable[[#This Row],[ProjectName]]&amp;DiscreteStatsTable[[#This Row],[Name]]&amp;DiscreteStatsTable[[#This Row],[Type]]&amp;DiscreteStatsTable[[#This Row],[Source]]</f>
        <v>Tener ArticulsoDesembalajeTotal Time Per EntityProcess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12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24.51031329670764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2.1527028825375165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1.3677621573936283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20.573219162572599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27.6072772087274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8.0759119651897908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51.785477573090503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61" s="5">
        <f>IF((DiscreteStatsTable[[#This Row],[RepsRequested]]&gt;1),DiscreteStatsTable[[#This Row],[HalfWidth]],DiscreteStatsTable[[#This Row],[BatchMeansHalfWidth]])</f>
        <v>1.3677621573936283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12</v>
      </c>
      <c r="Y161" s="5">
        <f>IF(DiscreteStatsTable[[#This Row],[RepsRequested]]=DiscreteStatsTable[[#This Row],[RepsWithStatObserved]],1,0)</f>
        <v>1</v>
      </c>
    </row>
    <row r="162" spans="1:25" x14ac:dyDescent="0.25">
      <c r="A162" t="s">
        <v>68</v>
      </c>
      <c r="B162" t="s">
        <v>70</v>
      </c>
      <c r="C162">
        <v>6</v>
      </c>
      <c r="D162" t="s">
        <v>80</v>
      </c>
      <c r="E162" t="s">
        <v>83</v>
      </c>
      <c r="F162" t="s">
        <v>82</v>
      </c>
      <c r="G162">
        <v>11.7005907645578</v>
      </c>
      <c r="H162">
        <v>2E+20</v>
      </c>
      <c r="I162">
        <v>8.1373770862612709</v>
      </c>
      <c r="J162">
        <v>15.701181536900499</v>
      </c>
      <c r="K162">
        <v>69</v>
      </c>
      <c r="L162" s="5" t="str">
        <f>DiscreteStatsTable[[#This Row],[ProjectName]]&amp;DiscreteStatsTable[[#This Row],[Name]]&amp;DiscreteStatsTable[[#This Row],[Type]]&amp;DiscreteStatsTable[[#This Row],[Source]]</f>
        <v>Tener ArticulsoDesembalajeVA Time Per EntityProcess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12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12.042239817334083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0.40531120725956793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0.25752245502811572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11.3087118575475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12.7855466550981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8.0309576481744198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15.996573444289099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62" s="5">
        <f>IF((DiscreteStatsTable[[#This Row],[RepsRequested]]&gt;1),DiscreteStatsTable[[#This Row],[HalfWidth]],DiscreteStatsTable[[#This Row],[BatchMeansHalfWidth]])</f>
        <v>0.25752245502811572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12</v>
      </c>
      <c r="Y162" s="5">
        <f>IF(DiscreteStatsTable[[#This Row],[RepsRequested]]=DiscreteStatsTable[[#This Row],[RepsWithStatObserved]],1,0)</f>
        <v>1</v>
      </c>
    </row>
    <row r="163" spans="1:25" x14ac:dyDescent="0.25">
      <c r="A163" t="s">
        <v>68</v>
      </c>
      <c r="B163" t="s">
        <v>70</v>
      </c>
      <c r="C163">
        <v>6</v>
      </c>
      <c r="D163" t="s">
        <v>80</v>
      </c>
      <c r="E163" t="s">
        <v>84</v>
      </c>
      <c r="F163" t="s">
        <v>82</v>
      </c>
      <c r="G163">
        <v>11.7457422683655</v>
      </c>
      <c r="H163">
        <v>2E+20</v>
      </c>
      <c r="I163">
        <v>0</v>
      </c>
      <c r="J163">
        <v>26.959518267665899</v>
      </c>
      <c r="K163">
        <v>69</v>
      </c>
      <c r="L163" s="5" t="str">
        <f>DiscreteStatsTable[[#This Row],[ProjectName]]&amp;DiscreteStatsTable[[#This Row],[Name]]&amp;DiscreteStatsTable[[#This Row],[Type]]&amp;DiscreteStatsTable[[#This Row],[Source]]</f>
        <v>Tener ArticulsoDesembalajeWait Time Per EntityProcess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12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12.468073479373563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2.0390363930253126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1.2955419154922878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8.8139308019643003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15.494339623025001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38.7642988818086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63" s="5">
        <f>IF((DiscreteStatsTable[[#This Row],[RepsRequested]]&gt;1),DiscreteStatsTable[[#This Row],[HalfWidth]],DiscreteStatsTable[[#This Row],[BatchMeansHalfWidth]])</f>
        <v>1.2955419154922878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12</v>
      </c>
      <c r="Y163" s="5">
        <f>IF(DiscreteStatsTable[[#This Row],[RepsRequested]]=DiscreteStatsTable[[#This Row],[RepsWithStatObserved]],1,0)</f>
        <v>1</v>
      </c>
    </row>
    <row r="164" spans="1:25" x14ac:dyDescent="0.25">
      <c r="A164" t="s">
        <v>68</v>
      </c>
      <c r="B164" t="s">
        <v>70</v>
      </c>
      <c r="C164">
        <v>7</v>
      </c>
      <c r="D164" t="s">
        <v>80</v>
      </c>
      <c r="E164" t="s">
        <v>81</v>
      </c>
      <c r="F164" t="s">
        <v>82</v>
      </c>
      <c r="G164">
        <v>21.675335675772001</v>
      </c>
      <c r="H164">
        <v>2E+20</v>
      </c>
      <c r="I164">
        <v>8.0759119651897908</v>
      </c>
      <c r="J164">
        <v>38.105500644550403</v>
      </c>
      <c r="K164">
        <v>68</v>
      </c>
      <c r="L164" s="5" t="str">
        <f>DiscreteStatsTable[[#This Row],[ProjectName]]&amp;DiscreteStatsTable[[#This Row],[Name]]&amp;DiscreteStatsTable[[#This Row],[Type]]&amp;DiscreteStatsTable[[#This Row],[Source]]</f>
        <v>Tener ArticulsoDesembalajeTotal Time Per EntityProcess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12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24.51031329670764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2.1527028825375165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1.3677621573936283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20.573219162572599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27.6072772087274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8.0759119651897908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51.785477573090503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64" s="5">
        <f>IF((DiscreteStatsTable[[#This Row],[RepsRequested]]&gt;1),DiscreteStatsTable[[#This Row],[HalfWidth]],DiscreteStatsTable[[#This Row],[BatchMeansHalfWidth]])</f>
        <v>1.3677621573936283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12</v>
      </c>
      <c r="Y164" s="5">
        <f>IF(DiscreteStatsTable[[#This Row],[RepsRequested]]=DiscreteStatsTable[[#This Row],[RepsWithStatObserved]],1,0)</f>
        <v>1</v>
      </c>
    </row>
    <row r="165" spans="1:25" x14ac:dyDescent="0.25">
      <c r="A165" t="s">
        <v>68</v>
      </c>
      <c r="B165" t="s">
        <v>70</v>
      </c>
      <c r="C165">
        <v>7</v>
      </c>
      <c r="D165" t="s">
        <v>80</v>
      </c>
      <c r="E165" t="s">
        <v>83</v>
      </c>
      <c r="F165" t="s">
        <v>82</v>
      </c>
      <c r="G165">
        <v>11.902053758337599</v>
      </c>
      <c r="H165">
        <v>2E+20</v>
      </c>
      <c r="I165">
        <v>8.0468077905901492</v>
      </c>
      <c r="J165">
        <v>15.624878280237199</v>
      </c>
      <c r="K165">
        <v>68</v>
      </c>
      <c r="L165" s="5" t="str">
        <f>DiscreteStatsTable[[#This Row],[ProjectName]]&amp;DiscreteStatsTable[[#This Row],[Name]]&amp;DiscreteStatsTable[[#This Row],[Type]]&amp;DiscreteStatsTable[[#This Row],[Source]]</f>
        <v>Tener ArticulsoDesembalajeVA Time Per EntityProcess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12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12.042239817334083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0.40531120725956793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0.25752245502811572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11.3087118575475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12.7855466550981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8.0309576481744198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15.996573444289099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65" s="5">
        <f>IF((DiscreteStatsTable[[#This Row],[RepsRequested]]&gt;1),DiscreteStatsTable[[#This Row],[HalfWidth]],DiscreteStatsTable[[#This Row],[BatchMeansHalfWidth]])</f>
        <v>0.25752245502811572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12</v>
      </c>
      <c r="Y165" s="5">
        <f>IF(DiscreteStatsTable[[#This Row],[RepsRequested]]=DiscreteStatsTable[[#This Row],[RepsWithStatObserved]],1,0)</f>
        <v>1</v>
      </c>
    </row>
    <row r="166" spans="1:25" x14ac:dyDescent="0.25">
      <c r="A166" t="s">
        <v>68</v>
      </c>
      <c r="B166" t="s">
        <v>70</v>
      </c>
      <c r="C166">
        <v>7</v>
      </c>
      <c r="D166" t="s">
        <v>80</v>
      </c>
      <c r="E166" t="s">
        <v>84</v>
      </c>
      <c r="F166" t="s">
        <v>82</v>
      </c>
      <c r="G166">
        <v>9.7732819174343497</v>
      </c>
      <c r="H166">
        <v>2E+20</v>
      </c>
      <c r="I166">
        <v>0</v>
      </c>
      <c r="J166">
        <v>29.9069330246537</v>
      </c>
      <c r="K166">
        <v>68</v>
      </c>
      <c r="L166" s="5" t="str">
        <f>DiscreteStatsTable[[#This Row],[ProjectName]]&amp;DiscreteStatsTable[[#This Row],[Name]]&amp;DiscreteStatsTable[[#This Row],[Type]]&amp;DiscreteStatsTable[[#This Row],[Source]]</f>
        <v>Tener ArticulsoDesembalajeWait Time Per EntityProcess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12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12.468073479373563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2.0390363930253126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1.2955419154922878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8.8139308019643003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15.494339623025001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38.7642988818086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66" s="5">
        <f>IF((DiscreteStatsTable[[#This Row],[RepsRequested]]&gt;1),DiscreteStatsTable[[#This Row],[HalfWidth]],DiscreteStatsTable[[#This Row],[BatchMeansHalfWidth]])</f>
        <v>1.2955419154922878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12</v>
      </c>
      <c r="Y166" s="5">
        <f>IF(DiscreteStatsTable[[#This Row],[RepsRequested]]=DiscreteStatsTable[[#This Row],[RepsWithStatObserved]],1,0)</f>
        <v>1</v>
      </c>
    </row>
    <row r="167" spans="1:25" x14ac:dyDescent="0.25">
      <c r="A167" t="s">
        <v>68</v>
      </c>
      <c r="B167" t="s">
        <v>70</v>
      </c>
      <c r="C167">
        <v>8</v>
      </c>
      <c r="D167" t="s">
        <v>80</v>
      </c>
      <c r="E167" t="s">
        <v>81</v>
      </c>
      <c r="F167" t="s">
        <v>82</v>
      </c>
      <c r="G167">
        <v>26.297131927157402</v>
      </c>
      <c r="H167">
        <v>2E+20</v>
      </c>
      <c r="I167">
        <v>8.9203286451168005</v>
      </c>
      <c r="J167">
        <v>51.785477573090503</v>
      </c>
      <c r="K167">
        <v>58</v>
      </c>
      <c r="L167" s="5" t="str">
        <f>DiscreteStatsTable[[#This Row],[ProjectName]]&amp;DiscreteStatsTable[[#This Row],[Name]]&amp;DiscreteStatsTable[[#This Row],[Type]]&amp;DiscreteStatsTable[[#This Row],[Source]]</f>
        <v>Tener ArticulsoDesembalajeTotal Time Per EntityProcess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12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24.51031329670764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2.1527028825375165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1.3677621573936283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20.573219162572599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27.6072772087274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8.0759119651897908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51.785477573090503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67" s="5">
        <f>IF((DiscreteStatsTable[[#This Row],[RepsRequested]]&gt;1),DiscreteStatsTable[[#This Row],[HalfWidth]],DiscreteStatsTable[[#This Row],[BatchMeansHalfWidth]])</f>
        <v>1.3677621573936283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12</v>
      </c>
      <c r="Y167" s="5">
        <f>IF(DiscreteStatsTable[[#This Row],[RepsRequested]]=DiscreteStatsTable[[#This Row],[RepsWithStatObserved]],1,0)</f>
        <v>1</v>
      </c>
    </row>
    <row r="168" spans="1:25" x14ac:dyDescent="0.25">
      <c r="A168" t="s">
        <v>68</v>
      </c>
      <c r="B168" t="s">
        <v>70</v>
      </c>
      <c r="C168">
        <v>8</v>
      </c>
      <c r="D168" t="s">
        <v>80</v>
      </c>
      <c r="E168" t="s">
        <v>83</v>
      </c>
      <c r="F168" t="s">
        <v>82</v>
      </c>
      <c r="G168">
        <v>12.717357888592201</v>
      </c>
      <c r="H168">
        <v>2E+20</v>
      </c>
      <c r="I168">
        <v>8.2932332356660901</v>
      </c>
      <c r="J168">
        <v>15.873634017442701</v>
      </c>
      <c r="K168">
        <v>58</v>
      </c>
      <c r="L168" s="5" t="str">
        <f>DiscreteStatsTable[[#This Row],[ProjectName]]&amp;DiscreteStatsTable[[#This Row],[Name]]&amp;DiscreteStatsTable[[#This Row],[Type]]&amp;DiscreteStatsTable[[#This Row],[Source]]</f>
        <v>Tener ArticulsoDesembalajeVA Time Per EntityProcess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12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12.042239817334083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0.40531120725956793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0.25752245502811572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11.3087118575475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12.7855466550981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8.0309576481744198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15.996573444289099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68" s="5">
        <f>IF((DiscreteStatsTable[[#This Row],[RepsRequested]]&gt;1),DiscreteStatsTable[[#This Row],[HalfWidth]],DiscreteStatsTable[[#This Row],[BatchMeansHalfWidth]])</f>
        <v>0.25752245502811572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12</v>
      </c>
      <c r="Y168" s="5">
        <f>IF(DiscreteStatsTable[[#This Row],[RepsRequested]]=DiscreteStatsTable[[#This Row],[RepsWithStatObserved]],1,0)</f>
        <v>1</v>
      </c>
    </row>
    <row r="169" spans="1:25" x14ac:dyDescent="0.25">
      <c r="A169" t="s">
        <v>68</v>
      </c>
      <c r="B169" t="s">
        <v>70</v>
      </c>
      <c r="C169">
        <v>8</v>
      </c>
      <c r="D169" t="s">
        <v>80</v>
      </c>
      <c r="E169" t="s">
        <v>84</v>
      </c>
      <c r="F169" t="s">
        <v>82</v>
      </c>
      <c r="G169">
        <v>13.579774038565199</v>
      </c>
      <c r="H169">
        <v>2E+20</v>
      </c>
      <c r="I169">
        <v>0</v>
      </c>
      <c r="J169">
        <v>37.117885218616301</v>
      </c>
      <c r="K169">
        <v>58</v>
      </c>
      <c r="L169" s="5" t="str">
        <f>DiscreteStatsTable[[#This Row],[ProjectName]]&amp;DiscreteStatsTable[[#This Row],[Name]]&amp;DiscreteStatsTable[[#This Row],[Type]]&amp;DiscreteStatsTable[[#This Row],[Source]]</f>
        <v>Tener ArticulsoDesembalajeWait Time Per EntityProcess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12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12.468073479373563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2.0390363930253126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1.2955419154922878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8.8139308019643003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15.494339623025001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38.7642988818086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69" s="5">
        <f>IF((DiscreteStatsTable[[#This Row],[RepsRequested]]&gt;1),DiscreteStatsTable[[#This Row],[HalfWidth]],DiscreteStatsTable[[#This Row],[BatchMeansHalfWidth]])</f>
        <v>1.2955419154922878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12</v>
      </c>
      <c r="Y169" s="5">
        <f>IF(DiscreteStatsTable[[#This Row],[RepsRequested]]=DiscreteStatsTable[[#This Row],[RepsWithStatObserved]],1,0)</f>
        <v>1</v>
      </c>
    </row>
    <row r="170" spans="1:25" x14ac:dyDescent="0.25">
      <c r="A170" t="s">
        <v>68</v>
      </c>
      <c r="B170" t="s">
        <v>70</v>
      </c>
      <c r="C170">
        <v>9</v>
      </c>
      <c r="D170" t="s">
        <v>80</v>
      </c>
      <c r="E170" t="s">
        <v>81</v>
      </c>
      <c r="F170" t="s">
        <v>82</v>
      </c>
      <c r="G170">
        <v>26.458299482933501</v>
      </c>
      <c r="H170">
        <v>2E+20</v>
      </c>
      <c r="I170">
        <v>10.6400954983616</v>
      </c>
      <c r="J170">
        <v>50.587434630322797</v>
      </c>
      <c r="K170">
        <v>69</v>
      </c>
      <c r="L170" s="5" t="str">
        <f>DiscreteStatsTable[[#This Row],[ProjectName]]&amp;DiscreteStatsTable[[#This Row],[Name]]&amp;DiscreteStatsTable[[#This Row],[Type]]&amp;DiscreteStatsTable[[#This Row],[Source]]</f>
        <v>Tener ArticulsoDesembalajeTotal Time Per EntityProcess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12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24.51031329670764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2.1527028825375165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1.3677621573936283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20.573219162572599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27.6072772087274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8.0759119651897908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51.785477573090503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70" s="5">
        <f>IF((DiscreteStatsTable[[#This Row],[RepsRequested]]&gt;1),DiscreteStatsTable[[#This Row],[HalfWidth]],DiscreteStatsTable[[#This Row],[BatchMeansHalfWidth]])</f>
        <v>1.3677621573936283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12</v>
      </c>
      <c r="Y170" s="5">
        <f>IF(DiscreteStatsTable[[#This Row],[RepsRequested]]=DiscreteStatsTable[[#This Row],[RepsWithStatObserved]],1,0)</f>
        <v>1</v>
      </c>
    </row>
    <row r="171" spans="1:25" x14ac:dyDescent="0.25">
      <c r="A171" t="s">
        <v>68</v>
      </c>
      <c r="B171" t="s">
        <v>70</v>
      </c>
      <c r="C171">
        <v>9</v>
      </c>
      <c r="D171" t="s">
        <v>80</v>
      </c>
      <c r="E171" t="s">
        <v>83</v>
      </c>
      <c r="F171" t="s">
        <v>82</v>
      </c>
      <c r="G171">
        <v>12.0389904664043</v>
      </c>
      <c r="H171">
        <v>2E+20</v>
      </c>
      <c r="I171">
        <v>8.0309576481744198</v>
      </c>
      <c r="J171">
        <v>15.8928262669594</v>
      </c>
      <c r="K171">
        <v>69</v>
      </c>
      <c r="L171" s="5" t="str">
        <f>DiscreteStatsTable[[#This Row],[ProjectName]]&amp;DiscreteStatsTable[[#This Row],[Name]]&amp;DiscreteStatsTable[[#This Row],[Type]]&amp;DiscreteStatsTable[[#This Row],[Source]]</f>
        <v>Tener ArticulsoDesembalajeVA Time Per EntityProcess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12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12.042239817334083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0.40531120725956793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0.25752245502811572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11.3087118575475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12.7855466550981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8.0309576481744198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15.996573444289099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71" s="5">
        <f>IF((DiscreteStatsTable[[#This Row],[RepsRequested]]&gt;1),DiscreteStatsTable[[#This Row],[HalfWidth]],DiscreteStatsTable[[#This Row],[BatchMeansHalfWidth]])</f>
        <v>0.25752245502811572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12</v>
      </c>
      <c r="Y171" s="5">
        <f>IF(DiscreteStatsTable[[#This Row],[RepsRequested]]=DiscreteStatsTable[[#This Row],[RepsWithStatObserved]],1,0)</f>
        <v>1</v>
      </c>
    </row>
    <row r="172" spans="1:25" x14ac:dyDescent="0.25">
      <c r="A172" t="s">
        <v>68</v>
      </c>
      <c r="B172" t="s">
        <v>70</v>
      </c>
      <c r="C172">
        <v>9</v>
      </c>
      <c r="D172" t="s">
        <v>80</v>
      </c>
      <c r="E172" t="s">
        <v>84</v>
      </c>
      <c r="F172" t="s">
        <v>82</v>
      </c>
      <c r="G172">
        <v>14.419309016529199</v>
      </c>
      <c r="H172">
        <v>2E+20</v>
      </c>
      <c r="I172">
        <v>0</v>
      </c>
      <c r="J172">
        <v>37.807031610671103</v>
      </c>
      <c r="K172">
        <v>69</v>
      </c>
      <c r="L172" s="5" t="str">
        <f>DiscreteStatsTable[[#This Row],[ProjectName]]&amp;DiscreteStatsTable[[#This Row],[Name]]&amp;DiscreteStatsTable[[#This Row],[Type]]&amp;DiscreteStatsTable[[#This Row],[Source]]</f>
        <v>Tener ArticulsoDesembalajeWait Time Per EntityProcess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12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12.468073479373563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2.0390363930253126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1.2955419154922878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8.8139308019643003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15.494339623025001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38.7642988818086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72" s="5">
        <f>IF((DiscreteStatsTable[[#This Row],[RepsRequested]]&gt;1),DiscreteStatsTable[[#This Row],[HalfWidth]],DiscreteStatsTable[[#This Row],[BatchMeansHalfWidth]])</f>
        <v>1.2955419154922878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12</v>
      </c>
      <c r="Y172" s="5">
        <f>IF(DiscreteStatsTable[[#This Row],[RepsRequested]]=DiscreteStatsTable[[#This Row],[RepsWithStatObserved]],1,0)</f>
        <v>1</v>
      </c>
    </row>
    <row r="173" spans="1:25" x14ac:dyDescent="0.25">
      <c r="A173" t="s">
        <v>68</v>
      </c>
      <c r="B173" t="s">
        <v>70</v>
      </c>
      <c r="C173">
        <v>10</v>
      </c>
      <c r="D173" t="s">
        <v>80</v>
      </c>
      <c r="E173" t="s">
        <v>81</v>
      </c>
      <c r="F173" t="s">
        <v>82</v>
      </c>
      <c r="G173">
        <v>24.566149217179301</v>
      </c>
      <c r="H173">
        <v>2E+20</v>
      </c>
      <c r="I173">
        <v>10.765285481686099</v>
      </c>
      <c r="J173">
        <v>38.890583413916602</v>
      </c>
      <c r="K173">
        <v>69</v>
      </c>
      <c r="L173" s="5" t="str">
        <f>DiscreteStatsTable[[#This Row],[ProjectName]]&amp;DiscreteStatsTable[[#This Row],[Name]]&amp;DiscreteStatsTable[[#This Row],[Type]]&amp;DiscreteStatsTable[[#This Row],[Source]]</f>
        <v>Tener ArticulsoDesembalajeTotal Time Per EntityProcess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12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24.51031329670764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2.1527028825375165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1.3677621573936283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20.573219162572599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27.6072772087274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8.0759119651897908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51.785477573090503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73" s="5">
        <f>IF((DiscreteStatsTable[[#This Row],[RepsRequested]]&gt;1),DiscreteStatsTable[[#This Row],[HalfWidth]],DiscreteStatsTable[[#This Row],[BatchMeansHalfWidth]])</f>
        <v>1.3677621573936283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12</v>
      </c>
      <c r="Y173" s="5">
        <f>IF(DiscreteStatsTable[[#This Row],[RepsRequested]]=DiscreteStatsTable[[#This Row],[RepsWithStatObserved]],1,0)</f>
        <v>1</v>
      </c>
    </row>
    <row r="174" spans="1:25" x14ac:dyDescent="0.25">
      <c r="A174" t="s">
        <v>68</v>
      </c>
      <c r="B174" t="s">
        <v>70</v>
      </c>
      <c r="C174">
        <v>10</v>
      </c>
      <c r="D174" t="s">
        <v>80</v>
      </c>
      <c r="E174" t="s">
        <v>83</v>
      </c>
      <c r="F174" t="s">
        <v>82</v>
      </c>
      <c r="G174">
        <v>11.9525751741471</v>
      </c>
      <c r="H174">
        <v>2E+20</v>
      </c>
      <c r="I174">
        <v>8.1841658182652299</v>
      </c>
      <c r="J174">
        <v>15.801098635054601</v>
      </c>
      <c r="K174">
        <v>69</v>
      </c>
      <c r="L174" s="5" t="str">
        <f>DiscreteStatsTable[[#This Row],[ProjectName]]&amp;DiscreteStatsTable[[#This Row],[Name]]&amp;DiscreteStatsTable[[#This Row],[Type]]&amp;DiscreteStatsTable[[#This Row],[Source]]</f>
        <v>Tener ArticulsoDesembalajeVA Time Per EntityProcess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12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12.042239817334083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0.40531120725956793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0.25752245502811572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11.3087118575475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12.7855466550981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8.0309576481744198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15.996573444289099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74" s="5">
        <f>IF((DiscreteStatsTable[[#This Row],[RepsRequested]]&gt;1),DiscreteStatsTable[[#This Row],[HalfWidth]],DiscreteStatsTable[[#This Row],[BatchMeansHalfWidth]])</f>
        <v>0.25752245502811572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12</v>
      </c>
      <c r="Y174" s="5">
        <f>IF(DiscreteStatsTable[[#This Row],[RepsRequested]]=DiscreteStatsTable[[#This Row],[RepsWithStatObserved]],1,0)</f>
        <v>1</v>
      </c>
    </row>
    <row r="175" spans="1:25" x14ac:dyDescent="0.25">
      <c r="A175" t="s">
        <v>68</v>
      </c>
      <c r="B175" t="s">
        <v>70</v>
      </c>
      <c r="C175">
        <v>10</v>
      </c>
      <c r="D175" t="s">
        <v>80</v>
      </c>
      <c r="E175" t="s">
        <v>84</v>
      </c>
      <c r="F175" t="s">
        <v>82</v>
      </c>
      <c r="G175">
        <v>12.6135740430322</v>
      </c>
      <c r="H175">
        <v>2E+20</v>
      </c>
      <c r="I175">
        <v>0</v>
      </c>
      <c r="J175">
        <v>24.968801334146299</v>
      </c>
      <c r="K175">
        <v>69</v>
      </c>
      <c r="L175" s="5" t="str">
        <f>DiscreteStatsTable[[#This Row],[ProjectName]]&amp;DiscreteStatsTable[[#This Row],[Name]]&amp;DiscreteStatsTable[[#This Row],[Type]]&amp;DiscreteStatsTable[[#This Row],[Source]]</f>
        <v>Tener ArticulsoDesembalajeWait Time Per EntityProcess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12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12.468073479373563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2.0390363930253126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1.2955419154922878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8.8139308019643003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15.494339623025001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38.7642988818086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75" s="5">
        <f>IF((DiscreteStatsTable[[#This Row],[RepsRequested]]&gt;1),DiscreteStatsTable[[#This Row],[HalfWidth]],DiscreteStatsTable[[#This Row],[BatchMeansHalfWidth]])</f>
        <v>1.2955419154922878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12</v>
      </c>
      <c r="Y175" s="5">
        <f>IF(DiscreteStatsTable[[#This Row],[RepsRequested]]=DiscreteStatsTable[[#This Row],[RepsWithStatObserved]],1,0)</f>
        <v>1</v>
      </c>
    </row>
    <row r="176" spans="1:25" x14ac:dyDescent="0.25">
      <c r="A176" t="s">
        <v>68</v>
      </c>
      <c r="B176" t="s">
        <v>70</v>
      </c>
      <c r="C176">
        <v>11</v>
      </c>
      <c r="D176" t="s">
        <v>80</v>
      </c>
      <c r="E176" t="s">
        <v>81</v>
      </c>
      <c r="F176" t="s">
        <v>82</v>
      </c>
      <c r="G176">
        <v>25.0166080645633</v>
      </c>
      <c r="H176">
        <v>2E+20</v>
      </c>
      <c r="I176">
        <v>8.6510532237753104</v>
      </c>
      <c r="J176">
        <v>45.852567711655603</v>
      </c>
      <c r="K176">
        <v>59</v>
      </c>
      <c r="L176" s="5" t="str">
        <f>DiscreteStatsTable[[#This Row],[ProjectName]]&amp;DiscreteStatsTable[[#This Row],[Name]]&amp;DiscreteStatsTable[[#This Row],[Type]]&amp;DiscreteStatsTable[[#This Row],[Source]]</f>
        <v>Tener ArticulsoDesembalajeTotal Time Per EntityProcess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12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24.51031329670764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2.1527028825375165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1.3677621573936283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20.573219162572599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27.6072772087274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8.0759119651897908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51.785477573090503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76" s="5">
        <f>IF((DiscreteStatsTable[[#This Row],[RepsRequested]]&gt;1),DiscreteStatsTable[[#This Row],[HalfWidth]],DiscreteStatsTable[[#This Row],[BatchMeansHalfWidth]])</f>
        <v>1.3677621573936283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12</v>
      </c>
      <c r="Y176" s="5">
        <f>IF(DiscreteStatsTable[[#This Row],[RepsRequested]]=DiscreteStatsTable[[#This Row],[RepsWithStatObserved]],1,0)</f>
        <v>1</v>
      </c>
    </row>
    <row r="177" spans="1:25" x14ac:dyDescent="0.25">
      <c r="A177" t="s">
        <v>68</v>
      </c>
      <c r="B177" t="s">
        <v>70</v>
      </c>
      <c r="C177">
        <v>11</v>
      </c>
      <c r="D177" t="s">
        <v>80</v>
      </c>
      <c r="E177" t="s">
        <v>83</v>
      </c>
      <c r="F177" t="s">
        <v>82</v>
      </c>
      <c r="G177">
        <v>12.7855466550981</v>
      </c>
      <c r="H177">
        <v>2E+20</v>
      </c>
      <c r="I177">
        <v>8.0981818559857892</v>
      </c>
      <c r="J177">
        <v>15.996573444289099</v>
      </c>
      <c r="K177">
        <v>59</v>
      </c>
      <c r="L177" s="5" t="str">
        <f>DiscreteStatsTable[[#This Row],[ProjectName]]&amp;DiscreteStatsTable[[#This Row],[Name]]&amp;DiscreteStatsTable[[#This Row],[Type]]&amp;DiscreteStatsTable[[#This Row],[Source]]</f>
        <v>Tener ArticulsoDesembalajeVA Time Per EntityProcess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12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12.042239817334083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0.40531120725956793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0.25752245502811572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11.3087118575475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12.7855466550981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8.0309576481744198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15.996573444289099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77" s="5">
        <f>IF((DiscreteStatsTable[[#This Row],[RepsRequested]]&gt;1),DiscreteStatsTable[[#This Row],[HalfWidth]],DiscreteStatsTable[[#This Row],[BatchMeansHalfWidth]])</f>
        <v>0.25752245502811572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12</v>
      </c>
      <c r="Y177" s="5">
        <f>IF(DiscreteStatsTable[[#This Row],[RepsRequested]]=DiscreteStatsTable[[#This Row],[RepsWithStatObserved]],1,0)</f>
        <v>1</v>
      </c>
    </row>
    <row r="178" spans="1:25" x14ac:dyDescent="0.25">
      <c r="A178" t="s">
        <v>68</v>
      </c>
      <c r="B178" t="s">
        <v>70</v>
      </c>
      <c r="C178">
        <v>11</v>
      </c>
      <c r="D178" t="s">
        <v>80</v>
      </c>
      <c r="E178" t="s">
        <v>84</v>
      </c>
      <c r="F178" t="s">
        <v>82</v>
      </c>
      <c r="G178">
        <v>12.2310614094652</v>
      </c>
      <c r="H178">
        <v>2E+20</v>
      </c>
      <c r="I178">
        <v>0</v>
      </c>
      <c r="J178">
        <v>30.0276671004906</v>
      </c>
      <c r="K178">
        <v>59</v>
      </c>
      <c r="L178" s="5" t="str">
        <f>DiscreteStatsTable[[#This Row],[ProjectName]]&amp;DiscreteStatsTable[[#This Row],[Name]]&amp;DiscreteStatsTable[[#This Row],[Type]]&amp;DiscreteStatsTable[[#This Row],[Source]]</f>
        <v>Tener ArticulsoDesembalajeWait Time Per EntityProcess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12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12.468073479373563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2.0390363930253126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1.2955419154922878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8.8139308019643003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15.494339623025001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38.7642988818086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78" s="5">
        <f>IF((DiscreteStatsTable[[#This Row],[RepsRequested]]&gt;1),DiscreteStatsTable[[#This Row],[HalfWidth]],DiscreteStatsTable[[#This Row],[BatchMeansHalfWidth]])</f>
        <v>1.2955419154922878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12</v>
      </c>
      <c r="Y178" s="5">
        <f>IF(DiscreteStatsTable[[#This Row],[RepsRequested]]=DiscreteStatsTable[[#This Row],[RepsWithStatObserved]],1,0)</f>
        <v>1</v>
      </c>
    </row>
    <row r="179" spans="1:25" x14ac:dyDescent="0.25">
      <c r="A179" t="s">
        <v>68</v>
      </c>
      <c r="B179" t="s">
        <v>70</v>
      </c>
      <c r="C179">
        <v>12</v>
      </c>
      <c r="D179" t="s">
        <v>80</v>
      </c>
      <c r="E179" t="s">
        <v>81</v>
      </c>
      <c r="F179" t="s">
        <v>82</v>
      </c>
      <c r="G179">
        <v>23.461959039176701</v>
      </c>
      <c r="H179">
        <v>2E+20</v>
      </c>
      <c r="I179">
        <v>8.9597346858550999</v>
      </c>
      <c r="J179">
        <v>49.564015470417097</v>
      </c>
      <c r="K179">
        <v>67</v>
      </c>
      <c r="L179" s="5" t="str">
        <f>DiscreteStatsTable[[#This Row],[ProjectName]]&amp;DiscreteStatsTable[[#This Row],[Name]]&amp;DiscreteStatsTable[[#This Row],[Type]]&amp;DiscreteStatsTable[[#This Row],[Source]]</f>
        <v>Tener ArticulsoDesembalajeTotal Time Per EntityProcess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12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24.51031329670764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2.1527028825375165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1.3677621573936283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20.573219162572599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27.6072772087274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8.0759119651897908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51.785477573090503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79" s="5">
        <f>IF((DiscreteStatsTable[[#This Row],[RepsRequested]]&gt;1),DiscreteStatsTable[[#This Row],[HalfWidth]],DiscreteStatsTable[[#This Row],[BatchMeansHalfWidth]])</f>
        <v>1.3677621573936283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12</v>
      </c>
      <c r="Y179" s="5">
        <f>IF(DiscreteStatsTable[[#This Row],[RepsRequested]]=DiscreteStatsTable[[#This Row],[RepsWithStatObserved]],1,0)</f>
        <v>1</v>
      </c>
    </row>
    <row r="180" spans="1:25" x14ac:dyDescent="0.25">
      <c r="A180" t="s">
        <v>68</v>
      </c>
      <c r="B180" t="s">
        <v>70</v>
      </c>
      <c r="C180">
        <v>12</v>
      </c>
      <c r="D180" t="s">
        <v>80</v>
      </c>
      <c r="E180" t="s">
        <v>83</v>
      </c>
      <c r="F180" t="s">
        <v>82</v>
      </c>
      <c r="G180">
        <v>11.9513078382342</v>
      </c>
      <c r="H180">
        <v>2E+20</v>
      </c>
      <c r="I180">
        <v>8.1706453104654901</v>
      </c>
      <c r="J180">
        <v>15.986649618765799</v>
      </c>
      <c r="K180">
        <v>67</v>
      </c>
      <c r="L180" s="5" t="str">
        <f>DiscreteStatsTable[[#This Row],[ProjectName]]&amp;DiscreteStatsTable[[#This Row],[Name]]&amp;DiscreteStatsTable[[#This Row],[Type]]&amp;DiscreteStatsTable[[#This Row],[Source]]</f>
        <v>Tener ArticulsoDesembalajeVA Time Per EntityProcess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12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12.042239817334083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0.40531120725956793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0.25752245502811572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11.3087118575475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12.7855466550981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8.0309576481744198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15.996573444289099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80" s="5">
        <f>IF((DiscreteStatsTable[[#This Row],[RepsRequested]]&gt;1),DiscreteStatsTable[[#This Row],[HalfWidth]],DiscreteStatsTable[[#This Row],[BatchMeansHalfWidth]])</f>
        <v>0.25752245502811572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12</v>
      </c>
      <c r="Y180" s="5">
        <f>IF(DiscreteStatsTable[[#This Row],[RepsRequested]]=DiscreteStatsTable[[#This Row],[RepsWithStatObserved]],1,0)</f>
        <v>1</v>
      </c>
    </row>
    <row r="181" spans="1:25" x14ac:dyDescent="0.25">
      <c r="A181" t="s">
        <v>68</v>
      </c>
      <c r="B181" t="s">
        <v>70</v>
      </c>
      <c r="C181">
        <v>12</v>
      </c>
      <c r="D181" t="s">
        <v>80</v>
      </c>
      <c r="E181" t="s">
        <v>84</v>
      </c>
      <c r="F181" t="s">
        <v>82</v>
      </c>
      <c r="G181">
        <v>11.510651200942499</v>
      </c>
      <c r="H181">
        <v>2E+20</v>
      </c>
      <c r="I181">
        <v>0</v>
      </c>
      <c r="J181">
        <v>34.277580687081098</v>
      </c>
      <c r="K181">
        <v>67</v>
      </c>
      <c r="L181" s="5" t="str">
        <f>DiscreteStatsTable[[#This Row],[ProjectName]]&amp;DiscreteStatsTable[[#This Row],[Name]]&amp;DiscreteStatsTable[[#This Row],[Type]]&amp;DiscreteStatsTable[[#This Row],[Source]]</f>
        <v>Tener ArticulsoDesembalajeWait Time Per EntityProcess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12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12.468073479373563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2.0390363930253126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1.2955419154922878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8.8139308019643003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15.494339623025001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38.7642988818086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65.083333333333329</v>
      </c>
      <c r="W181" s="5">
        <f>IF((DiscreteStatsTable[[#This Row],[RepsRequested]]&gt;1),DiscreteStatsTable[[#This Row],[HalfWidth]],DiscreteStatsTable[[#This Row],[BatchMeansHalfWidth]])</f>
        <v>1.2955419154922878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12</v>
      </c>
      <c r="Y181" s="5">
        <f>IF(DiscreteStatsTable[[#This Row],[RepsRequested]]=DiscreteStatsTable[[#This Row],[RepsWithStatObserved]],1,0)</f>
        <v>1</v>
      </c>
    </row>
    <row r="182" spans="1:25" x14ac:dyDescent="0.25">
      <c r="A182" t="s">
        <v>68</v>
      </c>
      <c r="B182" t="s">
        <v>70</v>
      </c>
      <c r="C182">
        <v>1</v>
      </c>
      <c r="D182" t="s">
        <v>85</v>
      </c>
      <c r="E182" t="s">
        <v>86</v>
      </c>
      <c r="F182" t="s">
        <v>87</v>
      </c>
      <c r="G182">
        <v>10.716115152757901</v>
      </c>
      <c r="H182">
        <v>2E+20</v>
      </c>
      <c r="I182">
        <v>0</v>
      </c>
      <c r="J182">
        <v>29.051690858743001</v>
      </c>
      <c r="K182">
        <v>67</v>
      </c>
      <c r="L182" s="5" t="str">
        <f>DiscreteStatsTable[[#This Row],[ProjectName]]&amp;DiscreteStatsTable[[#This Row],[Name]]&amp;DiscreteStatsTable[[#This Row],[Type]]&amp;DiscreteStatsTable[[#This Row],[Source]]</f>
        <v>Tener ArticulsoDesembalaje.QueueWaiting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12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12.50284312674699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2.0905898840755364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1.3282974409816715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8.8139308019643003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15.676857120408901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38.7642988818086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65.75</v>
      </c>
      <c r="W182" s="5">
        <f>IF((DiscreteStatsTable[[#This Row],[RepsRequested]]&gt;1),DiscreteStatsTable[[#This Row],[HalfWidth]],DiscreteStatsTable[[#This Row],[BatchMeansHalfWidth]])</f>
        <v>1.3282974409816715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12</v>
      </c>
      <c r="Y182" s="5">
        <f>IF(DiscreteStatsTable[[#This Row],[RepsRequested]]=DiscreteStatsTable[[#This Row],[RepsWithStatObserved]],1,0)</f>
        <v>1</v>
      </c>
    </row>
    <row r="183" spans="1:25" x14ac:dyDescent="0.25">
      <c r="A183" t="s">
        <v>68</v>
      </c>
      <c r="B183" t="s">
        <v>70</v>
      </c>
      <c r="C183">
        <v>2</v>
      </c>
      <c r="D183" t="s">
        <v>85</v>
      </c>
      <c r="E183" t="s">
        <v>86</v>
      </c>
      <c r="F183" t="s">
        <v>87</v>
      </c>
      <c r="G183">
        <v>13.935792128320401</v>
      </c>
      <c r="H183">
        <v>2E+20</v>
      </c>
      <c r="I183">
        <v>0</v>
      </c>
      <c r="J183">
        <v>38.7642988818086</v>
      </c>
      <c r="K183">
        <v>61</v>
      </c>
      <c r="L183" s="5" t="str">
        <f>DiscreteStatsTable[[#This Row],[ProjectName]]&amp;DiscreteStatsTable[[#This Row],[Name]]&amp;DiscreteStatsTable[[#This Row],[Type]]&amp;DiscreteStatsTable[[#This Row],[Source]]</f>
        <v>Tener ArticulsoDesembalaje.QueueWaiting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12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12.50284312674699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2.0905898840755364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1.3282974409816715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8.8139308019643003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15.676857120408901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38.7642988818086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65.75</v>
      </c>
      <c r="W183" s="5">
        <f>IF((DiscreteStatsTable[[#This Row],[RepsRequested]]&gt;1),DiscreteStatsTable[[#This Row],[HalfWidth]],DiscreteStatsTable[[#This Row],[BatchMeansHalfWidth]])</f>
        <v>1.3282974409816715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12</v>
      </c>
      <c r="Y183" s="5">
        <f>IF(DiscreteStatsTable[[#This Row],[RepsRequested]]=DiscreteStatsTable[[#This Row],[RepsWithStatObserved]],1,0)</f>
        <v>1</v>
      </c>
    </row>
    <row r="184" spans="1:25" x14ac:dyDescent="0.25">
      <c r="A184" t="s">
        <v>68</v>
      </c>
      <c r="B184" t="s">
        <v>70</v>
      </c>
      <c r="C184">
        <v>3</v>
      </c>
      <c r="D184" t="s">
        <v>85</v>
      </c>
      <c r="E184" t="s">
        <v>86</v>
      </c>
      <c r="F184" t="s">
        <v>87</v>
      </c>
      <c r="G184">
        <v>14.679187493971</v>
      </c>
      <c r="H184">
        <v>2E+20</v>
      </c>
      <c r="I184">
        <v>0</v>
      </c>
      <c r="J184">
        <v>31.352641157038001</v>
      </c>
      <c r="K184">
        <v>69</v>
      </c>
      <c r="L184" s="5" t="str">
        <f>DiscreteStatsTable[[#This Row],[ProjectName]]&amp;DiscreteStatsTable[[#This Row],[Name]]&amp;DiscreteStatsTable[[#This Row],[Type]]&amp;DiscreteStatsTable[[#This Row],[Source]]</f>
        <v>Tener ArticulsoDesembalaje.QueueWaiting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12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12.50284312674699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2.0905898840755364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1.3282974409816715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8.8139308019643003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15.676857120408901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38.7642988818086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65.75</v>
      </c>
      <c r="W184" s="5">
        <f>IF((DiscreteStatsTable[[#This Row],[RepsRequested]]&gt;1),DiscreteStatsTable[[#This Row],[HalfWidth]],DiscreteStatsTable[[#This Row],[BatchMeansHalfWidth]])</f>
        <v>1.3282974409816715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12</v>
      </c>
      <c r="Y184" s="5">
        <f>IF(DiscreteStatsTable[[#This Row],[RepsRequested]]=DiscreteStatsTable[[#This Row],[RepsWithStatObserved]],1,0)</f>
        <v>1</v>
      </c>
    </row>
    <row r="185" spans="1:25" x14ac:dyDescent="0.25">
      <c r="A185" t="s">
        <v>68</v>
      </c>
      <c r="B185" t="s">
        <v>70</v>
      </c>
      <c r="C185">
        <v>4</v>
      </c>
      <c r="D185" t="s">
        <v>85</v>
      </c>
      <c r="E185" t="s">
        <v>86</v>
      </c>
      <c r="F185" t="s">
        <v>87</v>
      </c>
      <c r="G185">
        <v>15.676857120408901</v>
      </c>
      <c r="H185">
        <v>2E+20</v>
      </c>
      <c r="I185">
        <v>2.3669900662966401</v>
      </c>
      <c r="J185">
        <v>33.183638150194199</v>
      </c>
      <c r="K185">
        <v>66</v>
      </c>
      <c r="L185" s="5" t="str">
        <f>DiscreteStatsTable[[#This Row],[ProjectName]]&amp;DiscreteStatsTable[[#This Row],[Name]]&amp;DiscreteStatsTable[[#This Row],[Type]]&amp;DiscreteStatsTable[[#This Row],[Source]]</f>
        <v>Tener ArticulsoDesembalaje.QueueWaiting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12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12.50284312674699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2.0905898840755364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1.3282974409816715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8.8139308019643003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15.676857120408901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38.7642988818086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65.75</v>
      </c>
      <c r="W185" s="5">
        <f>IF((DiscreteStatsTable[[#This Row],[RepsRequested]]&gt;1),DiscreteStatsTable[[#This Row],[HalfWidth]],DiscreteStatsTable[[#This Row],[BatchMeansHalfWidth]])</f>
        <v>1.3282974409816715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12</v>
      </c>
      <c r="Y185" s="5">
        <f>IF(DiscreteStatsTable[[#This Row],[RepsRequested]]=DiscreteStatsTable[[#This Row],[RepsWithStatObserved]],1,0)</f>
        <v>1</v>
      </c>
    </row>
    <row r="186" spans="1:25" x14ac:dyDescent="0.25">
      <c r="A186" t="s">
        <v>68</v>
      </c>
      <c r="B186" t="s">
        <v>70</v>
      </c>
      <c r="C186">
        <v>5</v>
      </c>
      <c r="D186" t="s">
        <v>85</v>
      </c>
      <c r="E186" t="s">
        <v>86</v>
      </c>
      <c r="F186" t="s">
        <v>87</v>
      </c>
      <c r="G186">
        <v>8.8139308019643003</v>
      </c>
      <c r="H186">
        <v>2E+20</v>
      </c>
      <c r="I186">
        <v>0</v>
      </c>
      <c r="J186">
        <v>24.8373076145065</v>
      </c>
      <c r="K186">
        <v>62</v>
      </c>
      <c r="L186" s="5" t="str">
        <f>DiscreteStatsTable[[#This Row],[ProjectName]]&amp;DiscreteStatsTable[[#This Row],[Name]]&amp;DiscreteStatsTable[[#This Row],[Type]]&amp;DiscreteStatsTable[[#This Row],[Source]]</f>
        <v>Tener ArticulsoDesembalaje.QueueWaiting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12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12.50284312674699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2.0905898840755364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1.3282974409816715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8.8139308019643003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15.676857120408901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38.7642988818086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65.75</v>
      </c>
      <c r="W186" s="5">
        <f>IF((DiscreteStatsTable[[#This Row],[RepsRequested]]&gt;1),DiscreteStatsTable[[#This Row],[HalfWidth]],DiscreteStatsTable[[#This Row],[BatchMeansHalfWidth]])</f>
        <v>1.3282974409816715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12</v>
      </c>
      <c r="Y186" s="5">
        <f>IF(DiscreteStatsTable[[#This Row],[RepsRequested]]=DiscreteStatsTable[[#This Row],[RepsWithStatObserved]],1,0)</f>
        <v>1</v>
      </c>
    </row>
    <row r="187" spans="1:25" x14ac:dyDescent="0.25">
      <c r="A187" t="s">
        <v>68</v>
      </c>
      <c r="B187" t="s">
        <v>70</v>
      </c>
      <c r="C187">
        <v>6</v>
      </c>
      <c r="D187" t="s">
        <v>85</v>
      </c>
      <c r="E187" t="s">
        <v>86</v>
      </c>
      <c r="F187" t="s">
        <v>87</v>
      </c>
      <c r="G187">
        <v>11.643156712134299</v>
      </c>
      <c r="H187">
        <v>2E+20</v>
      </c>
      <c r="I187">
        <v>0</v>
      </c>
      <c r="J187">
        <v>26.959518267665899</v>
      </c>
      <c r="K187">
        <v>70</v>
      </c>
      <c r="L187" s="5" t="str">
        <f>DiscreteStatsTable[[#This Row],[ProjectName]]&amp;DiscreteStatsTable[[#This Row],[Name]]&amp;DiscreteStatsTable[[#This Row],[Type]]&amp;DiscreteStatsTable[[#This Row],[Source]]</f>
        <v>Tener ArticulsoDesembalaje.QueueWaiting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12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12.50284312674699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2.0905898840755364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1.3282974409816715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8.8139308019643003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15.676857120408901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38.7642988818086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65.75</v>
      </c>
      <c r="W187" s="5">
        <f>IF((DiscreteStatsTable[[#This Row],[RepsRequested]]&gt;1),DiscreteStatsTable[[#This Row],[HalfWidth]],DiscreteStatsTable[[#This Row],[BatchMeansHalfWidth]])</f>
        <v>1.3282974409816715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12</v>
      </c>
      <c r="Y187" s="5">
        <f>IF(DiscreteStatsTable[[#This Row],[RepsRequested]]=DiscreteStatsTable[[#This Row],[RepsWithStatObserved]],1,0)</f>
        <v>1</v>
      </c>
    </row>
    <row r="188" spans="1:25" x14ac:dyDescent="0.25">
      <c r="A188" t="s">
        <v>68</v>
      </c>
      <c r="B188" t="s">
        <v>70</v>
      </c>
      <c r="C188">
        <v>7</v>
      </c>
      <c r="D188" t="s">
        <v>85</v>
      </c>
      <c r="E188" t="s">
        <v>86</v>
      </c>
      <c r="F188" t="s">
        <v>87</v>
      </c>
      <c r="G188">
        <v>9.8483595237971997</v>
      </c>
      <c r="H188">
        <v>2E+20</v>
      </c>
      <c r="I188">
        <v>0</v>
      </c>
      <c r="J188">
        <v>29.9069330246537</v>
      </c>
      <c r="K188">
        <v>69</v>
      </c>
      <c r="L188" s="5" t="str">
        <f>DiscreteStatsTable[[#This Row],[ProjectName]]&amp;DiscreteStatsTable[[#This Row],[Name]]&amp;DiscreteStatsTable[[#This Row],[Type]]&amp;DiscreteStatsTable[[#This Row],[Source]]</f>
        <v>Tener ArticulsoDesembalaje.QueueWaiting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12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12.50284312674699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2.0905898840755364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1.3282974409816715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8.8139308019643003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15.676857120408901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38.7642988818086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65.75</v>
      </c>
      <c r="W188" s="5">
        <f>IF((DiscreteStatsTable[[#This Row],[RepsRequested]]&gt;1),DiscreteStatsTable[[#This Row],[HalfWidth]],DiscreteStatsTable[[#This Row],[BatchMeansHalfWidth]])</f>
        <v>1.3282974409816715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12</v>
      </c>
      <c r="Y188" s="5">
        <f>IF(DiscreteStatsTable[[#This Row],[RepsRequested]]=DiscreteStatsTable[[#This Row],[RepsWithStatObserved]],1,0)</f>
        <v>1</v>
      </c>
    </row>
    <row r="189" spans="1:25" x14ac:dyDescent="0.25">
      <c r="A189" t="s">
        <v>68</v>
      </c>
      <c r="B189" t="s">
        <v>70</v>
      </c>
      <c r="C189">
        <v>8</v>
      </c>
      <c r="D189" t="s">
        <v>85</v>
      </c>
      <c r="E189" t="s">
        <v>86</v>
      </c>
      <c r="F189" t="s">
        <v>87</v>
      </c>
      <c r="G189">
        <v>13.901088675035499</v>
      </c>
      <c r="H189">
        <v>2E+20</v>
      </c>
      <c r="I189">
        <v>0</v>
      </c>
      <c r="J189">
        <v>37.117885218616301</v>
      </c>
      <c r="K189">
        <v>59</v>
      </c>
      <c r="L189" s="5" t="str">
        <f>DiscreteStatsTable[[#This Row],[ProjectName]]&amp;DiscreteStatsTable[[#This Row],[Name]]&amp;DiscreteStatsTable[[#This Row],[Type]]&amp;DiscreteStatsTable[[#This Row],[Source]]</f>
        <v>Tener ArticulsoDesembalaje.QueueWaiting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12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12.50284312674699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2.0905898840755364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1.3282974409816715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8.8139308019643003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15.676857120408901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38.7642988818086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65.75</v>
      </c>
      <c r="W189" s="5">
        <f>IF((DiscreteStatsTable[[#This Row],[RepsRequested]]&gt;1),DiscreteStatsTable[[#This Row],[HalfWidth]],DiscreteStatsTable[[#This Row],[BatchMeansHalfWidth]])</f>
        <v>1.3282974409816715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12</v>
      </c>
      <c r="Y189" s="5">
        <f>IF(DiscreteStatsTable[[#This Row],[RepsRequested]]=DiscreteStatsTable[[#This Row],[RepsWithStatObserved]],1,0)</f>
        <v>1</v>
      </c>
    </row>
    <row r="190" spans="1:25" x14ac:dyDescent="0.25">
      <c r="A190" t="s">
        <v>68</v>
      </c>
      <c r="B190" t="s">
        <v>70</v>
      </c>
      <c r="C190">
        <v>9</v>
      </c>
      <c r="D190" t="s">
        <v>85</v>
      </c>
      <c r="E190" t="s">
        <v>86</v>
      </c>
      <c r="F190" t="s">
        <v>87</v>
      </c>
      <c r="G190">
        <v>14.419309016529199</v>
      </c>
      <c r="H190">
        <v>2E+20</v>
      </c>
      <c r="I190">
        <v>0</v>
      </c>
      <c r="J190">
        <v>37.807031610671103</v>
      </c>
      <c r="K190">
        <v>69</v>
      </c>
      <c r="L190" s="5" t="str">
        <f>DiscreteStatsTable[[#This Row],[ProjectName]]&amp;DiscreteStatsTable[[#This Row],[Name]]&amp;DiscreteStatsTable[[#This Row],[Type]]&amp;DiscreteStatsTable[[#This Row],[Source]]</f>
        <v>Tener ArticulsoDesembalaje.QueueWaiting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12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12.50284312674699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2.0905898840755364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1.3282974409816715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8.8139308019643003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15.676857120408901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38.7642988818086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65.75</v>
      </c>
      <c r="W190" s="5">
        <f>IF((DiscreteStatsTable[[#This Row],[RepsRequested]]&gt;1),DiscreteStatsTable[[#This Row],[HalfWidth]],DiscreteStatsTable[[#This Row],[BatchMeansHalfWidth]])</f>
        <v>1.3282974409816715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12</v>
      </c>
      <c r="Y190" s="5">
        <f>IF(DiscreteStatsTable[[#This Row],[RepsRequested]]=DiscreteStatsTable[[#This Row],[RepsWithStatObserved]],1,0)</f>
        <v>1</v>
      </c>
    </row>
    <row r="191" spans="1:25" x14ac:dyDescent="0.25">
      <c r="A191" t="s">
        <v>68</v>
      </c>
      <c r="B191" t="s">
        <v>70</v>
      </c>
      <c r="C191">
        <v>10</v>
      </c>
      <c r="D191" t="s">
        <v>85</v>
      </c>
      <c r="E191" t="s">
        <v>86</v>
      </c>
      <c r="F191" t="s">
        <v>87</v>
      </c>
      <c r="G191">
        <v>12.6135740430322</v>
      </c>
      <c r="H191">
        <v>2E+20</v>
      </c>
      <c r="I191">
        <v>0</v>
      </c>
      <c r="J191">
        <v>24.968801334146299</v>
      </c>
      <c r="K191">
        <v>69</v>
      </c>
      <c r="L191" s="5" t="str">
        <f>DiscreteStatsTable[[#This Row],[ProjectName]]&amp;DiscreteStatsTable[[#This Row],[Name]]&amp;DiscreteStatsTable[[#This Row],[Type]]&amp;DiscreteStatsTable[[#This Row],[Source]]</f>
        <v>Tener ArticulsoDesembalaje.QueueWaiting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12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12.50284312674699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2.0905898840755364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1.3282974409816715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8.8139308019643003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15.676857120408901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38.7642988818086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65.75</v>
      </c>
      <c r="W191" s="5">
        <f>IF((DiscreteStatsTable[[#This Row],[RepsRequested]]&gt;1),DiscreteStatsTable[[#This Row],[HalfWidth]],DiscreteStatsTable[[#This Row],[BatchMeansHalfWidth]])</f>
        <v>1.3282974409816715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12</v>
      </c>
      <c r="Y191" s="5">
        <f>IF(DiscreteStatsTable[[#This Row],[RepsRequested]]=DiscreteStatsTable[[#This Row],[RepsWithStatObserved]],1,0)</f>
        <v>1</v>
      </c>
    </row>
    <row r="192" spans="1:25" x14ac:dyDescent="0.25">
      <c r="A192" t="s">
        <v>68</v>
      </c>
      <c r="B192" t="s">
        <v>70</v>
      </c>
      <c r="C192">
        <v>11</v>
      </c>
      <c r="D192" t="s">
        <v>85</v>
      </c>
      <c r="E192" t="s">
        <v>86</v>
      </c>
      <c r="F192" t="s">
        <v>87</v>
      </c>
      <c r="G192">
        <v>12.2420345871985</v>
      </c>
      <c r="H192">
        <v>2E+20</v>
      </c>
      <c r="I192">
        <v>0</v>
      </c>
      <c r="J192">
        <v>30.0276671004906</v>
      </c>
      <c r="K192">
        <v>60</v>
      </c>
      <c r="L192" s="5" t="str">
        <f>DiscreteStatsTable[[#This Row],[ProjectName]]&amp;DiscreteStatsTable[[#This Row],[Name]]&amp;DiscreteStatsTable[[#This Row],[Type]]&amp;DiscreteStatsTable[[#This Row],[Source]]</f>
        <v>Tener ArticulsoDesembalaje.QueueWaiting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12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12.50284312674699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2.0905898840755364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1.3282974409816715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8.8139308019643003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15.676857120408901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38.7642988818086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65.75</v>
      </c>
      <c r="W192" s="5">
        <f>IF((DiscreteStatsTable[[#This Row],[RepsRequested]]&gt;1),DiscreteStatsTable[[#This Row],[HalfWidth]],DiscreteStatsTable[[#This Row],[BatchMeansHalfWidth]])</f>
        <v>1.3282974409816715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12</v>
      </c>
      <c r="Y192" s="5">
        <f>IF(DiscreteStatsTable[[#This Row],[RepsRequested]]=DiscreteStatsTable[[#This Row],[RepsWithStatObserved]],1,0)</f>
        <v>1</v>
      </c>
    </row>
    <row r="193" spans="1:25" x14ac:dyDescent="0.25">
      <c r="A193" t="s">
        <v>68</v>
      </c>
      <c r="B193" t="s">
        <v>70</v>
      </c>
      <c r="C193">
        <v>12</v>
      </c>
      <c r="D193" t="s">
        <v>85</v>
      </c>
      <c r="E193" t="s">
        <v>86</v>
      </c>
      <c r="F193" t="s">
        <v>87</v>
      </c>
      <c r="G193">
        <v>11.5447122658145</v>
      </c>
      <c r="H193">
        <v>2E+20</v>
      </c>
      <c r="I193">
        <v>0</v>
      </c>
      <c r="J193">
        <v>34.277580687081098</v>
      </c>
      <c r="K193">
        <v>68</v>
      </c>
      <c r="L193" s="5" t="str">
        <f>DiscreteStatsTable[[#This Row],[ProjectName]]&amp;DiscreteStatsTable[[#This Row],[Name]]&amp;DiscreteStatsTable[[#This Row],[Type]]&amp;DiscreteStatsTable[[#This Row],[Source]]</f>
        <v>Tener ArticulsoDesembalaje.QueueWaiting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12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12.50284312674699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2.0905898840755364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1.3282974409816715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8.8139308019643003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15.676857120408901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38.7642988818086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65.75</v>
      </c>
      <c r="W193" s="5">
        <f>IF((DiscreteStatsTable[[#This Row],[RepsRequested]]&gt;1),DiscreteStatsTable[[#This Row],[HalfWidth]],DiscreteStatsTable[[#This Row],[BatchMeansHalfWidth]])</f>
        <v>1.3282974409816715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12</v>
      </c>
      <c r="Y193" s="5">
        <f>IF(DiscreteStatsTable[[#This Row],[RepsRequested]]=DiscreteStatsTable[[#This Row],[RepsWithStatObserved]],1,0)</f>
        <v>1</v>
      </c>
    </row>
    <row r="194" spans="1:25" x14ac:dyDescent="0.25">
      <c r="A194" t="s">
        <v>68</v>
      </c>
      <c r="B194" t="s">
        <v>70</v>
      </c>
      <c r="C194">
        <v>1</v>
      </c>
      <c r="D194" t="s">
        <v>88</v>
      </c>
      <c r="E194" t="s">
        <v>86</v>
      </c>
      <c r="F194" t="s">
        <v>87</v>
      </c>
      <c r="G194">
        <v>8.7841805602037706</v>
      </c>
      <c r="H194">
        <v>3E+20</v>
      </c>
      <c r="I194">
        <v>0</v>
      </c>
      <c r="J194">
        <v>47.909826734480198</v>
      </c>
      <c r="K194">
        <v>351</v>
      </c>
      <c r="L194" s="5" t="str">
        <f>DiscreteStatsTable[[#This Row],[ProjectName]]&amp;DiscreteStatsTable[[#This Row],[Name]]&amp;DiscreteStatsTable[[#This Row],[Type]]&amp;DiscreteStatsTable[[#This Row],[Source]]</f>
        <v>Tener ArticulsoDetener Carros.QueueWaiting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12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8.5796299690442694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3.9204801654846184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5.5756560720942296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19.688888471878201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73.330338726468796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94" s="5">
        <f>IF((DiscreteStatsTable[[#This Row],[RepsRequested]]&gt;1),DiscreteStatsTable[[#This Row],[HalfWidth]],DiscreteStatsTable[[#This Row],[BatchMeansHalfWidth]])</f>
        <v>2.4909542569299354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12</v>
      </c>
      <c r="Y194" s="5">
        <f>IF(DiscreteStatsTable[[#This Row],[RepsRequested]]=DiscreteStatsTable[[#This Row],[RepsWithStatObserved]],1,0)</f>
        <v>1</v>
      </c>
    </row>
    <row r="195" spans="1:25" x14ac:dyDescent="0.25">
      <c r="A195" t="s">
        <v>68</v>
      </c>
      <c r="B195" t="s">
        <v>70</v>
      </c>
      <c r="C195">
        <v>2</v>
      </c>
      <c r="D195" t="s">
        <v>88</v>
      </c>
      <c r="E195" t="s">
        <v>86</v>
      </c>
      <c r="F195" t="s">
        <v>87</v>
      </c>
      <c r="G195">
        <v>9.3103158383720892</v>
      </c>
      <c r="H195">
        <v>3E+20</v>
      </c>
      <c r="I195">
        <v>0</v>
      </c>
      <c r="J195">
        <v>46.266658405999102</v>
      </c>
      <c r="K195">
        <v>366</v>
      </c>
      <c r="L195" s="5" t="str">
        <f>DiscreteStatsTable[[#This Row],[ProjectName]]&amp;DiscreteStatsTable[[#This Row],[Name]]&amp;DiscreteStatsTable[[#This Row],[Type]]&amp;DiscreteStatsTable[[#This Row],[Source]]</f>
        <v>Tener ArticulsoDetener Carros.QueueWaiting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12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8.5796299690442694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3.9204801654846184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5.5756560720942296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19.688888471878201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73.330338726468796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95" s="5">
        <f>IF((DiscreteStatsTable[[#This Row],[RepsRequested]]&gt;1),DiscreteStatsTable[[#This Row],[HalfWidth]],DiscreteStatsTable[[#This Row],[BatchMeansHalfWidth]])</f>
        <v>2.4909542569299354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12</v>
      </c>
      <c r="Y195" s="5">
        <f>IF(DiscreteStatsTable[[#This Row],[RepsRequested]]=DiscreteStatsTable[[#This Row],[RepsWithStatObserved]],1,0)</f>
        <v>1</v>
      </c>
    </row>
    <row r="196" spans="1:25" x14ac:dyDescent="0.25">
      <c r="A196" t="s">
        <v>68</v>
      </c>
      <c r="B196" t="s">
        <v>70</v>
      </c>
      <c r="C196">
        <v>3</v>
      </c>
      <c r="D196" t="s">
        <v>88</v>
      </c>
      <c r="E196" t="s">
        <v>86</v>
      </c>
      <c r="F196" t="s">
        <v>87</v>
      </c>
      <c r="G196">
        <v>7.94984034571418</v>
      </c>
      <c r="H196">
        <v>3E+20</v>
      </c>
      <c r="I196">
        <v>0</v>
      </c>
      <c r="J196">
        <v>33.267818825565897</v>
      </c>
      <c r="K196">
        <v>368</v>
      </c>
      <c r="L196" s="5" t="str">
        <f>DiscreteStatsTable[[#This Row],[ProjectName]]&amp;DiscreteStatsTable[[#This Row],[Name]]&amp;DiscreteStatsTable[[#This Row],[Type]]&amp;DiscreteStatsTable[[#This Row],[Source]]</f>
        <v>Tener ArticulsoDetener Carros.QueueWaiting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12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8.5796299690442694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3.9204801654846184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5.5756560720942296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19.688888471878201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73.330338726468796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96" s="5">
        <f>IF((DiscreteStatsTable[[#This Row],[RepsRequested]]&gt;1),DiscreteStatsTable[[#This Row],[HalfWidth]],DiscreteStatsTable[[#This Row],[BatchMeansHalfWidth]])</f>
        <v>2.4909542569299354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12</v>
      </c>
      <c r="Y196" s="5">
        <f>IF(DiscreteStatsTable[[#This Row],[RepsRequested]]=DiscreteStatsTable[[#This Row],[RepsWithStatObserved]],1,0)</f>
        <v>1</v>
      </c>
    </row>
    <row r="197" spans="1:25" x14ac:dyDescent="0.25">
      <c r="A197" t="s">
        <v>68</v>
      </c>
      <c r="B197" t="s">
        <v>70</v>
      </c>
      <c r="C197">
        <v>4</v>
      </c>
      <c r="D197" t="s">
        <v>88</v>
      </c>
      <c r="E197" t="s">
        <v>86</v>
      </c>
      <c r="F197" t="s">
        <v>87</v>
      </c>
      <c r="G197">
        <v>7.3219435624328701</v>
      </c>
      <c r="H197">
        <v>2.6342919481136202</v>
      </c>
      <c r="I197">
        <v>0</v>
      </c>
      <c r="J197">
        <v>40.123315479671902</v>
      </c>
      <c r="K197">
        <v>361</v>
      </c>
      <c r="L197" s="5" t="str">
        <f>DiscreteStatsTable[[#This Row],[ProjectName]]&amp;DiscreteStatsTable[[#This Row],[Name]]&amp;DiscreteStatsTable[[#This Row],[Type]]&amp;DiscreteStatsTable[[#This Row],[Source]]</f>
        <v>Tener ArticulsoDetener Carros.QueueWaiting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12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8.5796299690442694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3.9204801654846184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5.5756560720942296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19.688888471878201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73.330338726468796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97" s="5">
        <f>IF((DiscreteStatsTable[[#This Row],[RepsRequested]]&gt;1),DiscreteStatsTable[[#This Row],[HalfWidth]],DiscreteStatsTable[[#This Row],[BatchMeansHalfWidth]])</f>
        <v>2.4909542569299354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12</v>
      </c>
      <c r="Y197" s="5">
        <f>IF(DiscreteStatsTable[[#This Row],[RepsRequested]]=DiscreteStatsTable[[#This Row],[RepsWithStatObserved]],1,0)</f>
        <v>1</v>
      </c>
    </row>
    <row r="198" spans="1:25" x14ac:dyDescent="0.25">
      <c r="A198" t="s">
        <v>68</v>
      </c>
      <c r="B198" t="s">
        <v>70</v>
      </c>
      <c r="C198">
        <v>5</v>
      </c>
      <c r="D198" t="s">
        <v>88</v>
      </c>
      <c r="E198" t="s">
        <v>86</v>
      </c>
      <c r="F198" t="s">
        <v>87</v>
      </c>
      <c r="G198">
        <v>5.6735586617221401</v>
      </c>
      <c r="H198">
        <v>2.0679587161316602</v>
      </c>
      <c r="I198">
        <v>0</v>
      </c>
      <c r="J198">
        <v>31.109173200753499</v>
      </c>
      <c r="K198">
        <v>331</v>
      </c>
      <c r="L198" s="5" t="str">
        <f>DiscreteStatsTable[[#This Row],[ProjectName]]&amp;DiscreteStatsTable[[#This Row],[Name]]&amp;DiscreteStatsTable[[#This Row],[Type]]&amp;DiscreteStatsTable[[#This Row],[Source]]</f>
        <v>Tener ArticulsoDetener Carros.QueueWaiting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12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8.5796299690442694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3.9204801654846184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5.5756560720942296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19.688888471878201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73.330338726468796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98" s="5">
        <f>IF((DiscreteStatsTable[[#This Row],[RepsRequested]]&gt;1),DiscreteStatsTable[[#This Row],[HalfWidth]],DiscreteStatsTable[[#This Row],[BatchMeansHalfWidth]])</f>
        <v>2.4909542569299354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12</v>
      </c>
      <c r="Y198" s="5">
        <f>IF(DiscreteStatsTable[[#This Row],[RepsRequested]]=DiscreteStatsTable[[#This Row],[RepsWithStatObserved]],1,0)</f>
        <v>1</v>
      </c>
    </row>
    <row r="199" spans="1:25" x14ac:dyDescent="0.25">
      <c r="A199" t="s">
        <v>68</v>
      </c>
      <c r="B199" t="s">
        <v>70</v>
      </c>
      <c r="C199">
        <v>6</v>
      </c>
      <c r="D199" t="s">
        <v>88</v>
      </c>
      <c r="E199" t="s">
        <v>86</v>
      </c>
      <c r="F199" t="s">
        <v>87</v>
      </c>
      <c r="G199">
        <v>11.382104151582199</v>
      </c>
      <c r="H199">
        <v>3E+20</v>
      </c>
      <c r="I199">
        <v>0</v>
      </c>
      <c r="J199">
        <v>39.6883878793615</v>
      </c>
      <c r="K199">
        <v>351</v>
      </c>
      <c r="L199" s="5" t="str">
        <f>DiscreteStatsTable[[#This Row],[ProjectName]]&amp;DiscreteStatsTable[[#This Row],[Name]]&amp;DiscreteStatsTable[[#This Row],[Type]]&amp;DiscreteStatsTable[[#This Row],[Source]]</f>
        <v>Tener ArticulsoDetener Carros.QueueWaiting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12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8.5796299690442694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3.9204801654846184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5.5756560720942296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19.688888471878201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73.330338726468796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199" s="5">
        <f>IF((DiscreteStatsTable[[#This Row],[RepsRequested]]&gt;1),DiscreteStatsTable[[#This Row],[HalfWidth]],DiscreteStatsTable[[#This Row],[BatchMeansHalfWidth]])</f>
        <v>2.4909542569299354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12</v>
      </c>
      <c r="Y199" s="5">
        <f>IF(DiscreteStatsTable[[#This Row],[RepsRequested]]=DiscreteStatsTable[[#This Row],[RepsWithStatObserved]],1,0)</f>
        <v>1</v>
      </c>
    </row>
    <row r="200" spans="1:25" x14ac:dyDescent="0.25">
      <c r="A200" t="s">
        <v>68</v>
      </c>
      <c r="B200" t="s">
        <v>70</v>
      </c>
      <c r="C200">
        <v>7</v>
      </c>
      <c r="D200" t="s">
        <v>88</v>
      </c>
      <c r="E200" t="s">
        <v>86</v>
      </c>
      <c r="F200" t="s">
        <v>87</v>
      </c>
      <c r="G200">
        <v>5.5756560720942296</v>
      </c>
      <c r="H200">
        <v>2.1221981058683199</v>
      </c>
      <c r="I200">
        <v>0</v>
      </c>
      <c r="J200">
        <v>31.306496678171101</v>
      </c>
      <c r="K200">
        <v>325</v>
      </c>
      <c r="L200" s="5" t="str">
        <f>DiscreteStatsTable[[#This Row],[ProjectName]]&amp;DiscreteStatsTable[[#This Row],[Name]]&amp;DiscreteStatsTable[[#This Row],[Type]]&amp;DiscreteStatsTable[[#This Row],[Source]]</f>
        <v>Tener ArticulsoDetener Carros.QueueWaiting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12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8.5796299690442694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3.9204801654846184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5.5756560720942296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19.688888471878201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73.330338726468796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200" s="5">
        <f>IF((DiscreteStatsTable[[#This Row],[RepsRequested]]&gt;1),DiscreteStatsTable[[#This Row],[HalfWidth]],DiscreteStatsTable[[#This Row],[BatchMeansHalfWidth]])</f>
        <v>2.4909542569299354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12</v>
      </c>
      <c r="Y200" s="5">
        <f>IF(DiscreteStatsTable[[#This Row],[RepsRequested]]=DiscreteStatsTable[[#This Row],[RepsWithStatObserved]],1,0)</f>
        <v>1</v>
      </c>
    </row>
    <row r="201" spans="1:25" x14ac:dyDescent="0.25">
      <c r="A201" t="s">
        <v>68</v>
      </c>
      <c r="B201" t="s">
        <v>70</v>
      </c>
      <c r="C201">
        <v>8</v>
      </c>
      <c r="D201" t="s">
        <v>88</v>
      </c>
      <c r="E201" t="s">
        <v>86</v>
      </c>
      <c r="F201" t="s">
        <v>87</v>
      </c>
      <c r="G201">
        <v>19.688888471878201</v>
      </c>
      <c r="H201">
        <v>3E+20</v>
      </c>
      <c r="I201">
        <v>0</v>
      </c>
      <c r="J201">
        <v>73.330338726468796</v>
      </c>
      <c r="K201">
        <v>353</v>
      </c>
      <c r="L201" s="5" t="str">
        <f>DiscreteStatsTable[[#This Row],[ProjectName]]&amp;DiscreteStatsTable[[#This Row],[Name]]&amp;DiscreteStatsTable[[#This Row],[Type]]&amp;DiscreteStatsTable[[#This Row],[Source]]</f>
        <v>Tener ArticulsoDetener Carros.QueueWaiting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12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8.5796299690442694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3.9204801654846184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5.5756560720942296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19.688888471878201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73.330338726468796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201" s="5">
        <f>IF((DiscreteStatsTable[[#This Row],[RepsRequested]]&gt;1),DiscreteStatsTable[[#This Row],[HalfWidth]],DiscreteStatsTable[[#This Row],[BatchMeansHalfWidth]])</f>
        <v>2.4909542569299354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12</v>
      </c>
      <c r="Y201" s="5">
        <f>IF(DiscreteStatsTable[[#This Row],[RepsRequested]]=DiscreteStatsTable[[#This Row],[RepsWithStatObserved]],1,0)</f>
        <v>1</v>
      </c>
    </row>
    <row r="202" spans="1:25" x14ac:dyDescent="0.25">
      <c r="A202" t="s">
        <v>68</v>
      </c>
      <c r="B202" t="s">
        <v>70</v>
      </c>
      <c r="C202">
        <v>9</v>
      </c>
      <c r="D202" t="s">
        <v>88</v>
      </c>
      <c r="E202" t="s">
        <v>86</v>
      </c>
      <c r="F202" t="s">
        <v>87</v>
      </c>
      <c r="G202">
        <v>7.8991506026370999</v>
      </c>
      <c r="H202">
        <v>3.1548445259414302</v>
      </c>
      <c r="I202">
        <v>0</v>
      </c>
      <c r="J202">
        <v>35.2264013446513</v>
      </c>
      <c r="K202">
        <v>351</v>
      </c>
      <c r="L202" s="5" t="str">
        <f>DiscreteStatsTable[[#This Row],[ProjectName]]&amp;DiscreteStatsTable[[#This Row],[Name]]&amp;DiscreteStatsTable[[#This Row],[Type]]&amp;DiscreteStatsTable[[#This Row],[Source]]</f>
        <v>Tener ArticulsoDetener Carros.QueueWaiting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12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8.5796299690442694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3.9204801654846184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5.5756560720942296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19.688888471878201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73.330338726468796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202" s="5">
        <f>IF((DiscreteStatsTable[[#This Row],[RepsRequested]]&gt;1),DiscreteStatsTable[[#This Row],[HalfWidth]],DiscreteStatsTable[[#This Row],[BatchMeansHalfWidth]])</f>
        <v>2.4909542569299354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12</v>
      </c>
      <c r="Y202" s="5">
        <f>IF(DiscreteStatsTable[[#This Row],[RepsRequested]]=DiscreteStatsTable[[#This Row],[RepsWithStatObserved]],1,0)</f>
        <v>1</v>
      </c>
    </row>
    <row r="203" spans="1:25" x14ac:dyDescent="0.25">
      <c r="A203" t="s">
        <v>68</v>
      </c>
      <c r="B203" t="s">
        <v>70</v>
      </c>
      <c r="C203">
        <v>10</v>
      </c>
      <c r="D203" t="s">
        <v>88</v>
      </c>
      <c r="E203" t="s">
        <v>86</v>
      </c>
      <c r="F203" t="s">
        <v>87</v>
      </c>
      <c r="G203">
        <v>5.7411816925788504</v>
      </c>
      <c r="H203">
        <v>2.0657461074664401</v>
      </c>
      <c r="I203">
        <v>0</v>
      </c>
      <c r="J203">
        <v>34.111566291057599</v>
      </c>
      <c r="K203">
        <v>346</v>
      </c>
      <c r="L203" s="5" t="str">
        <f>DiscreteStatsTable[[#This Row],[ProjectName]]&amp;DiscreteStatsTable[[#This Row],[Name]]&amp;DiscreteStatsTable[[#This Row],[Type]]&amp;DiscreteStatsTable[[#This Row],[Source]]</f>
        <v>Tener ArticulsoDetener Carros.QueueWaiting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12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8.5796299690442694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3.9204801654846184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5.5756560720942296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19.688888471878201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73.330338726468796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203" s="5">
        <f>IF((DiscreteStatsTable[[#This Row],[RepsRequested]]&gt;1),DiscreteStatsTable[[#This Row],[HalfWidth]],DiscreteStatsTable[[#This Row],[BatchMeansHalfWidth]])</f>
        <v>2.4909542569299354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12</v>
      </c>
      <c r="Y203" s="5">
        <f>IF(DiscreteStatsTable[[#This Row],[RepsRequested]]=DiscreteStatsTable[[#This Row],[RepsWithStatObserved]],1,0)</f>
        <v>1</v>
      </c>
    </row>
    <row r="204" spans="1:25" x14ac:dyDescent="0.25">
      <c r="A204" t="s">
        <v>68</v>
      </c>
      <c r="B204" t="s">
        <v>70</v>
      </c>
      <c r="C204">
        <v>11</v>
      </c>
      <c r="D204" t="s">
        <v>88</v>
      </c>
      <c r="E204" t="s">
        <v>86</v>
      </c>
      <c r="F204" t="s">
        <v>87</v>
      </c>
      <c r="G204">
        <v>8.0446007159909207</v>
      </c>
      <c r="H204">
        <v>2.9533719016918099</v>
      </c>
      <c r="I204">
        <v>0</v>
      </c>
      <c r="J204">
        <v>32.820238453490603</v>
      </c>
      <c r="K204">
        <v>362</v>
      </c>
      <c r="L204" s="5" t="str">
        <f>DiscreteStatsTable[[#This Row],[ProjectName]]&amp;DiscreteStatsTable[[#This Row],[Name]]&amp;DiscreteStatsTable[[#This Row],[Type]]&amp;DiscreteStatsTable[[#This Row],[Source]]</f>
        <v>Tener ArticulsoDetener Carros.QueueWaiting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12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8.5796299690442694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3.9204801654846184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5.5756560720942296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19.688888471878201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73.330338726468796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204" s="5">
        <f>IF((DiscreteStatsTable[[#This Row],[RepsRequested]]&gt;1),DiscreteStatsTable[[#This Row],[HalfWidth]],DiscreteStatsTable[[#This Row],[BatchMeansHalfWidth]])</f>
        <v>2.4909542569299354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12</v>
      </c>
      <c r="Y204" s="5">
        <f>IF(DiscreteStatsTable[[#This Row],[RepsRequested]]=DiscreteStatsTable[[#This Row],[RepsWithStatObserved]],1,0)</f>
        <v>1</v>
      </c>
    </row>
    <row r="205" spans="1:25" x14ac:dyDescent="0.25">
      <c r="A205" t="s">
        <v>68</v>
      </c>
      <c r="B205" t="s">
        <v>70</v>
      </c>
      <c r="C205">
        <v>12</v>
      </c>
      <c r="D205" t="s">
        <v>88</v>
      </c>
      <c r="E205" t="s">
        <v>86</v>
      </c>
      <c r="F205" t="s">
        <v>87</v>
      </c>
      <c r="G205">
        <v>5.5841389533246897</v>
      </c>
      <c r="H205">
        <v>1.85790959371933</v>
      </c>
      <c r="I205">
        <v>0</v>
      </c>
      <c r="J205">
        <v>26.107461507805699</v>
      </c>
      <c r="K205">
        <v>322</v>
      </c>
      <c r="L205" s="5" t="str">
        <f>DiscreteStatsTable[[#This Row],[ProjectName]]&amp;DiscreteStatsTable[[#This Row],[Name]]&amp;DiscreteStatsTable[[#This Row],[Type]]&amp;DiscreteStatsTable[[#This Row],[Source]]</f>
        <v>Tener ArticulsoDetener Carros.QueueWaiting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12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8.5796299690442694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3.9204801654846184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2.4909542569299354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5.5756560720942296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19.688888471878201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73.330338726468796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348.91666666666669</v>
      </c>
      <c r="W205" s="5">
        <f>IF((DiscreteStatsTable[[#This Row],[RepsRequested]]&gt;1),DiscreteStatsTable[[#This Row],[HalfWidth]],DiscreteStatsTable[[#This Row],[BatchMeansHalfWidth]])</f>
        <v>2.4909542569299354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12</v>
      </c>
      <c r="Y205" s="5">
        <f>IF(DiscreteStatsTable[[#This Row],[RepsRequested]]=DiscreteStatsTable[[#This Row],[RepsWithStatObserved]],1,0)</f>
        <v>1</v>
      </c>
    </row>
    <row r="206" spans="1:25" x14ac:dyDescent="0.25">
      <c r="A206" t="s">
        <v>68</v>
      </c>
      <c r="B206" t="s">
        <v>70</v>
      </c>
      <c r="C206">
        <v>1</v>
      </c>
      <c r="D206" t="s">
        <v>89</v>
      </c>
      <c r="E206" t="s">
        <v>86</v>
      </c>
      <c r="F206" t="s">
        <v>87</v>
      </c>
      <c r="G206">
        <v>49.502439361220901</v>
      </c>
      <c r="H206">
        <v>2E+20</v>
      </c>
      <c r="I206">
        <v>0</v>
      </c>
      <c r="J206">
        <v>174.667918570246</v>
      </c>
      <c r="K206">
        <v>67</v>
      </c>
      <c r="L206" s="5" t="str">
        <f>DiscreteStatsTable[[#This Row],[ProjectName]]&amp;DiscreteStatsTable[[#This Row],[Name]]&amp;DiscreteStatsTable[[#This Row],[Type]]&amp;DiscreteStatsTable[[#This Row],[Source]]</f>
        <v>Tener ArticulsoNoOrganizar.QueueWaiting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12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55.98955748533124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24.506362046111338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15.570599590849211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12.0701420487199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110.88908690154101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288.328546108833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66</v>
      </c>
      <c r="W206" s="5">
        <f>IF((DiscreteStatsTable[[#This Row],[RepsRequested]]&gt;1),DiscreteStatsTable[[#This Row],[HalfWidth]],DiscreteStatsTable[[#This Row],[BatchMeansHalfWidth]])</f>
        <v>15.570599590849211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12</v>
      </c>
      <c r="Y206" s="5">
        <f>IF(DiscreteStatsTable[[#This Row],[RepsRequested]]=DiscreteStatsTable[[#This Row],[RepsWithStatObserved]],1,0)</f>
        <v>1</v>
      </c>
    </row>
    <row r="207" spans="1:25" x14ac:dyDescent="0.25">
      <c r="A207" t="s">
        <v>68</v>
      </c>
      <c r="B207" t="s">
        <v>70</v>
      </c>
      <c r="C207">
        <v>2</v>
      </c>
      <c r="D207" t="s">
        <v>89</v>
      </c>
      <c r="E207" t="s">
        <v>86</v>
      </c>
      <c r="F207" t="s">
        <v>87</v>
      </c>
      <c r="G207">
        <v>31.184832760558201</v>
      </c>
      <c r="H207">
        <v>2E+20</v>
      </c>
      <c r="I207">
        <v>0</v>
      </c>
      <c r="J207">
        <v>136.759438407776</v>
      </c>
      <c r="K207">
        <v>61</v>
      </c>
      <c r="L207" s="5" t="str">
        <f>DiscreteStatsTable[[#This Row],[ProjectName]]&amp;DiscreteStatsTable[[#This Row],[Name]]&amp;DiscreteStatsTable[[#This Row],[Type]]&amp;DiscreteStatsTable[[#This Row],[Source]]</f>
        <v>Tener ArticulsoNoOrganizar.QueueWaiting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12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55.98955748533124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24.506362046111338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15.570599590849211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12.0701420487199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110.88908690154101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288.328546108833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66</v>
      </c>
      <c r="W207" s="5">
        <f>IF((DiscreteStatsTable[[#This Row],[RepsRequested]]&gt;1),DiscreteStatsTable[[#This Row],[HalfWidth]],DiscreteStatsTable[[#This Row],[BatchMeansHalfWidth]])</f>
        <v>15.570599590849211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12</v>
      </c>
      <c r="Y207" s="5">
        <f>IF(DiscreteStatsTable[[#This Row],[RepsRequested]]=DiscreteStatsTable[[#This Row],[RepsWithStatObserved]],1,0)</f>
        <v>1</v>
      </c>
    </row>
    <row r="208" spans="1:25" x14ac:dyDescent="0.25">
      <c r="A208" t="s">
        <v>68</v>
      </c>
      <c r="B208" t="s">
        <v>70</v>
      </c>
      <c r="C208">
        <v>3</v>
      </c>
      <c r="D208" t="s">
        <v>89</v>
      </c>
      <c r="E208" t="s">
        <v>86</v>
      </c>
      <c r="F208" t="s">
        <v>87</v>
      </c>
      <c r="G208">
        <v>110.88908690154101</v>
      </c>
      <c r="H208">
        <v>2E+20</v>
      </c>
      <c r="I208">
        <v>0</v>
      </c>
      <c r="J208">
        <v>288.328546108833</v>
      </c>
      <c r="K208">
        <v>70</v>
      </c>
      <c r="L208" s="5" t="str">
        <f>DiscreteStatsTable[[#This Row],[ProjectName]]&amp;DiscreteStatsTable[[#This Row],[Name]]&amp;DiscreteStatsTable[[#This Row],[Type]]&amp;DiscreteStatsTable[[#This Row],[Source]]</f>
        <v>Tener ArticulsoNoOrganizar.QueueWaiting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12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55.98955748533124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24.506362046111338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15.570599590849211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12.0701420487199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110.88908690154101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288.328546108833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66</v>
      </c>
      <c r="W208" s="5">
        <f>IF((DiscreteStatsTable[[#This Row],[RepsRequested]]&gt;1),DiscreteStatsTable[[#This Row],[HalfWidth]],DiscreteStatsTable[[#This Row],[BatchMeansHalfWidth]])</f>
        <v>15.570599590849211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12</v>
      </c>
      <c r="Y208" s="5">
        <f>IF(DiscreteStatsTable[[#This Row],[RepsRequested]]=DiscreteStatsTable[[#This Row],[RepsWithStatObserved]],1,0)</f>
        <v>1</v>
      </c>
    </row>
    <row r="209" spans="1:25" x14ac:dyDescent="0.25">
      <c r="A209" t="s">
        <v>68</v>
      </c>
      <c r="B209" t="s">
        <v>70</v>
      </c>
      <c r="C209">
        <v>4</v>
      </c>
      <c r="D209" t="s">
        <v>89</v>
      </c>
      <c r="E209" t="s">
        <v>86</v>
      </c>
      <c r="F209" t="s">
        <v>87</v>
      </c>
      <c r="G209">
        <v>83.209960467493303</v>
      </c>
      <c r="H209">
        <v>2E+20</v>
      </c>
      <c r="I209">
        <v>0</v>
      </c>
      <c r="J209">
        <v>193.68973400982901</v>
      </c>
      <c r="K209">
        <v>66</v>
      </c>
      <c r="L209" s="5" t="str">
        <f>DiscreteStatsTable[[#This Row],[ProjectName]]&amp;DiscreteStatsTable[[#This Row],[Name]]&amp;DiscreteStatsTable[[#This Row],[Type]]&amp;DiscreteStatsTable[[#This Row],[Source]]</f>
        <v>Tener ArticulsoNoOrganizar.QueueWaiting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12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55.98955748533124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24.506362046111338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15.570599590849211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12.0701420487199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110.88908690154101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288.328546108833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66</v>
      </c>
      <c r="W209" s="5">
        <f>IF((DiscreteStatsTable[[#This Row],[RepsRequested]]&gt;1),DiscreteStatsTable[[#This Row],[HalfWidth]],DiscreteStatsTable[[#This Row],[BatchMeansHalfWidth]])</f>
        <v>15.570599590849211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12</v>
      </c>
      <c r="Y209" s="5">
        <f>IF(DiscreteStatsTable[[#This Row],[RepsRequested]]=DiscreteStatsTable[[#This Row],[RepsWithStatObserved]],1,0)</f>
        <v>1</v>
      </c>
    </row>
    <row r="210" spans="1:25" x14ac:dyDescent="0.25">
      <c r="A210" t="s">
        <v>68</v>
      </c>
      <c r="B210" t="s">
        <v>70</v>
      </c>
      <c r="C210">
        <v>5</v>
      </c>
      <c r="D210" t="s">
        <v>89</v>
      </c>
      <c r="E210" t="s">
        <v>86</v>
      </c>
      <c r="F210" t="s">
        <v>87</v>
      </c>
      <c r="G210">
        <v>12.0701420487199</v>
      </c>
      <c r="H210">
        <v>2E+20</v>
      </c>
      <c r="I210">
        <v>0</v>
      </c>
      <c r="J210">
        <v>63.855574658562503</v>
      </c>
      <c r="K210">
        <v>63</v>
      </c>
      <c r="L210" s="5" t="str">
        <f>DiscreteStatsTable[[#This Row],[ProjectName]]&amp;DiscreteStatsTable[[#This Row],[Name]]&amp;DiscreteStatsTable[[#This Row],[Type]]&amp;DiscreteStatsTable[[#This Row],[Source]]</f>
        <v>Tener ArticulsoNoOrganizar.QueueWaiting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12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55.98955748533124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24.506362046111338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15.570599590849211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12.0701420487199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110.88908690154101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288.328546108833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66</v>
      </c>
      <c r="W210" s="5">
        <f>IF((DiscreteStatsTable[[#This Row],[RepsRequested]]&gt;1),DiscreteStatsTable[[#This Row],[HalfWidth]],DiscreteStatsTable[[#This Row],[BatchMeansHalfWidth]])</f>
        <v>15.570599590849211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12</v>
      </c>
      <c r="Y210" s="5">
        <f>IF(DiscreteStatsTable[[#This Row],[RepsRequested]]=DiscreteStatsTable[[#This Row],[RepsWithStatObserved]],1,0)</f>
        <v>1</v>
      </c>
    </row>
    <row r="211" spans="1:25" x14ac:dyDescent="0.25">
      <c r="A211" t="s">
        <v>68</v>
      </c>
      <c r="B211" t="s">
        <v>70</v>
      </c>
      <c r="C211">
        <v>6</v>
      </c>
      <c r="D211" t="s">
        <v>89</v>
      </c>
      <c r="E211" t="s">
        <v>86</v>
      </c>
      <c r="F211" t="s">
        <v>87</v>
      </c>
      <c r="G211">
        <v>49.968408409355703</v>
      </c>
      <c r="H211">
        <v>2E+20</v>
      </c>
      <c r="I211">
        <v>0</v>
      </c>
      <c r="J211">
        <v>221.24808519120401</v>
      </c>
      <c r="K211">
        <v>70</v>
      </c>
      <c r="L211" s="5" t="str">
        <f>DiscreteStatsTable[[#This Row],[ProjectName]]&amp;DiscreteStatsTable[[#This Row],[Name]]&amp;DiscreteStatsTable[[#This Row],[Type]]&amp;DiscreteStatsTable[[#This Row],[Source]]</f>
        <v>Tener ArticulsoNoOrganizar.QueueWaiting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12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55.98955748533124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24.506362046111338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15.570599590849211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12.0701420487199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110.88908690154101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288.328546108833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66</v>
      </c>
      <c r="W211" s="5">
        <f>IF((DiscreteStatsTable[[#This Row],[RepsRequested]]&gt;1),DiscreteStatsTable[[#This Row],[HalfWidth]],DiscreteStatsTable[[#This Row],[BatchMeansHalfWidth]])</f>
        <v>15.570599590849211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12</v>
      </c>
      <c r="Y211" s="5">
        <f>IF(DiscreteStatsTable[[#This Row],[RepsRequested]]=DiscreteStatsTable[[#This Row],[RepsWithStatObserved]],1,0)</f>
        <v>1</v>
      </c>
    </row>
    <row r="212" spans="1:25" x14ac:dyDescent="0.25">
      <c r="A212" t="s">
        <v>68</v>
      </c>
      <c r="B212" t="s">
        <v>70</v>
      </c>
      <c r="C212">
        <v>7</v>
      </c>
      <c r="D212" t="s">
        <v>89</v>
      </c>
      <c r="E212" t="s">
        <v>86</v>
      </c>
      <c r="F212" t="s">
        <v>87</v>
      </c>
      <c r="G212">
        <v>44.831885449036903</v>
      </c>
      <c r="H212">
        <v>2E+20</v>
      </c>
      <c r="I212">
        <v>0</v>
      </c>
      <c r="J212">
        <v>164.55465747111501</v>
      </c>
      <c r="K212">
        <v>69</v>
      </c>
      <c r="L212" s="5" t="str">
        <f>DiscreteStatsTable[[#This Row],[ProjectName]]&amp;DiscreteStatsTable[[#This Row],[Name]]&amp;DiscreteStatsTable[[#This Row],[Type]]&amp;DiscreteStatsTable[[#This Row],[Source]]</f>
        <v>Tener ArticulsoNoOrganizar.QueueWaiting TimeQueue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12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55.98955748533124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24.506362046111338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15.570599590849211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12.0701420487199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110.88908690154101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288.328546108833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66</v>
      </c>
      <c r="W212" s="5">
        <f>IF((DiscreteStatsTable[[#This Row],[RepsRequested]]&gt;1),DiscreteStatsTable[[#This Row],[HalfWidth]],DiscreteStatsTable[[#This Row],[BatchMeansHalfWidth]])</f>
        <v>15.570599590849211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12</v>
      </c>
      <c r="Y212" s="5">
        <f>IF(DiscreteStatsTable[[#This Row],[RepsRequested]]=DiscreteStatsTable[[#This Row],[RepsWithStatObserved]],1,0)</f>
        <v>1</v>
      </c>
    </row>
    <row r="213" spans="1:25" x14ac:dyDescent="0.25">
      <c r="A213" t="s">
        <v>68</v>
      </c>
      <c r="B213" t="s">
        <v>70</v>
      </c>
      <c r="C213">
        <v>8</v>
      </c>
      <c r="D213" t="s">
        <v>89</v>
      </c>
      <c r="E213" t="s">
        <v>86</v>
      </c>
      <c r="F213" t="s">
        <v>87</v>
      </c>
      <c r="G213">
        <v>63.713283711955597</v>
      </c>
      <c r="H213">
        <v>2E+20</v>
      </c>
      <c r="I213">
        <v>0</v>
      </c>
      <c r="J213">
        <v>226.476686944401</v>
      </c>
      <c r="K213">
        <v>59</v>
      </c>
      <c r="L213" s="5" t="str">
        <f>DiscreteStatsTable[[#This Row],[ProjectName]]&amp;DiscreteStatsTable[[#This Row],[Name]]&amp;DiscreteStatsTable[[#This Row],[Type]]&amp;DiscreteStatsTable[[#This Row],[Source]]</f>
        <v>Tener ArticulsoNoOrganizar.QueueWaiting TimeQueue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12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55.98955748533124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24.506362046111338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15.570599590849211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12.0701420487199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110.88908690154101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288.328546108833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66</v>
      </c>
      <c r="W213" s="5">
        <f>IF((DiscreteStatsTable[[#This Row],[RepsRequested]]&gt;1),DiscreteStatsTable[[#This Row],[HalfWidth]],DiscreteStatsTable[[#This Row],[BatchMeansHalfWidth]])</f>
        <v>15.570599590849211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12</v>
      </c>
      <c r="Y213" s="5">
        <f>IF(DiscreteStatsTable[[#This Row],[RepsRequested]]=DiscreteStatsTable[[#This Row],[RepsWithStatObserved]],1,0)</f>
        <v>1</v>
      </c>
    </row>
    <row r="214" spans="1:25" x14ac:dyDescent="0.25">
      <c r="A214" t="s">
        <v>68</v>
      </c>
      <c r="B214" t="s">
        <v>70</v>
      </c>
      <c r="C214">
        <v>9</v>
      </c>
      <c r="D214" t="s">
        <v>89</v>
      </c>
      <c r="E214" t="s">
        <v>86</v>
      </c>
      <c r="F214" t="s">
        <v>87</v>
      </c>
      <c r="G214">
        <v>52.708138485726202</v>
      </c>
      <c r="H214">
        <v>2E+20</v>
      </c>
      <c r="I214">
        <v>0</v>
      </c>
      <c r="J214">
        <v>136.791558264624</v>
      </c>
      <c r="K214">
        <v>69</v>
      </c>
      <c r="L214" s="5" t="str">
        <f>DiscreteStatsTable[[#This Row],[ProjectName]]&amp;DiscreteStatsTable[[#This Row],[Name]]&amp;DiscreteStatsTable[[#This Row],[Type]]&amp;DiscreteStatsTable[[#This Row],[Source]]</f>
        <v>Tener ArticulsoNoOrganizar.QueueWaiting TimeQueue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12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55.98955748533124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24.506362046111338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15.570599590849211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12.0701420487199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110.88908690154101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288.328546108833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66</v>
      </c>
      <c r="W214" s="5">
        <f>IF((DiscreteStatsTable[[#This Row],[RepsRequested]]&gt;1),DiscreteStatsTable[[#This Row],[HalfWidth]],DiscreteStatsTable[[#This Row],[BatchMeansHalfWidth]])</f>
        <v>15.570599590849211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12</v>
      </c>
      <c r="Y214" s="5">
        <f>IF(DiscreteStatsTable[[#This Row],[RepsRequested]]=DiscreteStatsTable[[#This Row],[RepsWithStatObserved]],1,0)</f>
        <v>1</v>
      </c>
    </row>
    <row r="215" spans="1:25" x14ac:dyDescent="0.25">
      <c r="A215" t="s">
        <v>68</v>
      </c>
      <c r="B215" t="s">
        <v>70</v>
      </c>
      <c r="C215">
        <v>10</v>
      </c>
      <c r="D215" t="s">
        <v>89</v>
      </c>
      <c r="E215" t="s">
        <v>86</v>
      </c>
      <c r="F215" t="s">
        <v>87</v>
      </c>
      <c r="G215">
        <v>58.088090886803499</v>
      </c>
      <c r="H215">
        <v>2E+20</v>
      </c>
      <c r="I215">
        <v>0</v>
      </c>
      <c r="J215">
        <v>163.377192858336</v>
      </c>
      <c r="K215">
        <v>70</v>
      </c>
      <c r="L215" s="5" t="str">
        <f>DiscreteStatsTable[[#This Row],[ProjectName]]&amp;DiscreteStatsTable[[#This Row],[Name]]&amp;DiscreteStatsTable[[#This Row],[Type]]&amp;DiscreteStatsTable[[#This Row],[Source]]</f>
        <v>Tener ArticulsoNoOrganizar.QueueWaiting TimeQueue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12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55.98955748533124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24.506362046111338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15.570599590849211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12.0701420487199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110.88908690154101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288.328546108833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66</v>
      </c>
      <c r="W215" s="5">
        <f>IF((DiscreteStatsTable[[#This Row],[RepsRequested]]&gt;1),DiscreteStatsTable[[#This Row],[HalfWidth]],DiscreteStatsTable[[#This Row],[BatchMeansHalfWidth]])</f>
        <v>15.570599590849211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12</v>
      </c>
      <c r="Y215" s="5">
        <f>IF(DiscreteStatsTable[[#This Row],[RepsRequested]]=DiscreteStatsTable[[#This Row],[RepsWithStatObserved]],1,0)</f>
        <v>1</v>
      </c>
    </row>
    <row r="216" spans="1:25" x14ac:dyDescent="0.25">
      <c r="A216" t="s">
        <v>68</v>
      </c>
      <c r="B216" t="s">
        <v>70</v>
      </c>
      <c r="C216">
        <v>11</v>
      </c>
      <c r="D216" t="s">
        <v>89</v>
      </c>
      <c r="E216" t="s">
        <v>86</v>
      </c>
      <c r="F216" t="s">
        <v>87</v>
      </c>
      <c r="G216">
        <v>54.502378891648398</v>
      </c>
      <c r="H216">
        <v>2E+20</v>
      </c>
      <c r="I216">
        <v>0</v>
      </c>
      <c r="J216">
        <v>259.082768541365</v>
      </c>
      <c r="K216">
        <v>60</v>
      </c>
      <c r="L216" s="5" t="str">
        <f>DiscreteStatsTable[[#This Row],[ProjectName]]&amp;DiscreteStatsTable[[#This Row],[Name]]&amp;DiscreteStatsTable[[#This Row],[Type]]&amp;DiscreteStatsTable[[#This Row],[Source]]</f>
        <v>Tener ArticulsoNoOrganizar.QueueWaiting TimeQueue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12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55.98955748533124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24.506362046111338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15.570599590849211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12.0701420487199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110.88908690154101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288.328546108833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66</v>
      </c>
      <c r="W216" s="5">
        <f>IF((DiscreteStatsTable[[#This Row],[RepsRequested]]&gt;1),DiscreteStatsTable[[#This Row],[HalfWidth]],DiscreteStatsTable[[#This Row],[BatchMeansHalfWidth]])</f>
        <v>15.570599590849211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12</v>
      </c>
      <c r="Y216" s="5">
        <f>IF(DiscreteStatsTable[[#This Row],[RepsRequested]]=DiscreteStatsTable[[#This Row],[RepsWithStatObserved]],1,0)</f>
        <v>1</v>
      </c>
    </row>
    <row r="217" spans="1:25" x14ac:dyDescent="0.25">
      <c r="A217" t="s">
        <v>68</v>
      </c>
      <c r="B217" t="s">
        <v>70</v>
      </c>
      <c r="C217">
        <v>12</v>
      </c>
      <c r="D217" t="s">
        <v>89</v>
      </c>
      <c r="E217" t="s">
        <v>86</v>
      </c>
      <c r="F217" t="s">
        <v>87</v>
      </c>
      <c r="G217">
        <v>61.206042449915401</v>
      </c>
      <c r="H217">
        <v>2E+20</v>
      </c>
      <c r="I217">
        <v>0</v>
      </c>
      <c r="J217">
        <v>193.21513097802199</v>
      </c>
      <c r="K217">
        <v>68</v>
      </c>
      <c r="L217" s="5" t="str">
        <f>DiscreteStatsTable[[#This Row],[ProjectName]]&amp;DiscreteStatsTable[[#This Row],[Name]]&amp;DiscreteStatsTable[[#This Row],[Type]]&amp;DiscreteStatsTable[[#This Row],[Source]]</f>
        <v>Tener ArticulsoNoOrganizar.QueueWaiting TimeQueue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12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55.98955748533124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24.506362046111338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15.570599590849211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12.0701420487199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110.88908690154101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288.328546108833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66</v>
      </c>
      <c r="W217" s="5">
        <f>IF((DiscreteStatsTable[[#This Row],[RepsRequested]]&gt;1),DiscreteStatsTable[[#This Row],[HalfWidth]],DiscreteStatsTable[[#This Row],[BatchMeansHalfWidth]])</f>
        <v>15.570599590849211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12</v>
      </c>
      <c r="Y217" s="5">
        <f>IF(DiscreteStatsTable[[#This Row],[RepsRequested]]=DiscreteStatsTable[[#This Row],[RepsWithStatObserved]],1,0)</f>
        <v>1</v>
      </c>
    </row>
    <row r="218" spans="1:25" x14ac:dyDescent="0.25">
      <c r="A218" t="s">
        <v>68</v>
      </c>
      <c r="B218" t="s">
        <v>70</v>
      </c>
      <c r="C218">
        <v>1</v>
      </c>
      <c r="D218" t="s">
        <v>90</v>
      </c>
      <c r="E218" t="s">
        <v>81</v>
      </c>
      <c r="F218" t="s">
        <v>82</v>
      </c>
      <c r="G218">
        <v>17.1005808621094</v>
      </c>
      <c r="H218">
        <v>3E+20</v>
      </c>
      <c r="I218">
        <v>1.0632461638233499</v>
      </c>
      <c r="J218">
        <v>43.146612077625498</v>
      </c>
      <c r="K218">
        <v>793</v>
      </c>
      <c r="L218" s="5" t="str">
        <f>DiscreteStatsTable[[#This Row],[ProjectName]]&amp;DiscreteStatsTable[[#This Row],[Name]]&amp;DiscreteStatsTable[[#This Row],[Type]]&amp;DiscreteStatsTable[[#This Row],[Source]]</f>
        <v>Tener ArticulsoOrganizarTotal Time Per EntityProcess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12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19.843076309313876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3.1108812396048715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1.9765596405304995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14.333174793708601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24.121886739294599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1.0058066908302401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53.875149285606298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786</v>
      </c>
      <c r="W218" s="5">
        <f>IF((DiscreteStatsTable[[#This Row],[RepsRequested]]&gt;1),DiscreteStatsTable[[#This Row],[HalfWidth]],DiscreteStatsTable[[#This Row],[BatchMeansHalfWidth]])</f>
        <v>1.9765596405304995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12</v>
      </c>
      <c r="Y218" s="5">
        <f>IF(DiscreteStatsTable[[#This Row],[RepsRequested]]=DiscreteStatsTable[[#This Row],[RepsWithStatObserved]],1,0)</f>
        <v>1</v>
      </c>
    </row>
    <row r="219" spans="1:25" x14ac:dyDescent="0.25">
      <c r="A219" t="s">
        <v>68</v>
      </c>
      <c r="B219" t="s">
        <v>70</v>
      </c>
      <c r="C219">
        <v>1</v>
      </c>
      <c r="D219" t="s">
        <v>90</v>
      </c>
      <c r="E219" t="s">
        <v>83</v>
      </c>
      <c r="F219" t="s">
        <v>82</v>
      </c>
      <c r="G219">
        <v>1.4867058117178</v>
      </c>
      <c r="H219">
        <v>2.2011295435485901E-2</v>
      </c>
      <c r="I219">
        <v>1.00066749475423</v>
      </c>
      <c r="J219">
        <v>1.99857008962454</v>
      </c>
      <c r="K219">
        <v>793</v>
      </c>
      <c r="L219" s="5" t="str">
        <f>DiscreteStatsTable[[#This Row],[ProjectName]]&amp;DiscreteStatsTable[[#This Row],[Name]]&amp;DiscreteStatsTable[[#This Row],[Type]]&amp;DiscreteStatsTable[[#This Row],[Source]]</f>
        <v>Tener ArticulsoOrganizarVA Time Per EntityProcess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12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1.5028538081491225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1.3808973413820496E-2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8.7738031202962419E-3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1.4747133823596901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1.51850117283381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1.00010180636809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1.9999899924728199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786</v>
      </c>
      <c r="W219" s="5">
        <f>IF((DiscreteStatsTable[[#This Row],[RepsRequested]]&gt;1),DiscreteStatsTable[[#This Row],[HalfWidth]],DiscreteStatsTable[[#This Row],[BatchMeansHalfWidth]])</f>
        <v>8.7738031202962419E-3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12</v>
      </c>
      <c r="Y219" s="5">
        <f>IF(DiscreteStatsTable[[#This Row],[RepsRequested]]=DiscreteStatsTable[[#This Row],[RepsWithStatObserved]],1,0)</f>
        <v>1</v>
      </c>
    </row>
    <row r="220" spans="1:25" x14ac:dyDescent="0.25">
      <c r="A220" t="s">
        <v>68</v>
      </c>
      <c r="B220" t="s">
        <v>70</v>
      </c>
      <c r="C220">
        <v>1</v>
      </c>
      <c r="D220" t="s">
        <v>90</v>
      </c>
      <c r="E220" t="s">
        <v>84</v>
      </c>
      <c r="F220" t="s">
        <v>82</v>
      </c>
      <c r="G220">
        <v>15.6138750503916</v>
      </c>
      <c r="H220">
        <v>3E+20</v>
      </c>
      <c r="I220">
        <v>0</v>
      </c>
      <c r="J220">
        <v>41.574638635399197</v>
      </c>
      <c r="K220">
        <v>793</v>
      </c>
      <c r="L220" s="5" t="str">
        <f>DiscreteStatsTable[[#This Row],[ProjectName]]&amp;DiscreteStatsTable[[#This Row],[Name]]&amp;DiscreteStatsTable[[#This Row],[Type]]&amp;DiscreteStatsTable[[#This Row],[Source]]</f>
        <v>Tener ArticulsoOrganizarWait Time Per EntityProcess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12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18.340222501164735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3.1059623683121012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1.9734343388151923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12.8584614113489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22.619907968114202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52.173346869209801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786</v>
      </c>
      <c r="W220" s="5">
        <f>IF((DiscreteStatsTable[[#This Row],[RepsRequested]]&gt;1),DiscreteStatsTable[[#This Row],[HalfWidth]],DiscreteStatsTable[[#This Row],[BatchMeansHalfWidth]])</f>
        <v>1.9734343388151923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12</v>
      </c>
      <c r="Y220" s="5">
        <f>IF(DiscreteStatsTable[[#This Row],[RepsRequested]]=DiscreteStatsTable[[#This Row],[RepsWithStatObserved]],1,0)</f>
        <v>1</v>
      </c>
    </row>
    <row r="221" spans="1:25" x14ac:dyDescent="0.25">
      <c r="A221" t="s">
        <v>68</v>
      </c>
      <c r="B221" t="s">
        <v>70</v>
      </c>
      <c r="C221">
        <v>2</v>
      </c>
      <c r="D221" t="s">
        <v>90</v>
      </c>
      <c r="E221" t="s">
        <v>81</v>
      </c>
      <c r="F221" t="s">
        <v>82</v>
      </c>
      <c r="G221">
        <v>21.266900866034501</v>
      </c>
      <c r="H221">
        <v>3E+20</v>
      </c>
      <c r="I221">
        <v>1.01092183270555</v>
      </c>
      <c r="J221">
        <v>52.433842000380302</v>
      </c>
      <c r="K221">
        <v>829</v>
      </c>
      <c r="L221" s="5" t="str">
        <f>DiscreteStatsTable[[#This Row],[ProjectName]]&amp;DiscreteStatsTable[[#This Row],[Name]]&amp;DiscreteStatsTable[[#This Row],[Type]]&amp;DiscreteStatsTable[[#This Row],[Source]]</f>
        <v>Tener ArticulsoOrganizarTotal Time Per EntityProcess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12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19.843076309313876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3.1108812396048715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1.9765596405304995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14.333174793708601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24.121886739294599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1.0058066908302401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53.875149285606298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786</v>
      </c>
      <c r="W221" s="5">
        <f>IF((DiscreteStatsTable[[#This Row],[RepsRequested]]&gt;1),DiscreteStatsTable[[#This Row],[HalfWidth]],DiscreteStatsTable[[#This Row],[BatchMeansHalfWidth]])</f>
        <v>1.9765596405304995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12</v>
      </c>
      <c r="Y221" s="5">
        <f>IF(DiscreteStatsTable[[#This Row],[RepsRequested]]=DiscreteStatsTable[[#This Row],[RepsWithStatObserved]],1,0)</f>
        <v>1</v>
      </c>
    </row>
    <row r="222" spans="1:25" x14ac:dyDescent="0.25">
      <c r="A222" t="s">
        <v>68</v>
      </c>
      <c r="B222" t="s">
        <v>70</v>
      </c>
      <c r="C222">
        <v>2</v>
      </c>
      <c r="D222" t="s">
        <v>90</v>
      </c>
      <c r="E222" t="s">
        <v>83</v>
      </c>
      <c r="F222" t="s">
        <v>82</v>
      </c>
      <c r="G222">
        <v>1.51505223265469</v>
      </c>
      <c r="H222">
        <v>1.82731437912226E-2</v>
      </c>
      <c r="I222">
        <v>1.00183881967905</v>
      </c>
      <c r="J222">
        <v>1.9997865829979</v>
      </c>
      <c r="K222">
        <v>829</v>
      </c>
      <c r="L222" s="5" t="str">
        <f>DiscreteStatsTable[[#This Row],[ProjectName]]&amp;DiscreteStatsTable[[#This Row],[Name]]&amp;DiscreteStatsTable[[#This Row],[Type]]&amp;DiscreteStatsTable[[#This Row],[Source]]</f>
        <v>Tener ArticulsoOrganizarVA Time Per EntityProcess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12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1.5028538081491225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1.3808973413820496E-2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8.7738031202962419E-3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1.4747133823596901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1.51850117283381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1.00010180636809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1.9999899924728199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786</v>
      </c>
      <c r="W222" s="5">
        <f>IF((DiscreteStatsTable[[#This Row],[RepsRequested]]&gt;1),DiscreteStatsTable[[#This Row],[HalfWidth]],DiscreteStatsTable[[#This Row],[BatchMeansHalfWidth]])</f>
        <v>8.7738031202962419E-3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12</v>
      </c>
      <c r="Y222" s="5">
        <f>IF(DiscreteStatsTable[[#This Row],[RepsRequested]]=DiscreteStatsTable[[#This Row],[RepsWithStatObserved]],1,0)</f>
        <v>1</v>
      </c>
    </row>
    <row r="223" spans="1:25" x14ac:dyDescent="0.25">
      <c r="A223" t="s">
        <v>68</v>
      </c>
      <c r="B223" t="s">
        <v>70</v>
      </c>
      <c r="C223">
        <v>2</v>
      </c>
      <c r="D223" t="s">
        <v>90</v>
      </c>
      <c r="E223" t="s">
        <v>84</v>
      </c>
      <c r="F223" t="s">
        <v>82</v>
      </c>
      <c r="G223">
        <v>19.7518486333799</v>
      </c>
      <c r="H223">
        <v>3E+20</v>
      </c>
      <c r="I223">
        <v>0</v>
      </c>
      <c r="J223">
        <v>50.479819378087797</v>
      </c>
      <c r="K223">
        <v>829</v>
      </c>
      <c r="L223" s="5" t="str">
        <f>DiscreteStatsTable[[#This Row],[ProjectName]]&amp;DiscreteStatsTable[[#This Row],[Name]]&amp;DiscreteStatsTable[[#This Row],[Type]]&amp;DiscreteStatsTable[[#This Row],[Source]]</f>
        <v>Tener ArticulsoOrganizarWait Time Per EntityProcess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12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18.340222501164735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3.1059623683121012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1.9734343388151923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12.8584614113489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22.619907968114202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52.173346869209801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786</v>
      </c>
      <c r="W223" s="5">
        <f>IF((DiscreteStatsTable[[#This Row],[RepsRequested]]&gt;1),DiscreteStatsTable[[#This Row],[HalfWidth]],DiscreteStatsTable[[#This Row],[BatchMeansHalfWidth]])</f>
        <v>1.9734343388151923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12</v>
      </c>
      <c r="Y223" s="5">
        <f>IF(DiscreteStatsTable[[#This Row],[RepsRequested]]=DiscreteStatsTable[[#This Row],[RepsWithStatObserved]],1,0)</f>
        <v>1</v>
      </c>
    </row>
    <row r="224" spans="1:25" x14ac:dyDescent="0.25">
      <c r="A224" t="s">
        <v>68</v>
      </c>
      <c r="B224" t="s">
        <v>70</v>
      </c>
      <c r="C224">
        <v>3</v>
      </c>
      <c r="D224" t="s">
        <v>90</v>
      </c>
      <c r="E224" t="s">
        <v>81</v>
      </c>
      <c r="F224" t="s">
        <v>82</v>
      </c>
      <c r="G224">
        <v>23.344134258473598</v>
      </c>
      <c r="H224">
        <v>3E+20</v>
      </c>
      <c r="I224">
        <v>1.2674270707398101</v>
      </c>
      <c r="J224">
        <v>41.704069790414799</v>
      </c>
      <c r="K224">
        <v>821</v>
      </c>
      <c r="L224" s="5" t="str">
        <f>DiscreteStatsTable[[#This Row],[ProjectName]]&amp;DiscreteStatsTable[[#This Row],[Name]]&amp;DiscreteStatsTable[[#This Row],[Type]]&amp;DiscreteStatsTable[[#This Row],[Source]]</f>
        <v>Tener ArticulsoOrganizarTotal Time Per EntityProcess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12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19.843076309313876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3.1108812396048715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1.9765596405304995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14.333174793708601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24.121886739294599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1.0058066908302401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53.875149285606298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786</v>
      </c>
      <c r="W224" s="5">
        <f>IF((DiscreteStatsTable[[#This Row],[RepsRequested]]&gt;1),DiscreteStatsTable[[#This Row],[HalfWidth]],DiscreteStatsTable[[#This Row],[BatchMeansHalfWidth]])</f>
        <v>1.9765596405304995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12</v>
      </c>
      <c r="Y224" s="5">
        <f>IF(DiscreteStatsTable[[#This Row],[RepsRequested]]=DiscreteStatsTable[[#This Row],[RepsWithStatObserved]],1,0)</f>
        <v>1</v>
      </c>
    </row>
    <row r="225" spans="1:25" x14ac:dyDescent="0.25">
      <c r="A225" t="s">
        <v>68</v>
      </c>
      <c r="B225" t="s">
        <v>70</v>
      </c>
      <c r="C225">
        <v>3</v>
      </c>
      <c r="D225" t="s">
        <v>90</v>
      </c>
      <c r="E225" t="s">
        <v>83</v>
      </c>
      <c r="F225" t="s">
        <v>82</v>
      </c>
      <c r="G225">
        <v>1.5057387692215201</v>
      </c>
      <c r="H225">
        <v>1.51754470810543E-2</v>
      </c>
      <c r="I225">
        <v>1.00035773754928</v>
      </c>
      <c r="J225">
        <v>1.9993083262479601</v>
      </c>
      <c r="K225">
        <v>821</v>
      </c>
      <c r="L225" s="5" t="str">
        <f>DiscreteStatsTable[[#This Row],[ProjectName]]&amp;DiscreteStatsTable[[#This Row],[Name]]&amp;DiscreteStatsTable[[#This Row],[Type]]&amp;DiscreteStatsTable[[#This Row],[Source]]</f>
        <v>Tener ArticulsoOrganizarVA Time Per EntityProcess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12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1.5028538081491225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1.3808973413820496E-2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8.7738031202962419E-3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1.4747133823596901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1.51850117283381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1.00010180636809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1.9999899924728199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786</v>
      </c>
      <c r="W225" s="5">
        <f>IF((DiscreteStatsTable[[#This Row],[RepsRequested]]&gt;1),DiscreteStatsTable[[#This Row],[HalfWidth]],DiscreteStatsTable[[#This Row],[BatchMeansHalfWidth]])</f>
        <v>8.7738031202962419E-3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12</v>
      </c>
      <c r="Y225" s="5">
        <f>IF(DiscreteStatsTable[[#This Row],[RepsRequested]]=DiscreteStatsTable[[#This Row],[RepsWithStatObserved]],1,0)</f>
        <v>1</v>
      </c>
    </row>
    <row r="226" spans="1:25" x14ac:dyDescent="0.25">
      <c r="A226" t="s">
        <v>68</v>
      </c>
      <c r="B226" t="s">
        <v>70</v>
      </c>
      <c r="C226">
        <v>3</v>
      </c>
      <c r="D226" t="s">
        <v>90</v>
      </c>
      <c r="E226" t="s">
        <v>84</v>
      </c>
      <c r="F226" t="s">
        <v>82</v>
      </c>
      <c r="G226">
        <v>21.838395489252001</v>
      </c>
      <c r="H226">
        <v>3E+20</v>
      </c>
      <c r="I226">
        <v>0</v>
      </c>
      <c r="J226">
        <v>40.1594867795692</v>
      </c>
      <c r="K226">
        <v>821</v>
      </c>
      <c r="L226" s="5" t="str">
        <f>DiscreteStatsTable[[#This Row],[ProjectName]]&amp;DiscreteStatsTable[[#This Row],[Name]]&amp;DiscreteStatsTable[[#This Row],[Type]]&amp;DiscreteStatsTable[[#This Row],[Source]]</f>
        <v>Tener ArticulsoOrganizarWait Time Per EntityProcess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12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18.340222501164735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3.1059623683121012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1.9734343388151923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12.8584614113489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22.619907968114202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52.173346869209801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786</v>
      </c>
      <c r="W226" s="5">
        <f>IF((DiscreteStatsTable[[#This Row],[RepsRequested]]&gt;1),DiscreteStatsTable[[#This Row],[HalfWidth]],DiscreteStatsTable[[#This Row],[BatchMeansHalfWidth]])</f>
        <v>1.9734343388151923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12</v>
      </c>
      <c r="Y226" s="5">
        <f>IF(DiscreteStatsTable[[#This Row],[RepsRequested]]=DiscreteStatsTable[[#This Row],[RepsWithStatObserved]],1,0)</f>
        <v>1</v>
      </c>
    </row>
    <row r="227" spans="1:25" x14ac:dyDescent="0.25">
      <c r="A227" t="s">
        <v>68</v>
      </c>
      <c r="B227" t="s">
        <v>70</v>
      </c>
      <c r="C227">
        <v>4</v>
      </c>
      <c r="D227" t="s">
        <v>90</v>
      </c>
      <c r="E227" t="s">
        <v>81</v>
      </c>
      <c r="F227" t="s">
        <v>82</v>
      </c>
      <c r="G227">
        <v>23.448759445780301</v>
      </c>
      <c r="H227">
        <v>3E+20</v>
      </c>
      <c r="I227">
        <v>1.0225228780664699</v>
      </c>
      <c r="J227">
        <v>45.704907106325898</v>
      </c>
      <c r="K227">
        <v>827</v>
      </c>
      <c r="L227" s="5" t="str">
        <f>DiscreteStatsTable[[#This Row],[ProjectName]]&amp;DiscreteStatsTable[[#This Row],[Name]]&amp;DiscreteStatsTable[[#This Row],[Type]]&amp;DiscreteStatsTable[[#This Row],[Source]]</f>
        <v>Tener ArticulsoOrganizarTotal Time Per EntityProcess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12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19.843076309313876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3.1108812396048715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1.9765596405304995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14.333174793708601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24.121886739294599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1.0058066908302401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53.875149285606298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786</v>
      </c>
      <c r="W227" s="5">
        <f>IF((DiscreteStatsTable[[#This Row],[RepsRequested]]&gt;1),DiscreteStatsTable[[#This Row],[HalfWidth]],DiscreteStatsTable[[#This Row],[BatchMeansHalfWidth]])</f>
        <v>1.9765596405304995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12</v>
      </c>
      <c r="Y227" s="5">
        <f>IF(DiscreteStatsTable[[#This Row],[RepsRequested]]=DiscreteStatsTable[[#This Row],[RepsWithStatObserved]],1,0)</f>
        <v>1</v>
      </c>
    </row>
    <row r="228" spans="1:25" x14ac:dyDescent="0.25">
      <c r="A228" t="s">
        <v>68</v>
      </c>
      <c r="B228" t="s">
        <v>70</v>
      </c>
      <c r="C228">
        <v>4</v>
      </c>
      <c r="D228" t="s">
        <v>90</v>
      </c>
      <c r="E228" t="s">
        <v>83</v>
      </c>
      <c r="F228" t="s">
        <v>82</v>
      </c>
      <c r="G228">
        <v>1.49023244352207</v>
      </c>
      <c r="H228">
        <v>1.7605715419563801E-2</v>
      </c>
      <c r="I228">
        <v>1.0003203370298499</v>
      </c>
      <c r="J228">
        <v>1.99979569831805</v>
      </c>
      <c r="K228">
        <v>827</v>
      </c>
      <c r="L228" s="5" t="str">
        <f>DiscreteStatsTable[[#This Row],[ProjectName]]&amp;DiscreteStatsTable[[#This Row],[Name]]&amp;DiscreteStatsTable[[#This Row],[Type]]&amp;DiscreteStatsTable[[#This Row],[Source]]</f>
        <v>Tener ArticulsoOrganizarVA Time Per EntityProcess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12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1.5028538081491225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1.3808973413820496E-2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8.7738031202962419E-3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1.4747133823596901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1.51850117283381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1.00010180636809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1.9999899924728199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786</v>
      </c>
      <c r="W228" s="5">
        <f>IF((DiscreteStatsTable[[#This Row],[RepsRequested]]&gt;1),DiscreteStatsTable[[#This Row],[HalfWidth]],DiscreteStatsTable[[#This Row],[BatchMeansHalfWidth]])</f>
        <v>8.7738031202962419E-3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12</v>
      </c>
      <c r="Y228" s="5">
        <f>IF(DiscreteStatsTable[[#This Row],[RepsRequested]]=DiscreteStatsTable[[#This Row],[RepsWithStatObserved]],1,0)</f>
        <v>1</v>
      </c>
    </row>
    <row r="229" spans="1:25" x14ac:dyDescent="0.25">
      <c r="A229" t="s">
        <v>68</v>
      </c>
      <c r="B229" t="s">
        <v>70</v>
      </c>
      <c r="C229">
        <v>4</v>
      </c>
      <c r="D229" t="s">
        <v>90</v>
      </c>
      <c r="E229" t="s">
        <v>84</v>
      </c>
      <c r="F229" t="s">
        <v>82</v>
      </c>
      <c r="G229">
        <v>21.958527002258101</v>
      </c>
      <c r="H229">
        <v>3E+20</v>
      </c>
      <c r="I229">
        <v>0</v>
      </c>
      <c r="J229">
        <v>44.031034729777303</v>
      </c>
      <c r="K229">
        <v>827</v>
      </c>
      <c r="L229" s="5" t="str">
        <f>DiscreteStatsTable[[#This Row],[ProjectName]]&amp;DiscreteStatsTable[[#This Row],[Name]]&amp;DiscreteStatsTable[[#This Row],[Type]]&amp;DiscreteStatsTable[[#This Row],[Source]]</f>
        <v>Tener ArticulsoOrganizarWait Time Per EntityProcess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12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18.340222501164735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3.1059623683121012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1.9734343388151923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12.8584614113489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22.619907968114202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52.173346869209801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786</v>
      </c>
      <c r="W229" s="5">
        <f>IF((DiscreteStatsTable[[#This Row],[RepsRequested]]&gt;1),DiscreteStatsTable[[#This Row],[HalfWidth]],DiscreteStatsTable[[#This Row],[BatchMeansHalfWidth]])</f>
        <v>1.9734343388151923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12</v>
      </c>
      <c r="Y229" s="5">
        <f>IF(DiscreteStatsTable[[#This Row],[RepsRequested]]=DiscreteStatsTable[[#This Row],[RepsWithStatObserved]],1,0)</f>
        <v>1</v>
      </c>
    </row>
    <row r="230" spans="1:25" x14ac:dyDescent="0.25">
      <c r="A230" t="s">
        <v>68</v>
      </c>
      <c r="B230" t="s">
        <v>70</v>
      </c>
      <c r="C230">
        <v>5</v>
      </c>
      <c r="D230" t="s">
        <v>90</v>
      </c>
      <c r="E230" t="s">
        <v>81</v>
      </c>
      <c r="F230" t="s">
        <v>82</v>
      </c>
      <c r="G230">
        <v>14.333174793708601</v>
      </c>
      <c r="H230">
        <v>3E+20</v>
      </c>
      <c r="I230">
        <v>1.0058066908302401</v>
      </c>
      <c r="J230">
        <v>38.381292176353597</v>
      </c>
      <c r="K230">
        <v>750</v>
      </c>
      <c r="L230" s="5" t="str">
        <f>DiscreteStatsTable[[#This Row],[ProjectName]]&amp;DiscreteStatsTable[[#This Row],[Name]]&amp;DiscreteStatsTable[[#This Row],[Type]]&amp;DiscreteStatsTable[[#This Row],[Source]]</f>
        <v>Tener ArticulsoOrganizarTotal Time Per EntityProcess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12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19.843076309313876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3.1108812396048715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1.9765596405304995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14.333174793708601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24.121886739294599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1.0058066908302401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53.875149285606298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786</v>
      </c>
      <c r="W230" s="5">
        <f>IF((DiscreteStatsTable[[#This Row],[RepsRequested]]&gt;1),DiscreteStatsTable[[#This Row],[HalfWidth]],DiscreteStatsTable[[#This Row],[BatchMeansHalfWidth]])</f>
        <v>1.9765596405304995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12</v>
      </c>
      <c r="Y230" s="5">
        <f>IF(DiscreteStatsTable[[#This Row],[RepsRequested]]=DiscreteStatsTable[[#This Row],[RepsWithStatObserved]],1,0)</f>
        <v>1</v>
      </c>
    </row>
    <row r="231" spans="1:25" x14ac:dyDescent="0.25">
      <c r="A231" t="s">
        <v>68</v>
      </c>
      <c r="B231" t="s">
        <v>70</v>
      </c>
      <c r="C231">
        <v>5</v>
      </c>
      <c r="D231" t="s">
        <v>90</v>
      </c>
      <c r="E231" t="s">
        <v>83</v>
      </c>
      <c r="F231" t="s">
        <v>82</v>
      </c>
      <c r="G231">
        <v>1.4747133823596901</v>
      </c>
      <c r="H231">
        <v>2.4637952179456801E-2</v>
      </c>
      <c r="I231">
        <v>1.00010180636809</v>
      </c>
      <c r="J231">
        <v>1.9996440065851899</v>
      </c>
      <c r="K231">
        <v>750</v>
      </c>
      <c r="L231" s="5" t="str">
        <f>DiscreteStatsTable[[#This Row],[ProjectName]]&amp;DiscreteStatsTable[[#This Row],[Name]]&amp;DiscreteStatsTable[[#This Row],[Type]]&amp;DiscreteStatsTable[[#This Row],[Source]]</f>
        <v>Tener ArticulsoOrganizarVA Time Per EntityProcess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12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1.5028538081491225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1.3808973413820496E-2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8.7738031202962419E-3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1.4747133823596901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1.51850117283381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1.00010180636809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1.9999899924728199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786</v>
      </c>
      <c r="W231" s="5">
        <f>IF((DiscreteStatsTable[[#This Row],[RepsRequested]]&gt;1),DiscreteStatsTable[[#This Row],[HalfWidth]],DiscreteStatsTable[[#This Row],[BatchMeansHalfWidth]])</f>
        <v>8.7738031202962419E-3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12</v>
      </c>
      <c r="Y231" s="5">
        <f>IF(DiscreteStatsTable[[#This Row],[RepsRequested]]=DiscreteStatsTable[[#This Row],[RepsWithStatObserved]],1,0)</f>
        <v>1</v>
      </c>
    </row>
    <row r="232" spans="1:25" x14ac:dyDescent="0.25">
      <c r="A232" t="s">
        <v>68</v>
      </c>
      <c r="B232" t="s">
        <v>70</v>
      </c>
      <c r="C232">
        <v>5</v>
      </c>
      <c r="D232" t="s">
        <v>90</v>
      </c>
      <c r="E232" t="s">
        <v>84</v>
      </c>
      <c r="F232" t="s">
        <v>82</v>
      </c>
      <c r="G232">
        <v>12.8584614113489</v>
      </c>
      <c r="H232">
        <v>3E+20</v>
      </c>
      <c r="I232">
        <v>0</v>
      </c>
      <c r="J232">
        <v>37.245814679736398</v>
      </c>
      <c r="K232">
        <v>750</v>
      </c>
      <c r="L232" s="5" t="str">
        <f>DiscreteStatsTable[[#This Row],[ProjectName]]&amp;DiscreteStatsTable[[#This Row],[Name]]&amp;DiscreteStatsTable[[#This Row],[Type]]&amp;DiscreteStatsTable[[#This Row],[Source]]</f>
        <v>Tener ArticulsoOrganizarWait Time Per EntityProcess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12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18.340222501164735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3.1059623683121012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1.9734343388151923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12.8584614113489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22.619907968114202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52.173346869209801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786</v>
      </c>
      <c r="W232" s="5">
        <f>IF((DiscreteStatsTable[[#This Row],[RepsRequested]]&gt;1),DiscreteStatsTable[[#This Row],[HalfWidth]],DiscreteStatsTable[[#This Row],[BatchMeansHalfWidth]])</f>
        <v>1.9734343388151923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12</v>
      </c>
      <c r="Y232" s="5">
        <f>IF(DiscreteStatsTable[[#This Row],[RepsRequested]]=DiscreteStatsTable[[#This Row],[RepsWithStatObserved]],1,0)</f>
        <v>1</v>
      </c>
    </row>
    <row r="233" spans="1:25" x14ac:dyDescent="0.25">
      <c r="A233" t="s">
        <v>68</v>
      </c>
      <c r="B233" t="s">
        <v>70</v>
      </c>
      <c r="C233">
        <v>6</v>
      </c>
      <c r="D233" t="s">
        <v>90</v>
      </c>
      <c r="E233" t="s">
        <v>81</v>
      </c>
      <c r="F233" t="s">
        <v>82</v>
      </c>
      <c r="G233">
        <v>18.7060271258608</v>
      </c>
      <c r="H233">
        <v>3E+20</v>
      </c>
      <c r="I233">
        <v>1.03355530882558</v>
      </c>
      <c r="J233">
        <v>39.663668953873596</v>
      </c>
      <c r="K233">
        <v>790</v>
      </c>
      <c r="L233" s="5" t="str">
        <f>DiscreteStatsTable[[#This Row],[ProjectName]]&amp;DiscreteStatsTable[[#This Row],[Name]]&amp;DiscreteStatsTable[[#This Row],[Type]]&amp;DiscreteStatsTable[[#This Row],[Source]]</f>
        <v>Tener ArticulsoOrganizarTotal Time Per EntityProcess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12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19.843076309313876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3.1108812396048715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1.9765596405304995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14.333174793708601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24.121886739294599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1.0058066908302401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53.875149285606298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786</v>
      </c>
      <c r="W233" s="5">
        <f>IF((DiscreteStatsTable[[#This Row],[RepsRequested]]&gt;1),DiscreteStatsTable[[#This Row],[HalfWidth]],DiscreteStatsTable[[#This Row],[BatchMeansHalfWidth]])</f>
        <v>1.9765596405304995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12</v>
      </c>
      <c r="Y233" s="5">
        <f>IF(DiscreteStatsTable[[#This Row],[RepsRequested]]=DiscreteStatsTable[[#This Row],[RepsWithStatObserved]],1,0)</f>
        <v>1</v>
      </c>
    </row>
    <row r="234" spans="1:25" x14ac:dyDescent="0.25">
      <c r="A234" t="s">
        <v>68</v>
      </c>
      <c r="B234" t="s">
        <v>70</v>
      </c>
      <c r="C234">
        <v>6</v>
      </c>
      <c r="D234" t="s">
        <v>90</v>
      </c>
      <c r="E234" t="s">
        <v>83</v>
      </c>
      <c r="F234" t="s">
        <v>82</v>
      </c>
      <c r="G234">
        <v>1.4935563570769901</v>
      </c>
      <c r="H234">
        <v>2.3113563276997501E-2</v>
      </c>
      <c r="I234">
        <v>1.00331785988374</v>
      </c>
      <c r="J234">
        <v>1.9988897435291599</v>
      </c>
      <c r="K234">
        <v>790</v>
      </c>
      <c r="L234" s="5" t="str">
        <f>DiscreteStatsTable[[#This Row],[ProjectName]]&amp;DiscreteStatsTable[[#This Row],[Name]]&amp;DiscreteStatsTable[[#This Row],[Type]]&amp;DiscreteStatsTable[[#This Row],[Source]]</f>
        <v>Tener ArticulsoOrganizarVA Time Per EntityProcess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12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1.5028538081491225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1.3808973413820496E-2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8.7738031202962419E-3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1.4747133823596901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1.51850117283381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1.00010180636809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1.9999899924728199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786</v>
      </c>
      <c r="W234" s="5">
        <f>IF((DiscreteStatsTable[[#This Row],[RepsRequested]]&gt;1),DiscreteStatsTable[[#This Row],[HalfWidth]],DiscreteStatsTable[[#This Row],[BatchMeansHalfWidth]])</f>
        <v>8.7738031202962419E-3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12</v>
      </c>
      <c r="Y234" s="5">
        <f>IF(DiscreteStatsTable[[#This Row],[RepsRequested]]=DiscreteStatsTable[[#This Row],[RepsWithStatObserved]],1,0)</f>
        <v>1</v>
      </c>
    </row>
    <row r="235" spans="1:25" x14ac:dyDescent="0.25">
      <c r="A235" t="s">
        <v>68</v>
      </c>
      <c r="B235" t="s">
        <v>70</v>
      </c>
      <c r="C235">
        <v>6</v>
      </c>
      <c r="D235" t="s">
        <v>90</v>
      </c>
      <c r="E235" t="s">
        <v>84</v>
      </c>
      <c r="F235" t="s">
        <v>82</v>
      </c>
      <c r="G235">
        <v>17.2124707687837</v>
      </c>
      <c r="H235">
        <v>3E+20</v>
      </c>
      <c r="I235">
        <v>0</v>
      </c>
      <c r="J235">
        <v>37.757768561627003</v>
      </c>
      <c r="K235">
        <v>790</v>
      </c>
      <c r="L235" s="5" t="str">
        <f>DiscreteStatsTable[[#This Row],[ProjectName]]&amp;DiscreteStatsTable[[#This Row],[Name]]&amp;DiscreteStatsTable[[#This Row],[Type]]&amp;DiscreteStatsTable[[#This Row],[Source]]</f>
        <v>Tener ArticulsoOrganizarWait Time Per EntityProcess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12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18.340222501164735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3.1059623683121012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1.9734343388151923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12.8584614113489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22.619907968114202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52.173346869209801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786</v>
      </c>
      <c r="W235" s="5">
        <f>IF((DiscreteStatsTable[[#This Row],[RepsRequested]]&gt;1),DiscreteStatsTable[[#This Row],[HalfWidth]],DiscreteStatsTable[[#This Row],[BatchMeansHalfWidth]])</f>
        <v>1.9734343388151923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12</v>
      </c>
      <c r="Y235" s="5">
        <f>IF(DiscreteStatsTable[[#This Row],[RepsRequested]]=DiscreteStatsTable[[#This Row],[RepsWithStatObserved]],1,0)</f>
        <v>1</v>
      </c>
    </row>
    <row r="236" spans="1:25" x14ac:dyDescent="0.25">
      <c r="A236" t="s">
        <v>68</v>
      </c>
      <c r="B236" t="s">
        <v>70</v>
      </c>
      <c r="C236">
        <v>7</v>
      </c>
      <c r="D236" t="s">
        <v>90</v>
      </c>
      <c r="E236" t="s">
        <v>81</v>
      </c>
      <c r="F236" t="s">
        <v>82</v>
      </c>
      <c r="G236">
        <v>16.004269763015898</v>
      </c>
      <c r="H236">
        <v>3E+20</v>
      </c>
      <c r="I236">
        <v>1.0233630684397399</v>
      </c>
      <c r="J236">
        <v>40.9677834443251</v>
      </c>
      <c r="K236">
        <v>735</v>
      </c>
      <c r="L236" s="5" t="str">
        <f>DiscreteStatsTable[[#This Row],[ProjectName]]&amp;DiscreteStatsTable[[#This Row],[Name]]&amp;DiscreteStatsTable[[#This Row],[Type]]&amp;DiscreteStatsTable[[#This Row],[Source]]</f>
        <v>Tener ArticulsoOrganizarTotal Time Per EntityProcess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12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19.843076309313876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3.1108812396048715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1.9765596405304995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14.333174793708601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24.121886739294599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1.0058066908302401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53.875149285606298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786</v>
      </c>
      <c r="W236" s="5">
        <f>IF((DiscreteStatsTable[[#This Row],[RepsRequested]]&gt;1),DiscreteStatsTable[[#This Row],[HalfWidth]],DiscreteStatsTable[[#This Row],[BatchMeansHalfWidth]])</f>
        <v>1.9765596405304995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12</v>
      </c>
      <c r="Y236" s="5">
        <f>IF(DiscreteStatsTable[[#This Row],[RepsRequested]]=DiscreteStatsTable[[#This Row],[RepsWithStatObserved]],1,0)</f>
        <v>1</v>
      </c>
    </row>
    <row r="237" spans="1:25" x14ac:dyDescent="0.25">
      <c r="A237" t="s">
        <v>68</v>
      </c>
      <c r="B237" t="s">
        <v>70</v>
      </c>
      <c r="C237">
        <v>7</v>
      </c>
      <c r="D237" t="s">
        <v>90</v>
      </c>
      <c r="E237" t="s">
        <v>83</v>
      </c>
      <c r="F237" t="s">
        <v>82</v>
      </c>
      <c r="G237">
        <v>1.50594951382402</v>
      </c>
      <c r="H237">
        <v>2.1064228792471999E-2</v>
      </c>
      <c r="I237">
        <v>1.0037033552708901</v>
      </c>
      <c r="J237">
        <v>1.99929568331055</v>
      </c>
      <c r="K237">
        <v>735</v>
      </c>
      <c r="L237" s="5" t="str">
        <f>DiscreteStatsTable[[#This Row],[ProjectName]]&amp;DiscreteStatsTable[[#This Row],[Name]]&amp;DiscreteStatsTable[[#This Row],[Type]]&amp;DiscreteStatsTable[[#This Row],[Source]]</f>
        <v>Tener ArticulsoOrganizarVA Time Per EntityProcess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12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1.5028538081491225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1.3808973413820496E-2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8.7738031202962419E-3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1.4747133823596901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1.51850117283381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1.00010180636809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1.9999899924728199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786</v>
      </c>
      <c r="W237" s="5">
        <f>IF((DiscreteStatsTable[[#This Row],[RepsRequested]]&gt;1),DiscreteStatsTable[[#This Row],[HalfWidth]],DiscreteStatsTable[[#This Row],[BatchMeansHalfWidth]])</f>
        <v>8.7738031202962419E-3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12</v>
      </c>
      <c r="Y237" s="5">
        <f>IF(DiscreteStatsTable[[#This Row],[RepsRequested]]=DiscreteStatsTable[[#This Row],[RepsWithStatObserved]],1,0)</f>
        <v>1</v>
      </c>
    </row>
    <row r="238" spans="1:25" x14ac:dyDescent="0.25">
      <c r="A238" t="s">
        <v>68</v>
      </c>
      <c r="B238" t="s">
        <v>70</v>
      </c>
      <c r="C238">
        <v>7</v>
      </c>
      <c r="D238" t="s">
        <v>90</v>
      </c>
      <c r="E238" t="s">
        <v>84</v>
      </c>
      <c r="F238" t="s">
        <v>82</v>
      </c>
      <c r="G238">
        <v>14.498320249191901</v>
      </c>
      <c r="H238">
        <v>3E+20</v>
      </c>
      <c r="I238">
        <v>0</v>
      </c>
      <c r="J238">
        <v>39.624523707955397</v>
      </c>
      <c r="K238">
        <v>735</v>
      </c>
      <c r="L238" s="5" t="str">
        <f>DiscreteStatsTable[[#This Row],[ProjectName]]&amp;DiscreteStatsTable[[#This Row],[Name]]&amp;DiscreteStatsTable[[#This Row],[Type]]&amp;DiscreteStatsTable[[#This Row],[Source]]</f>
        <v>Tener ArticulsoOrganizarWait Time Per EntityProcess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12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18.340222501164735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3.1059623683121012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1.9734343388151923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12.8584614113489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22.619907968114202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52.173346869209801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786</v>
      </c>
      <c r="W238" s="5">
        <f>IF((DiscreteStatsTable[[#This Row],[RepsRequested]]&gt;1),DiscreteStatsTable[[#This Row],[HalfWidth]],DiscreteStatsTable[[#This Row],[BatchMeansHalfWidth]])</f>
        <v>1.9734343388151923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12</v>
      </c>
      <c r="Y238" s="5">
        <f>IF(DiscreteStatsTable[[#This Row],[RepsRequested]]=DiscreteStatsTable[[#This Row],[RepsWithStatObserved]],1,0)</f>
        <v>1</v>
      </c>
    </row>
    <row r="239" spans="1:25" x14ac:dyDescent="0.25">
      <c r="A239" t="s">
        <v>68</v>
      </c>
      <c r="B239" t="s">
        <v>70</v>
      </c>
      <c r="C239">
        <v>8</v>
      </c>
      <c r="D239" t="s">
        <v>90</v>
      </c>
      <c r="E239" t="s">
        <v>81</v>
      </c>
      <c r="F239" t="s">
        <v>82</v>
      </c>
      <c r="G239">
        <v>21.748284688864</v>
      </c>
      <c r="H239">
        <v>3E+20</v>
      </c>
      <c r="I239">
        <v>1.0130719441762299</v>
      </c>
      <c r="J239">
        <v>53.875149285606298</v>
      </c>
      <c r="K239">
        <v>791</v>
      </c>
      <c r="L239" s="5" t="str">
        <f>DiscreteStatsTable[[#This Row],[ProjectName]]&amp;DiscreteStatsTable[[#This Row],[Name]]&amp;DiscreteStatsTable[[#This Row],[Type]]&amp;DiscreteStatsTable[[#This Row],[Source]]</f>
        <v>Tener ArticulsoOrganizarTotal Time Per EntityProcess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12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19.843076309313876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3.1108812396048715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1.9765596405304995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14.333174793708601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24.121886739294599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1.0058066908302401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53.875149285606298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786</v>
      </c>
      <c r="W239" s="5">
        <f>IF((DiscreteStatsTable[[#This Row],[RepsRequested]]&gt;1),DiscreteStatsTable[[#This Row],[HalfWidth]],DiscreteStatsTable[[#This Row],[BatchMeansHalfWidth]])</f>
        <v>1.9765596405304995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12</v>
      </c>
      <c r="Y239" s="5">
        <f>IF(DiscreteStatsTable[[#This Row],[RepsRequested]]=DiscreteStatsTable[[#This Row],[RepsWithStatObserved]],1,0)</f>
        <v>1</v>
      </c>
    </row>
    <row r="240" spans="1:25" x14ac:dyDescent="0.25">
      <c r="A240" t="s">
        <v>68</v>
      </c>
      <c r="B240" t="s">
        <v>70</v>
      </c>
      <c r="C240">
        <v>8</v>
      </c>
      <c r="D240" t="s">
        <v>90</v>
      </c>
      <c r="E240" t="s">
        <v>83</v>
      </c>
      <c r="F240" t="s">
        <v>82</v>
      </c>
      <c r="G240">
        <v>1.5115155880048801</v>
      </c>
      <c r="H240">
        <v>1.9423250815521001E-2</v>
      </c>
      <c r="I240">
        <v>1.0009603347165199</v>
      </c>
      <c r="J240">
        <v>1.9977126786302499</v>
      </c>
      <c r="K240">
        <v>791</v>
      </c>
      <c r="L240" s="5" t="str">
        <f>DiscreteStatsTable[[#This Row],[ProjectName]]&amp;DiscreteStatsTable[[#This Row],[Name]]&amp;DiscreteStatsTable[[#This Row],[Type]]&amp;DiscreteStatsTable[[#This Row],[Source]]</f>
        <v>Tener ArticulsoOrganizarVA Time Per EntityProcess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12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1.5028538081491225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1.3808973413820496E-2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8.7738031202962419E-3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1.4747133823596901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1.51850117283381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1.00010180636809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1.9999899924728199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786</v>
      </c>
      <c r="W240" s="5">
        <f>IF((DiscreteStatsTable[[#This Row],[RepsRequested]]&gt;1),DiscreteStatsTable[[#This Row],[HalfWidth]],DiscreteStatsTable[[#This Row],[BatchMeansHalfWidth]])</f>
        <v>8.7738031202962419E-3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12</v>
      </c>
      <c r="Y240" s="5">
        <f>IF(DiscreteStatsTable[[#This Row],[RepsRequested]]=DiscreteStatsTable[[#This Row],[RepsWithStatObserved]],1,0)</f>
        <v>1</v>
      </c>
    </row>
    <row r="241" spans="1:25" x14ac:dyDescent="0.25">
      <c r="A241" t="s">
        <v>68</v>
      </c>
      <c r="B241" t="s">
        <v>70</v>
      </c>
      <c r="C241">
        <v>8</v>
      </c>
      <c r="D241" t="s">
        <v>90</v>
      </c>
      <c r="E241" t="s">
        <v>84</v>
      </c>
      <c r="F241" t="s">
        <v>82</v>
      </c>
      <c r="G241">
        <v>20.236769100859199</v>
      </c>
      <c r="H241">
        <v>3E+20</v>
      </c>
      <c r="I241">
        <v>0</v>
      </c>
      <c r="J241">
        <v>52.173346869209801</v>
      </c>
      <c r="K241">
        <v>791</v>
      </c>
      <c r="L241" s="5" t="str">
        <f>DiscreteStatsTable[[#This Row],[ProjectName]]&amp;DiscreteStatsTable[[#This Row],[Name]]&amp;DiscreteStatsTable[[#This Row],[Type]]&amp;DiscreteStatsTable[[#This Row],[Source]]</f>
        <v>Tener ArticulsoOrganizarWait Time Per EntityProcess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12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18.340222501164735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3.1059623683121012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1.9734343388151923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12.8584614113489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22.619907968114202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52.173346869209801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786</v>
      </c>
      <c r="W241" s="5">
        <f>IF((DiscreteStatsTable[[#This Row],[RepsRequested]]&gt;1),DiscreteStatsTable[[#This Row],[HalfWidth]],DiscreteStatsTable[[#This Row],[BatchMeansHalfWidth]])</f>
        <v>1.9734343388151923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12</v>
      </c>
      <c r="Y241" s="5">
        <f>IF(DiscreteStatsTable[[#This Row],[RepsRequested]]=DiscreteStatsTable[[#This Row],[RepsWithStatObserved]],1,0)</f>
        <v>1</v>
      </c>
    </row>
    <row r="242" spans="1:25" x14ac:dyDescent="0.25">
      <c r="A242" t="s">
        <v>68</v>
      </c>
      <c r="B242" t="s">
        <v>70</v>
      </c>
      <c r="C242">
        <v>9</v>
      </c>
      <c r="D242" t="s">
        <v>90</v>
      </c>
      <c r="E242" t="s">
        <v>81</v>
      </c>
      <c r="F242" t="s">
        <v>82</v>
      </c>
      <c r="G242">
        <v>24.121886739294599</v>
      </c>
      <c r="H242">
        <v>3E+20</v>
      </c>
      <c r="I242">
        <v>1.0310286391724299</v>
      </c>
      <c r="J242">
        <v>50.605413120347698</v>
      </c>
      <c r="K242">
        <v>783</v>
      </c>
      <c r="L242" s="5" t="str">
        <f>DiscreteStatsTable[[#This Row],[ProjectName]]&amp;DiscreteStatsTable[[#This Row],[Name]]&amp;DiscreteStatsTable[[#This Row],[Type]]&amp;DiscreteStatsTable[[#This Row],[Source]]</f>
        <v>Tener ArticulsoOrganizarTotal Time Per EntityProcess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12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19.843076309313876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3.1108812396048715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1.9765596405304995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14.333174793708601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24.121886739294599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1.0058066908302401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53.875149285606298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786</v>
      </c>
      <c r="W242" s="5">
        <f>IF((DiscreteStatsTable[[#This Row],[RepsRequested]]&gt;1),DiscreteStatsTable[[#This Row],[HalfWidth]],DiscreteStatsTable[[#This Row],[BatchMeansHalfWidth]])</f>
        <v>1.9765596405304995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12</v>
      </c>
      <c r="Y242" s="5">
        <f>IF(DiscreteStatsTable[[#This Row],[RepsRequested]]=DiscreteStatsTable[[#This Row],[RepsWithStatObserved]],1,0)</f>
        <v>1</v>
      </c>
    </row>
    <row r="243" spans="1:25" x14ac:dyDescent="0.25">
      <c r="A243" t="s">
        <v>68</v>
      </c>
      <c r="B243" t="s">
        <v>70</v>
      </c>
      <c r="C243">
        <v>9</v>
      </c>
      <c r="D243" t="s">
        <v>90</v>
      </c>
      <c r="E243" t="s">
        <v>83</v>
      </c>
      <c r="F243" t="s">
        <v>82</v>
      </c>
      <c r="G243">
        <v>1.50197877118042</v>
      </c>
      <c r="H243">
        <v>1.8664035746321202E-2</v>
      </c>
      <c r="I243">
        <v>1.0039084970058001</v>
      </c>
      <c r="J243">
        <v>1.99742362286474</v>
      </c>
      <c r="K243">
        <v>783</v>
      </c>
      <c r="L243" s="5" t="str">
        <f>DiscreteStatsTable[[#This Row],[ProjectName]]&amp;DiscreteStatsTable[[#This Row],[Name]]&amp;DiscreteStatsTable[[#This Row],[Type]]&amp;DiscreteStatsTable[[#This Row],[Source]]</f>
        <v>Tener ArticulsoOrganizarVA Time Per EntityProcess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12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1.5028538081491225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1.3808973413820496E-2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8.7738031202962419E-3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1.4747133823596901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1.51850117283381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1.00010180636809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1.9999899924728199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786</v>
      </c>
      <c r="W243" s="5">
        <f>IF((DiscreteStatsTable[[#This Row],[RepsRequested]]&gt;1),DiscreteStatsTable[[#This Row],[HalfWidth]],DiscreteStatsTable[[#This Row],[BatchMeansHalfWidth]])</f>
        <v>8.7738031202962419E-3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12</v>
      </c>
      <c r="Y243" s="5">
        <f>IF(DiscreteStatsTable[[#This Row],[RepsRequested]]=DiscreteStatsTable[[#This Row],[RepsWithStatObserved]],1,0)</f>
        <v>1</v>
      </c>
    </row>
    <row r="244" spans="1:25" x14ac:dyDescent="0.25">
      <c r="A244" t="s">
        <v>68</v>
      </c>
      <c r="B244" t="s">
        <v>70</v>
      </c>
      <c r="C244">
        <v>9</v>
      </c>
      <c r="D244" t="s">
        <v>90</v>
      </c>
      <c r="E244" t="s">
        <v>84</v>
      </c>
      <c r="F244" t="s">
        <v>82</v>
      </c>
      <c r="G244">
        <v>22.619907968114202</v>
      </c>
      <c r="H244">
        <v>3E+20</v>
      </c>
      <c r="I244">
        <v>0</v>
      </c>
      <c r="J244">
        <v>49.129566161430098</v>
      </c>
      <c r="K244">
        <v>783</v>
      </c>
      <c r="L244" s="5" t="str">
        <f>DiscreteStatsTable[[#This Row],[ProjectName]]&amp;DiscreteStatsTable[[#This Row],[Name]]&amp;DiscreteStatsTable[[#This Row],[Type]]&amp;DiscreteStatsTable[[#This Row],[Source]]</f>
        <v>Tener ArticulsoOrganizarWait Time Per EntityProcess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12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18.340222501164735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3.1059623683121012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1.9734343388151923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12.8584614113489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22.619907968114202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52.173346869209801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786</v>
      </c>
      <c r="W244" s="5">
        <f>IF((DiscreteStatsTable[[#This Row],[RepsRequested]]&gt;1),DiscreteStatsTable[[#This Row],[HalfWidth]],DiscreteStatsTable[[#This Row],[BatchMeansHalfWidth]])</f>
        <v>1.9734343388151923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12</v>
      </c>
      <c r="Y244" s="5">
        <f>IF(DiscreteStatsTable[[#This Row],[RepsRequested]]=DiscreteStatsTable[[#This Row],[RepsWithStatObserved]],1,0)</f>
        <v>1</v>
      </c>
    </row>
    <row r="245" spans="1:25" x14ac:dyDescent="0.25">
      <c r="A245" t="s">
        <v>68</v>
      </c>
      <c r="B245" t="s">
        <v>70</v>
      </c>
      <c r="C245">
        <v>10</v>
      </c>
      <c r="D245" t="s">
        <v>90</v>
      </c>
      <c r="E245" t="s">
        <v>81</v>
      </c>
      <c r="F245" t="s">
        <v>82</v>
      </c>
      <c r="G245">
        <v>20.2661347983532</v>
      </c>
      <c r="H245">
        <v>3E+20</v>
      </c>
      <c r="I245">
        <v>1.1043600027476299</v>
      </c>
      <c r="J245">
        <v>42.603706258987799</v>
      </c>
      <c r="K245">
        <v>784</v>
      </c>
      <c r="L245" s="5" t="str">
        <f>DiscreteStatsTable[[#This Row],[ProjectName]]&amp;DiscreteStatsTable[[#This Row],[Name]]&amp;DiscreteStatsTable[[#This Row],[Type]]&amp;DiscreteStatsTable[[#This Row],[Source]]</f>
        <v>Tener ArticulsoOrganizarTotal Time Per EntityProcess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12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19.843076309313876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3.1108812396048715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1.9765596405304995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14.333174793708601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24.121886739294599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1.0058066908302401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53.875149285606298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786</v>
      </c>
      <c r="W245" s="5">
        <f>IF((DiscreteStatsTable[[#This Row],[RepsRequested]]&gt;1),DiscreteStatsTable[[#This Row],[HalfWidth]],DiscreteStatsTable[[#This Row],[BatchMeansHalfWidth]])</f>
        <v>1.9765596405304995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12</v>
      </c>
      <c r="Y245" s="5">
        <f>IF(DiscreteStatsTable[[#This Row],[RepsRequested]]=DiscreteStatsTable[[#This Row],[RepsWithStatObserved]],1,0)</f>
        <v>1</v>
      </c>
    </row>
    <row r="246" spans="1:25" x14ac:dyDescent="0.25">
      <c r="A246" t="s">
        <v>68</v>
      </c>
      <c r="B246" t="s">
        <v>70</v>
      </c>
      <c r="C246">
        <v>10</v>
      </c>
      <c r="D246" t="s">
        <v>90</v>
      </c>
      <c r="E246" t="s">
        <v>83</v>
      </c>
      <c r="F246" t="s">
        <v>82</v>
      </c>
      <c r="G246">
        <v>1.5129818481153701</v>
      </c>
      <c r="H246">
        <v>3E+20</v>
      </c>
      <c r="I246">
        <v>1.00034671627742</v>
      </c>
      <c r="J246">
        <v>1.9999899924728199</v>
      </c>
      <c r="K246">
        <v>784</v>
      </c>
      <c r="L246" s="5" t="str">
        <f>DiscreteStatsTable[[#This Row],[ProjectName]]&amp;DiscreteStatsTable[[#This Row],[Name]]&amp;DiscreteStatsTable[[#This Row],[Type]]&amp;DiscreteStatsTable[[#This Row],[Source]]</f>
        <v>Tener ArticulsoOrganizarVA Time Per EntityProcess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12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1.5028538081491225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1.3808973413820496E-2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8.7738031202962419E-3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1.4747133823596901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1.51850117283381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1.00010180636809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1.9999899924728199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786</v>
      </c>
      <c r="W246" s="5">
        <f>IF((DiscreteStatsTable[[#This Row],[RepsRequested]]&gt;1),DiscreteStatsTable[[#This Row],[HalfWidth]],DiscreteStatsTable[[#This Row],[BatchMeansHalfWidth]])</f>
        <v>8.7738031202962419E-3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12</v>
      </c>
      <c r="Y246" s="5">
        <f>IF(DiscreteStatsTable[[#This Row],[RepsRequested]]=DiscreteStatsTable[[#This Row],[RepsWithStatObserved]],1,0)</f>
        <v>1</v>
      </c>
    </row>
    <row r="247" spans="1:25" x14ac:dyDescent="0.25">
      <c r="A247" t="s">
        <v>68</v>
      </c>
      <c r="B247" t="s">
        <v>70</v>
      </c>
      <c r="C247">
        <v>10</v>
      </c>
      <c r="D247" t="s">
        <v>90</v>
      </c>
      <c r="E247" t="s">
        <v>84</v>
      </c>
      <c r="F247" t="s">
        <v>82</v>
      </c>
      <c r="G247">
        <v>18.753152950237801</v>
      </c>
      <c r="H247">
        <v>3E+20</v>
      </c>
      <c r="I247">
        <v>0</v>
      </c>
      <c r="J247">
        <v>40.907766736646202</v>
      </c>
      <c r="K247">
        <v>784</v>
      </c>
      <c r="L247" s="5" t="str">
        <f>DiscreteStatsTable[[#This Row],[ProjectName]]&amp;DiscreteStatsTable[[#This Row],[Name]]&amp;DiscreteStatsTable[[#This Row],[Type]]&amp;DiscreteStatsTable[[#This Row],[Source]]</f>
        <v>Tener ArticulsoOrganizarWait Time Per EntityProcess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12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18.340222501164735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3.1059623683121012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1.9734343388151923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12.8584614113489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22.619907968114202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52.173346869209801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786</v>
      </c>
      <c r="W247" s="5">
        <f>IF((DiscreteStatsTable[[#This Row],[RepsRequested]]&gt;1),DiscreteStatsTable[[#This Row],[HalfWidth]],DiscreteStatsTable[[#This Row],[BatchMeansHalfWidth]])</f>
        <v>1.9734343388151923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12</v>
      </c>
      <c r="Y247" s="5">
        <f>IF(DiscreteStatsTable[[#This Row],[RepsRequested]]=DiscreteStatsTable[[#This Row],[RepsWithStatObserved]],1,0)</f>
        <v>1</v>
      </c>
    </row>
    <row r="248" spans="1:25" x14ac:dyDescent="0.25">
      <c r="A248" t="s">
        <v>68</v>
      </c>
      <c r="B248" t="s">
        <v>70</v>
      </c>
      <c r="C248">
        <v>11</v>
      </c>
      <c r="D248" t="s">
        <v>90</v>
      </c>
      <c r="E248" t="s">
        <v>81</v>
      </c>
      <c r="F248" t="s">
        <v>82</v>
      </c>
      <c r="G248">
        <v>19.700247768436999</v>
      </c>
      <c r="H248">
        <v>3.80966046144114</v>
      </c>
      <c r="I248">
        <v>1.02322740081104</v>
      </c>
      <c r="J248">
        <v>43.736507341030098</v>
      </c>
      <c r="K248">
        <v>797</v>
      </c>
      <c r="L248" s="5" t="str">
        <f>DiscreteStatsTable[[#This Row],[ProjectName]]&amp;DiscreteStatsTable[[#This Row],[Name]]&amp;DiscreteStatsTable[[#This Row],[Type]]&amp;DiscreteStatsTable[[#This Row],[Source]]</f>
        <v>Tener ArticulsoOrganizarTotal Time Per EntityProcess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12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19.843076309313876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3.1108812396048715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1.9765596405304995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14.333174793708601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24.121886739294599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1.0058066908302401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53.875149285606298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786</v>
      </c>
      <c r="W248" s="5">
        <f>IF((DiscreteStatsTable[[#This Row],[RepsRequested]]&gt;1),DiscreteStatsTable[[#This Row],[HalfWidth]],DiscreteStatsTable[[#This Row],[BatchMeansHalfWidth]])</f>
        <v>1.9765596405304995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12</v>
      </c>
      <c r="Y248" s="5">
        <f>IF(DiscreteStatsTable[[#This Row],[RepsRequested]]=DiscreteStatsTable[[#This Row],[RepsWithStatObserved]],1,0)</f>
        <v>1</v>
      </c>
    </row>
    <row r="249" spans="1:25" x14ac:dyDescent="0.25">
      <c r="A249" t="s">
        <v>68</v>
      </c>
      <c r="B249" t="s">
        <v>70</v>
      </c>
      <c r="C249">
        <v>11</v>
      </c>
      <c r="D249" t="s">
        <v>90</v>
      </c>
      <c r="E249" t="s">
        <v>83</v>
      </c>
      <c r="F249" t="s">
        <v>82</v>
      </c>
      <c r="G249">
        <v>1.51850117283381</v>
      </c>
      <c r="H249">
        <v>2.19347051003853E-2</v>
      </c>
      <c r="I249">
        <v>1.00041726396603</v>
      </c>
      <c r="J249">
        <v>1.99720429056697</v>
      </c>
      <c r="K249">
        <v>797</v>
      </c>
      <c r="L249" s="5" t="str">
        <f>DiscreteStatsTable[[#This Row],[ProjectName]]&amp;DiscreteStatsTable[[#This Row],[Name]]&amp;DiscreteStatsTable[[#This Row],[Type]]&amp;DiscreteStatsTable[[#This Row],[Source]]</f>
        <v>Tener ArticulsoOrganizarVA Time Per EntityProcess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12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1.5028538081491225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1.3808973413820496E-2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8.7738031202962419E-3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1.4747133823596901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1.51850117283381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1.00010180636809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1.9999899924728199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786</v>
      </c>
      <c r="W249" s="5">
        <f>IF((DiscreteStatsTable[[#This Row],[RepsRequested]]&gt;1),DiscreteStatsTable[[#This Row],[HalfWidth]],DiscreteStatsTable[[#This Row],[BatchMeansHalfWidth]])</f>
        <v>8.7738031202962419E-3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12</v>
      </c>
      <c r="Y249" s="5">
        <f>IF(DiscreteStatsTable[[#This Row],[RepsRequested]]=DiscreteStatsTable[[#This Row],[RepsWithStatObserved]],1,0)</f>
        <v>1</v>
      </c>
    </row>
    <row r="250" spans="1:25" x14ac:dyDescent="0.25">
      <c r="A250" t="s">
        <v>68</v>
      </c>
      <c r="B250" t="s">
        <v>70</v>
      </c>
      <c r="C250">
        <v>11</v>
      </c>
      <c r="D250" t="s">
        <v>90</v>
      </c>
      <c r="E250" t="s">
        <v>84</v>
      </c>
      <c r="F250" t="s">
        <v>82</v>
      </c>
      <c r="G250">
        <v>18.181746595603201</v>
      </c>
      <c r="H250">
        <v>3.8018560040226101</v>
      </c>
      <c r="I250">
        <v>0</v>
      </c>
      <c r="J250">
        <v>42.530699407443102</v>
      </c>
      <c r="K250">
        <v>797</v>
      </c>
      <c r="L250" s="5" t="str">
        <f>DiscreteStatsTable[[#This Row],[ProjectName]]&amp;DiscreteStatsTable[[#This Row],[Name]]&amp;DiscreteStatsTable[[#This Row],[Type]]&amp;DiscreteStatsTable[[#This Row],[Source]]</f>
        <v>Tener ArticulsoOrganizarWait Time Per EntityProcess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12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18.340222501164735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3.1059623683121012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1.9734343388151923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12.8584614113489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22.619907968114202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52.173346869209801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786</v>
      </c>
      <c r="W250" s="5">
        <f>IF((DiscreteStatsTable[[#This Row],[RepsRequested]]&gt;1),DiscreteStatsTable[[#This Row],[HalfWidth]],DiscreteStatsTable[[#This Row],[BatchMeansHalfWidth]])</f>
        <v>1.9734343388151923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12</v>
      </c>
      <c r="Y250" s="5">
        <f>IF(DiscreteStatsTable[[#This Row],[RepsRequested]]=DiscreteStatsTable[[#This Row],[RepsWithStatObserved]],1,0)</f>
        <v>1</v>
      </c>
    </row>
    <row r="251" spans="1:25" x14ac:dyDescent="0.25">
      <c r="A251" t="s">
        <v>68</v>
      </c>
      <c r="B251" t="s">
        <v>70</v>
      </c>
      <c r="C251">
        <v>12</v>
      </c>
      <c r="D251" t="s">
        <v>90</v>
      </c>
      <c r="E251" t="s">
        <v>81</v>
      </c>
      <c r="F251" t="s">
        <v>82</v>
      </c>
      <c r="G251">
        <v>18.076514601834599</v>
      </c>
      <c r="H251">
        <v>3E+20</v>
      </c>
      <c r="I251">
        <v>1.01480031388189</v>
      </c>
      <c r="J251">
        <v>49.948917522678798</v>
      </c>
      <c r="K251">
        <v>732</v>
      </c>
      <c r="L251" s="5" t="str">
        <f>DiscreteStatsTable[[#This Row],[ProjectName]]&amp;DiscreteStatsTable[[#This Row],[Name]]&amp;DiscreteStatsTable[[#This Row],[Type]]&amp;DiscreteStatsTable[[#This Row],[Source]]</f>
        <v>Tener ArticulsoOrganizarTotal Time Per EntityProcess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12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19.843076309313876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3.1108812396048715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1.9765596405304995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14.333174793708601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24.121886739294599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1.0058066908302401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53.875149285606298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786</v>
      </c>
      <c r="W251" s="5">
        <f>IF((DiscreteStatsTable[[#This Row],[RepsRequested]]&gt;1),DiscreteStatsTable[[#This Row],[HalfWidth]],DiscreteStatsTable[[#This Row],[BatchMeansHalfWidth]])</f>
        <v>1.9765596405304995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12</v>
      </c>
      <c r="Y251" s="5">
        <f>IF(DiscreteStatsTable[[#This Row],[RepsRequested]]=DiscreteStatsTable[[#This Row],[RepsWithStatObserved]],1,0)</f>
        <v>1</v>
      </c>
    </row>
    <row r="252" spans="1:25" x14ac:dyDescent="0.25">
      <c r="A252" t="s">
        <v>68</v>
      </c>
      <c r="B252" t="s">
        <v>70</v>
      </c>
      <c r="C252">
        <v>12</v>
      </c>
      <c r="D252" t="s">
        <v>90</v>
      </c>
      <c r="E252" t="s">
        <v>83</v>
      </c>
      <c r="F252" t="s">
        <v>82</v>
      </c>
      <c r="G252">
        <v>1.5173198072782099</v>
      </c>
      <c r="H252">
        <v>1.8065015878545101E-2</v>
      </c>
      <c r="I252">
        <v>1.01092942042374</v>
      </c>
      <c r="J252">
        <v>1.9994581648816201</v>
      </c>
      <c r="K252">
        <v>732</v>
      </c>
      <c r="L252" s="5" t="str">
        <f>DiscreteStatsTable[[#This Row],[ProjectName]]&amp;DiscreteStatsTable[[#This Row],[Name]]&amp;DiscreteStatsTable[[#This Row],[Type]]&amp;DiscreteStatsTable[[#This Row],[Source]]</f>
        <v>Tener ArticulsoOrganizarVA Time Per EntityProcess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12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1.5028538081491225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1.3808973413820496E-2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8.7738031202962419E-3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1.4747133823596901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1.51850117283381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1.00010180636809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1.9999899924728199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786</v>
      </c>
      <c r="W252" s="5">
        <f>IF((DiscreteStatsTable[[#This Row],[RepsRequested]]&gt;1),DiscreteStatsTable[[#This Row],[HalfWidth]],DiscreteStatsTable[[#This Row],[BatchMeansHalfWidth]])</f>
        <v>8.7738031202962419E-3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12</v>
      </c>
      <c r="Y252" s="5">
        <f>IF(DiscreteStatsTable[[#This Row],[RepsRequested]]=DiscreteStatsTable[[#This Row],[RepsWithStatObserved]],1,0)</f>
        <v>1</v>
      </c>
    </row>
    <row r="253" spans="1:25" x14ac:dyDescent="0.25">
      <c r="A253" t="s">
        <v>68</v>
      </c>
      <c r="B253" t="s">
        <v>70</v>
      </c>
      <c r="C253">
        <v>12</v>
      </c>
      <c r="D253" t="s">
        <v>90</v>
      </c>
      <c r="E253" t="s">
        <v>84</v>
      </c>
      <c r="F253" t="s">
        <v>82</v>
      </c>
      <c r="G253">
        <v>16.559194794556301</v>
      </c>
      <c r="H253">
        <v>3E+20</v>
      </c>
      <c r="I253">
        <v>0</v>
      </c>
      <c r="J253">
        <v>48.023738644585102</v>
      </c>
      <c r="K253">
        <v>732</v>
      </c>
      <c r="L253" s="5" t="str">
        <f>DiscreteStatsTable[[#This Row],[ProjectName]]&amp;DiscreteStatsTable[[#This Row],[Name]]&amp;DiscreteStatsTable[[#This Row],[Type]]&amp;DiscreteStatsTable[[#This Row],[Source]]</f>
        <v>Tener ArticulsoOrganizarWait Time Per EntityProcess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12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18.340222501164735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3.1059623683121012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1.9734343388151923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12.8584614113489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22.619907968114202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52.173346869209801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786</v>
      </c>
      <c r="W253" s="5">
        <f>IF((DiscreteStatsTable[[#This Row],[RepsRequested]]&gt;1),DiscreteStatsTable[[#This Row],[HalfWidth]],DiscreteStatsTable[[#This Row],[BatchMeansHalfWidth]])</f>
        <v>1.9734343388151923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12</v>
      </c>
      <c r="Y253" s="5">
        <f>IF(DiscreteStatsTable[[#This Row],[RepsRequested]]=DiscreteStatsTable[[#This Row],[RepsWithStatObserved]],1,0)</f>
        <v>1</v>
      </c>
    </row>
    <row r="254" spans="1:25" x14ac:dyDescent="0.25">
      <c r="A254" t="s">
        <v>68</v>
      </c>
      <c r="B254" t="s">
        <v>70</v>
      </c>
      <c r="C254">
        <v>1</v>
      </c>
      <c r="D254" t="s">
        <v>91</v>
      </c>
      <c r="E254" t="s">
        <v>86</v>
      </c>
      <c r="F254" t="s">
        <v>87</v>
      </c>
      <c r="G254">
        <v>15.6138750503916</v>
      </c>
      <c r="H254">
        <v>3E+20</v>
      </c>
      <c r="I254">
        <v>0</v>
      </c>
      <c r="J254">
        <v>41.574638635399197</v>
      </c>
      <c r="K254">
        <v>793</v>
      </c>
      <c r="L254" s="5" t="str">
        <f>DiscreteStatsTable[[#This Row],[ProjectName]]&amp;DiscreteStatsTable[[#This Row],[Name]]&amp;DiscreteStatsTable[[#This Row],[Type]]&amp;DiscreteStatsTable[[#This Row],[Source]]</f>
        <v>Tener ArticulsoOrganizar.QueueWaiting TimeQueue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12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18.340362280972652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3.1064675613253501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1.9737553231420619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12.8566567976914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22.621112046443301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52.173346869209801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786.33333333333337</v>
      </c>
      <c r="W254" s="5">
        <f>IF((DiscreteStatsTable[[#This Row],[RepsRequested]]&gt;1),DiscreteStatsTable[[#This Row],[HalfWidth]],DiscreteStatsTable[[#This Row],[BatchMeansHalfWidth]])</f>
        <v>1.9737553231420619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12</v>
      </c>
      <c r="Y254" s="5">
        <f>IF(DiscreteStatsTable[[#This Row],[RepsRequested]]=DiscreteStatsTable[[#This Row],[RepsWithStatObserved]],1,0)</f>
        <v>1</v>
      </c>
    </row>
    <row r="255" spans="1:25" x14ac:dyDescent="0.25">
      <c r="A255" t="s">
        <v>68</v>
      </c>
      <c r="B255" t="s">
        <v>70</v>
      </c>
      <c r="C255">
        <v>2</v>
      </c>
      <c r="D255" t="s">
        <v>91</v>
      </c>
      <c r="E255" t="s">
        <v>86</v>
      </c>
      <c r="F255" t="s">
        <v>87</v>
      </c>
      <c r="G255">
        <v>19.7518486333799</v>
      </c>
      <c r="H255">
        <v>3E+20</v>
      </c>
      <c r="I255">
        <v>0</v>
      </c>
      <c r="J255">
        <v>50.479819378087797</v>
      </c>
      <c r="K255">
        <v>829</v>
      </c>
      <c r="L255" s="5" t="str">
        <f>DiscreteStatsTable[[#This Row],[ProjectName]]&amp;DiscreteStatsTable[[#This Row],[Name]]&amp;DiscreteStatsTable[[#This Row],[Type]]&amp;DiscreteStatsTable[[#This Row],[Source]]</f>
        <v>Tener ArticulsoOrganizar.QueueWaiting TimeQueue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12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18.340362280972652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3.1064675613253501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1.9737553231420619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12.8566567976914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22.621112046443301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52.173346869209801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786.33333333333337</v>
      </c>
      <c r="W255" s="5">
        <f>IF((DiscreteStatsTable[[#This Row],[RepsRequested]]&gt;1),DiscreteStatsTable[[#This Row],[HalfWidth]],DiscreteStatsTable[[#This Row],[BatchMeansHalfWidth]])</f>
        <v>1.9737553231420619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12</v>
      </c>
      <c r="Y255" s="5">
        <f>IF(DiscreteStatsTable[[#This Row],[RepsRequested]]=DiscreteStatsTable[[#This Row],[RepsWithStatObserved]],1,0)</f>
        <v>1</v>
      </c>
    </row>
    <row r="256" spans="1:25" x14ac:dyDescent="0.25">
      <c r="A256" t="s">
        <v>68</v>
      </c>
      <c r="B256" t="s">
        <v>70</v>
      </c>
      <c r="C256">
        <v>3</v>
      </c>
      <c r="D256" t="s">
        <v>91</v>
      </c>
      <c r="E256" t="s">
        <v>86</v>
      </c>
      <c r="F256" t="s">
        <v>87</v>
      </c>
      <c r="G256">
        <v>21.838807582860401</v>
      </c>
      <c r="H256">
        <v>3E+20</v>
      </c>
      <c r="I256">
        <v>0</v>
      </c>
      <c r="J256">
        <v>40.1594867795692</v>
      </c>
      <c r="K256">
        <v>822</v>
      </c>
      <c r="L256" s="5" t="str">
        <f>DiscreteStatsTable[[#This Row],[ProjectName]]&amp;DiscreteStatsTable[[#This Row],[Name]]&amp;DiscreteStatsTable[[#This Row],[Type]]&amp;DiscreteStatsTable[[#This Row],[Source]]</f>
        <v>Tener ArticulsoOrganizar.QueueWaiting TimeQueue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12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18.340362280972652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3.1064675613253501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1.9737553231420619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12.8566567976914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22.621112046443301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52.173346869209801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786.33333333333337</v>
      </c>
      <c r="W256" s="5">
        <f>IF((DiscreteStatsTable[[#This Row],[RepsRequested]]&gt;1),DiscreteStatsTable[[#This Row],[HalfWidth]],DiscreteStatsTable[[#This Row],[BatchMeansHalfWidth]])</f>
        <v>1.9737553231420619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12</v>
      </c>
      <c r="Y256" s="5">
        <f>IF(DiscreteStatsTable[[#This Row],[RepsRequested]]=DiscreteStatsTable[[#This Row],[RepsWithStatObserved]],1,0)</f>
        <v>1</v>
      </c>
    </row>
    <row r="257" spans="1:25" x14ac:dyDescent="0.25">
      <c r="A257" t="s">
        <v>68</v>
      </c>
      <c r="B257" t="s">
        <v>70</v>
      </c>
      <c r="C257">
        <v>4</v>
      </c>
      <c r="D257" t="s">
        <v>91</v>
      </c>
      <c r="E257" t="s">
        <v>86</v>
      </c>
      <c r="F257" t="s">
        <v>87</v>
      </c>
      <c r="G257">
        <v>21.958527002258101</v>
      </c>
      <c r="H257">
        <v>3E+20</v>
      </c>
      <c r="I257">
        <v>0</v>
      </c>
      <c r="J257">
        <v>44.031034729777303</v>
      </c>
      <c r="K257">
        <v>827</v>
      </c>
      <c r="L257" s="5" t="str">
        <f>DiscreteStatsTable[[#This Row],[ProjectName]]&amp;DiscreteStatsTable[[#This Row],[Name]]&amp;DiscreteStatsTable[[#This Row],[Type]]&amp;DiscreteStatsTable[[#This Row],[Source]]</f>
        <v>Tener ArticulsoOrganizar.QueueWaiting TimeQueue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12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18.340362280972652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3.1064675613253501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1.9737553231420619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12.8566567976914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22.621112046443301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52.173346869209801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786.33333333333337</v>
      </c>
      <c r="W257" s="5">
        <f>IF((DiscreteStatsTable[[#This Row],[RepsRequested]]&gt;1),DiscreteStatsTable[[#This Row],[HalfWidth]],DiscreteStatsTable[[#This Row],[BatchMeansHalfWidth]])</f>
        <v>1.9737553231420619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12</v>
      </c>
      <c r="Y257" s="5">
        <f>IF(DiscreteStatsTable[[#This Row],[RepsRequested]]=DiscreteStatsTable[[#This Row],[RepsWithStatObserved]],1,0)</f>
        <v>1</v>
      </c>
    </row>
    <row r="258" spans="1:25" x14ac:dyDescent="0.25">
      <c r="A258" t="s">
        <v>68</v>
      </c>
      <c r="B258" t="s">
        <v>70</v>
      </c>
      <c r="C258">
        <v>5</v>
      </c>
      <c r="D258" t="s">
        <v>91</v>
      </c>
      <c r="E258" t="s">
        <v>86</v>
      </c>
      <c r="F258" t="s">
        <v>87</v>
      </c>
      <c r="G258">
        <v>12.8566567976914</v>
      </c>
      <c r="H258">
        <v>3E+20</v>
      </c>
      <c r="I258">
        <v>0</v>
      </c>
      <c r="J258">
        <v>37.245814679736398</v>
      </c>
      <c r="K258">
        <v>751</v>
      </c>
      <c r="L258" s="5" t="str">
        <f>DiscreteStatsTable[[#This Row],[ProjectName]]&amp;DiscreteStatsTable[[#This Row],[Name]]&amp;DiscreteStatsTable[[#This Row],[Type]]&amp;DiscreteStatsTable[[#This Row],[Source]]</f>
        <v>Tener ArticulsoOrganizar.QueueWaiting TimeQueue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12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18.340362280972652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3.1064675613253501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1.9737553231420619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12.8566567976914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22.621112046443301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52.173346869209801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786.33333333333337</v>
      </c>
      <c r="W258" s="5">
        <f>IF((DiscreteStatsTable[[#This Row],[RepsRequested]]&gt;1),DiscreteStatsTable[[#This Row],[HalfWidth]],DiscreteStatsTable[[#This Row],[BatchMeansHalfWidth]])</f>
        <v>1.9737553231420619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12</v>
      </c>
      <c r="Y258" s="5">
        <f>IF(DiscreteStatsTable[[#This Row],[RepsRequested]]=DiscreteStatsTable[[#This Row],[RepsWithStatObserved]],1,0)</f>
        <v>1</v>
      </c>
    </row>
    <row r="259" spans="1:25" x14ac:dyDescent="0.25">
      <c r="A259" t="s">
        <v>68</v>
      </c>
      <c r="B259" t="s">
        <v>70</v>
      </c>
      <c r="C259">
        <v>6</v>
      </c>
      <c r="D259" t="s">
        <v>91</v>
      </c>
      <c r="E259" t="s">
        <v>86</v>
      </c>
      <c r="F259" t="s">
        <v>87</v>
      </c>
      <c r="G259">
        <v>17.2124707687837</v>
      </c>
      <c r="H259">
        <v>3E+20</v>
      </c>
      <c r="I259">
        <v>0</v>
      </c>
      <c r="J259">
        <v>37.757768561627003</v>
      </c>
      <c r="K259">
        <v>790</v>
      </c>
      <c r="L259" s="5" t="str">
        <f>DiscreteStatsTable[[#This Row],[ProjectName]]&amp;DiscreteStatsTable[[#This Row],[Name]]&amp;DiscreteStatsTable[[#This Row],[Type]]&amp;DiscreteStatsTable[[#This Row],[Source]]</f>
        <v>Tener ArticulsoOrganizar.QueueWaiting TimeQueue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12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18.340362280972652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3.1064675613253501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1.9737553231420619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12.8566567976914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22.621112046443301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52.173346869209801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786.33333333333337</v>
      </c>
      <c r="W259" s="5">
        <f>IF((DiscreteStatsTable[[#This Row],[RepsRequested]]&gt;1),DiscreteStatsTable[[#This Row],[HalfWidth]],DiscreteStatsTable[[#This Row],[BatchMeansHalfWidth]])</f>
        <v>1.9737553231420619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12</v>
      </c>
      <c r="Y259" s="5">
        <f>IF(DiscreteStatsTable[[#This Row],[RepsRequested]]=DiscreteStatsTable[[#This Row],[RepsWithStatObserved]],1,0)</f>
        <v>1</v>
      </c>
    </row>
    <row r="260" spans="1:25" x14ac:dyDescent="0.25">
      <c r="A260" t="s">
        <v>68</v>
      </c>
      <c r="B260" t="s">
        <v>70</v>
      </c>
      <c r="C260">
        <v>7</v>
      </c>
      <c r="D260" t="s">
        <v>91</v>
      </c>
      <c r="E260" t="s">
        <v>86</v>
      </c>
      <c r="F260" t="s">
        <v>87</v>
      </c>
      <c r="G260">
        <v>14.498320249191901</v>
      </c>
      <c r="H260">
        <v>3E+20</v>
      </c>
      <c r="I260">
        <v>0</v>
      </c>
      <c r="J260">
        <v>39.624523707955397</v>
      </c>
      <c r="K260">
        <v>735</v>
      </c>
      <c r="L260" s="5" t="str">
        <f>DiscreteStatsTable[[#This Row],[ProjectName]]&amp;DiscreteStatsTable[[#This Row],[Name]]&amp;DiscreteStatsTable[[#This Row],[Type]]&amp;DiscreteStatsTable[[#This Row],[Source]]</f>
        <v>Tener ArticulsoOrganizar.QueueWaiting TimeQueue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12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18.340362280972652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3.1064675613253501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1.9737553231420619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12.8566567976914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22.621112046443301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52.173346869209801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786.33333333333337</v>
      </c>
      <c r="W260" s="5">
        <f>IF((DiscreteStatsTable[[#This Row],[RepsRequested]]&gt;1),DiscreteStatsTable[[#This Row],[HalfWidth]],DiscreteStatsTable[[#This Row],[BatchMeansHalfWidth]])</f>
        <v>1.9737553231420619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12</v>
      </c>
      <c r="Y260" s="5">
        <f>IF(DiscreteStatsTable[[#This Row],[RepsRequested]]=DiscreteStatsTable[[#This Row],[RepsWithStatObserved]],1,0)</f>
        <v>1</v>
      </c>
    </row>
    <row r="261" spans="1:25" x14ac:dyDescent="0.25">
      <c r="A261" t="s">
        <v>68</v>
      </c>
      <c r="B261" t="s">
        <v>70</v>
      </c>
      <c r="C261">
        <v>8</v>
      </c>
      <c r="D261" t="s">
        <v>91</v>
      </c>
      <c r="E261" t="s">
        <v>86</v>
      </c>
      <c r="F261" t="s">
        <v>87</v>
      </c>
      <c r="G261">
        <v>20.236769100859199</v>
      </c>
      <c r="H261">
        <v>3E+20</v>
      </c>
      <c r="I261">
        <v>0</v>
      </c>
      <c r="J261">
        <v>52.173346869209801</v>
      </c>
      <c r="K261">
        <v>791</v>
      </c>
      <c r="L261" s="5" t="str">
        <f>DiscreteStatsTable[[#This Row],[ProjectName]]&amp;DiscreteStatsTable[[#This Row],[Name]]&amp;DiscreteStatsTable[[#This Row],[Type]]&amp;DiscreteStatsTable[[#This Row],[Source]]</f>
        <v>Tener ArticulsoOrganizar.QueueWaiting TimeQueue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12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18.340362280972652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3.1064675613253501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1.9737553231420619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12.8566567976914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22.621112046443301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52.173346869209801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786.33333333333337</v>
      </c>
      <c r="W261" s="5">
        <f>IF((DiscreteStatsTable[[#This Row],[RepsRequested]]&gt;1),DiscreteStatsTable[[#This Row],[HalfWidth]],DiscreteStatsTable[[#This Row],[BatchMeansHalfWidth]])</f>
        <v>1.9737553231420619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12</v>
      </c>
      <c r="Y261" s="5">
        <f>IF(DiscreteStatsTable[[#This Row],[RepsRequested]]=DiscreteStatsTable[[#This Row],[RepsWithStatObserved]],1,0)</f>
        <v>1</v>
      </c>
    </row>
    <row r="262" spans="1:25" x14ac:dyDescent="0.25">
      <c r="A262" t="s">
        <v>68</v>
      </c>
      <c r="B262" t="s">
        <v>70</v>
      </c>
      <c r="C262">
        <v>9</v>
      </c>
      <c r="D262" t="s">
        <v>91</v>
      </c>
      <c r="E262" t="s">
        <v>86</v>
      </c>
      <c r="F262" t="s">
        <v>87</v>
      </c>
      <c r="G262">
        <v>22.621112046443301</v>
      </c>
      <c r="H262">
        <v>3E+20</v>
      </c>
      <c r="I262">
        <v>0</v>
      </c>
      <c r="J262">
        <v>49.129566161430098</v>
      </c>
      <c r="K262">
        <v>784</v>
      </c>
      <c r="L262" s="5" t="str">
        <f>DiscreteStatsTable[[#This Row],[ProjectName]]&amp;DiscreteStatsTable[[#This Row],[Name]]&amp;DiscreteStatsTable[[#This Row],[Type]]&amp;DiscreteStatsTable[[#This Row],[Source]]</f>
        <v>Tener ArticulsoOrganizar.QueueWaiting TimeQueue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12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18.340362280972652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3.1064675613253501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1.9737553231420619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12.8566567976914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22.621112046443301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52.173346869209801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786.33333333333337</v>
      </c>
      <c r="W262" s="5">
        <f>IF((DiscreteStatsTable[[#This Row],[RepsRequested]]&gt;1),DiscreteStatsTable[[#This Row],[HalfWidth]],DiscreteStatsTable[[#This Row],[BatchMeansHalfWidth]])</f>
        <v>1.9737553231420619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12</v>
      </c>
      <c r="Y262" s="5">
        <f>IF(DiscreteStatsTable[[#This Row],[RepsRequested]]=DiscreteStatsTable[[#This Row],[RepsWithStatObserved]],1,0)</f>
        <v>1</v>
      </c>
    </row>
    <row r="263" spans="1:25" x14ac:dyDescent="0.25">
      <c r="A263" t="s">
        <v>68</v>
      </c>
      <c r="B263" t="s">
        <v>70</v>
      </c>
      <c r="C263">
        <v>10</v>
      </c>
      <c r="D263" t="s">
        <v>91</v>
      </c>
      <c r="E263" t="s">
        <v>86</v>
      </c>
      <c r="F263" t="s">
        <v>87</v>
      </c>
      <c r="G263">
        <v>18.755018749652798</v>
      </c>
      <c r="H263">
        <v>3E+20</v>
      </c>
      <c r="I263">
        <v>0</v>
      </c>
      <c r="J263">
        <v>40.907766736646202</v>
      </c>
      <c r="K263">
        <v>785</v>
      </c>
      <c r="L263" s="5" t="str">
        <f>DiscreteStatsTable[[#This Row],[ProjectName]]&amp;DiscreteStatsTable[[#This Row],[Name]]&amp;DiscreteStatsTable[[#This Row],[Type]]&amp;DiscreteStatsTable[[#This Row],[Source]]</f>
        <v>Tener ArticulsoOrganizar.QueueWaiting TimeQueue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12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18.340362280972652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3.1064675613253501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1.9737553231420619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12.8566567976914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22.621112046443301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52.173346869209801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786.33333333333337</v>
      </c>
      <c r="W263" s="5">
        <f>IF((DiscreteStatsTable[[#This Row],[RepsRequested]]&gt;1),DiscreteStatsTable[[#This Row],[HalfWidth]],DiscreteStatsTable[[#This Row],[BatchMeansHalfWidth]])</f>
        <v>1.9737553231420619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12</v>
      </c>
      <c r="Y263" s="5">
        <f>IF(DiscreteStatsTable[[#This Row],[RepsRequested]]=DiscreteStatsTable[[#This Row],[RepsWithStatObserved]],1,0)</f>
        <v>1</v>
      </c>
    </row>
    <row r="264" spans="1:25" x14ac:dyDescent="0.25">
      <c r="A264" t="s">
        <v>68</v>
      </c>
      <c r="B264" t="s">
        <v>70</v>
      </c>
      <c r="C264">
        <v>11</v>
      </c>
      <c r="D264" t="s">
        <v>91</v>
      </c>
      <c r="E264" t="s">
        <v>86</v>
      </c>
      <c r="F264" t="s">
        <v>87</v>
      </c>
      <c r="G264">
        <v>18.181746595603201</v>
      </c>
      <c r="H264">
        <v>3.8018560040226101</v>
      </c>
      <c r="I264">
        <v>0</v>
      </c>
      <c r="J264">
        <v>42.530699407443102</v>
      </c>
      <c r="K264">
        <v>797</v>
      </c>
      <c r="L264" s="5" t="str">
        <f>DiscreteStatsTable[[#This Row],[ProjectName]]&amp;DiscreteStatsTable[[#This Row],[Name]]&amp;DiscreteStatsTable[[#This Row],[Type]]&amp;DiscreteStatsTable[[#This Row],[Source]]</f>
        <v>Tener ArticulsoOrganizar.QueueWaiting TimeQueue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12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18.340362280972652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3.1064675613253501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1.9737553231420619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12.8566567976914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22.621112046443301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52.173346869209801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786.33333333333337</v>
      </c>
      <c r="W264" s="5">
        <f>IF((DiscreteStatsTable[[#This Row],[RepsRequested]]&gt;1),DiscreteStatsTable[[#This Row],[HalfWidth]],DiscreteStatsTable[[#This Row],[BatchMeansHalfWidth]])</f>
        <v>1.9737553231420619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12</v>
      </c>
      <c r="Y264" s="5">
        <f>IF(DiscreteStatsTable[[#This Row],[RepsRequested]]=DiscreteStatsTable[[#This Row],[RepsWithStatObserved]],1,0)</f>
        <v>1</v>
      </c>
    </row>
    <row r="265" spans="1:25" x14ac:dyDescent="0.25">
      <c r="A265" t="s">
        <v>68</v>
      </c>
      <c r="B265" t="s">
        <v>70</v>
      </c>
      <c r="C265">
        <v>12</v>
      </c>
      <c r="D265" t="s">
        <v>91</v>
      </c>
      <c r="E265" t="s">
        <v>86</v>
      </c>
      <c r="F265" t="s">
        <v>87</v>
      </c>
      <c r="G265">
        <v>16.559194794556301</v>
      </c>
      <c r="H265">
        <v>3E+20</v>
      </c>
      <c r="I265">
        <v>0</v>
      </c>
      <c r="J265">
        <v>48.023738644585102</v>
      </c>
      <c r="K265">
        <v>732</v>
      </c>
      <c r="L265" s="5" t="str">
        <f>DiscreteStatsTable[[#This Row],[ProjectName]]&amp;DiscreteStatsTable[[#This Row],[Name]]&amp;DiscreteStatsTable[[#This Row],[Type]]&amp;DiscreteStatsTable[[#This Row],[Source]]</f>
        <v>Tener ArticulsoOrganizar.QueueWaiting TimeQueue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12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18.340362280972652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3.1064675613253501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1.9737553231420619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12.8566567976914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22.621112046443301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52.173346869209801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786.33333333333337</v>
      </c>
      <c r="W265" s="5">
        <f>IF((DiscreteStatsTable[[#This Row],[RepsRequested]]&gt;1),DiscreteStatsTable[[#This Row],[HalfWidth]],DiscreteStatsTable[[#This Row],[BatchMeansHalfWidth]])</f>
        <v>1.9737553231420619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12</v>
      </c>
      <c r="Y265" s="5">
        <f>IF(DiscreteStatsTable[[#This Row],[RepsRequested]]=DiscreteStatsTable[[#This Row],[RepsWithStatObserved]],1,0)</f>
        <v>1</v>
      </c>
    </row>
    <row r="266" spans="1:25" x14ac:dyDescent="0.25">
      <c r="A266" t="s">
        <v>68</v>
      </c>
      <c r="B266" t="s">
        <v>70</v>
      </c>
      <c r="C266">
        <v>1</v>
      </c>
      <c r="D266" t="s">
        <v>92</v>
      </c>
      <c r="E266" t="s">
        <v>81</v>
      </c>
      <c r="F266" t="s">
        <v>82</v>
      </c>
      <c r="G266">
        <v>3.4076878257043699</v>
      </c>
      <c r="H266">
        <v>0.175343532288014</v>
      </c>
      <c r="I266">
        <v>0</v>
      </c>
      <c r="J266">
        <v>9.5509374593832508</v>
      </c>
      <c r="K266">
        <v>796</v>
      </c>
      <c r="L266" s="5" t="str">
        <f>DiscreteStatsTable[[#This Row],[ProjectName]]&amp;DiscreteStatsTable[[#This Row],[Name]]&amp;DiscreteStatsTable[[#This Row],[Type]]&amp;DiscreteStatsTable[[#This Row],[Source]]</f>
        <v>Tener ArticulsoSacar ArticulosTotal Time Per EntityProcess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12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3.4422907980918054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6.41847244847253E-2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4.0781028327263158E-2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3.3715879911348301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3.5733706442045801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10.157999238121601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66" s="5">
        <f>IF((DiscreteStatsTable[[#This Row],[RepsRequested]]&gt;1),DiscreteStatsTable[[#This Row],[HalfWidth]],DiscreteStatsTable[[#This Row],[BatchMeansHalfWidth]])</f>
        <v>4.0781028327263158E-2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12</v>
      </c>
      <c r="Y266" s="5">
        <f>IF(DiscreteStatsTable[[#This Row],[RepsRequested]]=DiscreteStatsTable[[#This Row],[RepsWithStatObserved]],1,0)</f>
        <v>1</v>
      </c>
    </row>
    <row r="267" spans="1:25" x14ac:dyDescent="0.25">
      <c r="A267" t="s">
        <v>68</v>
      </c>
      <c r="B267" t="s">
        <v>70</v>
      </c>
      <c r="C267">
        <v>1</v>
      </c>
      <c r="D267" t="s">
        <v>92</v>
      </c>
      <c r="E267" t="s">
        <v>83</v>
      </c>
      <c r="F267" t="s">
        <v>82</v>
      </c>
      <c r="G267">
        <v>1.97168966939209</v>
      </c>
      <c r="H267">
        <v>8.2620820228659894E-2</v>
      </c>
      <c r="I267">
        <v>0</v>
      </c>
      <c r="J267">
        <v>3.8777067849845799</v>
      </c>
      <c r="K267">
        <v>796</v>
      </c>
      <c r="L267" s="5" t="str">
        <f>DiscreteStatsTable[[#This Row],[ProjectName]]&amp;DiscreteStatsTable[[#This Row],[Name]]&amp;DiscreteStatsTable[[#This Row],[Type]]&amp;DiscreteStatsTable[[#This Row],[Source]]</f>
        <v>Tener ArticulsoSacar ArticulosVA Time Per EntityProcess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12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1.9936632735826756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3.5301695029500854E-2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2.2429626933135546E-2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1.94998410656736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2.0714547119998601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3.9809861860223901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67" s="5">
        <f>IF((DiscreteStatsTable[[#This Row],[RepsRequested]]&gt;1),DiscreteStatsTable[[#This Row],[HalfWidth]],DiscreteStatsTable[[#This Row],[BatchMeansHalfWidth]])</f>
        <v>2.2429626933135546E-2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12</v>
      </c>
      <c r="Y267" s="5">
        <f>IF(DiscreteStatsTable[[#This Row],[RepsRequested]]=DiscreteStatsTable[[#This Row],[RepsWithStatObserved]],1,0)</f>
        <v>1</v>
      </c>
    </row>
    <row r="268" spans="1:25" x14ac:dyDescent="0.25">
      <c r="A268" t="s">
        <v>68</v>
      </c>
      <c r="B268" t="s">
        <v>70</v>
      </c>
      <c r="C268">
        <v>1</v>
      </c>
      <c r="D268" t="s">
        <v>92</v>
      </c>
      <c r="E268" t="s">
        <v>84</v>
      </c>
      <c r="F268" t="s">
        <v>82</v>
      </c>
      <c r="G268">
        <v>1.4359981563122799</v>
      </c>
      <c r="H268">
        <v>0.112711844113752</v>
      </c>
      <c r="I268">
        <v>0</v>
      </c>
      <c r="J268">
        <v>6.7248242325302998</v>
      </c>
      <c r="K268">
        <v>796</v>
      </c>
      <c r="L268" s="5" t="str">
        <f>DiscreteStatsTable[[#This Row],[ProjectName]]&amp;DiscreteStatsTable[[#This Row],[Name]]&amp;DiscreteStatsTable[[#This Row],[Type]]&amp;DiscreteStatsTable[[#This Row],[Source]]</f>
        <v>Tener ArticulsoSacar ArticulosWait Time Per EntityProcess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12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1.4486275245091296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3.4039182804273552E-2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2.1627464935341765E-2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1.39936694366582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1.5269729168688699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7.5129638101070704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68" s="5">
        <f>IF((DiscreteStatsTable[[#This Row],[RepsRequested]]&gt;1),DiscreteStatsTable[[#This Row],[HalfWidth]],DiscreteStatsTable[[#This Row],[BatchMeansHalfWidth]])</f>
        <v>2.1627464935341765E-2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12</v>
      </c>
      <c r="Y268" s="5">
        <f>IF(DiscreteStatsTable[[#This Row],[RepsRequested]]=DiscreteStatsTable[[#This Row],[RepsWithStatObserved]],1,0)</f>
        <v>1</v>
      </c>
    </row>
    <row r="269" spans="1:25" x14ac:dyDescent="0.25">
      <c r="A269" t="s">
        <v>68</v>
      </c>
      <c r="B269" t="s">
        <v>70</v>
      </c>
      <c r="C269">
        <v>2</v>
      </c>
      <c r="D269" t="s">
        <v>92</v>
      </c>
      <c r="E269" t="s">
        <v>81</v>
      </c>
      <c r="F269" t="s">
        <v>82</v>
      </c>
      <c r="G269">
        <v>3.4220587327380398</v>
      </c>
      <c r="H269">
        <v>0.17006750602120299</v>
      </c>
      <c r="I269">
        <v>0</v>
      </c>
      <c r="J269">
        <v>9.8025097842662507</v>
      </c>
      <c r="K269">
        <v>841</v>
      </c>
      <c r="L269" s="5" t="str">
        <f>DiscreteStatsTable[[#This Row],[ProjectName]]&amp;DiscreteStatsTable[[#This Row],[Name]]&amp;DiscreteStatsTable[[#This Row],[Type]]&amp;DiscreteStatsTable[[#This Row],[Source]]</f>
        <v>Tener ArticulsoSacar ArticulosTotal Time Per EntityProcess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12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3.4422907980918054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6.41847244847253E-2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4.0781028327263158E-2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3.3715879911348301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3.5733706442045801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10.157999238121601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69" s="5">
        <f>IF((DiscreteStatsTable[[#This Row],[RepsRequested]]&gt;1),DiscreteStatsTable[[#This Row],[HalfWidth]],DiscreteStatsTable[[#This Row],[BatchMeansHalfWidth]])</f>
        <v>4.0781028327263158E-2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12</v>
      </c>
      <c r="Y269" s="5">
        <f>IF(DiscreteStatsTable[[#This Row],[RepsRequested]]=DiscreteStatsTable[[#This Row],[RepsWithStatObserved]],1,0)</f>
        <v>1</v>
      </c>
    </row>
    <row r="270" spans="1:25" x14ac:dyDescent="0.25">
      <c r="A270" t="s">
        <v>68</v>
      </c>
      <c r="B270" t="s">
        <v>70</v>
      </c>
      <c r="C270">
        <v>2</v>
      </c>
      <c r="D270" t="s">
        <v>92</v>
      </c>
      <c r="E270" t="s">
        <v>83</v>
      </c>
      <c r="F270" t="s">
        <v>82</v>
      </c>
      <c r="G270">
        <v>1.9819122062644701</v>
      </c>
      <c r="H270">
        <v>9.1747300904246806E-2</v>
      </c>
      <c r="I270">
        <v>0</v>
      </c>
      <c r="J270">
        <v>3.9809861860223901</v>
      </c>
      <c r="K270">
        <v>841</v>
      </c>
      <c r="L270" s="5" t="str">
        <f>DiscreteStatsTable[[#This Row],[ProjectName]]&amp;DiscreteStatsTable[[#This Row],[Name]]&amp;DiscreteStatsTable[[#This Row],[Type]]&amp;DiscreteStatsTable[[#This Row],[Source]]</f>
        <v>Tener ArticulsoSacar ArticulosVA Time Per EntityProcess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12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1.9936632735826756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3.5301695029500854E-2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2.2429626933135546E-2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1.94998410656736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2.0714547119998601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3.9809861860223901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70" s="5">
        <f>IF((DiscreteStatsTable[[#This Row],[RepsRequested]]&gt;1),DiscreteStatsTable[[#This Row],[HalfWidth]],DiscreteStatsTable[[#This Row],[BatchMeansHalfWidth]])</f>
        <v>2.2429626933135546E-2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12</v>
      </c>
      <c r="Y270" s="5">
        <f>IF(DiscreteStatsTable[[#This Row],[RepsRequested]]=DiscreteStatsTable[[#This Row],[RepsWithStatObserved]],1,0)</f>
        <v>1</v>
      </c>
    </row>
    <row r="271" spans="1:25" x14ac:dyDescent="0.25">
      <c r="A271" t="s">
        <v>68</v>
      </c>
      <c r="B271" t="s">
        <v>70</v>
      </c>
      <c r="C271">
        <v>2</v>
      </c>
      <c r="D271" t="s">
        <v>92</v>
      </c>
      <c r="E271" t="s">
        <v>84</v>
      </c>
      <c r="F271" t="s">
        <v>82</v>
      </c>
      <c r="G271">
        <v>1.44014652647357</v>
      </c>
      <c r="H271">
        <v>0.109600176962611</v>
      </c>
      <c r="I271">
        <v>0</v>
      </c>
      <c r="J271">
        <v>6.9008538036630398</v>
      </c>
      <c r="K271">
        <v>841</v>
      </c>
      <c r="L271" s="5" t="str">
        <f>DiscreteStatsTable[[#This Row],[ProjectName]]&amp;DiscreteStatsTable[[#This Row],[Name]]&amp;DiscreteStatsTable[[#This Row],[Type]]&amp;DiscreteStatsTable[[#This Row],[Source]]</f>
        <v>Tener ArticulsoSacar ArticulosWait Time Per EntityProcess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12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1.4486275245091296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3.4039182804273552E-2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2.1627464935341765E-2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1.39936694366582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1.5269729168688699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7.5129638101070704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71" s="5">
        <f>IF((DiscreteStatsTable[[#This Row],[RepsRequested]]&gt;1),DiscreteStatsTable[[#This Row],[HalfWidth]],DiscreteStatsTable[[#This Row],[BatchMeansHalfWidth]])</f>
        <v>2.1627464935341765E-2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12</v>
      </c>
      <c r="Y271" s="5">
        <f>IF(DiscreteStatsTable[[#This Row],[RepsRequested]]=DiscreteStatsTable[[#This Row],[RepsWithStatObserved]],1,0)</f>
        <v>1</v>
      </c>
    </row>
    <row r="272" spans="1:25" x14ac:dyDescent="0.25">
      <c r="A272" t="s">
        <v>68</v>
      </c>
      <c r="B272" t="s">
        <v>70</v>
      </c>
      <c r="C272">
        <v>3</v>
      </c>
      <c r="D272" t="s">
        <v>92</v>
      </c>
      <c r="E272" t="s">
        <v>81</v>
      </c>
      <c r="F272" t="s">
        <v>82</v>
      </c>
      <c r="G272">
        <v>3.4089565534005501</v>
      </c>
      <c r="H272">
        <v>3E+20</v>
      </c>
      <c r="I272">
        <v>0</v>
      </c>
      <c r="J272">
        <v>9.9798752535812092</v>
      </c>
      <c r="K272">
        <v>834</v>
      </c>
      <c r="L272" s="5" t="str">
        <f>DiscreteStatsTable[[#This Row],[ProjectName]]&amp;DiscreteStatsTable[[#This Row],[Name]]&amp;DiscreteStatsTable[[#This Row],[Type]]&amp;DiscreteStatsTable[[#This Row],[Source]]</f>
        <v>Tener ArticulsoSacar ArticulosTotal Time Per EntityProcess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12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3.4422907980918054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6.41847244847253E-2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4.0781028327263158E-2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3.3715879911348301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3.5733706442045801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10.157999238121601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72" s="5">
        <f>IF((DiscreteStatsTable[[#This Row],[RepsRequested]]&gt;1),DiscreteStatsTable[[#This Row],[HalfWidth]],DiscreteStatsTable[[#This Row],[BatchMeansHalfWidth]])</f>
        <v>4.0781028327263158E-2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12</v>
      </c>
      <c r="Y272" s="5">
        <f>IF(DiscreteStatsTable[[#This Row],[RepsRequested]]=DiscreteStatsTable[[#This Row],[RepsWithStatObserved]],1,0)</f>
        <v>1</v>
      </c>
    </row>
    <row r="273" spans="1:25" x14ac:dyDescent="0.25">
      <c r="A273" t="s">
        <v>68</v>
      </c>
      <c r="B273" t="s">
        <v>70</v>
      </c>
      <c r="C273">
        <v>3</v>
      </c>
      <c r="D273" t="s">
        <v>92</v>
      </c>
      <c r="E273" t="s">
        <v>83</v>
      </c>
      <c r="F273" t="s">
        <v>82</v>
      </c>
      <c r="G273">
        <v>1.9604638727210599</v>
      </c>
      <c r="H273">
        <v>7.2945422426172801E-2</v>
      </c>
      <c r="I273">
        <v>0</v>
      </c>
      <c r="J273">
        <v>3.9037700328136999</v>
      </c>
      <c r="K273">
        <v>834</v>
      </c>
      <c r="L273" s="5" t="str">
        <f>DiscreteStatsTable[[#This Row],[ProjectName]]&amp;DiscreteStatsTable[[#This Row],[Name]]&amp;DiscreteStatsTable[[#This Row],[Type]]&amp;DiscreteStatsTable[[#This Row],[Source]]</f>
        <v>Tener ArticulsoSacar ArticulosVA Time Per EntityProcess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12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1.9936632735826756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3.5301695029500854E-2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2.2429626933135546E-2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1.94998410656736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2.0714547119998601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3.9809861860223901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73" s="5">
        <f>IF((DiscreteStatsTable[[#This Row],[RepsRequested]]&gt;1),DiscreteStatsTable[[#This Row],[HalfWidth]],DiscreteStatsTable[[#This Row],[BatchMeansHalfWidth]])</f>
        <v>2.2429626933135546E-2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12</v>
      </c>
      <c r="Y273" s="5">
        <f>IF(DiscreteStatsTable[[#This Row],[RepsRequested]]=DiscreteStatsTable[[#This Row],[RepsWithStatObserved]],1,0)</f>
        <v>1</v>
      </c>
    </row>
    <row r="274" spans="1:25" x14ac:dyDescent="0.25">
      <c r="A274" t="s">
        <v>68</v>
      </c>
      <c r="B274" t="s">
        <v>70</v>
      </c>
      <c r="C274">
        <v>3</v>
      </c>
      <c r="D274" t="s">
        <v>92</v>
      </c>
      <c r="E274" t="s">
        <v>84</v>
      </c>
      <c r="F274" t="s">
        <v>82</v>
      </c>
      <c r="G274">
        <v>1.44849268067949</v>
      </c>
      <c r="H274">
        <v>3E+20</v>
      </c>
      <c r="I274">
        <v>0</v>
      </c>
      <c r="J274">
        <v>7.3132535104938698</v>
      </c>
      <c r="K274">
        <v>834</v>
      </c>
      <c r="L274" s="5" t="str">
        <f>DiscreteStatsTable[[#This Row],[ProjectName]]&amp;DiscreteStatsTable[[#This Row],[Name]]&amp;DiscreteStatsTable[[#This Row],[Type]]&amp;DiscreteStatsTable[[#This Row],[Source]]</f>
        <v>Tener ArticulsoSacar ArticulosWait Time Per EntityProcess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12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1.4486275245091296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3.4039182804273552E-2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2.1627464935341765E-2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1.39936694366582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1.5269729168688699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7.5129638101070704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74" s="5">
        <f>IF((DiscreteStatsTable[[#This Row],[RepsRequested]]&gt;1),DiscreteStatsTable[[#This Row],[HalfWidth]],DiscreteStatsTable[[#This Row],[BatchMeansHalfWidth]])</f>
        <v>2.1627464935341765E-2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12</v>
      </c>
      <c r="Y274" s="5">
        <f>IF(DiscreteStatsTable[[#This Row],[RepsRequested]]=DiscreteStatsTable[[#This Row],[RepsWithStatObserved]],1,0)</f>
        <v>1</v>
      </c>
    </row>
    <row r="275" spans="1:25" x14ac:dyDescent="0.25">
      <c r="A275" t="s">
        <v>68</v>
      </c>
      <c r="B275" t="s">
        <v>70</v>
      </c>
      <c r="C275">
        <v>4</v>
      </c>
      <c r="D275" t="s">
        <v>92</v>
      </c>
      <c r="E275" t="s">
        <v>81</v>
      </c>
      <c r="F275" t="s">
        <v>82</v>
      </c>
      <c r="G275">
        <v>3.4803036097692401</v>
      </c>
      <c r="H275">
        <v>0.17517607530504301</v>
      </c>
      <c r="I275">
        <v>0</v>
      </c>
      <c r="J275">
        <v>9.7781889970058309</v>
      </c>
      <c r="K275">
        <v>835</v>
      </c>
      <c r="L275" s="5" t="str">
        <f>DiscreteStatsTable[[#This Row],[ProjectName]]&amp;DiscreteStatsTable[[#This Row],[Name]]&amp;DiscreteStatsTable[[#This Row],[Type]]&amp;DiscreteStatsTable[[#This Row],[Source]]</f>
        <v>Tener ArticulsoSacar ArticulosTotal Time Per EntityProcess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12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3.4422907980918054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6.41847244847253E-2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4.0781028327263158E-2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3.3715879911348301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3.5733706442045801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10.157999238121601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75" s="5">
        <f>IF((DiscreteStatsTable[[#This Row],[RepsRequested]]&gt;1),DiscreteStatsTable[[#This Row],[HalfWidth]],DiscreteStatsTable[[#This Row],[BatchMeansHalfWidth]])</f>
        <v>4.0781028327263158E-2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12</v>
      </c>
      <c r="Y275" s="5">
        <f>IF(DiscreteStatsTable[[#This Row],[RepsRequested]]=DiscreteStatsTable[[#This Row],[RepsWithStatObserved]],1,0)</f>
        <v>1</v>
      </c>
    </row>
    <row r="276" spans="1:25" x14ac:dyDescent="0.25">
      <c r="A276" t="s">
        <v>68</v>
      </c>
      <c r="B276" t="s">
        <v>70</v>
      </c>
      <c r="C276">
        <v>4</v>
      </c>
      <c r="D276" t="s">
        <v>92</v>
      </c>
      <c r="E276" t="s">
        <v>83</v>
      </c>
      <c r="F276" t="s">
        <v>82</v>
      </c>
      <c r="G276">
        <v>2.00384805371757</v>
      </c>
      <c r="H276">
        <v>6.7927846153160498E-2</v>
      </c>
      <c r="I276">
        <v>0</v>
      </c>
      <c r="J276">
        <v>3.9610706503055999</v>
      </c>
      <c r="K276">
        <v>835</v>
      </c>
      <c r="L276" s="5" t="str">
        <f>DiscreteStatsTable[[#This Row],[ProjectName]]&amp;DiscreteStatsTable[[#This Row],[Name]]&amp;DiscreteStatsTable[[#This Row],[Type]]&amp;DiscreteStatsTable[[#This Row],[Source]]</f>
        <v>Tener ArticulsoSacar ArticulosVA Time Per EntityProcess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12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1.9936632735826756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3.5301695029500854E-2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2.2429626933135546E-2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1.94998410656736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2.0714547119998601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3.9809861860223901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76" s="5">
        <f>IF((DiscreteStatsTable[[#This Row],[RepsRequested]]&gt;1),DiscreteStatsTable[[#This Row],[HalfWidth]],DiscreteStatsTable[[#This Row],[BatchMeansHalfWidth]])</f>
        <v>2.2429626933135546E-2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12</v>
      </c>
      <c r="Y276" s="5">
        <f>IF(DiscreteStatsTable[[#This Row],[RepsRequested]]=DiscreteStatsTable[[#This Row],[RepsWithStatObserved]],1,0)</f>
        <v>1</v>
      </c>
    </row>
    <row r="277" spans="1:25" x14ac:dyDescent="0.25">
      <c r="A277" t="s">
        <v>68</v>
      </c>
      <c r="B277" t="s">
        <v>70</v>
      </c>
      <c r="C277">
        <v>4</v>
      </c>
      <c r="D277" t="s">
        <v>92</v>
      </c>
      <c r="E277" t="s">
        <v>84</v>
      </c>
      <c r="F277" t="s">
        <v>82</v>
      </c>
      <c r="G277">
        <v>1.4764555560516699</v>
      </c>
      <c r="H277">
        <v>0.121373757654932</v>
      </c>
      <c r="I277">
        <v>0</v>
      </c>
      <c r="J277">
        <v>7.2038489727522101</v>
      </c>
      <c r="K277">
        <v>835</v>
      </c>
      <c r="L277" s="5" t="str">
        <f>DiscreteStatsTable[[#This Row],[ProjectName]]&amp;DiscreteStatsTable[[#This Row],[Name]]&amp;DiscreteStatsTable[[#This Row],[Type]]&amp;DiscreteStatsTable[[#This Row],[Source]]</f>
        <v>Tener ArticulsoSacar ArticulosWait Time Per EntityProcess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12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1.4486275245091296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3.4039182804273552E-2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2.1627464935341765E-2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1.39936694366582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1.5269729168688699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7.5129638101070704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77" s="5">
        <f>IF((DiscreteStatsTable[[#This Row],[RepsRequested]]&gt;1),DiscreteStatsTable[[#This Row],[HalfWidth]],DiscreteStatsTable[[#This Row],[BatchMeansHalfWidth]])</f>
        <v>2.1627464935341765E-2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12</v>
      </c>
      <c r="Y277" s="5">
        <f>IF(DiscreteStatsTable[[#This Row],[RepsRequested]]=DiscreteStatsTable[[#This Row],[RepsWithStatObserved]],1,0)</f>
        <v>1</v>
      </c>
    </row>
    <row r="278" spans="1:25" x14ac:dyDescent="0.25">
      <c r="A278" t="s">
        <v>68</v>
      </c>
      <c r="B278" t="s">
        <v>70</v>
      </c>
      <c r="C278">
        <v>5</v>
      </c>
      <c r="D278" t="s">
        <v>92</v>
      </c>
      <c r="E278" t="s">
        <v>81</v>
      </c>
      <c r="F278" t="s">
        <v>82</v>
      </c>
      <c r="G278">
        <v>3.3873484870192399</v>
      </c>
      <c r="H278">
        <v>0.12506117657600099</v>
      </c>
      <c r="I278">
        <v>0</v>
      </c>
      <c r="J278">
        <v>10.157999238121601</v>
      </c>
      <c r="K278">
        <v>756</v>
      </c>
      <c r="L278" s="5" t="str">
        <f>DiscreteStatsTable[[#This Row],[ProjectName]]&amp;DiscreteStatsTable[[#This Row],[Name]]&amp;DiscreteStatsTable[[#This Row],[Type]]&amp;DiscreteStatsTable[[#This Row],[Source]]</f>
        <v>Tener ArticulsoSacar ArticulosTotal Time Per EntityProcess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12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3.4422907980918054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6.41847244847253E-2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4.0781028327263158E-2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3.3715879911348301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3.5733706442045801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10.157999238121601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78" s="5">
        <f>IF((DiscreteStatsTable[[#This Row],[RepsRequested]]&gt;1),DiscreteStatsTable[[#This Row],[HalfWidth]],DiscreteStatsTable[[#This Row],[BatchMeansHalfWidth]])</f>
        <v>4.0781028327263158E-2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12</v>
      </c>
      <c r="Y278" s="5">
        <f>IF(DiscreteStatsTable[[#This Row],[RepsRequested]]=DiscreteStatsTable[[#This Row],[RepsWithStatObserved]],1,0)</f>
        <v>1</v>
      </c>
    </row>
    <row r="279" spans="1:25" x14ac:dyDescent="0.25">
      <c r="A279" t="s">
        <v>68</v>
      </c>
      <c r="B279" t="s">
        <v>70</v>
      </c>
      <c r="C279">
        <v>5</v>
      </c>
      <c r="D279" t="s">
        <v>92</v>
      </c>
      <c r="E279" t="s">
        <v>83</v>
      </c>
      <c r="F279" t="s">
        <v>82</v>
      </c>
      <c r="G279">
        <v>1.9706257450410001</v>
      </c>
      <c r="H279">
        <v>3E+20</v>
      </c>
      <c r="I279">
        <v>0</v>
      </c>
      <c r="J279">
        <v>3.8840300406727701</v>
      </c>
      <c r="K279">
        <v>756</v>
      </c>
      <c r="L279" s="5" t="str">
        <f>DiscreteStatsTable[[#This Row],[ProjectName]]&amp;DiscreteStatsTable[[#This Row],[Name]]&amp;DiscreteStatsTable[[#This Row],[Type]]&amp;DiscreteStatsTable[[#This Row],[Source]]</f>
        <v>Tener ArticulsoSacar ArticulosVA Time Per EntityProcess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12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1.9936632735826756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3.5301695029500854E-2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2.2429626933135546E-2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1.94998410656736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2.0714547119998601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3.9809861860223901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79" s="5">
        <f>IF((DiscreteStatsTable[[#This Row],[RepsRequested]]&gt;1),DiscreteStatsTable[[#This Row],[HalfWidth]],DiscreteStatsTable[[#This Row],[BatchMeansHalfWidth]])</f>
        <v>2.2429626933135546E-2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12</v>
      </c>
      <c r="Y279" s="5">
        <f>IF(DiscreteStatsTable[[#This Row],[RepsRequested]]=DiscreteStatsTable[[#This Row],[RepsWithStatObserved]],1,0)</f>
        <v>1</v>
      </c>
    </row>
    <row r="280" spans="1:25" x14ac:dyDescent="0.25">
      <c r="A280" t="s">
        <v>68</v>
      </c>
      <c r="B280" t="s">
        <v>70</v>
      </c>
      <c r="C280">
        <v>5</v>
      </c>
      <c r="D280" t="s">
        <v>92</v>
      </c>
      <c r="E280" t="s">
        <v>84</v>
      </c>
      <c r="F280" t="s">
        <v>82</v>
      </c>
      <c r="G280">
        <v>1.41672274197824</v>
      </c>
      <c r="H280">
        <v>8.2022334096817195E-2</v>
      </c>
      <c r="I280">
        <v>0</v>
      </c>
      <c r="J280">
        <v>6.5928137441283097</v>
      </c>
      <c r="K280">
        <v>756</v>
      </c>
      <c r="L280" s="5" t="str">
        <f>DiscreteStatsTable[[#This Row],[ProjectName]]&amp;DiscreteStatsTable[[#This Row],[Name]]&amp;DiscreteStatsTable[[#This Row],[Type]]&amp;DiscreteStatsTable[[#This Row],[Source]]</f>
        <v>Tener ArticulsoSacar ArticulosWait Time Per EntityProcess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12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1.4486275245091296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3.4039182804273552E-2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2.1627464935341765E-2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1.39936694366582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1.5269729168688699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7.5129638101070704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80" s="5">
        <f>IF((DiscreteStatsTable[[#This Row],[RepsRequested]]&gt;1),DiscreteStatsTable[[#This Row],[HalfWidth]],DiscreteStatsTable[[#This Row],[BatchMeansHalfWidth]])</f>
        <v>2.1627464935341765E-2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12</v>
      </c>
      <c r="Y280" s="5">
        <f>IF(DiscreteStatsTable[[#This Row],[RepsRequested]]=DiscreteStatsTable[[#This Row],[RepsWithStatObserved]],1,0)</f>
        <v>1</v>
      </c>
    </row>
    <row r="281" spans="1:25" x14ac:dyDescent="0.25">
      <c r="A281" t="s">
        <v>68</v>
      </c>
      <c r="B281" t="s">
        <v>70</v>
      </c>
      <c r="C281">
        <v>6</v>
      </c>
      <c r="D281" t="s">
        <v>92</v>
      </c>
      <c r="E281" t="s">
        <v>81</v>
      </c>
      <c r="F281" t="s">
        <v>82</v>
      </c>
      <c r="G281">
        <v>3.5733706442045801</v>
      </c>
      <c r="H281">
        <v>0.13777296779338999</v>
      </c>
      <c r="I281">
        <v>0</v>
      </c>
      <c r="J281">
        <v>9.7265699364269302</v>
      </c>
      <c r="K281">
        <v>798</v>
      </c>
      <c r="L281" s="5" t="str">
        <f>DiscreteStatsTable[[#This Row],[ProjectName]]&amp;DiscreteStatsTable[[#This Row],[Name]]&amp;DiscreteStatsTable[[#This Row],[Type]]&amp;DiscreteStatsTable[[#This Row],[Source]]</f>
        <v>Tener ArticulsoSacar ArticulosTotal Time Per EntityProcess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12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3.4422907980918054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6.41847244847253E-2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4.0781028327263158E-2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3.3715879911348301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3.5733706442045801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10.157999238121601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81" s="5">
        <f>IF((DiscreteStatsTable[[#This Row],[RepsRequested]]&gt;1),DiscreteStatsTable[[#This Row],[HalfWidth]],DiscreteStatsTable[[#This Row],[BatchMeansHalfWidth]])</f>
        <v>4.0781028327263158E-2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12</v>
      </c>
      <c r="Y281" s="5">
        <f>IF(DiscreteStatsTable[[#This Row],[RepsRequested]]=DiscreteStatsTable[[#This Row],[RepsWithStatObserved]],1,0)</f>
        <v>1</v>
      </c>
    </row>
    <row r="282" spans="1:25" x14ac:dyDescent="0.25">
      <c r="A282" t="s">
        <v>68</v>
      </c>
      <c r="B282" t="s">
        <v>70</v>
      </c>
      <c r="C282">
        <v>6</v>
      </c>
      <c r="D282" t="s">
        <v>92</v>
      </c>
      <c r="E282" t="s">
        <v>83</v>
      </c>
      <c r="F282" t="s">
        <v>82</v>
      </c>
      <c r="G282">
        <v>2.0463977273357101</v>
      </c>
      <c r="H282">
        <v>7.7039814467311396E-2</v>
      </c>
      <c r="I282">
        <v>0</v>
      </c>
      <c r="J282">
        <v>3.82825709830797</v>
      </c>
      <c r="K282">
        <v>798</v>
      </c>
      <c r="L282" s="5" t="str">
        <f>DiscreteStatsTable[[#This Row],[ProjectName]]&amp;DiscreteStatsTable[[#This Row],[Name]]&amp;DiscreteStatsTable[[#This Row],[Type]]&amp;DiscreteStatsTable[[#This Row],[Source]]</f>
        <v>Tener ArticulsoSacar ArticulosVA Time Per EntityProcess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12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1.9936632735826756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3.5301695029500854E-2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2.2429626933135546E-2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1.94998410656736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2.0714547119998601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3.9809861860223901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82" s="5">
        <f>IF((DiscreteStatsTable[[#This Row],[RepsRequested]]&gt;1),DiscreteStatsTable[[#This Row],[HalfWidth]],DiscreteStatsTable[[#This Row],[BatchMeansHalfWidth]])</f>
        <v>2.2429626933135546E-2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12</v>
      </c>
      <c r="Y282" s="5">
        <f>IF(DiscreteStatsTable[[#This Row],[RepsRequested]]=DiscreteStatsTable[[#This Row],[RepsWithStatObserved]],1,0)</f>
        <v>1</v>
      </c>
    </row>
    <row r="283" spans="1:25" x14ac:dyDescent="0.25">
      <c r="A283" t="s">
        <v>68</v>
      </c>
      <c r="B283" t="s">
        <v>70</v>
      </c>
      <c r="C283">
        <v>6</v>
      </c>
      <c r="D283" t="s">
        <v>92</v>
      </c>
      <c r="E283" t="s">
        <v>84</v>
      </c>
      <c r="F283" t="s">
        <v>82</v>
      </c>
      <c r="G283">
        <v>1.5269729168688699</v>
      </c>
      <c r="H283">
        <v>9.2072056216226605E-2</v>
      </c>
      <c r="I283">
        <v>0</v>
      </c>
      <c r="J283">
        <v>7.3261180245390296</v>
      </c>
      <c r="K283">
        <v>798</v>
      </c>
      <c r="L283" s="5" t="str">
        <f>DiscreteStatsTable[[#This Row],[ProjectName]]&amp;DiscreteStatsTable[[#This Row],[Name]]&amp;DiscreteStatsTable[[#This Row],[Type]]&amp;DiscreteStatsTable[[#This Row],[Source]]</f>
        <v>Tener ArticulsoSacar ArticulosWait Time Per EntityProcess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12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1.4486275245091296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3.4039182804273552E-2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2.1627464935341765E-2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1.39936694366582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1.5269729168688699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7.5129638101070704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83" s="5">
        <f>IF((DiscreteStatsTable[[#This Row],[RepsRequested]]&gt;1),DiscreteStatsTable[[#This Row],[HalfWidth]],DiscreteStatsTable[[#This Row],[BatchMeansHalfWidth]])</f>
        <v>2.1627464935341765E-2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12</v>
      </c>
      <c r="Y283" s="5">
        <f>IF(DiscreteStatsTable[[#This Row],[RepsRequested]]=DiscreteStatsTable[[#This Row],[RepsWithStatObserved]],1,0)</f>
        <v>1</v>
      </c>
    </row>
    <row r="284" spans="1:25" x14ac:dyDescent="0.25">
      <c r="A284" t="s">
        <v>68</v>
      </c>
      <c r="B284" t="s">
        <v>70</v>
      </c>
      <c r="C284">
        <v>7</v>
      </c>
      <c r="D284" t="s">
        <v>92</v>
      </c>
      <c r="E284" t="s">
        <v>81</v>
      </c>
      <c r="F284" t="s">
        <v>82</v>
      </c>
      <c r="G284">
        <v>3.4116674828253002</v>
      </c>
      <c r="H284">
        <v>0.13546457977423099</v>
      </c>
      <c r="I284">
        <v>0</v>
      </c>
      <c r="J284">
        <v>10.088793410781101</v>
      </c>
      <c r="K284">
        <v>744</v>
      </c>
      <c r="L284" s="5" t="str">
        <f>DiscreteStatsTable[[#This Row],[ProjectName]]&amp;DiscreteStatsTable[[#This Row],[Name]]&amp;DiscreteStatsTable[[#This Row],[Type]]&amp;DiscreteStatsTable[[#This Row],[Source]]</f>
        <v>Tener ArticulsoSacar ArticulosTotal Time Per EntityProcess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12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3.4422907980918054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6.41847244847253E-2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4.0781028327263158E-2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3.3715879911348301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3.5733706442045801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10.157999238121601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84" s="5">
        <f>IF((DiscreteStatsTable[[#This Row],[RepsRequested]]&gt;1),DiscreteStatsTable[[#This Row],[HalfWidth]],DiscreteStatsTable[[#This Row],[BatchMeansHalfWidth]])</f>
        <v>4.0781028327263158E-2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12</v>
      </c>
      <c r="Y284" s="5">
        <f>IF(DiscreteStatsTable[[#This Row],[RepsRequested]]=DiscreteStatsTable[[#This Row],[RepsWithStatObserved]],1,0)</f>
        <v>1</v>
      </c>
    </row>
    <row r="285" spans="1:25" x14ac:dyDescent="0.25">
      <c r="A285" t="s">
        <v>68</v>
      </c>
      <c r="B285" t="s">
        <v>70</v>
      </c>
      <c r="C285">
        <v>7</v>
      </c>
      <c r="D285" t="s">
        <v>92</v>
      </c>
      <c r="E285" t="s">
        <v>83</v>
      </c>
      <c r="F285" t="s">
        <v>82</v>
      </c>
      <c r="G285">
        <v>1.9808917952551699</v>
      </c>
      <c r="H285">
        <v>6.8221823488226196E-2</v>
      </c>
      <c r="I285">
        <v>0</v>
      </c>
      <c r="J285">
        <v>3.8263783634555502</v>
      </c>
      <c r="K285">
        <v>744</v>
      </c>
      <c r="L285" s="5" t="str">
        <f>DiscreteStatsTable[[#This Row],[ProjectName]]&amp;DiscreteStatsTable[[#This Row],[Name]]&amp;DiscreteStatsTable[[#This Row],[Type]]&amp;DiscreteStatsTable[[#This Row],[Source]]</f>
        <v>Tener ArticulsoSacar ArticulosVA Time Per EntityProcess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12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1.9936632735826756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3.5301695029500854E-2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2.2429626933135546E-2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1.94998410656736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2.0714547119998601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3.9809861860223901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85" s="5">
        <f>IF((DiscreteStatsTable[[#This Row],[RepsRequested]]&gt;1),DiscreteStatsTable[[#This Row],[HalfWidth]],DiscreteStatsTable[[#This Row],[BatchMeansHalfWidth]])</f>
        <v>2.2429626933135546E-2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12</v>
      </c>
      <c r="Y285" s="5">
        <f>IF(DiscreteStatsTable[[#This Row],[RepsRequested]]=DiscreteStatsTable[[#This Row],[RepsWithStatObserved]],1,0)</f>
        <v>1</v>
      </c>
    </row>
    <row r="286" spans="1:25" x14ac:dyDescent="0.25">
      <c r="A286" t="s">
        <v>68</v>
      </c>
      <c r="B286" t="s">
        <v>70</v>
      </c>
      <c r="C286">
        <v>7</v>
      </c>
      <c r="D286" t="s">
        <v>92</v>
      </c>
      <c r="E286" t="s">
        <v>84</v>
      </c>
      <c r="F286" t="s">
        <v>82</v>
      </c>
      <c r="G286">
        <v>1.4307756875701201</v>
      </c>
      <c r="H286">
        <v>8.7366639430877399E-2</v>
      </c>
      <c r="I286">
        <v>0</v>
      </c>
      <c r="J286">
        <v>7.5129638101070704</v>
      </c>
      <c r="K286">
        <v>744</v>
      </c>
      <c r="L286" s="5" t="str">
        <f>DiscreteStatsTable[[#This Row],[ProjectName]]&amp;DiscreteStatsTable[[#This Row],[Name]]&amp;DiscreteStatsTable[[#This Row],[Type]]&amp;DiscreteStatsTable[[#This Row],[Source]]</f>
        <v>Tener ArticulsoSacar ArticulosWait Time Per EntityProcess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12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1.4486275245091296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3.4039182804273552E-2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2.1627464935341765E-2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1.39936694366582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1.5269729168688699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7.5129638101070704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86" s="5">
        <f>IF((DiscreteStatsTable[[#This Row],[RepsRequested]]&gt;1),DiscreteStatsTable[[#This Row],[HalfWidth]],DiscreteStatsTable[[#This Row],[BatchMeansHalfWidth]])</f>
        <v>2.1627464935341765E-2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12</v>
      </c>
      <c r="Y286" s="5">
        <f>IF(DiscreteStatsTable[[#This Row],[RepsRequested]]=DiscreteStatsTable[[#This Row],[RepsWithStatObserved]],1,0)</f>
        <v>1</v>
      </c>
    </row>
    <row r="287" spans="1:25" x14ac:dyDescent="0.25">
      <c r="A287" t="s">
        <v>68</v>
      </c>
      <c r="B287" t="s">
        <v>70</v>
      </c>
      <c r="C287">
        <v>8</v>
      </c>
      <c r="D287" t="s">
        <v>92</v>
      </c>
      <c r="E287" t="s">
        <v>81</v>
      </c>
      <c r="F287" t="s">
        <v>82</v>
      </c>
      <c r="G287">
        <v>3.42601063329051</v>
      </c>
      <c r="H287">
        <v>0.153209117938992</v>
      </c>
      <c r="I287">
        <v>0</v>
      </c>
      <c r="J287">
        <v>9.9614517597229906</v>
      </c>
      <c r="K287">
        <v>813</v>
      </c>
      <c r="L287" s="5" t="str">
        <f>DiscreteStatsTable[[#This Row],[ProjectName]]&amp;DiscreteStatsTable[[#This Row],[Name]]&amp;DiscreteStatsTable[[#This Row],[Type]]&amp;DiscreteStatsTable[[#This Row],[Source]]</f>
        <v>Tener ArticulsoSacar ArticulosTotal Time Per EntityProcess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12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3.4422907980918054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6.41847244847253E-2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4.0781028327263158E-2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3.3715879911348301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3.5733706442045801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10.157999238121601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87" s="5">
        <f>IF((DiscreteStatsTable[[#This Row],[RepsRequested]]&gt;1),DiscreteStatsTable[[#This Row],[HalfWidth]],DiscreteStatsTable[[#This Row],[BatchMeansHalfWidth]])</f>
        <v>4.0781028327263158E-2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12</v>
      </c>
      <c r="Y287" s="5">
        <f>IF(DiscreteStatsTable[[#This Row],[RepsRequested]]=DiscreteStatsTable[[#This Row],[RepsWithStatObserved]],1,0)</f>
        <v>1</v>
      </c>
    </row>
    <row r="288" spans="1:25" x14ac:dyDescent="0.25">
      <c r="A288" t="s">
        <v>68</v>
      </c>
      <c r="B288" t="s">
        <v>70</v>
      </c>
      <c r="C288">
        <v>8</v>
      </c>
      <c r="D288" t="s">
        <v>92</v>
      </c>
      <c r="E288" t="s">
        <v>83</v>
      </c>
      <c r="F288" t="s">
        <v>82</v>
      </c>
      <c r="G288">
        <v>1.9807108996027201</v>
      </c>
      <c r="H288">
        <v>8.52028326231489E-2</v>
      </c>
      <c r="I288">
        <v>0</v>
      </c>
      <c r="J288">
        <v>3.9616066828449399</v>
      </c>
      <c r="K288">
        <v>813</v>
      </c>
      <c r="L288" s="5" t="str">
        <f>DiscreteStatsTable[[#This Row],[ProjectName]]&amp;DiscreteStatsTable[[#This Row],[Name]]&amp;DiscreteStatsTable[[#This Row],[Type]]&amp;DiscreteStatsTable[[#This Row],[Source]]</f>
        <v>Tener ArticulsoSacar ArticulosVA Time Per EntityProcess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12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1.9936632735826756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3.5301695029500854E-2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2.2429626933135546E-2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1.94998410656736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2.0714547119998601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3.9809861860223901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88" s="5">
        <f>IF((DiscreteStatsTable[[#This Row],[RepsRequested]]&gt;1),DiscreteStatsTable[[#This Row],[HalfWidth]],DiscreteStatsTable[[#This Row],[BatchMeansHalfWidth]])</f>
        <v>2.2429626933135546E-2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12</v>
      </c>
      <c r="Y288" s="5">
        <f>IF(DiscreteStatsTable[[#This Row],[RepsRequested]]=DiscreteStatsTable[[#This Row],[RepsWithStatObserved]],1,0)</f>
        <v>1</v>
      </c>
    </row>
    <row r="289" spans="1:25" x14ac:dyDescent="0.25">
      <c r="A289" t="s">
        <v>68</v>
      </c>
      <c r="B289" t="s">
        <v>70</v>
      </c>
      <c r="C289">
        <v>8</v>
      </c>
      <c r="D289" t="s">
        <v>92</v>
      </c>
      <c r="E289" t="s">
        <v>84</v>
      </c>
      <c r="F289" t="s">
        <v>82</v>
      </c>
      <c r="G289">
        <v>1.4452997336878</v>
      </c>
      <c r="H289">
        <v>9.3815632698723103E-2</v>
      </c>
      <c r="I289">
        <v>0</v>
      </c>
      <c r="J289">
        <v>6.7823813133479698</v>
      </c>
      <c r="K289">
        <v>813</v>
      </c>
      <c r="L289" s="5" t="str">
        <f>DiscreteStatsTable[[#This Row],[ProjectName]]&amp;DiscreteStatsTable[[#This Row],[Name]]&amp;DiscreteStatsTable[[#This Row],[Type]]&amp;DiscreteStatsTable[[#This Row],[Source]]</f>
        <v>Tener ArticulsoSacar ArticulosWait Time Per EntityProcess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12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1.4486275245091296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3.4039182804273552E-2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2.1627464935341765E-2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1.39936694366582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1.5269729168688699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7.5129638101070704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89" s="5">
        <f>IF((DiscreteStatsTable[[#This Row],[RepsRequested]]&gt;1),DiscreteStatsTable[[#This Row],[HalfWidth]],DiscreteStatsTable[[#This Row],[BatchMeansHalfWidth]])</f>
        <v>2.1627464935341765E-2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12</v>
      </c>
      <c r="Y289" s="5">
        <f>IF(DiscreteStatsTable[[#This Row],[RepsRequested]]=DiscreteStatsTable[[#This Row],[RepsWithStatObserved]],1,0)</f>
        <v>1</v>
      </c>
    </row>
    <row r="290" spans="1:25" x14ac:dyDescent="0.25">
      <c r="A290" t="s">
        <v>68</v>
      </c>
      <c r="B290" t="s">
        <v>70</v>
      </c>
      <c r="C290">
        <v>9</v>
      </c>
      <c r="D290" t="s">
        <v>92</v>
      </c>
      <c r="E290" t="s">
        <v>81</v>
      </c>
      <c r="F290" t="s">
        <v>82</v>
      </c>
      <c r="G290">
        <v>3.3715879911348301</v>
      </c>
      <c r="H290">
        <v>0.13285988064874199</v>
      </c>
      <c r="I290">
        <v>0</v>
      </c>
      <c r="J290">
        <v>9.3282542203192005</v>
      </c>
      <c r="K290">
        <v>793</v>
      </c>
      <c r="L290" s="5" t="str">
        <f>DiscreteStatsTable[[#This Row],[ProjectName]]&amp;DiscreteStatsTable[[#This Row],[Name]]&amp;DiscreteStatsTable[[#This Row],[Type]]&amp;DiscreteStatsTable[[#This Row],[Source]]</f>
        <v>Tener ArticulsoSacar ArticulosTotal Time Per EntityProcess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12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3.4422907980918054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6.41847244847253E-2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4.0781028327263158E-2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3.3715879911348301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3.5733706442045801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10.157999238121601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90" s="5">
        <f>IF((DiscreteStatsTable[[#This Row],[RepsRequested]]&gt;1),DiscreteStatsTable[[#This Row],[HalfWidth]],DiscreteStatsTable[[#This Row],[BatchMeansHalfWidth]])</f>
        <v>4.0781028327263158E-2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12</v>
      </c>
      <c r="Y290" s="5">
        <f>IF(DiscreteStatsTable[[#This Row],[RepsRequested]]=DiscreteStatsTable[[#This Row],[RepsWithStatObserved]],1,0)</f>
        <v>1</v>
      </c>
    </row>
    <row r="291" spans="1:25" x14ac:dyDescent="0.25">
      <c r="A291" t="s">
        <v>68</v>
      </c>
      <c r="B291" t="s">
        <v>70</v>
      </c>
      <c r="C291">
        <v>9</v>
      </c>
      <c r="D291" t="s">
        <v>92</v>
      </c>
      <c r="E291" t="s">
        <v>83</v>
      </c>
      <c r="F291" t="s">
        <v>82</v>
      </c>
      <c r="G291">
        <v>1.94998410656736</v>
      </c>
      <c r="H291">
        <v>5.6234616787358097E-2</v>
      </c>
      <c r="I291">
        <v>0</v>
      </c>
      <c r="J291">
        <v>3.97443206444609</v>
      </c>
      <c r="K291">
        <v>793</v>
      </c>
      <c r="L291" s="5" t="str">
        <f>DiscreteStatsTable[[#This Row],[ProjectName]]&amp;DiscreteStatsTable[[#This Row],[Name]]&amp;DiscreteStatsTable[[#This Row],[Type]]&amp;DiscreteStatsTable[[#This Row],[Source]]</f>
        <v>Tener ArticulsoSacar ArticulosVA Time Per EntityProcess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12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1.9936632735826756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3.5301695029500854E-2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2.2429626933135546E-2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1.94998410656736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2.0714547119998601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3.9809861860223901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91" s="5">
        <f>IF((DiscreteStatsTable[[#This Row],[RepsRequested]]&gt;1),DiscreteStatsTable[[#This Row],[HalfWidth]],DiscreteStatsTable[[#This Row],[BatchMeansHalfWidth]])</f>
        <v>2.2429626933135546E-2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12</v>
      </c>
      <c r="Y291" s="5">
        <f>IF(DiscreteStatsTable[[#This Row],[RepsRequested]]=DiscreteStatsTable[[#This Row],[RepsWithStatObserved]],1,0)</f>
        <v>1</v>
      </c>
    </row>
    <row r="292" spans="1:25" x14ac:dyDescent="0.25">
      <c r="A292" t="s">
        <v>68</v>
      </c>
      <c r="B292" t="s">
        <v>70</v>
      </c>
      <c r="C292">
        <v>9</v>
      </c>
      <c r="D292" t="s">
        <v>92</v>
      </c>
      <c r="E292" t="s">
        <v>84</v>
      </c>
      <c r="F292" t="s">
        <v>82</v>
      </c>
      <c r="G292">
        <v>1.4216038845674701</v>
      </c>
      <c r="H292">
        <v>8.9246041862253295E-2</v>
      </c>
      <c r="I292">
        <v>0</v>
      </c>
      <c r="J292">
        <v>6.3848591316541397</v>
      </c>
      <c r="K292">
        <v>793</v>
      </c>
      <c r="L292" s="5" t="str">
        <f>DiscreteStatsTable[[#This Row],[ProjectName]]&amp;DiscreteStatsTable[[#This Row],[Name]]&amp;DiscreteStatsTable[[#This Row],[Type]]&amp;DiscreteStatsTable[[#This Row],[Source]]</f>
        <v>Tener ArticulsoSacar ArticulosWait Time Per EntityProcess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12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1.4486275245091296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3.4039182804273552E-2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2.1627464935341765E-2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1.39936694366582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1.5269729168688699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7.5129638101070704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92" s="5">
        <f>IF((DiscreteStatsTable[[#This Row],[RepsRequested]]&gt;1),DiscreteStatsTable[[#This Row],[HalfWidth]],DiscreteStatsTable[[#This Row],[BatchMeansHalfWidth]])</f>
        <v>2.1627464935341765E-2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12</v>
      </c>
      <c r="Y292" s="5">
        <f>IF(DiscreteStatsTable[[#This Row],[RepsRequested]]=DiscreteStatsTable[[#This Row],[RepsWithStatObserved]],1,0)</f>
        <v>1</v>
      </c>
    </row>
    <row r="293" spans="1:25" x14ac:dyDescent="0.25">
      <c r="A293" t="s">
        <v>68</v>
      </c>
      <c r="B293" t="s">
        <v>70</v>
      </c>
      <c r="C293">
        <v>10</v>
      </c>
      <c r="D293" t="s">
        <v>92</v>
      </c>
      <c r="E293" t="s">
        <v>81</v>
      </c>
      <c r="F293" t="s">
        <v>82</v>
      </c>
      <c r="G293">
        <v>3.47370558673328</v>
      </c>
      <c r="H293">
        <v>3E+20</v>
      </c>
      <c r="I293">
        <v>0</v>
      </c>
      <c r="J293">
        <v>9.9865233867397496</v>
      </c>
      <c r="K293">
        <v>793</v>
      </c>
      <c r="L293" s="5" t="str">
        <f>DiscreteStatsTable[[#This Row],[ProjectName]]&amp;DiscreteStatsTable[[#This Row],[Name]]&amp;DiscreteStatsTable[[#This Row],[Type]]&amp;DiscreteStatsTable[[#This Row],[Source]]</f>
        <v>Tener ArticulsoSacar ArticulosTotal Time Per EntityProcess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12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3.4422907980918054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6.41847244847253E-2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4.0781028327263158E-2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3.3715879911348301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3.5733706442045801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10.157999238121601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93" s="5">
        <f>IF((DiscreteStatsTable[[#This Row],[RepsRequested]]&gt;1),DiscreteStatsTable[[#This Row],[HalfWidth]],DiscreteStatsTable[[#This Row],[BatchMeansHalfWidth]])</f>
        <v>4.0781028327263158E-2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12</v>
      </c>
      <c r="Y293" s="5">
        <f>IF(DiscreteStatsTable[[#This Row],[RepsRequested]]=DiscreteStatsTable[[#This Row],[RepsWithStatObserved]],1,0)</f>
        <v>1</v>
      </c>
    </row>
    <row r="294" spans="1:25" x14ac:dyDescent="0.25">
      <c r="A294" t="s">
        <v>68</v>
      </c>
      <c r="B294" t="s">
        <v>70</v>
      </c>
      <c r="C294">
        <v>10</v>
      </c>
      <c r="D294" t="s">
        <v>92</v>
      </c>
      <c r="E294" t="s">
        <v>83</v>
      </c>
      <c r="F294" t="s">
        <v>82</v>
      </c>
      <c r="G294">
        <v>2.0102553067397202</v>
      </c>
      <c r="H294">
        <v>3E+20</v>
      </c>
      <c r="I294">
        <v>0</v>
      </c>
      <c r="J294">
        <v>3.9625916313671001</v>
      </c>
      <c r="K294">
        <v>793</v>
      </c>
      <c r="L294" s="5" t="str">
        <f>DiscreteStatsTable[[#This Row],[ProjectName]]&amp;DiscreteStatsTable[[#This Row],[Name]]&amp;DiscreteStatsTable[[#This Row],[Type]]&amp;DiscreteStatsTable[[#This Row],[Source]]</f>
        <v>Tener ArticulsoSacar ArticulosVA Time Per EntityProcess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12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1.9936632735826756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3.5301695029500854E-2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2.2429626933135546E-2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1.94998410656736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2.0714547119998601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3.9809861860223901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94" s="5">
        <f>IF((DiscreteStatsTable[[#This Row],[RepsRequested]]&gt;1),DiscreteStatsTable[[#This Row],[HalfWidth]],DiscreteStatsTable[[#This Row],[BatchMeansHalfWidth]])</f>
        <v>2.2429626933135546E-2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12</v>
      </c>
      <c r="Y294" s="5">
        <f>IF(DiscreteStatsTable[[#This Row],[RepsRequested]]=DiscreteStatsTable[[#This Row],[RepsWithStatObserved]],1,0)</f>
        <v>1</v>
      </c>
    </row>
    <row r="295" spans="1:25" x14ac:dyDescent="0.25">
      <c r="A295" t="s">
        <v>68</v>
      </c>
      <c r="B295" t="s">
        <v>70</v>
      </c>
      <c r="C295">
        <v>10</v>
      </c>
      <c r="D295" t="s">
        <v>92</v>
      </c>
      <c r="E295" t="s">
        <v>84</v>
      </c>
      <c r="F295" t="s">
        <v>82</v>
      </c>
      <c r="G295">
        <v>1.46345027999356</v>
      </c>
      <c r="H295">
        <v>9.2830552346511094E-2</v>
      </c>
      <c r="I295">
        <v>0</v>
      </c>
      <c r="J295">
        <v>6.9389179748486596</v>
      </c>
      <c r="K295">
        <v>793</v>
      </c>
      <c r="L295" s="5" t="str">
        <f>DiscreteStatsTable[[#This Row],[ProjectName]]&amp;DiscreteStatsTable[[#This Row],[Name]]&amp;DiscreteStatsTable[[#This Row],[Type]]&amp;DiscreteStatsTable[[#This Row],[Source]]</f>
        <v>Tener ArticulsoSacar ArticulosWait Time Per EntityProcess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12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1.4486275245091296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3.4039182804273552E-2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2.1627464935341765E-2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1.39936694366582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1.5269729168688699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7.5129638101070704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95" s="5">
        <f>IF((DiscreteStatsTable[[#This Row],[RepsRequested]]&gt;1),DiscreteStatsTable[[#This Row],[HalfWidth]],DiscreteStatsTable[[#This Row],[BatchMeansHalfWidth]])</f>
        <v>2.1627464935341765E-2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12</v>
      </c>
      <c r="Y295" s="5">
        <f>IF(DiscreteStatsTable[[#This Row],[RepsRequested]]=DiscreteStatsTable[[#This Row],[RepsWithStatObserved]],1,0)</f>
        <v>1</v>
      </c>
    </row>
    <row r="296" spans="1:25" x14ac:dyDescent="0.25">
      <c r="A296" t="s">
        <v>68</v>
      </c>
      <c r="B296" t="s">
        <v>70</v>
      </c>
      <c r="C296">
        <v>11</v>
      </c>
      <c r="D296" t="s">
        <v>92</v>
      </c>
      <c r="E296" t="s">
        <v>81</v>
      </c>
      <c r="F296" t="s">
        <v>82</v>
      </c>
      <c r="G296">
        <v>3.3950921320212002</v>
      </c>
      <c r="H296">
        <v>0.176029309279156</v>
      </c>
      <c r="I296">
        <v>0</v>
      </c>
      <c r="J296">
        <v>9.4366871429972399</v>
      </c>
      <c r="K296">
        <v>801</v>
      </c>
      <c r="L296" s="5" t="str">
        <f>DiscreteStatsTable[[#This Row],[ProjectName]]&amp;DiscreteStatsTable[[#This Row],[Name]]&amp;DiscreteStatsTable[[#This Row],[Type]]&amp;DiscreteStatsTable[[#This Row],[Source]]</f>
        <v>Tener ArticulsoSacar ArticulosTotal Time Per EntityProcess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12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3.4422907980918054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6.41847244847253E-2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4.0781028327263158E-2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3.3715879911348301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3.5733706442045801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10.157999238121601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96" s="5">
        <f>IF((DiscreteStatsTable[[#This Row],[RepsRequested]]&gt;1),DiscreteStatsTable[[#This Row],[HalfWidth]],DiscreteStatsTable[[#This Row],[BatchMeansHalfWidth]])</f>
        <v>4.0781028327263158E-2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12</v>
      </c>
      <c r="Y296" s="5">
        <f>IF(DiscreteStatsTable[[#This Row],[RepsRequested]]=DiscreteStatsTable[[#This Row],[RepsWithStatObserved]],1,0)</f>
        <v>1</v>
      </c>
    </row>
    <row r="297" spans="1:25" x14ac:dyDescent="0.25">
      <c r="A297" t="s">
        <v>68</v>
      </c>
      <c r="B297" t="s">
        <v>70</v>
      </c>
      <c r="C297">
        <v>11</v>
      </c>
      <c r="D297" t="s">
        <v>92</v>
      </c>
      <c r="E297" t="s">
        <v>83</v>
      </c>
      <c r="F297" t="s">
        <v>82</v>
      </c>
      <c r="G297">
        <v>1.9957251883553799</v>
      </c>
      <c r="H297">
        <v>9.5019356221526394E-2</v>
      </c>
      <c r="I297">
        <v>0</v>
      </c>
      <c r="J297">
        <v>3.9040816687722799</v>
      </c>
      <c r="K297">
        <v>801</v>
      </c>
      <c r="L297" s="5" t="str">
        <f>DiscreteStatsTable[[#This Row],[ProjectName]]&amp;DiscreteStatsTable[[#This Row],[Name]]&amp;DiscreteStatsTable[[#This Row],[Type]]&amp;DiscreteStatsTable[[#This Row],[Source]]</f>
        <v>Tener ArticulsoSacar ArticulosVA Time Per EntityProcess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12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1.9936632735826756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3.5301695029500854E-2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2.2429626933135546E-2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1.94998410656736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2.0714547119998601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3.9809861860223901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97" s="5">
        <f>IF((DiscreteStatsTable[[#This Row],[RepsRequested]]&gt;1),DiscreteStatsTable[[#This Row],[HalfWidth]],DiscreteStatsTable[[#This Row],[BatchMeansHalfWidth]])</f>
        <v>2.2429626933135546E-2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12</v>
      </c>
      <c r="Y297" s="5">
        <f>IF(DiscreteStatsTable[[#This Row],[RepsRequested]]=DiscreteStatsTable[[#This Row],[RepsWithStatObserved]],1,0)</f>
        <v>1</v>
      </c>
    </row>
    <row r="298" spans="1:25" x14ac:dyDescent="0.25">
      <c r="A298" t="s">
        <v>68</v>
      </c>
      <c r="B298" t="s">
        <v>70</v>
      </c>
      <c r="C298">
        <v>11</v>
      </c>
      <c r="D298" t="s">
        <v>92</v>
      </c>
      <c r="E298" t="s">
        <v>84</v>
      </c>
      <c r="F298" t="s">
        <v>82</v>
      </c>
      <c r="G298">
        <v>1.39936694366582</v>
      </c>
      <c r="H298">
        <v>0.106743581550398</v>
      </c>
      <c r="I298">
        <v>0</v>
      </c>
      <c r="J298">
        <v>7.0906399852425999</v>
      </c>
      <c r="K298">
        <v>801</v>
      </c>
      <c r="L298" s="5" t="str">
        <f>DiscreteStatsTable[[#This Row],[ProjectName]]&amp;DiscreteStatsTable[[#This Row],[Name]]&amp;DiscreteStatsTable[[#This Row],[Type]]&amp;DiscreteStatsTable[[#This Row],[Source]]</f>
        <v>Tener ArticulsoSacar ArticulosWait Time Per EntityProcess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12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1.4486275245091296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3.4039182804273552E-2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2.1627464935341765E-2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1.39936694366582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1.5269729168688699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7.5129638101070704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98" s="5">
        <f>IF((DiscreteStatsTable[[#This Row],[RepsRequested]]&gt;1),DiscreteStatsTable[[#This Row],[HalfWidth]],DiscreteStatsTable[[#This Row],[BatchMeansHalfWidth]])</f>
        <v>2.1627464935341765E-2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12</v>
      </c>
      <c r="Y298" s="5">
        <f>IF(DiscreteStatsTable[[#This Row],[RepsRequested]]=DiscreteStatsTable[[#This Row],[RepsWithStatObserved]],1,0)</f>
        <v>1</v>
      </c>
    </row>
    <row r="299" spans="1:25" x14ac:dyDescent="0.25">
      <c r="A299" t="s">
        <v>68</v>
      </c>
      <c r="B299" t="s">
        <v>70</v>
      </c>
      <c r="C299">
        <v>12</v>
      </c>
      <c r="D299" t="s">
        <v>92</v>
      </c>
      <c r="E299" t="s">
        <v>81</v>
      </c>
      <c r="F299" t="s">
        <v>82</v>
      </c>
      <c r="G299">
        <v>3.5496998982605299</v>
      </c>
      <c r="H299">
        <v>0.206500369535803</v>
      </c>
      <c r="I299">
        <v>0</v>
      </c>
      <c r="J299">
        <v>9.3061765197686608</v>
      </c>
      <c r="K299">
        <v>737</v>
      </c>
      <c r="L299" s="5" t="str">
        <f>DiscreteStatsTable[[#This Row],[ProjectName]]&amp;DiscreteStatsTable[[#This Row],[Name]]&amp;DiscreteStatsTable[[#This Row],[Type]]&amp;DiscreteStatsTable[[#This Row],[Source]]</f>
        <v>Tener ArticulsoSacar ArticulosTotal Time Per EntityProcess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12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3.4422907980918054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6.41847244847253E-2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4.0781028327263158E-2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3.3715879911348301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3.5733706442045801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10.157999238121601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299" s="5">
        <f>IF((DiscreteStatsTable[[#This Row],[RepsRequested]]&gt;1),DiscreteStatsTable[[#This Row],[HalfWidth]],DiscreteStatsTable[[#This Row],[BatchMeansHalfWidth]])</f>
        <v>4.0781028327263158E-2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12</v>
      </c>
      <c r="Y299" s="5">
        <f>IF(DiscreteStatsTable[[#This Row],[RepsRequested]]=DiscreteStatsTable[[#This Row],[RepsWithStatObserved]],1,0)</f>
        <v>1</v>
      </c>
    </row>
    <row r="300" spans="1:25" x14ac:dyDescent="0.25">
      <c r="A300" t="s">
        <v>68</v>
      </c>
      <c r="B300" t="s">
        <v>70</v>
      </c>
      <c r="C300">
        <v>12</v>
      </c>
      <c r="D300" t="s">
        <v>92</v>
      </c>
      <c r="E300" t="s">
        <v>83</v>
      </c>
      <c r="F300" t="s">
        <v>82</v>
      </c>
      <c r="G300">
        <v>2.0714547119998601</v>
      </c>
      <c r="H300">
        <v>0.119515971602563</v>
      </c>
      <c r="I300">
        <v>0</v>
      </c>
      <c r="J300">
        <v>3.8659829327878001</v>
      </c>
      <c r="K300">
        <v>737</v>
      </c>
      <c r="L300" s="5" t="str">
        <f>DiscreteStatsTable[[#This Row],[ProjectName]]&amp;DiscreteStatsTable[[#This Row],[Name]]&amp;DiscreteStatsTable[[#This Row],[Type]]&amp;DiscreteStatsTable[[#This Row],[Source]]</f>
        <v>Tener ArticulsoSacar ArticulosVA Time Per EntityProcess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12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1.9936632735826756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3.5301695029500854E-2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2.2429626933135546E-2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1.94998410656736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2.0714547119998601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3.9809861860223901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300" s="5">
        <f>IF((DiscreteStatsTable[[#This Row],[RepsRequested]]&gt;1),DiscreteStatsTable[[#This Row],[HalfWidth]],DiscreteStatsTable[[#This Row],[BatchMeansHalfWidth]])</f>
        <v>2.2429626933135546E-2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12</v>
      </c>
      <c r="Y300" s="5">
        <f>IF(DiscreteStatsTable[[#This Row],[RepsRequested]]=DiscreteStatsTable[[#This Row],[RepsWithStatObserved]],1,0)</f>
        <v>1</v>
      </c>
    </row>
    <row r="301" spans="1:25" x14ac:dyDescent="0.25">
      <c r="A301" t="s">
        <v>68</v>
      </c>
      <c r="B301" t="s">
        <v>70</v>
      </c>
      <c r="C301">
        <v>12</v>
      </c>
      <c r="D301" t="s">
        <v>92</v>
      </c>
      <c r="E301" t="s">
        <v>84</v>
      </c>
      <c r="F301" t="s">
        <v>82</v>
      </c>
      <c r="G301">
        <v>1.47824518626066</v>
      </c>
      <c r="H301">
        <v>0.116696280344877</v>
      </c>
      <c r="I301">
        <v>0</v>
      </c>
      <c r="J301">
        <v>6.82923520019727</v>
      </c>
      <c r="K301">
        <v>737</v>
      </c>
      <c r="L301" s="5" t="str">
        <f>DiscreteStatsTable[[#This Row],[ProjectName]]&amp;DiscreteStatsTable[[#This Row],[Name]]&amp;DiscreteStatsTable[[#This Row],[Type]]&amp;DiscreteStatsTable[[#This Row],[Source]]</f>
        <v>Tener ArticulsoSacar ArticulosWait Time Per EntityProcess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12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1.4486275245091296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3.4039182804273552E-2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2.1627464935341765E-2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1.39936694366582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1.5269729168688699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7.5129638101070704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795.08333333333337</v>
      </c>
      <c r="W301" s="5">
        <f>IF((DiscreteStatsTable[[#This Row],[RepsRequested]]&gt;1),DiscreteStatsTable[[#This Row],[HalfWidth]],DiscreteStatsTable[[#This Row],[BatchMeansHalfWidth]])</f>
        <v>2.1627464935341765E-2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12</v>
      </c>
      <c r="Y301" s="5">
        <f>IF(DiscreteStatsTable[[#This Row],[RepsRequested]]=DiscreteStatsTable[[#This Row],[RepsWithStatObserved]],1,0)</f>
        <v>1</v>
      </c>
    </row>
    <row r="302" spans="1:25" x14ac:dyDescent="0.25">
      <c r="A302" t="s">
        <v>68</v>
      </c>
      <c r="B302" t="s">
        <v>70</v>
      </c>
      <c r="C302">
        <v>1</v>
      </c>
      <c r="D302" t="s">
        <v>93</v>
      </c>
      <c r="E302" t="s">
        <v>86</v>
      </c>
      <c r="F302" t="s">
        <v>87</v>
      </c>
      <c r="G302">
        <v>1.43419640203836</v>
      </c>
      <c r="H302">
        <v>0.112711844113752</v>
      </c>
      <c r="I302">
        <v>0</v>
      </c>
      <c r="J302">
        <v>6.7248242325302998</v>
      </c>
      <c r="K302">
        <v>797</v>
      </c>
      <c r="L302" s="5" t="str">
        <f>DiscreteStatsTable[[#This Row],[ProjectName]]&amp;DiscreteStatsTable[[#This Row],[Name]]&amp;DiscreteStatsTable[[#This Row],[Type]]&amp;DiscreteStatsTable[[#This Row],[Source]]</f>
        <v>Tener ArticulsoSacar Articulos.QueueWaiting TimeQueue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12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1.4477888370066827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3.4204468115733154E-2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2.1732482212004203E-2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1.3976220971026501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1.5250618118415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7.5129638101070704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795.66666666666663</v>
      </c>
      <c r="W302" s="5">
        <f>IF((DiscreteStatsTable[[#This Row],[RepsRequested]]&gt;1),DiscreteStatsTable[[#This Row],[HalfWidth]],DiscreteStatsTable[[#This Row],[BatchMeansHalfWidth]])</f>
        <v>2.1732482212004203E-2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12</v>
      </c>
      <c r="Y302" s="5">
        <f>IF(DiscreteStatsTable[[#This Row],[RepsRequested]]=DiscreteStatsTable[[#This Row],[RepsWithStatObserved]],1,0)</f>
        <v>1</v>
      </c>
    </row>
    <row r="303" spans="1:25" x14ac:dyDescent="0.25">
      <c r="A303" t="s">
        <v>68</v>
      </c>
      <c r="B303" t="s">
        <v>70</v>
      </c>
      <c r="C303">
        <v>2</v>
      </c>
      <c r="D303" t="s">
        <v>93</v>
      </c>
      <c r="E303" t="s">
        <v>86</v>
      </c>
      <c r="F303" t="s">
        <v>87</v>
      </c>
      <c r="G303">
        <v>1.43843613867491</v>
      </c>
      <c r="H303">
        <v>0.109600176962611</v>
      </c>
      <c r="I303">
        <v>0</v>
      </c>
      <c r="J303">
        <v>6.9008538036630398</v>
      </c>
      <c r="K303">
        <v>842</v>
      </c>
      <c r="L303" s="5" t="str">
        <f>DiscreteStatsTable[[#This Row],[ProjectName]]&amp;DiscreteStatsTable[[#This Row],[Name]]&amp;DiscreteStatsTable[[#This Row],[Type]]&amp;DiscreteStatsTable[[#This Row],[Source]]</f>
        <v>Tener ArticulsoSacar Articulos.QueueWaiting TimeQueue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12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1.4477888370066827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3.4204468115733154E-2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2.1732482212004203E-2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1.3976220971026501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1.5250618118415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7.5129638101070704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795.66666666666663</v>
      </c>
      <c r="W303" s="5">
        <f>IF((DiscreteStatsTable[[#This Row],[RepsRequested]]&gt;1),DiscreteStatsTable[[#This Row],[HalfWidth]],DiscreteStatsTable[[#This Row],[BatchMeansHalfWidth]])</f>
        <v>2.1732482212004203E-2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12</v>
      </c>
      <c r="Y303" s="5">
        <f>IF(DiscreteStatsTable[[#This Row],[RepsRequested]]=DiscreteStatsTable[[#This Row],[RepsWithStatObserved]],1,0)</f>
        <v>1</v>
      </c>
    </row>
    <row r="304" spans="1:25" x14ac:dyDescent="0.25">
      <c r="A304" t="s">
        <v>68</v>
      </c>
      <c r="B304" t="s">
        <v>70</v>
      </c>
      <c r="C304">
        <v>3</v>
      </c>
      <c r="D304" t="s">
        <v>93</v>
      </c>
      <c r="E304" t="s">
        <v>86</v>
      </c>
      <c r="F304" t="s">
        <v>87</v>
      </c>
      <c r="G304">
        <v>1.4493074616958601</v>
      </c>
      <c r="H304">
        <v>3E+20</v>
      </c>
      <c r="I304">
        <v>0</v>
      </c>
      <c r="J304">
        <v>7.3132535104938698</v>
      </c>
      <c r="K304">
        <v>835</v>
      </c>
      <c r="L304" s="5" t="str">
        <f>DiscreteStatsTable[[#This Row],[ProjectName]]&amp;DiscreteStatsTable[[#This Row],[Name]]&amp;DiscreteStatsTable[[#This Row],[Type]]&amp;DiscreteStatsTable[[#This Row],[Source]]</f>
        <v>Tener ArticulsoSacar Articulos.QueueWaiting TimeQueue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12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1.4477888370066827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3.4204468115733154E-2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2.1732482212004203E-2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1.3976220971026501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1.5250618118415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7.5129638101070704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795.66666666666663</v>
      </c>
      <c r="W304" s="5">
        <f>IF((DiscreteStatsTable[[#This Row],[RepsRequested]]&gt;1),DiscreteStatsTable[[#This Row],[HalfWidth]],DiscreteStatsTable[[#This Row],[BatchMeansHalfWidth]])</f>
        <v>2.1732482212004203E-2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12</v>
      </c>
      <c r="Y304" s="5">
        <f>IF(DiscreteStatsTable[[#This Row],[RepsRequested]]=DiscreteStatsTable[[#This Row],[RepsWithStatObserved]],1,0)</f>
        <v>1</v>
      </c>
    </row>
    <row r="305" spans="1:25" x14ac:dyDescent="0.25">
      <c r="A305" t="s">
        <v>68</v>
      </c>
      <c r="B305" t="s">
        <v>70</v>
      </c>
      <c r="C305">
        <v>4</v>
      </c>
      <c r="D305" t="s">
        <v>93</v>
      </c>
      <c r="E305" t="s">
        <v>86</v>
      </c>
      <c r="F305" t="s">
        <v>87</v>
      </c>
      <c r="G305">
        <v>1.4764555560516699</v>
      </c>
      <c r="H305">
        <v>0.121373757654932</v>
      </c>
      <c r="I305">
        <v>0</v>
      </c>
      <c r="J305">
        <v>7.2038489727522101</v>
      </c>
      <c r="K305">
        <v>835</v>
      </c>
      <c r="L305" s="5" t="str">
        <f>DiscreteStatsTable[[#This Row],[ProjectName]]&amp;DiscreteStatsTable[[#This Row],[Name]]&amp;DiscreteStatsTable[[#This Row],[Type]]&amp;DiscreteStatsTable[[#This Row],[Source]]</f>
        <v>Tener ArticulsoSacar Articulos.QueueWaiting TimeQueue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12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1.4477888370066827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3.4204468115733154E-2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2.1732482212004203E-2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1.3976220971026501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1.5250618118415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7.5129638101070704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795.66666666666663</v>
      </c>
      <c r="W305" s="5">
        <f>IF((DiscreteStatsTable[[#This Row],[RepsRequested]]&gt;1),DiscreteStatsTable[[#This Row],[HalfWidth]],DiscreteStatsTable[[#This Row],[BatchMeansHalfWidth]])</f>
        <v>2.1732482212004203E-2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12</v>
      </c>
      <c r="Y305" s="5">
        <f>IF(DiscreteStatsTable[[#This Row],[RepsRequested]]=DiscreteStatsTable[[#This Row],[RepsWithStatObserved]],1,0)</f>
        <v>1</v>
      </c>
    </row>
    <row r="306" spans="1:25" x14ac:dyDescent="0.25">
      <c r="A306" t="s">
        <v>68</v>
      </c>
      <c r="B306" t="s">
        <v>70</v>
      </c>
      <c r="C306">
        <v>5</v>
      </c>
      <c r="D306" t="s">
        <v>93</v>
      </c>
      <c r="E306" t="s">
        <v>86</v>
      </c>
      <c r="F306" t="s">
        <v>87</v>
      </c>
      <c r="G306">
        <v>1.41672274197824</v>
      </c>
      <c r="H306">
        <v>8.2022334096817195E-2</v>
      </c>
      <c r="I306">
        <v>0</v>
      </c>
      <c r="J306">
        <v>6.5928137441283097</v>
      </c>
      <c r="K306">
        <v>756</v>
      </c>
      <c r="L306" s="5" t="str">
        <f>DiscreteStatsTable[[#This Row],[ProjectName]]&amp;DiscreteStatsTable[[#This Row],[Name]]&amp;DiscreteStatsTable[[#This Row],[Type]]&amp;DiscreteStatsTable[[#This Row],[Source]]</f>
        <v>Tener ArticulsoSacar Articulos.QueueWaiting TimeQueue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12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1.4477888370066827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3.4204468115733154E-2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2.1732482212004203E-2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1.3976220971026501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1.5250618118415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7.5129638101070704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795.66666666666663</v>
      </c>
      <c r="W306" s="5">
        <f>IF((DiscreteStatsTable[[#This Row],[RepsRequested]]&gt;1),DiscreteStatsTable[[#This Row],[HalfWidth]],DiscreteStatsTable[[#This Row],[BatchMeansHalfWidth]])</f>
        <v>2.1732482212004203E-2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12</v>
      </c>
      <c r="Y306" s="5">
        <f>IF(DiscreteStatsTable[[#This Row],[RepsRequested]]=DiscreteStatsTable[[#This Row],[RepsWithStatObserved]],1,0)</f>
        <v>1</v>
      </c>
    </row>
    <row r="307" spans="1:25" x14ac:dyDescent="0.25">
      <c r="A307" t="s">
        <v>68</v>
      </c>
      <c r="B307" t="s">
        <v>70</v>
      </c>
      <c r="C307">
        <v>6</v>
      </c>
      <c r="D307" t="s">
        <v>93</v>
      </c>
      <c r="E307" t="s">
        <v>86</v>
      </c>
      <c r="F307" t="s">
        <v>87</v>
      </c>
      <c r="G307">
        <v>1.5250618118415</v>
      </c>
      <c r="H307">
        <v>9.2072056216226605E-2</v>
      </c>
      <c r="I307">
        <v>0</v>
      </c>
      <c r="J307">
        <v>7.3261180245390296</v>
      </c>
      <c r="K307">
        <v>799</v>
      </c>
      <c r="L307" s="5" t="str">
        <f>DiscreteStatsTable[[#This Row],[ProjectName]]&amp;DiscreteStatsTable[[#This Row],[Name]]&amp;DiscreteStatsTable[[#This Row],[Type]]&amp;DiscreteStatsTable[[#This Row],[Source]]</f>
        <v>Tener ArticulsoSacar Articulos.QueueWaiting TimeQueue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12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1.4477888370066827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3.4204468115733154E-2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2.1732482212004203E-2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1.3976220971026501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1.5250618118415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7.5129638101070704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795.66666666666663</v>
      </c>
      <c r="W307" s="5">
        <f>IF((DiscreteStatsTable[[#This Row],[RepsRequested]]&gt;1),DiscreteStatsTable[[#This Row],[HalfWidth]],DiscreteStatsTable[[#This Row],[BatchMeansHalfWidth]])</f>
        <v>2.1732482212004203E-2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12</v>
      </c>
      <c r="Y307" s="5">
        <f>IF(DiscreteStatsTable[[#This Row],[RepsRequested]]=DiscreteStatsTable[[#This Row],[RepsWithStatObserved]],1,0)</f>
        <v>1</v>
      </c>
    </row>
    <row r="308" spans="1:25" x14ac:dyDescent="0.25">
      <c r="A308" t="s">
        <v>68</v>
      </c>
      <c r="B308" t="s">
        <v>70</v>
      </c>
      <c r="C308">
        <v>7</v>
      </c>
      <c r="D308" t="s">
        <v>93</v>
      </c>
      <c r="E308" t="s">
        <v>86</v>
      </c>
      <c r="F308" t="s">
        <v>87</v>
      </c>
      <c r="G308">
        <v>1.4288551832915</v>
      </c>
      <c r="H308">
        <v>8.7366639430877399E-2</v>
      </c>
      <c r="I308">
        <v>0</v>
      </c>
      <c r="J308">
        <v>7.5129638101070704</v>
      </c>
      <c r="K308">
        <v>745</v>
      </c>
      <c r="L308" s="5" t="str">
        <f>DiscreteStatsTable[[#This Row],[ProjectName]]&amp;DiscreteStatsTable[[#This Row],[Name]]&amp;DiscreteStatsTable[[#This Row],[Type]]&amp;DiscreteStatsTable[[#This Row],[Source]]</f>
        <v>Tener ArticulsoSacar Articulos.QueueWaiting TimeQueue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12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1.4477888370066827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3.4204468115733154E-2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2.1732482212004203E-2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1.3976220971026501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1.5250618118415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7.5129638101070704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795.66666666666663</v>
      </c>
      <c r="W308" s="5">
        <f>IF((DiscreteStatsTable[[#This Row],[RepsRequested]]&gt;1),DiscreteStatsTable[[#This Row],[HalfWidth]],DiscreteStatsTable[[#This Row],[BatchMeansHalfWidth]])</f>
        <v>2.1732482212004203E-2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12</v>
      </c>
      <c r="Y308" s="5">
        <f>IF(DiscreteStatsTable[[#This Row],[RepsRequested]]=DiscreteStatsTable[[#This Row],[RepsWithStatObserved]],1,0)</f>
        <v>1</v>
      </c>
    </row>
    <row r="309" spans="1:25" x14ac:dyDescent="0.25">
      <c r="A309" t="s">
        <v>68</v>
      </c>
      <c r="B309" t="s">
        <v>70</v>
      </c>
      <c r="C309">
        <v>8</v>
      </c>
      <c r="D309" t="s">
        <v>93</v>
      </c>
      <c r="E309" t="s">
        <v>86</v>
      </c>
      <c r="F309" t="s">
        <v>87</v>
      </c>
      <c r="G309">
        <v>1.4452997336878</v>
      </c>
      <c r="H309">
        <v>9.3815632698723103E-2</v>
      </c>
      <c r="I309">
        <v>0</v>
      </c>
      <c r="J309">
        <v>6.7823813133479698</v>
      </c>
      <c r="K309">
        <v>813</v>
      </c>
      <c r="L309" s="5" t="str">
        <f>DiscreteStatsTable[[#This Row],[ProjectName]]&amp;DiscreteStatsTable[[#This Row],[Name]]&amp;DiscreteStatsTable[[#This Row],[Type]]&amp;DiscreteStatsTable[[#This Row],[Source]]</f>
        <v>Tener ArticulsoSacar Articulos.QueueWaiting TimeQueue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12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1.4477888370066827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3.4204468115733154E-2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2.1732482212004203E-2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1.3976220971026501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1.5250618118415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7.5129638101070704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795.66666666666663</v>
      </c>
      <c r="W309" s="5">
        <f>IF((DiscreteStatsTable[[#This Row],[RepsRequested]]&gt;1),DiscreteStatsTable[[#This Row],[HalfWidth]],DiscreteStatsTable[[#This Row],[BatchMeansHalfWidth]])</f>
        <v>2.1732482212004203E-2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12</v>
      </c>
      <c r="Y309" s="5">
        <f>IF(DiscreteStatsTable[[#This Row],[RepsRequested]]=DiscreteStatsTable[[#This Row],[RepsWithStatObserved]],1,0)</f>
        <v>1</v>
      </c>
    </row>
    <row r="310" spans="1:25" x14ac:dyDescent="0.25">
      <c r="A310" t="s">
        <v>68</v>
      </c>
      <c r="B310" t="s">
        <v>70</v>
      </c>
      <c r="C310">
        <v>9</v>
      </c>
      <c r="D310" t="s">
        <v>93</v>
      </c>
      <c r="E310" t="s">
        <v>86</v>
      </c>
      <c r="F310" t="s">
        <v>87</v>
      </c>
      <c r="G310">
        <v>1.4198134514634799</v>
      </c>
      <c r="H310">
        <v>8.9246041862253295E-2</v>
      </c>
      <c r="I310">
        <v>0</v>
      </c>
      <c r="J310">
        <v>6.3848591316541397</v>
      </c>
      <c r="K310">
        <v>794</v>
      </c>
      <c r="L310" s="5" t="str">
        <f>DiscreteStatsTable[[#This Row],[ProjectName]]&amp;DiscreteStatsTable[[#This Row],[Name]]&amp;DiscreteStatsTable[[#This Row],[Type]]&amp;DiscreteStatsTable[[#This Row],[Source]]</f>
        <v>Tener ArticulsoSacar Articulos.QueueWaiting TimeQueue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12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1.4477888370066827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3.4204468115733154E-2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2.1732482212004203E-2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1.3976220971026501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1.5250618118415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7.5129638101070704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795.66666666666663</v>
      </c>
      <c r="W310" s="5">
        <f>IF((DiscreteStatsTable[[#This Row],[RepsRequested]]&gt;1),DiscreteStatsTable[[#This Row],[HalfWidth]],DiscreteStatsTable[[#This Row],[BatchMeansHalfWidth]])</f>
        <v>2.1732482212004203E-2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12</v>
      </c>
      <c r="Y310" s="5">
        <f>IF(DiscreteStatsTable[[#This Row],[RepsRequested]]=DiscreteStatsTable[[#This Row],[RepsWithStatObserved]],1,0)</f>
        <v>1</v>
      </c>
    </row>
    <row r="311" spans="1:25" x14ac:dyDescent="0.25">
      <c r="A311" t="s">
        <v>68</v>
      </c>
      <c r="B311" t="s">
        <v>70</v>
      </c>
      <c r="C311">
        <v>10</v>
      </c>
      <c r="D311" t="s">
        <v>93</v>
      </c>
      <c r="E311" t="s">
        <v>86</v>
      </c>
      <c r="F311" t="s">
        <v>87</v>
      </c>
      <c r="G311">
        <v>1.46345027999356</v>
      </c>
      <c r="H311">
        <v>9.2830552346511094E-2</v>
      </c>
      <c r="I311">
        <v>0</v>
      </c>
      <c r="J311">
        <v>6.9389179748486596</v>
      </c>
      <c r="K311">
        <v>793</v>
      </c>
      <c r="L311" s="5" t="str">
        <f>DiscreteStatsTable[[#This Row],[ProjectName]]&amp;DiscreteStatsTable[[#This Row],[Name]]&amp;DiscreteStatsTable[[#This Row],[Type]]&amp;DiscreteStatsTable[[#This Row],[Source]]</f>
        <v>Tener ArticulsoSacar Articulos.QueueWaiting TimeQueue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12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1.4477888370066827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3.4204468115733154E-2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2.1732482212004203E-2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1.3976220971026501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1.5250618118415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7.5129638101070704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795.66666666666663</v>
      </c>
      <c r="W311" s="5">
        <f>IF((DiscreteStatsTable[[#This Row],[RepsRequested]]&gt;1),DiscreteStatsTable[[#This Row],[HalfWidth]],DiscreteStatsTable[[#This Row],[BatchMeansHalfWidth]])</f>
        <v>2.1732482212004203E-2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12</v>
      </c>
      <c r="Y311" s="5">
        <f>IF(DiscreteStatsTable[[#This Row],[RepsRequested]]=DiscreteStatsTable[[#This Row],[RepsWithStatObserved]],1,0)</f>
        <v>1</v>
      </c>
    </row>
    <row r="312" spans="1:25" x14ac:dyDescent="0.25">
      <c r="A312" t="s">
        <v>68</v>
      </c>
      <c r="B312" t="s">
        <v>70</v>
      </c>
      <c r="C312">
        <v>11</v>
      </c>
      <c r="D312" t="s">
        <v>93</v>
      </c>
      <c r="E312" t="s">
        <v>86</v>
      </c>
      <c r="F312" t="s">
        <v>87</v>
      </c>
      <c r="G312">
        <v>1.3976220971026501</v>
      </c>
      <c r="H312">
        <v>0.106743581550398</v>
      </c>
      <c r="I312">
        <v>0</v>
      </c>
      <c r="J312">
        <v>7.0906399852425999</v>
      </c>
      <c r="K312">
        <v>802</v>
      </c>
      <c r="L312" s="5" t="str">
        <f>DiscreteStatsTable[[#This Row],[ProjectName]]&amp;DiscreteStatsTable[[#This Row],[Name]]&amp;DiscreteStatsTable[[#This Row],[Type]]&amp;DiscreteStatsTable[[#This Row],[Source]]</f>
        <v>Tener ArticulsoSacar Articulos.QueueWaiting TimeQueue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12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1.4477888370066827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3.4204468115733154E-2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2.1732482212004203E-2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1.3976220971026501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1.5250618118415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7.5129638101070704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795.66666666666663</v>
      </c>
      <c r="W312" s="5">
        <f>IF((DiscreteStatsTable[[#This Row],[RepsRequested]]&gt;1),DiscreteStatsTable[[#This Row],[HalfWidth]],DiscreteStatsTable[[#This Row],[BatchMeansHalfWidth]])</f>
        <v>2.1732482212004203E-2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12</v>
      </c>
      <c r="Y312" s="5">
        <f>IF(DiscreteStatsTable[[#This Row],[RepsRequested]]=DiscreteStatsTable[[#This Row],[RepsWithStatObserved]],1,0)</f>
        <v>1</v>
      </c>
    </row>
    <row r="313" spans="1:25" x14ac:dyDescent="0.25">
      <c r="A313" t="s">
        <v>68</v>
      </c>
      <c r="B313" t="s">
        <v>70</v>
      </c>
      <c r="C313">
        <v>12</v>
      </c>
      <c r="D313" t="s">
        <v>93</v>
      </c>
      <c r="E313" t="s">
        <v>86</v>
      </c>
      <c r="F313" t="s">
        <v>87</v>
      </c>
      <c r="G313">
        <v>1.47824518626066</v>
      </c>
      <c r="H313">
        <v>0.116696280344877</v>
      </c>
      <c r="I313">
        <v>0</v>
      </c>
      <c r="J313">
        <v>6.82923520019727</v>
      </c>
      <c r="K313">
        <v>737</v>
      </c>
      <c r="L313" s="5" t="str">
        <f>DiscreteStatsTable[[#This Row],[ProjectName]]&amp;DiscreteStatsTable[[#This Row],[Name]]&amp;DiscreteStatsTable[[#This Row],[Type]]&amp;DiscreteStatsTable[[#This Row],[Source]]</f>
        <v>Tener ArticulsoSacar Articulos.QueueWaiting TimeQueue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12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1.4477888370066827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3.4204468115733154E-2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2.1732482212004203E-2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1.3976220971026501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1.5250618118415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7.5129638101070704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795.66666666666663</v>
      </c>
      <c r="W313" s="5">
        <f>IF((DiscreteStatsTable[[#This Row],[RepsRequested]]&gt;1),DiscreteStatsTable[[#This Row],[HalfWidth]],DiscreteStatsTable[[#This Row],[BatchMeansHalfWidth]])</f>
        <v>2.1732482212004203E-2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12</v>
      </c>
      <c r="Y313" s="5">
        <f>IF(DiscreteStatsTable[[#This Row],[RepsRequested]]=DiscreteStatsTable[[#This Row],[RepsWithStatObserved]],1,0)</f>
        <v>1</v>
      </c>
    </row>
    <row r="314" spans="1:25" x14ac:dyDescent="0.25">
      <c r="A314" t="s">
        <v>68</v>
      </c>
      <c r="B314" t="s">
        <v>70</v>
      </c>
      <c r="C314">
        <v>1</v>
      </c>
      <c r="D314" t="s">
        <v>94</v>
      </c>
      <c r="E314" t="s">
        <v>86</v>
      </c>
      <c r="F314" t="s">
        <v>87</v>
      </c>
      <c r="G314">
        <v>1.4192006726430499</v>
      </c>
      <c r="H314">
        <v>8.61936468533894E-2</v>
      </c>
      <c r="I314">
        <v>0</v>
      </c>
      <c r="J314">
        <v>6.9412030597172798</v>
      </c>
      <c r="K314">
        <v>796</v>
      </c>
      <c r="L314" s="5" t="str">
        <f>DiscreteStatsTable[[#This Row],[ProjectName]]&amp;DiscreteStatsTable[[#This Row],[Name]]&amp;DiscreteStatsTable[[#This Row],[Type]]&amp;DiscreteStatsTable[[#This Row],[Source]]</f>
        <v>Tener ArticulsoTenerArticulos.QueueWaiting TimeQueue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12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1.4572273428819582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3.4185611758373625E-2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2.1720501454124481E-2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1.41293281540393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1.5228151748432599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7.1682281439000199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794.91666666666663</v>
      </c>
      <c r="W314" s="5">
        <f>IF((DiscreteStatsTable[[#This Row],[RepsRequested]]&gt;1),DiscreteStatsTable[[#This Row],[HalfWidth]],DiscreteStatsTable[[#This Row],[BatchMeansHalfWidth]])</f>
        <v>2.1720501454124481E-2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12</v>
      </c>
      <c r="Y314" s="5">
        <f>IF(DiscreteStatsTable[[#This Row],[RepsRequested]]=DiscreteStatsTable[[#This Row],[RepsWithStatObserved]],1,0)</f>
        <v>1</v>
      </c>
    </row>
    <row r="315" spans="1:25" x14ac:dyDescent="0.25">
      <c r="A315" t="s">
        <v>68</v>
      </c>
      <c r="B315" t="s">
        <v>70</v>
      </c>
      <c r="C315">
        <v>2</v>
      </c>
      <c r="D315" t="s">
        <v>94</v>
      </c>
      <c r="E315" t="s">
        <v>86</v>
      </c>
      <c r="F315" t="s">
        <v>87</v>
      </c>
      <c r="G315">
        <v>1.4443687976711901</v>
      </c>
      <c r="H315">
        <v>9.3412403363381996E-2</v>
      </c>
      <c r="I315">
        <v>0</v>
      </c>
      <c r="J315">
        <v>6.8450028437459904</v>
      </c>
      <c r="K315">
        <v>841</v>
      </c>
      <c r="L315" s="5" t="str">
        <f>DiscreteStatsTable[[#This Row],[ProjectName]]&amp;DiscreteStatsTable[[#This Row],[Name]]&amp;DiscreteStatsTable[[#This Row],[Type]]&amp;DiscreteStatsTable[[#This Row],[Source]]</f>
        <v>Tener ArticulsoTenerArticulos.QueueWaiting TimeQueue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12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1.4572273428819582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3.4185611758373625E-2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2.1720501454124481E-2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1.41293281540393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1.5228151748432599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7.1682281439000199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794.91666666666663</v>
      </c>
      <c r="W315" s="5">
        <f>IF((DiscreteStatsTable[[#This Row],[RepsRequested]]&gt;1),DiscreteStatsTable[[#This Row],[HalfWidth]],DiscreteStatsTable[[#This Row],[BatchMeansHalfWidth]])</f>
        <v>2.1720501454124481E-2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12</v>
      </c>
      <c r="Y315" s="5">
        <f>IF(DiscreteStatsTable[[#This Row],[RepsRequested]]=DiscreteStatsTable[[#This Row],[RepsWithStatObserved]],1,0)</f>
        <v>1</v>
      </c>
    </row>
    <row r="316" spans="1:25" x14ac:dyDescent="0.25">
      <c r="A316" t="s">
        <v>68</v>
      </c>
      <c r="B316" t="s">
        <v>70</v>
      </c>
      <c r="C316">
        <v>3</v>
      </c>
      <c r="D316" t="s">
        <v>94</v>
      </c>
      <c r="E316" t="s">
        <v>86</v>
      </c>
      <c r="F316" t="s">
        <v>87</v>
      </c>
      <c r="G316">
        <v>1.41293281540393</v>
      </c>
      <c r="H316">
        <v>0.106755198958116</v>
      </c>
      <c r="I316">
        <v>0</v>
      </c>
      <c r="J316">
        <v>6.9503231526846303</v>
      </c>
      <c r="K316">
        <v>833</v>
      </c>
      <c r="L316" s="5" t="str">
        <f>DiscreteStatsTable[[#This Row],[ProjectName]]&amp;DiscreteStatsTable[[#This Row],[Name]]&amp;DiscreteStatsTable[[#This Row],[Type]]&amp;DiscreteStatsTable[[#This Row],[Source]]</f>
        <v>Tener ArticulsoTenerArticulos.QueueWaiting TimeQueue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12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1.4572273428819582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3.4185611758373625E-2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2.1720501454124481E-2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1.41293281540393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1.5228151748432599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7.1682281439000199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794.91666666666663</v>
      </c>
      <c r="W316" s="5">
        <f>IF((DiscreteStatsTable[[#This Row],[RepsRequested]]&gt;1),DiscreteStatsTable[[#This Row],[HalfWidth]],DiscreteStatsTable[[#This Row],[BatchMeansHalfWidth]])</f>
        <v>2.1720501454124481E-2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12</v>
      </c>
      <c r="Y316" s="5">
        <f>IF(DiscreteStatsTable[[#This Row],[RepsRequested]]=DiscreteStatsTable[[#This Row],[RepsWithStatObserved]],1,0)</f>
        <v>1</v>
      </c>
    </row>
    <row r="317" spans="1:25" x14ac:dyDescent="0.25">
      <c r="A317" t="s">
        <v>68</v>
      </c>
      <c r="B317" t="s">
        <v>70</v>
      </c>
      <c r="C317">
        <v>4</v>
      </c>
      <c r="D317" t="s">
        <v>94</v>
      </c>
      <c r="E317" t="s">
        <v>86</v>
      </c>
      <c r="F317" t="s">
        <v>87</v>
      </c>
      <c r="G317">
        <v>1.4770961311794599</v>
      </c>
      <c r="H317">
        <v>0.113978376208236</v>
      </c>
      <c r="I317">
        <v>0</v>
      </c>
      <c r="J317">
        <v>6.6661922796858999</v>
      </c>
      <c r="K317">
        <v>835</v>
      </c>
      <c r="L317" s="5" t="str">
        <f>DiscreteStatsTable[[#This Row],[ProjectName]]&amp;DiscreteStatsTable[[#This Row],[Name]]&amp;DiscreteStatsTable[[#This Row],[Type]]&amp;DiscreteStatsTable[[#This Row],[Source]]</f>
        <v>Tener ArticulsoTenerArticulos.QueueWaiting TimeQueue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12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1.4572273428819582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3.4185611758373625E-2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2.1720501454124481E-2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1.41293281540393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1.5228151748432599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7.1682281439000199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794.91666666666663</v>
      </c>
      <c r="W317" s="5">
        <f>IF((DiscreteStatsTable[[#This Row],[RepsRequested]]&gt;1),DiscreteStatsTable[[#This Row],[HalfWidth]],DiscreteStatsTable[[#This Row],[BatchMeansHalfWidth]])</f>
        <v>2.1720501454124481E-2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12</v>
      </c>
      <c r="Y317" s="5">
        <f>IF(DiscreteStatsTable[[#This Row],[RepsRequested]]=DiscreteStatsTable[[#This Row],[RepsWithStatObserved]],1,0)</f>
        <v>1</v>
      </c>
    </row>
    <row r="318" spans="1:25" x14ac:dyDescent="0.25">
      <c r="A318" t="s">
        <v>68</v>
      </c>
      <c r="B318" t="s">
        <v>70</v>
      </c>
      <c r="C318">
        <v>5</v>
      </c>
      <c r="D318" t="s">
        <v>94</v>
      </c>
      <c r="E318" t="s">
        <v>86</v>
      </c>
      <c r="F318" t="s">
        <v>87</v>
      </c>
      <c r="G318">
        <v>1.4325087069559099</v>
      </c>
      <c r="H318">
        <v>0.101003559816987</v>
      </c>
      <c r="I318">
        <v>0</v>
      </c>
      <c r="J318">
        <v>6.5249463838760002</v>
      </c>
      <c r="K318">
        <v>756</v>
      </c>
      <c r="L318" s="5" t="str">
        <f>DiscreteStatsTable[[#This Row],[ProjectName]]&amp;DiscreteStatsTable[[#This Row],[Name]]&amp;DiscreteStatsTable[[#This Row],[Type]]&amp;DiscreteStatsTable[[#This Row],[Source]]</f>
        <v>Tener ArticulsoTenerArticulos.QueueWaiting TimeQueue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12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1.4572273428819582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3.4185611758373625E-2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2.1720501454124481E-2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1.41293281540393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1.5228151748432599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7.1682281439000199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794.91666666666663</v>
      </c>
      <c r="W318" s="5">
        <f>IF((DiscreteStatsTable[[#This Row],[RepsRequested]]&gt;1),DiscreteStatsTable[[#This Row],[HalfWidth]],DiscreteStatsTable[[#This Row],[BatchMeansHalfWidth]])</f>
        <v>2.1720501454124481E-2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12</v>
      </c>
      <c r="Y318" s="5">
        <f>IF(DiscreteStatsTable[[#This Row],[RepsRequested]]=DiscreteStatsTable[[#This Row],[RepsWithStatObserved]],1,0)</f>
        <v>1</v>
      </c>
    </row>
    <row r="319" spans="1:25" x14ac:dyDescent="0.25">
      <c r="A319" t="s">
        <v>68</v>
      </c>
      <c r="B319" t="s">
        <v>70</v>
      </c>
      <c r="C319">
        <v>6</v>
      </c>
      <c r="D319" t="s">
        <v>94</v>
      </c>
      <c r="E319" t="s">
        <v>86</v>
      </c>
      <c r="F319" t="s">
        <v>87</v>
      </c>
      <c r="G319">
        <v>1.5228151748432599</v>
      </c>
      <c r="H319">
        <v>9.2443977367197006E-2</v>
      </c>
      <c r="I319">
        <v>0</v>
      </c>
      <c r="J319">
        <v>6.9293348558721801</v>
      </c>
      <c r="K319">
        <v>798</v>
      </c>
      <c r="L319" s="5" t="str">
        <f>DiscreteStatsTable[[#This Row],[ProjectName]]&amp;DiscreteStatsTable[[#This Row],[Name]]&amp;DiscreteStatsTable[[#This Row],[Type]]&amp;DiscreteStatsTable[[#This Row],[Source]]</f>
        <v>Tener ArticulsoTenerArticulos.QueueWaiting TimeQueue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12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1.4572273428819582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3.4185611758373625E-2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2.1720501454124481E-2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1.41293281540393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1.5228151748432599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7.1682281439000199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794.91666666666663</v>
      </c>
      <c r="W319" s="5">
        <f>IF((DiscreteStatsTable[[#This Row],[RepsRequested]]&gt;1),DiscreteStatsTable[[#This Row],[HalfWidth]],DiscreteStatsTable[[#This Row],[BatchMeansHalfWidth]])</f>
        <v>2.1720501454124481E-2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12</v>
      </c>
      <c r="Y319" s="5">
        <f>IF(DiscreteStatsTable[[#This Row],[RepsRequested]]=DiscreteStatsTable[[#This Row],[RepsWithStatObserved]],1,0)</f>
        <v>1</v>
      </c>
    </row>
    <row r="320" spans="1:25" x14ac:dyDescent="0.25">
      <c r="A320" t="s">
        <v>68</v>
      </c>
      <c r="B320" t="s">
        <v>70</v>
      </c>
      <c r="C320">
        <v>7</v>
      </c>
      <c r="D320" t="s">
        <v>94</v>
      </c>
      <c r="E320" t="s">
        <v>86</v>
      </c>
      <c r="F320" t="s">
        <v>87</v>
      </c>
      <c r="G320">
        <v>1.48223716931251</v>
      </c>
      <c r="H320">
        <v>0.107128339662366</v>
      </c>
      <c r="I320">
        <v>0</v>
      </c>
      <c r="J320">
        <v>6.4939520433758799</v>
      </c>
      <c r="K320">
        <v>744</v>
      </c>
      <c r="L320" s="5" t="str">
        <f>DiscreteStatsTable[[#This Row],[ProjectName]]&amp;DiscreteStatsTable[[#This Row],[Name]]&amp;DiscreteStatsTable[[#This Row],[Type]]&amp;DiscreteStatsTable[[#This Row],[Source]]</f>
        <v>Tener ArticulsoTenerArticulos.QueueWaiting TimeQueue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12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1.4572273428819582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3.4185611758373625E-2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2.1720501454124481E-2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1.41293281540393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1.5228151748432599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7.1682281439000199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794.91666666666663</v>
      </c>
      <c r="W320" s="5">
        <f>IF((DiscreteStatsTable[[#This Row],[RepsRequested]]&gt;1),DiscreteStatsTable[[#This Row],[HalfWidth]],DiscreteStatsTable[[#This Row],[BatchMeansHalfWidth]])</f>
        <v>2.1720501454124481E-2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12</v>
      </c>
      <c r="Y320" s="5">
        <f>IF(DiscreteStatsTable[[#This Row],[RepsRequested]]=DiscreteStatsTable[[#This Row],[RepsWithStatObserved]],1,0)</f>
        <v>1</v>
      </c>
    </row>
    <row r="321" spans="1:25" x14ac:dyDescent="0.25">
      <c r="A321" t="s">
        <v>68</v>
      </c>
      <c r="B321" t="s">
        <v>70</v>
      </c>
      <c r="C321">
        <v>8</v>
      </c>
      <c r="D321" t="s">
        <v>94</v>
      </c>
      <c r="E321" t="s">
        <v>86</v>
      </c>
      <c r="F321" t="s">
        <v>87</v>
      </c>
      <c r="G321">
        <v>1.43986078361735</v>
      </c>
      <c r="H321">
        <v>0.10494025690584</v>
      </c>
      <c r="I321">
        <v>0</v>
      </c>
      <c r="J321">
        <v>6.8953986049353899</v>
      </c>
      <c r="K321">
        <v>813</v>
      </c>
      <c r="L321" s="5" t="str">
        <f>DiscreteStatsTable[[#This Row],[ProjectName]]&amp;DiscreteStatsTable[[#This Row],[Name]]&amp;DiscreteStatsTable[[#This Row],[Type]]&amp;DiscreteStatsTable[[#This Row],[Source]]</f>
        <v>Tener ArticulsoTenerArticulos.QueueWaiting TimeQueue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12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1.4572273428819582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3.4185611758373625E-2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2.1720501454124481E-2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1.41293281540393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1.5228151748432599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7.1682281439000199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794.91666666666663</v>
      </c>
      <c r="W321" s="5">
        <f>IF((DiscreteStatsTable[[#This Row],[RepsRequested]]&gt;1),DiscreteStatsTable[[#This Row],[HalfWidth]],DiscreteStatsTable[[#This Row],[BatchMeansHalfWidth]])</f>
        <v>2.1720501454124481E-2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12</v>
      </c>
      <c r="Y321" s="5">
        <f>IF(DiscreteStatsTable[[#This Row],[RepsRequested]]=DiscreteStatsTable[[#This Row],[RepsWithStatObserved]],1,0)</f>
        <v>1</v>
      </c>
    </row>
    <row r="322" spans="1:25" x14ac:dyDescent="0.25">
      <c r="A322" t="s">
        <v>68</v>
      </c>
      <c r="B322" t="s">
        <v>70</v>
      </c>
      <c r="C322">
        <v>9</v>
      </c>
      <c r="D322" t="s">
        <v>94</v>
      </c>
      <c r="E322" t="s">
        <v>86</v>
      </c>
      <c r="F322" t="s">
        <v>87</v>
      </c>
      <c r="G322">
        <v>1.45338726364671</v>
      </c>
      <c r="H322">
        <v>0.10724110034979201</v>
      </c>
      <c r="I322">
        <v>0</v>
      </c>
      <c r="J322">
        <v>6.6687308107225398</v>
      </c>
      <c r="K322">
        <v>793</v>
      </c>
      <c r="L322" s="5" t="str">
        <f>DiscreteStatsTable[[#This Row],[ProjectName]]&amp;DiscreteStatsTable[[#This Row],[Name]]&amp;DiscreteStatsTable[[#This Row],[Type]]&amp;DiscreteStatsTable[[#This Row],[Source]]</f>
        <v>Tener ArticulsoTenerArticulos.QueueWaiting TimeQueue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12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1.4572273428819582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3.4185611758373625E-2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2.1720501454124481E-2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1.41293281540393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1.5228151748432599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7.1682281439000199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794.91666666666663</v>
      </c>
      <c r="W322" s="5">
        <f>IF((DiscreteStatsTable[[#This Row],[RepsRequested]]&gt;1),DiscreteStatsTable[[#This Row],[HalfWidth]],DiscreteStatsTable[[#This Row],[BatchMeansHalfWidth]])</f>
        <v>2.1720501454124481E-2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12</v>
      </c>
      <c r="Y322" s="5">
        <f>IF(DiscreteStatsTable[[#This Row],[RepsRequested]]=DiscreteStatsTable[[#This Row],[RepsWithStatObserved]],1,0)</f>
        <v>1</v>
      </c>
    </row>
    <row r="323" spans="1:25" x14ac:dyDescent="0.25">
      <c r="A323" t="s">
        <v>68</v>
      </c>
      <c r="B323" t="s">
        <v>70</v>
      </c>
      <c r="C323">
        <v>10</v>
      </c>
      <c r="D323" t="s">
        <v>94</v>
      </c>
      <c r="E323" t="s">
        <v>86</v>
      </c>
      <c r="F323" t="s">
        <v>87</v>
      </c>
      <c r="G323">
        <v>1.4751837585994201</v>
      </c>
      <c r="H323">
        <v>0.12672766982268199</v>
      </c>
      <c r="I323">
        <v>0</v>
      </c>
      <c r="J323">
        <v>6.9237032595958699</v>
      </c>
      <c r="K323">
        <v>793</v>
      </c>
      <c r="L323" s="5" t="str">
        <f>DiscreteStatsTable[[#This Row],[ProjectName]]&amp;DiscreteStatsTable[[#This Row],[Name]]&amp;DiscreteStatsTable[[#This Row],[Type]]&amp;DiscreteStatsTable[[#This Row],[Source]]</f>
        <v>Tener ArticulsoTenerArticulos.QueueWaiting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12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1.4572273428819582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3.4185611758373625E-2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2.1720501454124481E-2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1.41293281540393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1.5228151748432599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7.1682281439000199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794.91666666666663</v>
      </c>
      <c r="W323" s="5">
        <f>IF((DiscreteStatsTable[[#This Row],[RepsRequested]]&gt;1),DiscreteStatsTable[[#This Row],[HalfWidth]],DiscreteStatsTable[[#This Row],[BatchMeansHalfWidth]])</f>
        <v>2.1720501454124481E-2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12</v>
      </c>
      <c r="Y323" s="5">
        <f>IF(DiscreteStatsTable[[#This Row],[RepsRequested]]=DiscreteStatsTable[[#This Row],[RepsWithStatObserved]],1,0)</f>
        <v>1</v>
      </c>
    </row>
    <row r="324" spans="1:25" x14ac:dyDescent="0.25">
      <c r="A324" t="s">
        <v>68</v>
      </c>
      <c r="B324" t="s">
        <v>70</v>
      </c>
      <c r="C324">
        <v>11</v>
      </c>
      <c r="D324" t="s">
        <v>94</v>
      </c>
      <c r="E324" t="s">
        <v>86</v>
      </c>
      <c r="F324" t="s">
        <v>87</v>
      </c>
      <c r="G324">
        <v>1.42730816833111</v>
      </c>
      <c r="H324">
        <v>3E+20</v>
      </c>
      <c r="I324">
        <v>0</v>
      </c>
      <c r="J324">
        <v>7.1682281439000199</v>
      </c>
      <c r="K324">
        <v>800</v>
      </c>
      <c r="L324" s="5" t="str">
        <f>DiscreteStatsTable[[#This Row],[ProjectName]]&amp;DiscreteStatsTable[[#This Row],[Name]]&amp;DiscreteStatsTable[[#This Row],[Type]]&amp;DiscreteStatsTable[[#This Row],[Source]]</f>
        <v>Tener ArticulsoTenerArticulos.QueueWaiting TimeQueue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12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1.4572273428819582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3.4185611758373625E-2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2.1720501454124481E-2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1.41293281540393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1.5228151748432599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7.1682281439000199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794.91666666666663</v>
      </c>
      <c r="W324" s="5">
        <f>IF((DiscreteStatsTable[[#This Row],[RepsRequested]]&gt;1),DiscreteStatsTable[[#This Row],[HalfWidth]],DiscreteStatsTable[[#This Row],[BatchMeansHalfWidth]])</f>
        <v>2.1720501454124481E-2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12</v>
      </c>
      <c r="Y324" s="5">
        <f>IF(DiscreteStatsTable[[#This Row],[RepsRequested]]=DiscreteStatsTable[[#This Row],[RepsWithStatObserved]],1,0)</f>
        <v>1</v>
      </c>
    </row>
    <row r="325" spans="1:25" x14ac:dyDescent="0.25">
      <c r="A325" t="s">
        <v>68</v>
      </c>
      <c r="B325" t="s">
        <v>70</v>
      </c>
      <c r="C325">
        <v>12</v>
      </c>
      <c r="D325" t="s">
        <v>94</v>
      </c>
      <c r="E325" t="s">
        <v>86</v>
      </c>
      <c r="F325" t="s">
        <v>87</v>
      </c>
      <c r="G325">
        <v>1.4998286723795999</v>
      </c>
      <c r="H325">
        <v>0.10034767947108</v>
      </c>
      <c r="I325">
        <v>0</v>
      </c>
      <c r="J325">
        <v>6.85709565112791</v>
      </c>
      <c r="K325">
        <v>737</v>
      </c>
      <c r="L325" s="5" t="str">
        <f>DiscreteStatsTable[[#This Row],[ProjectName]]&amp;DiscreteStatsTable[[#This Row],[Name]]&amp;DiscreteStatsTable[[#This Row],[Type]]&amp;DiscreteStatsTable[[#This Row],[Source]]</f>
        <v>Tener ArticulsoTenerArticulos.QueueWaiting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12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1.4572273428819582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3.4185611758373625E-2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2.1720501454124481E-2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1.41293281540393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1.5228151748432599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7.1682281439000199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794.91666666666663</v>
      </c>
      <c r="W325" s="5">
        <f>IF((DiscreteStatsTable[[#This Row],[RepsRequested]]&gt;1),DiscreteStatsTable[[#This Row],[HalfWidth]],DiscreteStatsTable[[#This Row],[BatchMeansHalfWidth]])</f>
        <v>2.1720501454124481E-2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12</v>
      </c>
      <c r="Y325" s="5">
        <f>IF(DiscreteStatsTable[[#This Row],[RepsRequested]]=DiscreteStatsTable[[#This Row],[RepsWithStatObserved]],1,0)</f>
        <v>1</v>
      </c>
    </row>
  </sheetData>
  <phoneticPr fontId="2" type="noConversion"/>
  <conditionalFormatting sqref="H2:H325 Q2:Q325">
    <cfRule type="expression" dxfId="20" priority="23">
      <formula>H2=200000000000000000000</formula>
    </cfRule>
  </conditionalFormatting>
  <conditionalFormatting sqref="H2:H325">
    <cfRule type="expression" dxfId="19" priority="21">
      <formula>H2=300000000000000000000</formula>
    </cfRule>
  </conditionalFormatting>
  <conditionalFormatting sqref="L2:Y325">
    <cfRule type="expression" dxfId="18" priority="19">
      <formula>MOD(ROW(),2)=0</formula>
    </cfRule>
  </conditionalFormatting>
  <conditionalFormatting sqref="Y2:Y325">
    <cfRule type="expression" dxfId="17" priority="14">
      <formula>Y2=0</formula>
    </cfRule>
    <cfRule type="expression" dxfId="16" priority="16">
      <formula>Y2=1</formula>
    </cfRule>
  </conditionalFormatting>
  <conditionalFormatting sqref="Y3:Y325">
    <cfRule type="expression" dxfId="15" priority="15">
      <formula>Y3=1</formula>
    </cfRule>
  </conditionalFormatting>
  <conditionalFormatting sqref="W2:W325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25 W2:W325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69"/>
  <sheetViews>
    <sheetView workbookViewId="0">
      <selection activeCell="A2" sqref="A2:L11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21.140625" bestFit="1" customWidth="1"/>
    <col min="5" max="5" width="23.5703125" bestFit="1" customWidth="1"/>
    <col min="6" max="6" width="9.28515625" bestFit="1" customWidth="1"/>
    <col min="7" max="7" width="12" bestFit="1" customWidth="1"/>
    <col min="8" max="8" width="23.7109375" bestFit="1" customWidth="1"/>
    <col min="9" max="9" width="12" bestFit="1" customWidth="1"/>
    <col min="10" max="10" width="12.28515625" bestFit="1" customWidth="1"/>
    <col min="11" max="11" width="20.5703125" bestFit="1" customWidth="1"/>
    <col min="12" max="12" width="12" bestFit="1" customWidth="1"/>
    <col min="13" max="13" width="56.7109375" bestFit="1" customWidth="1"/>
    <col min="14" max="14" width="17.28515625" bestFit="1" customWidth="1"/>
    <col min="15" max="15" width="20.28515625" bestFit="1" customWidth="1"/>
    <col min="16" max="16" width="18" bestFit="1" customWidth="1"/>
    <col min="17" max="17" width="20.5703125" bestFit="1" customWidth="1"/>
    <col min="18" max="18" width="12.42578125" bestFit="1" customWidth="1"/>
    <col min="19" max="19" width="19.5703125" bestFit="1" customWidth="1"/>
    <col min="20" max="20" width="19.85546875" bestFit="1" customWidth="1"/>
    <col min="21" max="21" width="21" bestFit="1" customWidth="1"/>
    <col min="22" max="22" width="20" bestFit="1" customWidth="1"/>
  </cols>
  <sheetData>
    <row r="1" spans="1:21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5">
      <c r="A2" t="s">
        <v>68</v>
      </c>
      <c r="B2" t="s">
        <v>70</v>
      </c>
      <c r="C2">
        <v>1</v>
      </c>
      <c r="D2" t="s">
        <v>71</v>
      </c>
      <c r="E2" t="s">
        <v>95</v>
      </c>
      <c r="F2" t="s">
        <v>73</v>
      </c>
      <c r="G2">
        <v>10.5928133884502</v>
      </c>
      <c r="H2">
        <v>3E+20</v>
      </c>
      <c r="I2">
        <v>0</v>
      </c>
      <c r="J2">
        <v>28</v>
      </c>
      <c r="K2">
        <v>6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Tener ArticulsoArticulosWIPEntity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12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11.967618013540566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2.2199622266915817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1.4104967058588604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7.8453940222015603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16.013877975802099</v>
      </c>
      <c r="U2">
        <f>IF((ContinuousStatsTable[[#This Row],[RepsRequested]]&gt;1),ContinuousStatsTable[[#This Row],[HalfWidth]],ContinuousStatsTable[[#This Row],[BatchMeansHalfWidth]])</f>
        <v>1.4104967058588604</v>
      </c>
    </row>
    <row r="3" spans="1:21" x14ac:dyDescent="0.25">
      <c r="A3" t="s">
        <v>68</v>
      </c>
      <c r="B3" t="s">
        <v>70</v>
      </c>
      <c r="C3">
        <v>1</v>
      </c>
      <c r="D3" t="s">
        <v>79</v>
      </c>
      <c r="E3" t="s">
        <v>95</v>
      </c>
      <c r="F3" t="s">
        <v>73</v>
      </c>
      <c r="G3">
        <v>1.47103481502128</v>
      </c>
      <c r="H3">
        <v>3E+20</v>
      </c>
      <c r="I3">
        <v>0</v>
      </c>
      <c r="J3">
        <v>13</v>
      </c>
      <c r="K3">
        <v>2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Tener ArticulsoCarrosWIPEntity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12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1.4357426212197542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0.67481269179007708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0.4287555289894085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0.85623463950978496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3.3096083955109501</v>
      </c>
      <c r="U3">
        <f>IF((ContinuousStatsTable[[#This Row],[RepsRequested]]&gt;1),ContinuousStatsTable[[#This Row],[HalfWidth]],ContinuousStatsTable[[#This Row],[BatchMeansHalfWidth]])</f>
        <v>0.4287555289894085</v>
      </c>
    </row>
    <row r="4" spans="1:21" x14ac:dyDescent="0.25">
      <c r="A4" t="s">
        <v>68</v>
      </c>
      <c r="B4" t="s">
        <v>70</v>
      </c>
      <c r="C4">
        <v>1</v>
      </c>
      <c r="D4" t="s">
        <v>85</v>
      </c>
      <c r="E4" t="s">
        <v>96</v>
      </c>
      <c r="F4" t="s">
        <v>87</v>
      </c>
      <c r="G4">
        <v>0.34189510249275101</v>
      </c>
      <c r="H4">
        <v>2E+20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Tener ArticulsoDesembalaje.QueueNumber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12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0.39305431340749158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6.9825204530481425E-2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4.4364818370329934E-2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0.26379051411540999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0.492701223784278</v>
      </c>
      <c r="U4">
        <f>IF((ContinuousStatsTable[[#This Row],[RepsRequested]]&gt;1),ContinuousStatsTable[[#This Row],[HalfWidth]],ContinuousStatsTable[[#This Row],[BatchMeansHalfWidth]])</f>
        <v>4.4364818370329934E-2</v>
      </c>
    </row>
    <row r="5" spans="1:21" x14ac:dyDescent="0.25">
      <c r="A5" t="s">
        <v>68</v>
      </c>
      <c r="B5" t="s">
        <v>70</v>
      </c>
      <c r="C5">
        <v>1</v>
      </c>
      <c r="D5" t="s">
        <v>88</v>
      </c>
      <c r="E5" t="s">
        <v>96</v>
      </c>
      <c r="F5" t="s">
        <v>87</v>
      </c>
      <c r="G5">
        <v>1.47103481502128</v>
      </c>
      <c r="H5">
        <v>3E+20</v>
      </c>
      <c r="I5">
        <v>0</v>
      </c>
      <c r="J5">
        <v>10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Tener ArticulsoDetener Carros.QueueNumber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12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1.4357426212197553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0.67481269179007586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0.42875552898940772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0.85623463950978496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3.3096083955109501</v>
      </c>
      <c r="U5">
        <f>IF((ContinuousStatsTable[[#This Row],[RepsRequested]]&gt;1),ContinuousStatsTable[[#This Row],[HalfWidth]],ContinuousStatsTable[[#This Row],[BatchMeansHalfWidth]])</f>
        <v>0.42875552898940772</v>
      </c>
    </row>
    <row r="6" spans="1:21" x14ac:dyDescent="0.25">
      <c r="A6" t="s">
        <v>68</v>
      </c>
      <c r="B6" t="s">
        <v>70</v>
      </c>
      <c r="C6">
        <v>1</v>
      </c>
      <c r="D6" t="s">
        <v>89</v>
      </c>
      <c r="E6" t="s">
        <v>96</v>
      </c>
      <c r="F6" t="s">
        <v>87</v>
      </c>
      <c r="G6">
        <v>1.5793635415246701</v>
      </c>
      <c r="H6">
        <v>2E+20</v>
      </c>
      <c r="I6">
        <v>0</v>
      </c>
      <c r="J6">
        <v>8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Tener ArticulsoNoOrganizar.QueueNumber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12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1.8367908590220434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0.88849214816383859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0.56452097837458637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0.36210426146159602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4.0028313893775698</v>
      </c>
      <c r="U6">
        <f>IF((ContinuousStatsTable[[#This Row],[RepsRequested]]&gt;1),ContinuousStatsTable[[#This Row],[HalfWidth]],ContinuousStatsTable[[#This Row],[BatchMeansHalfWidth]])</f>
        <v>0.56452097837458637</v>
      </c>
    </row>
    <row r="7" spans="1:21" x14ac:dyDescent="0.25">
      <c r="A7" t="s">
        <v>68</v>
      </c>
      <c r="B7" t="s">
        <v>70</v>
      </c>
      <c r="C7">
        <v>1</v>
      </c>
      <c r="D7" t="s">
        <v>91</v>
      </c>
      <c r="E7" t="s">
        <v>96</v>
      </c>
      <c r="F7" t="s">
        <v>87</v>
      </c>
      <c r="G7">
        <v>5.8978093157180496</v>
      </c>
      <c r="H7">
        <v>3E+20</v>
      </c>
      <c r="I7">
        <v>0</v>
      </c>
      <c r="J7">
        <v>19</v>
      </c>
      <c r="K7">
        <v>3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Tener ArticulsoOrganizar.QueueNumber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12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6.9452151315179975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1.3904671864747102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0.88346070151395062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4.6102617725055204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8.6997606838150698</v>
      </c>
      <c r="U7">
        <f>IF((ContinuousStatsTable[[#This Row],[RepsRequested]]&gt;1),ContinuousStatsTable[[#This Row],[HalfWidth]],ContinuousStatsTable[[#This Row],[BatchMeansHalfWidth]])</f>
        <v>0.88346070151395062</v>
      </c>
    </row>
    <row r="8" spans="1:21" x14ac:dyDescent="0.25">
      <c r="A8" t="s">
        <v>68</v>
      </c>
      <c r="B8" t="s">
        <v>70</v>
      </c>
      <c r="C8">
        <v>1</v>
      </c>
      <c r="D8" t="s">
        <v>93</v>
      </c>
      <c r="E8" t="s">
        <v>96</v>
      </c>
      <c r="F8" t="s">
        <v>87</v>
      </c>
      <c r="G8">
        <v>0.54488257862239897</v>
      </c>
      <c r="H8">
        <v>7.0943525346274405E-2</v>
      </c>
      <c r="I8">
        <v>0</v>
      </c>
      <c r="J8">
        <v>2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Tener ArticulsoSacar Articulos.QueueNumber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12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0.54907359753581719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2.8061047329126759E-2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1.7829138867677546E-2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0.50893371098476703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0.58706685204911901</v>
      </c>
      <c r="U8">
        <f>IF((ContinuousStatsTable[[#This Row],[RepsRequested]]&gt;1),ContinuousStatsTable[[#This Row],[HalfWidth]],ContinuousStatsTable[[#This Row],[BatchMeansHalfWidth]])</f>
        <v>1.7829138867677546E-2</v>
      </c>
    </row>
    <row r="9" spans="1:21" x14ac:dyDescent="0.25">
      <c r="A9" t="s">
        <v>68</v>
      </c>
      <c r="B9" t="s">
        <v>70</v>
      </c>
      <c r="C9">
        <v>1</v>
      </c>
      <c r="D9" t="s">
        <v>94</v>
      </c>
      <c r="E9" t="s">
        <v>96</v>
      </c>
      <c r="F9" t="s">
        <v>87</v>
      </c>
      <c r="G9">
        <v>0.53794463591612596</v>
      </c>
      <c r="H9">
        <v>6.5315018641057196E-2</v>
      </c>
      <c r="I9">
        <v>0</v>
      </c>
      <c r="J9">
        <v>3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Tener ArticulsoTenerArticulos.QueueNumber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12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0.55155869724816453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2.2857263166408359E-2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1.4522812151275023E-2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0.51570313450412797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0.58732155692135601</v>
      </c>
      <c r="U9">
        <f>IF((ContinuousStatsTable[[#This Row],[RepsRequested]]&gt;1),ContinuousStatsTable[[#This Row],[HalfWidth]],ContinuousStatsTable[[#This Row],[BatchMeansHalfWidth]])</f>
        <v>1.4522812151275023E-2</v>
      </c>
    </row>
    <row r="10" spans="1:21" x14ac:dyDescent="0.25">
      <c r="A10" t="s">
        <v>68</v>
      </c>
      <c r="B10" t="s">
        <v>70</v>
      </c>
      <c r="C10">
        <v>1</v>
      </c>
      <c r="D10" t="s">
        <v>97</v>
      </c>
      <c r="E10" t="s">
        <v>98</v>
      </c>
      <c r="F10" t="s">
        <v>99</v>
      </c>
      <c r="G10">
        <v>0.94298304297686897</v>
      </c>
      <c r="H10">
        <v>2E+20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Tener ArticulsorOrganizdorInstantaneous UtilizationResource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12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0.87408888428798603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0.989515454392208</v>
      </c>
      <c r="U10">
        <f>IF((ContinuousStatsTable[[#This Row],[RepsRequested]]&gt;1),ContinuousStatsTable[[#This Row],[HalfWidth]],ContinuousStatsTable[[#This Row],[BatchMeansHalfWidth]])</f>
        <v>1.9112222555672933E-2</v>
      </c>
    </row>
    <row r="11" spans="1:21" x14ac:dyDescent="0.25">
      <c r="A11" t="s">
        <v>68</v>
      </c>
      <c r="B11" t="s">
        <v>70</v>
      </c>
      <c r="C11">
        <v>1</v>
      </c>
      <c r="D11" t="s">
        <v>97</v>
      </c>
      <c r="E11" t="s">
        <v>100</v>
      </c>
      <c r="F11" t="s">
        <v>99</v>
      </c>
      <c r="G11">
        <v>0.94298304297686897</v>
      </c>
      <c r="H11">
        <v>2E+20</v>
      </c>
      <c r="I11">
        <v>0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Tener ArticulsorOrganizdorNumber BusyResource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12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0.87408888428798603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0.989515454392208</v>
      </c>
      <c r="U11">
        <f>IF((ContinuousStatsTable[[#This Row],[RepsRequested]]&gt;1),ContinuousStatsTable[[#This Row],[HalfWidth]],ContinuousStatsTable[[#This Row],[BatchMeansHalfWidth]])</f>
        <v>1.9112222555672933E-2</v>
      </c>
    </row>
    <row r="12" spans="1:21" x14ac:dyDescent="0.25">
      <c r="A12" t="s">
        <v>68</v>
      </c>
      <c r="B12" t="s">
        <v>70</v>
      </c>
      <c r="C12">
        <v>1</v>
      </c>
      <c r="D12" t="s">
        <v>97</v>
      </c>
      <c r="E12" t="s">
        <v>101</v>
      </c>
      <c r="F12" t="s">
        <v>99</v>
      </c>
      <c r="G12">
        <v>1</v>
      </c>
      <c r="H12">
        <v>2E+20</v>
      </c>
      <c r="I12">
        <v>1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Tener ArticulsorOrganizdorNumber ScheduledResource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12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1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1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</v>
      </c>
      <c r="U12" s="5">
        <f>IF((ContinuousStatsTable[[#This Row],[RepsRequested]]&gt;1),ContinuousStatsTable[[#This Row],[HalfWidth]],ContinuousStatsTable[[#This Row],[BatchMeansHalfWidth]])</f>
        <v>0</v>
      </c>
    </row>
    <row r="13" spans="1:21" x14ac:dyDescent="0.25">
      <c r="A13" t="s">
        <v>68</v>
      </c>
      <c r="B13" t="s">
        <v>70</v>
      </c>
      <c r="C13">
        <v>1</v>
      </c>
      <c r="D13" t="s">
        <v>102</v>
      </c>
      <c r="E13" t="s">
        <v>98</v>
      </c>
      <c r="F13" t="s">
        <v>99</v>
      </c>
      <c r="G13">
        <v>0.74793517119931496</v>
      </c>
      <c r="H13">
        <v>2E+20</v>
      </c>
      <c r="I13">
        <v>0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Tener ArticulsorSacadorInstantaneous UtilizationResource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12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0.70281682687036895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0.79676815469245998</v>
      </c>
      <c r="U13" s="5">
        <f>IF((ContinuousStatsTable[[#This Row],[RepsRequested]]&gt;1),ContinuousStatsTable[[#This Row],[HalfWidth]],ContinuousStatsTable[[#This Row],[BatchMeansHalfWidth]])</f>
        <v>1.9690534563658681E-2</v>
      </c>
    </row>
    <row r="14" spans="1:21" x14ac:dyDescent="0.25">
      <c r="A14" t="s">
        <v>68</v>
      </c>
      <c r="B14" t="s">
        <v>70</v>
      </c>
      <c r="C14">
        <v>1</v>
      </c>
      <c r="D14" t="s">
        <v>102</v>
      </c>
      <c r="E14" t="s">
        <v>100</v>
      </c>
      <c r="F14" t="s">
        <v>99</v>
      </c>
      <c r="G14">
        <v>0.74793517119931496</v>
      </c>
      <c r="H14">
        <v>2E+20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Tener ArticulsorSacadorNumber BusyResource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12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0.70281682687036895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0.79676815469245998</v>
      </c>
      <c r="U14" s="5">
        <f>IF((ContinuousStatsTable[[#This Row],[RepsRequested]]&gt;1),ContinuousStatsTable[[#This Row],[HalfWidth]],ContinuousStatsTable[[#This Row],[BatchMeansHalfWidth]])</f>
        <v>1.9690534563658681E-2</v>
      </c>
    </row>
    <row r="15" spans="1:21" x14ac:dyDescent="0.25">
      <c r="A15" t="s">
        <v>68</v>
      </c>
      <c r="B15" t="s">
        <v>70</v>
      </c>
      <c r="C15">
        <v>1</v>
      </c>
      <c r="D15" t="s">
        <v>102</v>
      </c>
      <c r="E15" t="s">
        <v>101</v>
      </c>
      <c r="F15" t="s">
        <v>99</v>
      </c>
      <c r="G15">
        <v>1</v>
      </c>
      <c r="H15">
        <v>2E+20</v>
      </c>
      <c r="I15">
        <v>1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Tener ArticulsorSacadorNumber ScheduledResource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12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1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1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1</v>
      </c>
      <c r="U15" s="5">
        <f>IF((ContinuousStatsTable[[#This Row],[RepsRequested]]&gt;1),ContinuousStatsTable[[#This Row],[HalfWidth]],ContinuousStatsTable[[#This Row],[BatchMeansHalfWidth]])</f>
        <v>0</v>
      </c>
    </row>
    <row r="16" spans="1:21" x14ac:dyDescent="0.25">
      <c r="A16" t="s">
        <v>68</v>
      </c>
      <c r="B16" t="s">
        <v>70</v>
      </c>
      <c r="C16">
        <v>2</v>
      </c>
      <c r="D16" t="s">
        <v>71</v>
      </c>
      <c r="E16" t="s">
        <v>95</v>
      </c>
      <c r="F16" t="s">
        <v>73</v>
      </c>
      <c r="G16">
        <v>12.162203886381</v>
      </c>
      <c r="H16">
        <v>3E+20</v>
      </c>
      <c r="I16">
        <v>0</v>
      </c>
      <c r="J16">
        <v>30</v>
      </c>
      <c r="K16">
        <v>18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Tener ArticulsoArticulosWIPEntity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12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11.967618013540566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2.2199622266915817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1.4104967058588604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7.8453940222015603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16.013877975802099</v>
      </c>
      <c r="U16" s="5">
        <f>IF((ContinuousStatsTable[[#This Row],[RepsRequested]]&gt;1),ContinuousStatsTable[[#This Row],[HalfWidth]],ContinuousStatsTable[[#This Row],[BatchMeansHalfWidth]])</f>
        <v>1.4104967058588604</v>
      </c>
    </row>
    <row r="17" spans="1:21" x14ac:dyDescent="0.25">
      <c r="A17" t="s">
        <v>68</v>
      </c>
      <c r="B17" t="s">
        <v>70</v>
      </c>
      <c r="C17">
        <v>2</v>
      </c>
      <c r="D17" t="s">
        <v>79</v>
      </c>
      <c r="E17" t="s">
        <v>95</v>
      </c>
      <c r="F17" t="s">
        <v>73</v>
      </c>
      <c r="G17">
        <v>1.6226550461162801</v>
      </c>
      <c r="H17">
        <v>3E+20</v>
      </c>
      <c r="I17">
        <v>0</v>
      </c>
      <c r="J17">
        <v>14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Tener ArticulsoCarrosWIPEntity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12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1.4357426212197542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0.67481269179007708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0.4287555289894085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0.85623463950978496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3.3096083955109501</v>
      </c>
      <c r="U17" s="5">
        <f>IF((ContinuousStatsTable[[#This Row],[RepsRequested]]&gt;1),ContinuousStatsTable[[#This Row],[HalfWidth]],ContinuousStatsTable[[#This Row],[BatchMeansHalfWidth]])</f>
        <v>0.4287555289894085</v>
      </c>
    </row>
    <row r="18" spans="1:21" x14ac:dyDescent="0.25">
      <c r="A18" t="s">
        <v>68</v>
      </c>
      <c r="B18" t="s">
        <v>70</v>
      </c>
      <c r="C18">
        <v>2</v>
      </c>
      <c r="D18" t="s">
        <v>85</v>
      </c>
      <c r="E18" t="s">
        <v>96</v>
      </c>
      <c r="F18" t="s">
        <v>87</v>
      </c>
      <c r="G18">
        <v>0.40480158087026002</v>
      </c>
      <c r="H18">
        <v>2E+20</v>
      </c>
      <c r="I18">
        <v>0</v>
      </c>
      <c r="J18">
        <v>1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Tener ArticulsoDesembalaje.QueueNumber WaitingQueue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12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0.39305431340749158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6.9825204530481425E-2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4.4364818370329934E-2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0.26379051411540999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0.492701223784278</v>
      </c>
      <c r="U18" s="5">
        <f>IF((ContinuousStatsTable[[#This Row],[RepsRequested]]&gt;1),ContinuousStatsTable[[#This Row],[HalfWidth]],ContinuousStatsTable[[#This Row],[BatchMeansHalfWidth]])</f>
        <v>4.4364818370329934E-2</v>
      </c>
    </row>
    <row r="19" spans="1:21" x14ac:dyDescent="0.25">
      <c r="A19" t="s">
        <v>68</v>
      </c>
      <c r="B19" t="s">
        <v>70</v>
      </c>
      <c r="C19">
        <v>2</v>
      </c>
      <c r="D19" t="s">
        <v>88</v>
      </c>
      <c r="E19" t="s">
        <v>96</v>
      </c>
      <c r="F19" t="s">
        <v>87</v>
      </c>
      <c r="G19">
        <v>1.6226550461162801</v>
      </c>
      <c r="H19">
        <v>3E+20</v>
      </c>
      <c r="I19">
        <v>0</v>
      </c>
      <c r="J19">
        <v>12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Tener ArticulsoDetener Carros.QueueNumber WaitingQueue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12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1.4357426212197553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0.67481269179007586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0.42875552898940772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0.85623463950978496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3.3096083955109501</v>
      </c>
      <c r="U19" s="5">
        <f>IF((ContinuousStatsTable[[#This Row],[RepsRequested]]&gt;1),ContinuousStatsTable[[#This Row],[HalfWidth]],ContinuousStatsTable[[#This Row],[BatchMeansHalfWidth]])</f>
        <v>0.42875552898940772</v>
      </c>
    </row>
    <row r="20" spans="1:21" x14ac:dyDescent="0.25">
      <c r="A20" t="s">
        <v>68</v>
      </c>
      <c r="B20" t="s">
        <v>70</v>
      </c>
      <c r="C20">
        <v>2</v>
      </c>
      <c r="D20" t="s">
        <v>89</v>
      </c>
      <c r="E20" t="s">
        <v>96</v>
      </c>
      <c r="F20" t="s">
        <v>87</v>
      </c>
      <c r="G20">
        <v>0.98367468971319505</v>
      </c>
      <c r="H20">
        <v>2E+20</v>
      </c>
      <c r="I20">
        <v>0</v>
      </c>
      <c r="J20">
        <v>4</v>
      </c>
      <c r="K20">
        <v>2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Tener ArticulsoNoOrganizar.QueueNumber WaitingQueue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12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1.8367908590220434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0.88849214816383859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0.56452097837458637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0.36210426146159602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4.0028313893775698</v>
      </c>
      <c r="U20" s="5">
        <f>IF((ContinuousStatsTable[[#This Row],[RepsRequested]]&gt;1),ContinuousStatsTable[[#This Row],[HalfWidth]],ContinuousStatsTable[[#This Row],[BatchMeansHalfWidth]])</f>
        <v>0.56452097837458637</v>
      </c>
    </row>
    <row r="21" spans="1:21" x14ac:dyDescent="0.25">
      <c r="A21" t="s">
        <v>68</v>
      </c>
      <c r="B21" t="s">
        <v>70</v>
      </c>
      <c r="C21">
        <v>2</v>
      </c>
      <c r="D21" t="s">
        <v>91</v>
      </c>
      <c r="E21" t="s">
        <v>96</v>
      </c>
      <c r="F21" t="s">
        <v>87</v>
      </c>
      <c r="G21">
        <v>7.89744162079697</v>
      </c>
      <c r="H21">
        <v>3E+20</v>
      </c>
      <c r="I21">
        <v>0</v>
      </c>
      <c r="J21">
        <v>26</v>
      </c>
      <c r="K21">
        <v>12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Tener ArticulsoOrganizar.QueueNumber WaitingQueue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12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6.9452151315179975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1.3904671864747102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0.88346070151395062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4.6102617725055204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8.6997606838150698</v>
      </c>
      <c r="U21" s="5">
        <f>IF((ContinuousStatsTable[[#This Row],[RepsRequested]]&gt;1),ContinuousStatsTable[[#This Row],[HalfWidth]],ContinuousStatsTable[[#This Row],[BatchMeansHalfWidth]])</f>
        <v>0.88346070151395062</v>
      </c>
    </row>
    <row r="22" spans="1:21" x14ac:dyDescent="0.25">
      <c r="A22" t="s">
        <v>68</v>
      </c>
      <c r="B22" t="s">
        <v>70</v>
      </c>
      <c r="C22">
        <v>2</v>
      </c>
      <c r="D22" t="s">
        <v>93</v>
      </c>
      <c r="E22" t="s">
        <v>96</v>
      </c>
      <c r="F22" t="s">
        <v>87</v>
      </c>
      <c r="G22">
        <v>0.57749404478454203</v>
      </c>
      <c r="H22">
        <v>5.2845923686624302E-2</v>
      </c>
      <c r="I22">
        <v>0</v>
      </c>
      <c r="J22">
        <v>2</v>
      </c>
      <c r="K22">
        <v>2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Tener ArticulsoSacar Articulos.QueueNumber WaitingQueue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12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0.54907359753581719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2.8061047329126759E-2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1.7829138867677546E-2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0.50893371098476703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0.58706685204911901</v>
      </c>
      <c r="U22" s="5">
        <f>IF((ContinuousStatsTable[[#This Row],[RepsRequested]]&gt;1),ContinuousStatsTable[[#This Row],[HalfWidth]],ContinuousStatsTable[[#This Row],[BatchMeansHalfWidth]])</f>
        <v>1.7829138867677546E-2</v>
      </c>
    </row>
    <row r="23" spans="1:21" x14ac:dyDescent="0.25">
      <c r="A23" t="s">
        <v>68</v>
      </c>
      <c r="B23" t="s">
        <v>70</v>
      </c>
      <c r="C23">
        <v>2</v>
      </c>
      <c r="D23" t="s">
        <v>94</v>
      </c>
      <c r="E23" t="s">
        <v>96</v>
      </c>
      <c r="F23" t="s">
        <v>87</v>
      </c>
      <c r="G23">
        <v>0.57843531373403501</v>
      </c>
      <c r="H23">
        <v>5.2416051648690801E-2</v>
      </c>
      <c r="I23">
        <v>0</v>
      </c>
      <c r="J23">
        <v>3</v>
      </c>
      <c r="K23">
        <v>0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Tener ArticulsoTenerArticulos.QueueNumber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12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0.55155869724816453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2.2857263166408359E-2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1.4522812151275023E-2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0.51570313450412797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0.58732155692135601</v>
      </c>
      <c r="U23" s="5">
        <f>IF((ContinuousStatsTable[[#This Row],[RepsRequested]]&gt;1),ContinuousStatsTable[[#This Row],[HalfWidth]],ContinuousStatsTable[[#This Row],[BatchMeansHalfWidth]])</f>
        <v>1.4522812151275023E-2</v>
      </c>
    </row>
    <row r="24" spans="1:21" x14ac:dyDescent="0.25">
      <c r="A24" t="s">
        <v>68</v>
      </c>
      <c r="B24" t="s">
        <v>70</v>
      </c>
      <c r="C24">
        <v>2</v>
      </c>
      <c r="D24" t="s">
        <v>97</v>
      </c>
      <c r="E24" t="s">
        <v>98</v>
      </c>
      <c r="F24" t="s">
        <v>99</v>
      </c>
      <c r="G24">
        <v>0.92627316119155401</v>
      </c>
      <c r="H24">
        <v>2E+20</v>
      </c>
      <c r="I24">
        <v>0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Tener ArticulsorOrganizdorInstantaneous UtilizationResource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12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0.87408888428798603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0.989515454392208</v>
      </c>
      <c r="U24" s="5">
        <f>IF((ContinuousStatsTable[[#This Row],[RepsRequested]]&gt;1),ContinuousStatsTable[[#This Row],[HalfWidth]],ContinuousStatsTable[[#This Row],[BatchMeansHalfWidth]])</f>
        <v>1.9112222555672933E-2</v>
      </c>
    </row>
    <row r="25" spans="1:21" x14ac:dyDescent="0.25">
      <c r="A25" t="s">
        <v>68</v>
      </c>
      <c r="B25" t="s">
        <v>70</v>
      </c>
      <c r="C25">
        <v>2</v>
      </c>
      <c r="D25" t="s">
        <v>97</v>
      </c>
      <c r="E25" t="s">
        <v>100</v>
      </c>
      <c r="F25" t="s">
        <v>99</v>
      </c>
      <c r="G25">
        <v>0.92627316119155401</v>
      </c>
      <c r="H25">
        <v>2E+20</v>
      </c>
      <c r="I25">
        <v>0</v>
      </c>
      <c r="J25">
        <v>1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Tener ArticulsorOrganizdorNumber BusyResource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12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0.87408888428798603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0.989515454392208</v>
      </c>
      <c r="U25" s="5">
        <f>IF((ContinuousStatsTable[[#This Row],[RepsRequested]]&gt;1),ContinuousStatsTable[[#This Row],[HalfWidth]],ContinuousStatsTable[[#This Row],[BatchMeansHalfWidth]])</f>
        <v>1.9112222555672933E-2</v>
      </c>
    </row>
    <row r="26" spans="1:21" x14ac:dyDescent="0.25">
      <c r="A26" t="s">
        <v>68</v>
      </c>
      <c r="B26" t="s">
        <v>70</v>
      </c>
      <c r="C26">
        <v>2</v>
      </c>
      <c r="D26" t="s">
        <v>97</v>
      </c>
      <c r="E26" t="s">
        <v>101</v>
      </c>
      <c r="F26" t="s">
        <v>99</v>
      </c>
      <c r="G26">
        <v>1</v>
      </c>
      <c r="H26">
        <v>2E+20</v>
      </c>
      <c r="I26">
        <v>1</v>
      </c>
      <c r="J26">
        <v>1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Tener ArticulsorOrganizdorNumber ScheduledResource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12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</v>
      </c>
      <c r="U26" s="5">
        <f>IF((ContinuousStatsTable[[#This Row],[RepsRequested]]&gt;1),ContinuousStatsTable[[#This Row],[HalfWidth]],ContinuousStatsTable[[#This Row],[BatchMeansHalfWidth]])</f>
        <v>0</v>
      </c>
    </row>
    <row r="27" spans="1:21" x14ac:dyDescent="0.25">
      <c r="A27" t="s">
        <v>68</v>
      </c>
      <c r="B27" t="s">
        <v>70</v>
      </c>
      <c r="C27">
        <v>2</v>
      </c>
      <c r="D27" t="s">
        <v>102</v>
      </c>
      <c r="E27" t="s">
        <v>98</v>
      </c>
      <c r="F27" t="s">
        <v>99</v>
      </c>
      <c r="G27">
        <v>0.79408347529050305</v>
      </c>
      <c r="H27">
        <v>2E+20</v>
      </c>
      <c r="I27">
        <v>0</v>
      </c>
      <c r="J27">
        <v>1</v>
      </c>
      <c r="K27">
        <v>1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Tener ArticulsorSacadorInstantaneous UtilizationResource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12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0.70281682687036895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0.79676815469245998</v>
      </c>
      <c r="U27" s="5">
        <f>IF((ContinuousStatsTable[[#This Row],[RepsRequested]]&gt;1),ContinuousStatsTable[[#This Row],[HalfWidth]],ContinuousStatsTable[[#This Row],[BatchMeansHalfWidth]])</f>
        <v>1.9690534563658681E-2</v>
      </c>
    </row>
    <row r="28" spans="1:21" x14ac:dyDescent="0.25">
      <c r="A28" t="s">
        <v>68</v>
      </c>
      <c r="B28" t="s">
        <v>70</v>
      </c>
      <c r="C28">
        <v>2</v>
      </c>
      <c r="D28" t="s">
        <v>102</v>
      </c>
      <c r="E28" t="s">
        <v>100</v>
      </c>
      <c r="F28" t="s">
        <v>99</v>
      </c>
      <c r="G28">
        <v>0.79408347529050305</v>
      </c>
      <c r="H28">
        <v>2E+20</v>
      </c>
      <c r="I28">
        <v>0</v>
      </c>
      <c r="J28">
        <v>1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Tener ArticulsorSacadorNumber BusyResource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12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0.70281682687036895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0.79676815469245998</v>
      </c>
      <c r="U28" s="5">
        <f>IF((ContinuousStatsTable[[#This Row],[RepsRequested]]&gt;1),ContinuousStatsTable[[#This Row],[HalfWidth]],ContinuousStatsTable[[#This Row],[BatchMeansHalfWidth]])</f>
        <v>1.9690534563658681E-2</v>
      </c>
    </row>
    <row r="29" spans="1:21" x14ac:dyDescent="0.25">
      <c r="A29" t="s">
        <v>68</v>
      </c>
      <c r="B29" t="s">
        <v>70</v>
      </c>
      <c r="C29">
        <v>2</v>
      </c>
      <c r="D29" t="s">
        <v>102</v>
      </c>
      <c r="E29" t="s">
        <v>101</v>
      </c>
      <c r="F29" t="s">
        <v>99</v>
      </c>
      <c r="G29">
        <v>1</v>
      </c>
      <c r="H29">
        <v>2E+20</v>
      </c>
      <c r="I29">
        <v>1</v>
      </c>
      <c r="J29">
        <v>1</v>
      </c>
      <c r="K29">
        <v>1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Tener ArticulsorSacadorNumber ScheduledResource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12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1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1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1</v>
      </c>
      <c r="U29" s="5">
        <f>IF((ContinuousStatsTable[[#This Row],[RepsRequested]]&gt;1),ContinuousStatsTable[[#This Row],[HalfWidth]],ContinuousStatsTable[[#This Row],[BatchMeansHalfWidth]])</f>
        <v>0</v>
      </c>
    </row>
    <row r="30" spans="1:21" x14ac:dyDescent="0.25">
      <c r="A30" t="s">
        <v>68</v>
      </c>
      <c r="B30" t="s">
        <v>70</v>
      </c>
      <c r="C30">
        <v>3</v>
      </c>
      <c r="D30" t="s">
        <v>71</v>
      </c>
      <c r="E30" t="s">
        <v>95</v>
      </c>
      <c r="F30" t="s">
        <v>73</v>
      </c>
      <c r="G30">
        <v>16.013877975802099</v>
      </c>
      <c r="H30">
        <v>3E+20</v>
      </c>
      <c r="I30">
        <v>0</v>
      </c>
      <c r="J30">
        <v>33</v>
      </c>
      <c r="K30">
        <v>23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Tener ArticulsoArticulosWIPEntity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12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11.967618013540566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2.2199622266915817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1.4104967058588604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7.8453940222015603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16.013877975802099</v>
      </c>
      <c r="U30" s="5">
        <f>IF((ContinuousStatsTable[[#This Row],[RepsRequested]]&gt;1),ContinuousStatsTable[[#This Row],[HalfWidth]],ContinuousStatsTable[[#This Row],[BatchMeansHalfWidth]])</f>
        <v>1.4104967058588604</v>
      </c>
    </row>
    <row r="31" spans="1:21" x14ac:dyDescent="0.25">
      <c r="A31" t="s">
        <v>68</v>
      </c>
      <c r="B31" t="s">
        <v>70</v>
      </c>
      <c r="C31">
        <v>3</v>
      </c>
      <c r="D31" t="s">
        <v>79</v>
      </c>
      <c r="E31" t="s">
        <v>95</v>
      </c>
      <c r="F31" t="s">
        <v>73</v>
      </c>
      <c r="G31">
        <v>1.39311487962991</v>
      </c>
      <c r="H31">
        <v>3E+20</v>
      </c>
      <c r="I31">
        <v>0</v>
      </c>
      <c r="J31">
        <v>11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Tener ArticulsoCarrosWIPEntity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12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1.4357426212197542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0.67481269179007708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0.4287555289894085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0.85623463950978496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3.3096083955109501</v>
      </c>
      <c r="U31" s="5">
        <f>IF((ContinuousStatsTable[[#This Row],[RepsRequested]]&gt;1),ContinuousStatsTable[[#This Row],[HalfWidth]],ContinuousStatsTable[[#This Row],[BatchMeansHalfWidth]])</f>
        <v>0.4287555289894085</v>
      </c>
    </row>
    <row r="32" spans="1:21" x14ac:dyDescent="0.25">
      <c r="A32" t="s">
        <v>68</v>
      </c>
      <c r="B32" t="s">
        <v>70</v>
      </c>
      <c r="C32">
        <v>3</v>
      </c>
      <c r="D32" t="s">
        <v>85</v>
      </c>
      <c r="E32" t="s">
        <v>96</v>
      </c>
      <c r="F32" t="s">
        <v>87</v>
      </c>
      <c r="G32">
        <v>0.49202335575108203</v>
      </c>
      <c r="H32">
        <v>2E+20</v>
      </c>
      <c r="I32">
        <v>0</v>
      </c>
      <c r="J32">
        <v>1</v>
      </c>
      <c r="K32">
        <v>1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Tener ArticulsoDesembalaje.QueueNumber WaitingQueue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12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0.39305431340749158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6.9825204530481425E-2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4.4364818370329934E-2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0.26379051411540999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0.492701223784278</v>
      </c>
      <c r="U32" s="5">
        <f>IF((ContinuousStatsTable[[#This Row],[RepsRequested]]&gt;1),ContinuousStatsTable[[#This Row],[HalfWidth]],ContinuousStatsTable[[#This Row],[BatchMeansHalfWidth]])</f>
        <v>4.4364818370329934E-2</v>
      </c>
    </row>
    <row r="33" spans="1:21" x14ac:dyDescent="0.25">
      <c r="A33" t="s">
        <v>68</v>
      </c>
      <c r="B33" t="s">
        <v>70</v>
      </c>
      <c r="C33">
        <v>3</v>
      </c>
      <c r="D33" t="s">
        <v>88</v>
      </c>
      <c r="E33" t="s">
        <v>96</v>
      </c>
      <c r="F33" t="s">
        <v>87</v>
      </c>
      <c r="G33">
        <v>1.39311487962991</v>
      </c>
      <c r="H33">
        <v>3E+20</v>
      </c>
      <c r="I33">
        <v>0</v>
      </c>
      <c r="J33">
        <v>9</v>
      </c>
      <c r="K33">
        <v>0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Tener ArticulsoDetener Carros.QueueNumber WaitingQueue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12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1.4357426212197553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0.67481269179007586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0.42875552898940772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0.85623463950978496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3.3096083955109501</v>
      </c>
      <c r="U33" s="5">
        <f>IF((ContinuousStatsTable[[#This Row],[RepsRequested]]&gt;1),ContinuousStatsTable[[#This Row],[HalfWidth]],ContinuousStatsTable[[#This Row],[BatchMeansHalfWidth]])</f>
        <v>0.42875552898940772</v>
      </c>
    </row>
    <row r="34" spans="1:21" x14ac:dyDescent="0.25">
      <c r="A34" t="s">
        <v>68</v>
      </c>
      <c r="B34" t="s">
        <v>70</v>
      </c>
      <c r="C34">
        <v>3</v>
      </c>
      <c r="D34" t="s">
        <v>89</v>
      </c>
      <c r="E34" t="s">
        <v>96</v>
      </c>
      <c r="F34" t="s">
        <v>87</v>
      </c>
      <c r="G34">
        <v>4.0028313893775698</v>
      </c>
      <c r="H34">
        <v>2E+20</v>
      </c>
      <c r="I34">
        <v>0</v>
      </c>
      <c r="J34">
        <v>13</v>
      </c>
      <c r="K34">
        <v>7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Tener ArticulsoNoOrganizar.QueueNumber WaitingQueue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12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1.8367908590220434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0.88849214816383859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0.56452097837458637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0.36210426146159602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4.0028313893775698</v>
      </c>
      <c r="U34" s="5">
        <f>IF((ContinuousStatsTable[[#This Row],[RepsRequested]]&gt;1),ContinuousStatsTable[[#This Row],[HalfWidth]],ContinuousStatsTable[[#This Row],[BatchMeansHalfWidth]])</f>
        <v>0.56452097837458637</v>
      </c>
    </row>
    <row r="35" spans="1:21" x14ac:dyDescent="0.25">
      <c r="A35" t="s">
        <v>68</v>
      </c>
      <c r="B35" t="s">
        <v>70</v>
      </c>
      <c r="C35">
        <v>3</v>
      </c>
      <c r="D35" t="s">
        <v>91</v>
      </c>
      <c r="E35" t="s">
        <v>96</v>
      </c>
      <c r="F35" t="s">
        <v>87</v>
      </c>
      <c r="G35">
        <v>8.6115571004757498</v>
      </c>
      <c r="H35">
        <v>3E+20</v>
      </c>
      <c r="I35">
        <v>0</v>
      </c>
      <c r="J35">
        <v>21</v>
      </c>
      <c r="K35">
        <v>11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Tener ArticulsoOrganizar.QueueNumber WaitingQueue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12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6.9452151315179975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1.3904671864747102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0.88346070151395062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4.6102617725055204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8.6997606838150698</v>
      </c>
      <c r="U35" s="5">
        <f>IF((ContinuousStatsTable[[#This Row],[RepsRequested]]&gt;1),ContinuousStatsTable[[#This Row],[HalfWidth]],ContinuousStatsTable[[#This Row],[BatchMeansHalfWidth]])</f>
        <v>0.88346070151395062</v>
      </c>
    </row>
    <row r="36" spans="1:21" x14ac:dyDescent="0.25">
      <c r="A36" t="s">
        <v>68</v>
      </c>
      <c r="B36" t="s">
        <v>70</v>
      </c>
      <c r="C36">
        <v>3</v>
      </c>
      <c r="D36" t="s">
        <v>93</v>
      </c>
      <c r="E36" t="s">
        <v>96</v>
      </c>
      <c r="F36" t="s">
        <v>87</v>
      </c>
      <c r="G36">
        <v>0.57782502298434202</v>
      </c>
      <c r="H36">
        <v>3E+20</v>
      </c>
      <c r="I36">
        <v>0</v>
      </c>
      <c r="J36">
        <v>2</v>
      </c>
      <c r="K36">
        <v>1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Tener ArticulsoSacar Articulos.QueueNumber WaitingQueue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12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0.54907359753581719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2.8061047329126759E-2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1.7829138867677546E-2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0.50893371098476703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0.58706685204911901</v>
      </c>
      <c r="U36" s="5">
        <f>IF((ContinuousStatsTable[[#This Row],[RepsRequested]]&gt;1),ContinuousStatsTable[[#This Row],[HalfWidth]],ContinuousStatsTable[[#This Row],[BatchMeansHalfWidth]])</f>
        <v>1.7829138867677546E-2</v>
      </c>
    </row>
    <row r="37" spans="1:21" x14ac:dyDescent="0.25">
      <c r="A37" t="s">
        <v>68</v>
      </c>
      <c r="B37" t="s">
        <v>70</v>
      </c>
      <c r="C37">
        <v>3</v>
      </c>
      <c r="D37" t="s">
        <v>94</v>
      </c>
      <c r="E37" t="s">
        <v>96</v>
      </c>
      <c r="F37" t="s">
        <v>87</v>
      </c>
      <c r="G37">
        <v>0.56100238959676596</v>
      </c>
      <c r="H37">
        <v>7.2421625433608E-2</v>
      </c>
      <c r="I37">
        <v>0</v>
      </c>
      <c r="J37">
        <v>3</v>
      </c>
      <c r="K37">
        <v>1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Tener ArticulsoTenerArticulos.QueueNumber WaitingQueue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12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0.55155869724816453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2.2857263166408359E-2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1.4522812151275023E-2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0.51570313450412797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0.58732155692135601</v>
      </c>
      <c r="U37" s="5">
        <f>IF((ContinuousStatsTable[[#This Row],[RepsRequested]]&gt;1),ContinuousStatsTable[[#This Row],[HalfWidth]],ContinuousStatsTable[[#This Row],[BatchMeansHalfWidth]])</f>
        <v>1.4522812151275023E-2</v>
      </c>
    </row>
    <row r="38" spans="1:21" x14ac:dyDescent="0.25">
      <c r="A38" t="s">
        <v>68</v>
      </c>
      <c r="B38" t="s">
        <v>70</v>
      </c>
      <c r="C38">
        <v>3</v>
      </c>
      <c r="D38" t="s">
        <v>97</v>
      </c>
      <c r="E38" t="s">
        <v>98</v>
      </c>
      <c r="F38" t="s">
        <v>99</v>
      </c>
      <c r="G38">
        <v>0.989515454392208</v>
      </c>
      <c r="H38">
        <v>2E+20</v>
      </c>
      <c r="I38">
        <v>0</v>
      </c>
      <c r="J38">
        <v>1</v>
      </c>
      <c r="K38">
        <v>1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Tener ArticulsorOrganizdorInstantaneous UtilizationResource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12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0.87408888428798603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0.989515454392208</v>
      </c>
      <c r="U38" s="5">
        <f>IF((ContinuousStatsTable[[#This Row],[RepsRequested]]&gt;1),ContinuousStatsTable[[#This Row],[HalfWidth]],ContinuousStatsTable[[#This Row],[BatchMeansHalfWidth]])</f>
        <v>1.9112222555672933E-2</v>
      </c>
    </row>
    <row r="39" spans="1:21" x14ac:dyDescent="0.25">
      <c r="A39" t="s">
        <v>68</v>
      </c>
      <c r="B39" t="s">
        <v>70</v>
      </c>
      <c r="C39">
        <v>3</v>
      </c>
      <c r="D39" t="s">
        <v>97</v>
      </c>
      <c r="E39" t="s">
        <v>100</v>
      </c>
      <c r="F39" t="s">
        <v>99</v>
      </c>
      <c r="G39">
        <v>0.989515454392208</v>
      </c>
      <c r="H39">
        <v>2E+20</v>
      </c>
      <c r="I39">
        <v>0</v>
      </c>
      <c r="J39">
        <v>1</v>
      </c>
      <c r="K39">
        <v>1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Tener ArticulsorOrganizdorNumber BusyResource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12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0.87408888428798603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0.989515454392208</v>
      </c>
      <c r="U39" s="5">
        <f>IF((ContinuousStatsTable[[#This Row],[RepsRequested]]&gt;1),ContinuousStatsTable[[#This Row],[HalfWidth]],ContinuousStatsTable[[#This Row],[BatchMeansHalfWidth]])</f>
        <v>1.9112222555672933E-2</v>
      </c>
    </row>
    <row r="40" spans="1:21" x14ac:dyDescent="0.25">
      <c r="A40" t="s">
        <v>68</v>
      </c>
      <c r="B40" t="s">
        <v>70</v>
      </c>
      <c r="C40">
        <v>3</v>
      </c>
      <c r="D40" t="s">
        <v>97</v>
      </c>
      <c r="E40" t="s">
        <v>101</v>
      </c>
      <c r="F40" t="s">
        <v>99</v>
      </c>
      <c r="G40">
        <v>1</v>
      </c>
      <c r="H40">
        <v>2E+20</v>
      </c>
      <c r="I40">
        <v>1</v>
      </c>
      <c r="J40">
        <v>1</v>
      </c>
      <c r="K40">
        <v>1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Tener ArticulsorOrganizdorNumber ScheduledResource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12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1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1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1</v>
      </c>
      <c r="U40" s="5">
        <f>IF((ContinuousStatsTable[[#This Row],[RepsRequested]]&gt;1),ContinuousStatsTable[[#This Row],[HalfWidth]],ContinuousStatsTable[[#This Row],[BatchMeansHalfWidth]])</f>
        <v>0</v>
      </c>
    </row>
    <row r="41" spans="1:21" x14ac:dyDescent="0.25">
      <c r="A41" t="s">
        <v>68</v>
      </c>
      <c r="B41" t="s">
        <v>70</v>
      </c>
      <c r="C41">
        <v>3</v>
      </c>
      <c r="D41" t="s">
        <v>102</v>
      </c>
      <c r="E41" t="s">
        <v>98</v>
      </c>
      <c r="F41" t="s">
        <v>99</v>
      </c>
      <c r="G41">
        <v>0.77912326322433201</v>
      </c>
      <c r="H41">
        <v>2E+20</v>
      </c>
      <c r="I41">
        <v>0</v>
      </c>
      <c r="J41">
        <v>1</v>
      </c>
      <c r="K41">
        <v>1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Tener ArticulsorSacadorInstantaneous UtilizationResource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12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0.70281682687036895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0.79676815469245998</v>
      </c>
      <c r="U41" s="5">
        <f>IF((ContinuousStatsTable[[#This Row],[RepsRequested]]&gt;1),ContinuousStatsTable[[#This Row],[HalfWidth]],ContinuousStatsTable[[#This Row],[BatchMeansHalfWidth]])</f>
        <v>1.9690534563658681E-2</v>
      </c>
    </row>
    <row r="42" spans="1:21" x14ac:dyDescent="0.25">
      <c r="A42" t="s">
        <v>68</v>
      </c>
      <c r="B42" t="s">
        <v>70</v>
      </c>
      <c r="C42">
        <v>3</v>
      </c>
      <c r="D42" t="s">
        <v>102</v>
      </c>
      <c r="E42" t="s">
        <v>100</v>
      </c>
      <c r="F42" t="s">
        <v>99</v>
      </c>
      <c r="G42">
        <v>0.77912326322433201</v>
      </c>
      <c r="H42">
        <v>2E+20</v>
      </c>
      <c r="I42">
        <v>0</v>
      </c>
      <c r="J42">
        <v>1</v>
      </c>
      <c r="K42">
        <v>1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Tener ArticulsorSacadorNumber BusyResource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12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0.70281682687036895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0.79676815469245998</v>
      </c>
      <c r="U42" s="5">
        <f>IF((ContinuousStatsTable[[#This Row],[RepsRequested]]&gt;1),ContinuousStatsTable[[#This Row],[HalfWidth]],ContinuousStatsTable[[#This Row],[BatchMeansHalfWidth]])</f>
        <v>1.9690534563658681E-2</v>
      </c>
    </row>
    <row r="43" spans="1:21" x14ac:dyDescent="0.25">
      <c r="A43" t="s">
        <v>68</v>
      </c>
      <c r="B43" t="s">
        <v>70</v>
      </c>
      <c r="C43">
        <v>3</v>
      </c>
      <c r="D43" t="s">
        <v>102</v>
      </c>
      <c r="E43" t="s">
        <v>101</v>
      </c>
      <c r="F43" t="s">
        <v>99</v>
      </c>
      <c r="G43">
        <v>1</v>
      </c>
      <c r="H43">
        <v>2E+20</v>
      </c>
      <c r="I43">
        <v>1</v>
      </c>
      <c r="J43">
        <v>1</v>
      </c>
      <c r="K43">
        <v>1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Tener ArticulsorSacadorNumber ScheduledResource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12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1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1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1</v>
      </c>
      <c r="U43" s="5">
        <f>IF((ContinuousStatsTable[[#This Row],[RepsRequested]]&gt;1),ContinuousStatsTable[[#This Row],[HalfWidth]],ContinuousStatsTable[[#This Row],[BatchMeansHalfWidth]])</f>
        <v>0</v>
      </c>
    </row>
    <row r="44" spans="1:21" x14ac:dyDescent="0.25">
      <c r="A44" t="s">
        <v>68</v>
      </c>
      <c r="B44" t="s">
        <v>70</v>
      </c>
      <c r="C44">
        <v>4</v>
      </c>
      <c r="D44" t="s">
        <v>71</v>
      </c>
      <c r="E44" t="s">
        <v>95</v>
      </c>
      <c r="F44" t="s">
        <v>73</v>
      </c>
      <c r="G44">
        <v>14.796502455206101</v>
      </c>
      <c r="H44">
        <v>3E+20</v>
      </c>
      <c r="I44">
        <v>0</v>
      </c>
      <c r="J44">
        <v>30</v>
      </c>
      <c r="K44">
        <v>12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Tener ArticulsoArticulosWIPEntity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12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11.967618013540566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2.2199622266915817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1.4104967058588604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7.8453940222015603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16.013877975802099</v>
      </c>
      <c r="U44" s="5">
        <f>IF((ContinuousStatsTable[[#This Row],[RepsRequested]]&gt;1),ContinuousStatsTable[[#This Row],[HalfWidth]],ContinuousStatsTable[[#This Row],[BatchMeansHalfWidth]])</f>
        <v>1.4104967058588604</v>
      </c>
    </row>
    <row r="45" spans="1:21" x14ac:dyDescent="0.25">
      <c r="A45" t="s">
        <v>68</v>
      </c>
      <c r="B45" t="s">
        <v>70</v>
      </c>
      <c r="C45">
        <v>4</v>
      </c>
      <c r="D45" t="s">
        <v>79</v>
      </c>
      <c r="E45" t="s">
        <v>95</v>
      </c>
      <c r="F45" t="s">
        <v>73</v>
      </c>
      <c r="G45">
        <v>1.2586769647801299</v>
      </c>
      <c r="H45">
        <v>3E+20</v>
      </c>
      <c r="I45">
        <v>0</v>
      </c>
      <c r="J45">
        <v>10</v>
      </c>
      <c r="K45">
        <v>0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Tener ArticulsoCarrosWIPEntity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12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1.4357426212197542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0.67481269179007708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0.4287555289894085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0.85623463950978496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3.3096083955109501</v>
      </c>
      <c r="U45" s="5">
        <f>IF((ContinuousStatsTable[[#This Row],[RepsRequested]]&gt;1),ContinuousStatsTable[[#This Row],[HalfWidth]],ContinuousStatsTable[[#This Row],[BatchMeansHalfWidth]])</f>
        <v>0.4287555289894085</v>
      </c>
    </row>
    <row r="46" spans="1:21" x14ac:dyDescent="0.25">
      <c r="A46" t="s">
        <v>68</v>
      </c>
      <c r="B46" t="s">
        <v>70</v>
      </c>
      <c r="C46">
        <v>4</v>
      </c>
      <c r="D46" t="s">
        <v>85</v>
      </c>
      <c r="E46" t="s">
        <v>96</v>
      </c>
      <c r="F46" t="s">
        <v>87</v>
      </c>
      <c r="G46">
        <v>0.492701223784278</v>
      </c>
      <c r="H46">
        <v>2E+20</v>
      </c>
      <c r="I46">
        <v>0</v>
      </c>
      <c r="J46">
        <v>1</v>
      </c>
      <c r="K46">
        <v>0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Tener ArticulsoDesembalaje.QueueNumber WaitingQueue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12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0.39305431340749158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6.9825204530481425E-2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4.4364818370329934E-2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0.26379051411540999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0.492701223784278</v>
      </c>
      <c r="U46" s="5">
        <f>IF((ContinuousStatsTable[[#This Row],[RepsRequested]]&gt;1),ContinuousStatsTable[[#This Row],[HalfWidth]],ContinuousStatsTable[[#This Row],[BatchMeansHalfWidth]])</f>
        <v>4.4364818370329934E-2</v>
      </c>
    </row>
    <row r="47" spans="1:21" x14ac:dyDescent="0.25">
      <c r="A47" t="s">
        <v>68</v>
      </c>
      <c r="B47" t="s">
        <v>70</v>
      </c>
      <c r="C47">
        <v>4</v>
      </c>
      <c r="D47" t="s">
        <v>88</v>
      </c>
      <c r="E47" t="s">
        <v>96</v>
      </c>
      <c r="F47" t="s">
        <v>87</v>
      </c>
      <c r="G47">
        <v>1.2586769647801299</v>
      </c>
      <c r="H47">
        <v>3E+20</v>
      </c>
      <c r="I47">
        <v>0</v>
      </c>
      <c r="J47">
        <v>7</v>
      </c>
      <c r="K47">
        <v>0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Tener ArticulsoDetener Carros.QueueNumber WaitingQueue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12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1.4357426212197553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0.67481269179007586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0.42875552898940772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0.85623463950978496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3.3096083955109501</v>
      </c>
      <c r="U47" s="5">
        <f>IF((ContinuousStatsTable[[#This Row],[RepsRequested]]&gt;1),ContinuousStatsTable[[#This Row],[HalfWidth]],ContinuousStatsTable[[#This Row],[BatchMeansHalfWidth]])</f>
        <v>0.42875552898940772</v>
      </c>
    </row>
    <row r="48" spans="1:21" x14ac:dyDescent="0.25">
      <c r="A48" t="s">
        <v>68</v>
      </c>
      <c r="B48" t="s">
        <v>70</v>
      </c>
      <c r="C48">
        <v>4</v>
      </c>
      <c r="D48" t="s">
        <v>89</v>
      </c>
      <c r="E48" t="s">
        <v>96</v>
      </c>
      <c r="F48" t="s">
        <v>87</v>
      </c>
      <c r="G48">
        <v>2.6701436601395501</v>
      </c>
      <c r="H48">
        <v>2E+20</v>
      </c>
      <c r="I48">
        <v>0</v>
      </c>
      <c r="J48">
        <v>8</v>
      </c>
      <c r="K48">
        <v>3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Tener ArticulsoNoOrganizar.QueueNumber WaitingQueue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12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1.8367908590220434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0.88849214816383859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0.56452097837458637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0.36210426146159602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4.0028313893775698</v>
      </c>
      <c r="U48" s="5">
        <f>IF((ContinuousStatsTable[[#This Row],[RepsRequested]]&gt;1),ContinuousStatsTable[[#This Row],[HalfWidth]],ContinuousStatsTable[[#This Row],[BatchMeansHalfWidth]])</f>
        <v>0.56452097837458637</v>
      </c>
    </row>
    <row r="49" spans="1:21" x14ac:dyDescent="0.25">
      <c r="A49" t="s">
        <v>68</v>
      </c>
      <c r="B49" t="s">
        <v>70</v>
      </c>
      <c r="C49">
        <v>4</v>
      </c>
      <c r="D49" t="s">
        <v>91</v>
      </c>
      <c r="E49" t="s">
        <v>96</v>
      </c>
      <c r="F49" t="s">
        <v>87</v>
      </c>
      <c r="G49">
        <v>8.6997606838150698</v>
      </c>
      <c r="H49">
        <v>3E+20</v>
      </c>
      <c r="I49">
        <v>0</v>
      </c>
      <c r="J49">
        <v>23</v>
      </c>
      <c r="K49">
        <v>8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Tener ArticulsoOrganizar.QueueNumber WaitingQueue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12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6.9452151315179975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1.3904671864747102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0.88346070151395062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4.6102617725055204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8.6997606838150698</v>
      </c>
      <c r="U49" s="5">
        <f>IF((ContinuousStatsTable[[#This Row],[RepsRequested]]&gt;1),ContinuousStatsTable[[#This Row],[HalfWidth]],ContinuousStatsTable[[#This Row],[BatchMeansHalfWidth]])</f>
        <v>0.88346070151395062</v>
      </c>
    </row>
    <row r="50" spans="1:21" x14ac:dyDescent="0.25">
      <c r="A50" t="s">
        <v>68</v>
      </c>
      <c r="B50" t="s">
        <v>70</v>
      </c>
      <c r="C50">
        <v>4</v>
      </c>
      <c r="D50" t="s">
        <v>93</v>
      </c>
      <c r="E50" t="s">
        <v>96</v>
      </c>
      <c r="F50" t="s">
        <v>87</v>
      </c>
      <c r="G50">
        <v>0.58706685204911901</v>
      </c>
      <c r="H50">
        <v>3E+20</v>
      </c>
      <c r="I50">
        <v>0</v>
      </c>
      <c r="J50">
        <v>2</v>
      </c>
      <c r="K50">
        <v>0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Tener ArticulsoSacar Articulos.QueueNumber WaitingQueue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12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0.54907359753581719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2.8061047329126759E-2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1.7829138867677546E-2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0.50893371098476703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0.58706685204911901</v>
      </c>
      <c r="U50" s="5">
        <f>IF((ContinuousStatsTable[[#This Row],[RepsRequested]]&gt;1),ContinuousStatsTable[[#This Row],[HalfWidth]],ContinuousStatsTable[[#This Row],[BatchMeansHalfWidth]])</f>
        <v>1.7829138867677546E-2</v>
      </c>
    </row>
    <row r="51" spans="1:21" x14ac:dyDescent="0.25">
      <c r="A51" t="s">
        <v>68</v>
      </c>
      <c r="B51" t="s">
        <v>70</v>
      </c>
      <c r="C51">
        <v>4</v>
      </c>
      <c r="D51" t="s">
        <v>94</v>
      </c>
      <c r="E51" t="s">
        <v>96</v>
      </c>
      <c r="F51" t="s">
        <v>87</v>
      </c>
      <c r="G51">
        <v>0.58732155692135601</v>
      </c>
      <c r="H51">
        <v>3E+20</v>
      </c>
      <c r="I51">
        <v>0</v>
      </c>
      <c r="J51">
        <v>3</v>
      </c>
      <c r="K51">
        <v>0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Tener ArticulsoTenerArticulos.QueueNumber WaitingQueue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12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0.55155869724816453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2.2857263166408359E-2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1.4522812151275023E-2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0.51570313450412797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0.58732155692135601</v>
      </c>
      <c r="U51" s="5">
        <f>IF((ContinuousStatsTable[[#This Row],[RepsRequested]]&gt;1),ContinuousStatsTable[[#This Row],[HalfWidth]],ContinuousStatsTable[[#This Row],[BatchMeansHalfWidth]])</f>
        <v>1.4522812151275023E-2</v>
      </c>
    </row>
    <row r="52" spans="1:21" x14ac:dyDescent="0.25">
      <c r="A52" t="s">
        <v>68</v>
      </c>
      <c r="B52" t="s">
        <v>70</v>
      </c>
      <c r="C52">
        <v>4</v>
      </c>
      <c r="D52" t="s">
        <v>97</v>
      </c>
      <c r="E52" t="s">
        <v>98</v>
      </c>
      <c r="F52" t="s">
        <v>99</v>
      </c>
      <c r="G52">
        <v>0.96274032380429897</v>
      </c>
      <c r="H52">
        <v>2E+20</v>
      </c>
      <c r="I52">
        <v>0</v>
      </c>
      <c r="J52">
        <v>1</v>
      </c>
      <c r="K52">
        <v>1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Tener ArticulsorOrganizdorInstantaneous UtilizationResource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12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0.87408888428798603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0.989515454392208</v>
      </c>
      <c r="U52" s="5">
        <f>IF((ContinuousStatsTable[[#This Row],[RepsRequested]]&gt;1),ContinuousStatsTable[[#This Row],[HalfWidth]],ContinuousStatsTable[[#This Row],[BatchMeansHalfWidth]])</f>
        <v>1.9112222555672933E-2</v>
      </c>
    </row>
    <row r="53" spans="1:21" x14ac:dyDescent="0.25">
      <c r="A53" t="s">
        <v>68</v>
      </c>
      <c r="B53" t="s">
        <v>70</v>
      </c>
      <c r="C53">
        <v>4</v>
      </c>
      <c r="D53" t="s">
        <v>97</v>
      </c>
      <c r="E53" t="s">
        <v>100</v>
      </c>
      <c r="F53" t="s">
        <v>99</v>
      </c>
      <c r="G53">
        <v>0.96274032380429897</v>
      </c>
      <c r="H53">
        <v>2E+20</v>
      </c>
      <c r="I53">
        <v>0</v>
      </c>
      <c r="J53">
        <v>1</v>
      </c>
      <c r="K53">
        <v>1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Tener ArticulsorOrganizdorNumber BusyResource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12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0.87408888428798603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0.989515454392208</v>
      </c>
      <c r="U53" s="5">
        <f>IF((ContinuousStatsTable[[#This Row],[RepsRequested]]&gt;1),ContinuousStatsTable[[#This Row],[HalfWidth]],ContinuousStatsTable[[#This Row],[BatchMeansHalfWidth]])</f>
        <v>1.9112222555672933E-2</v>
      </c>
    </row>
    <row r="54" spans="1:21" x14ac:dyDescent="0.25">
      <c r="A54" t="s">
        <v>68</v>
      </c>
      <c r="B54" t="s">
        <v>70</v>
      </c>
      <c r="C54">
        <v>4</v>
      </c>
      <c r="D54" t="s">
        <v>97</v>
      </c>
      <c r="E54" t="s">
        <v>101</v>
      </c>
      <c r="F54" t="s">
        <v>99</v>
      </c>
      <c r="G54">
        <v>1</v>
      </c>
      <c r="H54">
        <v>2E+20</v>
      </c>
      <c r="I54">
        <v>1</v>
      </c>
      <c r="J54">
        <v>1</v>
      </c>
      <c r="K54">
        <v>1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Tener ArticulsorOrganizdorNumber ScheduledResource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12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1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1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1</v>
      </c>
      <c r="U54" s="5">
        <f>IF((ContinuousStatsTable[[#This Row],[RepsRequested]]&gt;1),ContinuousStatsTable[[#This Row],[HalfWidth]],ContinuousStatsTable[[#This Row],[BatchMeansHalfWidth]])</f>
        <v>0</v>
      </c>
    </row>
    <row r="55" spans="1:21" x14ac:dyDescent="0.25">
      <c r="A55" t="s">
        <v>68</v>
      </c>
      <c r="B55" t="s">
        <v>70</v>
      </c>
      <c r="C55">
        <v>4</v>
      </c>
      <c r="D55" t="s">
        <v>102</v>
      </c>
      <c r="E55" t="s">
        <v>98</v>
      </c>
      <c r="F55" t="s">
        <v>99</v>
      </c>
      <c r="G55">
        <v>0.79676815469245998</v>
      </c>
      <c r="H55">
        <v>2E+20</v>
      </c>
      <c r="I55">
        <v>0</v>
      </c>
      <c r="J55">
        <v>1</v>
      </c>
      <c r="K55">
        <v>0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Tener ArticulsorSacadorInstantaneous UtilizationResource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12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0.70281682687036895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0.79676815469245998</v>
      </c>
      <c r="U55" s="5">
        <f>IF((ContinuousStatsTable[[#This Row],[RepsRequested]]&gt;1),ContinuousStatsTable[[#This Row],[HalfWidth]],ContinuousStatsTable[[#This Row],[BatchMeansHalfWidth]])</f>
        <v>1.9690534563658681E-2</v>
      </c>
    </row>
    <row r="56" spans="1:21" x14ac:dyDescent="0.25">
      <c r="A56" t="s">
        <v>68</v>
      </c>
      <c r="B56" t="s">
        <v>70</v>
      </c>
      <c r="C56">
        <v>4</v>
      </c>
      <c r="D56" t="s">
        <v>102</v>
      </c>
      <c r="E56" t="s">
        <v>100</v>
      </c>
      <c r="F56" t="s">
        <v>99</v>
      </c>
      <c r="G56">
        <v>0.79676815469245998</v>
      </c>
      <c r="H56">
        <v>2E+20</v>
      </c>
      <c r="I56">
        <v>0</v>
      </c>
      <c r="J56">
        <v>1</v>
      </c>
      <c r="K56">
        <v>0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Tener ArticulsorSacadorNumber BusyResource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12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0.70281682687036895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0.79676815469245998</v>
      </c>
      <c r="U56" s="5">
        <f>IF((ContinuousStatsTable[[#This Row],[RepsRequested]]&gt;1),ContinuousStatsTable[[#This Row],[HalfWidth]],ContinuousStatsTable[[#This Row],[BatchMeansHalfWidth]])</f>
        <v>1.9690534563658681E-2</v>
      </c>
    </row>
    <row r="57" spans="1:21" x14ac:dyDescent="0.25">
      <c r="A57" t="s">
        <v>68</v>
      </c>
      <c r="B57" t="s">
        <v>70</v>
      </c>
      <c r="C57">
        <v>4</v>
      </c>
      <c r="D57" t="s">
        <v>102</v>
      </c>
      <c r="E57" t="s">
        <v>101</v>
      </c>
      <c r="F57" t="s">
        <v>99</v>
      </c>
      <c r="G57">
        <v>1</v>
      </c>
      <c r="H57">
        <v>2E+20</v>
      </c>
      <c r="I57">
        <v>1</v>
      </c>
      <c r="J57">
        <v>1</v>
      </c>
      <c r="K57">
        <v>1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Tener ArticulsorSacadorNumber ScheduledResource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12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1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1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1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25">
      <c r="A58" t="s">
        <v>68</v>
      </c>
      <c r="B58" t="s">
        <v>70</v>
      </c>
      <c r="C58">
        <v>5</v>
      </c>
      <c r="D58" t="s">
        <v>71</v>
      </c>
      <c r="E58" t="s">
        <v>95</v>
      </c>
      <c r="F58" t="s">
        <v>73</v>
      </c>
      <c r="G58">
        <v>7.8453940222015603</v>
      </c>
      <c r="H58">
        <v>3E+20</v>
      </c>
      <c r="I58">
        <v>0</v>
      </c>
      <c r="J58">
        <v>21</v>
      </c>
      <c r="K58">
        <v>7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Tener ArticulsoArticulosWIPEntity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12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11.967618013540566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2.2199622266915817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1.4104967058588604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7.8453940222015603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16.013877975802099</v>
      </c>
      <c r="U58" s="5">
        <f>IF((ContinuousStatsTable[[#This Row],[RepsRequested]]&gt;1),ContinuousStatsTable[[#This Row],[HalfWidth]],ContinuousStatsTable[[#This Row],[BatchMeansHalfWidth]])</f>
        <v>1.4104967058588604</v>
      </c>
    </row>
    <row r="59" spans="1:21" x14ac:dyDescent="0.25">
      <c r="A59" t="s">
        <v>68</v>
      </c>
      <c r="B59" t="s">
        <v>70</v>
      </c>
      <c r="C59">
        <v>5</v>
      </c>
      <c r="D59" t="s">
        <v>79</v>
      </c>
      <c r="E59" t="s">
        <v>95</v>
      </c>
      <c r="F59" t="s">
        <v>73</v>
      </c>
      <c r="G59">
        <v>0.89426091287144105</v>
      </c>
      <c r="H59">
        <v>0.32738360525840998</v>
      </c>
      <c r="I59">
        <v>0</v>
      </c>
      <c r="J59">
        <v>10</v>
      </c>
      <c r="K59">
        <v>0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Tener ArticulsoCarrosWIPEntity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12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1.4357426212197542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0.67481269179007708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0.4287555289894085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0.85623463950978496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3.3096083955109501</v>
      </c>
      <c r="U59" s="5">
        <f>IF((ContinuousStatsTable[[#This Row],[RepsRequested]]&gt;1),ContinuousStatsTable[[#This Row],[HalfWidth]],ContinuousStatsTable[[#This Row],[BatchMeansHalfWidth]])</f>
        <v>0.4287555289894085</v>
      </c>
    </row>
    <row r="60" spans="1:21" x14ac:dyDescent="0.25">
      <c r="A60" t="s">
        <v>68</v>
      </c>
      <c r="B60" t="s">
        <v>70</v>
      </c>
      <c r="C60">
        <v>5</v>
      </c>
      <c r="D60" t="s">
        <v>85</v>
      </c>
      <c r="E60" t="s">
        <v>96</v>
      </c>
      <c r="F60" t="s">
        <v>87</v>
      </c>
      <c r="G60">
        <v>0.26379051411540999</v>
      </c>
      <c r="H60">
        <v>2E+20</v>
      </c>
      <c r="I60">
        <v>0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Tener ArticulsoDesembalaje.QueueNumber WaitingQueue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12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0.39305431340749158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6.9825204530481425E-2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4.4364818370329934E-2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0.26379051411540999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0.492701223784278</v>
      </c>
      <c r="U60" s="5">
        <f>IF((ContinuousStatsTable[[#This Row],[RepsRequested]]&gt;1),ContinuousStatsTable[[#This Row],[HalfWidth]],ContinuousStatsTable[[#This Row],[BatchMeansHalfWidth]])</f>
        <v>4.4364818370329934E-2</v>
      </c>
    </row>
    <row r="61" spans="1:21" x14ac:dyDescent="0.25">
      <c r="A61" t="s">
        <v>68</v>
      </c>
      <c r="B61" t="s">
        <v>70</v>
      </c>
      <c r="C61">
        <v>5</v>
      </c>
      <c r="D61" t="s">
        <v>88</v>
      </c>
      <c r="E61" t="s">
        <v>96</v>
      </c>
      <c r="F61" t="s">
        <v>87</v>
      </c>
      <c r="G61">
        <v>0.89426091287144205</v>
      </c>
      <c r="H61">
        <v>0.32738360525840998</v>
      </c>
      <c r="I61">
        <v>0</v>
      </c>
      <c r="J61">
        <v>7</v>
      </c>
      <c r="K61">
        <v>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Tener ArticulsoDetener Carros.QueueNumber WaitingQueue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12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1.4357426212197553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0.67481269179007586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0.42875552898940772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0.85623463950978496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3.3096083955109501</v>
      </c>
      <c r="U61" s="5">
        <f>IF((ContinuousStatsTable[[#This Row],[RepsRequested]]&gt;1),ContinuousStatsTable[[#This Row],[HalfWidth]],ContinuousStatsTable[[#This Row],[BatchMeansHalfWidth]])</f>
        <v>0.42875552898940772</v>
      </c>
    </row>
    <row r="62" spans="1:21" x14ac:dyDescent="0.25">
      <c r="A62" t="s">
        <v>68</v>
      </c>
      <c r="B62" t="s">
        <v>70</v>
      </c>
      <c r="C62">
        <v>5</v>
      </c>
      <c r="D62" t="s">
        <v>89</v>
      </c>
      <c r="E62" t="s">
        <v>96</v>
      </c>
      <c r="F62" t="s">
        <v>87</v>
      </c>
      <c r="G62">
        <v>0.36210426146159602</v>
      </c>
      <c r="H62">
        <v>2E+20</v>
      </c>
      <c r="I62">
        <v>0</v>
      </c>
      <c r="J62">
        <v>2</v>
      </c>
      <c r="K62">
        <v>0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Tener ArticulsoNoOrganizar.QueueNumber WaitingQueue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12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1.8367908590220434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0.88849214816383859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0.56452097837458637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0.36210426146159602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4.0028313893775698</v>
      </c>
      <c r="U62" s="5">
        <f>IF((ContinuousStatsTable[[#This Row],[RepsRequested]]&gt;1),ContinuousStatsTable[[#This Row],[HalfWidth]],ContinuousStatsTable[[#This Row],[BatchMeansHalfWidth]])</f>
        <v>0.56452097837458637</v>
      </c>
    </row>
    <row r="63" spans="1:21" x14ac:dyDescent="0.25">
      <c r="A63" t="s">
        <v>68</v>
      </c>
      <c r="B63" t="s">
        <v>70</v>
      </c>
      <c r="C63">
        <v>5</v>
      </c>
      <c r="D63" t="s">
        <v>91</v>
      </c>
      <c r="E63" t="s">
        <v>96</v>
      </c>
      <c r="F63" t="s">
        <v>87</v>
      </c>
      <c r="G63">
        <v>4.6102617725055204</v>
      </c>
      <c r="H63">
        <v>3E+20</v>
      </c>
      <c r="I63">
        <v>0</v>
      </c>
      <c r="J63">
        <v>17</v>
      </c>
      <c r="K63">
        <v>5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Tener ArticulsoOrganizar.QueueNumber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12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6.9452151315179975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1.3904671864747102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0.88346070151395062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4.6102617725055204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8.6997606838150698</v>
      </c>
      <c r="U63" s="5">
        <f>IF((ContinuousStatsTable[[#This Row],[RepsRequested]]&gt;1),ContinuousStatsTable[[#This Row],[HalfWidth]],ContinuousStatsTable[[#This Row],[BatchMeansHalfWidth]])</f>
        <v>0.88346070151395062</v>
      </c>
    </row>
    <row r="64" spans="1:21" x14ac:dyDescent="0.25">
      <c r="A64" t="s">
        <v>68</v>
      </c>
      <c r="B64" t="s">
        <v>70</v>
      </c>
      <c r="C64">
        <v>5</v>
      </c>
      <c r="D64" t="s">
        <v>93</v>
      </c>
      <c r="E64" t="s">
        <v>96</v>
      </c>
      <c r="F64" t="s">
        <v>87</v>
      </c>
      <c r="G64">
        <v>0.51002018711216801</v>
      </c>
      <c r="H64">
        <v>6.1338014917536397E-2</v>
      </c>
      <c r="I64">
        <v>0</v>
      </c>
      <c r="J64">
        <v>2</v>
      </c>
      <c r="K64">
        <v>0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Tener ArticulsoSacar Articulos.QueueNumber WaitingQueue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12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0.54907359753581719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2.8061047329126759E-2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1.7829138867677546E-2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0.50893371098476703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0.58706685204911901</v>
      </c>
      <c r="U64" s="5">
        <f>IF((ContinuousStatsTable[[#This Row],[RepsRequested]]&gt;1),ContinuousStatsTable[[#This Row],[HalfWidth]],ContinuousStatsTable[[#This Row],[BatchMeansHalfWidth]])</f>
        <v>1.7829138867677546E-2</v>
      </c>
    </row>
    <row r="65" spans="1:21" x14ac:dyDescent="0.25">
      <c r="A65" t="s">
        <v>68</v>
      </c>
      <c r="B65" t="s">
        <v>70</v>
      </c>
      <c r="C65">
        <v>5</v>
      </c>
      <c r="D65" t="s">
        <v>94</v>
      </c>
      <c r="E65" t="s">
        <v>96</v>
      </c>
      <c r="F65" t="s">
        <v>87</v>
      </c>
      <c r="G65">
        <v>0.51570313450412797</v>
      </c>
      <c r="H65">
        <v>6.1268049686860802E-2</v>
      </c>
      <c r="I65">
        <v>0</v>
      </c>
      <c r="J65">
        <v>3</v>
      </c>
      <c r="K65">
        <v>0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Tener ArticulsoTenerArticulos.QueueNumber WaitingQueue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12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0.55155869724816453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2.2857263166408359E-2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1.4522812151275023E-2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0.51570313450412797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0.58732155692135601</v>
      </c>
      <c r="U65" s="5">
        <f>IF((ContinuousStatsTable[[#This Row],[RepsRequested]]&gt;1),ContinuousStatsTable[[#This Row],[HalfWidth]],ContinuousStatsTable[[#This Row],[BatchMeansHalfWidth]])</f>
        <v>1.4522812151275023E-2</v>
      </c>
    </row>
    <row r="66" spans="1:21" x14ac:dyDescent="0.25">
      <c r="A66" t="s">
        <v>68</v>
      </c>
      <c r="B66" t="s">
        <v>70</v>
      </c>
      <c r="C66">
        <v>5</v>
      </c>
      <c r="D66" t="s">
        <v>97</v>
      </c>
      <c r="E66" t="s">
        <v>98</v>
      </c>
      <c r="F66" t="s">
        <v>99</v>
      </c>
      <c r="G66">
        <v>0.87408888428798603</v>
      </c>
      <c r="H66">
        <v>2E+20</v>
      </c>
      <c r="I66">
        <v>0</v>
      </c>
      <c r="J66">
        <v>1</v>
      </c>
      <c r="K66">
        <v>1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Tener ArticulsorOrganizdorInstantaneous UtilizationResource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12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0.87408888428798603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0.989515454392208</v>
      </c>
      <c r="U66" s="5">
        <f>IF((ContinuousStatsTable[[#This Row],[RepsRequested]]&gt;1),ContinuousStatsTable[[#This Row],[HalfWidth]],ContinuousStatsTable[[#This Row],[BatchMeansHalfWidth]])</f>
        <v>1.9112222555672933E-2</v>
      </c>
    </row>
    <row r="67" spans="1:21" x14ac:dyDescent="0.25">
      <c r="A67" t="s">
        <v>68</v>
      </c>
      <c r="B67" t="s">
        <v>70</v>
      </c>
      <c r="C67">
        <v>5</v>
      </c>
      <c r="D67" t="s">
        <v>97</v>
      </c>
      <c r="E67" t="s">
        <v>100</v>
      </c>
      <c r="F67" t="s">
        <v>99</v>
      </c>
      <c r="G67">
        <v>0.87408888428798603</v>
      </c>
      <c r="H67">
        <v>2E+20</v>
      </c>
      <c r="I67">
        <v>0</v>
      </c>
      <c r="J67">
        <v>1</v>
      </c>
      <c r="K67">
        <v>1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Tener ArticulsorOrganizdorNumber BusyResource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12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0.87408888428798603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0.989515454392208</v>
      </c>
      <c r="U67" s="5">
        <f>IF((ContinuousStatsTable[[#This Row],[RepsRequested]]&gt;1),ContinuousStatsTable[[#This Row],[HalfWidth]],ContinuousStatsTable[[#This Row],[BatchMeansHalfWidth]])</f>
        <v>1.9112222555672933E-2</v>
      </c>
    </row>
    <row r="68" spans="1:21" x14ac:dyDescent="0.25">
      <c r="A68" t="s">
        <v>68</v>
      </c>
      <c r="B68" t="s">
        <v>70</v>
      </c>
      <c r="C68">
        <v>5</v>
      </c>
      <c r="D68" t="s">
        <v>97</v>
      </c>
      <c r="E68" t="s">
        <v>101</v>
      </c>
      <c r="F68" t="s">
        <v>99</v>
      </c>
      <c r="G68">
        <v>1</v>
      </c>
      <c r="H68">
        <v>2E+20</v>
      </c>
      <c r="I68">
        <v>1</v>
      </c>
      <c r="J68">
        <v>1</v>
      </c>
      <c r="K68">
        <v>1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Tener ArticulsorOrganizdorNumber ScheduledResource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12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1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1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1</v>
      </c>
      <c r="U68" s="5">
        <f>IF((ContinuousStatsTable[[#This Row],[RepsRequested]]&gt;1),ContinuousStatsTable[[#This Row],[HalfWidth]],ContinuousStatsTable[[#This Row],[BatchMeansHalfWidth]])</f>
        <v>0</v>
      </c>
    </row>
    <row r="69" spans="1:21" x14ac:dyDescent="0.25">
      <c r="A69" t="s">
        <v>68</v>
      </c>
      <c r="B69" t="s">
        <v>70</v>
      </c>
      <c r="C69">
        <v>5</v>
      </c>
      <c r="D69" t="s">
        <v>102</v>
      </c>
      <c r="E69" t="s">
        <v>98</v>
      </c>
      <c r="F69" t="s">
        <v>99</v>
      </c>
      <c r="G69">
        <v>0.70942526821475904</v>
      </c>
      <c r="H69">
        <v>2E+20</v>
      </c>
      <c r="I69">
        <v>0</v>
      </c>
      <c r="J69">
        <v>1</v>
      </c>
      <c r="K69">
        <v>0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Tener ArticulsorSacadorInstantaneous UtilizationResource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12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0.70281682687036895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0.79676815469245998</v>
      </c>
      <c r="U69" s="5">
        <f>IF((ContinuousStatsTable[[#This Row],[RepsRequested]]&gt;1),ContinuousStatsTable[[#This Row],[HalfWidth]],ContinuousStatsTable[[#This Row],[BatchMeansHalfWidth]])</f>
        <v>1.9690534563658681E-2</v>
      </c>
    </row>
    <row r="70" spans="1:21" x14ac:dyDescent="0.25">
      <c r="A70" t="s">
        <v>68</v>
      </c>
      <c r="B70" t="s">
        <v>70</v>
      </c>
      <c r="C70">
        <v>5</v>
      </c>
      <c r="D70" t="s">
        <v>102</v>
      </c>
      <c r="E70" t="s">
        <v>100</v>
      </c>
      <c r="F70" t="s">
        <v>99</v>
      </c>
      <c r="G70">
        <v>0.70942526821475904</v>
      </c>
      <c r="H70">
        <v>2E+20</v>
      </c>
      <c r="I70">
        <v>0</v>
      </c>
      <c r="J70">
        <v>1</v>
      </c>
      <c r="K70">
        <v>0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Tener ArticulsorSacadorNumber BusyResource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12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0.70281682687036895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0.79676815469245998</v>
      </c>
      <c r="U70" s="5">
        <f>IF((ContinuousStatsTable[[#This Row],[RepsRequested]]&gt;1),ContinuousStatsTable[[#This Row],[HalfWidth]],ContinuousStatsTable[[#This Row],[BatchMeansHalfWidth]])</f>
        <v>1.9690534563658681E-2</v>
      </c>
    </row>
    <row r="71" spans="1:21" x14ac:dyDescent="0.25">
      <c r="A71" t="s">
        <v>68</v>
      </c>
      <c r="B71" t="s">
        <v>70</v>
      </c>
      <c r="C71">
        <v>5</v>
      </c>
      <c r="D71" t="s">
        <v>102</v>
      </c>
      <c r="E71" t="s">
        <v>101</v>
      </c>
      <c r="F71" t="s">
        <v>99</v>
      </c>
      <c r="G71">
        <v>1</v>
      </c>
      <c r="H71">
        <v>2E+20</v>
      </c>
      <c r="I71">
        <v>1</v>
      </c>
      <c r="J71">
        <v>1</v>
      </c>
      <c r="K71">
        <v>1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Tener ArticulsorSacadorNumber ScheduledResource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12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1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1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1</v>
      </c>
      <c r="U71" s="5">
        <f>IF((ContinuousStatsTable[[#This Row],[RepsRequested]]&gt;1),ContinuousStatsTable[[#This Row],[HalfWidth]],ContinuousStatsTable[[#This Row],[BatchMeansHalfWidth]])</f>
        <v>0</v>
      </c>
    </row>
    <row r="72" spans="1:21" x14ac:dyDescent="0.25">
      <c r="A72" t="s">
        <v>68</v>
      </c>
      <c r="B72" t="s">
        <v>70</v>
      </c>
      <c r="C72">
        <v>6</v>
      </c>
      <c r="D72" t="s">
        <v>71</v>
      </c>
      <c r="E72" t="s">
        <v>95</v>
      </c>
      <c r="F72" t="s">
        <v>73</v>
      </c>
      <c r="G72">
        <v>11.464364756274</v>
      </c>
      <c r="H72">
        <v>3E+20</v>
      </c>
      <c r="I72">
        <v>0</v>
      </c>
      <c r="J72">
        <v>27</v>
      </c>
      <c r="K72">
        <v>13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Tener ArticulsoArticulosWIPEntity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12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11.967618013540566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2.2199622266915817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1.4104967058588604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7.8453940222015603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16.013877975802099</v>
      </c>
      <c r="U72" s="5">
        <f>IF((ContinuousStatsTable[[#This Row],[RepsRequested]]&gt;1),ContinuousStatsTable[[#This Row],[HalfWidth]],ContinuousStatsTable[[#This Row],[BatchMeansHalfWidth]])</f>
        <v>1.4104967058588604</v>
      </c>
    </row>
    <row r="73" spans="1:21" x14ac:dyDescent="0.25">
      <c r="A73" t="s">
        <v>68</v>
      </c>
      <c r="B73" t="s">
        <v>70</v>
      </c>
      <c r="C73">
        <v>6</v>
      </c>
      <c r="D73" t="s">
        <v>79</v>
      </c>
      <c r="E73" t="s">
        <v>95</v>
      </c>
      <c r="F73" t="s">
        <v>73</v>
      </c>
      <c r="G73">
        <v>1.9028108277795699</v>
      </c>
      <c r="H73">
        <v>3E+20</v>
      </c>
      <c r="I73">
        <v>0</v>
      </c>
      <c r="J73">
        <v>13</v>
      </c>
      <c r="K73">
        <v>2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Tener ArticulsoCarrosWIPEntity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12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1.4357426212197542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0.67481269179007708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0.4287555289894085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0.85623463950978496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3.3096083955109501</v>
      </c>
      <c r="U73" s="5">
        <f>IF((ContinuousStatsTable[[#This Row],[RepsRequested]]&gt;1),ContinuousStatsTable[[#This Row],[HalfWidth]],ContinuousStatsTable[[#This Row],[BatchMeansHalfWidth]])</f>
        <v>0.4287555289894085</v>
      </c>
    </row>
    <row r="74" spans="1:21" x14ac:dyDescent="0.25">
      <c r="A74" t="s">
        <v>68</v>
      </c>
      <c r="B74" t="s">
        <v>70</v>
      </c>
      <c r="C74">
        <v>6</v>
      </c>
      <c r="D74" t="s">
        <v>85</v>
      </c>
      <c r="E74" t="s">
        <v>96</v>
      </c>
      <c r="F74" t="s">
        <v>87</v>
      </c>
      <c r="G74">
        <v>0.38810522373780998</v>
      </c>
      <c r="H74">
        <v>2E+20</v>
      </c>
      <c r="I74">
        <v>0</v>
      </c>
      <c r="J74">
        <v>1</v>
      </c>
      <c r="K74">
        <v>0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Tener ArticulsoDesembalaje.QueueNumber WaitingQueue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12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0.39305431340749158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6.9825204530481425E-2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4.4364818370329934E-2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0.26379051411540999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0.492701223784278</v>
      </c>
      <c r="U74" s="5">
        <f>IF((ContinuousStatsTable[[#This Row],[RepsRequested]]&gt;1),ContinuousStatsTable[[#This Row],[HalfWidth]],ContinuousStatsTable[[#This Row],[BatchMeansHalfWidth]])</f>
        <v>4.4364818370329934E-2</v>
      </c>
    </row>
    <row r="75" spans="1:21" x14ac:dyDescent="0.25">
      <c r="A75" t="s">
        <v>68</v>
      </c>
      <c r="B75" t="s">
        <v>70</v>
      </c>
      <c r="C75">
        <v>6</v>
      </c>
      <c r="D75" t="s">
        <v>88</v>
      </c>
      <c r="E75" t="s">
        <v>96</v>
      </c>
      <c r="F75" t="s">
        <v>87</v>
      </c>
      <c r="G75">
        <v>1.9028108277795699</v>
      </c>
      <c r="H75">
        <v>3E+20</v>
      </c>
      <c r="I75">
        <v>0</v>
      </c>
      <c r="J75">
        <v>10</v>
      </c>
      <c r="K75">
        <v>2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Tener ArticulsoDetener Carros.QueueNumber WaitingQueue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12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1.4357426212197553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0.67481269179007586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0.42875552898940772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0.85623463950978496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3.3096083955109501</v>
      </c>
      <c r="U75" s="5">
        <f>IF((ContinuousStatsTable[[#This Row],[RepsRequested]]&gt;1),ContinuousStatsTable[[#This Row],[HalfWidth]],ContinuousStatsTable[[#This Row],[BatchMeansHalfWidth]])</f>
        <v>0.42875552898940772</v>
      </c>
    </row>
    <row r="76" spans="1:21" x14ac:dyDescent="0.25">
      <c r="A76" t="s">
        <v>68</v>
      </c>
      <c r="B76" t="s">
        <v>70</v>
      </c>
      <c r="C76">
        <v>6</v>
      </c>
      <c r="D76" t="s">
        <v>89</v>
      </c>
      <c r="E76" t="s">
        <v>96</v>
      </c>
      <c r="F76" t="s">
        <v>87</v>
      </c>
      <c r="G76">
        <v>1.67950119269878</v>
      </c>
      <c r="H76">
        <v>2E+20</v>
      </c>
      <c r="I76">
        <v>0</v>
      </c>
      <c r="J76">
        <v>7</v>
      </c>
      <c r="K76">
        <v>1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Tener ArticulsoNoOrganizar.QueueNumber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12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1.8367908590220434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0.88849214816383859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0.56452097837458637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0.36210426146159602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4.0028313893775698</v>
      </c>
      <c r="U76" s="5">
        <f>IF((ContinuousStatsTable[[#This Row],[RepsRequested]]&gt;1),ContinuousStatsTable[[#This Row],[HalfWidth]],ContinuousStatsTable[[#This Row],[BatchMeansHalfWidth]])</f>
        <v>0.56452097837458637</v>
      </c>
    </row>
    <row r="77" spans="1:21" x14ac:dyDescent="0.25">
      <c r="A77" t="s">
        <v>68</v>
      </c>
      <c r="B77" t="s">
        <v>70</v>
      </c>
      <c r="C77">
        <v>6</v>
      </c>
      <c r="D77" t="s">
        <v>91</v>
      </c>
      <c r="E77" t="s">
        <v>96</v>
      </c>
      <c r="F77" t="s">
        <v>87</v>
      </c>
      <c r="G77">
        <v>6.5080667170369502</v>
      </c>
      <c r="H77">
        <v>3E+20</v>
      </c>
      <c r="I77">
        <v>0</v>
      </c>
      <c r="J77">
        <v>18</v>
      </c>
      <c r="K77">
        <v>8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Tener ArticulsoOrganizar.QueueNumber WaitingQueue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12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6.9452151315179975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1.3904671864747102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0.88346070151395062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4.6102617725055204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8.6997606838150698</v>
      </c>
      <c r="U77" s="5">
        <f>IF((ContinuousStatsTable[[#This Row],[RepsRequested]]&gt;1),ContinuousStatsTable[[#This Row],[HalfWidth]],ContinuousStatsTable[[#This Row],[BatchMeansHalfWidth]])</f>
        <v>0.88346070151395062</v>
      </c>
    </row>
    <row r="78" spans="1:21" x14ac:dyDescent="0.25">
      <c r="A78" t="s">
        <v>68</v>
      </c>
      <c r="B78" t="s">
        <v>70</v>
      </c>
      <c r="C78">
        <v>6</v>
      </c>
      <c r="D78" t="s">
        <v>93</v>
      </c>
      <c r="E78" t="s">
        <v>96</v>
      </c>
      <c r="F78" t="s">
        <v>87</v>
      </c>
      <c r="G78">
        <v>0.58088499796745996</v>
      </c>
      <c r="H78">
        <v>6.3904649366133201E-2</v>
      </c>
      <c r="I78">
        <v>0</v>
      </c>
      <c r="J78">
        <v>2</v>
      </c>
      <c r="K78">
        <v>2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Tener ArticulsoSacar Articulos.QueueNumber WaitingQueue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12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0.54907359753581719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2.8061047329126759E-2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1.7829138867677546E-2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0.50893371098476703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0.58706685204911901</v>
      </c>
      <c r="U78" s="5">
        <f>IF((ContinuousStatsTable[[#This Row],[RepsRequested]]&gt;1),ContinuousStatsTable[[#This Row],[HalfWidth]],ContinuousStatsTable[[#This Row],[BatchMeansHalfWidth]])</f>
        <v>1.7829138867677546E-2</v>
      </c>
    </row>
    <row r="79" spans="1:21" x14ac:dyDescent="0.25">
      <c r="A79" t="s">
        <v>68</v>
      </c>
      <c r="B79" t="s">
        <v>70</v>
      </c>
      <c r="C79">
        <v>6</v>
      </c>
      <c r="D79" t="s">
        <v>94</v>
      </c>
      <c r="E79" t="s">
        <v>96</v>
      </c>
      <c r="F79" t="s">
        <v>87</v>
      </c>
      <c r="G79">
        <v>0.57866976644043799</v>
      </c>
      <c r="H79">
        <v>6.6883910374002306E-2</v>
      </c>
      <c r="I79">
        <v>0</v>
      </c>
      <c r="J79">
        <v>3</v>
      </c>
      <c r="K79">
        <v>0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Tener ArticulsoTenerArticulos.QueueNumber WaitingQueue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12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0.55155869724816453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2.2857263166408359E-2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1.4522812151275023E-2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0.51570313450412797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0.58732155692135601</v>
      </c>
      <c r="U79" s="5">
        <f>IF((ContinuousStatsTable[[#This Row],[RepsRequested]]&gt;1),ContinuousStatsTable[[#This Row],[HalfWidth]],ContinuousStatsTable[[#This Row],[BatchMeansHalfWidth]])</f>
        <v>1.4522812151275023E-2</v>
      </c>
    </row>
    <row r="80" spans="1:21" x14ac:dyDescent="0.25">
      <c r="A80" t="s">
        <v>68</v>
      </c>
      <c r="B80" t="s">
        <v>70</v>
      </c>
      <c r="C80">
        <v>6</v>
      </c>
      <c r="D80" t="s">
        <v>97</v>
      </c>
      <c r="E80" t="s">
        <v>98</v>
      </c>
      <c r="F80" t="s">
        <v>99</v>
      </c>
      <c r="G80">
        <v>0.95118807722640097</v>
      </c>
      <c r="H80">
        <v>2E+20</v>
      </c>
      <c r="I80">
        <v>0</v>
      </c>
      <c r="J80">
        <v>1</v>
      </c>
      <c r="K80">
        <v>1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Tener ArticulsorOrganizdorInstantaneous UtilizationResource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12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0.87408888428798603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0.989515454392208</v>
      </c>
      <c r="U80" s="5">
        <f>IF((ContinuousStatsTable[[#This Row],[RepsRequested]]&gt;1),ContinuousStatsTable[[#This Row],[HalfWidth]],ContinuousStatsTable[[#This Row],[BatchMeansHalfWidth]])</f>
        <v>1.9112222555672933E-2</v>
      </c>
    </row>
    <row r="81" spans="1:21" x14ac:dyDescent="0.25">
      <c r="A81" t="s">
        <v>68</v>
      </c>
      <c r="B81" t="s">
        <v>70</v>
      </c>
      <c r="C81">
        <v>6</v>
      </c>
      <c r="D81" t="s">
        <v>97</v>
      </c>
      <c r="E81" t="s">
        <v>100</v>
      </c>
      <c r="F81" t="s">
        <v>99</v>
      </c>
      <c r="G81">
        <v>0.95118807722640097</v>
      </c>
      <c r="H81">
        <v>2E+20</v>
      </c>
      <c r="I81">
        <v>0</v>
      </c>
      <c r="J81">
        <v>1</v>
      </c>
      <c r="K81">
        <v>1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Tener ArticulsorOrganizdorNumber BusyResource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12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0.87408888428798603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0.989515454392208</v>
      </c>
      <c r="U81" s="5">
        <f>IF((ContinuousStatsTable[[#This Row],[RepsRequested]]&gt;1),ContinuousStatsTable[[#This Row],[HalfWidth]],ContinuousStatsTable[[#This Row],[BatchMeansHalfWidth]])</f>
        <v>1.9112222555672933E-2</v>
      </c>
    </row>
    <row r="82" spans="1:21" x14ac:dyDescent="0.25">
      <c r="A82" t="s">
        <v>68</v>
      </c>
      <c r="B82" t="s">
        <v>70</v>
      </c>
      <c r="C82">
        <v>6</v>
      </c>
      <c r="D82" t="s">
        <v>97</v>
      </c>
      <c r="E82" t="s">
        <v>101</v>
      </c>
      <c r="F82" t="s">
        <v>99</v>
      </c>
      <c r="G82">
        <v>1</v>
      </c>
      <c r="H82">
        <v>2E+20</v>
      </c>
      <c r="I82">
        <v>1</v>
      </c>
      <c r="J82">
        <v>1</v>
      </c>
      <c r="K82">
        <v>1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Tener ArticulsorOrganizdorNumber ScheduledResource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12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1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1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1</v>
      </c>
      <c r="U82" s="5">
        <f>IF((ContinuousStatsTable[[#This Row],[RepsRequested]]&gt;1),ContinuousStatsTable[[#This Row],[HalfWidth]],ContinuousStatsTable[[#This Row],[BatchMeansHalfWidth]])</f>
        <v>0</v>
      </c>
    </row>
    <row r="83" spans="1:21" x14ac:dyDescent="0.25">
      <c r="A83" t="s">
        <v>68</v>
      </c>
      <c r="B83" t="s">
        <v>70</v>
      </c>
      <c r="C83">
        <v>6</v>
      </c>
      <c r="D83" t="s">
        <v>102</v>
      </c>
      <c r="E83" t="s">
        <v>98</v>
      </c>
      <c r="F83" t="s">
        <v>99</v>
      </c>
      <c r="G83">
        <v>0.77794878116621502</v>
      </c>
      <c r="H83">
        <v>2E+20</v>
      </c>
      <c r="I83">
        <v>0</v>
      </c>
      <c r="J83">
        <v>1</v>
      </c>
      <c r="K83">
        <v>1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Tener ArticulsorSacadorInstantaneous UtilizationResource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12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0.70281682687036895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0.79676815469245998</v>
      </c>
      <c r="U83" s="5">
        <f>IF((ContinuousStatsTable[[#This Row],[RepsRequested]]&gt;1),ContinuousStatsTable[[#This Row],[HalfWidth]],ContinuousStatsTable[[#This Row],[BatchMeansHalfWidth]])</f>
        <v>1.9690534563658681E-2</v>
      </c>
    </row>
    <row r="84" spans="1:21" x14ac:dyDescent="0.25">
      <c r="A84" t="s">
        <v>68</v>
      </c>
      <c r="B84" t="s">
        <v>70</v>
      </c>
      <c r="C84">
        <v>6</v>
      </c>
      <c r="D84" t="s">
        <v>102</v>
      </c>
      <c r="E84" t="s">
        <v>100</v>
      </c>
      <c r="F84" t="s">
        <v>99</v>
      </c>
      <c r="G84">
        <v>0.77794878116621502</v>
      </c>
      <c r="H84">
        <v>2E+20</v>
      </c>
      <c r="I84">
        <v>0</v>
      </c>
      <c r="J84">
        <v>1</v>
      </c>
      <c r="K84">
        <v>1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Tener ArticulsorSacadorNumber BusyResource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12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0.70281682687036895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0.79676815469245998</v>
      </c>
      <c r="U84" s="5">
        <f>IF((ContinuousStatsTable[[#This Row],[RepsRequested]]&gt;1),ContinuousStatsTable[[#This Row],[HalfWidth]],ContinuousStatsTable[[#This Row],[BatchMeansHalfWidth]])</f>
        <v>1.9690534563658681E-2</v>
      </c>
    </row>
    <row r="85" spans="1:21" x14ac:dyDescent="0.25">
      <c r="A85" t="s">
        <v>68</v>
      </c>
      <c r="B85" t="s">
        <v>70</v>
      </c>
      <c r="C85">
        <v>6</v>
      </c>
      <c r="D85" t="s">
        <v>102</v>
      </c>
      <c r="E85" t="s">
        <v>101</v>
      </c>
      <c r="F85" t="s">
        <v>99</v>
      </c>
      <c r="G85">
        <v>1</v>
      </c>
      <c r="H85">
        <v>2E+20</v>
      </c>
      <c r="I85">
        <v>1</v>
      </c>
      <c r="J85">
        <v>1</v>
      </c>
      <c r="K85">
        <v>1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Tener ArticulsorSacadorNumber ScheduledResource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12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1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1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1</v>
      </c>
      <c r="U85" s="5">
        <f>IF((ContinuousStatsTable[[#This Row],[RepsRequested]]&gt;1),ContinuousStatsTable[[#This Row],[HalfWidth]],ContinuousStatsTable[[#This Row],[BatchMeansHalfWidth]])</f>
        <v>0</v>
      </c>
    </row>
    <row r="86" spans="1:21" x14ac:dyDescent="0.25">
      <c r="A86" t="s">
        <v>68</v>
      </c>
      <c r="B86" t="s">
        <v>70</v>
      </c>
      <c r="C86">
        <v>7</v>
      </c>
      <c r="D86" t="s">
        <v>71</v>
      </c>
      <c r="E86" t="s">
        <v>95</v>
      </c>
      <c r="F86" t="s">
        <v>73</v>
      </c>
      <c r="G86">
        <v>9.5582322408800309</v>
      </c>
      <c r="H86">
        <v>3E+20</v>
      </c>
      <c r="I86">
        <v>0</v>
      </c>
      <c r="J86">
        <v>30</v>
      </c>
      <c r="K86">
        <v>13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Tener ArticulsoArticulosWIPEntity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12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11.967618013540566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2.2199622266915817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1.4104967058588604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7.8453940222015603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16.013877975802099</v>
      </c>
      <c r="U86" s="5">
        <f>IF((ContinuousStatsTable[[#This Row],[RepsRequested]]&gt;1),ContinuousStatsTable[[#This Row],[HalfWidth]],ContinuousStatsTable[[#This Row],[BatchMeansHalfWidth]])</f>
        <v>1.4104967058588604</v>
      </c>
    </row>
    <row r="87" spans="1:21" x14ac:dyDescent="0.25">
      <c r="A87" t="s">
        <v>68</v>
      </c>
      <c r="B87" t="s">
        <v>70</v>
      </c>
      <c r="C87">
        <v>7</v>
      </c>
      <c r="D87" t="s">
        <v>79</v>
      </c>
      <c r="E87" t="s">
        <v>95</v>
      </c>
      <c r="F87" t="s">
        <v>73</v>
      </c>
      <c r="G87">
        <v>0.86459252289113697</v>
      </c>
      <c r="H87">
        <v>0.32677974640116703</v>
      </c>
      <c r="I87">
        <v>0</v>
      </c>
      <c r="J87">
        <v>9</v>
      </c>
      <c r="K87">
        <v>1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Tener ArticulsoCarrosWIPEntity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12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1.4357426212197542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0.67481269179007708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0.4287555289894085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0.85623463950978496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3.3096083955109501</v>
      </c>
      <c r="U87" s="5">
        <f>IF((ContinuousStatsTable[[#This Row],[RepsRequested]]&gt;1),ContinuousStatsTable[[#This Row],[HalfWidth]],ContinuousStatsTable[[#This Row],[BatchMeansHalfWidth]])</f>
        <v>0.4287555289894085</v>
      </c>
    </row>
    <row r="88" spans="1:21" x14ac:dyDescent="0.25">
      <c r="A88" t="s">
        <v>68</v>
      </c>
      <c r="B88" t="s">
        <v>70</v>
      </c>
      <c r="C88">
        <v>7</v>
      </c>
      <c r="D88" t="s">
        <v>85</v>
      </c>
      <c r="E88" t="s">
        <v>96</v>
      </c>
      <c r="F88" t="s">
        <v>87</v>
      </c>
      <c r="G88">
        <v>0.32358895578190799</v>
      </c>
      <c r="H88">
        <v>2E+20</v>
      </c>
      <c r="I88">
        <v>0</v>
      </c>
      <c r="J88">
        <v>1</v>
      </c>
      <c r="K88">
        <v>0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Tener ArticulsoDesembalaje.QueueNumber WaitingQueue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12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0.39305431340749158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6.9825204530481425E-2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4.4364818370329934E-2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0.26379051411540999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0.492701223784278</v>
      </c>
      <c r="U88" s="5">
        <f>IF((ContinuousStatsTable[[#This Row],[RepsRequested]]&gt;1),ContinuousStatsTable[[#This Row],[HalfWidth]],ContinuousStatsTable[[#This Row],[BatchMeansHalfWidth]])</f>
        <v>4.4364818370329934E-2</v>
      </c>
    </row>
    <row r="89" spans="1:21" x14ac:dyDescent="0.25">
      <c r="A89" t="s">
        <v>68</v>
      </c>
      <c r="B89" t="s">
        <v>70</v>
      </c>
      <c r="C89">
        <v>7</v>
      </c>
      <c r="D89" t="s">
        <v>88</v>
      </c>
      <c r="E89" t="s">
        <v>96</v>
      </c>
      <c r="F89" t="s">
        <v>87</v>
      </c>
      <c r="G89">
        <v>0.86459252289113697</v>
      </c>
      <c r="H89">
        <v>0.32677974640116703</v>
      </c>
      <c r="I89">
        <v>0</v>
      </c>
      <c r="J89">
        <v>6</v>
      </c>
      <c r="K89">
        <v>1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Tener ArticulsoDetener Carros.QueueNumber WaitingQueue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12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1.4357426212197553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0.67481269179007586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0.42875552898940772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0.85623463950978496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3.3096083955109501</v>
      </c>
      <c r="U89" s="5">
        <f>IF((ContinuousStatsTable[[#This Row],[RepsRequested]]&gt;1),ContinuousStatsTable[[#This Row],[HalfWidth]],ContinuousStatsTable[[#This Row],[BatchMeansHalfWidth]])</f>
        <v>0.42875552898940772</v>
      </c>
    </row>
    <row r="90" spans="1:21" x14ac:dyDescent="0.25">
      <c r="A90" t="s">
        <v>68</v>
      </c>
      <c r="B90" t="s">
        <v>70</v>
      </c>
      <c r="C90">
        <v>7</v>
      </c>
      <c r="D90" t="s">
        <v>89</v>
      </c>
      <c r="E90" t="s">
        <v>96</v>
      </c>
      <c r="F90" t="s">
        <v>87</v>
      </c>
      <c r="G90">
        <v>1.47304766475407</v>
      </c>
      <c r="H90">
        <v>2E+20</v>
      </c>
      <c r="I90">
        <v>0</v>
      </c>
      <c r="J90">
        <v>7</v>
      </c>
      <c r="K90">
        <v>0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Tener ArticulsoNoOrganizar.QueueNumber WaitingQueue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12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1.8367908590220434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0.88849214816383859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0.56452097837458637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0.36210426146159602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4.0028313893775698</v>
      </c>
      <c r="U90" s="5">
        <f>IF((ContinuousStatsTable[[#This Row],[RepsRequested]]&gt;1),ContinuousStatsTable[[#This Row],[HalfWidth]],ContinuousStatsTable[[#This Row],[BatchMeansHalfWidth]])</f>
        <v>0.56452097837458637</v>
      </c>
    </row>
    <row r="91" spans="1:21" x14ac:dyDescent="0.25">
      <c r="A91" t="s">
        <v>68</v>
      </c>
      <c r="B91" t="s">
        <v>70</v>
      </c>
      <c r="C91">
        <v>7</v>
      </c>
      <c r="D91" t="s">
        <v>91</v>
      </c>
      <c r="E91" t="s">
        <v>96</v>
      </c>
      <c r="F91" t="s">
        <v>87</v>
      </c>
      <c r="G91">
        <v>5.1102291188318301</v>
      </c>
      <c r="H91">
        <v>3E+20</v>
      </c>
      <c r="I91">
        <v>0</v>
      </c>
      <c r="J91">
        <v>21</v>
      </c>
      <c r="K91">
        <v>9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Tener ArticulsoOrganizar.QueueNumber WaitingQueue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12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6.9452151315179975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1.3904671864747102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0.88346070151395062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4.6102617725055204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8.6997606838150698</v>
      </c>
      <c r="U91" s="5">
        <f>IF((ContinuousStatsTable[[#This Row],[RepsRequested]]&gt;1),ContinuousStatsTable[[#This Row],[HalfWidth]],ContinuousStatsTable[[#This Row],[BatchMeansHalfWidth]])</f>
        <v>0.88346070151395062</v>
      </c>
    </row>
    <row r="92" spans="1:21" x14ac:dyDescent="0.25">
      <c r="A92" t="s">
        <v>68</v>
      </c>
      <c r="B92" t="s">
        <v>70</v>
      </c>
      <c r="C92">
        <v>7</v>
      </c>
      <c r="D92" t="s">
        <v>93</v>
      </c>
      <c r="E92" t="s">
        <v>96</v>
      </c>
      <c r="F92" t="s">
        <v>87</v>
      </c>
      <c r="G92">
        <v>0.50893371098476703</v>
      </c>
      <c r="H92">
        <v>6.1700574395921901E-2</v>
      </c>
      <c r="I92">
        <v>0</v>
      </c>
      <c r="J92">
        <v>2</v>
      </c>
      <c r="K92">
        <v>2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Tener ArticulsoSacar Articulos.QueueNumber WaitingQueue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12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0.54907359753581719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2.8061047329126759E-2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1.7829138867677546E-2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0.50893371098476703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0.58706685204911901</v>
      </c>
      <c r="U92" s="5">
        <f>IF((ContinuousStatsTable[[#This Row],[RepsRequested]]&gt;1),ContinuousStatsTable[[#This Row],[HalfWidth]],ContinuousStatsTable[[#This Row],[BatchMeansHalfWidth]])</f>
        <v>1.7829138867677546E-2</v>
      </c>
    </row>
    <row r="93" spans="1:21" x14ac:dyDescent="0.25">
      <c r="A93" t="s">
        <v>68</v>
      </c>
      <c r="B93" t="s">
        <v>70</v>
      </c>
      <c r="C93">
        <v>7</v>
      </c>
      <c r="D93" t="s">
        <v>94</v>
      </c>
      <c r="E93" t="s">
        <v>96</v>
      </c>
      <c r="F93" t="s">
        <v>87</v>
      </c>
      <c r="G93">
        <v>0.52513545427071995</v>
      </c>
      <c r="H93">
        <v>6.6622424702605501E-2</v>
      </c>
      <c r="I93">
        <v>0</v>
      </c>
      <c r="J93">
        <v>3</v>
      </c>
      <c r="K93">
        <v>0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Tener ArticulsoTenerArticulos.QueueNumber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12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0.55155869724816453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2.2857263166408359E-2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1.4522812151275023E-2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0.51570313450412797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0.58732155692135601</v>
      </c>
      <c r="U93" s="5">
        <f>IF((ContinuousStatsTable[[#This Row],[RepsRequested]]&gt;1),ContinuousStatsTable[[#This Row],[HalfWidth]],ContinuousStatsTable[[#This Row],[BatchMeansHalfWidth]])</f>
        <v>1.4522812151275023E-2</v>
      </c>
    </row>
    <row r="94" spans="1:21" x14ac:dyDescent="0.25">
      <c r="A94" t="s">
        <v>68</v>
      </c>
      <c r="B94" t="s">
        <v>70</v>
      </c>
      <c r="C94">
        <v>7</v>
      </c>
      <c r="D94" t="s">
        <v>97</v>
      </c>
      <c r="E94" t="s">
        <v>98</v>
      </c>
      <c r="F94" t="s">
        <v>99</v>
      </c>
      <c r="G94">
        <v>0.91448050938635805</v>
      </c>
      <c r="H94">
        <v>2E+20</v>
      </c>
      <c r="I94">
        <v>0</v>
      </c>
      <c r="J94">
        <v>1</v>
      </c>
      <c r="K94">
        <v>1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Tener ArticulsorOrganizdorInstantaneous UtilizationResource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12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0.87408888428798603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0.989515454392208</v>
      </c>
      <c r="U94" s="5">
        <f>IF((ContinuousStatsTable[[#This Row],[RepsRequested]]&gt;1),ContinuousStatsTable[[#This Row],[HalfWidth]],ContinuousStatsTable[[#This Row],[BatchMeansHalfWidth]])</f>
        <v>1.9112222555672933E-2</v>
      </c>
    </row>
    <row r="95" spans="1:21" x14ac:dyDescent="0.25">
      <c r="A95" t="s">
        <v>68</v>
      </c>
      <c r="B95" t="s">
        <v>70</v>
      </c>
      <c r="C95">
        <v>7</v>
      </c>
      <c r="D95" t="s">
        <v>97</v>
      </c>
      <c r="E95" t="s">
        <v>100</v>
      </c>
      <c r="F95" t="s">
        <v>99</v>
      </c>
      <c r="G95">
        <v>0.91448050938635805</v>
      </c>
      <c r="H95">
        <v>2E+20</v>
      </c>
      <c r="I95">
        <v>0</v>
      </c>
      <c r="J95">
        <v>1</v>
      </c>
      <c r="K95">
        <v>1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Tener ArticulsorOrganizdorNumber BusyResource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12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0.87408888428798603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0.989515454392208</v>
      </c>
      <c r="U95" s="5">
        <f>IF((ContinuousStatsTable[[#This Row],[RepsRequested]]&gt;1),ContinuousStatsTable[[#This Row],[HalfWidth]],ContinuousStatsTable[[#This Row],[BatchMeansHalfWidth]])</f>
        <v>1.9112222555672933E-2</v>
      </c>
    </row>
    <row r="96" spans="1:21" x14ac:dyDescent="0.25">
      <c r="A96" t="s">
        <v>68</v>
      </c>
      <c r="B96" t="s">
        <v>70</v>
      </c>
      <c r="C96">
        <v>7</v>
      </c>
      <c r="D96" t="s">
        <v>97</v>
      </c>
      <c r="E96" t="s">
        <v>101</v>
      </c>
      <c r="F96" t="s">
        <v>99</v>
      </c>
      <c r="G96">
        <v>1</v>
      </c>
      <c r="H96">
        <v>2E+20</v>
      </c>
      <c r="I96">
        <v>1</v>
      </c>
      <c r="J96">
        <v>1</v>
      </c>
      <c r="K96">
        <v>1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Tener ArticulsorOrganizdorNumber ScheduledResource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12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1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1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1</v>
      </c>
      <c r="U96" s="5">
        <f>IF((ContinuousStatsTable[[#This Row],[RepsRequested]]&gt;1),ContinuousStatsTable[[#This Row],[HalfWidth]],ContinuousStatsTable[[#This Row],[BatchMeansHalfWidth]])</f>
        <v>0</v>
      </c>
    </row>
    <row r="97" spans="1:21" x14ac:dyDescent="0.25">
      <c r="A97" t="s">
        <v>68</v>
      </c>
      <c r="B97" t="s">
        <v>70</v>
      </c>
      <c r="C97">
        <v>7</v>
      </c>
      <c r="D97" t="s">
        <v>102</v>
      </c>
      <c r="E97" t="s">
        <v>98</v>
      </c>
      <c r="F97" t="s">
        <v>99</v>
      </c>
      <c r="G97">
        <v>0.70281682687036895</v>
      </c>
      <c r="H97">
        <v>2E+20</v>
      </c>
      <c r="I97">
        <v>0</v>
      </c>
      <c r="J97">
        <v>1</v>
      </c>
      <c r="K97">
        <v>1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Tener ArticulsorSacadorInstantaneous UtilizationResource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12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0.70281682687036895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0.79676815469245998</v>
      </c>
      <c r="U97" s="5">
        <f>IF((ContinuousStatsTable[[#This Row],[RepsRequested]]&gt;1),ContinuousStatsTable[[#This Row],[HalfWidth]],ContinuousStatsTable[[#This Row],[BatchMeansHalfWidth]])</f>
        <v>1.9690534563658681E-2</v>
      </c>
    </row>
    <row r="98" spans="1:21" x14ac:dyDescent="0.25">
      <c r="A98" t="s">
        <v>68</v>
      </c>
      <c r="B98" t="s">
        <v>70</v>
      </c>
      <c r="C98">
        <v>7</v>
      </c>
      <c r="D98" t="s">
        <v>102</v>
      </c>
      <c r="E98" t="s">
        <v>100</v>
      </c>
      <c r="F98" t="s">
        <v>99</v>
      </c>
      <c r="G98">
        <v>0.70281682687036895</v>
      </c>
      <c r="H98">
        <v>2E+20</v>
      </c>
      <c r="I98">
        <v>0</v>
      </c>
      <c r="J98">
        <v>1</v>
      </c>
      <c r="K98">
        <v>1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Tener ArticulsorSacadorNumber BusyResource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12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0.70281682687036895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0.79676815469245998</v>
      </c>
      <c r="U98" s="5">
        <f>IF((ContinuousStatsTable[[#This Row],[RepsRequested]]&gt;1),ContinuousStatsTable[[#This Row],[HalfWidth]],ContinuousStatsTable[[#This Row],[BatchMeansHalfWidth]])</f>
        <v>1.9690534563658681E-2</v>
      </c>
    </row>
    <row r="99" spans="1:21" x14ac:dyDescent="0.25">
      <c r="A99" t="s">
        <v>68</v>
      </c>
      <c r="B99" t="s">
        <v>70</v>
      </c>
      <c r="C99">
        <v>7</v>
      </c>
      <c r="D99" t="s">
        <v>102</v>
      </c>
      <c r="E99" t="s">
        <v>101</v>
      </c>
      <c r="F99" t="s">
        <v>99</v>
      </c>
      <c r="G99">
        <v>1</v>
      </c>
      <c r="H99">
        <v>2E+20</v>
      </c>
      <c r="I99">
        <v>1</v>
      </c>
      <c r="J99">
        <v>1</v>
      </c>
      <c r="K99">
        <v>1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Tener ArticulsorSacadorNumber ScheduledResource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12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1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1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1</v>
      </c>
      <c r="U99" s="5">
        <f>IF((ContinuousStatsTable[[#This Row],[RepsRequested]]&gt;1),ContinuousStatsTable[[#This Row],[HalfWidth]],ContinuousStatsTable[[#This Row],[BatchMeansHalfWidth]])</f>
        <v>0</v>
      </c>
    </row>
    <row r="100" spans="1:21" x14ac:dyDescent="0.25">
      <c r="A100" t="s">
        <v>68</v>
      </c>
      <c r="B100" t="s">
        <v>70</v>
      </c>
      <c r="C100">
        <v>8</v>
      </c>
      <c r="D100" t="s">
        <v>71</v>
      </c>
      <c r="E100" t="s">
        <v>95</v>
      </c>
      <c r="F100" t="s">
        <v>73</v>
      </c>
      <c r="G100">
        <v>13.029562163729199</v>
      </c>
      <c r="H100">
        <v>3E+20</v>
      </c>
      <c r="I100">
        <v>0</v>
      </c>
      <c r="J100">
        <v>33</v>
      </c>
      <c r="K100">
        <v>29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Tener ArticulsoArticulosWIPEntity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12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11.967618013540566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2.2199622266915817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1.4104967058588604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7.8453940222015603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16.013877975802099</v>
      </c>
      <c r="U100" s="5">
        <f>IF((ContinuousStatsTable[[#This Row],[RepsRequested]]&gt;1),ContinuousStatsTable[[#This Row],[HalfWidth]],ContinuousStatsTable[[#This Row],[BatchMeansHalfWidth]])</f>
        <v>1.4104967058588604</v>
      </c>
    </row>
    <row r="101" spans="1:21" x14ac:dyDescent="0.25">
      <c r="A101" t="s">
        <v>68</v>
      </c>
      <c r="B101" t="s">
        <v>70</v>
      </c>
      <c r="C101">
        <v>8</v>
      </c>
      <c r="D101" t="s">
        <v>79</v>
      </c>
      <c r="E101" t="s">
        <v>95</v>
      </c>
      <c r="F101" t="s">
        <v>73</v>
      </c>
      <c r="G101">
        <v>3.3096083955109501</v>
      </c>
      <c r="H101">
        <v>3E+20</v>
      </c>
      <c r="I101">
        <v>0</v>
      </c>
      <c r="J101">
        <v>18</v>
      </c>
      <c r="K101">
        <v>0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Tener ArticulsoCarrosWIPEntity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12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1.4357426212197542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0.67481269179007708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0.4287555289894085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0.85623463950978496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3.3096083955109501</v>
      </c>
      <c r="U101" s="5">
        <f>IF((ContinuousStatsTable[[#This Row],[RepsRequested]]&gt;1),ContinuousStatsTable[[#This Row],[HalfWidth]],ContinuousStatsTable[[#This Row],[BatchMeansHalfWidth]])</f>
        <v>0.4287555289894085</v>
      </c>
    </row>
    <row r="102" spans="1:21" x14ac:dyDescent="0.25">
      <c r="A102" t="s">
        <v>68</v>
      </c>
      <c r="B102" t="s">
        <v>70</v>
      </c>
      <c r="C102">
        <v>8</v>
      </c>
      <c r="D102" t="s">
        <v>85</v>
      </c>
      <c r="E102" t="s">
        <v>96</v>
      </c>
      <c r="F102" t="s">
        <v>87</v>
      </c>
      <c r="G102">
        <v>0.39055439610813902</v>
      </c>
      <c r="H102">
        <v>2E+20</v>
      </c>
      <c r="I102">
        <v>0</v>
      </c>
      <c r="J102">
        <v>1</v>
      </c>
      <c r="K102">
        <v>0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Tener ArticulsoDesembalaje.QueueNumber WaitingQueue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12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0.39305431340749158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6.9825204530481425E-2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4.4364818370329934E-2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0.26379051411540999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0.492701223784278</v>
      </c>
      <c r="U102" s="5">
        <f>IF((ContinuousStatsTable[[#This Row],[RepsRequested]]&gt;1),ContinuousStatsTable[[#This Row],[HalfWidth]],ContinuousStatsTable[[#This Row],[BatchMeansHalfWidth]])</f>
        <v>4.4364818370329934E-2</v>
      </c>
    </row>
    <row r="103" spans="1:21" x14ac:dyDescent="0.25">
      <c r="A103" t="s">
        <v>68</v>
      </c>
      <c r="B103" t="s">
        <v>70</v>
      </c>
      <c r="C103">
        <v>8</v>
      </c>
      <c r="D103" t="s">
        <v>88</v>
      </c>
      <c r="E103" t="s">
        <v>96</v>
      </c>
      <c r="F103" t="s">
        <v>87</v>
      </c>
      <c r="G103">
        <v>3.3096083955109501</v>
      </c>
      <c r="H103">
        <v>3E+20</v>
      </c>
      <c r="I103">
        <v>0</v>
      </c>
      <c r="J103">
        <v>16</v>
      </c>
      <c r="K103">
        <v>0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Tener ArticulsoDetener Carros.QueueNumber WaitingQueue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12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1.4357426212197553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0.67481269179007586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0.42875552898940772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0.85623463950978496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3.3096083955109501</v>
      </c>
      <c r="U103" s="5">
        <f>IF((ContinuousStatsTable[[#This Row],[RepsRequested]]&gt;1),ContinuousStatsTable[[#This Row],[HalfWidth]],ContinuousStatsTable[[#This Row],[BatchMeansHalfWidth]])</f>
        <v>0.42875552898940772</v>
      </c>
    </row>
    <row r="104" spans="1:21" x14ac:dyDescent="0.25">
      <c r="A104" t="s">
        <v>68</v>
      </c>
      <c r="B104" t="s">
        <v>70</v>
      </c>
      <c r="C104">
        <v>8</v>
      </c>
      <c r="D104" t="s">
        <v>89</v>
      </c>
      <c r="E104" t="s">
        <v>96</v>
      </c>
      <c r="F104" t="s">
        <v>87</v>
      </c>
      <c r="G104">
        <v>2.0609315539156499</v>
      </c>
      <c r="H104">
        <v>2E+20</v>
      </c>
      <c r="I104">
        <v>0</v>
      </c>
      <c r="J104">
        <v>11</v>
      </c>
      <c r="K104">
        <v>6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Tener ArticulsoNoOrganizar.QueueNumber WaitingQueue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12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1.8367908590220434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0.88849214816383859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0.56452097837458637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0.36210426146159602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4.0028313893775698</v>
      </c>
      <c r="U104" s="5">
        <f>IF((ContinuousStatsTable[[#This Row],[RepsRequested]]&gt;1),ContinuousStatsTable[[#This Row],[HalfWidth]],ContinuousStatsTable[[#This Row],[BatchMeansHalfWidth]])</f>
        <v>0.56452097837458637</v>
      </c>
    </row>
    <row r="105" spans="1:21" x14ac:dyDescent="0.25">
      <c r="A105" t="s">
        <v>68</v>
      </c>
      <c r="B105" t="s">
        <v>70</v>
      </c>
      <c r="C105">
        <v>8</v>
      </c>
      <c r="D105" t="s">
        <v>91</v>
      </c>
      <c r="E105" t="s">
        <v>96</v>
      </c>
      <c r="F105" t="s">
        <v>87</v>
      </c>
      <c r="G105">
        <v>7.7721233719420999</v>
      </c>
      <c r="H105">
        <v>3E+20</v>
      </c>
      <c r="I105">
        <v>0</v>
      </c>
      <c r="J105">
        <v>24</v>
      </c>
      <c r="K105">
        <v>22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Tener ArticulsoOrganizar.QueueNumber WaitingQueue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12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6.9452151315179975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1.3904671864747102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0.88346070151395062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4.6102617725055204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8.6997606838150698</v>
      </c>
      <c r="U105" s="5">
        <f>IF((ContinuousStatsTable[[#This Row],[RepsRequested]]&gt;1),ContinuousStatsTable[[#This Row],[HalfWidth]],ContinuousStatsTable[[#This Row],[BatchMeansHalfWidth]])</f>
        <v>0.88346070151395062</v>
      </c>
    </row>
    <row r="106" spans="1:21" x14ac:dyDescent="0.25">
      <c r="A106" t="s">
        <v>68</v>
      </c>
      <c r="B106" t="s">
        <v>70</v>
      </c>
      <c r="C106">
        <v>8</v>
      </c>
      <c r="D106" t="s">
        <v>93</v>
      </c>
      <c r="E106" t="s">
        <v>96</v>
      </c>
      <c r="F106" t="s">
        <v>87</v>
      </c>
      <c r="G106">
        <v>0.55953746832770501</v>
      </c>
      <c r="H106">
        <v>3E+20</v>
      </c>
      <c r="I106">
        <v>0</v>
      </c>
      <c r="J106">
        <v>2</v>
      </c>
      <c r="K106">
        <v>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Tener ArticulsoSacar Articulos.QueueNumber WaitingQueue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12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0.54907359753581719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2.8061047329126759E-2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1.7829138867677546E-2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0.50893371098476703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0.58706685204911901</v>
      </c>
      <c r="U106" s="5">
        <f>IF((ContinuousStatsTable[[#This Row],[RepsRequested]]&gt;1),ContinuousStatsTable[[#This Row],[HalfWidth]],ContinuousStatsTable[[#This Row],[BatchMeansHalfWidth]])</f>
        <v>1.7829138867677546E-2</v>
      </c>
    </row>
    <row r="107" spans="1:21" x14ac:dyDescent="0.25">
      <c r="A107" t="s">
        <v>68</v>
      </c>
      <c r="B107" t="s">
        <v>70</v>
      </c>
      <c r="C107">
        <v>8</v>
      </c>
      <c r="D107" t="s">
        <v>94</v>
      </c>
      <c r="E107" t="s">
        <v>96</v>
      </c>
      <c r="F107" t="s">
        <v>87</v>
      </c>
      <c r="G107">
        <v>0.55743181765757499</v>
      </c>
      <c r="H107">
        <v>3E+20</v>
      </c>
      <c r="I107">
        <v>0</v>
      </c>
      <c r="J107">
        <v>3</v>
      </c>
      <c r="K107">
        <v>0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Tener ArticulsoTenerArticulos.QueueNumber WaitingQueue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12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0.55155869724816453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2.2857263166408359E-2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1.4522812151275023E-2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0.51570313450412797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0.58732155692135601</v>
      </c>
      <c r="U107" s="5">
        <f>IF((ContinuousStatsTable[[#This Row],[RepsRequested]]&gt;1),ContinuousStatsTable[[#This Row],[HalfWidth]],ContinuousStatsTable[[#This Row],[BatchMeansHalfWidth]])</f>
        <v>1.4522812151275023E-2</v>
      </c>
    </row>
    <row r="108" spans="1:21" x14ac:dyDescent="0.25">
      <c r="A108" t="s">
        <v>68</v>
      </c>
      <c r="B108" t="s">
        <v>70</v>
      </c>
      <c r="C108">
        <v>8</v>
      </c>
      <c r="D108" t="s">
        <v>97</v>
      </c>
      <c r="E108" t="s">
        <v>98</v>
      </c>
      <c r="F108" t="s">
        <v>99</v>
      </c>
      <c r="G108">
        <v>0.92216547893183298</v>
      </c>
      <c r="H108">
        <v>2E+20</v>
      </c>
      <c r="I108">
        <v>0</v>
      </c>
      <c r="J108">
        <v>1</v>
      </c>
      <c r="K108">
        <v>1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Tener ArticulsorOrganizdorInstantaneous UtilizationResource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12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0.87408888428798603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0.989515454392208</v>
      </c>
      <c r="U108" s="5">
        <f>IF((ContinuousStatsTable[[#This Row],[RepsRequested]]&gt;1),ContinuousStatsTable[[#This Row],[HalfWidth]],ContinuousStatsTable[[#This Row],[BatchMeansHalfWidth]])</f>
        <v>1.9112222555672933E-2</v>
      </c>
    </row>
    <row r="109" spans="1:21" x14ac:dyDescent="0.25">
      <c r="A109" t="s">
        <v>68</v>
      </c>
      <c r="B109" t="s">
        <v>70</v>
      </c>
      <c r="C109">
        <v>8</v>
      </c>
      <c r="D109" t="s">
        <v>97</v>
      </c>
      <c r="E109" t="s">
        <v>100</v>
      </c>
      <c r="F109" t="s">
        <v>99</v>
      </c>
      <c r="G109">
        <v>0.92216547893183298</v>
      </c>
      <c r="H109">
        <v>2E+20</v>
      </c>
      <c r="I109">
        <v>0</v>
      </c>
      <c r="J109">
        <v>1</v>
      </c>
      <c r="K109">
        <v>1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Tener ArticulsorOrganizdorNumber BusyResource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12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0.87408888428798603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0.989515454392208</v>
      </c>
      <c r="U109" s="5">
        <f>IF((ContinuousStatsTable[[#This Row],[RepsRequested]]&gt;1),ContinuousStatsTable[[#This Row],[HalfWidth]],ContinuousStatsTable[[#This Row],[BatchMeansHalfWidth]])</f>
        <v>1.9112222555672933E-2</v>
      </c>
    </row>
    <row r="110" spans="1:21" x14ac:dyDescent="0.25">
      <c r="A110" t="s">
        <v>68</v>
      </c>
      <c r="B110" t="s">
        <v>70</v>
      </c>
      <c r="C110">
        <v>8</v>
      </c>
      <c r="D110" t="s">
        <v>97</v>
      </c>
      <c r="E110" t="s">
        <v>101</v>
      </c>
      <c r="F110" t="s">
        <v>99</v>
      </c>
      <c r="G110">
        <v>1</v>
      </c>
      <c r="H110">
        <v>2E+20</v>
      </c>
      <c r="I110">
        <v>1</v>
      </c>
      <c r="J110">
        <v>1</v>
      </c>
      <c r="K110">
        <v>1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Tener ArticulsorOrganizdorNumber ScheduledResource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12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1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1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1</v>
      </c>
      <c r="U110" s="5">
        <f>IF((ContinuousStatsTable[[#This Row],[RepsRequested]]&gt;1),ContinuousStatsTable[[#This Row],[HalfWidth]],ContinuousStatsTable[[#This Row],[BatchMeansHalfWidth]])</f>
        <v>0</v>
      </c>
    </row>
    <row r="111" spans="1:21" x14ac:dyDescent="0.25">
      <c r="A111" t="s">
        <v>68</v>
      </c>
      <c r="B111" t="s">
        <v>70</v>
      </c>
      <c r="C111">
        <v>8</v>
      </c>
      <c r="D111" t="s">
        <v>102</v>
      </c>
      <c r="E111" t="s">
        <v>98</v>
      </c>
      <c r="F111" t="s">
        <v>99</v>
      </c>
      <c r="G111">
        <v>0.76681807684619496</v>
      </c>
      <c r="H111">
        <v>2E+20</v>
      </c>
      <c r="I111">
        <v>0</v>
      </c>
      <c r="J111">
        <v>1</v>
      </c>
      <c r="K111">
        <v>0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Tener ArticulsorSacadorInstantaneous UtilizationResource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12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0.70281682687036895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0.79676815469245998</v>
      </c>
      <c r="U111" s="5">
        <f>IF((ContinuousStatsTable[[#This Row],[RepsRequested]]&gt;1),ContinuousStatsTable[[#This Row],[HalfWidth]],ContinuousStatsTable[[#This Row],[BatchMeansHalfWidth]])</f>
        <v>1.9690534563658681E-2</v>
      </c>
    </row>
    <row r="112" spans="1:21" x14ac:dyDescent="0.25">
      <c r="A112" t="s">
        <v>68</v>
      </c>
      <c r="B112" t="s">
        <v>70</v>
      </c>
      <c r="C112">
        <v>8</v>
      </c>
      <c r="D112" t="s">
        <v>102</v>
      </c>
      <c r="E112" t="s">
        <v>100</v>
      </c>
      <c r="F112" t="s">
        <v>99</v>
      </c>
      <c r="G112">
        <v>0.76681807684619496</v>
      </c>
      <c r="H112">
        <v>2E+20</v>
      </c>
      <c r="I112">
        <v>0</v>
      </c>
      <c r="J112">
        <v>1</v>
      </c>
      <c r="K112">
        <v>0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Tener ArticulsorSacadorNumber BusyResource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12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0.70281682687036895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0.79676815469245998</v>
      </c>
      <c r="U112" s="5">
        <f>IF((ContinuousStatsTable[[#This Row],[RepsRequested]]&gt;1),ContinuousStatsTable[[#This Row],[HalfWidth]],ContinuousStatsTable[[#This Row],[BatchMeansHalfWidth]])</f>
        <v>1.9690534563658681E-2</v>
      </c>
    </row>
    <row r="113" spans="1:21" x14ac:dyDescent="0.25">
      <c r="A113" t="s">
        <v>68</v>
      </c>
      <c r="B113" t="s">
        <v>70</v>
      </c>
      <c r="C113">
        <v>8</v>
      </c>
      <c r="D113" t="s">
        <v>102</v>
      </c>
      <c r="E113" t="s">
        <v>101</v>
      </c>
      <c r="F113" t="s">
        <v>99</v>
      </c>
      <c r="G113">
        <v>1</v>
      </c>
      <c r="H113">
        <v>2E+20</v>
      </c>
      <c r="I113">
        <v>1</v>
      </c>
      <c r="J113">
        <v>1</v>
      </c>
      <c r="K113">
        <v>1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Tener ArticulsorSacadorNumber ScheduledResource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12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1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0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1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1</v>
      </c>
      <c r="U113" s="5">
        <f>IF((ContinuousStatsTable[[#This Row],[RepsRequested]]&gt;1),ContinuousStatsTable[[#This Row],[HalfWidth]],ContinuousStatsTable[[#This Row],[BatchMeansHalfWidth]])</f>
        <v>0</v>
      </c>
    </row>
    <row r="114" spans="1:21" x14ac:dyDescent="0.25">
      <c r="A114" t="s">
        <v>68</v>
      </c>
      <c r="B114" t="s">
        <v>70</v>
      </c>
      <c r="C114">
        <v>9</v>
      </c>
      <c r="D114" t="s">
        <v>71</v>
      </c>
      <c r="E114" t="s">
        <v>95</v>
      </c>
      <c r="F114" t="s">
        <v>73</v>
      </c>
      <c r="G114">
        <v>13.4674076347287</v>
      </c>
      <c r="H114">
        <v>3E+20</v>
      </c>
      <c r="I114">
        <v>0</v>
      </c>
      <c r="J114">
        <v>32</v>
      </c>
      <c r="K114">
        <v>12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Tener ArticulsoArticulosWIPEntity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12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11.967618013540566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2.2199622266915817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1.4104967058588604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7.8453940222015603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16.013877975802099</v>
      </c>
      <c r="U114" s="5">
        <f>IF((ContinuousStatsTable[[#This Row],[RepsRequested]]&gt;1),ContinuousStatsTable[[#This Row],[HalfWidth]],ContinuousStatsTable[[#This Row],[BatchMeansHalfWidth]])</f>
        <v>1.4104967058588604</v>
      </c>
    </row>
    <row r="115" spans="1:21" x14ac:dyDescent="0.25">
      <c r="A115" t="s">
        <v>68</v>
      </c>
      <c r="B115" t="s">
        <v>70</v>
      </c>
      <c r="C115">
        <v>9</v>
      </c>
      <c r="D115" t="s">
        <v>79</v>
      </c>
      <c r="E115" t="s">
        <v>95</v>
      </c>
      <c r="F115" t="s">
        <v>73</v>
      </c>
      <c r="G115">
        <v>1.3232584863260901</v>
      </c>
      <c r="H115">
        <v>0.57716500223642797</v>
      </c>
      <c r="I115">
        <v>0</v>
      </c>
      <c r="J115">
        <v>10</v>
      </c>
      <c r="K115">
        <v>2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Tener ArticulsoCarrosWIPEntity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12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1.4357426212197542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0.67481269179007708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0.4287555289894085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0.85623463950978496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3.3096083955109501</v>
      </c>
      <c r="U115" s="5">
        <f>IF((ContinuousStatsTable[[#This Row],[RepsRequested]]&gt;1),ContinuousStatsTable[[#This Row],[HalfWidth]],ContinuousStatsTable[[#This Row],[BatchMeansHalfWidth]])</f>
        <v>0.4287555289894085</v>
      </c>
    </row>
    <row r="116" spans="1:21" x14ac:dyDescent="0.25">
      <c r="A116" t="s">
        <v>68</v>
      </c>
      <c r="B116" t="s">
        <v>70</v>
      </c>
      <c r="C116">
        <v>9</v>
      </c>
      <c r="D116" t="s">
        <v>85</v>
      </c>
      <c r="E116" t="s">
        <v>96</v>
      </c>
      <c r="F116" t="s">
        <v>87</v>
      </c>
      <c r="G116">
        <v>0.47377729625738901</v>
      </c>
      <c r="H116">
        <v>2E+20</v>
      </c>
      <c r="I116">
        <v>0</v>
      </c>
      <c r="J116">
        <v>1</v>
      </c>
      <c r="K116">
        <v>0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Tener ArticulsoDesembalaje.QueueNumber WaitingQueue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12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0.39305431340749158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6.9825204530481425E-2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4.4364818370329934E-2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0.26379051411540999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0.492701223784278</v>
      </c>
      <c r="U116" s="5">
        <f>IF((ContinuousStatsTable[[#This Row],[RepsRequested]]&gt;1),ContinuousStatsTable[[#This Row],[HalfWidth]],ContinuousStatsTable[[#This Row],[BatchMeansHalfWidth]])</f>
        <v>4.4364818370329934E-2</v>
      </c>
    </row>
    <row r="117" spans="1:21" x14ac:dyDescent="0.25">
      <c r="A117" t="s">
        <v>68</v>
      </c>
      <c r="B117" t="s">
        <v>70</v>
      </c>
      <c r="C117">
        <v>9</v>
      </c>
      <c r="D117" t="s">
        <v>88</v>
      </c>
      <c r="E117" t="s">
        <v>96</v>
      </c>
      <c r="F117" t="s">
        <v>87</v>
      </c>
      <c r="G117">
        <v>1.3232584863261001</v>
      </c>
      <c r="H117">
        <v>0.57716500223642797</v>
      </c>
      <c r="I117">
        <v>0</v>
      </c>
      <c r="J117">
        <v>8</v>
      </c>
      <c r="K117">
        <v>2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Tener ArticulsoDetener Carros.QueueNumber WaitingQueue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12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1.4357426212197553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0.67481269179007586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0.42875552898940772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0.85623463950978496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3.3096083955109501</v>
      </c>
      <c r="U117" s="5">
        <f>IF((ContinuousStatsTable[[#This Row],[RepsRequested]]&gt;1),ContinuousStatsTable[[#This Row],[HalfWidth]],ContinuousStatsTable[[#This Row],[BatchMeansHalfWidth]])</f>
        <v>0.42875552898940772</v>
      </c>
    </row>
    <row r="118" spans="1:21" x14ac:dyDescent="0.25">
      <c r="A118" t="s">
        <v>68</v>
      </c>
      <c r="B118" t="s">
        <v>70</v>
      </c>
      <c r="C118">
        <v>9</v>
      </c>
      <c r="D118" t="s">
        <v>89</v>
      </c>
      <c r="E118" t="s">
        <v>96</v>
      </c>
      <c r="F118" t="s">
        <v>87</v>
      </c>
      <c r="G118">
        <v>1.73183883595958</v>
      </c>
      <c r="H118">
        <v>2E+20</v>
      </c>
      <c r="I118">
        <v>0</v>
      </c>
      <c r="J118">
        <v>4</v>
      </c>
      <c r="K118">
        <v>0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Tener ArticulsoNoOrganizar.QueueNumber WaitingQueue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12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1.8367908590220434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0.88849214816383859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0.56452097837458637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0.36210426146159602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4.0028313893775698</v>
      </c>
      <c r="U118" s="5">
        <f>IF((ContinuousStatsTable[[#This Row],[RepsRequested]]&gt;1),ContinuousStatsTable[[#This Row],[HalfWidth]],ContinuousStatsTable[[#This Row],[BatchMeansHalfWidth]])</f>
        <v>0.56452097837458637</v>
      </c>
    </row>
    <row r="119" spans="1:21" x14ac:dyDescent="0.25">
      <c r="A119" t="s">
        <v>68</v>
      </c>
      <c r="B119" t="s">
        <v>70</v>
      </c>
      <c r="C119">
        <v>9</v>
      </c>
      <c r="D119" t="s">
        <v>91</v>
      </c>
      <c r="E119" t="s">
        <v>96</v>
      </c>
      <c r="F119" t="s">
        <v>87</v>
      </c>
      <c r="G119">
        <v>8.4835513202506991</v>
      </c>
      <c r="H119">
        <v>3E+20</v>
      </c>
      <c r="I119">
        <v>0</v>
      </c>
      <c r="J119">
        <v>24</v>
      </c>
      <c r="K119">
        <v>9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Tener ArticulsoOrganizar.QueueNumber WaitingQueue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12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6.9452151315179975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1.3904671864747102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0.88346070151395062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4.6102617725055204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8.6997606838150698</v>
      </c>
      <c r="U119" s="5">
        <f>IF((ContinuousStatsTable[[#This Row],[RepsRequested]]&gt;1),ContinuousStatsTable[[#This Row],[HalfWidth]],ContinuousStatsTable[[#This Row],[BatchMeansHalfWidth]])</f>
        <v>0.88346070151395062</v>
      </c>
    </row>
    <row r="120" spans="1:21" x14ac:dyDescent="0.25">
      <c r="A120" t="s">
        <v>68</v>
      </c>
      <c r="B120" t="s">
        <v>70</v>
      </c>
      <c r="C120">
        <v>9</v>
      </c>
      <c r="D120" t="s">
        <v>93</v>
      </c>
      <c r="E120" t="s">
        <v>96</v>
      </c>
      <c r="F120" t="s">
        <v>87</v>
      </c>
      <c r="G120">
        <v>0.53705940465191304</v>
      </c>
      <c r="H120">
        <v>5.2701720767845101E-2</v>
      </c>
      <c r="I120">
        <v>0</v>
      </c>
      <c r="J120">
        <v>2</v>
      </c>
      <c r="K120">
        <v>1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Tener ArticulsoSacar Articulos.QueueNumber WaitingQueue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12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0.54907359753581719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2.8061047329126759E-2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1.7829138867677546E-2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0.50893371098476703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0.58706685204911901</v>
      </c>
      <c r="U120" s="5">
        <f>IF((ContinuousStatsTable[[#This Row],[RepsRequested]]&gt;1),ContinuousStatsTable[[#This Row],[HalfWidth]],ContinuousStatsTable[[#This Row],[BatchMeansHalfWidth]])</f>
        <v>1.7829138867677546E-2</v>
      </c>
    </row>
    <row r="121" spans="1:21" x14ac:dyDescent="0.25">
      <c r="A121" t="s">
        <v>68</v>
      </c>
      <c r="B121" t="s">
        <v>70</v>
      </c>
      <c r="C121">
        <v>9</v>
      </c>
      <c r="D121" t="s">
        <v>94</v>
      </c>
      <c r="E121" t="s">
        <v>96</v>
      </c>
      <c r="F121" t="s">
        <v>87</v>
      </c>
      <c r="G121">
        <v>0.54882671431992303</v>
      </c>
      <c r="H121">
        <v>6.2881802720981303E-2</v>
      </c>
      <c r="I121">
        <v>0</v>
      </c>
      <c r="J121">
        <v>3</v>
      </c>
      <c r="K121">
        <v>0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Tener ArticulsoTenerArticulos.QueueNumber WaitingQueue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12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0.55155869724816453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2.2857263166408359E-2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1.4522812151275023E-2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0.51570313450412797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0.58732155692135601</v>
      </c>
      <c r="U121" s="5">
        <f>IF((ContinuousStatsTable[[#This Row],[RepsRequested]]&gt;1),ContinuousStatsTable[[#This Row],[HalfWidth]],ContinuousStatsTable[[#This Row],[BatchMeansHalfWidth]])</f>
        <v>1.4522812151275023E-2</v>
      </c>
    </row>
    <row r="122" spans="1:21" x14ac:dyDescent="0.25">
      <c r="A122" t="s">
        <v>68</v>
      </c>
      <c r="B122" t="s">
        <v>70</v>
      </c>
      <c r="C122">
        <v>9</v>
      </c>
      <c r="D122" t="s">
        <v>97</v>
      </c>
      <c r="E122" t="s">
        <v>98</v>
      </c>
      <c r="F122" t="s">
        <v>99</v>
      </c>
      <c r="G122">
        <v>0.95576822242497705</v>
      </c>
      <c r="H122">
        <v>2E+20</v>
      </c>
      <c r="I122">
        <v>0</v>
      </c>
      <c r="J122">
        <v>1</v>
      </c>
      <c r="K122">
        <v>1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Tener ArticulsorOrganizdorInstantaneous UtilizationResource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12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0.87408888428798603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0.989515454392208</v>
      </c>
      <c r="U122" s="5">
        <f>IF((ContinuousStatsTable[[#This Row],[RepsRequested]]&gt;1),ContinuousStatsTable[[#This Row],[HalfWidth]],ContinuousStatsTable[[#This Row],[BatchMeansHalfWidth]])</f>
        <v>1.9112222555672933E-2</v>
      </c>
    </row>
    <row r="123" spans="1:21" x14ac:dyDescent="0.25">
      <c r="A123" t="s">
        <v>68</v>
      </c>
      <c r="B123" t="s">
        <v>70</v>
      </c>
      <c r="C123">
        <v>9</v>
      </c>
      <c r="D123" t="s">
        <v>97</v>
      </c>
      <c r="E123" t="s">
        <v>100</v>
      </c>
      <c r="F123" t="s">
        <v>99</v>
      </c>
      <c r="G123">
        <v>0.95576822242497705</v>
      </c>
      <c r="H123">
        <v>2E+20</v>
      </c>
      <c r="I123">
        <v>0</v>
      </c>
      <c r="J123">
        <v>1</v>
      </c>
      <c r="K123">
        <v>1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Tener ArticulsorOrganizdorNumber BusyResource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12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0.87408888428798603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0.989515454392208</v>
      </c>
      <c r="U123" s="5">
        <f>IF((ContinuousStatsTable[[#This Row],[RepsRequested]]&gt;1),ContinuousStatsTable[[#This Row],[HalfWidth]],ContinuousStatsTable[[#This Row],[BatchMeansHalfWidth]])</f>
        <v>1.9112222555672933E-2</v>
      </c>
    </row>
    <row r="124" spans="1:21" x14ac:dyDescent="0.25">
      <c r="A124" t="s">
        <v>68</v>
      </c>
      <c r="B124" t="s">
        <v>70</v>
      </c>
      <c r="C124">
        <v>9</v>
      </c>
      <c r="D124" t="s">
        <v>97</v>
      </c>
      <c r="E124" t="s">
        <v>101</v>
      </c>
      <c r="F124" t="s">
        <v>99</v>
      </c>
      <c r="G124">
        <v>1</v>
      </c>
      <c r="H124">
        <v>2E+20</v>
      </c>
      <c r="I124">
        <v>1</v>
      </c>
      <c r="J124">
        <v>1</v>
      </c>
      <c r="K124">
        <v>1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Tener ArticulsorOrganizdorNumber ScheduledResource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12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1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1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1</v>
      </c>
      <c r="U124" s="5">
        <f>IF((ContinuousStatsTable[[#This Row],[RepsRequested]]&gt;1),ContinuousStatsTable[[#This Row],[HalfWidth]],ContinuousStatsTable[[#This Row],[BatchMeansHalfWidth]])</f>
        <v>0</v>
      </c>
    </row>
    <row r="125" spans="1:21" x14ac:dyDescent="0.25">
      <c r="A125" t="s">
        <v>68</v>
      </c>
      <c r="B125" t="s">
        <v>70</v>
      </c>
      <c r="C125">
        <v>9</v>
      </c>
      <c r="D125" t="s">
        <v>102</v>
      </c>
      <c r="E125" t="s">
        <v>98</v>
      </c>
      <c r="F125" t="s">
        <v>99</v>
      </c>
      <c r="G125">
        <v>0.73658584086425105</v>
      </c>
      <c r="H125">
        <v>2E+20</v>
      </c>
      <c r="I125">
        <v>0</v>
      </c>
      <c r="J125">
        <v>1</v>
      </c>
      <c r="K125">
        <v>1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Tener ArticulsorSacadorInstantaneous UtilizationResource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12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0.70281682687036895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0.79676815469245998</v>
      </c>
      <c r="U125" s="5">
        <f>IF((ContinuousStatsTable[[#This Row],[RepsRequested]]&gt;1),ContinuousStatsTable[[#This Row],[HalfWidth]],ContinuousStatsTable[[#This Row],[BatchMeansHalfWidth]])</f>
        <v>1.9690534563658681E-2</v>
      </c>
    </row>
    <row r="126" spans="1:21" x14ac:dyDescent="0.25">
      <c r="A126" t="s">
        <v>68</v>
      </c>
      <c r="B126" t="s">
        <v>70</v>
      </c>
      <c r="C126">
        <v>9</v>
      </c>
      <c r="D126" t="s">
        <v>102</v>
      </c>
      <c r="E126" t="s">
        <v>100</v>
      </c>
      <c r="F126" t="s">
        <v>99</v>
      </c>
      <c r="G126">
        <v>0.73658584086425105</v>
      </c>
      <c r="H126">
        <v>2E+20</v>
      </c>
      <c r="I126">
        <v>0</v>
      </c>
      <c r="J126">
        <v>1</v>
      </c>
      <c r="K126">
        <v>1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Tener ArticulsorSacadorNumber BusyResource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12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0.70281682687036895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0.79676815469245998</v>
      </c>
      <c r="U126" s="5">
        <f>IF((ContinuousStatsTable[[#This Row],[RepsRequested]]&gt;1),ContinuousStatsTable[[#This Row],[HalfWidth]],ContinuousStatsTable[[#This Row],[BatchMeansHalfWidth]])</f>
        <v>1.9690534563658681E-2</v>
      </c>
    </row>
    <row r="127" spans="1:21" x14ac:dyDescent="0.25">
      <c r="A127" t="s">
        <v>68</v>
      </c>
      <c r="B127" t="s">
        <v>70</v>
      </c>
      <c r="C127">
        <v>9</v>
      </c>
      <c r="D127" t="s">
        <v>102</v>
      </c>
      <c r="E127" t="s">
        <v>101</v>
      </c>
      <c r="F127" t="s">
        <v>99</v>
      </c>
      <c r="G127">
        <v>1</v>
      </c>
      <c r="H127">
        <v>2E+20</v>
      </c>
      <c r="I127">
        <v>1</v>
      </c>
      <c r="J127">
        <v>1</v>
      </c>
      <c r="K127">
        <v>1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Tener ArticulsorSacadorNumber ScheduledResource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12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1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1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1</v>
      </c>
      <c r="U127" s="5">
        <f>IF((ContinuousStatsTable[[#This Row],[RepsRequested]]&gt;1),ContinuousStatsTable[[#This Row],[HalfWidth]],ContinuousStatsTable[[#This Row],[BatchMeansHalfWidth]])</f>
        <v>0</v>
      </c>
    </row>
    <row r="128" spans="1:21" x14ac:dyDescent="0.25">
      <c r="A128" t="s">
        <v>68</v>
      </c>
      <c r="B128" t="s">
        <v>70</v>
      </c>
      <c r="C128">
        <v>10</v>
      </c>
      <c r="D128" t="s">
        <v>71</v>
      </c>
      <c r="E128" t="s">
        <v>95</v>
      </c>
      <c r="F128" t="s">
        <v>73</v>
      </c>
      <c r="G128">
        <v>12.2428770686635</v>
      </c>
      <c r="H128">
        <v>3E+20</v>
      </c>
      <c r="I128">
        <v>0</v>
      </c>
      <c r="J128">
        <v>27</v>
      </c>
      <c r="K128">
        <v>11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Tener ArticulsoArticulosWIPEntity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12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11.967618013540566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2.2199622266915817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1.4104967058588604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7.8453940222015603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16.013877975802099</v>
      </c>
      <c r="U128" s="5">
        <f>IF((ContinuousStatsTable[[#This Row],[RepsRequested]]&gt;1),ContinuousStatsTable[[#This Row],[HalfWidth]],ContinuousStatsTable[[#This Row],[BatchMeansHalfWidth]])</f>
        <v>1.4104967058588604</v>
      </c>
    </row>
    <row r="129" spans="1:21" x14ac:dyDescent="0.25">
      <c r="A129" t="s">
        <v>68</v>
      </c>
      <c r="B129" t="s">
        <v>70</v>
      </c>
      <c r="C129">
        <v>10</v>
      </c>
      <c r="D129" t="s">
        <v>79</v>
      </c>
      <c r="E129" t="s">
        <v>95</v>
      </c>
      <c r="F129" t="s">
        <v>73</v>
      </c>
      <c r="G129">
        <v>0.94592803125346803</v>
      </c>
      <c r="H129">
        <v>0.36002434057084998</v>
      </c>
      <c r="I129">
        <v>0</v>
      </c>
      <c r="J129">
        <v>9</v>
      </c>
      <c r="K129">
        <v>0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Tener ArticulsoCarrosWIPEntity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12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1.4357426212197542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0.67481269179007708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0.4287555289894085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0.85623463950978496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3.3096083955109501</v>
      </c>
      <c r="U129" s="5">
        <f>IF((ContinuousStatsTable[[#This Row],[RepsRequested]]&gt;1),ContinuousStatsTable[[#This Row],[HalfWidth]],ContinuousStatsTable[[#This Row],[BatchMeansHalfWidth]])</f>
        <v>0.4287555289894085</v>
      </c>
    </row>
    <row r="130" spans="1:21" x14ac:dyDescent="0.25">
      <c r="A130" t="s">
        <v>68</v>
      </c>
      <c r="B130" t="s">
        <v>70</v>
      </c>
      <c r="C130">
        <v>10</v>
      </c>
      <c r="D130" t="s">
        <v>85</v>
      </c>
      <c r="E130" t="s">
        <v>96</v>
      </c>
      <c r="F130" t="s">
        <v>87</v>
      </c>
      <c r="G130">
        <v>0.42181291708263402</v>
      </c>
      <c r="H130">
        <v>2E+20</v>
      </c>
      <c r="I130">
        <v>0</v>
      </c>
      <c r="J130">
        <v>1</v>
      </c>
      <c r="K130">
        <v>1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Tener ArticulsoDesembalaje.QueueNumber WaitingQueue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12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0.39305431340749158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6.9825204530481425E-2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4.4364818370329934E-2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0.26379051411540999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0.492701223784278</v>
      </c>
      <c r="U130" s="5">
        <f>IF((ContinuousStatsTable[[#This Row],[RepsRequested]]&gt;1),ContinuousStatsTable[[#This Row],[HalfWidth]],ContinuousStatsTable[[#This Row],[BatchMeansHalfWidth]])</f>
        <v>4.4364818370329934E-2</v>
      </c>
    </row>
    <row r="131" spans="1:21" x14ac:dyDescent="0.25">
      <c r="A131" t="s">
        <v>68</v>
      </c>
      <c r="B131" t="s">
        <v>70</v>
      </c>
      <c r="C131">
        <v>10</v>
      </c>
      <c r="D131" t="s">
        <v>88</v>
      </c>
      <c r="E131" t="s">
        <v>96</v>
      </c>
      <c r="F131" t="s">
        <v>87</v>
      </c>
      <c r="G131">
        <v>0.94592803125346803</v>
      </c>
      <c r="H131">
        <v>0.36002434057084998</v>
      </c>
      <c r="I131">
        <v>0</v>
      </c>
      <c r="J131">
        <v>7</v>
      </c>
      <c r="K131">
        <v>0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Tener ArticulsoDetener Carros.QueueNumber WaitingQueue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12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1.4357426212197553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0.67481269179007586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0.42875552898940772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0.85623463950978496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3.3096083955109501</v>
      </c>
      <c r="U131" s="5">
        <f>IF((ContinuousStatsTable[[#This Row],[RepsRequested]]&gt;1),ContinuousStatsTable[[#This Row],[HalfWidth]],ContinuousStatsTable[[#This Row],[BatchMeansHalfWidth]])</f>
        <v>0.42875552898940772</v>
      </c>
    </row>
    <row r="132" spans="1:21" x14ac:dyDescent="0.25">
      <c r="A132" t="s">
        <v>68</v>
      </c>
      <c r="B132" t="s">
        <v>70</v>
      </c>
      <c r="C132">
        <v>10</v>
      </c>
      <c r="D132" t="s">
        <v>89</v>
      </c>
      <c r="E132" t="s">
        <v>96</v>
      </c>
      <c r="F132" t="s">
        <v>87</v>
      </c>
      <c r="G132">
        <v>1.9381838575584001</v>
      </c>
      <c r="H132">
        <v>2E+20</v>
      </c>
      <c r="I132">
        <v>0</v>
      </c>
      <c r="J132">
        <v>7</v>
      </c>
      <c r="K132">
        <v>1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Tener ArticulsoNoOrganizar.QueueNumber WaitingQueue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12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1.8367908590220434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0.88849214816383859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0.56452097837458637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0.36210426146159602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4.0028313893775698</v>
      </c>
      <c r="U132" s="5">
        <f>IF((ContinuousStatsTable[[#This Row],[RepsRequested]]&gt;1),ContinuousStatsTable[[#This Row],[HalfWidth]],ContinuousStatsTable[[#This Row],[BatchMeansHalfWidth]])</f>
        <v>0.56452097837458637</v>
      </c>
    </row>
    <row r="133" spans="1:21" x14ac:dyDescent="0.25">
      <c r="A133" t="s">
        <v>68</v>
      </c>
      <c r="B133" t="s">
        <v>70</v>
      </c>
      <c r="C133">
        <v>10</v>
      </c>
      <c r="D133" t="s">
        <v>91</v>
      </c>
      <c r="E133" t="s">
        <v>96</v>
      </c>
      <c r="F133" t="s">
        <v>87</v>
      </c>
      <c r="G133">
        <v>7.0562988217184301</v>
      </c>
      <c r="H133">
        <v>3E+20</v>
      </c>
      <c r="I133">
        <v>0</v>
      </c>
      <c r="J133">
        <v>19</v>
      </c>
      <c r="K133">
        <v>8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Tener ArticulsoOrganizar.QueueNumber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12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6.9452151315179975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1.3904671864747102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0.88346070151395062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4.6102617725055204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8.6997606838150698</v>
      </c>
      <c r="U133" s="5">
        <f>IF((ContinuousStatsTable[[#This Row],[RepsRequested]]&gt;1),ContinuousStatsTable[[#This Row],[HalfWidth]],ContinuousStatsTable[[#This Row],[BatchMeansHalfWidth]])</f>
        <v>0.88346070151395062</v>
      </c>
    </row>
    <row r="134" spans="1:21" x14ac:dyDescent="0.25">
      <c r="A134" t="s">
        <v>68</v>
      </c>
      <c r="B134" t="s">
        <v>70</v>
      </c>
      <c r="C134">
        <v>10</v>
      </c>
      <c r="D134" t="s">
        <v>93</v>
      </c>
      <c r="E134" t="s">
        <v>96</v>
      </c>
      <c r="F134" t="s">
        <v>87</v>
      </c>
      <c r="G134">
        <v>0.55262670096899602</v>
      </c>
      <c r="H134">
        <v>5.4126545775697699E-2</v>
      </c>
      <c r="I134">
        <v>0</v>
      </c>
      <c r="J134">
        <v>2</v>
      </c>
      <c r="K134">
        <v>0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Tener ArticulsoSacar Articulos.QueueNumber WaitingQueue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12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0.54907359753581719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2.8061047329126759E-2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1.7829138867677546E-2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0.50893371098476703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0.58706685204911901</v>
      </c>
      <c r="U134" s="5">
        <f>IF((ContinuousStatsTable[[#This Row],[RepsRequested]]&gt;1),ContinuousStatsTable[[#This Row],[HalfWidth]],ContinuousStatsTable[[#This Row],[BatchMeansHalfWidth]])</f>
        <v>1.7829138867677546E-2</v>
      </c>
    </row>
    <row r="135" spans="1:21" x14ac:dyDescent="0.25">
      <c r="A135" t="s">
        <v>68</v>
      </c>
      <c r="B135" t="s">
        <v>70</v>
      </c>
      <c r="C135">
        <v>10</v>
      </c>
      <c r="D135" t="s">
        <v>94</v>
      </c>
      <c r="E135" t="s">
        <v>96</v>
      </c>
      <c r="F135" t="s">
        <v>87</v>
      </c>
      <c r="G135">
        <v>0.55705748598540095</v>
      </c>
      <c r="H135">
        <v>6.5180391793773995E-2</v>
      </c>
      <c r="I135">
        <v>0</v>
      </c>
      <c r="J135">
        <v>3</v>
      </c>
      <c r="K135">
        <v>0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Tener ArticulsoTenerArticulos.QueueNumber WaitingQueue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12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0.55155869724816453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2.2857263166408359E-2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1.4522812151275023E-2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0.51570313450412797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0.58732155692135601</v>
      </c>
      <c r="U135" s="5">
        <f>IF((ContinuousStatsTable[[#This Row],[RepsRequested]]&gt;1),ContinuousStatsTable[[#This Row],[HalfWidth]],ContinuousStatsTable[[#This Row],[BatchMeansHalfWidth]])</f>
        <v>1.4522812151275023E-2</v>
      </c>
    </row>
    <row r="136" spans="1:21" x14ac:dyDescent="0.25">
      <c r="A136" t="s">
        <v>68</v>
      </c>
      <c r="B136" t="s">
        <v>70</v>
      </c>
      <c r="C136">
        <v>10</v>
      </c>
      <c r="D136" t="s">
        <v>97</v>
      </c>
      <c r="E136" t="s">
        <v>98</v>
      </c>
      <c r="F136" t="s">
        <v>99</v>
      </c>
      <c r="G136">
        <v>0.95778659094739305</v>
      </c>
      <c r="H136">
        <v>2E+20</v>
      </c>
      <c r="I136">
        <v>0</v>
      </c>
      <c r="J136">
        <v>1</v>
      </c>
      <c r="K136">
        <v>1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Tener ArticulsorOrganizdorInstantaneous UtilizationResource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12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0.87408888428798603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0.989515454392208</v>
      </c>
      <c r="U136" s="5">
        <f>IF((ContinuousStatsTable[[#This Row],[RepsRequested]]&gt;1),ContinuousStatsTable[[#This Row],[HalfWidth]],ContinuousStatsTable[[#This Row],[BatchMeansHalfWidth]])</f>
        <v>1.9112222555672933E-2</v>
      </c>
    </row>
    <row r="137" spans="1:21" x14ac:dyDescent="0.25">
      <c r="A137" t="s">
        <v>68</v>
      </c>
      <c r="B137" t="s">
        <v>70</v>
      </c>
      <c r="C137">
        <v>10</v>
      </c>
      <c r="D137" t="s">
        <v>97</v>
      </c>
      <c r="E137" t="s">
        <v>100</v>
      </c>
      <c r="F137" t="s">
        <v>99</v>
      </c>
      <c r="G137">
        <v>0.95778659094739305</v>
      </c>
      <c r="H137">
        <v>2E+20</v>
      </c>
      <c r="I137">
        <v>0</v>
      </c>
      <c r="J137">
        <v>1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Tener ArticulsorOrganizdorNumber BusyResource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12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0.87408888428798603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0.989515454392208</v>
      </c>
      <c r="U137" s="5">
        <f>IF((ContinuousStatsTable[[#This Row],[RepsRequested]]&gt;1),ContinuousStatsTable[[#This Row],[HalfWidth]],ContinuousStatsTable[[#This Row],[BatchMeansHalfWidth]])</f>
        <v>1.9112222555672933E-2</v>
      </c>
    </row>
    <row r="138" spans="1:21" x14ac:dyDescent="0.25">
      <c r="A138" t="s">
        <v>68</v>
      </c>
      <c r="B138" t="s">
        <v>70</v>
      </c>
      <c r="C138">
        <v>10</v>
      </c>
      <c r="D138" t="s">
        <v>97</v>
      </c>
      <c r="E138" t="s">
        <v>101</v>
      </c>
      <c r="F138" t="s">
        <v>99</v>
      </c>
      <c r="G138">
        <v>1</v>
      </c>
      <c r="H138">
        <v>2E+20</v>
      </c>
      <c r="I138">
        <v>1</v>
      </c>
      <c r="J138">
        <v>1</v>
      </c>
      <c r="K138">
        <v>1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Tener ArticulsorOrganizdorNumber ScheduledResource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12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1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0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1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1</v>
      </c>
      <c r="U138" s="5">
        <f>IF((ContinuousStatsTable[[#This Row],[RepsRequested]]&gt;1),ContinuousStatsTable[[#This Row],[HalfWidth]],ContinuousStatsTable[[#This Row],[BatchMeansHalfWidth]])</f>
        <v>0</v>
      </c>
    </row>
    <row r="139" spans="1:21" x14ac:dyDescent="0.25">
      <c r="A139" t="s">
        <v>68</v>
      </c>
      <c r="B139" t="s">
        <v>70</v>
      </c>
      <c r="C139">
        <v>10</v>
      </c>
      <c r="D139" t="s">
        <v>102</v>
      </c>
      <c r="E139" t="s">
        <v>98</v>
      </c>
      <c r="F139" t="s">
        <v>99</v>
      </c>
      <c r="G139">
        <v>0.75911069440218903</v>
      </c>
      <c r="H139">
        <v>2E+20</v>
      </c>
      <c r="I139">
        <v>0</v>
      </c>
      <c r="J139">
        <v>1</v>
      </c>
      <c r="K139">
        <v>0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Tener ArticulsorSacadorInstantaneous UtilizationResource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12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0.70281682687036895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0.79676815469245998</v>
      </c>
      <c r="U139" s="5">
        <f>IF((ContinuousStatsTable[[#This Row],[RepsRequested]]&gt;1),ContinuousStatsTable[[#This Row],[HalfWidth]],ContinuousStatsTable[[#This Row],[BatchMeansHalfWidth]])</f>
        <v>1.9690534563658681E-2</v>
      </c>
    </row>
    <row r="140" spans="1:21" x14ac:dyDescent="0.25">
      <c r="A140" t="s">
        <v>68</v>
      </c>
      <c r="B140" t="s">
        <v>70</v>
      </c>
      <c r="C140">
        <v>10</v>
      </c>
      <c r="D140" t="s">
        <v>102</v>
      </c>
      <c r="E140" t="s">
        <v>100</v>
      </c>
      <c r="F140" t="s">
        <v>99</v>
      </c>
      <c r="G140">
        <v>0.75911069440218903</v>
      </c>
      <c r="H140">
        <v>2E+20</v>
      </c>
      <c r="I140">
        <v>0</v>
      </c>
      <c r="J140">
        <v>1</v>
      </c>
      <c r="K140">
        <v>0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Tener ArticulsorSacadorNumber BusyResource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12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0.70281682687036895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0.79676815469245998</v>
      </c>
      <c r="U140" s="5">
        <f>IF((ContinuousStatsTable[[#This Row],[RepsRequested]]&gt;1),ContinuousStatsTable[[#This Row],[HalfWidth]],ContinuousStatsTable[[#This Row],[BatchMeansHalfWidth]])</f>
        <v>1.9690534563658681E-2</v>
      </c>
    </row>
    <row r="141" spans="1:21" x14ac:dyDescent="0.25">
      <c r="A141" t="s">
        <v>68</v>
      </c>
      <c r="B141" t="s">
        <v>70</v>
      </c>
      <c r="C141">
        <v>10</v>
      </c>
      <c r="D141" t="s">
        <v>102</v>
      </c>
      <c r="E141" t="s">
        <v>101</v>
      </c>
      <c r="F141" t="s">
        <v>99</v>
      </c>
      <c r="G141">
        <v>1</v>
      </c>
      <c r="H141">
        <v>2E+20</v>
      </c>
      <c r="I141">
        <v>1</v>
      </c>
      <c r="J141">
        <v>1</v>
      </c>
      <c r="K141">
        <v>1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Tener ArticulsorSacadorNumber ScheduledResource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12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1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1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1</v>
      </c>
      <c r="U141" s="5">
        <f>IF((ContinuousStatsTable[[#This Row],[RepsRequested]]&gt;1),ContinuousStatsTable[[#This Row],[HalfWidth]],ContinuousStatsTable[[#This Row],[BatchMeansHalfWidth]])</f>
        <v>0</v>
      </c>
    </row>
    <row r="142" spans="1:21" x14ac:dyDescent="0.25">
      <c r="A142" t="s">
        <v>68</v>
      </c>
      <c r="B142" t="s">
        <v>70</v>
      </c>
      <c r="C142">
        <v>11</v>
      </c>
      <c r="D142" t="s">
        <v>71</v>
      </c>
      <c r="E142" t="s">
        <v>95</v>
      </c>
      <c r="F142" t="s">
        <v>73</v>
      </c>
      <c r="G142">
        <v>11.5953968427027</v>
      </c>
      <c r="H142">
        <v>3E+20</v>
      </c>
      <c r="I142">
        <v>0</v>
      </c>
      <c r="J142">
        <v>29</v>
      </c>
      <c r="K142">
        <v>8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Tener ArticulsoArticulosWIPEntity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12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11.967618013540566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2.2199622266915817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1.4104967058588604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7.8453940222015603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16.013877975802099</v>
      </c>
      <c r="U142" s="5">
        <f>IF((ContinuousStatsTable[[#This Row],[RepsRequested]]&gt;1),ContinuousStatsTable[[#This Row],[HalfWidth]],ContinuousStatsTable[[#This Row],[BatchMeansHalfWidth]])</f>
        <v>1.4104967058588604</v>
      </c>
    </row>
    <row r="143" spans="1:21" x14ac:dyDescent="0.25">
      <c r="A143" t="s">
        <v>68</v>
      </c>
      <c r="B143" t="s">
        <v>70</v>
      </c>
      <c r="C143">
        <v>11</v>
      </c>
      <c r="D143" t="s">
        <v>79</v>
      </c>
      <c r="E143" t="s">
        <v>95</v>
      </c>
      <c r="F143" t="s">
        <v>73</v>
      </c>
      <c r="G143">
        <v>1.3867359329470099</v>
      </c>
      <c r="H143">
        <v>0.57158009828504697</v>
      </c>
      <c r="I143">
        <v>0</v>
      </c>
      <c r="J143">
        <v>12</v>
      </c>
      <c r="K143">
        <v>0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Tener ArticulsoCarrosWIPEntity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12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1.4357426212197542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0.67481269179007708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0.4287555289894085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0.85623463950978496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3.3096083955109501</v>
      </c>
      <c r="U143" s="5">
        <f>IF((ContinuousStatsTable[[#This Row],[RepsRequested]]&gt;1),ContinuousStatsTable[[#This Row],[HalfWidth]],ContinuousStatsTable[[#This Row],[BatchMeansHalfWidth]])</f>
        <v>0.4287555289894085</v>
      </c>
    </row>
    <row r="144" spans="1:21" x14ac:dyDescent="0.25">
      <c r="A144" t="s">
        <v>68</v>
      </c>
      <c r="B144" t="s">
        <v>70</v>
      </c>
      <c r="C144">
        <v>11</v>
      </c>
      <c r="D144" t="s">
        <v>85</v>
      </c>
      <c r="E144" t="s">
        <v>96</v>
      </c>
      <c r="F144" t="s">
        <v>87</v>
      </c>
      <c r="G144">
        <v>0.34977241677710103</v>
      </c>
      <c r="H144">
        <v>2E+20</v>
      </c>
      <c r="I144">
        <v>0</v>
      </c>
      <c r="J144">
        <v>1</v>
      </c>
      <c r="K144">
        <v>0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Tener ArticulsoDesembalaje.QueueNumber WaitingQueue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12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0.39305431340749158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6.9825204530481425E-2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4.4364818370329934E-2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0.26379051411540999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0.492701223784278</v>
      </c>
      <c r="U144" s="5">
        <f>IF((ContinuousStatsTable[[#This Row],[RepsRequested]]&gt;1),ContinuousStatsTable[[#This Row],[HalfWidth]],ContinuousStatsTable[[#This Row],[BatchMeansHalfWidth]])</f>
        <v>4.4364818370329934E-2</v>
      </c>
    </row>
    <row r="145" spans="1:21" x14ac:dyDescent="0.25">
      <c r="A145" t="s">
        <v>68</v>
      </c>
      <c r="B145" t="s">
        <v>70</v>
      </c>
      <c r="C145">
        <v>11</v>
      </c>
      <c r="D145" t="s">
        <v>88</v>
      </c>
      <c r="E145" t="s">
        <v>96</v>
      </c>
      <c r="F145" t="s">
        <v>87</v>
      </c>
      <c r="G145">
        <v>1.3867359329470099</v>
      </c>
      <c r="H145">
        <v>0.57158009828504697</v>
      </c>
      <c r="I145">
        <v>0</v>
      </c>
      <c r="J145">
        <v>9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Tener ArticulsoDetener Carros.QueueNumber WaitingQueue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12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1.4357426212197553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0.67481269179007586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0.42875552898940772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0.85623463950978496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3.3096083955109501</v>
      </c>
      <c r="U145" s="5">
        <f>IF((ContinuousStatsTable[[#This Row],[RepsRequested]]&gt;1),ContinuousStatsTable[[#This Row],[HalfWidth]],ContinuousStatsTable[[#This Row],[BatchMeansHalfWidth]])</f>
        <v>0.42875552898940772</v>
      </c>
    </row>
    <row r="146" spans="1:21" x14ac:dyDescent="0.25">
      <c r="A146" t="s">
        <v>68</v>
      </c>
      <c r="B146" t="s">
        <v>70</v>
      </c>
      <c r="C146">
        <v>11</v>
      </c>
      <c r="D146" t="s">
        <v>89</v>
      </c>
      <c r="E146" t="s">
        <v>96</v>
      </c>
      <c r="F146" t="s">
        <v>87</v>
      </c>
      <c r="G146">
        <v>1.5636395086758199</v>
      </c>
      <c r="H146">
        <v>2E+20</v>
      </c>
      <c r="I146">
        <v>0</v>
      </c>
      <c r="J146">
        <v>9</v>
      </c>
      <c r="K146">
        <v>2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Tener ArticulsoNoOrganizar.QueueNumber WaitingQueue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12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1.8367908590220434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0.88849214816383859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0.56452097837458637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0.36210426146159602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4.0028313893775698</v>
      </c>
      <c r="U146" s="5">
        <f>IF((ContinuousStatsTable[[#This Row],[RepsRequested]]&gt;1),ContinuousStatsTable[[#This Row],[HalfWidth]],ContinuousStatsTable[[#This Row],[BatchMeansHalfWidth]])</f>
        <v>0.56452097837458637</v>
      </c>
    </row>
    <row r="147" spans="1:21" x14ac:dyDescent="0.25">
      <c r="A147" t="s">
        <v>68</v>
      </c>
      <c r="B147" t="s">
        <v>70</v>
      </c>
      <c r="C147">
        <v>11</v>
      </c>
      <c r="D147" t="s">
        <v>91</v>
      </c>
      <c r="E147" t="s">
        <v>96</v>
      </c>
      <c r="F147" t="s">
        <v>87</v>
      </c>
      <c r="G147">
        <v>6.9052547431682303</v>
      </c>
      <c r="H147">
        <v>3E+20</v>
      </c>
      <c r="I147">
        <v>0</v>
      </c>
      <c r="J147">
        <v>20</v>
      </c>
      <c r="K147">
        <v>3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Tener ArticulsoOrganizar.QueueNumber WaitingQueue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12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6.9452151315179975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1.3904671864747102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0.88346070151395062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4.6102617725055204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8.6997606838150698</v>
      </c>
      <c r="U147" s="5">
        <f>IF((ContinuousStatsTable[[#This Row],[RepsRequested]]&gt;1),ContinuousStatsTable[[#This Row],[HalfWidth]],ContinuousStatsTable[[#This Row],[BatchMeansHalfWidth]])</f>
        <v>0.88346070151395062</v>
      </c>
    </row>
    <row r="148" spans="1:21" x14ac:dyDescent="0.25">
      <c r="A148" t="s">
        <v>68</v>
      </c>
      <c r="B148" t="s">
        <v>70</v>
      </c>
      <c r="C148">
        <v>11</v>
      </c>
      <c r="D148" t="s">
        <v>93</v>
      </c>
      <c r="E148" t="s">
        <v>96</v>
      </c>
      <c r="F148" t="s">
        <v>87</v>
      </c>
      <c r="G148">
        <v>0.53375853422681996</v>
      </c>
      <c r="H148">
        <v>5.47992712557933E-2</v>
      </c>
      <c r="I148">
        <v>0</v>
      </c>
      <c r="J148">
        <v>2</v>
      </c>
      <c r="K148">
        <v>0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Tener ArticulsoSacar Articulos.QueueNumber WaitingQueue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12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0.54907359753581719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2.8061047329126759E-2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1.7829138867677546E-2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0.50893371098476703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0.58706685204911901</v>
      </c>
      <c r="U148" s="5">
        <f>IF((ContinuousStatsTable[[#This Row],[RepsRequested]]&gt;1),ContinuousStatsTable[[#This Row],[HalfWidth]],ContinuousStatsTable[[#This Row],[BatchMeansHalfWidth]])</f>
        <v>1.7829138867677546E-2</v>
      </c>
    </row>
    <row r="149" spans="1:21" x14ac:dyDescent="0.25">
      <c r="A149" t="s">
        <v>68</v>
      </c>
      <c r="B149" t="s">
        <v>70</v>
      </c>
      <c r="C149">
        <v>11</v>
      </c>
      <c r="D149" t="s">
        <v>94</v>
      </c>
      <c r="E149" t="s">
        <v>96</v>
      </c>
      <c r="F149" t="s">
        <v>87</v>
      </c>
      <c r="G149">
        <v>0.54480765403923903</v>
      </c>
      <c r="H149">
        <v>7.1608879184660107E-2</v>
      </c>
      <c r="I149">
        <v>0</v>
      </c>
      <c r="J149">
        <v>3</v>
      </c>
      <c r="K149">
        <v>1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Tener ArticulsoTenerArticulos.QueueNumber WaitingQueue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12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0.55155869724816453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2.2857263166408359E-2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1.4522812151275023E-2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0.51570313450412797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0.58732155692135601</v>
      </c>
      <c r="U149" s="5">
        <f>IF((ContinuousStatsTable[[#This Row],[RepsRequested]]&gt;1),ContinuousStatsTable[[#This Row],[HalfWidth]],ContinuousStatsTable[[#This Row],[BatchMeansHalfWidth]])</f>
        <v>1.4522812151275023E-2</v>
      </c>
    </row>
    <row r="150" spans="1:21" x14ac:dyDescent="0.25">
      <c r="A150" t="s">
        <v>68</v>
      </c>
      <c r="B150" t="s">
        <v>70</v>
      </c>
      <c r="C150">
        <v>11</v>
      </c>
      <c r="D150" t="s">
        <v>97</v>
      </c>
      <c r="E150" t="s">
        <v>98</v>
      </c>
      <c r="F150" t="s">
        <v>99</v>
      </c>
      <c r="G150">
        <v>0.93586616929636302</v>
      </c>
      <c r="H150">
        <v>2E+20</v>
      </c>
      <c r="I150">
        <v>0</v>
      </c>
      <c r="J150">
        <v>1</v>
      </c>
      <c r="K150">
        <v>1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Tener ArticulsorOrganizdorInstantaneous UtilizationResource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12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0.87408888428798603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0.989515454392208</v>
      </c>
      <c r="U150" s="5">
        <f>IF((ContinuousStatsTable[[#This Row],[RepsRequested]]&gt;1),ContinuousStatsTable[[#This Row],[HalfWidth]],ContinuousStatsTable[[#This Row],[BatchMeansHalfWidth]])</f>
        <v>1.9112222555672933E-2</v>
      </c>
    </row>
    <row r="151" spans="1:21" x14ac:dyDescent="0.25">
      <c r="A151" t="s">
        <v>68</v>
      </c>
      <c r="B151" t="s">
        <v>70</v>
      </c>
      <c r="C151">
        <v>11</v>
      </c>
      <c r="D151" t="s">
        <v>97</v>
      </c>
      <c r="E151" t="s">
        <v>100</v>
      </c>
      <c r="F151" t="s">
        <v>99</v>
      </c>
      <c r="G151">
        <v>0.93586616929636302</v>
      </c>
      <c r="H151">
        <v>2E+20</v>
      </c>
      <c r="I151">
        <v>0</v>
      </c>
      <c r="J151">
        <v>1</v>
      </c>
      <c r="K151">
        <v>1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Tener ArticulsorOrganizdorNumber BusyResource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12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0.87408888428798603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0.989515454392208</v>
      </c>
      <c r="U151" s="5">
        <f>IF((ContinuousStatsTable[[#This Row],[RepsRequested]]&gt;1),ContinuousStatsTable[[#This Row],[HalfWidth]],ContinuousStatsTable[[#This Row],[BatchMeansHalfWidth]])</f>
        <v>1.9112222555672933E-2</v>
      </c>
    </row>
    <row r="152" spans="1:21" x14ac:dyDescent="0.25">
      <c r="A152" t="s">
        <v>68</v>
      </c>
      <c r="B152" t="s">
        <v>70</v>
      </c>
      <c r="C152">
        <v>11</v>
      </c>
      <c r="D152" t="s">
        <v>97</v>
      </c>
      <c r="E152" t="s">
        <v>101</v>
      </c>
      <c r="F152" t="s">
        <v>99</v>
      </c>
      <c r="G152">
        <v>1</v>
      </c>
      <c r="H152">
        <v>2E+20</v>
      </c>
      <c r="I152">
        <v>1</v>
      </c>
      <c r="J152">
        <v>1</v>
      </c>
      <c r="K152">
        <v>1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Tener ArticulsorOrganizdorNumber ScheduledResource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12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1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1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1</v>
      </c>
      <c r="U152" s="5">
        <f>IF((ContinuousStatsTable[[#This Row],[RepsRequested]]&gt;1),ContinuousStatsTable[[#This Row],[HalfWidth]],ContinuousStatsTable[[#This Row],[BatchMeansHalfWidth]])</f>
        <v>0</v>
      </c>
    </row>
    <row r="153" spans="1:21" x14ac:dyDescent="0.25">
      <c r="A153" t="s">
        <v>68</v>
      </c>
      <c r="B153" t="s">
        <v>70</v>
      </c>
      <c r="C153">
        <v>11</v>
      </c>
      <c r="D153" t="s">
        <v>102</v>
      </c>
      <c r="E153" t="s">
        <v>98</v>
      </c>
      <c r="F153" t="s">
        <v>99</v>
      </c>
      <c r="G153">
        <v>0.76229781651912798</v>
      </c>
      <c r="H153">
        <v>2E+20</v>
      </c>
      <c r="I153">
        <v>0</v>
      </c>
      <c r="J153">
        <v>1</v>
      </c>
      <c r="K153">
        <v>1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Tener ArticulsorSacadorInstantaneous UtilizationResource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12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0.70281682687036895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0.79676815469245998</v>
      </c>
      <c r="U153" s="5">
        <f>IF((ContinuousStatsTable[[#This Row],[RepsRequested]]&gt;1),ContinuousStatsTable[[#This Row],[HalfWidth]],ContinuousStatsTable[[#This Row],[BatchMeansHalfWidth]])</f>
        <v>1.9690534563658681E-2</v>
      </c>
    </row>
    <row r="154" spans="1:21" x14ac:dyDescent="0.25">
      <c r="A154" t="s">
        <v>68</v>
      </c>
      <c r="B154" t="s">
        <v>70</v>
      </c>
      <c r="C154">
        <v>11</v>
      </c>
      <c r="D154" t="s">
        <v>102</v>
      </c>
      <c r="E154" t="s">
        <v>100</v>
      </c>
      <c r="F154" t="s">
        <v>99</v>
      </c>
      <c r="G154">
        <v>0.76229781651912798</v>
      </c>
      <c r="H154">
        <v>2E+20</v>
      </c>
      <c r="I154">
        <v>0</v>
      </c>
      <c r="J154">
        <v>1</v>
      </c>
      <c r="K154">
        <v>1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Tener ArticulsorSacadorNumber BusyResource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12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0.70281682687036895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0.79676815469245998</v>
      </c>
      <c r="U154" s="5">
        <f>IF((ContinuousStatsTable[[#This Row],[RepsRequested]]&gt;1),ContinuousStatsTable[[#This Row],[HalfWidth]],ContinuousStatsTable[[#This Row],[BatchMeansHalfWidth]])</f>
        <v>1.9690534563658681E-2</v>
      </c>
    </row>
    <row r="155" spans="1:21" x14ac:dyDescent="0.25">
      <c r="A155" t="s">
        <v>68</v>
      </c>
      <c r="B155" t="s">
        <v>70</v>
      </c>
      <c r="C155">
        <v>11</v>
      </c>
      <c r="D155" t="s">
        <v>102</v>
      </c>
      <c r="E155" t="s">
        <v>101</v>
      </c>
      <c r="F155" t="s">
        <v>99</v>
      </c>
      <c r="G155">
        <v>1</v>
      </c>
      <c r="H155">
        <v>2E+20</v>
      </c>
      <c r="I155">
        <v>1</v>
      </c>
      <c r="J155">
        <v>1</v>
      </c>
      <c r="K155">
        <v>1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Tener ArticulsorSacadorNumber ScheduledResource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12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1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1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1</v>
      </c>
      <c r="U155" s="5">
        <f>IF((ContinuousStatsTable[[#This Row],[RepsRequested]]&gt;1),ContinuousStatsTable[[#This Row],[HalfWidth]],ContinuousStatsTable[[#This Row],[BatchMeansHalfWidth]])</f>
        <v>0</v>
      </c>
    </row>
    <row r="156" spans="1:21" x14ac:dyDescent="0.25">
      <c r="A156" t="s">
        <v>68</v>
      </c>
      <c r="B156" t="s">
        <v>70</v>
      </c>
      <c r="C156">
        <v>12</v>
      </c>
      <c r="D156" t="s">
        <v>71</v>
      </c>
      <c r="E156" t="s">
        <v>95</v>
      </c>
      <c r="F156" t="s">
        <v>73</v>
      </c>
      <c r="G156">
        <v>10.842783727467699</v>
      </c>
      <c r="H156">
        <v>3E+20</v>
      </c>
      <c r="I156">
        <v>0</v>
      </c>
      <c r="J156">
        <v>29</v>
      </c>
      <c r="K156">
        <v>7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Tener ArticulsoArticulosWIPEntity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12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11.967618013540566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2.2199622266915817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1.4104967058588604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7.8453940222015603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16.013877975802099</v>
      </c>
      <c r="U156" s="5">
        <f>IF((ContinuousStatsTable[[#This Row],[RepsRequested]]&gt;1),ContinuousStatsTable[[#This Row],[HalfWidth]],ContinuousStatsTable[[#This Row],[BatchMeansHalfWidth]])</f>
        <v>1.4104967058588604</v>
      </c>
    </row>
    <row r="157" spans="1:21" x14ac:dyDescent="0.25">
      <c r="A157" t="s">
        <v>68</v>
      </c>
      <c r="B157" t="s">
        <v>70</v>
      </c>
      <c r="C157">
        <v>12</v>
      </c>
      <c r="D157" t="s">
        <v>79</v>
      </c>
      <c r="E157" t="s">
        <v>95</v>
      </c>
      <c r="F157" t="s">
        <v>73</v>
      </c>
      <c r="G157">
        <v>0.85623463950978496</v>
      </c>
      <c r="H157">
        <v>0.32030431303336598</v>
      </c>
      <c r="I157">
        <v>0</v>
      </c>
      <c r="J157">
        <v>9</v>
      </c>
      <c r="K157">
        <v>0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Tener ArticulsoCarrosWIPEntity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12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1.4357426212197542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0.67481269179007708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0.4287555289894085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0.85623463950978496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3.3096083955109501</v>
      </c>
      <c r="U157" s="5">
        <f>IF((ContinuousStatsTable[[#This Row],[RepsRequested]]&gt;1),ContinuousStatsTable[[#This Row],[HalfWidth]],ContinuousStatsTable[[#This Row],[BatchMeansHalfWidth]])</f>
        <v>0.4287555289894085</v>
      </c>
    </row>
    <row r="158" spans="1:21" x14ac:dyDescent="0.25">
      <c r="A158" t="s">
        <v>68</v>
      </c>
      <c r="B158" t="s">
        <v>70</v>
      </c>
      <c r="C158">
        <v>12</v>
      </c>
      <c r="D158" t="s">
        <v>85</v>
      </c>
      <c r="E158" t="s">
        <v>96</v>
      </c>
      <c r="F158" t="s">
        <v>87</v>
      </c>
      <c r="G158">
        <v>0.37382877813113802</v>
      </c>
      <c r="H158">
        <v>2E+20</v>
      </c>
      <c r="I158">
        <v>0</v>
      </c>
      <c r="J158">
        <v>1</v>
      </c>
      <c r="K158">
        <v>0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Tener ArticulsoDesembalaje.QueueNumber WaitingQueue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12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0.39305431340749158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6.9825204530481425E-2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4.4364818370329934E-2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0.26379051411540999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0.492701223784278</v>
      </c>
      <c r="U158" s="5">
        <f>IF((ContinuousStatsTable[[#This Row],[RepsRequested]]&gt;1),ContinuousStatsTable[[#This Row],[HalfWidth]],ContinuousStatsTable[[#This Row],[BatchMeansHalfWidth]])</f>
        <v>4.4364818370329934E-2</v>
      </c>
    </row>
    <row r="159" spans="1:21" x14ac:dyDescent="0.25">
      <c r="A159" t="s">
        <v>68</v>
      </c>
      <c r="B159" t="s">
        <v>70</v>
      </c>
      <c r="C159">
        <v>12</v>
      </c>
      <c r="D159" t="s">
        <v>88</v>
      </c>
      <c r="E159" t="s">
        <v>96</v>
      </c>
      <c r="F159" t="s">
        <v>87</v>
      </c>
      <c r="G159">
        <v>0.85623463950978496</v>
      </c>
      <c r="H159">
        <v>0.32030431303336598</v>
      </c>
      <c r="I159">
        <v>0</v>
      </c>
      <c r="J159">
        <v>7</v>
      </c>
      <c r="K159">
        <v>0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Tener ArticulsoDetener Carros.QueueNumber WaitingQueue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12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1.4357426212197553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0.67481269179007586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0.42875552898940772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0.85623463950978496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3.3096083955109501</v>
      </c>
      <c r="U159" s="5">
        <f>IF((ContinuousStatsTable[[#This Row],[RepsRequested]]&gt;1),ContinuousStatsTable[[#This Row],[HalfWidth]],ContinuousStatsTable[[#This Row],[BatchMeansHalfWidth]])</f>
        <v>0.42875552898940772</v>
      </c>
    </row>
    <row r="160" spans="1:21" x14ac:dyDescent="0.25">
      <c r="A160" t="s">
        <v>68</v>
      </c>
      <c r="B160" t="s">
        <v>70</v>
      </c>
      <c r="C160">
        <v>12</v>
      </c>
      <c r="D160" t="s">
        <v>89</v>
      </c>
      <c r="E160" t="s">
        <v>96</v>
      </c>
      <c r="F160" t="s">
        <v>87</v>
      </c>
      <c r="G160">
        <v>1.9962301524856401</v>
      </c>
      <c r="H160">
        <v>2E+20</v>
      </c>
      <c r="I160">
        <v>0</v>
      </c>
      <c r="J160">
        <v>9</v>
      </c>
      <c r="K160">
        <v>1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Tener ArticulsoNoOrganizar.QueueNumber WaitingQueue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12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1.8367908590220434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0.88849214816383859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0.56452097837458637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0.36210426146159602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4.0028313893775698</v>
      </c>
      <c r="U160" s="5">
        <f>IF((ContinuousStatsTable[[#This Row],[RepsRequested]]&gt;1),ContinuousStatsTable[[#This Row],[HalfWidth]],ContinuousStatsTable[[#This Row],[BatchMeansHalfWidth]])</f>
        <v>0.56452097837458637</v>
      </c>
    </row>
    <row r="161" spans="1:21" x14ac:dyDescent="0.25">
      <c r="A161" t="s">
        <v>68</v>
      </c>
      <c r="B161" t="s">
        <v>70</v>
      </c>
      <c r="C161">
        <v>12</v>
      </c>
      <c r="D161" t="s">
        <v>91</v>
      </c>
      <c r="E161" t="s">
        <v>96</v>
      </c>
      <c r="F161" t="s">
        <v>87</v>
      </c>
      <c r="G161">
        <v>5.7902269919563603</v>
      </c>
      <c r="H161">
        <v>3E+20</v>
      </c>
      <c r="I161">
        <v>0</v>
      </c>
      <c r="J161">
        <v>24</v>
      </c>
      <c r="K161">
        <v>5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Tener ArticulsoOrganizar.QueueNumber WaitingQueue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12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6.9452151315179975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1.3904671864747102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0.88346070151395062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4.6102617725055204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8.6997606838150698</v>
      </c>
      <c r="U161" s="5">
        <f>IF((ContinuousStatsTable[[#This Row],[RepsRequested]]&gt;1),ContinuousStatsTable[[#This Row],[HalfWidth]],ContinuousStatsTable[[#This Row],[BatchMeansHalfWidth]])</f>
        <v>0.88346070151395062</v>
      </c>
    </row>
    <row r="162" spans="1:21" x14ac:dyDescent="0.25">
      <c r="A162" t="s">
        <v>68</v>
      </c>
      <c r="B162" t="s">
        <v>70</v>
      </c>
      <c r="C162">
        <v>12</v>
      </c>
      <c r="D162" t="s">
        <v>93</v>
      </c>
      <c r="E162" t="s">
        <v>96</v>
      </c>
      <c r="F162" t="s">
        <v>87</v>
      </c>
      <c r="G162">
        <v>0.51879366774957603</v>
      </c>
      <c r="H162">
        <v>5.8243997662991702E-2</v>
      </c>
      <c r="I162">
        <v>0</v>
      </c>
      <c r="J162">
        <v>2</v>
      </c>
      <c r="K162">
        <v>0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Tener ArticulsoSacar Articulos.QueueNumber WaitingQueue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12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0.54907359753581719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2.8061047329126759E-2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1.7829138867677546E-2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0.50893371098476703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0.58706685204911901</v>
      </c>
      <c r="U162" s="5">
        <f>IF((ContinuousStatsTable[[#This Row],[RepsRequested]]&gt;1),ContinuousStatsTable[[#This Row],[HalfWidth]],ContinuousStatsTable[[#This Row],[BatchMeansHalfWidth]])</f>
        <v>1.7829138867677546E-2</v>
      </c>
    </row>
    <row r="163" spans="1:21" x14ac:dyDescent="0.25">
      <c r="A163" t="s">
        <v>68</v>
      </c>
      <c r="B163" t="s">
        <v>70</v>
      </c>
      <c r="C163">
        <v>12</v>
      </c>
      <c r="D163" t="s">
        <v>94</v>
      </c>
      <c r="E163" t="s">
        <v>96</v>
      </c>
      <c r="F163" t="s">
        <v>87</v>
      </c>
      <c r="G163">
        <v>0.52636844359226798</v>
      </c>
      <c r="H163">
        <v>4.9432875170770302E-2</v>
      </c>
      <c r="I163">
        <v>0</v>
      </c>
      <c r="J163">
        <v>3</v>
      </c>
      <c r="K163">
        <v>0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Tener ArticulsoTenerArticulos.QueueNumber WaitingQueue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12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0.55155869724816453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2.2857263166408359E-2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1.4522812151275023E-2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0.51570313450412797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0.58732155692135601</v>
      </c>
      <c r="U163" s="5">
        <f>IF((ContinuousStatsTable[[#This Row],[RepsRequested]]&gt;1),ContinuousStatsTable[[#This Row],[HalfWidth]],ContinuousStatsTable[[#This Row],[BatchMeansHalfWidth]])</f>
        <v>1.4522812151275023E-2</v>
      </c>
    </row>
    <row r="164" spans="1:21" x14ac:dyDescent="0.25">
      <c r="A164" t="s">
        <v>68</v>
      </c>
      <c r="B164" t="s">
        <v>70</v>
      </c>
      <c r="C164">
        <v>12</v>
      </c>
      <c r="D164" t="s">
        <v>97</v>
      </c>
      <c r="E164" t="s">
        <v>98</v>
      </c>
      <c r="F164" t="s">
        <v>99</v>
      </c>
      <c r="G164">
        <v>0.91035373034135203</v>
      </c>
      <c r="H164">
        <v>2E+20</v>
      </c>
      <c r="I164">
        <v>0</v>
      </c>
      <c r="J164">
        <v>1</v>
      </c>
      <c r="K164">
        <v>1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Tener ArticulsorOrganizdorInstantaneous UtilizationResource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12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0.87408888428798603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0.989515454392208</v>
      </c>
      <c r="U164" s="5">
        <f>IF((ContinuousStatsTable[[#This Row],[RepsRequested]]&gt;1),ContinuousStatsTable[[#This Row],[HalfWidth]],ContinuousStatsTable[[#This Row],[BatchMeansHalfWidth]])</f>
        <v>1.9112222555672933E-2</v>
      </c>
    </row>
    <row r="165" spans="1:21" x14ac:dyDescent="0.25">
      <c r="A165" t="s">
        <v>68</v>
      </c>
      <c r="B165" t="s">
        <v>70</v>
      </c>
      <c r="C165">
        <v>12</v>
      </c>
      <c r="D165" t="s">
        <v>97</v>
      </c>
      <c r="E165" t="s">
        <v>100</v>
      </c>
      <c r="F165" t="s">
        <v>99</v>
      </c>
      <c r="G165">
        <v>0.91035373034135203</v>
      </c>
      <c r="H165">
        <v>2E+20</v>
      </c>
      <c r="I165">
        <v>0</v>
      </c>
      <c r="J165">
        <v>1</v>
      </c>
      <c r="K165">
        <v>1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Tener ArticulsorOrganizdorNumber BusyResource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12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0.93693413710063267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3.0080475881637609E-2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1.9112222555672933E-2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0.87408888428798603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0.989515454392208</v>
      </c>
      <c r="U165" s="5">
        <f>IF((ContinuousStatsTable[[#This Row],[RepsRequested]]&gt;1),ContinuousStatsTable[[#This Row],[HalfWidth]],ContinuousStatsTable[[#This Row],[BatchMeansHalfWidth]])</f>
        <v>1.9112222555672933E-2</v>
      </c>
    </row>
    <row r="166" spans="1:21" x14ac:dyDescent="0.25">
      <c r="A166" t="s">
        <v>68</v>
      </c>
      <c r="B166" t="s">
        <v>70</v>
      </c>
      <c r="C166">
        <v>12</v>
      </c>
      <c r="D166" t="s">
        <v>97</v>
      </c>
      <c r="E166" t="s">
        <v>101</v>
      </c>
      <c r="F166" t="s">
        <v>99</v>
      </c>
      <c r="G166">
        <v>1</v>
      </c>
      <c r="H166">
        <v>2E+20</v>
      </c>
      <c r="I166">
        <v>1</v>
      </c>
      <c r="J166">
        <v>1</v>
      </c>
      <c r="K166">
        <v>1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Tener ArticulsorOrganizdorNumber ScheduledResource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12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1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1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1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25">
      <c r="A167" t="s">
        <v>68</v>
      </c>
      <c r="B167" t="s">
        <v>70</v>
      </c>
      <c r="C167">
        <v>12</v>
      </c>
      <c r="D167" t="s">
        <v>102</v>
      </c>
      <c r="E167" t="s">
        <v>98</v>
      </c>
      <c r="F167" t="s">
        <v>99</v>
      </c>
      <c r="G167">
        <v>0.72698196321138198</v>
      </c>
      <c r="H167">
        <v>2E+20</v>
      </c>
      <c r="I167">
        <v>0</v>
      </c>
      <c r="J167">
        <v>1</v>
      </c>
      <c r="K167">
        <v>0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Tener ArticulsorSacadorInstantaneous UtilizationResource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12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0.70281682687036895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0.79676815469245998</v>
      </c>
      <c r="U167" s="5">
        <f>IF((ContinuousStatsTable[[#This Row],[RepsRequested]]&gt;1),ContinuousStatsTable[[#This Row],[HalfWidth]],ContinuousStatsTable[[#This Row],[BatchMeansHalfWidth]])</f>
        <v>1.9690534563658681E-2</v>
      </c>
    </row>
    <row r="168" spans="1:21" x14ac:dyDescent="0.25">
      <c r="A168" t="s">
        <v>68</v>
      </c>
      <c r="B168" t="s">
        <v>70</v>
      </c>
      <c r="C168">
        <v>12</v>
      </c>
      <c r="D168" t="s">
        <v>102</v>
      </c>
      <c r="E168" t="s">
        <v>100</v>
      </c>
      <c r="F168" t="s">
        <v>99</v>
      </c>
      <c r="G168">
        <v>0.72698196321138198</v>
      </c>
      <c r="H168">
        <v>2E+20</v>
      </c>
      <c r="I168">
        <v>0</v>
      </c>
      <c r="J168">
        <v>1</v>
      </c>
      <c r="K168">
        <v>0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Tener ArticulsorSacadorNumber BusyResource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12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0.75499127770842467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3.0990673550046054E-2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1.9690534563658681E-2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0.70281682687036895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0.79676815469245998</v>
      </c>
      <c r="U168" s="5">
        <f>IF((ContinuousStatsTable[[#This Row],[RepsRequested]]&gt;1),ContinuousStatsTable[[#This Row],[HalfWidth]],ContinuousStatsTable[[#This Row],[BatchMeansHalfWidth]])</f>
        <v>1.9690534563658681E-2</v>
      </c>
    </row>
    <row r="169" spans="1:21" x14ac:dyDescent="0.25">
      <c r="A169" t="s">
        <v>68</v>
      </c>
      <c r="B169" t="s">
        <v>70</v>
      </c>
      <c r="C169">
        <v>12</v>
      </c>
      <c r="D169" t="s">
        <v>102</v>
      </c>
      <c r="E169" t="s">
        <v>101</v>
      </c>
      <c r="F169" t="s">
        <v>99</v>
      </c>
      <c r="G169">
        <v>1</v>
      </c>
      <c r="H169">
        <v>2E+20</v>
      </c>
      <c r="I169">
        <v>1</v>
      </c>
      <c r="J169">
        <v>1</v>
      </c>
      <c r="K169">
        <v>1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Tener ArticulsorSacadorNumber ScheduledResource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12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1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1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1</v>
      </c>
      <c r="U169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169">
    <cfRule type="expression" dxfId="11" priority="9">
      <formula>H2=200000000000000000000</formula>
    </cfRule>
  </conditionalFormatting>
  <conditionalFormatting sqref="H2:H169">
    <cfRule type="expression" dxfId="10" priority="7">
      <formula>H2=300000000000000000000</formula>
    </cfRule>
  </conditionalFormatting>
  <conditionalFormatting sqref="M2:U169">
    <cfRule type="expression" dxfId="9" priority="5">
      <formula>MOD(ROW(),2)=0</formula>
    </cfRule>
  </conditionalFormatting>
  <conditionalFormatting sqref="U2:U169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69 U2:U169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7.5703125" bestFit="1" customWidth="1"/>
    <col min="6" max="6" width="9.28515625" bestFit="1" customWidth="1"/>
    <col min="7" max="7" width="17" bestFit="1" customWidth="1"/>
    <col min="8" max="8" width="14.28515625" bestFit="1" customWidth="1"/>
    <col min="9" max="9" width="17.28515625" bestFit="1" customWidth="1"/>
    <col min="10" max="10" width="10.5703125" bestFit="1" customWidth="1"/>
    <col min="11" max="11" width="20" bestFit="1" customWidth="1"/>
    <col min="12" max="12" width="20.5703125" bestFit="1" customWidth="1"/>
    <col min="13" max="13" width="12.42578125" bestFit="1" customWidth="1"/>
    <col min="14" max="14" width="12" bestFit="1" customWidth="1"/>
    <col min="15" max="15" width="12.28515625" bestFit="1" customWidth="1"/>
  </cols>
  <sheetData>
    <row r="1" spans="1:15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53"/>
  <sheetViews>
    <sheetView workbookViewId="0">
      <selection activeCell="A2" sqref="A2:H31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31.140625" bestFit="1" customWidth="1"/>
    <col min="5" max="5" width="20.140625" bestFit="1" customWidth="1"/>
    <col min="6" max="6" width="9.28515625" bestFit="1" customWidth="1"/>
    <col min="7" max="7" width="17" bestFit="1" customWidth="1"/>
    <col min="8" max="8" width="12" bestFit="1" customWidth="1"/>
    <col min="9" max="9" width="73" bestFit="1" customWidth="1"/>
    <col min="10" max="10" width="17.28515625" bestFit="1" customWidth="1"/>
    <col min="11" max="11" width="12" bestFit="1" customWidth="1"/>
    <col min="12" max="12" width="20" bestFit="1" customWidth="1"/>
    <col min="13" max="13" width="20.5703125" bestFit="1" customWidth="1"/>
    <col min="14" max="14" width="12.42578125" bestFit="1" customWidth="1"/>
    <col min="15" max="15" width="12" bestFit="1" customWidth="1"/>
    <col min="16" max="16" width="12.28515625" bestFit="1" customWidth="1"/>
  </cols>
  <sheetData>
    <row r="1" spans="1:16" x14ac:dyDescent="0.2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5">
      <c r="A2" t="s">
        <v>68</v>
      </c>
      <c r="B2" t="s">
        <v>70</v>
      </c>
      <c r="C2">
        <v>1</v>
      </c>
      <c r="D2" t="s">
        <v>103</v>
      </c>
      <c r="E2" t="s">
        <v>104</v>
      </c>
      <c r="F2" t="s">
        <v>73</v>
      </c>
      <c r="G2">
        <v>798</v>
      </c>
      <c r="H2">
        <v>0</v>
      </c>
      <c r="I2" t="str">
        <f>OutputTable[[#This Row],[ProjectName]]&amp;OutputTable[[#This Row],[Name]]&amp;OutputTable[[#This Row],[Type]]&amp;OutputTable[[#This Row],[Source]]</f>
        <v>Tener ArticulsoArticulos.NumberInNumber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12</v>
      </c>
      <c r="K2" cm="1">
        <f t="array" ref="K2">IFERROR(AVERAGE(IF((OutputTable[GroupByKey]=OutputTable[[#This Row],[GroupByKey]]),(OutputTable[GroupByKey]=OutputTable[[#This Row],[GroupByKey]])*OutputTable[RecordedValue])),0)</f>
        <v>796.41666666666663</v>
      </c>
      <c r="L2" cm="1">
        <f t="array" ref="L2">IFERROR(_xlfn.STDEV.S(IF((OutputTable[GroupByKey]=OutputTable[[#This Row],[GroupByKey]]),(OutputTable[GroupByKey]=OutputTable[[#This Row],[GroupByKey]])*OutputTable[RecordedValue])),0)</f>
        <v>34.731328098924628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2" cm="1">
        <f t="array" ref="O2">MIN(IF((OutputTable[GroupByKey]=OutputTable[[#This Row],[GroupByKey]]),(OutputTable[GroupByKey]=OutputTable[[#This Row],[GroupByKey]])*OutputTable[RecordedValue]))</f>
        <v>737</v>
      </c>
      <c r="P2" cm="1">
        <f t="array" ref="P2">MAX(IF((OutputTable[GroupByKey]=OutputTable[[#This Row],[GroupByKey]]),(OutputTable[GroupByKey]=OutputTable[[#This Row],[GroupByKey]])*OutputTable[RecordedValue]))</f>
        <v>844</v>
      </c>
    </row>
    <row r="3" spans="1:16" x14ac:dyDescent="0.25">
      <c r="A3" t="s">
        <v>68</v>
      </c>
      <c r="B3" t="s">
        <v>70</v>
      </c>
      <c r="C3">
        <v>1</v>
      </c>
      <c r="D3" t="s">
        <v>105</v>
      </c>
      <c r="E3" t="s">
        <v>106</v>
      </c>
      <c r="F3" t="s">
        <v>73</v>
      </c>
      <c r="G3">
        <v>792</v>
      </c>
      <c r="H3">
        <v>0</v>
      </c>
      <c r="I3" t="str">
        <f>OutputTable[[#This Row],[ProjectName]]&amp;OutputTable[[#This Row],[Name]]&amp;OutputTable[[#This Row],[Type]]&amp;OutputTable[[#This Row],[Source]]</f>
        <v>Tener ArticulsoArticulos.NumberOutNumber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12</v>
      </c>
      <c r="K3" cm="1">
        <f t="array" ref="K3">IFERROR(AVERAGE(IF((OutputTable[GroupByKey]=OutputTable[[#This Row],[GroupByKey]]),(OutputTable[GroupByKey]=OutputTable[[#This Row],[GroupByKey]])*OutputTable[RecordedValue])),0)</f>
        <v>783.16666666666663</v>
      </c>
      <c r="L3" cm="1">
        <f t="array" ref="L3">IFERROR(_xlfn.STDEV.S(IF((OutputTable[GroupByKey]=OutputTable[[#This Row],[GroupByKey]]),(OutputTable[GroupByKey]=OutputTable[[#This Row],[GroupByKey]])*OutputTable[RecordedValue])),0)</f>
        <v>31.541699191368682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20.040639553097002</v>
      </c>
      <c r="O3" cm="1">
        <f t="array" ref="O3">MIN(IF((OutputTable[GroupByKey]=OutputTable[[#This Row],[GroupByKey]]),(OutputTable[GroupByKey]=OutputTable[[#This Row],[GroupByKey]])*OutputTable[RecordedValue]))</f>
        <v>730</v>
      </c>
      <c r="P3" cm="1">
        <f t="array" ref="P3">MAX(IF((OutputTable[GroupByKey]=OutputTable[[#This Row],[GroupByKey]]),(OutputTable[GroupByKey]=OutputTable[[#This Row],[GroupByKey]])*OutputTable[RecordedValue]))</f>
        <v>826</v>
      </c>
    </row>
    <row r="4" spans="1:16" x14ac:dyDescent="0.25">
      <c r="A4" t="s">
        <v>68</v>
      </c>
      <c r="B4" t="s">
        <v>70</v>
      </c>
      <c r="C4">
        <v>1</v>
      </c>
      <c r="D4" t="s">
        <v>107</v>
      </c>
      <c r="E4" t="s">
        <v>104</v>
      </c>
      <c r="F4" t="s">
        <v>73</v>
      </c>
      <c r="G4">
        <v>1151</v>
      </c>
      <c r="H4">
        <v>0</v>
      </c>
      <c r="I4" t="str">
        <f>OutputTable[[#This Row],[ProjectName]]&amp;OutputTable[[#This Row],[Name]]&amp;OutputTable[[#This Row],[Type]]&amp;OutputTable[[#This Row],[Source]]</f>
        <v>Tener ArticulsoCarros.NumberInNumber InEntity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12</v>
      </c>
      <c r="K4" cm="1">
        <f t="array" ref="K4">IFERROR(AVERAGE(IF((OutputTable[GroupByKey]=OutputTable[[#This Row],[GroupByKey]]),(OutputTable[GroupByKey]=OutputTable[[#This Row],[GroupByKey]])*OutputTable[RecordedValue])),0)</f>
        <v>1145.9166666666667</v>
      </c>
      <c r="L4" cm="1">
        <f t="array" ref="L4">IFERROR(_xlfn.STDEV.S(IF((OutputTable[GroupByKey]=OutputTable[[#This Row],[GroupByKey]]),(OutputTable[GroupByKey]=OutputTable[[#This Row],[GroupByKey]])*OutputTable[RecordedValue])),0)</f>
        <v>49.73101891600696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31.597581939297463</v>
      </c>
      <c r="O4" cm="1">
        <f t="array" ref="O4">MIN(IF((OutputTable[GroupByKey]=OutputTable[[#This Row],[GroupByKey]]),(OutputTable[GroupByKey]=OutputTable[[#This Row],[GroupByKey]])*OutputTable[RecordedValue]))</f>
        <v>1059</v>
      </c>
      <c r="P4" cm="1">
        <f t="array" ref="P4">MAX(IF((OutputTable[GroupByKey]=OutputTable[[#This Row],[GroupByKey]]),(OutputTable[GroupByKey]=OutputTable[[#This Row],[GroupByKey]])*OutputTable[RecordedValue]))</f>
        <v>1210</v>
      </c>
    </row>
    <row r="5" spans="1:16" x14ac:dyDescent="0.25">
      <c r="A5" t="s">
        <v>68</v>
      </c>
      <c r="B5" t="s">
        <v>70</v>
      </c>
      <c r="C5">
        <v>1</v>
      </c>
      <c r="D5" t="s">
        <v>108</v>
      </c>
      <c r="E5" t="s">
        <v>106</v>
      </c>
      <c r="F5" t="s">
        <v>73</v>
      </c>
      <c r="G5">
        <v>1149</v>
      </c>
      <c r="H5">
        <v>0</v>
      </c>
      <c r="I5" t="str">
        <f>OutputTable[[#This Row],[ProjectName]]&amp;OutputTable[[#This Row],[Name]]&amp;OutputTable[[#This Row],[Type]]&amp;OutputTable[[#This Row],[Source]]</f>
        <v>Tener ArticulsoCarros.NumberOutNumber OutEntity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12</v>
      </c>
      <c r="K5" cm="1">
        <f t="array" ref="K5">IFERROR(AVERAGE(IF((OutputTable[GroupByKey]=OutputTable[[#This Row],[GroupByKey]]),(OutputTable[GroupByKey]=OutputTable[[#This Row],[GroupByKey]])*OutputTable[RecordedValue])),0)</f>
        <v>1145.3333333333333</v>
      </c>
      <c r="L5" cm="1">
        <f t="array" ref="L5">IFERROR(_xlfn.STDEV.S(IF((OutputTable[GroupByKey]=OutputTable[[#This Row],[GroupByKey]]),(OutputTable[GroupByKey]=OutputTable[[#This Row],[GroupByKey]])*OutputTable[RecordedValue])),0)</f>
        <v>49.816633464104832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31.651978827953357</v>
      </c>
      <c r="O5" cm="1">
        <f t="array" ref="O5">MIN(IF((OutputTable[GroupByKey]=OutputTable[[#This Row],[GroupByKey]]),(OutputTable[GroupByKey]=OutputTable[[#This Row],[GroupByKey]])*OutputTable[RecordedValue]))</f>
        <v>1059</v>
      </c>
      <c r="P5" cm="1">
        <f t="array" ref="P5">MAX(IF((OutputTable[GroupByKey]=OutputTable[[#This Row],[GroupByKey]]),(OutputTable[GroupByKey]=OutputTable[[#This Row],[GroupByKey]])*OutputTable[RecordedValue]))</f>
        <v>1210</v>
      </c>
    </row>
    <row r="6" spans="1:16" x14ac:dyDescent="0.25">
      <c r="A6" t="s">
        <v>68</v>
      </c>
      <c r="B6" t="s">
        <v>70</v>
      </c>
      <c r="C6">
        <v>1</v>
      </c>
      <c r="D6" t="s">
        <v>109</v>
      </c>
      <c r="E6" t="s">
        <v>110</v>
      </c>
      <c r="F6" t="s">
        <v>82</v>
      </c>
      <c r="G6">
        <v>798.09438585157795</v>
      </c>
      <c r="H6">
        <v>0</v>
      </c>
      <c r="I6" t="str">
        <f>OutputTable[[#This Row],[ProjectName]]&amp;OutputTable[[#This Row],[Name]]&amp;OutputTable[[#This Row],[Type]]&amp;OutputTable[[#This Row],[Source]]</f>
        <v>Tener ArticulsoDesembalaje Accum VA TimeAccum VA TimeProcess</v>
      </c>
      <c r="J6" cm="1">
        <f t="array" ref="J6">MAX(IF((ProjectInfoTable[ProjectName]=OutputTable[[#This Row],[ProjectName]]),(ProjectInfoTable[ProjectName]=OutputTable[[#This Row],[ProjectName]])*ProjectInfoTable[NumberOfReplications]))</f>
        <v>12</v>
      </c>
      <c r="K6" cm="1">
        <f t="array" ref="K6">IFERROR(AVERAGE(IF((OutputTable[GroupByKey]=OutputTable[[#This Row],[GroupByKey]]),(OutputTable[GroupByKey]=OutputTable[[#This Row],[GroupByKey]])*OutputTable[RecordedValue])),0)</f>
        <v>783.216775239051</v>
      </c>
      <c r="L6" cm="1">
        <f t="array" ref="L6">IFERROR(_xlfn.STDEV.S(IF((OutputTable[GroupByKey]=OutputTable[[#This Row],[GroupByKey]]),(OutputTable[GroupByKey]=OutputTable[[#This Row],[GroupByKey]])*OutputTable[RecordedValue])),0)</f>
        <v>48.528923107513336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30.833806701313396</v>
      </c>
      <c r="O6" cm="1">
        <f t="array" ref="O6">MIN(IF((OutputTable[GroupByKey]=OutputTable[[#This Row],[GroupByKey]]),(OutputTable[GroupByKey]=OutputTable[[#This Row],[GroupByKey]])*OutputTable[RecordedValue]))</f>
        <v>678.52271145285295</v>
      </c>
      <c r="P6" cm="1">
        <f t="array" ref="P6">MAX(IF((OutputTable[GroupByKey]=OutputTable[[#This Row],[GroupByKey]]),(OutputTable[GroupByKey]=OutputTable[[#This Row],[GroupByKey]])*OutputTable[RecordedValue]))</f>
        <v>840.77730126549898</v>
      </c>
    </row>
    <row r="7" spans="1:16" x14ac:dyDescent="0.25">
      <c r="A7" t="s">
        <v>68</v>
      </c>
      <c r="B7" t="s">
        <v>70</v>
      </c>
      <c r="C7">
        <v>1</v>
      </c>
      <c r="D7" t="s">
        <v>111</v>
      </c>
      <c r="E7" t="s">
        <v>112</v>
      </c>
      <c r="F7" t="s">
        <v>82</v>
      </c>
      <c r="G7">
        <v>717.97971523477804</v>
      </c>
      <c r="H7">
        <v>0</v>
      </c>
      <c r="I7" t="str">
        <f>OutputTable[[#This Row],[ProjectName]]&amp;OutputTable[[#This Row],[Name]]&amp;OutputTable[[#This Row],[Type]]&amp;OutputTable[[#This Row],[Source]]</f>
        <v>Tener ArticulsoDesembalaje Accum Wait TimeAccum Wait TimeProcess</v>
      </c>
      <c r="J7" cm="1">
        <f t="array" ref="J7">MAX(IF((ProjectInfoTable[ProjectName]=OutputTable[[#This Row],[ProjectName]]),(ProjectInfoTable[ProjectName]=OutputTable[[#This Row],[ProjectName]])*ProjectInfoTable[NumberOfReplications]))</f>
        <v>12</v>
      </c>
      <c r="K7" cm="1">
        <f t="array" ref="K7">IFERROR(AVERAGE(IF((OutputTable[GroupByKey]=OutputTable[[#This Row],[GroupByKey]]),(OutputTable[GroupByKey]=OutputTable[[#This Row],[GroupByKey]])*OutputTable[RecordedValue])),0)</f>
        <v>811.48948897731191</v>
      </c>
      <c r="L7" cm="1">
        <f t="array" ref="L7">IFERROR(_xlfn.STDEV.S(IF((OutputTable[GroupByKey]=OutputTable[[#This Row],[GroupByKey]]),(OutputTable[GroupByKey]=OutputTable[[#This Row],[GroupByKey]])*OutputTable[RecordedValue])),0)</f>
        <v>143.72351593510379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91.317565381747087</v>
      </c>
      <c r="O7" cm="1">
        <f t="array" ref="O7">MIN(IF((OutputTable[GroupByKey]=OutputTable[[#This Row],[GroupByKey]]),(OutputTable[GroupByKey]=OutputTable[[#This Row],[GroupByKey]])*OutputTable[RecordedValue]))</f>
        <v>546.46370972178704</v>
      </c>
      <c r="P7" cm="1">
        <f t="array" ref="P7">MAX(IF((OutputTable[GroupByKey]=OutputTable[[#This Row],[GroupByKey]]),(OutputTable[GroupByKey]=OutputTable[[#This Row],[GroupByKey]])*OutputTable[RecordedValue]))</f>
        <v>1012.863937084</v>
      </c>
    </row>
    <row r="8" spans="1:16" x14ac:dyDescent="0.25">
      <c r="A8" t="s">
        <v>68</v>
      </c>
      <c r="B8" t="s">
        <v>70</v>
      </c>
      <c r="C8">
        <v>1</v>
      </c>
      <c r="D8" t="s">
        <v>113</v>
      </c>
      <c r="E8" t="s">
        <v>104</v>
      </c>
      <c r="F8" t="s">
        <v>82</v>
      </c>
      <c r="G8">
        <v>67</v>
      </c>
      <c r="H8">
        <v>0</v>
      </c>
      <c r="I8" t="str">
        <f>OutputTable[[#This Row],[ProjectName]]&amp;OutputTable[[#This Row],[Name]]&amp;OutputTable[[#This Row],[Type]]&amp;OutputTable[[#This Row],[Source]]</f>
        <v>Tener ArticulsoDesembalaje Number InNumber InProcess</v>
      </c>
      <c r="J8" cm="1">
        <f t="array" ref="J8">MAX(IF((ProjectInfoTable[ProjectName]=OutputTable[[#This Row],[ProjectName]]),(ProjectInfoTable[ProjectName]=OutputTable[[#This Row],[ProjectName]])*ProjectInfoTable[NumberOfReplications]))</f>
        <v>12</v>
      </c>
      <c r="K8" cm="1">
        <f t="array" ref="K8">IFERROR(AVERAGE(IF((OutputTable[GroupByKey]=OutputTable[[#This Row],[GroupByKey]]),(OutputTable[GroupByKey]=OutputTable[[#This Row],[GroupByKey]])*OutputTable[RecordedValue])),0)</f>
        <v>66</v>
      </c>
      <c r="L8" cm="1">
        <f t="array" ref="L8">IFERROR(_xlfn.STDEV.S(IF((OutputTable[GroupByKey]=OutputTable[[#This Row],[GroupByKey]]),(OutputTable[GroupByKey]=OutputTable[[#This Row],[GroupByKey]])*OutputTable[RecordedValue])),0)</f>
        <v>4.1560470729681676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2.640626329283204</v>
      </c>
      <c r="O8" cm="1">
        <f t="array" ref="O8">MIN(IF((OutputTable[GroupByKey]=OutputTable[[#This Row],[GroupByKey]]),(OutputTable[GroupByKey]=OutputTable[[#This Row],[GroupByKey]])*OutputTable[RecordedValue]))</f>
        <v>59</v>
      </c>
      <c r="P8" cm="1">
        <f t="array" ref="P8">MAX(IF((OutputTable[GroupByKey]=OutputTable[[#This Row],[GroupByKey]]),(OutputTable[GroupByKey]=OutputTable[[#This Row],[GroupByKey]])*OutputTable[RecordedValue]))</f>
        <v>70</v>
      </c>
    </row>
    <row r="9" spans="1:16" x14ac:dyDescent="0.25">
      <c r="A9" t="s">
        <v>68</v>
      </c>
      <c r="B9" t="s">
        <v>70</v>
      </c>
      <c r="C9">
        <v>1</v>
      </c>
      <c r="D9" t="s">
        <v>114</v>
      </c>
      <c r="E9" t="s">
        <v>106</v>
      </c>
      <c r="F9" t="s">
        <v>82</v>
      </c>
      <c r="G9">
        <v>66</v>
      </c>
      <c r="H9">
        <v>0</v>
      </c>
      <c r="I9" t="str">
        <f>OutputTable[[#This Row],[ProjectName]]&amp;OutputTable[[#This Row],[Name]]&amp;OutputTable[[#This Row],[Type]]&amp;OutputTable[[#This Row],[Source]]</f>
        <v>Tener ArticulsoDesembalaje Number OutNumber OutProcess</v>
      </c>
      <c r="J9" cm="1">
        <f t="array" ref="J9">MAX(IF((ProjectInfoTable[ProjectName]=OutputTable[[#This Row],[ProjectName]]),(ProjectInfoTable[ProjectName]=OutputTable[[#This Row],[ProjectName]])*ProjectInfoTable[NumberOfReplications]))</f>
        <v>12</v>
      </c>
      <c r="K9" cm="1">
        <f t="array" ref="K9">IFERROR(AVERAGE(IF((OutputTable[GroupByKey]=OutputTable[[#This Row],[GroupByKey]]),(OutputTable[GroupByKey]=OutputTable[[#This Row],[GroupByKey]])*OutputTable[RecordedValue])),0)</f>
        <v>65.083333333333329</v>
      </c>
      <c r="L9" cm="1">
        <f t="array" ref="L9">IFERROR(_xlfn.STDEV.S(IF((OutputTable[GroupByKey]=OutputTable[[#This Row],[GroupByKey]]),(OutputTable[GroupByKey]=OutputTable[[#This Row],[GroupByKey]])*OutputTable[RecordedValue])),0)</f>
        <v>4.2310182168734691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2.6882607215451362</v>
      </c>
      <c r="O9" cm="1">
        <f t="array" ref="O9">MIN(IF((OutputTable[GroupByKey]=OutputTable[[#This Row],[GroupByKey]]),(OutputTable[GroupByKey]=OutputTable[[#This Row],[GroupByKey]])*OutputTable[RecordedValue]))</f>
        <v>58</v>
      </c>
      <c r="P9" cm="1">
        <f t="array" ref="P9">MAX(IF((OutputTable[GroupByKey]=OutputTable[[#This Row],[GroupByKey]]),(OutputTable[GroupByKey]=OutputTable[[#This Row],[GroupByKey]])*OutputTable[RecordedValue]))</f>
        <v>69</v>
      </c>
    </row>
    <row r="10" spans="1:16" x14ac:dyDescent="0.25">
      <c r="A10" t="s">
        <v>68</v>
      </c>
      <c r="B10" t="s">
        <v>70</v>
      </c>
      <c r="C10">
        <v>1</v>
      </c>
      <c r="D10" t="s">
        <v>115</v>
      </c>
      <c r="E10" t="s">
        <v>110</v>
      </c>
      <c r="F10" t="s">
        <v>82</v>
      </c>
      <c r="G10">
        <v>1178.95770869222</v>
      </c>
      <c r="H10">
        <v>0</v>
      </c>
      <c r="I10" t="str">
        <f>OutputTable[[#This Row],[ProjectName]]&amp;OutputTable[[#This Row],[Name]]&amp;OutputTable[[#This Row],[Type]]&amp;OutputTable[[#This Row],[Source]]</f>
        <v>Tener ArticulsoOrganizar Accum VA TimeAccum VA TimeProcess</v>
      </c>
      <c r="J10" cm="1">
        <f t="array" ref="J10">MAX(IF((ProjectInfoTable[ProjectName]=OutputTable[[#This Row],[ProjectName]]),(ProjectInfoTable[ProjectName]=OutputTable[[#This Row],[ProjectName]])*ProjectInfoTable[NumberOfReplications]))</f>
        <v>12</v>
      </c>
      <c r="K10" cm="1">
        <f t="array" ref="K10">IFERROR(AVERAGE(IF((OutputTable[GroupByKey]=OutputTable[[#This Row],[GroupByKey]]),(OutputTable[GroupByKey]=OutputTable[[#This Row],[GroupByKey]])*OutputTable[RecordedValue])),0)</f>
        <v>1181.2622276627176</v>
      </c>
      <c r="L10" cm="1">
        <f t="array" ref="L10">IFERROR(_xlfn.STDEV.S(IF((OutputTable[GroupByKey]=OutputTable[[#This Row],[GroupByKey]]),(OutputTable[GroupByKey]=OutputTable[[#This Row],[GroupByKey]])*OutputTable[RecordedValue])),0)</f>
        <v>50.899735842094827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32.340149247203939</v>
      </c>
      <c r="O10" cm="1">
        <f t="array" ref="O10">MIN(IF((OutputTable[GroupByKey]=OutputTable[[#This Row],[GroupByKey]]),(OutputTable[GroupByKey]=OutputTable[[#This Row],[GroupByKey]])*OutputTable[RecordedValue]))</f>
        <v>1106.0350367697699</v>
      </c>
      <c r="P10" cm="1">
        <f t="array" ref="P10">MAX(IF((OutputTable[GroupByKey]=OutputTable[[#This Row],[GroupByKey]]),(OutputTable[GroupByKey]=OutputTable[[#This Row],[GroupByKey]])*OutputTable[RecordedValue]))</f>
        <v>1255.97830087074</v>
      </c>
    </row>
    <row r="11" spans="1:16" x14ac:dyDescent="0.25">
      <c r="A11" t="s">
        <v>68</v>
      </c>
      <c r="B11" t="s">
        <v>70</v>
      </c>
      <c r="C11">
        <v>1</v>
      </c>
      <c r="D11" t="s">
        <v>116</v>
      </c>
      <c r="E11" t="s">
        <v>112</v>
      </c>
      <c r="F11" t="s">
        <v>82</v>
      </c>
      <c r="G11">
        <v>12381.802914960501</v>
      </c>
      <c r="H11">
        <v>0</v>
      </c>
      <c r="I11" t="str">
        <f>OutputTable[[#This Row],[ProjectName]]&amp;OutputTable[[#This Row],[Name]]&amp;OutputTable[[#This Row],[Type]]&amp;OutputTable[[#This Row],[Source]]</f>
        <v>Tener ArticulsoOrganizar Accum Wait TimeAccum Wait TimeProcess</v>
      </c>
      <c r="J11" cm="1">
        <f t="array" ref="J11">MAX(IF((ProjectInfoTable[ProjectName]=OutputTable[[#This Row],[ProjectName]]),(ProjectInfoTable[ProjectName]=OutputTable[[#This Row],[ProjectName]])*ProjectInfoTable[NumberOfReplications]))</f>
        <v>12</v>
      </c>
      <c r="K11" cm="1">
        <f t="array" ref="K11">IFERROR(AVERAGE(IF((OutputTable[GroupByKey]=OutputTable[[#This Row],[GroupByKey]]),(OutputTable[GroupByKey]=OutputTable[[#This Row],[GroupByKey]])*OutputTable[RecordedValue])),0)</f>
        <v>14481.366678807759</v>
      </c>
      <c r="L11" cm="1">
        <f t="array" ref="L11">IFERROR(_xlfn.STDEV.S(IF((OutputTable[GroupByKey]=OutputTable[[#This Row],[GroupByKey]]),(OutputTable[GroupByKey]=OutputTable[[#This Row],[GroupByKey]])*OutputTable[RecordedValue])),0)</f>
        <v>2869.9645631781104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1823.4884871564914</v>
      </c>
      <c r="O11" cm="1">
        <f t="array" ref="O11">MIN(IF((OutputTable[GroupByKey]=OutputTable[[#This Row],[GroupByKey]]),(OutputTable[GroupByKey]=OutputTable[[#This Row],[GroupByKey]])*OutputTable[RecordedValue]))</f>
        <v>9643.84605851171</v>
      </c>
      <c r="P11" cm="1">
        <f t="array" ref="P11">MAX(IF((OutputTable[GroupByKey]=OutputTable[[#This Row],[GroupByKey]]),(OutputTable[GroupByKey]=OutputTable[[#This Row],[GroupByKey]])*OutputTable[RecordedValue]))</f>
        <v>18159.7018308675</v>
      </c>
    </row>
    <row r="12" spans="1:16" x14ac:dyDescent="0.25">
      <c r="A12" t="s">
        <v>68</v>
      </c>
      <c r="B12" t="s">
        <v>70</v>
      </c>
      <c r="C12">
        <v>1</v>
      </c>
      <c r="D12" t="s">
        <v>117</v>
      </c>
      <c r="E12" t="s">
        <v>104</v>
      </c>
      <c r="F12" t="s">
        <v>82</v>
      </c>
      <c r="G12">
        <v>796</v>
      </c>
      <c r="H12">
        <v>0</v>
      </c>
      <c r="I12" t="str">
        <f>OutputTable[[#This Row],[ProjectName]]&amp;OutputTable[[#This Row],[Name]]&amp;OutputTable[[#This Row],[Type]]&amp;OutputTable[[#This Row],[Source]]</f>
        <v>Tener ArticulsoOrganizar Number InNumber InProcess</v>
      </c>
      <c r="J12" cm="1">
        <f t="array" ref="J12">MAX(IF((ProjectInfoTable[ProjectName]=OutputTable[[#This Row],[ProjectName]]),(ProjectInfoTable[ProjectName]=OutputTable[[#This Row],[ProjectName]])*ProjectInfoTable[NumberOfReplications]))</f>
        <v>12</v>
      </c>
      <c r="K12" cm="1">
        <f t="array" ref="K12">IFERROR(AVERAGE(IF((OutputTable[GroupByKey]=OutputTable[[#This Row],[GroupByKey]]),(OutputTable[GroupByKey]=OutputTable[[#This Row],[GroupByKey]])*OutputTable[RecordedValue])),0)</f>
        <v>794.91666666666663</v>
      </c>
      <c r="L12" cm="1">
        <f t="array" ref="L12">IFERROR(_xlfn.STDEV.S(IF((OutputTable[GroupByKey]=OutputTable[[#This Row],[GroupByKey]]),(OutputTable[GroupByKey]=OutputTable[[#This Row],[GroupByKey]])*OutputTable[RecordedValue])),0)</f>
        <v>34.394656914154915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21.853322409391229</v>
      </c>
      <c r="O12" cm="1">
        <f t="array" ref="O12">MIN(IF((OutputTable[GroupByKey]=OutputTable[[#This Row],[GroupByKey]]),(OutputTable[GroupByKey]=OutputTable[[#This Row],[GroupByKey]])*OutputTable[RecordedValue]))</f>
        <v>737</v>
      </c>
      <c r="P12" cm="1">
        <f t="array" ref="P12">MAX(IF((OutputTable[GroupByKey]=OutputTable[[#This Row],[GroupByKey]]),(OutputTable[GroupByKey]=OutputTable[[#This Row],[GroupByKey]])*OutputTable[RecordedValue]))</f>
        <v>841</v>
      </c>
    </row>
    <row r="13" spans="1:16" x14ac:dyDescent="0.25">
      <c r="A13" t="s">
        <v>68</v>
      </c>
      <c r="B13" t="s">
        <v>70</v>
      </c>
      <c r="C13">
        <v>1</v>
      </c>
      <c r="D13" t="s">
        <v>118</v>
      </c>
      <c r="E13" t="s">
        <v>106</v>
      </c>
      <c r="F13" t="s">
        <v>82</v>
      </c>
      <c r="G13">
        <v>793</v>
      </c>
      <c r="H13">
        <v>0</v>
      </c>
      <c r="I13" t="str">
        <f>OutputTable[[#This Row],[ProjectName]]&amp;OutputTable[[#This Row],[Name]]&amp;OutputTable[[#This Row],[Type]]&amp;OutputTable[[#This Row],[Source]]</f>
        <v>Tener ArticulsoOrganizar Number OutNumber OutProcess</v>
      </c>
      <c r="J13" cm="1">
        <f t="array" ref="J13">MAX(IF((ProjectInfoTable[ProjectName]=OutputTable[[#This Row],[ProjectName]]),(ProjectInfoTable[ProjectName]=OutputTable[[#This Row],[ProjectName]])*ProjectInfoTable[NumberOfReplications]))</f>
        <v>12</v>
      </c>
      <c r="K13" cm="1">
        <f t="array" ref="K13">IFERROR(AVERAGE(IF((OutputTable[GroupByKey]=OutputTable[[#This Row],[GroupByKey]]),(OutputTable[GroupByKey]=OutputTable[[#This Row],[GroupByKey]])*OutputTable[RecordedValue])),0)</f>
        <v>786</v>
      </c>
      <c r="L13" cm="1">
        <f t="array" ref="L13">IFERROR(_xlfn.STDEV.S(IF((OutputTable[GroupByKey]=OutputTable[[#This Row],[GroupByKey]]),(OutputTable[GroupByKey]=OutputTable[[#This Row],[GroupByKey]])*OutputTable[RecordedValue])),0)</f>
        <v>32.741411087489801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20.80290012542233</v>
      </c>
      <c r="O13" cm="1">
        <f t="array" ref="O13">MIN(IF((OutputTable[GroupByKey]=OutputTable[[#This Row],[GroupByKey]]),(OutputTable[GroupByKey]=OutputTable[[#This Row],[GroupByKey]])*OutputTable[RecordedValue]))</f>
        <v>732</v>
      </c>
      <c r="P13" cm="1">
        <f t="array" ref="P13">MAX(IF((OutputTable[GroupByKey]=OutputTable[[#This Row],[GroupByKey]]),(OutputTable[GroupByKey]=OutputTable[[#This Row],[GroupByKey]])*OutputTable[RecordedValue]))</f>
        <v>829</v>
      </c>
    </row>
    <row r="14" spans="1:16" x14ac:dyDescent="0.25">
      <c r="A14" t="s">
        <v>68</v>
      </c>
      <c r="B14" t="s">
        <v>70</v>
      </c>
      <c r="C14">
        <v>1</v>
      </c>
      <c r="D14" t="s">
        <v>119</v>
      </c>
      <c r="E14" t="s">
        <v>110</v>
      </c>
      <c r="F14" t="s">
        <v>82</v>
      </c>
      <c r="G14">
        <v>1569.4649768361</v>
      </c>
      <c r="H14">
        <v>0</v>
      </c>
      <c r="I14" t="str">
        <f>OutputTable[[#This Row],[ProjectName]]&amp;OutputTable[[#This Row],[Name]]&amp;OutputTable[[#This Row],[Type]]&amp;OutputTable[[#This Row],[Source]]</f>
        <v>Tener ArticulsoSacar Articulos Accum VA TimeAccum VA TimeProcess</v>
      </c>
      <c r="J14" cm="1">
        <f t="array" ref="J14">MAX(IF((ProjectInfoTable[ProjectName]=OutputTable[[#This Row],[ProjectName]]),(ProjectInfoTable[ProjectName]=OutputTable[[#This Row],[ProjectName]])*ProjectInfoTable[NumberOfReplications]))</f>
        <v>12</v>
      </c>
      <c r="K14" cm="1">
        <f t="array" ref="K14">IFERROR(AVERAGE(IF((OutputTable[GroupByKey]=OutputTable[[#This Row],[GroupByKey]]),(OutputTable[GroupByKey]=OutputTable[[#This Row],[GroupByKey]])*OutputTable[RecordedValue])),0)</f>
        <v>1584.7600747574054</v>
      </c>
      <c r="L14" cm="1">
        <f t="array" ref="L14">IFERROR(_xlfn.STDEV.S(IF((OutputTable[GroupByKey]=OutputTable[[#This Row],[GroupByKey]]),(OutputTable[GroupByKey]=OutputTable[[#This Row],[GroupByKey]])*OutputTable[RecordedValue])),0)</f>
        <v>65.199632506816158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41.425870119928376</v>
      </c>
      <c r="O14" cm="1">
        <f t="array" ref="O14">MIN(IF((OutputTable[GroupByKey]=OutputTable[[#This Row],[GroupByKey]]),(OutputTable[GroupByKey]=OutputTable[[#This Row],[GroupByKey]])*OutputTable[RecordedValue]))</f>
        <v>1473.78349566985</v>
      </c>
      <c r="P14" cm="1">
        <f t="array" ref="P14">MAX(IF((OutputTable[GroupByKey]=OutputTable[[#This Row],[GroupByKey]]),(OutputTable[GroupByKey]=OutputTable[[#This Row],[GroupByKey]])*OutputTable[RecordedValue]))</f>
        <v>1673.21312485417</v>
      </c>
    </row>
    <row r="15" spans="1:16" x14ac:dyDescent="0.25">
      <c r="A15" t="s">
        <v>68</v>
      </c>
      <c r="B15" t="s">
        <v>70</v>
      </c>
      <c r="C15">
        <v>1</v>
      </c>
      <c r="D15" t="s">
        <v>120</v>
      </c>
      <c r="E15" t="s">
        <v>112</v>
      </c>
      <c r="F15" t="s">
        <v>82</v>
      </c>
      <c r="G15">
        <v>1143.05453242458</v>
      </c>
      <c r="H15">
        <v>0</v>
      </c>
      <c r="I15" t="str">
        <f>OutputTable[[#This Row],[ProjectName]]&amp;OutputTable[[#This Row],[Name]]&amp;OutputTable[[#This Row],[Type]]&amp;OutputTable[[#This Row],[Source]]</f>
        <v>Tener ArticulsoSacar Articulos Accum Wait TimeAccum Wait TimeProcess</v>
      </c>
      <c r="J15" cm="1">
        <f t="array" ref="J15">MAX(IF((ProjectInfoTable[ProjectName]=OutputTable[[#This Row],[ProjectName]]),(ProjectInfoTable[ProjectName]=OutputTable[[#This Row],[ProjectName]])*ProjectInfoTable[NumberOfReplications]))</f>
        <v>12</v>
      </c>
      <c r="K15" cm="1">
        <f t="array" ref="K15">IFERROR(AVERAGE(IF((OutputTable[GroupByKey]=OutputTable[[#This Row],[GroupByKey]]),(OutputTable[GroupByKey]=OutputTable[[#This Row],[GroupByKey]])*OutputTable[RecordedValue])),0)</f>
        <v>1151.8667665386067</v>
      </c>
      <c r="L15" cm="1">
        <f t="array" ref="L15">IFERROR(_xlfn.STDEV.S(IF((OutputTable[GroupByKey]=OutputTable[[#This Row],[GroupByKey]]),(OutputTable[GroupByKey]=OutputTable[[#This Row],[GroupByKey]])*OutputTable[RecordedValue])),0)</f>
        <v>58.761364856103697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37.335190015744239</v>
      </c>
      <c r="O15" cm="1">
        <f t="array" ref="O15">MIN(IF((OutputTable[GroupByKey]=OutputTable[[#This Row],[GroupByKey]]),(OutputTable[GroupByKey]=OutputTable[[#This Row],[GroupByKey]])*OutputTable[RecordedValue]))</f>
        <v>1064.4971115521701</v>
      </c>
      <c r="P15" cm="1">
        <f t="array" ref="P15">MAX(IF((OutputTable[GroupByKey]=OutputTable[[#This Row],[GroupByKey]]),(OutputTable[GroupByKey]=OutputTable[[#This Row],[GroupByKey]])*OutputTable[RecordedValue]))</f>
        <v>1232.84038930315</v>
      </c>
    </row>
    <row r="16" spans="1:16" x14ac:dyDescent="0.25">
      <c r="A16" t="s">
        <v>68</v>
      </c>
      <c r="B16" t="s">
        <v>70</v>
      </c>
      <c r="C16">
        <v>1</v>
      </c>
      <c r="D16" t="s">
        <v>121</v>
      </c>
      <c r="E16" t="s">
        <v>104</v>
      </c>
      <c r="F16" t="s">
        <v>82</v>
      </c>
      <c r="G16">
        <v>798</v>
      </c>
      <c r="H16">
        <v>0</v>
      </c>
      <c r="I16" t="str">
        <f>OutputTable[[#This Row],[ProjectName]]&amp;OutputTable[[#This Row],[Name]]&amp;OutputTable[[#This Row],[Type]]&amp;OutputTable[[#This Row],[Source]]</f>
        <v>Tener ArticulsoSacar Articulos Number InNumber InProcess</v>
      </c>
      <c r="J16" cm="1">
        <f t="array" ref="J16">MAX(IF((ProjectInfoTable[ProjectName]=OutputTable[[#This Row],[ProjectName]]),(ProjectInfoTable[ProjectName]=OutputTable[[#This Row],[ProjectName]])*ProjectInfoTable[NumberOfReplications]))</f>
        <v>12</v>
      </c>
      <c r="K16" cm="1">
        <f t="array" ref="K16">IFERROR(AVERAGE(IF((OutputTable[GroupByKey]=OutputTable[[#This Row],[GroupByKey]]),(OutputTable[GroupByKey]=OutputTable[[#This Row],[GroupByKey]])*OutputTable[RecordedValue])),0)</f>
        <v>796.41666666666663</v>
      </c>
      <c r="L16" cm="1">
        <f t="array" ref="L16">IFERROR(_xlfn.STDEV.S(IF((OutputTable[GroupByKey]=OutputTable[[#This Row],[GroupByKey]]),(OutputTable[GroupByKey]=OutputTable[[#This Row],[GroupByKey]])*OutputTable[RecordedValue])),0)</f>
        <v>34.731328098924628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16" cm="1">
        <f t="array" ref="O16">MIN(IF((OutputTable[GroupByKey]=OutputTable[[#This Row],[GroupByKey]]),(OutputTable[GroupByKey]=OutputTable[[#This Row],[GroupByKey]])*OutputTable[RecordedValue]))</f>
        <v>737</v>
      </c>
      <c r="P16" cm="1">
        <f t="array" ref="P16">MAX(IF((OutputTable[GroupByKey]=OutputTable[[#This Row],[GroupByKey]]),(OutputTable[GroupByKey]=OutputTable[[#This Row],[GroupByKey]])*OutputTable[RecordedValue]))</f>
        <v>844</v>
      </c>
    </row>
    <row r="17" spans="1:16" x14ac:dyDescent="0.25">
      <c r="A17" t="s">
        <v>68</v>
      </c>
      <c r="B17" t="s">
        <v>70</v>
      </c>
      <c r="C17">
        <v>1</v>
      </c>
      <c r="D17" t="s">
        <v>122</v>
      </c>
      <c r="E17" t="s">
        <v>106</v>
      </c>
      <c r="F17" t="s">
        <v>82</v>
      </c>
      <c r="G17">
        <v>796</v>
      </c>
      <c r="H17">
        <v>0</v>
      </c>
      <c r="I17" t="str">
        <f>OutputTable[[#This Row],[ProjectName]]&amp;OutputTable[[#This Row],[Name]]&amp;OutputTable[[#This Row],[Type]]&amp;OutputTable[[#This Row],[Source]]</f>
        <v>Tener ArticulsoSacar Articulos Number OutNumber OutProcess</v>
      </c>
      <c r="J17" cm="1">
        <f t="array" ref="J17">MAX(IF((ProjectInfoTable[ProjectName]=OutputTable[[#This Row],[ProjectName]]),(ProjectInfoTable[ProjectName]=OutputTable[[#This Row],[ProjectName]])*ProjectInfoTable[NumberOfReplications]))</f>
        <v>12</v>
      </c>
      <c r="K17" cm="1">
        <f t="array" ref="K17">IFERROR(AVERAGE(IF((OutputTable[GroupByKey]=OutputTable[[#This Row],[GroupByKey]]),(OutputTable[GroupByKey]=OutputTable[[#This Row],[GroupByKey]])*OutputTable[RecordedValue])),0)</f>
        <v>795.08333333333337</v>
      </c>
      <c r="L17" cm="1">
        <f t="array" ref="L17">IFERROR(_xlfn.STDEV.S(IF((OutputTable[GroupByKey]=OutputTable[[#This Row],[GroupByKey]]),(OutputTable[GroupByKey]=OutputTable[[#This Row],[GroupByKey]])*OutputTable[RecordedValue])),0)</f>
        <v>34.510758094287411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21.927089579910728</v>
      </c>
      <c r="O17" cm="1">
        <f t="array" ref="O17">MIN(IF((OutputTable[GroupByKey]=OutputTable[[#This Row],[GroupByKey]]),(OutputTable[GroupByKey]=OutputTable[[#This Row],[GroupByKey]])*OutputTable[RecordedValue]))</f>
        <v>737</v>
      </c>
      <c r="P17" cm="1">
        <f t="array" ref="P17">MAX(IF((OutputTable[GroupByKey]=OutputTable[[#This Row],[GroupByKey]]),(OutputTable[GroupByKey]=OutputTable[[#This Row],[GroupByKey]])*OutputTable[RecordedValue]))</f>
        <v>841</v>
      </c>
    </row>
    <row r="18" spans="1:16" x14ac:dyDescent="0.25">
      <c r="A18" t="s">
        <v>68</v>
      </c>
      <c r="B18" t="s">
        <v>70</v>
      </c>
      <c r="C18">
        <v>1</v>
      </c>
      <c r="D18" t="s">
        <v>123</v>
      </c>
      <c r="E18" t="s">
        <v>106</v>
      </c>
      <c r="F18" t="s">
        <v>124</v>
      </c>
      <c r="G18">
        <v>1143</v>
      </c>
      <c r="H18">
        <v>0</v>
      </c>
      <c r="I18" t="str">
        <f>OutputTable[[#This Row],[ProjectName]]&amp;OutputTable[[#This Row],[Name]]&amp;OutputTable[[#This Row],[Type]]&amp;OutputTable[[#This Row],[Source]]</f>
        <v>Tener ArticulsoSystem.NumberOutNumber OutSystem</v>
      </c>
      <c r="J18" cm="1">
        <f t="array" ref="J18">MAX(IF((ProjectInfoTable[ProjectName]=OutputTable[[#This Row],[ProjectName]]),(ProjectInfoTable[ProjectName]=OutputTable[[#This Row],[ProjectName]])*ProjectInfoTable[NumberOfReplications]))</f>
        <v>12</v>
      </c>
      <c r="K18" cm="1">
        <f t="array" ref="K18">IFERROR(AVERAGE(IF((OutputTable[GroupByKey]=OutputTable[[#This Row],[GroupByKey]]),(OutputTable[GroupByKey]=OutputTable[[#This Row],[GroupByKey]])*OutputTable[RecordedValue])),0)</f>
        <v>1132.0833333333333</v>
      </c>
      <c r="L18" cm="1">
        <f t="array" ref="L18">IFERROR(_xlfn.STDEV.S(IF((OutputTable[GroupByKey]=OutputTable[[#This Row],[GroupByKey]]),(OutputTable[GroupByKey]=OutputTable[[#This Row],[GroupByKey]])*OutputTable[RecordedValue])),0)</f>
        <v>46.640712479614429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29.634094905050876</v>
      </c>
      <c r="O18" cm="1">
        <f t="array" ref="O18">MIN(IF((OutputTable[GroupByKey]=OutputTable[[#This Row],[GroupByKey]]),(OutputTable[GroupByKey]=OutputTable[[#This Row],[GroupByKey]])*OutputTable[RecordedValue]))</f>
        <v>1052</v>
      </c>
      <c r="P18" cm="1">
        <f t="array" ref="P18">MAX(IF((OutputTable[GroupByKey]=OutputTable[[#This Row],[GroupByKey]]),(OutputTable[GroupByKey]=OutputTable[[#This Row],[GroupByKey]])*OutputTable[RecordedValue]))</f>
        <v>1192</v>
      </c>
    </row>
    <row r="19" spans="1:16" x14ac:dyDescent="0.25">
      <c r="A19" t="s">
        <v>68</v>
      </c>
      <c r="B19" t="s">
        <v>70</v>
      </c>
      <c r="C19">
        <v>1</v>
      </c>
      <c r="D19" t="s">
        <v>125</v>
      </c>
      <c r="E19" t="s">
        <v>126</v>
      </c>
      <c r="F19" t="s">
        <v>99</v>
      </c>
      <c r="G19">
        <v>860</v>
      </c>
      <c r="H19">
        <v>0</v>
      </c>
      <c r="I19" t="str">
        <f>OutputTable[[#This Row],[ProjectName]]&amp;OutputTable[[#This Row],[Name]]&amp;OutputTable[[#This Row],[Type]]&amp;OutputTable[[#This Row],[Source]]</f>
        <v>Tener ArticulsorOrganizdor.NumberSeizedTotal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12</v>
      </c>
      <c r="K19" cm="1">
        <f t="array" ref="K19">IFERROR(AVERAGE(IF((OutputTable[GroupByKey]=OutputTable[[#This Row],[GroupByKey]]),(OutputTable[GroupByKey]=OutputTable[[#This Row],[GroupByKey]])*OutputTable[RecordedValue])),0)</f>
        <v>852.08333333333337</v>
      </c>
      <c r="L19" cm="1">
        <f t="array" ref="L19">IFERROR(_xlfn.STDEV.S(IF((OutputTable[GroupByKey]=OutputTable[[#This Row],[GroupByKey]]),(OutputTable[GroupByKey]=OutputTable[[#This Row],[GroupByKey]])*OutputTable[RecordedValue])),0)</f>
        <v>32.103407730002552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20.397532131659759</v>
      </c>
      <c r="O19" cm="1">
        <f t="array" ref="O19">MIN(IF((OutputTable[GroupByKey]=OutputTable[[#This Row],[GroupByKey]]),(OutputTable[GroupByKey]=OutputTable[[#This Row],[GroupByKey]])*OutputTable[RecordedValue]))</f>
        <v>800</v>
      </c>
      <c r="P19" cm="1">
        <f t="array" ref="P19">MAX(IF((OutputTable[GroupByKey]=OutputTable[[#This Row],[GroupByKey]]),(OutputTable[GroupByKey]=OutputTable[[#This Row],[GroupByKey]])*OutputTable[RecordedValue]))</f>
        <v>893</v>
      </c>
    </row>
    <row r="20" spans="1:16" x14ac:dyDescent="0.25">
      <c r="A20" t="s">
        <v>68</v>
      </c>
      <c r="B20" t="s">
        <v>70</v>
      </c>
      <c r="C20">
        <v>1</v>
      </c>
      <c r="D20" t="s">
        <v>127</v>
      </c>
      <c r="E20" t="s">
        <v>128</v>
      </c>
      <c r="F20" t="s">
        <v>99</v>
      </c>
      <c r="G20">
        <v>0.94298304297686897</v>
      </c>
      <c r="H20">
        <v>0</v>
      </c>
      <c r="I20" t="str">
        <f>OutputTable[[#This Row],[ProjectName]]&amp;OutputTable[[#This Row],[Name]]&amp;OutputTable[[#This Row],[Type]]&amp;OutputTable[[#This Row],[Source]]</f>
        <v>Tener ArticulsorOrganizdor.ScheduledUtilizationScheduled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12</v>
      </c>
      <c r="K20" cm="1">
        <f t="array" ref="K20">IFERROR(AVERAGE(IF((OutputTable[GroupByKey]=OutputTable[[#This Row],[GroupByKey]]),(OutputTable[GroupByKey]=OutputTable[[#This Row],[GroupByKey]])*OutputTable[RecordedValue])),0)</f>
        <v>0.93693413710063267</v>
      </c>
      <c r="L20" cm="1">
        <f t="array" ref="L20">IFERROR(_xlfn.STDEV.S(IF((OutputTable[GroupByKey]=OutputTable[[#This Row],[GroupByKey]]),(OutputTable[GroupByKey]=OutputTable[[#This Row],[GroupByKey]])*OutputTable[RecordedValue])),0)</f>
        <v>3.0080475881637609E-2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1.9112222555672933E-2</v>
      </c>
      <c r="O20" cm="1">
        <f t="array" ref="O20">MIN(IF((OutputTable[GroupByKey]=OutputTable[[#This Row],[GroupByKey]]),(OutputTable[GroupByKey]=OutputTable[[#This Row],[GroupByKey]])*OutputTable[RecordedValue]))</f>
        <v>0.87408888428798603</v>
      </c>
      <c r="P20" cm="1">
        <f t="array" ref="P20">MAX(IF((OutputTable[GroupByKey]=OutputTable[[#This Row],[GroupByKey]]),(OutputTable[GroupByKey]=OutputTable[[#This Row],[GroupByKey]])*OutputTable[RecordedValue]))</f>
        <v>0.989515454392208</v>
      </c>
    </row>
    <row r="21" spans="1:16" x14ac:dyDescent="0.25">
      <c r="A21" t="s">
        <v>68</v>
      </c>
      <c r="B21" t="s">
        <v>70</v>
      </c>
      <c r="C21">
        <v>1</v>
      </c>
      <c r="D21" t="s">
        <v>129</v>
      </c>
      <c r="E21" t="s">
        <v>126</v>
      </c>
      <c r="F21" t="s">
        <v>99</v>
      </c>
      <c r="G21">
        <v>797</v>
      </c>
      <c r="H21">
        <v>0</v>
      </c>
      <c r="I21" t="str">
        <f>OutputTable[[#This Row],[ProjectName]]&amp;OutputTable[[#This Row],[Name]]&amp;OutputTable[[#This Row],[Type]]&amp;OutputTable[[#This Row],[Source]]</f>
        <v>Tener ArticulsorSacador.NumberSeizedTotal Number SeizedResource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12</v>
      </c>
      <c r="K21" cm="1">
        <f t="array" ref="K21">IFERROR(AVERAGE(IF((OutputTable[GroupByKey]=OutputTable[[#This Row],[GroupByKey]]),(OutputTable[GroupByKey]=OutputTable[[#This Row],[GroupByKey]])*OutputTable[RecordedValue])),0)</f>
        <v>795.66666666666663</v>
      </c>
      <c r="L21" cm="1">
        <f t="array" ref="L21">IFERROR(_xlfn.STDEV.S(IF((OutputTable[GroupByKey]=OutputTable[[#This Row],[GroupByKey]]),(OutputTable[GroupByKey]=OutputTable[[#This Row],[GroupByKey]])*OutputTable[RecordedValue])),0)</f>
        <v>34.623516268395946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21.998732705738043</v>
      </c>
      <c r="O21" cm="1">
        <f t="array" ref="O21">MIN(IF((OutputTable[GroupByKey]=OutputTable[[#This Row],[GroupByKey]]),(OutputTable[GroupByKey]=OutputTable[[#This Row],[GroupByKey]])*OutputTable[RecordedValue]))</f>
        <v>737</v>
      </c>
      <c r="P21" cm="1">
        <f t="array" ref="P21">MAX(IF((OutputTable[GroupByKey]=OutputTable[[#This Row],[GroupByKey]]),(OutputTable[GroupByKey]=OutputTable[[#This Row],[GroupByKey]])*OutputTable[RecordedValue]))</f>
        <v>842</v>
      </c>
    </row>
    <row r="22" spans="1:16" x14ac:dyDescent="0.25">
      <c r="A22" t="s">
        <v>68</v>
      </c>
      <c r="B22" t="s">
        <v>70</v>
      </c>
      <c r="C22">
        <v>1</v>
      </c>
      <c r="D22" t="s">
        <v>130</v>
      </c>
      <c r="E22" t="s">
        <v>128</v>
      </c>
      <c r="F22" t="s">
        <v>99</v>
      </c>
      <c r="G22">
        <v>0.74793517119931496</v>
      </c>
      <c r="H22">
        <v>0</v>
      </c>
      <c r="I22" t="str">
        <f>OutputTable[[#This Row],[ProjectName]]&amp;OutputTable[[#This Row],[Name]]&amp;OutputTable[[#This Row],[Type]]&amp;OutputTable[[#This Row],[Source]]</f>
        <v>Tener ArticulsorSacador.ScheduledUtilizationScheduled UtilizationResource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12</v>
      </c>
      <c r="K22" cm="1">
        <f t="array" ref="K22">IFERROR(AVERAGE(IF((OutputTable[GroupByKey]=OutputTable[[#This Row],[GroupByKey]]),(OutputTable[GroupByKey]=OutputTable[[#This Row],[GroupByKey]])*OutputTable[RecordedValue])),0)</f>
        <v>0.75499127770842467</v>
      </c>
      <c r="L22" cm="1">
        <f t="array" ref="L22">IFERROR(_xlfn.STDEV.S(IF((OutputTable[GroupByKey]=OutputTable[[#This Row],[GroupByKey]]),(OutputTable[GroupByKey]=OutputTable[[#This Row],[GroupByKey]])*OutputTable[RecordedValue])),0)</f>
        <v>3.0990673550046054E-2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1.9690534563658681E-2</v>
      </c>
      <c r="O22" cm="1">
        <f t="array" ref="O22">MIN(IF((OutputTable[GroupByKey]=OutputTable[[#This Row],[GroupByKey]]),(OutputTable[GroupByKey]=OutputTable[[#This Row],[GroupByKey]])*OutputTable[RecordedValue]))</f>
        <v>0.70281682687036895</v>
      </c>
      <c r="P22" cm="1">
        <f t="array" ref="P22">MAX(IF((OutputTable[GroupByKey]=OutputTable[[#This Row],[GroupByKey]]),(OutputTable[GroupByKey]=OutputTable[[#This Row],[GroupByKey]])*OutputTable[RecordedValue]))</f>
        <v>0.79676815469245998</v>
      </c>
    </row>
    <row r="23" spans="1:16" x14ac:dyDescent="0.25">
      <c r="A23" t="s">
        <v>68</v>
      </c>
      <c r="B23" t="s">
        <v>70</v>
      </c>
      <c r="C23">
        <v>2</v>
      </c>
      <c r="D23" t="s">
        <v>103</v>
      </c>
      <c r="E23" t="s">
        <v>104</v>
      </c>
      <c r="F23" t="s">
        <v>73</v>
      </c>
      <c r="G23">
        <v>844</v>
      </c>
      <c r="H23">
        <v>0</v>
      </c>
      <c r="I23" t="str">
        <f>OutputTable[[#This Row],[ProjectName]]&amp;OutputTable[[#This Row],[Name]]&amp;OutputTable[[#This Row],[Type]]&amp;OutputTable[[#This Row],[Source]]</f>
        <v>Tener ArticulsoArticulos.NumberInNumber InEntity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12</v>
      </c>
      <c r="K23" cm="1">
        <f t="array" ref="K23">IFERROR(AVERAGE(IF((OutputTable[GroupByKey]=OutputTable[[#This Row],[GroupByKey]]),(OutputTable[GroupByKey]=OutputTable[[#This Row],[GroupByKey]])*OutputTable[RecordedValue])),0)</f>
        <v>796.41666666666663</v>
      </c>
      <c r="L23" cm="1">
        <f t="array" ref="L23">IFERROR(_xlfn.STDEV.S(IF((OutputTable[GroupByKey]=OutputTable[[#This Row],[GroupByKey]]),(OutputTable[GroupByKey]=OutputTable[[#This Row],[GroupByKey]])*OutputTable[RecordedValue])),0)</f>
        <v>34.731328098924628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23" cm="1">
        <f t="array" ref="O23">MIN(IF((OutputTable[GroupByKey]=OutputTable[[#This Row],[GroupByKey]]),(OutputTable[GroupByKey]=OutputTable[[#This Row],[GroupByKey]])*OutputTable[RecordedValue]))</f>
        <v>737</v>
      </c>
      <c r="P23" cm="1">
        <f t="array" ref="P23">MAX(IF((OutputTable[GroupByKey]=OutputTable[[#This Row],[GroupByKey]]),(OutputTable[GroupByKey]=OutputTable[[#This Row],[GroupByKey]])*OutputTable[RecordedValue]))</f>
        <v>844</v>
      </c>
    </row>
    <row r="24" spans="1:16" x14ac:dyDescent="0.25">
      <c r="A24" t="s">
        <v>68</v>
      </c>
      <c r="B24" t="s">
        <v>70</v>
      </c>
      <c r="C24">
        <v>2</v>
      </c>
      <c r="D24" t="s">
        <v>105</v>
      </c>
      <c r="E24" t="s">
        <v>106</v>
      </c>
      <c r="F24" t="s">
        <v>73</v>
      </c>
      <c r="G24">
        <v>826</v>
      </c>
      <c r="H24">
        <v>0</v>
      </c>
      <c r="I24" t="str">
        <f>OutputTable[[#This Row],[ProjectName]]&amp;OutputTable[[#This Row],[Name]]&amp;OutputTable[[#This Row],[Type]]&amp;OutputTable[[#This Row],[Source]]</f>
        <v>Tener ArticulsoArticulos.NumberOutNumber OutEntity</v>
      </c>
      <c r="J24" cm="1">
        <f t="array" ref="J24">MAX(IF((ProjectInfoTable[ProjectName]=OutputTable[[#This Row],[ProjectName]]),(ProjectInfoTable[ProjectName]=OutputTable[[#This Row],[ProjectName]])*ProjectInfoTable[NumberOfReplications]))</f>
        <v>12</v>
      </c>
      <c r="K24" cm="1">
        <f t="array" ref="K24">IFERROR(AVERAGE(IF((OutputTable[GroupByKey]=OutputTable[[#This Row],[GroupByKey]]),(OutputTable[GroupByKey]=OutputTable[[#This Row],[GroupByKey]])*OutputTable[RecordedValue])),0)</f>
        <v>783.16666666666663</v>
      </c>
      <c r="L24" cm="1">
        <f t="array" ref="L24">IFERROR(_xlfn.STDEV.S(IF((OutputTable[GroupByKey]=OutputTable[[#This Row],[GroupByKey]]),(OutputTable[GroupByKey]=OutputTable[[#This Row],[GroupByKey]])*OutputTable[RecordedValue])),0)</f>
        <v>31.541699191368682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20.040639553097002</v>
      </c>
      <c r="O24" cm="1">
        <f t="array" ref="O24">MIN(IF((OutputTable[GroupByKey]=OutputTable[[#This Row],[GroupByKey]]),(OutputTable[GroupByKey]=OutputTable[[#This Row],[GroupByKey]])*OutputTable[RecordedValue]))</f>
        <v>730</v>
      </c>
      <c r="P24" cm="1">
        <f t="array" ref="P24">MAX(IF((OutputTable[GroupByKey]=OutputTable[[#This Row],[GroupByKey]]),(OutputTable[GroupByKey]=OutputTable[[#This Row],[GroupByKey]])*OutputTable[RecordedValue]))</f>
        <v>826</v>
      </c>
    </row>
    <row r="25" spans="1:16" x14ac:dyDescent="0.25">
      <c r="A25" t="s">
        <v>68</v>
      </c>
      <c r="B25" t="s">
        <v>70</v>
      </c>
      <c r="C25">
        <v>2</v>
      </c>
      <c r="D25" t="s">
        <v>107</v>
      </c>
      <c r="E25" t="s">
        <v>104</v>
      </c>
      <c r="F25" t="s">
        <v>73</v>
      </c>
      <c r="G25">
        <v>1210</v>
      </c>
      <c r="H25">
        <v>0</v>
      </c>
      <c r="I25" t="str">
        <f>OutputTable[[#This Row],[ProjectName]]&amp;OutputTable[[#This Row],[Name]]&amp;OutputTable[[#This Row],[Type]]&amp;OutputTable[[#This Row],[Source]]</f>
        <v>Tener ArticulsoCarros.NumberInNumber InEntity</v>
      </c>
      <c r="J25" cm="1">
        <f t="array" ref="J25">MAX(IF((ProjectInfoTable[ProjectName]=OutputTable[[#This Row],[ProjectName]]),(ProjectInfoTable[ProjectName]=OutputTable[[#This Row],[ProjectName]])*ProjectInfoTable[NumberOfReplications]))</f>
        <v>12</v>
      </c>
      <c r="K25" cm="1">
        <f t="array" ref="K25">IFERROR(AVERAGE(IF((OutputTable[GroupByKey]=OutputTable[[#This Row],[GroupByKey]]),(OutputTable[GroupByKey]=OutputTable[[#This Row],[GroupByKey]])*OutputTable[RecordedValue])),0)</f>
        <v>1145.9166666666667</v>
      </c>
      <c r="L25" cm="1">
        <f t="array" ref="L25">IFERROR(_xlfn.STDEV.S(IF((OutputTable[GroupByKey]=OutputTable[[#This Row],[GroupByKey]]),(OutputTable[GroupByKey]=OutputTable[[#This Row],[GroupByKey]])*OutputTable[RecordedValue])),0)</f>
        <v>49.73101891600696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31.597581939297463</v>
      </c>
      <c r="O25" cm="1">
        <f t="array" ref="O25">MIN(IF((OutputTable[GroupByKey]=OutputTable[[#This Row],[GroupByKey]]),(OutputTable[GroupByKey]=OutputTable[[#This Row],[GroupByKey]])*OutputTable[RecordedValue]))</f>
        <v>1059</v>
      </c>
      <c r="P25" cm="1">
        <f t="array" ref="P25">MAX(IF((OutputTable[GroupByKey]=OutputTable[[#This Row],[GroupByKey]]),(OutputTable[GroupByKey]=OutputTable[[#This Row],[GroupByKey]])*OutputTable[RecordedValue]))</f>
        <v>1210</v>
      </c>
    </row>
    <row r="26" spans="1:16" x14ac:dyDescent="0.25">
      <c r="A26" t="s">
        <v>68</v>
      </c>
      <c r="B26" t="s">
        <v>70</v>
      </c>
      <c r="C26">
        <v>2</v>
      </c>
      <c r="D26" t="s">
        <v>108</v>
      </c>
      <c r="E26" t="s">
        <v>106</v>
      </c>
      <c r="F26" t="s">
        <v>73</v>
      </c>
      <c r="G26">
        <v>1210</v>
      </c>
      <c r="H26">
        <v>0</v>
      </c>
      <c r="I26" t="str">
        <f>OutputTable[[#This Row],[ProjectName]]&amp;OutputTable[[#This Row],[Name]]&amp;OutputTable[[#This Row],[Type]]&amp;OutputTable[[#This Row],[Source]]</f>
        <v>Tener ArticulsoCarros.NumberOutNumber OutEntity</v>
      </c>
      <c r="J26" cm="1">
        <f t="array" ref="J26">MAX(IF((ProjectInfoTable[ProjectName]=OutputTable[[#This Row],[ProjectName]]),(ProjectInfoTable[ProjectName]=OutputTable[[#This Row],[ProjectName]])*ProjectInfoTable[NumberOfReplications]))</f>
        <v>12</v>
      </c>
      <c r="K26" cm="1">
        <f t="array" ref="K26">IFERROR(AVERAGE(IF((OutputTable[GroupByKey]=OutputTable[[#This Row],[GroupByKey]]),(OutputTable[GroupByKey]=OutputTable[[#This Row],[GroupByKey]])*OutputTable[RecordedValue])),0)</f>
        <v>1145.3333333333333</v>
      </c>
      <c r="L26" cm="1">
        <f t="array" ref="L26">IFERROR(_xlfn.STDEV.S(IF((OutputTable[GroupByKey]=OutputTable[[#This Row],[GroupByKey]]),(OutputTable[GroupByKey]=OutputTable[[#This Row],[GroupByKey]])*OutputTable[RecordedValue])),0)</f>
        <v>49.816633464104832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31.651978827953357</v>
      </c>
      <c r="O26" cm="1">
        <f t="array" ref="O26">MIN(IF((OutputTable[GroupByKey]=OutputTable[[#This Row],[GroupByKey]]),(OutputTable[GroupByKey]=OutputTable[[#This Row],[GroupByKey]])*OutputTable[RecordedValue]))</f>
        <v>1059</v>
      </c>
      <c r="P26" cm="1">
        <f t="array" ref="P26">MAX(IF((OutputTable[GroupByKey]=OutputTable[[#This Row],[GroupByKey]]),(OutputTable[GroupByKey]=OutputTable[[#This Row],[GroupByKey]])*OutputTable[RecordedValue]))</f>
        <v>1210</v>
      </c>
    </row>
    <row r="27" spans="1:16" x14ac:dyDescent="0.25">
      <c r="A27" t="s">
        <v>68</v>
      </c>
      <c r="B27" t="s">
        <v>70</v>
      </c>
      <c r="C27">
        <v>2</v>
      </c>
      <c r="D27" t="s">
        <v>109</v>
      </c>
      <c r="E27" t="s">
        <v>110</v>
      </c>
      <c r="F27" t="s">
        <v>82</v>
      </c>
      <c r="G27">
        <v>678.52271145285295</v>
      </c>
      <c r="H27">
        <v>0</v>
      </c>
      <c r="I27" t="str">
        <f>OutputTable[[#This Row],[ProjectName]]&amp;OutputTable[[#This Row],[Name]]&amp;OutputTable[[#This Row],[Type]]&amp;OutputTable[[#This Row],[Source]]</f>
        <v>Tener ArticulsoDesembalaje Accum VA TimeAccum VA TimeProcess</v>
      </c>
      <c r="J27" cm="1">
        <f t="array" ref="J27">MAX(IF((ProjectInfoTable[ProjectName]=OutputTable[[#This Row],[ProjectName]]),(ProjectInfoTable[ProjectName]=OutputTable[[#This Row],[ProjectName]])*ProjectInfoTable[NumberOfReplications]))</f>
        <v>12</v>
      </c>
      <c r="K27" cm="1">
        <f t="array" ref="K27">IFERROR(AVERAGE(IF((OutputTable[GroupByKey]=OutputTable[[#This Row],[GroupByKey]]),(OutputTable[GroupByKey]=OutputTable[[#This Row],[GroupByKey]])*OutputTable[RecordedValue])),0)</f>
        <v>783.216775239051</v>
      </c>
      <c r="L27" cm="1">
        <f t="array" ref="L27">IFERROR(_xlfn.STDEV.S(IF((OutputTable[GroupByKey]=OutputTable[[#This Row],[GroupByKey]]),(OutputTable[GroupByKey]=OutputTable[[#This Row],[GroupByKey]])*OutputTable[RecordedValue])),0)</f>
        <v>48.528923107513336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30.833806701313396</v>
      </c>
      <c r="O27" cm="1">
        <f t="array" ref="O27">MIN(IF((OutputTable[GroupByKey]=OutputTable[[#This Row],[GroupByKey]]),(OutputTable[GroupByKey]=OutputTable[[#This Row],[GroupByKey]])*OutputTable[RecordedValue]))</f>
        <v>678.52271145285295</v>
      </c>
      <c r="P27" cm="1">
        <f t="array" ref="P27">MAX(IF((OutputTable[GroupByKey]=OutputTable[[#This Row],[GroupByKey]]),(OutputTable[GroupByKey]=OutputTable[[#This Row],[GroupByKey]])*OutputTable[RecordedValue]))</f>
        <v>840.77730126549898</v>
      </c>
    </row>
    <row r="28" spans="1:16" x14ac:dyDescent="0.25">
      <c r="A28" t="s">
        <v>68</v>
      </c>
      <c r="B28" t="s">
        <v>70</v>
      </c>
      <c r="C28">
        <v>2</v>
      </c>
      <c r="D28" t="s">
        <v>111</v>
      </c>
      <c r="E28" t="s">
        <v>112</v>
      </c>
      <c r="F28" t="s">
        <v>82</v>
      </c>
      <c r="G28">
        <v>832.65296431967795</v>
      </c>
      <c r="H28">
        <v>0</v>
      </c>
      <c r="I28" t="str">
        <f>OutputTable[[#This Row],[ProjectName]]&amp;OutputTable[[#This Row],[Name]]&amp;OutputTable[[#This Row],[Type]]&amp;OutputTable[[#This Row],[Source]]</f>
        <v>Tener ArticulsoDesembalaje Accum Wait TimeAccum Wait TimeProcess</v>
      </c>
      <c r="J28" cm="1">
        <f t="array" ref="J28">MAX(IF((ProjectInfoTable[ProjectName]=OutputTable[[#This Row],[ProjectName]]),(ProjectInfoTable[ProjectName]=OutputTable[[#This Row],[ProjectName]])*ProjectInfoTable[NumberOfReplications]))</f>
        <v>12</v>
      </c>
      <c r="K28" cm="1">
        <f t="array" ref="K28">IFERROR(AVERAGE(IF((OutputTable[GroupByKey]=OutputTable[[#This Row],[GroupByKey]]),(OutputTable[GroupByKey]=OutputTable[[#This Row],[GroupByKey]])*OutputTable[RecordedValue])),0)</f>
        <v>811.48948897731191</v>
      </c>
      <c r="L28" cm="1">
        <f t="array" ref="L28">IFERROR(_xlfn.STDEV.S(IF((OutputTable[GroupByKey]=OutputTable[[#This Row],[GroupByKey]]),(OutputTable[GroupByKey]=OutputTable[[#This Row],[GroupByKey]])*OutputTable[RecordedValue])),0)</f>
        <v>143.72351593510379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91.317565381747087</v>
      </c>
      <c r="O28" cm="1">
        <f t="array" ref="O28">MIN(IF((OutputTable[GroupByKey]=OutputTable[[#This Row],[GroupByKey]]),(OutputTable[GroupByKey]=OutputTable[[#This Row],[GroupByKey]])*OutputTable[RecordedValue]))</f>
        <v>546.46370972178704</v>
      </c>
      <c r="P28" cm="1">
        <f t="array" ref="P28">MAX(IF((OutputTable[GroupByKey]=OutputTable[[#This Row],[GroupByKey]]),(OutputTable[GroupByKey]=OutputTable[[#This Row],[GroupByKey]])*OutputTable[RecordedValue]))</f>
        <v>1012.863937084</v>
      </c>
    </row>
    <row r="29" spans="1:16" x14ac:dyDescent="0.25">
      <c r="A29" t="s">
        <v>68</v>
      </c>
      <c r="B29" t="s">
        <v>70</v>
      </c>
      <c r="C29">
        <v>2</v>
      </c>
      <c r="D29" t="s">
        <v>113</v>
      </c>
      <c r="E29" t="s">
        <v>104</v>
      </c>
      <c r="F29" t="s">
        <v>82</v>
      </c>
      <c r="G29">
        <v>61</v>
      </c>
      <c r="H29">
        <v>0</v>
      </c>
      <c r="I29" t="str">
        <f>OutputTable[[#This Row],[ProjectName]]&amp;OutputTable[[#This Row],[Name]]&amp;OutputTable[[#This Row],[Type]]&amp;OutputTable[[#This Row],[Source]]</f>
        <v>Tener ArticulsoDesembalaje Number InNumber InProcess</v>
      </c>
      <c r="J29" cm="1">
        <f t="array" ref="J29">MAX(IF((ProjectInfoTable[ProjectName]=OutputTable[[#This Row],[ProjectName]]),(ProjectInfoTable[ProjectName]=OutputTable[[#This Row],[ProjectName]])*ProjectInfoTable[NumberOfReplications]))</f>
        <v>12</v>
      </c>
      <c r="K29" cm="1">
        <f t="array" ref="K29">IFERROR(AVERAGE(IF((OutputTable[GroupByKey]=OutputTable[[#This Row],[GroupByKey]]),(OutputTable[GroupByKey]=OutputTable[[#This Row],[GroupByKey]])*OutputTable[RecordedValue])),0)</f>
        <v>66</v>
      </c>
      <c r="L29" cm="1">
        <f t="array" ref="L29">IFERROR(_xlfn.STDEV.S(IF((OutputTable[GroupByKey]=OutputTable[[#This Row],[GroupByKey]]),(OutputTable[GroupByKey]=OutputTable[[#This Row],[GroupByKey]])*OutputTable[RecordedValue])),0)</f>
        <v>4.1560470729681676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2.640626329283204</v>
      </c>
      <c r="O29" cm="1">
        <f t="array" ref="O29">MIN(IF((OutputTable[GroupByKey]=OutputTable[[#This Row],[GroupByKey]]),(OutputTable[GroupByKey]=OutputTable[[#This Row],[GroupByKey]])*OutputTable[RecordedValue]))</f>
        <v>59</v>
      </c>
      <c r="P29" cm="1">
        <f t="array" ref="P29">MAX(IF((OutputTable[GroupByKey]=OutputTable[[#This Row],[GroupByKey]]),(OutputTable[GroupByKey]=OutputTable[[#This Row],[GroupByKey]])*OutputTable[RecordedValue]))</f>
        <v>70</v>
      </c>
    </row>
    <row r="30" spans="1:16" x14ac:dyDescent="0.25">
      <c r="A30" t="s">
        <v>68</v>
      </c>
      <c r="B30" t="s">
        <v>70</v>
      </c>
      <c r="C30">
        <v>2</v>
      </c>
      <c r="D30" t="s">
        <v>114</v>
      </c>
      <c r="E30" t="s">
        <v>106</v>
      </c>
      <c r="F30" t="s">
        <v>82</v>
      </c>
      <c r="G30">
        <v>60</v>
      </c>
      <c r="H30">
        <v>0</v>
      </c>
      <c r="I30" t="str">
        <f>OutputTable[[#This Row],[ProjectName]]&amp;OutputTable[[#This Row],[Name]]&amp;OutputTable[[#This Row],[Type]]&amp;OutputTable[[#This Row],[Source]]</f>
        <v>Tener ArticulsoDesembalaje Number OutNumber OutProcess</v>
      </c>
      <c r="J30" cm="1">
        <f t="array" ref="J30">MAX(IF((ProjectInfoTable[ProjectName]=OutputTable[[#This Row],[ProjectName]]),(ProjectInfoTable[ProjectName]=OutputTable[[#This Row],[ProjectName]])*ProjectInfoTable[NumberOfReplications]))</f>
        <v>12</v>
      </c>
      <c r="K30" cm="1">
        <f t="array" ref="K30">IFERROR(AVERAGE(IF((OutputTable[GroupByKey]=OutputTable[[#This Row],[GroupByKey]]),(OutputTable[GroupByKey]=OutputTable[[#This Row],[GroupByKey]])*OutputTable[RecordedValue])),0)</f>
        <v>65.083333333333329</v>
      </c>
      <c r="L30" cm="1">
        <f t="array" ref="L30">IFERROR(_xlfn.STDEV.S(IF((OutputTable[GroupByKey]=OutputTable[[#This Row],[GroupByKey]]),(OutputTable[GroupByKey]=OutputTable[[#This Row],[GroupByKey]])*OutputTable[RecordedValue])),0)</f>
        <v>4.2310182168734691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2.6882607215451362</v>
      </c>
      <c r="O30" cm="1">
        <f t="array" ref="O30">MIN(IF((OutputTable[GroupByKey]=OutputTable[[#This Row],[GroupByKey]]),(OutputTable[GroupByKey]=OutputTable[[#This Row],[GroupByKey]])*OutputTable[RecordedValue]))</f>
        <v>58</v>
      </c>
      <c r="P30" cm="1">
        <f t="array" ref="P30">MAX(IF((OutputTable[GroupByKey]=OutputTable[[#This Row],[GroupByKey]]),(OutputTable[GroupByKey]=OutputTable[[#This Row],[GroupByKey]])*OutputTable[RecordedValue]))</f>
        <v>69</v>
      </c>
    </row>
    <row r="31" spans="1:16" x14ac:dyDescent="0.25">
      <c r="A31" t="s">
        <v>68</v>
      </c>
      <c r="B31" t="s">
        <v>70</v>
      </c>
      <c r="C31">
        <v>2</v>
      </c>
      <c r="D31" t="s">
        <v>115</v>
      </c>
      <c r="E31" t="s">
        <v>110</v>
      </c>
      <c r="F31" t="s">
        <v>82</v>
      </c>
      <c r="G31">
        <v>1255.97830087074</v>
      </c>
      <c r="H31">
        <v>0</v>
      </c>
      <c r="I31" t="str">
        <f>OutputTable[[#This Row],[ProjectName]]&amp;OutputTable[[#This Row],[Name]]&amp;OutputTable[[#This Row],[Type]]&amp;OutputTable[[#This Row],[Source]]</f>
        <v>Tener ArticulsoOrganizar Accum VA TimeAccum VA TimeProcess</v>
      </c>
      <c r="J31" cm="1">
        <f t="array" ref="J31">MAX(IF((ProjectInfoTable[ProjectName]=OutputTable[[#This Row],[ProjectName]]),(ProjectInfoTable[ProjectName]=OutputTable[[#This Row],[ProjectName]])*ProjectInfoTable[NumberOfReplications]))</f>
        <v>12</v>
      </c>
      <c r="K31" cm="1">
        <f t="array" ref="K31">IFERROR(AVERAGE(IF((OutputTable[GroupByKey]=OutputTable[[#This Row],[GroupByKey]]),(OutputTable[GroupByKey]=OutputTable[[#This Row],[GroupByKey]])*OutputTable[RecordedValue])),0)</f>
        <v>1181.2622276627176</v>
      </c>
      <c r="L31" cm="1">
        <f t="array" ref="L31">IFERROR(_xlfn.STDEV.S(IF((OutputTable[GroupByKey]=OutputTable[[#This Row],[GroupByKey]]),(OutputTable[GroupByKey]=OutputTable[[#This Row],[GroupByKey]])*OutputTable[RecordedValue])),0)</f>
        <v>50.899735842094827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32.340149247203939</v>
      </c>
      <c r="O31" cm="1">
        <f t="array" ref="O31">MIN(IF((OutputTable[GroupByKey]=OutputTable[[#This Row],[GroupByKey]]),(OutputTable[GroupByKey]=OutputTable[[#This Row],[GroupByKey]])*OutputTable[RecordedValue]))</f>
        <v>1106.0350367697699</v>
      </c>
      <c r="P31" cm="1">
        <f t="array" ref="P31">MAX(IF((OutputTable[GroupByKey]=OutputTable[[#This Row],[GroupByKey]]),(OutputTable[GroupByKey]=OutputTable[[#This Row],[GroupByKey]])*OutputTable[RecordedValue]))</f>
        <v>1255.97830087074</v>
      </c>
    </row>
    <row r="32" spans="1:16" x14ac:dyDescent="0.25">
      <c r="A32" t="s">
        <v>68</v>
      </c>
      <c r="B32" t="s">
        <v>70</v>
      </c>
      <c r="C32">
        <v>2</v>
      </c>
      <c r="D32" t="s">
        <v>116</v>
      </c>
      <c r="E32" t="s">
        <v>112</v>
      </c>
      <c r="F32" t="s">
        <v>82</v>
      </c>
      <c r="G32">
        <v>16374.282517071901</v>
      </c>
      <c r="H32">
        <v>0</v>
      </c>
      <c r="I32" s="5" t="str">
        <f>OutputTable[[#This Row],[ProjectName]]&amp;OutputTable[[#This Row],[Name]]&amp;OutputTable[[#This Row],[Type]]&amp;OutputTable[[#This Row],[Source]]</f>
        <v>Tener ArticulsoOrganizar Accum Wait TimeAccum Wait TimeProcess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12</v>
      </c>
      <c r="K32" s="5" cm="1">
        <f t="array" ref="K32">IFERROR(AVERAGE(IF((OutputTable[GroupByKey]=OutputTable[[#This Row],[GroupByKey]]),(OutputTable[GroupByKey]=OutputTable[[#This Row],[GroupByKey]])*OutputTable[RecordedValue])),0)</f>
        <v>14481.366678807759</v>
      </c>
      <c r="L32" s="5" cm="1">
        <f t="array" ref="L32">IFERROR(_xlfn.STDEV.S(IF((OutputTable[GroupByKey]=OutputTable[[#This Row],[GroupByKey]]),(OutputTable[GroupByKey]=OutputTable[[#This Row],[GroupByKey]])*OutputTable[RecordedValue])),0)</f>
        <v>2869.9645631781104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1823.4884871564914</v>
      </c>
      <c r="O32" s="5" cm="1">
        <f t="array" ref="O32">MIN(IF((OutputTable[GroupByKey]=OutputTable[[#This Row],[GroupByKey]]),(OutputTable[GroupByKey]=OutputTable[[#This Row],[GroupByKey]])*OutputTable[RecordedValue]))</f>
        <v>9643.84605851171</v>
      </c>
      <c r="P32" s="5" cm="1">
        <f t="array" ref="P32">MAX(IF((OutputTable[GroupByKey]=OutputTable[[#This Row],[GroupByKey]]),(OutputTable[GroupByKey]=OutputTable[[#This Row],[GroupByKey]])*OutputTable[RecordedValue]))</f>
        <v>18159.7018308675</v>
      </c>
    </row>
    <row r="33" spans="1:16" x14ac:dyDescent="0.25">
      <c r="A33" t="s">
        <v>68</v>
      </c>
      <c r="B33" t="s">
        <v>70</v>
      </c>
      <c r="C33">
        <v>2</v>
      </c>
      <c r="D33" t="s">
        <v>117</v>
      </c>
      <c r="E33" t="s">
        <v>104</v>
      </c>
      <c r="F33" t="s">
        <v>82</v>
      </c>
      <c r="G33">
        <v>841</v>
      </c>
      <c r="H33">
        <v>0</v>
      </c>
      <c r="I33" s="5" t="str">
        <f>OutputTable[[#This Row],[ProjectName]]&amp;OutputTable[[#This Row],[Name]]&amp;OutputTable[[#This Row],[Type]]&amp;OutputTable[[#This Row],[Source]]</f>
        <v>Tener ArticulsoOrganizar Number InNumber InProcess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12</v>
      </c>
      <c r="K33" s="5" cm="1">
        <f t="array" ref="K33">IFERROR(AVERAGE(IF((OutputTable[GroupByKey]=OutputTable[[#This Row],[GroupByKey]]),(OutputTable[GroupByKey]=OutputTable[[#This Row],[GroupByKey]])*OutputTable[RecordedValue])),0)</f>
        <v>794.91666666666663</v>
      </c>
      <c r="L33" s="5" cm="1">
        <f t="array" ref="L33">IFERROR(_xlfn.STDEV.S(IF((OutputTable[GroupByKey]=OutputTable[[#This Row],[GroupByKey]]),(OutputTable[GroupByKey]=OutputTable[[#This Row],[GroupByKey]])*OutputTable[RecordedValue])),0)</f>
        <v>34.394656914154915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21.853322409391229</v>
      </c>
      <c r="O33" s="5" cm="1">
        <f t="array" ref="O33">MIN(IF((OutputTable[GroupByKey]=OutputTable[[#This Row],[GroupByKey]]),(OutputTable[GroupByKey]=OutputTable[[#This Row],[GroupByKey]])*OutputTable[RecordedValue]))</f>
        <v>737</v>
      </c>
      <c r="P33" s="5" cm="1">
        <f t="array" ref="P33">MAX(IF((OutputTable[GroupByKey]=OutputTable[[#This Row],[GroupByKey]]),(OutputTable[GroupByKey]=OutputTable[[#This Row],[GroupByKey]])*OutputTable[RecordedValue]))</f>
        <v>841</v>
      </c>
    </row>
    <row r="34" spans="1:16" x14ac:dyDescent="0.25">
      <c r="A34" t="s">
        <v>68</v>
      </c>
      <c r="B34" t="s">
        <v>70</v>
      </c>
      <c r="C34">
        <v>2</v>
      </c>
      <c r="D34" t="s">
        <v>118</v>
      </c>
      <c r="E34" t="s">
        <v>106</v>
      </c>
      <c r="F34" t="s">
        <v>82</v>
      </c>
      <c r="G34">
        <v>829</v>
      </c>
      <c r="H34">
        <v>0</v>
      </c>
      <c r="I34" s="5" t="str">
        <f>OutputTable[[#This Row],[ProjectName]]&amp;OutputTable[[#This Row],[Name]]&amp;OutputTable[[#This Row],[Type]]&amp;OutputTable[[#This Row],[Source]]</f>
        <v>Tener ArticulsoOrganizar Number OutNumber OutProcess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12</v>
      </c>
      <c r="K34" s="5" cm="1">
        <f t="array" ref="K34">IFERROR(AVERAGE(IF((OutputTable[GroupByKey]=OutputTable[[#This Row],[GroupByKey]]),(OutputTable[GroupByKey]=OutputTable[[#This Row],[GroupByKey]])*OutputTable[RecordedValue])),0)</f>
        <v>786</v>
      </c>
      <c r="L34" s="5" cm="1">
        <f t="array" ref="L34">IFERROR(_xlfn.STDEV.S(IF((OutputTable[GroupByKey]=OutputTable[[#This Row],[GroupByKey]]),(OutputTable[GroupByKey]=OutputTable[[#This Row],[GroupByKey]])*OutputTable[RecordedValue])),0)</f>
        <v>32.741411087489801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20.80290012542233</v>
      </c>
      <c r="O34" s="5" cm="1">
        <f t="array" ref="O34">MIN(IF((OutputTable[GroupByKey]=OutputTable[[#This Row],[GroupByKey]]),(OutputTable[GroupByKey]=OutputTable[[#This Row],[GroupByKey]])*OutputTable[RecordedValue]))</f>
        <v>732</v>
      </c>
      <c r="P34" s="5" cm="1">
        <f t="array" ref="P34">MAX(IF((OutputTable[GroupByKey]=OutputTable[[#This Row],[GroupByKey]]),(OutputTable[GroupByKey]=OutputTable[[#This Row],[GroupByKey]])*OutputTable[RecordedValue]))</f>
        <v>829</v>
      </c>
    </row>
    <row r="35" spans="1:16" x14ac:dyDescent="0.25">
      <c r="A35" t="s">
        <v>68</v>
      </c>
      <c r="B35" t="s">
        <v>70</v>
      </c>
      <c r="C35">
        <v>2</v>
      </c>
      <c r="D35" t="s">
        <v>119</v>
      </c>
      <c r="E35" t="s">
        <v>110</v>
      </c>
      <c r="F35" t="s">
        <v>82</v>
      </c>
      <c r="G35">
        <v>1666.7881654684199</v>
      </c>
      <c r="H35">
        <v>0</v>
      </c>
      <c r="I35" s="5" t="str">
        <f>OutputTable[[#This Row],[ProjectName]]&amp;OutputTable[[#This Row],[Name]]&amp;OutputTable[[#This Row],[Type]]&amp;OutputTable[[#This Row],[Source]]</f>
        <v>Tener ArticulsoSacar Articulos Accum VA TimeAccum VA TimeProcess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12</v>
      </c>
      <c r="K35" s="5" cm="1">
        <f t="array" ref="K35">IFERROR(AVERAGE(IF((OutputTable[GroupByKey]=OutputTable[[#This Row],[GroupByKey]]),(OutputTable[GroupByKey]=OutputTable[[#This Row],[GroupByKey]])*OutputTable[RecordedValue])),0)</f>
        <v>1584.7600747574054</v>
      </c>
      <c r="L35" s="5" cm="1">
        <f t="array" ref="L35">IFERROR(_xlfn.STDEV.S(IF((OutputTable[GroupByKey]=OutputTable[[#This Row],[GroupByKey]]),(OutputTable[GroupByKey]=OutputTable[[#This Row],[GroupByKey]])*OutputTable[RecordedValue])),0)</f>
        <v>65.199632506816158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41.425870119928376</v>
      </c>
      <c r="O35" s="5" cm="1">
        <f t="array" ref="O35">MIN(IF((OutputTable[GroupByKey]=OutputTable[[#This Row],[GroupByKey]]),(OutputTable[GroupByKey]=OutputTable[[#This Row],[GroupByKey]])*OutputTable[RecordedValue]))</f>
        <v>1473.78349566985</v>
      </c>
      <c r="P35" s="5" cm="1">
        <f t="array" ref="P35">MAX(IF((OutputTable[GroupByKey]=OutputTable[[#This Row],[GroupByKey]]),(OutputTable[GroupByKey]=OutputTable[[#This Row],[GroupByKey]])*OutputTable[RecordedValue]))</f>
        <v>1673.21312485417</v>
      </c>
    </row>
    <row r="36" spans="1:16" x14ac:dyDescent="0.25">
      <c r="A36" t="s">
        <v>68</v>
      </c>
      <c r="B36" t="s">
        <v>70</v>
      </c>
      <c r="C36">
        <v>2</v>
      </c>
      <c r="D36" t="s">
        <v>120</v>
      </c>
      <c r="E36" t="s">
        <v>112</v>
      </c>
      <c r="F36" t="s">
        <v>82</v>
      </c>
      <c r="G36">
        <v>1211.1632287642699</v>
      </c>
      <c r="H36">
        <v>0</v>
      </c>
      <c r="I36" s="5" t="str">
        <f>OutputTable[[#This Row],[ProjectName]]&amp;OutputTable[[#This Row],[Name]]&amp;OutputTable[[#This Row],[Type]]&amp;OutputTable[[#This Row],[Source]]</f>
        <v>Tener ArticulsoSacar Articulos Accum Wait TimeAccum Wait TimeProcess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12</v>
      </c>
      <c r="K36" s="5" cm="1">
        <f t="array" ref="K36">IFERROR(AVERAGE(IF((OutputTable[GroupByKey]=OutputTable[[#This Row],[GroupByKey]]),(OutputTable[GroupByKey]=OutputTable[[#This Row],[GroupByKey]])*OutputTable[RecordedValue])),0)</f>
        <v>1151.8667665386067</v>
      </c>
      <c r="L36" s="5" cm="1">
        <f t="array" ref="L36">IFERROR(_xlfn.STDEV.S(IF((OutputTable[GroupByKey]=OutputTable[[#This Row],[GroupByKey]]),(OutputTable[GroupByKey]=OutputTable[[#This Row],[GroupByKey]])*OutputTable[RecordedValue])),0)</f>
        <v>58.761364856103697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37.335190015744239</v>
      </c>
      <c r="O36" s="5" cm="1">
        <f t="array" ref="O36">MIN(IF((OutputTable[GroupByKey]=OutputTable[[#This Row],[GroupByKey]]),(OutputTable[GroupByKey]=OutputTable[[#This Row],[GroupByKey]])*OutputTable[RecordedValue]))</f>
        <v>1064.4971115521701</v>
      </c>
      <c r="P36" s="5" cm="1">
        <f t="array" ref="P36">MAX(IF((OutputTable[GroupByKey]=OutputTable[[#This Row],[GroupByKey]]),(OutputTable[GroupByKey]=OutputTable[[#This Row],[GroupByKey]])*OutputTable[RecordedValue]))</f>
        <v>1232.84038930315</v>
      </c>
    </row>
    <row r="37" spans="1:16" x14ac:dyDescent="0.25">
      <c r="A37" t="s">
        <v>68</v>
      </c>
      <c r="B37" t="s">
        <v>70</v>
      </c>
      <c r="C37">
        <v>2</v>
      </c>
      <c r="D37" t="s">
        <v>121</v>
      </c>
      <c r="E37" t="s">
        <v>104</v>
      </c>
      <c r="F37" t="s">
        <v>82</v>
      </c>
      <c r="G37">
        <v>844</v>
      </c>
      <c r="H37">
        <v>0</v>
      </c>
      <c r="I37" s="5" t="str">
        <f>OutputTable[[#This Row],[ProjectName]]&amp;OutputTable[[#This Row],[Name]]&amp;OutputTable[[#This Row],[Type]]&amp;OutputTable[[#This Row],[Source]]</f>
        <v>Tener ArticulsoSacar Articulos Number InNumber InProcess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12</v>
      </c>
      <c r="K37" s="5" cm="1">
        <f t="array" ref="K37">IFERROR(AVERAGE(IF((OutputTable[GroupByKey]=OutputTable[[#This Row],[GroupByKey]]),(OutputTable[GroupByKey]=OutputTable[[#This Row],[GroupByKey]])*OutputTable[RecordedValue])),0)</f>
        <v>796.41666666666663</v>
      </c>
      <c r="L37" s="5" cm="1">
        <f t="array" ref="L37">IFERROR(_xlfn.STDEV.S(IF((OutputTable[GroupByKey]=OutputTable[[#This Row],[GroupByKey]]),(OutputTable[GroupByKey]=OutputTable[[#This Row],[GroupByKey]])*OutputTable[RecordedValue])),0)</f>
        <v>34.731328098924628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37" s="5" cm="1">
        <f t="array" ref="O37">MIN(IF((OutputTable[GroupByKey]=OutputTable[[#This Row],[GroupByKey]]),(OutputTable[GroupByKey]=OutputTable[[#This Row],[GroupByKey]])*OutputTable[RecordedValue]))</f>
        <v>737</v>
      </c>
      <c r="P37" s="5" cm="1">
        <f t="array" ref="P37">MAX(IF((OutputTable[GroupByKey]=OutputTable[[#This Row],[GroupByKey]]),(OutputTable[GroupByKey]=OutputTable[[#This Row],[GroupByKey]])*OutputTable[RecordedValue]))</f>
        <v>844</v>
      </c>
    </row>
    <row r="38" spans="1:16" x14ac:dyDescent="0.25">
      <c r="A38" t="s">
        <v>68</v>
      </c>
      <c r="B38" t="s">
        <v>70</v>
      </c>
      <c r="C38">
        <v>2</v>
      </c>
      <c r="D38" t="s">
        <v>122</v>
      </c>
      <c r="E38" t="s">
        <v>106</v>
      </c>
      <c r="F38" t="s">
        <v>82</v>
      </c>
      <c r="G38">
        <v>841</v>
      </c>
      <c r="H38">
        <v>0</v>
      </c>
      <c r="I38" s="5" t="str">
        <f>OutputTable[[#This Row],[ProjectName]]&amp;OutputTable[[#This Row],[Name]]&amp;OutputTable[[#This Row],[Type]]&amp;OutputTable[[#This Row],[Source]]</f>
        <v>Tener ArticulsoSacar Articulos Number OutNumber OutProcess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12</v>
      </c>
      <c r="K38" s="5" cm="1">
        <f t="array" ref="K38">IFERROR(AVERAGE(IF((OutputTable[GroupByKey]=OutputTable[[#This Row],[GroupByKey]]),(OutputTable[GroupByKey]=OutputTable[[#This Row],[GroupByKey]])*OutputTable[RecordedValue])),0)</f>
        <v>795.08333333333337</v>
      </c>
      <c r="L38" s="5" cm="1">
        <f t="array" ref="L38">IFERROR(_xlfn.STDEV.S(IF((OutputTable[GroupByKey]=OutputTable[[#This Row],[GroupByKey]]),(OutputTable[GroupByKey]=OutputTable[[#This Row],[GroupByKey]])*OutputTable[RecordedValue])),0)</f>
        <v>34.510758094287411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21.927089579910728</v>
      </c>
      <c r="O38" s="5" cm="1">
        <f t="array" ref="O38">MIN(IF((OutputTable[GroupByKey]=OutputTable[[#This Row],[GroupByKey]]),(OutputTable[GroupByKey]=OutputTable[[#This Row],[GroupByKey]])*OutputTable[RecordedValue]))</f>
        <v>737</v>
      </c>
      <c r="P38" s="5" cm="1">
        <f t="array" ref="P38">MAX(IF((OutputTable[GroupByKey]=OutputTable[[#This Row],[GroupByKey]]),(OutputTable[GroupByKey]=OutputTable[[#This Row],[GroupByKey]])*OutputTable[RecordedValue]))</f>
        <v>841</v>
      </c>
    </row>
    <row r="39" spans="1:16" x14ac:dyDescent="0.25">
      <c r="A39" t="s">
        <v>68</v>
      </c>
      <c r="B39" t="s">
        <v>70</v>
      </c>
      <c r="C39">
        <v>2</v>
      </c>
      <c r="D39" t="s">
        <v>123</v>
      </c>
      <c r="E39" t="s">
        <v>106</v>
      </c>
      <c r="F39" t="s">
        <v>124</v>
      </c>
      <c r="G39">
        <v>1192</v>
      </c>
      <c r="H39">
        <v>0</v>
      </c>
      <c r="I39" s="5" t="str">
        <f>OutputTable[[#This Row],[ProjectName]]&amp;OutputTable[[#This Row],[Name]]&amp;OutputTable[[#This Row],[Type]]&amp;OutputTable[[#This Row],[Source]]</f>
        <v>Tener ArticulsoSystem.NumberOutNumber OutSystem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12</v>
      </c>
      <c r="K39" s="5" cm="1">
        <f t="array" ref="K39">IFERROR(AVERAGE(IF((OutputTable[GroupByKey]=OutputTable[[#This Row],[GroupByKey]]),(OutputTable[GroupByKey]=OutputTable[[#This Row],[GroupByKey]])*OutputTable[RecordedValue])),0)</f>
        <v>1132.0833333333333</v>
      </c>
      <c r="L39" s="5" cm="1">
        <f t="array" ref="L39">IFERROR(_xlfn.STDEV.S(IF((OutputTable[GroupByKey]=OutputTable[[#This Row],[GroupByKey]]),(OutputTable[GroupByKey]=OutputTable[[#This Row],[GroupByKey]])*OutputTable[RecordedValue])),0)</f>
        <v>46.640712479614429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29.634094905050876</v>
      </c>
      <c r="O39" s="5" cm="1">
        <f t="array" ref="O39">MIN(IF((OutputTable[GroupByKey]=OutputTable[[#This Row],[GroupByKey]]),(OutputTable[GroupByKey]=OutputTable[[#This Row],[GroupByKey]])*OutputTable[RecordedValue]))</f>
        <v>1052</v>
      </c>
      <c r="P39" s="5" cm="1">
        <f t="array" ref="P39">MAX(IF((OutputTable[GroupByKey]=OutputTable[[#This Row],[GroupByKey]]),(OutputTable[GroupByKey]=OutputTable[[#This Row],[GroupByKey]])*OutputTable[RecordedValue]))</f>
        <v>1192</v>
      </c>
    </row>
    <row r="40" spans="1:16" x14ac:dyDescent="0.25">
      <c r="A40" t="s">
        <v>68</v>
      </c>
      <c r="B40" t="s">
        <v>70</v>
      </c>
      <c r="C40">
        <v>2</v>
      </c>
      <c r="D40" t="s">
        <v>125</v>
      </c>
      <c r="E40" t="s">
        <v>126</v>
      </c>
      <c r="F40" t="s">
        <v>99</v>
      </c>
      <c r="G40">
        <v>890</v>
      </c>
      <c r="H40">
        <v>0</v>
      </c>
      <c r="I40" s="5" t="str">
        <f>OutputTable[[#This Row],[ProjectName]]&amp;OutputTable[[#This Row],[Name]]&amp;OutputTable[[#This Row],[Type]]&amp;OutputTable[[#This Row],[Source]]</f>
        <v>Tener ArticulsorOrganizdor.NumberSeizedTotal Number SeizedResource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12</v>
      </c>
      <c r="K40" s="5" cm="1">
        <f t="array" ref="K40">IFERROR(AVERAGE(IF((OutputTable[GroupByKey]=OutputTable[[#This Row],[GroupByKey]]),(OutputTable[GroupByKey]=OutputTable[[#This Row],[GroupByKey]])*OutputTable[RecordedValue])),0)</f>
        <v>852.08333333333337</v>
      </c>
      <c r="L40" s="5" cm="1">
        <f t="array" ref="L40">IFERROR(_xlfn.STDEV.S(IF((OutputTable[GroupByKey]=OutputTable[[#This Row],[GroupByKey]]),(OutputTable[GroupByKey]=OutputTable[[#This Row],[GroupByKey]])*OutputTable[RecordedValue])),0)</f>
        <v>32.103407730002552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20.397532131659759</v>
      </c>
      <c r="O40" s="5" cm="1">
        <f t="array" ref="O40">MIN(IF((OutputTable[GroupByKey]=OutputTable[[#This Row],[GroupByKey]]),(OutputTable[GroupByKey]=OutputTable[[#This Row],[GroupByKey]])*OutputTable[RecordedValue]))</f>
        <v>800</v>
      </c>
      <c r="P40" s="5" cm="1">
        <f t="array" ref="P40">MAX(IF((OutputTable[GroupByKey]=OutputTable[[#This Row],[GroupByKey]]),(OutputTable[GroupByKey]=OutputTable[[#This Row],[GroupByKey]])*OutputTable[RecordedValue]))</f>
        <v>893</v>
      </c>
    </row>
    <row r="41" spans="1:16" x14ac:dyDescent="0.25">
      <c r="A41" t="s">
        <v>68</v>
      </c>
      <c r="B41" t="s">
        <v>70</v>
      </c>
      <c r="C41">
        <v>2</v>
      </c>
      <c r="D41" t="s">
        <v>127</v>
      </c>
      <c r="E41" t="s">
        <v>128</v>
      </c>
      <c r="F41" t="s">
        <v>99</v>
      </c>
      <c r="G41">
        <v>0.92627316119155401</v>
      </c>
      <c r="H41">
        <v>0</v>
      </c>
      <c r="I41" s="5" t="str">
        <f>OutputTable[[#This Row],[ProjectName]]&amp;OutputTable[[#This Row],[Name]]&amp;OutputTable[[#This Row],[Type]]&amp;OutputTable[[#This Row],[Source]]</f>
        <v>Tener ArticulsorOrganizdor.ScheduledUtilizationScheduled UtilizationResource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12</v>
      </c>
      <c r="K41" s="5" cm="1">
        <f t="array" ref="K41">IFERROR(AVERAGE(IF((OutputTable[GroupByKey]=OutputTable[[#This Row],[GroupByKey]]),(OutputTable[GroupByKey]=OutputTable[[#This Row],[GroupByKey]])*OutputTable[RecordedValue])),0)</f>
        <v>0.93693413710063267</v>
      </c>
      <c r="L41" s="5" cm="1">
        <f t="array" ref="L41">IFERROR(_xlfn.STDEV.S(IF((OutputTable[GroupByKey]=OutputTable[[#This Row],[GroupByKey]]),(OutputTable[GroupByKey]=OutputTable[[#This Row],[GroupByKey]])*OutputTable[RecordedValue])),0)</f>
        <v>3.0080475881637609E-2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1.9112222555672933E-2</v>
      </c>
      <c r="O41" s="5" cm="1">
        <f t="array" ref="O41">MIN(IF((OutputTable[GroupByKey]=OutputTable[[#This Row],[GroupByKey]]),(OutputTable[GroupByKey]=OutputTable[[#This Row],[GroupByKey]])*OutputTable[RecordedValue]))</f>
        <v>0.87408888428798603</v>
      </c>
      <c r="P41" s="5" cm="1">
        <f t="array" ref="P41">MAX(IF((OutputTable[GroupByKey]=OutputTable[[#This Row],[GroupByKey]]),(OutputTable[GroupByKey]=OutputTable[[#This Row],[GroupByKey]])*OutputTable[RecordedValue]))</f>
        <v>0.989515454392208</v>
      </c>
    </row>
    <row r="42" spans="1:16" x14ac:dyDescent="0.25">
      <c r="A42" t="s">
        <v>68</v>
      </c>
      <c r="B42" t="s">
        <v>70</v>
      </c>
      <c r="C42">
        <v>2</v>
      </c>
      <c r="D42" t="s">
        <v>129</v>
      </c>
      <c r="E42" t="s">
        <v>126</v>
      </c>
      <c r="F42" t="s">
        <v>99</v>
      </c>
      <c r="G42">
        <v>842</v>
      </c>
      <c r="H42">
        <v>0</v>
      </c>
      <c r="I42" s="5" t="str">
        <f>OutputTable[[#This Row],[ProjectName]]&amp;OutputTable[[#This Row],[Name]]&amp;OutputTable[[#This Row],[Type]]&amp;OutputTable[[#This Row],[Source]]</f>
        <v>Tener ArticulsorSacador.NumberSeizedTotal Number SeizedResource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12</v>
      </c>
      <c r="K42" s="5" cm="1">
        <f t="array" ref="K42">IFERROR(AVERAGE(IF((OutputTable[GroupByKey]=OutputTable[[#This Row],[GroupByKey]]),(OutputTable[GroupByKey]=OutputTable[[#This Row],[GroupByKey]])*OutputTable[RecordedValue])),0)</f>
        <v>795.66666666666663</v>
      </c>
      <c r="L42" s="5" cm="1">
        <f t="array" ref="L42">IFERROR(_xlfn.STDEV.S(IF((OutputTable[GroupByKey]=OutputTable[[#This Row],[GroupByKey]]),(OutputTable[GroupByKey]=OutputTable[[#This Row],[GroupByKey]])*OutputTable[RecordedValue])),0)</f>
        <v>34.623516268395946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21.998732705738043</v>
      </c>
      <c r="O42" s="5" cm="1">
        <f t="array" ref="O42">MIN(IF((OutputTable[GroupByKey]=OutputTable[[#This Row],[GroupByKey]]),(OutputTable[GroupByKey]=OutputTable[[#This Row],[GroupByKey]])*OutputTable[RecordedValue]))</f>
        <v>737</v>
      </c>
      <c r="P42" s="5" cm="1">
        <f t="array" ref="P42">MAX(IF((OutputTable[GroupByKey]=OutputTable[[#This Row],[GroupByKey]]),(OutputTable[GroupByKey]=OutputTable[[#This Row],[GroupByKey]])*OutputTable[RecordedValue]))</f>
        <v>842</v>
      </c>
    </row>
    <row r="43" spans="1:16" x14ac:dyDescent="0.25">
      <c r="A43" t="s">
        <v>68</v>
      </c>
      <c r="B43" t="s">
        <v>70</v>
      </c>
      <c r="C43">
        <v>2</v>
      </c>
      <c r="D43" t="s">
        <v>130</v>
      </c>
      <c r="E43" t="s">
        <v>128</v>
      </c>
      <c r="F43" t="s">
        <v>99</v>
      </c>
      <c r="G43">
        <v>0.79408347529050305</v>
      </c>
      <c r="H43">
        <v>0</v>
      </c>
      <c r="I43" s="5" t="str">
        <f>OutputTable[[#This Row],[ProjectName]]&amp;OutputTable[[#This Row],[Name]]&amp;OutputTable[[#This Row],[Type]]&amp;OutputTable[[#This Row],[Source]]</f>
        <v>Tener ArticulsorSacador.ScheduledUtilizationScheduled UtilizationResource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12</v>
      </c>
      <c r="K43" s="5" cm="1">
        <f t="array" ref="K43">IFERROR(AVERAGE(IF((OutputTable[GroupByKey]=OutputTable[[#This Row],[GroupByKey]]),(OutputTable[GroupByKey]=OutputTable[[#This Row],[GroupByKey]])*OutputTable[RecordedValue])),0)</f>
        <v>0.75499127770842467</v>
      </c>
      <c r="L43" s="5" cm="1">
        <f t="array" ref="L43">IFERROR(_xlfn.STDEV.S(IF((OutputTable[GroupByKey]=OutputTable[[#This Row],[GroupByKey]]),(OutputTable[GroupByKey]=OutputTable[[#This Row],[GroupByKey]])*OutputTable[RecordedValue])),0)</f>
        <v>3.0990673550046054E-2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1.9690534563658681E-2</v>
      </c>
      <c r="O43" s="5" cm="1">
        <f t="array" ref="O43">MIN(IF((OutputTable[GroupByKey]=OutputTable[[#This Row],[GroupByKey]]),(OutputTable[GroupByKey]=OutputTable[[#This Row],[GroupByKey]])*OutputTable[RecordedValue]))</f>
        <v>0.70281682687036895</v>
      </c>
      <c r="P43" s="5" cm="1">
        <f t="array" ref="P43">MAX(IF((OutputTable[GroupByKey]=OutputTable[[#This Row],[GroupByKey]]),(OutputTable[GroupByKey]=OutputTable[[#This Row],[GroupByKey]])*OutputTable[RecordedValue]))</f>
        <v>0.79676815469245998</v>
      </c>
    </row>
    <row r="44" spans="1:16" x14ac:dyDescent="0.25">
      <c r="A44" t="s">
        <v>68</v>
      </c>
      <c r="B44" t="s">
        <v>70</v>
      </c>
      <c r="C44">
        <v>3</v>
      </c>
      <c r="D44" t="s">
        <v>103</v>
      </c>
      <c r="E44" t="s">
        <v>104</v>
      </c>
      <c r="F44" t="s">
        <v>73</v>
      </c>
      <c r="G44">
        <v>836</v>
      </c>
      <c r="H44">
        <v>0</v>
      </c>
      <c r="I44" s="5" t="str">
        <f>OutputTable[[#This Row],[ProjectName]]&amp;OutputTable[[#This Row],[Name]]&amp;OutputTable[[#This Row],[Type]]&amp;OutputTable[[#This Row],[Source]]</f>
        <v>Tener ArticulsoArticulos.NumberInNumber InEntity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12</v>
      </c>
      <c r="K44" s="5" cm="1">
        <f t="array" ref="K44">IFERROR(AVERAGE(IF((OutputTable[GroupByKey]=OutputTable[[#This Row],[GroupByKey]]),(OutputTable[GroupByKey]=OutputTable[[#This Row],[GroupByKey]])*OutputTable[RecordedValue])),0)</f>
        <v>796.41666666666663</v>
      </c>
      <c r="L44" s="5" cm="1">
        <f t="array" ref="L44">IFERROR(_xlfn.STDEV.S(IF((OutputTable[GroupByKey]=OutputTable[[#This Row],[GroupByKey]]),(OutputTable[GroupByKey]=OutputTable[[#This Row],[GroupByKey]])*OutputTable[RecordedValue])),0)</f>
        <v>34.731328098924628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44" s="5" cm="1">
        <f t="array" ref="O44">MIN(IF((OutputTable[GroupByKey]=OutputTable[[#This Row],[GroupByKey]]),(OutputTable[GroupByKey]=OutputTable[[#This Row],[GroupByKey]])*OutputTable[RecordedValue]))</f>
        <v>737</v>
      </c>
      <c r="P44" s="5" cm="1">
        <f t="array" ref="P44">MAX(IF((OutputTable[GroupByKey]=OutputTable[[#This Row],[GroupByKey]]),(OutputTable[GroupByKey]=OutputTable[[#This Row],[GroupByKey]])*OutputTable[RecordedValue]))</f>
        <v>844</v>
      </c>
    </row>
    <row r="45" spans="1:16" x14ac:dyDescent="0.25">
      <c r="A45" t="s">
        <v>68</v>
      </c>
      <c r="B45" t="s">
        <v>70</v>
      </c>
      <c r="C45">
        <v>3</v>
      </c>
      <c r="D45" t="s">
        <v>105</v>
      </c>
      <c r="E45" t="s">
        <v>106</v>
      </c>
      <c r="F45" t="s">
        <v>73</v>
      </c>
      <c r="G45">
        <v>813</v>
      </c>
      <c r="H45">
        <v>0</v>
      </c>
      <c r="I45" s="5" t="str">
        <f>OutputTable[[#This Row],[ProjectName]]&amp;OutputTable[[#This Row],[Name]]&amp;OutputTable[[#This Row],[Type]]&amp;OutputTable[[#This Row],[Source]]</f>
        <v>Tener ArticulsoArticulos.NumberOutNumber OutEntity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12</v>
      </c>
      <c r="K45" s="5" cm="1">
        <f t="array" ref="K45">IFERROR(AVERAGE(IF((OutputTable[GroupByKey]=OutputTable[[#This Row],[GroupByKey]]),(OutputTable[GroupByKey]=OutputTable[[#This Row],[GroupByKey]])*OutputTable[RecordedValue])),0)</f>
        <v>783.16666666666663</v>
      </c>
      <c r="L45" s="5" cm="1">
        <f t="array" ref="L45">IFERROR(_xlfn.STDEV.S(IF((OutputTable[GroupByKey]=OutputTable[[#This Row],[GroupByKey]]),(OutputTable[GroupByKey]=OutputTable[[#This Row],[GroupByKey]])*OutputTable[RecordedValue])),0)</f>
        <v>31.541699191368682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20.040639553097002</v>
      </c>
      <c r="O45" s="5" cm="1">
        <f t="array" ref="O45">MIN(IF((OutputTable[GroupByKey]=OutputTable[[#This Row],[GroupByKey]]),(OutputTable[GroupByKey]=OutputTable[[#This Row],[GroupByKey]])*OutputTable[RecordedValue]))</f>
        <v>730</v>
      </c>
      <c r="P45" s="5" cm="1">
        <f t="array" ref="P45">MAX(IF((OutputTable[GroupByKey]=OutputTable[[#This Row],[GroupByKey]]),(OutputTable[GroupByKey]=OutputTable[[#This Row],[GroupByKey]])*OutputTable[RecordedValue]))</f>
        <v>826</v>
      </c>
    </row>
    <row r="46" spans="1:16" x14ac:dyDescent="0.25">
      <c r="A46" t="s">
        <v>68</v>
      </c>
      <c r="B46" t="s">
        <v>70</v>
      </c>
      <c r="C46">
        <v>3</v>
      </c>
      <c r="D46" t="s">
        <v>107</v>
      </c>
      <c r="E46" t="s">
        <v>104</v>
      </c>
      <c r="F46" t="s">
        <v>73</v>
      </c>
      <c r="G46">
        <v>1204</v>
      </c>
      <c r="H46">
        <v>0</v>
      </c>
      <c r="I46" s="5" t="str">
        <f>OutputTable[[#This Row],[ProjectName]]&amp;OutputTable[[#This Row],[Name]]&amp;OutputTable[[#This Row],[Type]]&amp;OutputTable[[#This Row],[Source]]</f>
        <v>Tener ArticulsoCarros.NumberInNumber InEntity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12</v>
      </c>
      <c r="K46" s="5" cm="1">
        <f t="array" ref="K46">IFERROR(AVERAGE(IF((OutputTable[GroupByKey]=OutputTable[[#This Row],[GroupByKey]]),(OutputTable[GroupByKey]=OutputTable[[#This Row],[GroupByKey]])*OutputTable[RecordedValue])),0)</f>
        <v>1145.9166666666667</v>
      </c>
      <c r="L46" s="5" cm="1">
        <f t="array" ref="L46">IFERROR(_xlfn.STDEV.S(IF((OutputTable[GroupByKey]=OutputTable[[#This Row],[GroupByKey]]),(OutputTable[GroupByKey]=OutputTable[[#This Row],[GroupByKey]])*OutputTable[RecordedValue])),0)</f>
        <v>49.73101891600696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31.597581939297463</v>
      </c>
      <c r="O46" s="5" cm="1">
        <f t="array" ref="O46">MIN(IF((OutputTable[GroupByKey]=OutputTable[[#This Row],[GroupByKey]]),(OutputTable[GroupByKey]=OutputTable[[#This Row],[GroupByKey]])*OutputTable[RecordedValue]))</f>
        <v>1059</v>
      </c>
      <c r="P46" s="5" cm="1">
        <f t="array" ref="P46">MAX(IF((OutputTable[GroupByKey]=OutputTable[[#This Row],[GroupByKey]]),(OutputTable[GroupByKey]=OutputTable[[#This Row],[GroupByKey]])*OutputTable[RecordedValue]))</f>
        <v>1210</v>
      </c>
    </row>
    <row r="47" spans="1:16" x14ac:dyDescent="0.25">
      <c r="A47" t="s">
        <v>68</v>
      </c>
      <c r="B47" t="s">
        <v>70</v>
      </c>
      <c r="C47">
        <v>3</v>
      </c>
      <c r="D47" t="s">
        <v>108</v>
      </c>
      <c r="E47" t="s">
        <v>106</v>
      </c>
      <c r="F47" t="s">
        <v>73</v>
      </c>
      <c r="G47">
        <v>1204</v>
      </c>
      <c r="H47">
        <v>0</v>
      </c>
      <c r="I47" s="5" t="str">
        <f>OutputTable[[#This Row],[ProjectName]]&amp;OutputTable[[#This Row],[Name]]&amp;OutputTable[[#This Row],[Type]]&amp;OutputTable[[#This Row],[Source]]</f>
        <v>Tener ArticulsoCarros.NumberOutNumber OutEntity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12</v>
      </c>
      <c r="K47" s="5" cm="1">
        <f t="array" ref="K47">IFERROR(AVERAGE(IF((OutputTable[GroupByKey]=OutputTable[[#This Row],[GroupByKey]]),(OutputTable[GroupByKey]=OutputTable[[#This Row],[GroupByKey]])*OutputTable[RecordedValue])),0)</f>
        <v>1145.3333333333333</v>
      </c>
      <c r="L47" s="5" cm="1">
        <f t="array" ref="L47">IFERROR(_xlfn.STDEV.S(IF((OutputTable[GroupByKey]=OutputTable[[#This Row],[GroupByKey]]),(OutputTable[GroupByKey]=OutputTable[[#This Row],[GroupByKey]])*OutputTable[RecordedValue])),0)</f>
        <v>49.816633464104832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31.651978827953357</v>
      </c>
      <c r="O47" s="5" cm="1">
        <f t="array" ref="O47">MIN(IF((OutputTable[GroupByKey]=OutputTable[[#This Row],[GroupByKey]]),(OutputTable[GroupByKey]=OutputTable[[#This Row],[GroupByKey]])*OutputTable[RecordedValue]))</f>
        <v>1059</v>
      </c>
      <c r="P47" s="5" cm="1">
        <f t="array" ref="P47">MAX(IF((OutputTable[GroupByKey]=OutputTable[[#This Row],[GroupByKey]]),(OutputTable[GroupByKey]=OutputTable[[#This Row],[GroupByKey]])*OutputTable[RecordedValue]))</f>
        <v>1210</v>
      </c>
    </row>
    <row r="48" spans="1:16" x14ac:dyDescent="0.25">
      <c r="A48" t="s">
        <v>68</v>
      </c>
      <c r="B48" t="s">
        <v>70</v>
      </c>
      <c r="C48">
        <v>3</v>
      </c>
      <c r="D48" t="s">
        <v>109</v>
      </c>
      <c r="E48" t="s">
        <v>110</v>
      </c>
      <c r="F48" t="s">
        <v>82</v>
      </c>
      <c r="G48">
        <v>840.77730126549898</v>
      </c>
      <c r="H48">
        <v>0</v>
      </c>
      <c r="I48" s="5" t="str">
        <f>OutputTable[[#This Row],[ProjectName]]&amp;OutputTable[[#This Row],[Name]]&amp;OutputTable[[#This Row],[Type]]&amp;OutputTable[[#This Row],[Source]]</f>
        <v>Tener ArticulsoDesembalaje Accum VA TimeAccum VA TimeProcess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12</v>
      </c>
      <c r="K48" s="5" cm="1">
        <f t="array" ref="K48">IFERROR(AVERAGE(IF((OutputTable[GroupByKey]=OutputTable[[#This Row],[GroupByKey]]),(OutputTable[GroupByKey]=OutputTable[[#This Row],[GroupByKey]])*OutputTable[RecordedValue])),0)</f>
        <v>783.216775239051</v>
      </c>
      <c r="L48" s="5" cm="1">
        <f t="array" ref="L48">IFERROR(_xlfn.STDEV.S(IF((OutputTable[GroupByKey]=OutputTable[[#This Row],[GroupByKey]]),(OutputTable[GroupByKey]=OutputTable[[#This Row],[GroupByKey]])*OutputTable[RecordedValue])),0)</f>
        <v>48.528923107513336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30.833806701313396</v>
      </c>
      <c r="O48" s="5" cm="1">
        <f t="array" ref="O48">MIN(IF((OutputTable[GroupByKey]=OutputTable[[#This Row],[GroupByKey]]),(OutputTable[GroupByKey]=OutputTable[[#This Row],[GroupByKey]])*OutputTable[RecordedValue]))</f>
        <v>678.52271145285295</v>
      </c>
      <c r="P48" s="5" cm="1">
        <f t="array" ref="P48">MAX(IF((OutputTable[GroupByKey]=OutputTable[[#This Row],[GroupByKey]]),(OutputTable[GroupByKey]=OutputTable[[#This Row],[GroupByKey]])*OutputTable[RecordedValue]))</f>
        <v>840.77730126549898</v>
      </c>
    </row>
    <row r="49" spans="1:16" x14ac:dyDescent="0.25">
      <c r="A49" t="s">
        <v>68</v>
      </c>
      <c r="B49" t="s">
        <v>70</v>
      </c>
      <c r="C49">
        <v>3</v>
      </c>
      <c r="D49" t="s">
        <v>111</v>
      </c>
      <c r="E49" t="s">
        <v>112</v>
      </c>
      <c r="F49" t="s">
        <v>82</v>
      </c>
      <c r="G49">
        <v>1012.863937084</v>
      </c>
      <c r="H49">
        <v>0</v>
      </c>
      <c r="I49" s="5" t="str">
        <f>OutputTable[[#This Row],[ProjectName]]&amp;OutputTable[[#This Row],[Name]]&amp;OutputTable[[#This Row],[Type]]&amp;OutputTable[[#This Row],[Source]]</f>
        <v>Tener ArticulsoDesembalaje Accum Wait TimeAccum Wait TimeProcess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12</v>
      </c>
      <c r="K49" s="5" cm="1">
        <f t="array" ref="K49">IFERROR(AVERAGE(IF((OutputTable[GroupByKey]=OutputTable[[#This Row],[GroupByKey]]),(OutputTable[GroupByKey]=OutputTable[[#This Row],[GroupByKey]])*OutputTable[RecordedValue])),0)</f>
        <v>811.48948897731191</v>
      </c>
      <c r="L49" s="5" cm="1">
        <f t="array" ref="L49">IFERROR(_xlfn.STDEV.S(IF((OutputTable[GroupByKey]=OutputTable[[#This Row],[GroupByKey]]),(OutputTable[GroupByKey]=OutputTable[[#This Row],[GroupByKey]])*OutputTable[RecordedValue])),0)</f>
        <v>143.72351593510379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91.317565381747087</v>
      </c>
      <c r="O49" s="5" cm="1">
        <f t="array" ref="O49">MIN(IF((OutputTable[GroupByKey]=OutputTable[[#This Row],[GroupByKey]]),(OutputTable[GroupByKey]=OutputTable[[#This Row],[GroupByKey]])*OutputTable[RecordedValue]))</f>
        <v>546.46370972178704</v>
      </c>
      <c r="P49" s="5" cm="1">
        <f t="array" ref="P49">MAX(IF((OutputTable[GroupByKey]=OutputTable[[#This Row],[GroupByKey]]),(OutputTable[GroupByKey]=OutputTable[[#This Row],[GroupByKey]])*OutputTable[RecordedValue]))</f>
        <v>1012.863937084</v>
      </c>
    </row>
    <row r="50" spans="1:16" x14ac:dyDescent="0.25">
      <c r="A50" t="s">
        <v>68</v>
      </c>
      <c r="B50" t="s">
        <v>70</v>
      </c>
      <c r="C50">
        <v>3</v>
      </c>
      <c r="D50" t="s">
        <v>113</v>
      </c>
      <c r="E50" t="s">
        <v>104</v>
      </c>
      <c r="F50" t="s">
        <v>82</v>
      </c>
      <c r="G50">
        <v>70</v>
      </c>
      <c r="H50">
        <v>0</v>
      </c>
      <c r="I50" s="5" t="str">
        <f>OutputTable[[#This Row],[ProjectName]]&amp;OutputTable[[#This Row],[Name]]&amp;OutputTable[[#This Row],[Type]]&amp;OutputTable[[#This Row],[Source]]</f>
        <v>Tener ArticulsoDesembalaje Number InNumber InProcess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12</v>
      </c>
      <c r="K50" s="5" cm="1">
        <f t="array" ref="K50">IFERROR(AVERAGE(IF((OutputTable[GroupByKey]=OutputTable[[#This Row],[GroupByKey]]),(OutputTable[GroupByKey]=OutputTable[[#This Row],[GroupByKey]])*OutputTable[RecordedValue])),0)</f>
        <v>66</v>
      </c>
      <c r="L50" s="5" cm="1">
        <f t="array" ref="L50">IFERROR(_xlfn.STDEV.S(IF((OutputTable[GroupByKey]=OutputTable[[#This Row],[GroupByKey]]),(OutputTable[GroupByKey]=OutputTable[[#This Row],[GroupByKey]])*OutputTable[RecordedValue])),0)</f>
        <v>4.1560470729681676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2.640626329283204</v>
      </c>
      <c r="O50" s="5" cm="1">
        <f t="array" ref="O50">MIN(IF((OutputTable[GroupByKey]=OutputTable[[#This Row],[GroupByKey]]),(OutputTable[GroupByKey]=OutputTable[[#This Row],[GroupByKey]])*OutputTable[RecordedValue]))</f>
        <v>59</v>
      </c>
      <c r="P50" s="5" cm="1">
        <f t="array" ref="P50">MAX(IF((OutputTable[GroupByKey]=OutputTable[[#This Row],[GroupByKey]]),(OutputTable[GroupByKey]=OutputTable[[#This Row],[GroupByKey]])*OutputTable[RecordedValue]))</f>
        <v>70</v>
      </c>
    </row>
    <row r="51" spans="1:16" x14ac:dyDescent="0.25">
      <c r="A51" t="s">
        <v>68</v>
      </c>
      <c r="B51" t="s">
        <v>70</v>
      </c>
      <c r="C51">
        <v>3</v>
      </c>
      <c r="D51" t="s">
        <v>114</v>
      </c>
      <c r="E51" t="s">
        <v>106</v>
      </c>
      <c r="F51" t="s">
        <v>82</v>
      </c>
      <c r="G51">
        <v>69</v>
      </c>
      <c r="H51">
        <v>0</v>
      </c>
      <c r="I51" s="5" t="str">
        <f>OutputTable[[#This Row],[ProjectName]]&amp;OutputTable[[#This Row],[Name]]&amp;OutputTable[[#This Row],[Type]]&amp;OutputTable[[#This Row],[Source]]</f>
        <v>Tener ArticulsoDesembalaje Number OutNumber OutProcess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12</v>
      </c>
      <c r="K51" s="5" cm="1">
        <f t="array" ref="K51">IFERROR(AVERAGE(IF((OutputTable[GroupByKey]=OutputTable[[#This Row],[GroupByKey]]),(OutputTable[GroupByKey]=OutputTable[[#This Row],[GroupByKey]])*OutputTable[RecordedValue])),0)</f>
        <v>65.083333333333329</v>
      </c>
      <c r="L51" s="5" cm="1">
        <f t="array" ref="L51">IFERROR(_xlfn.STDEV.S(IF((OutputTable[GroupByKey]=OutputTable[[#This Row],[GroupByKey]]),(OutputTable[GroupByKey]=OutputTable[[#This Row],[GroupByKey]])*OutputTable[RecordedValue])),0)</f>
        <v>4.2310182168734691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2.6882607215451362</v>
      </c>
      <c r="O51" s="5" cm="1">
        <f t="array" ref="O51">MIN(IF((OutputTable[GroupByKey]=OutputTable[[#This Row],[GroupByKey]]),(OutputTable[GroupByKey]=OutputTable[[#This Row],[GroupByKey]])*OutputTable[RecordedValue]))</f>
        <v>58</v>
      </c>
      <c r="P51" s="5" cm="1">
        <f t="array" ref="P51">MAX(IF((OutputTable[GroupByKey]=OutputTable[[#This Row],[GroupByKey]]),(OutputTable[GroupByKey]=OutputTable[[#This Row],[GroupByKey]])*OutputTable[RecordedValue]))</f>
        <v>69</v>
      </c>
    </row>
    <row r="52" spans="1:16" x14ac:dyDescent="0.25">
      <c r="A52" t="s">
        <v>68</v>
      </c>
      <c r="B52" t="s">
        <v>70</v>
      </c>
      <c r="C52">
        <v>3</v>
      </c>
      <c r="D52" t="s">
        <v>115</v>
      </c>
      <c r="E52" t="s">
        <v>110</v>
      </c>
      <c r="F52" t="s">
        <v>82</v>
      </c>
      <c r="G52">
        <v>1236.2115295308699</v>
      </c>
      <c r="H52">
        <v>0</v>
      </c>
      <c r="I52" s="5" t="str">
        <f>OutputTable[[#This Row],[ProjectName]]&amp;OutputTable[[#This Row],[Name]]&amp;OutputTable[[#This Row],[Type]]&amp;OutputTable[[#This Row],[Source]]</f>
        <v>Tener ArticulsoOrganizar Accum VA TimeAccum VA TimeProcess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12</v>
      </c>
      <c r="K52" s="5" cm="1">
        <f t="array" ref="K52">IFERROR(AVERAGE(IF((OutputTable[GroupByKey]=OutputTable[[#This Row],[GroupByKey]]),(OutputTable[GroupByKey]=OutputTable[[#This Row],[GroupByKey]])*OutputTable[RecordedValue])),0)</f>
        <v>1181.2622276627176</v>
      </c>
      <c r="L52" s="5" cm="1">
        <f t="array" ref="L52">IFERROR(_xlfn.STDEV.S(IF((OutputTable[GroupByKey]=OutputTable[[#This Row],[GroupByKey]]),(OutputTable[GroupByKey]=OutputTable[[#This Row],[GroupByKey]])*OutputTable[RecordedValue])),0)</f>
        <v>50.899735842094827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32.340149247203939</v>
      </c>
      <c r="O52" s="5" cm="1">
        <f t="array" ref="O52">MIN(IF((OutputTable[GroupByKey]=OutputTable[[#This Row],[GroupByKey]]),(OutputTable[GroupByKey]=OutputTable[[#This Row],[GroupByKey]])*OutputTable[RecordedValue]))</f>
        <v>1106.0350367697699</v>
      </c>
      <c r="P52" s="5" cm="1">
        <f t="array" ref="P52">MAX(IF((OutputTable[GroupByKey]=OutputTable[[#This Row],[GroupByKey]]),(OutputTable[GroupByKey]=OutputTable[[#This Row],[GroupByKey]])*OutputTable[RecordedValue]))</f>
        <v>1255.97830087074</v>
      </c>
    </row>
    <row r="53" spans="1:16" x14ac:dyDescent="0.25">
      <c r="A53" t="s">
        <v>68</v>
      </c>
      <c r="B53" t="s">
        <v>70</v>
      </c>
      <c r="C53">
        <v>3</v>
      </c>
      <c r="D53" t="s">
        <v>116</v>
      </c>
      <c r="E53" t="s">
        <v>112</v>
      </c>
      <c r="F53" t="s">
        <v>82</v>
      </c>
      <c r="G53">
        <v>17929.322696675899</v>
      </c>
      <c r="H53">
        <v>0</v>
      </c>
      <c r="I53" s="5" t="str">
        <f>OutputTable[[#This Row],[ProjectName]]&amp;OutputTable[[#This Row],[Name]]&amp;OutputTable[[#This Row],[Type]]&amp;OutputTable[[#This Row],[Source]]</f>
        <v>Tener ArticulsoOrganizar Accum Wait TimeAccum Wait TimeProcess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12</v>
      </c>
      <c r="K53" s="5" cm="1">
        <f t="array" ref="K53">IFERROR(AVERAGE(IF((OutputTable[GroupByKey]=OutputTable[[#This Row],[GroupByKey]]),(OutputTable[GroupByKey]=OutputTable[[#This Row],[GroupByKey]])*OutputTable[RecordedValue])),0)</f>
        <v>14481.366678807759</v>
      </c>
      <c r="L53" s="5" cm="1">
        <f t="array" ref="L53">IFERROR(_xlfn.STDEV.S(IF((OutputTable[GroupByKey]=OutputTable[[#This Row],[GroupByKey]]),(OutputTable[GroupByKey]=OutputTable[[#This Row],[GroupByKey]])*OutputTable[RecordedValue])),0)</f>
        <v>2869.9645631781104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1823.4884871564914</v>
      </c>
      <c r="O53" s="5" cm="1">
        <f t="array" ref="O53">MIN(IF((OutputTable[GroupByKey]=OutputTable[[#This Row],[GroupByKey]]),(OutputTable[GroupByKey]=OutputTable[[#This Row],[GroupByKey]])*OutputTable[RecordedValue]))</f>
        <v>9643.84605851171</v>
      </c>
      <c r="P53" s="5" cm="1">
        <f t="array" ref="P53">MAX(IF((OutputTable[GroupByKey]=OutputTable[[#This Row],[GroupByKey]]),(OutputTable[GroupByKey]=OutputTable[[#This Row],[GroupByKey]])*OutputTable[RecordedValue]))</f>
        <v>18159.7018308675</v>
      </c>
    </row>
    <row r="54" spans="1:16" x14ac:dyDescent="0.25">
      <c r="A54" t="s">
        <v>68</v>
      </c>
      <c r="B54" t="s">
        <v>70</v>
      </c>
      <c r="C54">
        <v>3</v>
      </c>
      <c r="D54" t="s">
        <v>117</v>
      </c>
      <c r="E54" t="s">
        <v>104</v>
      </c>
      <c r="F54" t="s">
        <v>82</v>
      </c>
      <c r="G54">
        <v>833</v>
      </c>
      <c r="H54">
        <v>0</v>
      </c>
      <c r="I54" s="5" t="str">
        <f>OutputTable[[#This Row],[ProjectName]]&amp;OutputTable[[#This Row],[Name]]&amp;OutputTable[[#This Row],[Type]]&amp;OutputTable[[#This Row],[Source]]</f>
        <v>Tener ArticulsoOrganizar Number InNumber InProcess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12</v>
      </c>
      <c r="K54" s="5" cm="1">
        <f t="array" ref="K54">IFERROR(AVERAGE(IF((OutputTable[GroupByKey]=OutputTable[[#This Row],[GroupByKey]]),(OutputTable[GroupByKey]=OutputTable[[#This Row],[GroupByKey]])*OutputTable[RecordedValue])),0)</f>
        <v>794.91666666666663</v>
      </c>
      <c r="L54" s="5" cm="1">
        <f t="array" ref="L54">IFERROR(_xlfn.STDEV.S(IF((OutputTable[GroupByKey]=OutputTable[[#This Row],[GroupByKey]]),(OutputTable[GroupByKey]=OutputTable[[#This Row],[GroupByKey]])*OutputTable[RecordedValue])),0)</f>
        <v>34.394656914154915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21.853322409391229</v>
      </c>
      <c r="O54" s="5" cm="1">
        <f t="array" ref="O54">MIN(IF((OutputTable[GroupByKey]=OutputTable[[#This Row],[GroupByKey]]),(OutputTable[GroupByKey]=OutputTable[[#This Row],[GroupByKey]])*OutputTable[RecordedValue]))</f>
        <v>737</v>
      </c>
      <c r="P54" s="5" cm="1">
        <f t="array" ref="P54">MAX(IF((OutputTable[GroupByKey]=OutputTable[[#This Row],[GroupByKey]]),(OutputTable[GroupByKey]=OutputTable[[#This Row],[GroupByKey]])*OutputTable[RecordedValue]))</f>
        <v>841</v>
      </c>
    </row>
    <row r="55" spans="1:16" x14ac:dyDescent="0.25">
      <c r="A55" t="s">
        <v>68</v>
      </c>
      <c r="B55" t="s">
        <v>70</v>
      </c>
      <c r="C55">
        <v>3</v>
      </c>
      <c r="D55" t="s">
        <v>118</v>
      </c>
      <c r="E55" t="s">
        <v>106</v>
      </c>
      <c r="F55" t="s">
        <v>82</v>
      </c>
      <c r="G55">
        <v>821</v>
      </c>
      <c r="H55">
        <v>0</v>
      </c>
      <c r="I55" s="5" t="str">
        <f>OutputTable[[#This Row],[ProjectName]]&amp;OutputTable[[#This Row],[Name]]&amp;OutputTable[[#This Row],[Type]]&amp;OutputTable[[#This Row],[Source]]</f>
        <v>Tener ArticulsoOrganizar Number OutNumber OutProcess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12</v>
      </c>
      <c r="K55" s="5" cm="1">
        <f t="array" ref="K55">IFERROR(AVERAGE(IF((OutputTable[GroupByKey]=OutputTable[[#This Row],[GroupByKey]]),(OutputTable[GroupByKey]=OutputTable[[#This Row],[GroupByKey]])*OutputTable[RecordedValue])),0)</f>
        <v>786</v>
      </c>
      <c r="L55" s="5" cm="1">
        <f t="array" ref="L55">IFERROR(_xlfn.STDEV.S(IF((OutputTable[GroupByKey]=OutputTable[[#This Row],[GroupByKey]]),(OutputTable[GroupByKey]=OutputTable[[#This Row],[GroupByKey]])*OutputTable[RecordedValue])),0)</f>
        <v>32.741411087489801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20.80290012542233</v>
      </c>
      <c r="O55" s="5" cm="1">
        <f t="array" ref="O55">MIN(IF((OutputTable[GroupByKey]=OutputTable[[#This Row],[GroupByKey]]),(OutputTable[GroupByKey]=OutputTable[[#This Row],[GroupByKey]])*OutputTable[RecordedValue]))</f>
        <v>732</v>
      </c>
      <c r="P55" s="5" cm="1">
        <f t="array" ref="P55">MAX(IF((OutputTable[GroupByKey]=OutputTable[[#This Row],[GroupByKey]]),(OutputTable[GroupByKey]=OutputTable[[#This Row],[GroupByKey]])*OutputTable[RecordedValue]))</f>
        <v>829</v>
      </c>
    </row>
    <row r="56" spans="1:16" x14ac:dyDescent="0.25">
      <c r="A56" t="s">
        <v>68</v>
      </c>
      <c r="B56" t="s">
        <v>70</v>
      </c>
      <c r="C56">
        <v>3</v>
      </c>
      <c r="D56" t="s">
        <v>119</v>
      </c>
      <c r="E56" t="s">
        <v>110</v>
      </c>
      <c r="F56" t="s">
        <v>82</v>
      </c>
      <c r="G56">
        <v>1635.0268698493601</v>
      </c>
      <c r="H56">
        <v>0</v>
      </c>
      <c r="I56" s="5" t="str">
        <f>OutputTable[[#This Row],[ProjectName]]&amp;OutputTable[[#This Row],[Name]]&amp;OutputTable[[#This Row],[Type]]&amp;OutputTable[[#This Row],[Source]]</f>
        <v>Tener ArticulsoSacar Articulos Accum VA TimeAccum VA TimeProcess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12</v>
      </c>
      <c r="K56" s="5" cm="1">
        <f t="array" ref="K56">IFERROR(AVERAGE(IF((OutputTable[GroupByKey]=OutputTable[[#This Row],[GroupByKey]]),(OutputTable[GroupByKey]=OutputTable[[#This Row],[GroupByKey]])*OutputTable[RecordedValue])),0)</f>
        <v>1584.7600747574054</v>
      </c>
      <c r="L56" s="5" cm="1">
        <f t="array" ref="L56">IFERROR(_xlfn.STDEV.S(IF((OutputTable[GroupByKey]=OutputTable[[#This Row],[GroupByKey]]),(OutputTable[GroupByKey]=OutputTable[[#This Row],[GroupByKey]])*OutputTable[RecordedValue])),0)</f>
        <v>65.199632506816158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41.425870119928376</v>
      </c>
      <c r="O56" s="5" cm="1">
        <f t="array" ref="O56">MIN(IF((OutputTable[GroupByKey]=OutputTable[[#This Row],[GroupByKey]]),(OutputTable[GroupByKey]=OutputTable[[#This Row],[GroupByKey]])*OutputTable[RecordedValue]))</f>
        <v>1473.78349566985</v>
      </c>
      <c r="P56" s="5" cm="1">
        <f t="array" ref="P56">MAX(IF((OutputTable[GroupByKey]=OutputTable[[#This Row],[GroupByKey]]),(OutputTable[GroupByKey]=OutputTable[[#This Row],[GroupByKey]])*OutputTable[RecordedValue]))</f>
        <v>1673.21312485417</v>
      </c>
    </row>
    <row r="57" spans="1:16" x14ac:dyDescent="0.25">
      <c r="A57" t="s">
        <v>68</v>
      </c>
      <c r="B57" t="s">
        <v>70</v>
      </c>
      <c r="C57">
        <v>3</v>
      </c>
      <c r="D57" t="s">
        <v>120</v>
      </c>
      <c r="E57" t="s">
        <v>112</v>
      </c>
      <c r="F57" t="s">
        <v>82</v>
      </c>
      <c r="G57">
        <v>1208.0428956866999</v>
      </c>
      <c r="H57">
        <v>0</v>
      </c>
      <c r="I57" s="5" t="str">
        <f>OutputTable[[#This Row],[ProjectName]]&amp;OutputTable[[#This Row],[Name]]&amp;OutputTable[[#This Row],[Type]]&amp;OutputTable[[#This Row],[Source]]</f>
        <v>Tener ArticulsoSacar Articulos Accum Wait TimeAccum Wait TimeProcess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12</v>
      </c>
      <c r="K57" s="5" cm="1">
        <f t="array" ref="K57">IFERROR(AVERAGE(IF((OutputTable[GroupByKey]=OutputTable[[#This Row],[GroupByKey]]),(OutputTable[GroupByKey]=OutputTable[[#This Row],[GroupByKey]])*OutputTable[RecordedValue])),0)</f>
        <v>1151.8667665386067</v>
      </c>
      <c r="L57" s="5" cm="1">
        <f t="array" ref="L57">IFERROR(_xlfn.STDEV.S(IF((OutputTable[GroupByKey]=OutputTable[[#This Row],[GroupByKey]]),(OutputTable[GroupByKey]=OutputTable[[#This Row],[GroupByKey]])*OutputTable[RecordedValue])),0)</f>
        <v>58.761364856103697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37.335190015744239</v>
      </c>
      <c r="O57" s="5" cm="1">
        <f t="array" ref="O57">MIN(IF((OutputTable[GroupByKey]=OutputTable[[#This Row],[GroupByKey]]),(OutputTable[GroupByKey]=OutputTable[[#This Row],[GroupByKey]])*OutputTable[RecordedValue]))</f>
        <v>1064.4971115521701</v>
      </c>
      <c r="P57" s="5" cm="1">
        <f t="array" ref="P57">MAX(IF((OutputTable[GroupByKey]=OutputTable[[#This Row],[GroupByKey]]),(OutputTable[GroupByKey]=OutputTable[[#This Row],[GroupByKey]])*OutputTable[RecordedValue]))</f>
        <v>1232.84038930315</v>
      </c>
    </row>
    <row r="58" spans="1:16" x14ac:dyDescent="0.25">
      <c r="A58" t="s">
        <v>68</v>
      </c>
      <c r="B58" t="s">
        <v>70</v>
      </c>
      <c r="C58">
        <v>3</v>
      </c>
      <c r="D58" t="s">
        <v>121</v>
      </c>
      <c r="E58" t="s">
        <v>104</v>
      </c>
      <c r="F58" t="s">
        <v>82</v>
      </c>
      <c r="G58">
        <v>836</v>
      </c>
      <c r="H58">
        <v>0</v>
      </c>
      <c r="I58" s="5" t="str">
        <f>OutputTable[[#This Row],[ProjectName]]&amp;OutputTable[[#This Row],[Name]]&amp;OutputTable[[#This Row],[Type]]&amp;OutputTable[[#This Row],[Source]]</f>
        <v>Tener ArticulsoSacar Articulos Number InNumber InProcess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12</v>
      </c>
      <c r="K58" s="5" cm="1">
        <f t="array" ref="K58">IFERROR(AVERAGE(IF((OutputTable[GroupByKey]=OutputTable[[#This Row],[GroupByKey]]),(OutputTable[GroupByKey]=OutputTable[[#This Row],[GroupByKey]])*OutputTable[RecordedValue])),0)</f>
        <v>796.41666666666663</v>
      </c>
      <c r="L58" s="5" cm="1">
        <f t="array" ref="L58">IFERROR(_xlfn.STDEV.S(IF((OutputTable[GroupByKey]=OutputTable[[#This Row],[GroupByKey]]),(OutputTable[GroupByKey]=OutputTable[[#This Row],[GroupByKey]])*OutputTable[RecordedValue])),0)</f>
        <v>34.731328098924628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58" s="5" cm="1">
        <f t="array" ref="O58">MIN(IF((OutputTable[GroupByKey]=OutputTable[[#This Row],[GroupByKey]]),(OutputTable[GroupByKey]=OutputTable[[#This Row],[GroupByKey]])*OutputTable[RecordedValue]))</f>
        <v>737</v>
      </c>
      <c r="P58" s="5" cm="1">
        <f t="array" ref="P58">MAX(IF((OutputTable[GroupByKey]=OutputTable[[#This Row],[GroupByKey]]),(OutputTable[GroupByKey]=OutputTable[[#This Row],[GroupByKey]])*OutputTable[RecordedValue]))</f>
        <v>844</v>
      </c>
    </row>
    <row r="59" spans="1:16" x14ac:dyDescent="0.25">
      <c r="A59" t="s">
        <v>68</v>
      </c>
      <c r="B59" t="s">
        <v>70</v>
      </c>
      <c r="C59">
        <v>3</v>
      </c>
      <c r="D59" t="s">
        <v>122</v>
      </c>
      <c r="E59" t="s">
        <v>106</v>
      </c>
      <c r="F59" t="s">
        <v>82</v>
      </c>
      <c r="G59">
        <v>834</v>
      </c>
      <c r="H59">
        <v>0</v>
      </c>
      <c r="I59" s="5" t="str">
        <f>OutputTable[[#This Row],[ProjectName]]&amp;OutputTable[[#This Row],[Name]]&amp;OutputTable[[#This Row],[Type]]&amp;OutputTable[[#This Row],[Source]]</f>
        <v>Tener ArticulsoSacar Articulos Number OutNumber OutProcess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12</v>
      </c>
      <c r="K59" s="5" cm="1">
        <f t="array" ref="K59">IFERROR(AVERAGE(IF((OutputTable[GroupByKey]=OutputTable[[#This Row],[GroupByKey]]),(OutputTable[GroupByKey]=OutputTable[[#This Row],[GroupByKey]])*OutputTable[RecordedValue])),0)</f>
        <v>795.08333333333337</v>
      </c>
      <c r="L59" s="5" cm="1">
        <f t="array" ref="L59">IFERROR(_xlfn.STDEV.S(IF((OutputTable[GroupByKey]=OutputTable[[#This Row],[GroupByKey]]),(OutputTable[GroupByKey]=OutputTable[[#This Row],[GroupByKey]])*OutputTable[RecordedValue])),0)</f>
        <v>34.510758094287411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21.927089579910728</v>
      </c>
      <c r="O59" s="5" cm="1">
        <f t="array" ref="O59">MIN(IF((OutputTable[GroupByKey]=OutputTable[[#This Row],[GroupByKey]]),(OutputTable[GroupByKey]=OutputTable[[#This Row],[GroupByKey]])*OutputTable[RecordedValue]))</f>
        <v>737</v>
      </c>
      <c r="P59" s="5" cm="1">
        <f t="array" ref="P59">MAX(IF((OutputTable[GroupByKey]=OutputTable[[#This Row],[GroupByKey]]),(OutputTable[GroupByKey]=OutputTable[[#This Row],[GroupByKey]])*OutputTable[RecordedValue]))</f>
        <v>841</v>
      </c>
    </row>
    <row r="60" spans="1:16" x14ac:dyDescent="0.25">
      <c r="A60" t="s">
        <v>68</v>
      </c>
      <c r="B60" t="s">
        <v>70</v>
      </c>
      <c r="C60">
        <v>3</v>
      </c>
      <c r="D60" t="s">
        <v>123</v>
      </c>
      <c r="E60" t="s">
        <v>106</v>
      </c>
      <c r="F60" t="s">
        <v>124</v>
      </c>
      <c r="G60">
        <v>1181</v>
      </c>
      <c r="H60">
        <v>0</v>
      </c>
      <c r="I60" s="5" t="str">
        <f>OutputTable[[#This Row],[ProjectName]]&amp;OutputTable[[#This Row],[Name]]&amp;OutputTable[[#This Row],[Type]]&amp;OutputTable[[#This Row],[Source]]</f>
        <v>Tener ArticulsoSystem.NumberOutNumber OutSystem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12</v>
      </c>
      <c r="K60" s="5" cm="1">
        <f t="array" ref="K60">IFERROR(AVERAGE(IF((OutputTable[GroupByKey]=OutputTable[[#This Row],[GroupByKey]]),(OutputTable[GroupByKey]=OutputTable[[#This Row],[GroupByKey]])*OutputTable[RecordedValue])),0)</f>
        <v>1132.0833333333333</v>
      </c>
      <c r="L60" s="5" cm="1">
        <f t="array" ref="L60">IFERROR(_xlfn.STDEV.S(IF((OutputTable[GroupByKey]=OutputTable[[#This Row],[GroupByKey]]),(OutputTable[GroupByKey]=OutputTable[[#This Row],[GroupByKey]])*OutputTable[RecordedValue])),0)</f>
        <v>46.640712479614429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29.634094905050876</v>
      </c>
      <c r="O60" s="5" cm="1">
        <f t="array" ref="O60">MIN(IF((OutputTable[GroupByKey]=OutputTable[[#This Row],[GroupByKey]]),(OutputTable[GroupByKey]=OutputTable[[#This Row],[GroupByKey]])*OutputTable[RecordedValue]))</f>
        <v>1052</v>
      </c>
      <c r="P60" s="5" cm="1">
        <f t="array" ref="P60">MAX(IF((OutputTable[GroupByKey]=OutputTable[[#This Row],[GroupByKey]]),(OutputTable[GroupByKey]=OutputTable[[#This Row],[GroupByKey]])*OutputTable[RecordedValue]))</f>
        <v>1192</v>
      </c>
    </row>
    <row r="61" spans="1:16" x14ac:dyDescent="0.25">
      <c r="A61" t="s">
        <v>68</v>
      </c>
      <c r="B61" t="s">
        <v>70</v>
      </c>
      <c r="C61">
        <v>3</v>
      </c>
      <c r="D61" t="s">
        <v>125</v>
      </c>
      <c r="E61" t="s">
        <v>126</v>
      </c>
      <c r="F61" t="s">
        <v>99</v>
      </c>
      <c r="G61">
        <v>891</v>
      </c>
      <c r="H61">
        <v>0</v>
      </c>
      <c r="I61" s="5" t="str">
        <f>OutputTable[[#This Row],[ProjectName]]&amp;OutputTable[[#This Row],[Name]]&amp;OutputTable[[#This Row],[Type]]&amp;OutputTable[[#This Row],[Source]]</f>
        <v>Tener ArticulsorOrganizdor.NumberSeizedTotal Number SeizedResource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12</v>
      </c>
      <c r="K61" s="5" cm="1">
        <f t="array" ref="K61">IFERROR(AVERAGE(IF((OutputTable[GroupByKey]=OutputTable[[#This Row],[GroupByKey]]),(OutputTable[GroupByKey]=OutputTable[[#This Row],[GroupByKey]])*OutputTable[RecordedValue])),0)</f>
        <v>852.08333333333337</v>
      </c>
      <c r="L61" s="5" cm="1">
        <f t="array" ref="L61">IFERROR(_xlfn.STDEV.S(IF((OutputTable[GroupByKey]=OutputTable[[#This Row],[GroupByKey]]),(OutputTable[GroupByKey]=OutputTable[[#This Row],[GroupByKey]])*OutputTable[RecordedValue])),0)</f>
        <v>32.103407730002552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20.397532131659759</v>
      </c>
      <c r="O61" s="5" cm="1">
        <f t="array" ref="O61">MIN(IF((OutputTable[GroupByKey]=OutputTable[[#This Row],[GroupByKey]]),(OutputTable[GroupByKey]=OutputTable[[#This Row],[GroupByKey]])*OutputTable[RecordedValue]))</f>
        <v>800</v>
      </c>
      <c r="P61" s="5" cm="1">
        <f t="array" ref="P61">MAX(IF((OutputTable[GroupByKey]=OutputTable[[#This Row],[GroupByKey]]),(OutputTable[GroupByKey]=OutputTable[[#This Row],[GroupByKey]])*OutputTable[RecordedValue]))</f>
        <v>893</v>
      </c>
    </row>
    <row r="62" spans="1:16" x14ac:dyDescent="0.25">
      <c r="A62" t="s">
        <v>68</v>
      </c>
      <c r="B62" t="s">
        <v>70</v>
      </c>
      <c r="C62">
        <v>3</v>
      </c>
      <c r="D62" t="s">
        <v>127</v>
      </c>
      <c r="E62" t="s">
        <v>128</v>
      </c>
      <c r="F62" t="s">
        <v>99</v>
      </c>
      <c r="G62">
        <v>0.989515454392208</v>
      </c>
      <c r="H62">
        <v>0</v>
      </c>
      <c r="I62" s="5" t="str">
        <f>OutputTable[[#This Row],[ProjectName]]&amp;OutputTable[[#This Row],[Name]]&amp;OutputTable[[#This Row],[Type]]&amp;OutputTable[[#This Row],[Source]]</f>
        <v>Tener ArticulsorOrganizdor.ScheduledUtilizationScheduled UtilizationResource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12</v>
      </c>
      <c r="K62" s="5" cm="1">
        <f t="array" ref="K62">IFERROR(AVERAGE(IF((OutputTable[GroupByKey]=OutputTable[[#This Row],[GroupByKey]]),(OutputTable[GroupByKey]=OutputTable[[#This Row],[GroupByKey]])*OutputTable[RecordedValue])),0)</f>
        <v>0.93693413710063267</v>
      </c>
      <c r="L62" s="5" cm="1">
        <f t="array" ref="L62">IFERROR(_xlfn.STDEV.S(IF((OutputTable[GroupByKey]=OutputTable[[#This Row],[GroupByKey]]),(OutputTable[GroupByKey]=OutputTable[[#This Row],[GroupByKey]])*OutputTable[RecordedValue])),0)</f>
        <v>3.0080475881637609E-2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1.9112222555672933E-2</v>
      </c>
      <c r="O62" s="5" cm="1">
        <f t="array" ref="O62">MIN(IF((OutputTable[GroupByKey]=OutputTable[[#This Row],[GroupByKey]]),(OutputTable[GroupByKey]=OutputTable[[#This Row],[GroupByKey]])*OutputTable[RecordedValue]))</f>
        <v>0.87408888428798603</v>
      </c>
      <c r="P62" s="5" cm="1">
        <f t="array" ref="P62">MAX(IF((OutputTable[GroupByKey]=OutputTable[[#This Row],[GroupByKey]]),(OutputTable[GroupByKey]=OutputTable[[#This Row],[GroupByKey]])*OutputTable[RecordedValue]))</f>
        <v>0.989515454392208</v>
      </c>
    </row>
    <row r="63" spans="1:16" x14ac:dyDescent="0.25">
      <c r="A63" t="s">
        <v>68</v>
      </c>
      <c r="B63" t="s">
        <v>70</v>
      </c>
      <c r="C63">
        <v>3</v>
      </c>
      <c r="D63" t="s">
        <v>129</v>
      </c>
      <c r="E63" t="s">
        <v>126</v>
      </c>
      <c r="F63" t="s">
        <v>99</v>
      </c>
      <c r="G63">
        <v>835</v>
      </c>
      <c r="H63">
        <v>0</v>
      </c>
      <c r="I63" s="5" t="str">
        <f>OutputTable[[#This Row],[ProjectName]]&amp;OutputTable[[#This Row],[Name]]&amp;OutputTable[[#This Row],[Type]]&amp;OutputTable[[#This Row],[Source]]</f>
        <v>Tener ArticulsorSacador.NumberSeizedTotal Number SeizedResource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12</v>
      </c>
      <c r="K63" s="5" cm="1">
        <f t="array" ref="K63">IFERROR(AVERAGE(IF((OutputTable[GroupByKey]=OutputTable[[#This Row],[GroupByKey]]),(OutputTable[GroupByKey]=OutputTable[[#This Row],[GroupByKey]])*OutputTable[RecordedValue])),0)</f>
        <v>795.66666666666663</v>
      </c>
      <c r="L63" s="5" cm="1">
        <f t="array" ref="L63">IFERROR(_xlfn.STDEV.S(IF((OutputTable[GroupByKey]=OutputTable[[#This Row],[GroupByKey]]),(OutputTable[GroupByKey]=OutputTable[[#This Row],[GroupByKey]])*OutputTable[RecordedValue])),0)</f>
        <v>34.623516268395946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21.998732705738043</v>
      </c>
      <c r="O63" s="5" cm="1">
        <f t="array" ref="O63">MIN(IF((OutputTable[GroupByKey]=OutputTable[[#This Row],[GroupByKey]]),(OutputTable[GroupByKey]=OutputTable[[#This Row],[GroupByKey]])*OutputTable[RecordedValue]))</f>
        <v>737</v>
      </c>
      <c r="P63" s="5" cm="1">
        <f t="array" ref="P63">MAX(IF((OutputTable[GroupByKey]=OutputTable[[#This Row],[GroupByKey]]),(OutputTable[GroupByKey]=OutputTable[[#This Row],[GroupByKey]])*OutputTable[RecordedValue]))</f>
        <v>842</v>
      </c>
    </row>
    <row r="64" spans="1:16" x14ac:dyDescent="0.25">
      <c r="A64" t="s">
        <v>68</v>
      </c>
      <c r="B64" t="s">
        <v>70</v>
      </c>
      <c r="C64">
        <v>3</v>
      </c>
      <c r="D64" t="s">
        <v>130</v>
      </c>
      <c r="E64" t="s">
        <v>128</v>
      </c>
      <c r="F64" t="s">
        <v>99</v>
      </c>
      <c r="G64">
        <v>0.77912326322433201</v>
      </c>
      <c r="H64">
        <v>0</v>
      </c>
      <c r="I64" s="5" t="str">
        <f>OutputTable[[#This Row],[ProjectName]]&amp;OutputTable[[#This Row],[Name]]&amp;OutputTable[[#This Row],[Type]]&amp;OutputTable[[#This Row],[Source]]</f>
        <v>Tener ArticulsorSacador.ScheduledUtilizationScheduled UtilizationResource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12</v>
      </c>
      <c r="K64" s="5" cm="1">
        <f t="array" ref="K64">IFERROR(AVERAGE(IF((OutputTable[GroupByKey]=OutputTable[[#This Row],[GroupByKey]]),(OutputTable[GroupByKey]=OutputTable[[#This Row],[GroupByKey]])*OutputTable[RecordedValue])),0)</f>
        <v>0.75499127770842467</v>
      </c>
      <c r="L64" s="5" cm="1">
        <f t="array" ref="L64">IFERROR(_xlfn.STDEV.S(IF((OutputTable[GroupByKey]=OutputTable[[#This Row],[GroupByKey]]),(OutputTable[GroupByKey]=OutputTable[[#This Row],[GroupByKey]])*OutputTable[RecordedValue])),0)</f>
        <v>3.0990673550046054E-2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1.9690534563658681E-2</v>
      </c>
      <c r="O64" s="5" cm="1">
        <f t="array" ref="O64">MIN(IF((OutputTable[GroupByKey]=OutputTable[[#This Row],[GroupByKey]]),(OutputTable[GroupByKey]=OutputTable[[#This Row],[GroupByKey]])*OutputTable[RecordedValue]))</f>
        <v>0.70281682687036895</v>
      </c>
      <c r="P64" s="5" cm="1">
        <f t="array" ref="P64">MAX(IF((OutputTable[GroupByKey]=OutputTable[[#This Row],[GroupByKey]]),(OutputTable[GroupByKey]=OutputTable[[#This Row],[GroupByKey]])*OutputTable[RecordedValue]))</f>
        <v>0.79676815469245998</v>
      </c>
    </row>
    <row r="65" spans="1:16" x14ac:dyDescent="0.25">
      <c r="A65" t="s">
        <v>68</v>
      </c>
      <c r="B65" t="s">
        <v>70</v>
      </c>
      <c r="C65">
        <v>4</v>
      </c>
      <c r="D65" t="s">
        <v>103</v>
      </c>
      <c r="E65" t="s">
        <v>104</v>
      </c>
      <c r="F65" t="s">
        <v>73</v>
      </c>
      <c r="G65">
        <v>835</v>
      </c>
      <c r="H65">
        <v>0</v>
      </c>
      <c r="I65" s="5" t="str">
        <f>OutputTable[[#This Row],[ProjectName]]&amp;OutputTable[[#This Row],[Name]]&amp;OutputTable[[#This Row],[Type]]&amp;OutputTable[[#This Row],[Source]]</f>
        <v>Tener ArticulsoArticulos.NumberInNumber InEntity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12</v>
      </c>
      <c r="K65" s="5" cm="1">
        <f t="array" ref="K65">IFERROR(AVERAGE(IF((OutputTable[GroupByKey]=OutputTable[[#This Row],[GroupByKey]]),(OutputTable[GroupByKey]=OutputTable[[#This Row],[GroupByKey]])*OutputTable[RecordedValue])),0)</f>
        <v>796.41666666666663</v>
      </c>
      <c r="L65" s="5" cm="1">
        <f t="array" ref="L65">IFERROR(_xlfn.STDEV.S(IF((OutputTable[GroupByKey]=OutputTable[[#This Row],[GroupByKey]]),(OutputTable[GroupByKey]=OutputTable[[#This Row],[GroupByKey]])*OutputTable[RecordedValue])),0)</f>
        <v>34.731328098924628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65" s="5" cm="1">
        <f t="array" ref="O65">MIN(IF((OutputTable[GroupByKey]=OutputTable[[#This Row],[GroupByKey]]),(OutputTable[GroupByKey]=OutputTable[[#This Row],[GroupByKey]])*OutputTable[RecordedValue]))</f>
        <v>737</v>
      </c>
      <c r="P65" s="5" cm="1">
        <f t="array" ref="P65">MAX(IF((OutputTable[GroupByKey]=OutputTable[[#This Row],[GroupByKey]]),(OutputTable[GroupByKey]=OutputTable[[#This Row],[GroupByKey]])*OutputTable[RecordedValue]))</f>
        <v>844</v>
      </c>
    </row>
    <row r="66" spans="1:16" x14ac:dyDescent="0.25">
      <c r="A66" t="s">
        <v>68</v>
      </c>
      <c r="B66" t="s">
        <v>70</v>
      </c>
      <c r="C66">
        <v>4</v>
      </c>
      <c r="D66" t="s">
        <v>105</v>
      </c>
      <c r="E66" t="s">
        <v>106</v>
      </c>
      <c r="F66" t="s">
        <v>73</v>
      </c>
      <c r="G66">
        <v>823</v>
      </c>
      <c r="H66">
        <v>0</v>
      </c>
      <c r="I66" s="5" t="str">
        <f>OutputTable[[#This Row],[ProjectName]]&amp;OutputTable[[#This Row],[Name]]&amp;OutputTable[[#This Row],[Type]]&amp;OutputTable[[#This Row],[Source]]</f>
        <v>Tener ArticulsoArticulos.NumberOutNumber OutEntity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12</v>
      </c>
      <c r="K66" s="5" cm="1">
        <f t="array" ref="K66">IFERROR(AVERAGE(IF((OutputTable[GroupByKey]=OutputTable[[#This Row],[GroupByKey]]),(OutputTable[GroupByKey]=OutputTable[[#This Row],[GroupByKey]])*OutputTable[RecordedValue])),0)</f>
        <v>783.16666666666663</v>
      </c>
      <c r="L66" s="5" cm="1">
        <f t="array" ref="L66">IFERROR(_xlfn.STDEV.S(IF((OutputTable[GroupByKey]=OutputTable[[#This Row],[GroupByKey]]),(OutputTable[GroupByKey]=OutputTable[[#This Row],[GroupByKey]])*OutputTable[RecordedValue])),0)</f>
        <v>31.541699191368682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20.040639553097002</v>
      </c>
      <c r="O66" s="5" cm="1">
        <f t="array" ref="O66">MIN(IF((OutputTable[GroupByKey]=OutputTable[[#This Row],[GroupByKey]]),(OutputTable[GroupByKey]=OutputTable[[#This Row],[GroupByKey]])*OutputTable[RecordedValue]))</f>
        <v>730</v>
      </c>
      <c r="P66" s="5" cm="1">
        <f t="array" ref="P66">MAX(IF((OutputTable[GroupByKey]=OutputTable[[#This Row],[GroupByKey]]),(OutputTable[GroupByKey]=OutputTable[[#This Row],[GroupByKey]])*OutputTable[RecordedValue]))</f>
        <v>826</v>
      </c>
    </row>
    <row r="67" spans="1:16" x14ac:dyDescent="0.25">
      <c r="A67" t="s">
        <v>68</v>
      </c>
      <c r="B67" t="s">
        <v>70</v>
      </c>
      <c r="C67">
        <v>4</v>
      </c>
      <c r="D67" t="s">
        <v>107</v>
      </c>
      <c r="E67" t="s">
        <v>104</v>
      </c>
      <c r="F67" t="s">
        <v>73</v>
      </c>
      <c r="G67">
        <v>1196</v>
      </c>
      <c r="H67">
        <v>0</v>
      </c>
      <c r="I67" s="5" t="str">
        <f>OutputTable[[#This Row],[ProjectName]]&amp;OutputTable[[#This Row],[Name]]&amp;OutputTable[[#This Row],[Type]]&amp;OutputTable[[#This Row],[Source]]</f>
        <v>Tener ArticulsoCarros.NumberInNumber InEntity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12</v>
      </c>
      <c r="K67" s="5" cm="1">
        <f t="array" ref="K67">IFERROR(AVERAGE(IF((OutputTable[GroupByKey]=OutputTable[[#This Row],[GroupByKey]]),(OutputTable[GroupByKey]=OutputTable[[#This Row],[GroupByKey]])*OutputTable[RecordedValue])),0)</f>
        <v>1145.9166666666667</v>
      </c>
      <c r="L67" s="5" cm="1">
        <f t="array" ref="L67">IFERROR(_xlfn.STDEV.S(IF((OutputTable[GroupByKey]=OutputTable[[#This Row],[GroupByKey]]),(OutputTable[GroupByKey]=OutputTable[[#This Row],[GroupByKey]])*OutputTable[RecordedValue])),0)</f>
        <v>49.73101891600696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31.597581939297463</v>
      </c>
      <c r="O67" s="5" cm="1">
        <f t="array" ref="O67">MIN(IF((OutputTable[GroupByKey]=OutputTable[[#This Row],[GroupByKey]]),(OutputTable[GroupByKey]=OutputTable[[#This Row],[GroupByKey]])*OutputTable[RecordedValue]))</f>
        <v>1059</v>
      </c>
      <c r="P67" s="5" cm="1">
        <f t="array" ref="P67">MAX(IF((OutputTable[GroupByKey]=OutputTable[[#This Row],[GroupByKey]]),(OutputTable[GroupByKey]=OutputTable[[#This Row],[GroupByKey]])*OutputTable[RecordedValue]))</f>
        <v>1210</v>
      </c>
    </row>
    <row r="68" spans="1:16" x14ac:dyDescent="0.25">
      <c r="A68" t="s">
        <v>68</v>
      </c>
      <c r="B68" t="s">
        <v>70</v>
      </c>
      <c r="C68">
        <v>4</v>
      </c>
      <c r="D68" t="s">
        <v>108</v>
      </c>
      <c r="E68" t="s">
        <v>106</v>
      </c>
      <c r="F68" t="s">
        <v>73</v>
      </c>
      <c r="G68">
        <v>1196</v>
      </c>
      <c r="H68">
        <v>0</v>
      </c>
      <c r="I68" s="5" t="str">
        <f>OutputTable[[#This Row],[ProjectName]]&amp;OutputTable[[#This Row],[Name]]&amp;OutputTable[[#This Row],[Type]]&amp;OutputTable[[#This Row],[Source]]</f>
        <v>Tener ArticulsoCarros.NumberOutNumber OutEntity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12</v>
      </c>
      <c r="K68" s="5" cm="1">
        <f t="array" ref="K68">IFERROR(AVERAGE(IF((OutputTable[GroupByKey]=OutputTable[[#This Row],[GroupByKey]]),(OutputTable[GroupByKey]=OutputTable[[#This Row],[GroupByKey]])*OutputTable[RecordedValue])),0)</f>
        <v>1145.3333333333333</v>
      </c>
      <c r="L68" s="5" cm="1">
        <f t="array" ref="L68">IFERROR(_xlfn.STDEV.S(IF((OutputTable[GroupByKey]=OutputTable[[#This Row],[GroupByKey]]),(OutputTable[GroupByKey]=OutputTable[[#This Row],[GroupByKey]])*OutputTable[RecordedValue])),0)</f>
        <v>49.816633464104832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31.651978827953357</v>
      </c>
      <c r="O68" s="5" cm="1">
        <f t="array" ref="O68">MIN(IF((OutputTable[GroupByKey]=OutputTable[[#This Row],[GroupByKey]]),(OutputTable[GroupByKey]=OutputTable[[#This Row],[GroupByKey]])*OutputTable[RecordedValue]))</f>
        <v>1059</v>
      </c>
      <c r="P68" s="5" cm="1">
        <f t="array" ref="P68">MAX(IF((OutputTable[GroupByKey]=OutputTable[[#This Row],[GroupByKey]]),(OutputTable[GroupByKey]=OutputTable[[#This Row],[GroupByKey]])*OutputTable[RecordedValue]))</f>
        <v>1210</v>
      </c>
    </row>
    <row r="69" spans="1:16" x14ac:dyDescent="0.25">
      <c r="A69" t="s">
        <v>68</v>
      </c>
      <c r="B69" t="s">
        <v>70</v>
      </c>
      <c r="C69">
        <v>4</v>
      </c>
      <c r="D69" t="s">
        <v>109</v>
      </c>
      <c r="E69" t="s">
        <v>110</v>
      </c>
      <c r="F69" t="s">
        <v>82</v>
      </c>
      <c r="G69">
        <v>787.34094307065402</v>
      </c>
      <c r="H69">
        <v>0</v>
      </c>
      <c r="I69" s="5" t="str">
        <f>OutputTable[[#This Row],[ProjectName]]&amp;OutputTable[[#This Row],[Name]]&amp;OutputTable[[#This Row],[Type]]&amp;OutputTable[[#This Row],[Source]]</f>
        <v>Tener ArticulsoDesembalaje Accum VA TimeAccum VA TimeProcess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12</v>
      </c>
      <c r="K69" s="5" cm="1">
        <f t="array" ref="K69">IFERROR(AVERAGE(IF((OutputTable[GroupByKey]=OutputTable[[#This Row],[GroupByKey]]),(OutputTable[GroupByKey]=OutputTable[[#This Row],[GroupByKey]])*OutputTable[RecordedValue])),0)</f>
        <v>783.216775239051</v>
      </c>
      <c r="L69" s="5" cm="1">
        <f t="array" ref="L69">IFERROR(_xlfn.STDEV.S(IF((OutputTable[GroupByKey]=OutputTable[[#This Row],[GroupByKey]]),(OutputTable[GroupByKey]=OutputTable[[#This Row],[GroupByKey]])*OutputTable[RecordedValue])),0)</f>
        <v>48.528923107513336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30.833806701313396</v>
      </c>
      <c r="O69" s="5" cm="1">
        <f t="array" ref="O69">MIN(IF((OutputTable[GroupByKey]=OutputTable[[#This Row],[GroupByKey]]),(OutputTable[GroupByKey]=OutputTable[[#This Row],[GroupByKey]])*OutputTable[RecordedValue]))</f>
        <v>678.52271145285295</v>
      </c>
      <c r="P69" s="5" cm="1">
        <f t="array" ref="P69">MAX(IF((OutputTable[GroupByKey]=OutputTable[[#This Row],[GroupByKey]]),(OutputTable[GroupByKey]=OutputTable[[#This Row],[GroupByKey]])*OutputTable[RecordedValue]))</f>
        <v>840.77730126549898</v>
      </c>
    </row>
    <row r="70" spans="1:16" x14ac:dyDescent="0.25">
      <c r="A70" t="s">
        <v>68</v>
      </c>
      <c r="B70" t="s">
        <v>70</v>
      </c>
      <c r="C70">
        <v>4</v>
      </c>
      <c r="D70" t="s">
        <v>111</v>
      </c>
      <c r="E70" t="s">
        <v>112</v>
      </c>
      <c r="F70" t="s">
        <v>82</v>
      </c>
      <c r="G70">
        <v>1007.13207549663</v>
      </c>
      <c r="H70">
        <v>0</v>
      </c>
      <c r="I70" s="5" t="str">
        <f>OutputTable[[#This Row],[ProjectName]]&amp;OutputTable[[#This Row],[Name]]&amp;OutputTable[[#This Row],[Type]]&amp;OutputTable[[#This Row],[Source]]</f>
        <v>Tener ArticulsoDesembalaje Accum Wait TimeAccum Wait TimeProcess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12</v>
      </c>
      <c r="K70" s="5" cm="1">
        <f t="array" ref="K70">IFERROR(AVERAGE(IF((OutputTable[GroupByKey]=OutputTable[[#This Row],[GroupByKey]]),(OutputTable[GroupByKey]=OutputTable[[#This Row],[GroupByKey]])*OutputTable[RecordedValue])),0)</f>
        <v>811.48948897731191</v>
      </c>
      <c r="L70" s="5" cm="1">
        <f t="array" ref="L70">IFERROR(_xlfn.STDEV.S(IF((OutputTable[GroupByKey]=OutputTable[[#This Row],[GroupByKey]]),(OutputTable[GroupByKey]=OutputTable[[#This Row],[GroupByKey]])*OutputTable[RecordedValue])),0)</f>
        <v>143.72351593510379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91.317565381747087</v>
      </c>
      <c r="O70" s="5" cm="1">
        <f t="array" ref="O70">MIN(IF((OutputTable[GroupByKey]=OutputTable[[#This Row],[GroupByKey]]),(OutputTable[GroupByKey]=OutputTable[[#This Row],[GroupByKey]])*OutputTable[RecordedValue]))</f>
        <v>546.46370972178704</v>
      </c>
      <c r="P70" s="5" cm="1">
        <f t="array" ref="P70">MAX(IF((OutputTable[GroupByKey]=OutputTable[[#This Row],[GroupByKey]]),(OutputTable[GroupByKey]=OutputTable[[#This Row],[GroupByKey]])*OutputTable[RecordedValue]))</f>
        <v>1012.863937084</v>
      </c>
    </row>
    <row r="71" spans="1:16" x14ac:dyDescent="0.25">
      <c r="A71" t="s">
        <v>68</v>
      </c>
      <c r="B71" t="s">
        <v>70</v>
      </c>
      <c r="C71">
        <v>4</v>
      </c>
      <c r="D71" t="s">
        <v>113</v>
      </c>
      <c r="E71" t="s">
        <v>104</v>
      </c>
      <c r="F71" t="s">
        <v>82</v>
      </c>
      <c r="G71">
        <v>66</v>
      </c>
      <c r="H71">
        <v>0</v>
      </c>
      <c r="I71" s="5" t="str">
        <f>OutputTable[[#This Row],[ProjectName]]&amp;OutputTable[[#This Row],[Name]]&amp;OutputTable[[#This Row],[Type]]&amp;OutputTable[[#This Row],[Source]]</f>
        <v>Tener ArticulsoDesembalaje Number InNumber InProcess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12</v>
      </c>
      <c r="K71" s="5" cm="1">
        <f t="array" ref="K71">IFERROR(AVERAGE(IF((OutputTable[GroupByKey]=OutputTable[[#This Row],[GroupByKey]]),(OutputTable[GroupByKey]=OutputTable[[#This Row],[GroupByKey]])*OutputTable[RecordedValue])),0)</f>
        <v>66</v>
      </c>
      <c r="L71" s="5" cm="1">
        <f t="array" ref="L71">IFERROR(_xlfn.STDEV.S(IF((OutputTable[GroupByKey]=OutputTable[[#This Row],[GroupByKey]]),(OutputTable[GroupByKey]=OutputTable[[#This Row],[GroupByKey]])*OutputTable[RecordedValue])),0)</f>
        <v>4.1560470729681676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2.640626329283204</v>
      </c>
      <c r="O71" s="5" cm="1">
        <f t="array" ref="O71">MIN(IF((OutputTable[GroupByKey]=OutputTable[[#This Row],[GroupByKey]]),(OutputTable[GroupByKey]=OutputTable[[#This Row],[GroupByKey]])*OutputTable[RecordedValue]))</f>
        <v>59</v>
      </c>
      <c r="P71" s="5" cm="1">
        <f t="array" ref="P71">MAX(IF((OutputTable[GroupByKey]=OutputTable[[#This Row],[GroupByKey]]),(OutputTable[GroupByKey]=OutputTable[[#This Row],[GroupByKey]])*OutputTable[RecordedValue]))</f>
        <v>70</v>
      </c>
    </row>
    <row r="72" spans="1:16" x14ac:dyDescent="0.25">
      <c r="A72" t="s">
        <v>68</v>
      </c>
      <c r="B72" t="s">
        <v>70</v>
      </c>
      <c r="C72">
        <v>4</v>
      </c>
      <c r="D72" t="s">
        <v>114</v>
      </c>
      <c r="E72" t="s">
        <v>106</v>
      </c>
      <c r="F72" t="s">
        <v>82</v>
      </c>
      <c r="G72">
        <v>65</v>
      </c>
      <c r="H72">
        <v>0</v>
      </c>
      <c r="I72" s="5" t="str">
        <f>OutputTable[[#This Row],[ProjectName]]&amp;OutputTable[[#This Row],[Name]]&amp;OutputTable[[#This Row],[Type]]&amp;OutputTable[[#This Row],[Source]]</f>
        <v>Tener ArticulsoDesembalaje Number OutNumber OutProcess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12</v>
      </c>
      <c r="K72" s="5" cm="1">
        <f t="array" ref="K72">IFERROR(AVERAGE(IF((OutputTable[GroupByKey]=OutputTable[[#This Row],[GroupByKey]]),(OutputTable[GroupByKey]=OutputTable[[#This Row],[GroupByKey]])*OutputTable[RecordedValue])),0)</f>
        <v>65.083333333333329</v>
      </c>
      <c r="L72" s="5" cm="1">
        <f t="array" ref="L72">IFERROR(_xlfn.STDEV.S(IF((OutputTable[GroupByKey]=OutputTable[[#This Row],[GroupByKey]]),(OutputTable[GroupByKey]=OutputTable[[#This Row],[GroupByKey]])*OutputTable[RecordedValue])),0)</f>
        <v>4.2310182168734691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2.6882607215451362</v>
      </c>
      <c r="O72" s="5" cm="1">
        <f t="array" ref="O72">MIN(IF((OutputTable[GroupByKey]=OutputTable[[#This Row],[GroupByKey]]),(OutputTable[GroupByKey]=OutputTable[[#This Row],[GroupByKey]])*OutputTable[RecordedValue]))</f>
        <v>58</v>
      </c>
      <c r="P72" s="5" cm="1">
        <f t="array" ref="P72">MAX(IF((OutputTable[GroupByKey]=OutputTable[[#This Row],[GroupByKey]]),(OutputTable[GroupByKey]=OutputTable[[#This Row],[GroupByKey]])*OutputTable[RecordedValue]))</f>
        <v>69</v>
      </c>
    </row>
    <row r="73" spans="1:16" x14ac:dyDescent="0.25">
      <c r="A73" t="s">
        <v>68</v>
      </c>
      <c r="B73" t="s">
        <v>70</v>
      </c>
      <c r="C73">
        <v>4</v>
      </c>
      <c r="D73" t="s">
        <v>115</v>
      </c>
      <c r="E73" t="s">
        <v>110</v>
      </c>
      <c r="F73" t="s">
        <v>82</v>
      </c>
      <c r="G73">
        <v>1232.42223079276</v>
      </c>
      <c r="H73">
        <v>0</v>
      </c>
      <c r="I73" s="5" t="str">
        <f>OutputTable[[#This Row],[ProjectName]]&amp;OutputTable[[#This Row],[Name]]&amp;OutputTable[[#This Row],[Type]]&amp;OutputTable[[#This Row],[Source]]</f>
        <v>Tener ArticulsoOrganizar Accum VA TimeAccum VA TimeProcess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12</v>
      </c>
      <c r="K73" s="5" cm="1">
        <f t="array" ref="K73">IFERROR(AVERAGE(IF((OutputTable[GroupByKey]=OutputTable[[#This Row],[GroupByKey]]),(OutputTable[GroupByKey]=OutputTable[[#This Row],[GroupByKey]])*OutputTable[RecordedValue])),0)</f>
        <v>1181.2622276627176</v>
      </c>
      <c r="L73" s="5" cm="1">
        <f t="array" ref="L73">IFERROR(_xlfn.STDEV.S(IF((OutputTable[GroupByKey]=OutputTable[[#This Row],[GroupByKey]]),(OutputTable[GroupByKey]=OutputTable[[#This Row],[GroupByKey]])*OutputTable[RecordedValue])),0)</f>
        <v>50.899735842094827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32.340149247203939</v>
      </c>
      <c r="O73" s="5" cm="1">
        <f t="array" ref="O73">MIN(IF((OutputTable[GroupByKey]=OutputTable[[#This Row],[GroupByKey]]),(OutputTable[GroupByKey]=OutputTable[[#This Row],[GroupByKey]])*OutputTable[RecordedValue]))</f>
        <v>1106.0350367697699</v>
      </c>
      <c r="P73" s="5" cm="1">
        <f t="array" ref="P73">MAX(IF((OutputTable[GroupByKey]=OutputTable[[#This Row],[GroupByKey]]),(OutputTable[GroupByKey]=OutputTable[[#This Row],[GroupByKey]])*OutputTable[RecordedValue]))</f>
        <v>1255.97830087074</v>
      </c>
    </row>
    <row r="74" spans="1:16" x14ac:dyDescent="0.25">
      <c r="A74" t="s">
        <v>68</v>
      </c>
      <c r="B74" t="s">
        <v>70</v>
      </c>
      <c r="C74">
        <v>4</v>
      </c>
      <c r="D74" t="s">
        <v>116</v>
      </c>
      <c r="E74" t="s">
        <v>112</v>
      </c>
      <c r="F74" t="s">
        <v>82</v>
      </c>
      <c r="G74">
        <v>18159.7018308675</v>
      </c>
      <c r="H74">
        <v>0</v>
      </c>
      <c r="I74" s="5" t="str">
        <f>OutputTable[[#This Row],[ProjectName]]&amp;OutputTable[[#This Row],[Name]]&amp;OutputTable[[#This Row],[Type]]&amp;OutputTable[[#This Row],[Source]]</f>
        <v>Tener ArticulsoOrganizar Accum Wait TimeAccum Wait TimeProcess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12</v>
      </c>
      <c r="K74" s="5" cm="1">
        <f t="array" ref="K74">IFERROR(AVERAGE(IF((OutputTable[GroupByKey]=OutputTable[[#This Row],[GroupByKey]]),(OutputTable[GroupByKey]=OutputTable[[#This Row],[GroupByKey]])*OutputTable[RecordedValue])),0)</f>
        <v>14481.366678807759</v>
      </c>
      <c r="L74" s="5" cm="1">
        <f t="array" ref="L74">IFERROR(_xlfn.STDEV.S(IF((OutputTable[GroupByKey]=OutputTable[[#This Row],[GroupByKey]]),(OutputTable[GroupByKey]=OutputTable[[#This Row],[GroupByKey]])*OutputTable[RecordedValue])),0)</f>
        <v>2869.9645631781104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1823.4884871564914</v>
      </c>
      <c r="O74" s="5" cm="1">
        <f t="array" ref="O74">MIN(IF((OutputTable[GroupByKey]=OutputTable[[#This Row],[GroupByKey]]),(OutputTable[GroupByKey]=OutputTable[[#This Row],[GroupByKey]])*OutputTable[RecordedValue]))</f>
        <v>9643.84605851171</v>
      </c>
      <c r="P74" s="5" cm="1">
        <f t="array" ref="P74">MAX(IF((OutputTable[GroupByKey]=OutputTable[[#This Row],[GroupByKey]]),(OutputTable[GroupByKey]=OutputTable[[#This Row],[GroupByKey]])*OutputTable[RecordedValue]))</f>
        <v>18159.7018308675</v>
      </c>
    </row>
    <row r="75" spans="1:16" x14ac:dyDescent="0.25">
      <c r="A75" t="s">
        <v>68</v>
      </c>
      <c r="B75" t="s">
        <v>70</v>
      </c>
      <c r="C75">
        <v>4</v>
      </c>
      <c r="D75" t="s">
        <v>117</v>
      </c>
      <c r="E75" t="s">
        <v>104</v>
      </c>
      <c r="F75" t="s">
        <v>82</v>
      </c>
      <c r="G75">
        <v>835</v>
      </c>
      <c r="H75">
        <v>0</v>
      </c>
      <c r="I75" s="5" t="str">
        <f>OutputTable[[#This Row],[ProjectName]]&amp;OutputTable[[#This Row],[Name]]&amp;OutputTable[[#This Row],[Type]]&amp;OutputTable[[#This Row],[Source]]</f>
        <v>Tener ArticulsoOrganizar Number InNumber InProcess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12</v>
      </c>
      <c r="K75" s="5" cm="1">
        <f t="array" ref="K75">IFERROR(AVERAGE(IF((OutputTable[GroupByKey]=OutputTable[[#This Row],[GroupByKey]]),(OutputTable[GroupByKey]=OutputTable[[#This Row],[GroupByKey]])*OutputTable[RecordedValue])),0)</f>
        <v>794.91666666666663</v>
      </c>
      <c r="L75" s="5" cm="1">
        <f t="array" ref="L75">IFERROR(_xlfn.STDEV.S(IF((OutputTable[GroupByKey]=OutputTable[[#This Row],[GroupByKey]]),(OutputTable[GroupByKey]=OutputTable[[#This Row],[GroupByKey]])*OutputTable[RecordedValue])),0)</f>
        <v>34.394656914154915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21.853322409391229</v>
      </c>
      <c r="O75" s="5" cm="1">
        <f t="array" ref="O75">MIN(IF((OutputTable[GroupByKey]=OutputTable[[#This Row],[GroupByKey]]),(OutputTable[GroupByKey]=OutputTable[[#This Row],[GroupByKey]])*OutputTable[RecordedValue]))</f>
        <v>737</v>
      </c>
      <c r="P75" s="5" cm="1">
        <f t="array" ref="P75">MAX(IF((OutputTable[GroupByKey]=OutputTable[[#This Row],[GroupByKey]]),(OutputTable[GroupByKey]=OutputTable[[#This Row],[GroupByKey]])*OutputTable[RecordedValue]))</f>
        <v>841</v>
      </c>
    </row>
    <row r="76" spans="1:16" x14ac:dyDescent="0.25">
      <c r="A76" t="s">
        <v>68</v>
      </c>
      <c r="B76" t="s">
        <v>70</v>
      </c>
      <c r="C76">
        <v>4</v>
      </c>
      <c r="D76" t="s">
        <v>118</v>
      </c>
      <c r="E76" t="s">
        <v>106</v>
      </c>
      <c r="F76" t="s">
        <v>82</v>
      </c>
      <c r="G76">
        <v>827</v>
      </c>
      <c r="H76">
        <v>0</v>
      </c>
      <c r="I76" s="5" t="str">
        <f>OutputTable[[#This Row],[ProjectName]]&amp;OutputTable[[#This Row],[Name]]&amp;OutputTable[[#This Row],[Type]]&amp;OutputTable[[#This Row],[Source]]</f>
        <v>Tener ArticulsoOrganizar Number OutNumber OutProcess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12</v>
      </c>
      <c r="K76" s="5" cm="1">
        <f t="array" ref="K76">IFERROR(AVERAGE(IF((OutputTable[GroupByKey]=OutputTable[[#This Row],[GroupByKey]]),(OutputTable[GroupByKey]=OutputTable[[#This Row],[GroupByKey]])*OutputTable[RecordedValue])),0)</f>
        <v>786</v>
      </c>
      <c r="L76" s="5" cm="1">
        <f t="array" ref="L76">IFERROR(_xlfn.STDEV.S(IF((OutputTable[GroupByKey]=OutputTable[[#This Row],[GroupByKey]]),(OutputTable[GroupByKey]=OutputTable[[#This Row],[GroupByKey]])*OutputTable[RecordedValue])),0)</f>
        <v>32.741411087489801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20.80290012542233</v>
      </c>
      <c r="O76" s="5" cm="1">
        <f t="array" ref="O76">MIN(IF((OutputTable[GroupByKey]=OutputTable[[#This Row],[GroupByKey]]),(OutputTable[GroupByKey]=OutputTable[[#This Row],[GroupByKey]])*OutputTable[RecordedValue]))</f>
        <v>732</v>
      </c>
      <c r="P76" s="5" cm="1">
        <f t="array" ref="P76">MAX(IF((OutputTable[GroupByKey]=OutputTable[[#This Row],[GroupByKey]]),(OutputTable[GroupByKey]=OutputTable[[#This Row],[GroupByKey]])*OutputTable[RecordedValue]))</f>
        <v>829</v>
      </c>
    </row>
    <row r="77" spans="1:16" x14ac:dyDescent="0.25">
      <c r="A77" t="s">
        <v>68</v>
      </c>
      <c r="B77" t="s">
        <v>70</v>
      </c>
      <c r="C77">
        <v>4</v>
      </c>
      <c r="D77" t="s">
        <v>119</v>
      </c>
      <c r="E77" t="s">
        <v>110</v>
      </c>
      <c r="F77" t="s">
        <v>82</v>
      </c>
      <c r="G77">
        <v>1673.21312485417</v>
      </c>
      <c r="H77">
        <v>0</v>
      </c>
      <c r="I77" s="5" t="str">
        <f>OutputTable[[#This Row],[ProjectName]]&amp;OutputTable[[#This Row],[Name]]&amp;OutputTable[[#This Row],[Type]]&amp;OutputTable[[#This Row],[Source]]</f>
        <v>Tener ArticulsoSacar Articulos Accum VA TimeAccum VA TimeProcess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12</v>
      </c>
      <c r="K77" s="5" cm="1">
        <f t="array" ref="K77">IFERROR(AVERAGE(IF((OutputTable[GroupByKey]=OutputTable[[#This Row],[GroupByKey]]),(OutputTable[GroupByKey]=OutputTable[[#This Row],[GroupByKey]])*OutputTable[RecordedValue])),0)</f>
        <v>1584.7600747574054</v>
      </c>
      <c r="L77" s="5" cm="1">
        <f t="array" ref="L77">IFERROR(_xlfn.STDEV.S(IF((OutputTable[GroupByKey]=OutputTable[[#This Row],[GroupByKey]]),(OutputTable[GroupByKey]=OutputTable[[#This Row],[GroupByKey]])*OutputTable[RecordedValue])),0)</f>
        <v>65.199632506816158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41.425870119928376</v>
      </c>
      <c r="O77" s="5" cm="1">
        <f t="array" ref="O77">MIN(IF((OutputTable[GroupByKey]=OutputTable[[#This Row],[GroupByKey]]),(OutputTable[GroupByKey]=OutputTable[[#This Row],[GroupByKey]])*OutputTable[RecordedValue]))</f>
        <v>1473.78349566985</v>
      </c>
      <c r="P77" s="5" cm="1">
        <f t="array" ref="P77">MAX(IF((OutputTable[GroupByKey]=OutputTable[[#This Row],[GroupByKey]]),(OutputTable[GroupByKey]=OutputTable[[#This Row],[GroupByKey]])*OutputTable[RecordedValue]))</f>
        <v>1673.21312485417</v>
      </c>
    </row>
    <row r="78" spans="1:16" x14ac:dyDescent="0.25">
      <c r="A78" t="s">
        <v>68</v>
      </c>
      <c r="B78" t="s">
        <v>70</v>
      </c>
      <c r="C78">
        <v>4</v>
      </c>
      <c r="D78" t="s">
        <v>120</v>
      </c>
      <c r="E78" t="s">
        <v>112</v>
      </c>
      <c r="F78" t="s">
        <v>82</v>
      </c>
      <c r="G78">
        <v>1232.84038930315</v>
      </c>
      <c r="H78">
        <v>0</v>
      </c>
      <c r="I78" s="5" t="str">
        <f>OutputTable[[#This Row],[ProjectName]]&amp;OutputTable[[#This Row],[Name]]&amp;OutputTable[[#This Row],[Type]]&amp;OutputTable[[#This Row],[Source]]</f>
        <v>Tener ArticulsoSacar Articulos Accum Wait TimeAccum Wait TimeProcess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12</v>
      </c>
      <c r="K78" s="5" cm="1">
        <f t="array" ref="K78">IFERROR(AVERAGE(IF((OutputTable[GroupByKey]=OutputTable[[#This Row],[GroupByKey]]),(OutputTable[GroupByKey]=OutputTable[[#This Row],[GroupByKey]])*OutputTable[RecordedValue])),0)</f>
        <v>1151.8667665386067</v>
      </c>
      <c r="L78" s="5" cm="1">
        <f t="array" ref="L78">IFERROR(_xlfn.STDEV.S(IF((OutputTable[GroupByKey]=OutputTable[[#This Row],[GroupByKey]]),(OutputTable[GroupByKey]=OutputTable[[#This Row],[GroupByKey]])*OutputTable[RecordedValue])),0)</f>
        <v>58.761364856103697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37.335190015744239</v>
      </c>
      <c r="O78" s="5" cm="1">
        <f t="array" ref="O78">MIN(IF((OutputTable[GroupByKey]=OutputTable[[#This Row],[GroupByKey]]),(OutputTable[GroupByKey]=OutputTable[[#This Row],[GroupByKey]])*OutputTable[RecordedValue]))</f>
        <v>1064.4971115521701</v>
      </c>
      <c r="P78" s="5" cm="1">
        <f t="array" ref="P78">MAX(IF((OutputTable[GroupByKey]=OutputTable[[#This Row],[GroupByKey]]),(OutputTable[GroupByKey]=OutputTable[[#This Row],[GroupByKey]])*OutputTable[RecordedValue]))</f>
        <v>1232.84038930315</v>
      </c>
    </row>
    <row r="79" spans="1:16" x14ac:dyDescent="0.25">
      <c r="A79" t="s">
        <v>68</v>
      </c>
      <c r="B79" t="s">
        <v>70</v>
      </c>
      <c r="C79">
        <v>4</v>
      </c>
      <c r="D79" t="s">
        <v>121</v>
      </c>
      <c r="E79" t="s">
        <v>104</v>
      </c>
      <c r="F79" t="s">
        <v>82</v>
      </c>
      <c r="G79">
        <v>835</v>
      </c>
      <c r="H79">
        <v>0</v>
      </c>
      <c r="I79" s="5" t="str">
        <f>OutputTable[[#This Row],[ProjectName]]&amp;OutputTable[[#This Row],[Name]]&amp;OutputTable[[#This Row],[Type]]&amp;OutputTable[[#This Row],[Source]]</f>
        <v>Tener ArticulsoSacar Articulos Number InNumber InProcess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12</v>
      </c>
      <c r="K79" s="5" cm="1">
        <f t="array" ref="K79">IFERROR(AVERAGE(IF((OutputTable[GroupByKey]=OutputTable[[#This Row],[GroupByKey]]),(OutputTable[GroupByKey]=OutputTable[[#This Row],[GroupByKey]])*OutputTable[RecordedValue])),0)</f>
        <v>796.41666666666663</v>
      </c>
      <c r="L79" s="5" cm="1">
        <f t="array" ref="L79">IFERROR(_xlfn.STDEV.S(IF((OutputTable[GroupByKey]=OutputTable[[#This Row],[GroupByKey]]),(OutputTable[GroupByKey]=OutputTable[[#This Row],[GroupByKey]])*OutputTable[RecordedValue])),0)</f>
        <v>34.731328098924628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79" s="5" cm="1">
        <f t="array" ref="O79">MIN(IF((OutputTable[GroupByKey]=OutputTable[[#This Row],[GroupByKey]]),(OutputTable[GroupByKey]=OutputTable[[#This Row],[GroupByKey]])*OutputTable[RecordedValue]))</f>
        <v>737</v>
      </c>
      <c r="P79" s="5" cm="1">
        <f t="array" ref="P79">MAX(IF((OutputTable[GroupByKey]=OutputTable[[#This Row],[GroupByKey]]),(OutputTable[GroupByKey]=OutputTable[[#This Row],[GroupByKey]])*OutputTable[RecordedValue]))</f>
        <v>844</v>
      </c>
    </row>
    <row r="80" spans="1:16" x14ac:dyDescent="0.25">
      <c r="A80" t="s">
        <v>68</v>
      </c>
      <c r="B80" t="s">
        <v>70</v>
      </c>
      <c r="C80">
        <v>4</v>
      </c>
      <c r="D80" t="s">
        <v>122</v>
      </c>
      <c r="E80" t="s">
        <v>106</v>
      </c>
      <c r="F80" t="s">
        <v>82</v>
      </c>
      <c r="G80">
        <v>835</v>
      </c>
      <c r="H80">
        <v>0</v>
      </c>
      <c r="I80" s="5" t="str">
        <f>OutputTable[[#This Row],[ProjectName]]&amp;OutputTable[[#This Row],[Name]]&amp;OutputTable[[#This Row],[Type]]&amp;OutputTable[[#This Row],[Source]]</f>
        <v>Tener ArticulsoSacar Articulos Number OutNumber OutProcess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12</v>
      </c>
      <c r="K80" s="5" cm="1">
        <f t="array" ref="K80">IFERROR(AVERAGE(IF((OutputTable[GroupByKey]=OutputTable[[#This Row],[GroupByKey]]),(OutputTable[GroupByKey]=OutputTable[[#This Row],[GroupByKey]])*OutputTable[RecordedValue])),0)</f>
        <v>795.08333333333337</v>
      </c>
      <c r="L80" s="5" cm="1">
        <f t="array" ref="L80">IFERROR(_xlfn.STDEV.S(IF((OutputTable[GroupByKey]=OutputTable[[#This Row],[GroupByKey]]),(OutputTable[GroupByKey]=OutputTable[[#This Row],[GroupByKey]])*OutputTable[RecordedValue])),0)</f>
        <v>34.510758094287411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21.927089579910728</v>
      </c>
      <c r="O80" s="5" cm="1">
        <f t="array" ref="O80">MIN(IF((OutputTable[GroupByKey]=OutputTable[[#This Row],[GroupByKey]]),(OutputTable[GroupByKey]=OutputTable[[#This Row],[GroupByKey]])*OutputTable[RecordedValue]))</f>
        <v>737</v>
      </c>
      <c r="P80" s="5" cm="1">
        <f t="array" ref="P80">MAX(IF((OutputTable[GroupByKey]=OutputTable[[#This Row],[GroupByKey]]),(OutputTable[GroupByKey]=OutputTable[[#This Row],[GroupByKey]])*OutputTable[RecordedValue]))</f>
        <v>841</v>
      </c>
    </row>
    <row r="81" spans="1:16" x14ac:dyDescent="0.25">
      <c r="A81" t="s">
        <v>68</v>
      </c>
      <c r="B81" t="s">
        <v>70</v>
      </c>
      <c r="C81">
        <v>4</v>
      </c>
      <c r="D81" t="s">
        <v>123</v>
      </c>
      <c r="E81" t="s">
        <v>106</v>
      </c>
      <c r="F81" t="s">
        <v>124</v>
      </c>
      <c r="G81">
        <v>1184</v>
      </c>
      <c r="H81">
        <v>0</v>
      </c>
      <c r="I81" s="5" t="str">
        <f>OutputTable[[#This Row],[ProjectName]]&amp;OutputTable[[#This Row],[Name]]&amp;OutputTable[[#This Row],[Type]]&amp;OutputTable[[#This Row],[Source]]</f>
        <v>Tener ArticulsoSystem.NumberOutNumber OutSystem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12</v>
      </c>
      <c r="K81" s="5" cm="1">
        <f t="array" ref="K81">IFERROR(AVERAGE(IF((OutputTable[GroupByKey]=OutputTable[[#This Row],[GroupByKey]]),(OutputTable[GroupByKey]=OutputTable[[#This Row],[GroupByKey]])*OutputTable[RecordedValue])),0)</f>
        <v>1132.0833333333333</v>
      </c>
      <c r="L81" s="5" cm="1">
        <f t="array" ref="L81">IFERROR(_xlfn.STDEV.S(IF((OutputTable[GroupByKey]=OutputTable[[#This Row],[GroupByKey]]),(OutputTable[GroupByKey]=OutputTable[[#This Row],[GroupByKey]])*OutputTable[RecordedValue])),0)</f>
        <v>46.640712479614429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29.634094905050876</v>
      </c>
      <c r="O81" s="5" cm="1">
        <f t="array" ref="O81">MIN(IF((OutputTable[GroupByKey]=OutputTable[[#This Row],[GroupByKey]]),(OutputTable[GroupByKey]=OutputTable[[#This Row],[GroupByKey]])*OutputTable[RecordedValue]))</f>
        <v>1052</v>
      </c>
      <c r="P81" s="5" cm="1">
        <f t="array" ref="P81">MAX(IF((OutputTable[GroupByKey]=OutputTable[[#This Row],[GroupByKey]]),(OutputTable[GroupByKey]=OutputTable[[#This Row],[GroupByKey]])*OutputTable[RecordedValue]))</f>
        <v>1192</v>
      </c>
    </row>
    <row r="82" spans="1:16" x14ac:dyDescent="0.25">
      <c r="A82" t="s">
        <v>68</v>
      </c>
      <c r="B82" t="s">
        <v>70</v>
      </c>
      <c r="C82">
        <v>4</v>
      </c>
      <c r="D82" t="s">
        <v>125</v>
      </c>
      <c r="E82" t="s">
        <v>126</v>
      </c>
      <c r="F82" t="s">
        <v>99</v>
      </c>
      <c r="G82">
        <v>893</v>
      </c>
      <c r="H82">
        <v>0</v>
      </c>
      <c r="I82" s="5" t="str">
        <f>OutputTable[[#This Row],[ProjectName]]&amp;OutputTable[[#This Row],[Name]]&amp;OutputTable[[#This Row],[Type]]&amp;OutputTable[[#This Row],[Source]]</f>
        <v>Tener ArticulsorOrganizdor.NumberSeizedTotal Number SeizedResource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12</v>
      </c>
      <c r="K82" s="5" cm="1">
        <f t="array" ref="K82">IFERROR(AVERAGE(IF((OutputTable[GroupByKey]=OutputTable[[#This Row],[GroupByKey]]),(OutputTable[GroupByKey]=OutputTable[[#This Row],[GroupByKey]])*OutputTable[RecordedValue])),0)</f>
        <v>852.08333333333337</v>
      </c>
      <c r="L82" s="5" cm="1">
        <f t="array" ref="L82">IFERROR(_xlfn.STDEV.S(IF((OutputTable[GroupByKey]=OutputTable[[#This Row],[GroupByKey]]),(OutputTable[GroupByKey]=OutputTable[[#This Row],[GroupByKey]])*OutputTable[RecordedValue])),0)</f>
        <v>32.103407730002552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20.397532131659759</v>
      </c>
      <c r="O82" s="5" cm="1">
        <f t="array" ref="O82">MIN(IF((OutputTable[GroupByKey]=OutputTable[[#This Row],[GroupByKey]]),(OutputTable[GroupByKey]=OutputTable[[#This Row],[GroupByKey]])*OutputTable[RecordedValue]))</f>
        <v>800</v>
      </c>
      <c r="P82" s="5" cm="1">
        <f t="array" ref="P82">MAX(IF((OutputTable[GroupByKey]=OutputTable[[#This Row],[GroupByKey]]),(OutputTable[GroupByKey]=OutputTable[[#This Row],[GroupByKey]])*OutputTable[RecordedValue]))</f>
        <v>893</v>
      </c>
    </row>
    <row r="83" spans="1:16" x14ac:dyDescent="0.25">
      <c r="A83" t="s">
        <v>68</v>
      </c>
      <c r="B83" t="s">
        <v>70</v>
      </c>
      <c r="C83">
        <v>4</v>
      </c>
      <c r="D83" t="s">
        <v>127</v>
      </c>
      <c r="E83" t="s">
        <v>128</v>
      </c>
      <c r="F83" t="s">
        <v>99</v>
      </c>
      <c r="G83">
        <v>0.96274032380429897</v>
      </c>
      <c r="H83">
        <v>0</v>
      </c>
      <c r="I83" s="5" t="str">
        <f>OutputTable[[#This Row],[ProjectName]]&amp;OutputTable[[#This Row],[Name]]&amp;OutputTable[[#This Row],[Type]]&amp;OutputTable[[#This Row],[Source]]</f>
        <v>Tener ArticulsorOrganizdor.ScheduledUtilizationScheduled UtilizationResource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12</v>
      </c>
      <c r="K83" s="5" cm="1">
        <f t="array" ref="K83">IFERROR(AVERAGE(IF((OutputTable[GroupByKey]=OutputTable[[#This Row],[GroupByKey]]),(OutputTable[GroupByKey]=OutputTable[[#This Row],[GroupByKey]])*OutputTable[RecordedValue])),0)</f>
        <v>0.93693413710063267</v>
      </c>
      <c r="L83" s="5" cm="1">
        <f t="array" ref="L83">IFERROR(_xlfn.STDEV.S(IF((OutputTable[GroupByKey]=OutputTable[[#This Row],[GroupByKey]]),(OutputTable[GroupByKey]=OutputTable[[#This Row],[GroupByKey]])*OutputTable[RecordedValue])),0)</f>
        <v>3.0080475881637609E-2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1.9112222555672933E-2</v>
      </c>
      <c r="O83" s="5" cm="1">
        <f t="array" ref="O83">MIN(IF((OutputTable[GroupByKey]=OutputTable[[#This Row],[GroupByKey]]),(OutputTable[GroupByKey]=OutputTable[[#This Row],[GroupByKey]])*OutputTable[RecordedValue]))</f>
        <v>0.87408888428798603</v>
      </c>
      <c r="P83" s="5" cm="1">
        <f t="array" ref="P83">MAX(IF((OutputTable[GroupByKey]=OutputTable[[#This Row],[GroupByKey]]),(OutputTable[GroupByKey]=OutputTable[[#This Row],[GroupByKey]])*OutputTable[RecordedValue]))</f>
        <v>0.989515454392208</v>
      </c>
    </row>
    <row r="84" spans="1:16" x14ac:dyDescent="0.25">
      <c r="A84" t="s">
        <v>68</v>
      </c>
      <c r="B84" t="s">
        <v>70</v>
      </c>
      <c r="C84">
        <v>4</v>
      </c>
      <c r="D84" t="s">
        <v>129</v>
      </c>
      <c r="E84" t="s">
        <v>126</v>
      </c>
      <c r="F84" t="s">
        <v>99</v>
      </c>
      <c r="G84">
        <v>835</v>
      </c>
      <c r="H84">
        <v>0</v>
      </c>
      <c r="I84" s="5" t="str">
        <f>OutputTable[[#This Row],[ProjectName]]&amp;OutputTable[[#This Row],[Name]]&amp;OutputTable[[#This Row],[Type]]&amp;OutputTable[[#This Row],[Source]]</f>
        <v>Tener ArticulsorSacador.NumberSeizedTotal Number SeizedResource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12</v>
      </c>
      <c r="K84" s="5" cm="1">
        <f t="array" ref="K84">IFERROR(AVERAGE(IF((OutputTable[GroupByKey]=OutputTable[[#This Row],[GroupByKey]]),(OutputTable[GroupByKey]=OutputTable[[#This Row],[GroupByKey]])*OutputTable[RecordedValue])),0)</f>
        <v>795.66666666666663</v>
      </c>
      <c r="L84" s="5" cm="1">
        <f t="array" ref="L84">IFERROR(_xlfn.STDEV.S(IF((OutputTable[GroupByKey]=OutputTable[[#This Row],[GroupByKey]]),(OutputTable[GroupByKey]=OutputTable[[#This Row],[GroupByKey]])*OutputTable[RecordedValue])),0)</f>
        <v>34.623516268395946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21.998732705738043</v>
      </c>
      <c r="O84" s="5" cm="1">
        <f t="array" ref="O84">MIN(IF((OutputTable[GroupByKey]=OutputTable[[#This Row],[GroupByKey]]),(OutputTable[GroupByKey]=OutputTable[[#This Row],[GroupByKey]])*OutputTable[RecordedValue]))</f>
        <v>737</v>
      </c>
      <c r="P84" s="5" cm="1">
        <f t="array" ref="P84">MAX(IF((OutputTable[GroupByKey]=OutputTable[[#This Row],[GroupByKey]]),(OutputTable[GroupByKey]=OutputTable[[#This Row],[GroupByKey]])*OutputTable[RecordedValue]))</f>
        <v>842</v>
      </c>
    </row>
    <row r="85" spans="1:16" x14ac:dyDescent="0.25">
      <c r="A85" t="s">
        <v>68</v>
      </c>
      <c r="B85" t="s">
        <v>70</v>
      </c>
      <c r="C85">
        <v>4</v>
      </c>
      <c r="D85" t="s">
        <v>130</v>
      </c>
      <c r="E85" t="s">
        <v>128</v>
      </c>
      <c r="F85" t="s">
        <v>99</v>
      </c>
      <c r="G85">
        <v>0.79676815469245998</v>
      </c>
      <c r="H85">
        <v>0</v>
      </c>
      <c r="I85" s="5" t="str">
        <f>OutputTable[[#This Row],[ProjectName]]&amp;OutputTable[[#This Row],[Name]]&amp;OutputTable[[#This Row],[Type]]&amp;OutputTable[[#This Row],[Source]]</f>
        <v>Tener ArticulsorSacador.ScheduledUtilizationScheduled UtilizationResource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12</v>
      </c>
      <c r="K85" s="5" cm="1">
        <f t="array" ref="K85">IFERROR(AVERAGE(IF((OutputTable[GroupByKey]=OutputTable[[#This Row],[GroupByKey]]),(OutputTable[GroupByKey]=OutputTable[[#This Row],[GroupByKey]])*OutputTable[RecordedValue])),0)</f>
        <v>0.75499127770842467</v>
      </c>
      <c r="L85" s="5" cm="1">
        <f t="array" ref="L85">IFERROR(_xlfn.STDEV.S(IF((OutputTable[GroupByKey]=OutputTable[[#This Row],[GroupByKey]]),(OutputTable[GroupByKey]=OutputTable[[#This Row],[GroupByKey]])*OutputTable[RecordedValue])),0)</f>
        <v>3.0990673550046054E-2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1.9690534563658681E-2</v>
      </c>
      <c r="O85" s="5" cm="1">
        <f t="array" ref="O85">MIN(IF((OutputTable[GroupByKey]=OutputTable[[#This Row],[GroupByKey]]),(OutputTable[GroupByKey]=OutputTable[[#This Row],[GroupByKey]])*OutputTable[RecordedValue]))</f>
        <v>0.70281682687036895</v>
      </c>
      <c r="P85" s="5" cm="1">
        <f t="array" ref="P85">MAX(IF((OutputTable[GroupByKey]=OutputTable[[#This Row],[GroupByKey]]),(OutputTable[GroupByKey]=OutputTable[[#This Row],[GroupByKey]])*OutputTable[RecordedValue]))</f>
        <v>0.79676815469245998</v>
      </c>
    </row>
    <row r="86" spans="1:16" x14ac:dyDescent="0.25">
      <c r="A86" t="s">
        <v>68</v>
      </c>
      <c r="B86" t="s">
        <v>70</v>
      </c>
      <c r="C86">
        <v>5</v>
      </c>
      <c r="D86" t="s">
        <v>103</v>
      </c>
      <c r="E86" t="s">
        <v>104</v>
      </c>
      <c r="F86" t="s">
        <v>73</v>
      </c>
      <c r="G86">
        <v>756</v>
      </c>
      <c r="H86">
        <v>0</v>
      </c>
      <c r="I86" s="5" t="str">
        <f>OutputTable[[#This Row],[ProjectName]]&amp;OutputTable[[#This Row],[Name]]&amp;OutputTable[[#This Row],[Type]]&amp;OutputTable[[#This Row],[Source]]</f>
        <v>Tener ArticulsoArticulos.NumberInNumber InEntity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12</v>
      </c>
      <c r="K86" s="5" cm="1">
        <f t="array" ref="K86">IFERROR(AVERAGE(IF((OutputTable[GroupByKey]=OutputTable[[#This Row],[GroupByKey]]),(OutputTable[GroupByKey]=OutputTable[[#This Row],[GroupByKey]])*OutputTable[RecordedValue])),0)</f>
        <v>796.41666666666663</v>
      </c>
      <c r="L86" s="5" cm="1">
        <f t="array" ref="L86">IFERROR(_xlfn.STDEV.S(IF((OutputTable[GroupByKey]=OutputTable[[#This Row],[GroupByKey]]),(OutputTable[GroupByKey]=OutputTable[[#This Row],[GroupByKey]])*OutputTable[RecordedValue])),0)</f>
        <v>34.731328098924628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86" s="5" cm="1">
        <f t="array" ref="O86">MIN(IF((OutputTable[GroupByKey]=OutputTable[[#This Row],[GroupByKey]]),(OutputTable[GroupByKey]=OutputTable[[#This Row],[GroupByKey]])*OutputTable[RecordedValue]))</f>
        <v>737</v>
      </c>
      <c r="P86" s="5" cm="1">
        <f t="array" ref="P86">MAX(IF((OutputTable[GroupByKey]=OutputTable[[#This Row],[GroupByKey]]),(OutputTable[GroupByKey]=OutputTable[[#This Row],[GroupByKey]])*OutputTable[RecordedValue]))</f>
        <v>844</v>
      </c>
    </row>
    <row r="87" spans="1:16" x14ac:dyDescent="0.25">
      <c r="A87" t="s">
        <v>68</v>
      </c>
      <c r="B87" t="s">
        <v>70</v>
      </c>
      <c r="C87">
        <v>5</v>
      </c>
      <c r="D87" t="s">
        <v>105</v>
      </c>
      <c r="E87" t="s">
        <v>106</v>
      </c>
      <c r="F87" t="s">
        <v>73</v>
      </c>
      <c r="G87">
        <v>749</v>
      </c>
      <c r="H87">
        <v>0</v>
      </c>
      <c r="I87" s="5" t="str">
        <f>OutputTable[[#This Row],[ProjectName]]&amp;OutputTable[[#This Row],[Name]]&amp;OutputTable[[#This Row],[Type]]&amp;OutputTable[[#This Row],[Source]]</f>
        <v>Tener ArticulsoArticulos.NumberOutNumber OutEntity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12</v>
      </c>
      <c r="K87" s="5" cm="1">
        <f t="array" ref="K87">IFERROR(AVERAGE(IF((OutputTable[GroupByKey]=OutputTable[[#This Row],[GroupByKey]]),(OutputTable[GroupByKey]=OutputTable[[#This Row],[GroupByKey]])*OutputTable[RecordedValue])),0)</f>
        <v>783.16666666666663</v>
      </c>
      <c r="L87" s="5" cm="1">
        <f t="array" ref="L87">IFERROR(_xlfn.STDEV.S(IF((OutputTable[GroupByKey]=OutputTable[[#This Row],[GroupByKey]]),(OutputTable[GroupByKey]=OutputTable[[#This Row],[GroupByKey]])*OutputTable[RecordedValue])),0)</f>
        <v>31.541699191368682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20.040639553097002</v>
      </c>
      <c r="O87" s="5" cm="1">
        <f t="array" ref="O87">MIN(IF((OutputTable[GroupByKey]=OutputTable[[#This Row],[GroupByKey]]),(OutputTable[GroupByKey]=OutputTable[[#This Row],[GroupByKey]])*OutputTable[RecordedValue]))</f>
        <v>730</v>
      </c>
      <c r="P87" s="5" cm="1">
        <f t="array" ref="P87">MAX(IF((OutputTable[GroupByKey]=OutputTable[[#This Row],[GroupByKey]]),(OutputTable[GroupByKey]=OutputTable[[#This Row],[GroupByKey]])*OutputTable[RecordedValue]))</f>
        <v>826</v>
      </c>
    </row>
    <row r="88" spans="1:16" x14ac:dyDescent="0.25">
      <c r="A88" t="s">
        <v>68</v>
      </c>
      <c r="B88" t="s">
        <v>70</v>
      </c>
      <c r="C88">
        <v>5</v>
      </c>
      <c r="D88" t="s">
        <v>107</v>
      </c>
      <c r="E88" t="s">
        <v>104</v>
      </c>
      <c r="F88" t="s">
        <v>73</v>
      </c>
      <c r="G88">
        <v>1087</v>
      </c>
      <c r="H88">
        <v>0</v>
      </c>
      <c r="I88" s="5" t="str">
        <f>OutputTable[[#This Row],[ProjectName]]&amp;OutputTable[[#This Row],[Name]]&amp;OutputTable[[#This Row],[Type]]&amp;OutputTable[[#This Row],[Source]]</f>
        <v>Tener ArticulsoCarros.NumberInNumber InEntity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12</v>
      </c>
      <c r="K88" s="5" cm="1">
        <f t="array" ref="K88">IFERROR(AVERAGE(IF((OutputTable[GroupByKey]=OutputTable[[#This Row],[GroupByKey]]),(OutputTable[GroupByKey]=OutputTable[[#This Row],[GroupByKey]])*OutputTable[RecordedValue])),0)</f>
        <v>1145.9166666666667</v>
      </c>
      <c r="L88" s="5" cm="1">
        <f t="array" ref="L88">IFERROR(_xlfn.STDEV.S(IF((OutputTable[GroupByKey]=OutputTable[[#This Row],[GroupByKey]]),(OutputTable[GroupByKey]=OutputTable[[#This Row],[GroupByKey]])*OutputTable[RecordedValue])),0)</f>
        <v>49.73101891600696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31.597581939297463</v>
      </c>
      <c r="O88" s="5" cm="1">
        <f t="array" ref="O88">MIN(IF((OutputTable[GroupByKey]=OutputTable[[#This Row],[GroupByKey]]),(OutputTable[GroupByKey]=OutputTable[[#This Row],[GroupByKey]])*OutputTable[RecordedValue]))</f>
        <v>1059</v>
      </c>
      <c r="P88" s="5" cm="1">
        <f t="array" ref="P88">MAX(IF((OutputTable[GroupByKey]=OutputTable[[#This Row],[GroupByKey]]),(OutputTable[GroupByKey]=OutputTable[[#This Row],[GroupByKey]])*OutputTable[RecordedValue]))</f>
        <v>1210</v>
      </c>
    </row>
    <row r="89" spans="1:16" x14ac:dyDescent="0.25">
      <c r="A89" t="s">
        <v>68</v>
      </c>
      <c r="B89" t="s">
        <v>70</v>
      </c>
      <c r="C89">
        <v>5</v>
      </c>
      <c r="D89" t="s">
        <v>108</v>
      </c>
      <c r="E89" t="s">
        <v>106</v>
      </c>
      <c r="F89" t="s">
        <v>73</v>
      </c>
      <c r="G89">
        <v>1087</v>
      </c>
      <c r="H89">
        <v>0</v>
      </c>
      <c r="I89" s="5" t="str">
        <f>OutputTable[[#This Row],[ProjectName]]&amp;OutputTable[[#This Row],[Name]]&amp;OutputTable[[#This Row],[Type]]&amp;OutputTable[[#This Row],[Source]]</f>
        <v>Tener ArticulsoCarros.NumberOutNumber OutEntity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12</v>
      </c>
      <c r="K89" s="5" cm="1">
        <f t="array" ref="K89">IFERROR(AVERAGE(IF((OutputTable[GroupByKey]=OutputTable[[#This Row],[GroupByKey]]),(OutputTable[GroupByKey]=OutputTable[[#This Row],[GroupByKey]])*OutputTable[RecordedValue])),0)</f>
        <v>1145.3333333333333</v>
      </c>
      <c r="L89" s="5" cm="1">
        <f t="array" ref="L89">IFERROR(_xlfn.STDEV.S(IF((OutputTable[GroupByKey]=OutputTable[[#This Row],[GroupByKey]]),(OutputTable[GroupByKey]=OutputTable[[#This Row],[GroupByKey]])*OutputTable[RecordedValue])),0)</f>
        <v>49.816633464104832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31.651978827953357</v>
      </c>
      <c r="O89" s="5" cm="1">
        <f t="array" ref="O89">MIN(IF((OutputTable[GroupByKey]=OutputTable[[#This Row],[GroupByKey]]),(OutputTable[GroupByKey]=OutputTable[[#This Row],[GroupByKey]])*OutputTable[RecordedValue]))</f>
        <v>1059</v>
      </c>
      <c r="P89" s="5" cm="1">
        <f t="array" ref="P89">MAX(IF((OutputTable[GroupByKey]=OutputTable[[#This Row],[GroupByKey]]),(OutputTable[GroupByKey]=OutputTable[[#This Row],[GroupByKey]])*OutputTable[RecordedValue]))</f>
        <v>1210</v>
      </c>
    </row>
    <row r="90" spans="1:16" x14ac:dyDescent="0.25">
      <c r="A90" t="s">
        <v>68</v>
      </c>
      <c r="B90" t="s">
        <v>70</v>
      </c>
      <c r="C90">
        <v>5</v>
      </c>
      <c r="D90" t="s">
        <v>109</v>
      </c>
      <c r="E90" t="s">
        <v>110</v>
      </c>
      <c r="F90" t="s">
        <v>82</v>
      </c>
      <c r="G90">
        <v>729.07587835771596</v>
      </c>
      <c r="H90">
        <v>0</v>
      </c>
      <c r="I90" s="5" t="str">
        <f>OutputTable[[#This Row],[ProjectName]]&amp;OutputTable[[#This Row],[Name]]&amp;OutputTable[[#This Row],[Type]]&amp;OutputTable[[#This Row],[Source]]</f>
        <v>Tener ArticulsoDesembalaje Accum VA TimeAccum VA TimeProcess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12</v>
      </c>
      <c r="K90" s="5" cm="1">
        <f t="array" ref="K90">IFERROR(AVERAGE(IF((OutputTable[GroupByKey]=OutputTable[[#This Row],[GroupByKey]]),(OutputTable[GroupByKey]=OutputTable[[#This Row],[GroupByKey]])*OutputTable[RecordedValue])),0)</f>
        <v>783.216775239051</v>
      </c>
      <c r="L90" s="5" cm="1">
        <f t="array" ref="L90">IFERROR(_xlfn.STDEV.S(IF((OutputTable[GroupByKey]=OutputTable[[#This Row],[GroupByKey]]),(OutputTable[GroupByKey]=OutputTable[[#This Row],[GroupByKey]])*OutputTable[RecordedValue])),0)</f>
        <v>48.528923107513336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30.833806701313396</v>
      </c>
      <c r="O90" s="5" cm="1">
        <f t="array" ref="O90">MIN(IF((OutputTable[GroupByKey]=OutputTable[[#This Row],[GroupByKey]]),(OutputTable[GroupByKey]=OutputTable[[#This Row],[GroupByKey]])*OutputTable[RecordedValue]))</f>
        <v>678.52271145285295</v>
      </c>
      <c r="P90" s="5" cm="1">
        <f t="array" ref="P90">MAX(IF((OutputTable[GroupByKey]=OutputTable[[#This Row],[GroupByKey]]),(OutputTable[GroupByKey]=OutputTable[[#This Row],[GroupByKey]])*OutputTable[RecordedValue]))</f>
        <v>840.77730126549898</v>
      </c>
    </row>
    <row r="91" spans="1:16" x14ac:dyDescent="0.25">
      <c r="A91" t="s">
        <v>68</v>
      </c>
      <c r="B91" t="s">
        <v>70</v>
      </c>
      <c r="C91">
        <v>5</v>
      </c>
      <c r="D91" t="s">
        <v>111</v>
      </c>
      <c r="E91" t="s">
        <v>112</v>
      </c>
      <c r="F91" t="s">
        <v>82</v>
      </c>
      <c r="G91">
        <v>546.46370972178704</v>
      </c>
      <c r="H91">
        <v>0</v>
      </c>
      <c r="I91" s="5" t="str">
        <f>OutputTable[[#This Row],[ProjectName]]&amp;OutputTable[[#This Row],[Name]]&amp;OutputTable[[#This Row],[Type]]&amp;OutputTable[[#This Row],[Source]]</f>
        <v>Tener ArticulsoDesembalaje Accum Wait TimeAccum Wait TimeProcess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12</v>
      </c>
      <c r="K91" s="5" cm="1">
        <f t="array" ref="K91">IFERROR(AVERAGE(IF((OutputTable[GroupByKey]=OutputTable[[#This Row],[GroupByKey]]),(OutputTable[GroupByKey]=OutputTable[[#This Row],[GroupByKey]])*OutputTable[RecordedValue])),0)</f>
        <v>811.48948897731191</v>
      </c>
      <c r="L91" s="5" cm="1">
        <f t="array" ref="L91">IFERROR(_xlfn.STDEV.S(IF((OutputTable[GroupByKey]=OutputTable[[#This Row],[GroupByKey]]),(OutputTable[GroupByKey]=OutputTable[[#This Row],[GroupByKey]])*OutputTable[RecordedValue])),0)</f>
        <v>143.72351593510379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91.317565381747087</v>
      </c>
      <c r="O91" s="5" cm="1">
        <f t="array" ref="O91">MIN(IF((OutputTable[GroupByKey]=OutputTable[[#This Row],[GroupByKey]]),(OutputTable[GroupByKey]=OutputTable[[#This Row],[GroupByKey]])*OutputTable[RecordedValue]))</f>
        <v>546.46370972178704</v>
      </c>
      <c r="P91" s="5" cm="1">
        <f t="array" ref="P91">MAX(IF((OutputTable[GroupByKey]=OutputTable[[#This Row],[GroupByKey]]),(OutputTable[GroupByKey]=OutputTable[[#This Row],[GroupByKey]])*OutputTable[RecordedValue]))</f>
        <v>1012.863937084</v>
      </c>
    </row>
    <row r="92" spans="1:16" x14ac:dyDescent="0.25">
      <c r="A92" t="s">
        <v>68</v>
      </c>
      <c r="B92" t="s">
        <v>70</v>
      </c>
      <c r="C92">
        <v>5</v>
      </c>
      <c r="D92" t="s">
        <v>113</v>
      </c>
      <c r="E92" t="s">
        <v>104</v>
      </c>
      <c r="F92" t="s">
        <v>82</v>
      </c>
      <c r="G92">
        <v>63</v>
      </c>
      <c r="H92">
        <v>0</v>
      </c>
      <c r="I92" s="5" t="str">
        <f>OutputTable[[#This Row],[ProjectName]]&amp;OutputTable[[#This Row],[Name]]&amp;OutputTable[[#This Row],[Type]]&amp;OutputTable[[#This Row],[Source]]</f>
        <v>Tener ArticulsoDesembalaje Number InNumber InProcess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12</v>
      </c>
      <c r="K92" s="5" cm="1">
        <f t="array" ref="K92">IFERROR(AVERAGE(IF((OutputTable[GroupByKey]=OutputTable[[#This Row],[GroupByKey]]),(OutputTable[GroupByKey]=OutputTable[[#This Row],[GroupByKey]])*OutputTable[RecordedValue])),0)</f>
        <v>66</v>
      </c>
      <c r="L92" s="5" cm="1">
        <f t="array" ref="L92">IFERROR(_xlfn.STDEV.S(IF((OutputTable[GroupByKey]=OutputTable[[#This Row],[GroupByKey]]),(OutputTable[GroupByKey]=OutputTable[[#This Row],[GroupByKey]])*OutputTable[RecordedValue])),0)</f>
        <v>4.1560470729681676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2.640626329283204</v>
      </c>
      <c r="O92" s="5" cm="1">
        <f t="array" ref="O92">MIN(IF((OutputTable[GroupByKey]=OutputTable[[#This Row],[GroupByKey]]),(OutputTable[GroupByKey]=OutputTable[[#This Row],[GroupByKey]])*OutputTable[RecordedValue]))</f>
        <v>59</v>
      </c>
      <c r="P92" s="5" cm="1">
        <f t="array" ref="P92">MAX(IF((OutputTable[GroupByKey]=OutputTable[[#This Row],[GroupByKey]]),(OutputTable[GroupByKey]=OutputTable[[#This Row],[GroupByKey]])*OutputTable[RecordedValue]))</f>
        <v>70</v>
      </c>
    </row>
    <row r="93" spans="1:16" x14ac:dyDescent="0.25">
      <c r="A93" t="s">
        <v>68</v>
      </c>
      <c r="B93" t="s">
        <v>70</v>
      </c>
      <c r="C93">
        <v>5</v>
      </c>
      <c r="D93" t="s">
        <v>114</v>
      </c>
      <c r="E93" t="s">
        <v>106</v>
      </c>
      <c r="F93" t="s">
        <v>82</v>
      </c>
      <c r="G93">
        <v>62</v>
      </c>
      <c r="H93">
        <v>0</v>
      </c>
      <c r="I93" s="5" t="str">
        <f>OutputTable[[#This Row],[ProjectName]]&amp;OutputTable[[#This Row],[Name]]&amp;OutputTable[[#This Row],[Type]]&amp;OutputTable[[#This Row],[Source]]</f>
        <v>Tener ArticulsoDesembalaje Number OutNumber OutProcess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12</v>
      </c>
      <c r="K93" s="5" cm="1">
        <f t="array" ref="K93">IFERROR(AVERAGE(IF((OutputTable[GroupByKey]=OutputTable[[#This Row],[GroupByKey]]),(OutputTable[GroupByKey]=OutputTable[[#This Row],[GroupByKey]])*OutputTable[RecordedValue])),0)</f>
        <v>65.083333333333329</v>
      </c>
      <c r="L93" s="5" cm="1">
        <f t="array" ref="L93">IFERROR(_xlfn.STDEV.S(IF((OutputTable[GroupByKey]=OutputTable[[#This Row],[GroupByKey]]),(OutputTable[GroupByKey]=OutputTable[[#This Row],[GroupByKey]])*OutputTable[RecordedValue])),0)</f>
        <v>4.2310182168734691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2.6882607215451362</v>
      </c>
      <c r="O93" s="5" cm="1">
        <f t="array" ref="O93">MIN(IF((OutputTable[GroupByKey]=OutputTable[[#This Row],[GroupByKey]]),(OutputTable[GroupByKey]=OutputTable[[#This Row],[GroupByKey]])*OutputTable[RecordedValue]))</f>
        <v>58</v>
      </c>
      <c r="P93" s="5" cm="1">
        <f t="array" ref="P93">MAX(IF((OutputTable[GroupByKey]=OutputTable[[#This Row],[GroupByKey]]),(OutputTable[GroupByKey]=OutputTable[[#This Row],[GroupByKey]])*OutputTable[RecordedValue]))</f>
        <v>69</v>
      </c>
    </row>
    <row r="94" spans="1:16" x14ac:dyDescent="0.25">
      <c r="A94" t="s">
        <v>68</v>
      </c>
      <c r="B94" t="s">
        <v>70</v>
      </c>
      <c r="C94">
        <v>5</v>
      </c>
      <c r="D94" t="s">
        <v>115</v>
      </c>
      <c r="E94" t="s">
        <v>110</v>
      </c>
      <c r="F94" t="s">
        <v>82</v>
      </c>
      <c r="G94">
        <v>1106.0350367697699</v>
      </c>
      <c r="H94">
        <v>0</v>
      </c>
      <c r="I94" s="5" t="str">
        <f>OutputTable[[#This Row],[ProjectName]]&amp;OutputTable[[#This Row],[Name]]&amp;OutputTable[[#This Row],[Type]]&amp;OutputTable[[#This Row],[Source]]</f>
        <v>Tener ArticulsoOrganizar Accum VA TimeAccum VA TimeProcess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12</v>
      </c>
      <c r="K94" s="5" cm="1">
        <f t="array" ref="K94">IFERROR(AVERAGE(IF((OutputTable[GroupByKey]=OutputTable[[#This Row],[GroupByKey]]),(OutputTable[GroupByKey]=OutputTable[[#This Row],[GroupByKey]])*OutputTable[RecordedValue])),0)</f>
        <v>1181.2622276627176</v>
      </c>
      <c r="L94" s="5" cm="1">
        <f t="array" ref="L94">IFERROR(_xlfn.STDEV.S(IF((OutputTable[GroupByKey]=OutputTable[[#This Row],[GroupByKey]]),(OutputTable[GroupByKey]=OutputTable[[#This Row],[GroupByKey]])*OutputTable[RecordedValue])),0)</f>
        <v>50.899735842094827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32.340149247203939</v>
      </c>
      <c r="O94" s="5" cm="1">
        <f t="array" ref="O94">MIN(IF((OutputTable[GroupByKey]=OutputTable[[#This Row],[GroupByKey]]),(OutputTable[GroupByKey]=OutputTable[[#This Row],[GroupByKey]])*OutputTable[RecordedValue]))</f>
        <v>1106.0350367697699</v>
      </c>
      <c r="P94" s="5" cm="1">
        <f t="array" ref="P94">MAX(IF((OutputTable[GroupByKey]=OutputTable[[#This Row],[GroupByKey]]),(OutputTable[GroupByKey]=OutputTable[[#This Row],[GroupByKey]])*OutputTable[RecordedValue]))</f>
        <v>1255.97830087074</v>
      </c>
    </row>
    <row r="95" spans="1:16" x14ac:dyDescent="0.25">
      <c r="A95" t="s">
        <v>68</v>
      </c>
      <c r="B95" t="s">
        <v>70</v>
      </c>
      <c r="C95">
        <v>5</v>
      </c>
      <c r="D95" t="s">
        <v>116</v>
      </c>
      <c r="E95" t="s">
        <v>112</v>
      </c>
      <c r="F95" t="s">
        <v>82</v>
      </c>
      <c r="G95">
        <v>9643.84605851171</v>
      </c>
      <c r="H95">
        <v>0</v>
      </c>
      <c r="I95" s="5" t="str">
        <f>OutputTable[[#This Row],[ProjectName]]&amp;OutputTable[[#This Row],[Name]]&amp;OutputTable[[#This Row],[Type]]&amp;OutputTable[[#This Row],[Source]]</f>
        <v>Tener ArticulsoOrganizar Accum Wait TimeAccum Wait TimeProcess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12</v>
      </c>
      <c r="K95" s="5" cm="1">
        <f t="array" ref="K95">IFERROR(AVERAGE(IF((OutputTable[GroupByKey]=OutputTable[[#This Row],[GroupByKey]]),(OutputTable[GroupByKey]=OutputTable[[#This Row],[GroupByKey]])*OutputTable[RecordedValue])),0)</f>
        <v>14481.366678807759</v>
      </c>
      <c r="L95" s="5" cm="1">
        <f t="array" ref="L95">IFERROR(_xlfn.STDEV.S(IF((OutputTable[GroupByKey]=OutputTable[[#This Row],[GroupByKey]]),(OutputTable[GroupByKey]=OutputTable[[#This Row],[GroupByKey]])*OutputTable[RecordedValue])),0)</f>
        <v>2869.9645631781104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1823.4884871564914</v>
      </c>
      <c r="O95" s="5" cm="1">
        <f t="array" ref="O95">MIN(IF((OutputTable[GroupByKey]=OutputTable[[#This Row],[GroupByKey]]),(OutputTable[GroupByKey]=OutputTable[[#This Row],[GroupByKey]])*OutputTable[RecordedValue]))</f>
        <v>9643.84605851171</v>
      </c>
      <c r="P95" s="5" cm="1">
        <f t="array" ref="P95">MAX(IF((OutputTable[GroupByKey]=OutputTable[[#This Row],[GroupByKey]]),(OutputTable[GroupByKey]=OutputTable[[#This Row],[GroupByKey]])*OutputTable[RecordedValue]))</f>
        <v>18159.7018308675</v>
      </c>
    </row>
    <row r="96" spans="1:16" x14ac:dyDescent="0.25">
      <c r="A96" t="s">
        <v>68</v>
      </c>
      <c r="B96" t="s">
        <v>70</v>
      </c>
      <c r="C96">
        <v>5</v>
      </c>
      <c r="D96" t="s">
        <v>117</v>
      </c>
      <c r="E96" t="s">
        <v>104</v>
      </c>
      <c r="F96" t="s">
        <v>82</v>
      </c>
      <c r="G96">
        <v>756</v>
      </c>
      <c r="H96">
        <v>0</v>
      </c>
      <c r="I96" s="5" t="str">
        <f>OutputTable[[#This Row],[ProjectName]]&amp;OutputTable[[#This Row],[Name]]&amp;OutputTable[[#This Row],[Type]]&amp;OutputTable[[#This Row],[Source]]</f>
        <v>Tener ArticulsoOrganizar Number InNumber InProcess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12</v>
      </c>
      <c r="K96" s="5" cm="1">
        <f t="array" ref="K96">IFERROR(AVERAGE(IF((OutputTable[GroupByKey]=OutputTable[[#This Row],[GroupByKey]]),(OutputTable[GroupByKey]=OutputTable[[#This Row],[GroupByKey]])*OutputTable[RecordedValue])),0)</f>
        <v>794.91666666666663</v>
      </c>
      <c r="L96" s="5" cm="1">
        <f t="array" ref="L96">IFERROR(_xlfn.STDEV.S(IF((OutputTable[GroupByKey]=OutputTable[[#This Row],[GroupByKey]]),(OutputTable[GroupByKey]=OutputTable[[#This Row],[GroupByKey]])*OutputTable[RecordedValue])),0)</f>
        <v>34.394656914154915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21.853322409391229</v>
      </c>
      <c r="O96" s="5" cm="1">
        <f t="array" ref="O96">MIN(IF((OutputTable[GroupByKey]=OutputTable[[#This Row],[GroupByKey]]),(OutputTable[GroupByKey]=OutputTable[[#This Row],[GroupByKey]])*OutputTable[RecordedValue]))</f>
        <v>737</v>
      </c>
      <c r="P96" s="5" cm="1">
        <f t="array" ref="P96">MAX(IF((OutputTable[GroupByKey]=OutputTable[[#This Row],[GroupByKey]]),(OutputTable[GroupByKey]=OutputTable[[#This Row],[GroupByKey]])*OutputTable[RecordedValue]))</f>
        <v>841</v>
      </c>
    </row>
    <row r="97" spans="1:16" x14ac:dyDescent="0.25">
      <c r="A97" t="s">
        <v>68</v>
      </c>
      <c r="B97" t="s">
        <v>70</v>
      </c>
      <c r="C97">
        <v>5</v>
      </c>
      <c r="D97" t="s">
        <v>118</v>
      </c>
      <c r="E97" t="s">
        <v>106</v>
      </c>
      <c r="F97" t="s">
        <v>82</v>
      </c>
      <c r="G97">
        <v>750</v>
      </c>
      <c r="H97">
        <v>0</v>
      </c>
      <c r="I97" s="5" t="str">
        <f>OutputTable[[#This Row],[ProjectName]]&amp;OutputTable[[#This Row],[Name]]&amp;OutputTable[[#This Row],[Type]]&amp;OutputTable[[#This Row],[Source]]</f>
        <v>Tener ArticulsoOrganizar Number OutNumber OutProcess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12</v>
      </c>
      <c r="K97" s="5" cm="1">
        <f t="array" ref="K97">IFERROR(AVERAGE(IF((OutputTable[GroupByKey]=OutputTable[[#This Row],[GroupByKey]]),(OutputTable[GroupByKey]=OutputTable[[#This Row],[GroupByKey]])*OutputTable[RecordedValue])),0)</f>
        <v>786</v>
      </c>
      <c r="L97" s="5" cm="1">
        <f t="array" ref="L97">IFERROR(_xlfn.STDEV.S(IF((OutputTable[GroupByKey]=OutputTable[[#This Row],[GroupByKey]]),(OutputTable[GroupByKey]=OutputTable[[#This Row],[GroupByKey]])*OutputTable[RecordedValue])),0)</f>
        <v>32.741411087489801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20.80290012542233</v>
      </c>
      <c r="O97" s="5" cm="1">
        <f t="array" ref="O97">MIN(IF((OutputTable[GroupByKey]=OutputTable[[#This Row],[GroupByKey]]),(OutputTable[GroupByKey]=OutputTable[[#This Row],[GroupByKey]])*OutputTable[RecordedValue]))</f>
        <v>732</v>
      </c>
      <c r="P97" s="5" cm="1">
        <f t="array" ref="P97">MAX(IF((OutputTable[GroupByKey]=OutputTable[[#This Row],[GroupByKey]]),(OutputTable[GroupByKey]=OutputTable[[#This Row],[GroupByKey]])*OutputTable[RecordedValue]))</f>
        <v>829</v>
      </c>
    </row>
    <row r="98" spans="1:16" x14ac:dyDescent="0.25">
      <c r="A98" t="s">
        <v>68</v>
      </c>
      <c r="B98" t="s">
        <v>70</v>
      </c>
      <c r="C98">
        <v>5</v>
      </c>
      <c r="D98" t="s">
        <v>119</v>
      </c>
      <c r="E98" t="s">
        <v>110</v>
      </c>
      <c r="F98" t="s">
        <v>82</v>
      </c>
      <c r="G98">
        <v>1489.7930632509899</v>
      </c>
      <c r="H98">
        <v>0</v>
      </c>
      <c r="I98" s="5" t="str">
        <f>OutputTable[[#This Row],[ProjectName]]&amp;OutputTable[[#This Row],[Name]]&amp;OutputTable[[#This Row],[Type]]&amp;OutputTable[[#This Row],[Source]]</f>
        <v>Tener ArticulsoSacar Articulos Accum VA TimeAccum VA TimeProcess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12</v>
      </c>
      <c r="K98" s="5" cm="1">
        <f t="array" ref="K98">IFERROR(AVERAGE(IF((OutputTable[GroupByKey]=OutputTable[[#This Row],[GroupByKey]]),(OutputTable[GroupByKey]=OutputTable[[#This Row],[GroupByKey]])*OutputTable[RecordedValue])),0)</f>
        <v>1584.7600747574054</v>
      </c>
      <c r="L98" s="5" cm="1">
        <f t="array" ref="L98">IFERROR(_xlfn.STDEV.S(IF((OutputTable[GroupByKey]=OutputTable[[#This Row],[GroupByKey]]),(OutputTable[GroupByKey]=OutputTable[[#This Row],[GroupByKey]])*OutputTable[RecordedValue])),0)</f>
        <v>65.199632506816158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41.425870119928376</v>
      </c>
      <c r="O98" s="5" cm="1">
        <f t="array" ref="O98">MIN(IF((OutputTable[GroupByKey]=OutputTable[[#This Row],[GroupByKey]]),(OutputTable[GroupByKey]=OutputTable[[#This Row],[GroupByKey]])*OutputTable[RecordedValue]))</f>
        <v>1473.78349566985</v>
      </c>
      <c r="P98" s="5" cm="1">
        <f t="array" ref="P98">MAX(IF((OutputTable[GroupByKey]=OutputTable[[#This Row],[GroupByKey]]),(OutputTable[GroupByKey]=OutputTable[[#This Row],[GroupByKey]])*OutputTable[RecordedValue]))</f>
        <v>1673.21312485417</v>
      </c>
    </row>
    <row r="99" spans="1:16" x14ac:dyDescent="0.25">
      <c r="A99" t="s">
        <v>68</v>
      </c>
      <c r="B99" t="s">
        <v>70</v>
      </c>
      <c r="C99">
        <v>5</v>
      </c>
      <c r="D99" t="s">
        <v>120</v>
      </c>
      <c r="E99" t="s">
        <v>112</v>
      </c>
      <c r="F99" t="s">
        <v>82</v>
      </c>
      <c r="G99">
        <v>1071.04239293555</v>
      </c>
      <c r="H99">
        <v>0</v>
      </c>
      <c r="I99" s="5" t="str">
        <f>OutputTable[[#This Row],[ProjectName]]&amp;OutputTable[[#This Row],[Name]]&amp;OutputTable[[#This Row],[Type]]&amp;OutputTable[[#This Row],[Source]]</f>
        <v>Tener ArticulsoSacar Articulos Accum Wait TimeAccum Wait TimeProcess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12</v>
      </c>
      <c r="K99" s="5" cm="1">
        <f t="array" ref="K99">IFERROR(AVERAGE(IF((OutputTable[GroupByKey]=OutputTable[[#This Row],[GroupByKey]]),(OutputTable[GroupByKey]=OutputTable[[#This Row],[GroupByKey]])*OutputTable[RecordedValue])),0)</f>
        <v>1151.8667665386067</v>
      </c>
      <c r="L99" s="5" cm="1">
        <f t="array" ref="L99">IFERROR(_xlfn.STDEV.S(IF((OutputTable[GroupByKey]=OutputTable[[#This Row],[GroupByKey]]),(OutputTable[GroupByKey]=OutputTable[[#This Row],[GroupByKey]])*OutputTable[RecordedValue])),0)</f>
        <v>58.761364856103697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37.335190015744239</v>
      </c>
      <c r="O99" s="5" cm="1">
        <f t="array" ref="O99">MIN(IF((OutputTable[GroupByKey]=OutputTable[[#This Row],[GroupByKey]]),(OutputTable[GroupByKey]=OutputTable[[#This Row],[GroupByKey]])*OutputTable[RecordedValue]))</f>
        <v>1064.4971115521701</v>
      </c>
      <c r="P99" s="5" cm="1">
        <f t="array" ref="P99">MAX(IF((OutputTable[GroupByKey]=OutputTable[[#This Row],[GroupByKey]]),(OutputTable[GroupByKey]=OutputTable[[#This Row],[GroupByKey]])*OutputTable[RecordedValue]))</f>
        <v>1232.84038930315</v>
      </c>
    </row>
    <row r="100" spans="1:16" x14ac:dyDescent="0.25">
      <c r="A100" t="s">
        <v>68</v>
      </c>
      <c r="B100" t="s">
        <v>70</v>
      </c>
      <c r="C100">
        <v>5</v>
      </c>
      <c r="D100" t="s">
        <v>121</v>
      </c>
      <c r="E100" t="s">
        <v>104</v>
      </c>
      <c r="F100" t="s">
        <v>82</v>
      </c>
      <c r="G100">
        <v>756</v>
      </c>
      <c r="H100">
        <v>0</v>
      </c>
      <c r="I100" s="5" t="str">
        <f>OutputTable[[#This Row],[ProjectName]]&amp;OutputTable[[#This Row],[Name]]&amp;OutputTable[[#This Row],[Type]]&amp;OutputTable[[#This Row],[Source]]</f>
        <v>Tener ArticulsoSacar Articulos Number InNumber InProcess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12</v>
      </c>
      <c r="K100" s="5" cm="1">
        <f t="array" ref="K100">IFERROR(AVERAGE(IF((OutputTable[GroupByKey]=OutputTable[[#This Row],[GroupByKey]]),(OutputTable[GroupByKey]=OutputTable[[#This Row],[GroupByKey]])*OutputTable[RecordedValue])),0)</f>
        <v>796.41666666666663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34.731328098924628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100" s="5" cm="1">
        <f t="array" ref="O100">MIN(IF((OutputTable[GroupByKey]=OutputTable[[#This Row],[GroupByKey]]),(OutputTable[GroupByKey]=OutputTable[[#This Row],[GroupByKey]])*OutputTable[RecordedValue]))</f>
        <v>737</v>
      </c>
      <c r="P100" s="5" cm="1">
        <f t="array" ref="P100">MAX(IF((OutputTable[GroupByKey]=OutputTable[[#This Row],[GroupByKey]]),(OutputTable[GroupByKey]=OutputTable[[#This Row],[GroupByKey]])*OutputTable[RecordedValue]))</f>
        <v>844</v>
      </c>
    </row>
    <row r="101" spans="1:16" x14ac:dyDescent="0.25">
      <c r="A101" t="s">
        <v>68</v>
      </c>
      <c r="B101" t="s">
        <v>70</v>
      </c>
      <c r="C101">
        <v>5</v>
      </c>
      <c r="D101" t="s">
        <v>122</v>
      </c>
      <c r="E101" t="s">
        <v>106</v>
      </c>
      <c r="F101" t="s">
        <v>82</v>
      </c>
      <c r="G101">
        <v>756</v>
      </c>
      <c r="H101">
        <v>0</v>
      </c>
      <c r="I101" s="5" t="str">
        <f>OutputTable[[#This Row],[ProjectName]]&amp;OutputTable[[#This Row],[Name]]&amp;OutputTable[[#This Row],[Type]]&amp;OutputTable[[#This Row],[Source]]</f>
        <v>Tener ArticulsoSacar Articulos Number OutNumber OutProcess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12</v>
      </c>
      <c r="K101" s="5" cm="1">
        <f t="array" ref="K101">IFERROR(AVERAGE(IF((OutputTable[GroupByKey]=OutputTable[[#This Row],[GroupByKey]]),(OutputTable[GroupByKey]=OutputTable[[#This Row],[GroupByKey]])*OutputTable[RecordedValue])),0)</f>
        <v>795.08333333333337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34.510758094287411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21.927089579910728</v>
      </c>
      <c r="O101" s="5" cm="1">
        <f t="array" ref="O101">MIN(IF((OutputTable[GroupByKey]=OutputTable[[#This Row],[GroupByKey]]),(OutputTable[GroupByKey]=OutputTable[[#This Row],[GroupByKey]])*OutputTable[RecordedValue]))</f>
        <v>737</v>
      </c>
      <c r="P101" s="5" cm="1">
        <f t="array" ref="P101">MAX(IF((OutputTable[GroupByKey]=OutputTable[[#This Row],[GroupByKey]]),(OutputTable[GroupByKey]=OutputTable[[#This Row],[GroupByKey]])*OutputTable[RecordedValue]))</f>
        <v>841</v>
      </c>
    </row>
    <row r="102" spans="1:16" x14ac:dyDescent="0.25">
      <c r="A102" t="s">
        <v>68</v>
      </c>
      <c r="B102" t="s">
        <v>70</v>
      </c>
      <c r="C102">
        <v>5</v>
      </c>
      <c r="D102" t="s">
        <v>123</v>
      </c>
      <c r="E102" t="s">
        <v>106</v>
      </c>
      <c r="F102" t="s">
        <v>124</v>
      </c>
      <c r="G102">
        <v>1080</v>
      </c>
      <c r="H102">
        <v>0</v>
      </c>
      <c r="I102" s="5" t="str">
        <f>OutputTable[[#This Row],[ProjectName]]&amp;OutputTable[[#This Row],[Name]]&amp;OutputTable[[#This Row],[Type]]&amp;OutputTable[[#This Row],[Source]]</f>
        <v>Tener ArticulsoSystem.NumberOutNumber OutSystem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12</v>
      </c>
      <c r="K102" s="5" cm="1">
        <f t="array" ref="K102">IFERROR(AVERAGE(IF((OutputTable[GroupByKey]=OutputTable[[#This Row],[GroupByKey]]),(OutputTable[GroupByKey]=OutputTable[[#This Row],[GroupByKey]])*OutputTable[RecordedValue])),0)</f>
        <v>1132.0833333333333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46.640712479614429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29.634094905050876</v>
      </c>
      <c r="O102" s="5" cm="1">
        <f t="array" ref="O102">MIN(IF((OutputTable[GroupByKey]=OutputTable[[#This Row],[GroupByKey]]),(OutputTable[GroupByKey]=OutputTable[[#This Row],[GroupByKey]])*OutputTable[RecordedValue]))</f>
        <v>1052</v>
      </c>
      <c r="P102" s="5" cm="1">
        <f t="array" ref="P102">MAX(IF((OutputTable[GroupByKey]=OutputTable[[#This Row],[GroupByKey]]),(OutputTable[GroupByKey]=OutputTable[[#This Row],[GroupByKey]])*OutputTable[RecordedValue]))</f>
        <v>1192</v>
      </c>
    </row>
    <row r="103" spans="1:16" x14ac:dyDescent="0.25">
      <c r="A103" t="s">
        <v>68</v>
      </c>
      <c r="B103" t="s">
        <v>70</v>
      </c>
      <c r="C103">
        <v>5</v>
      </c>
      <c r="D103" t="s">
        <v>125</v>
      </c>
      <c r="E103" t="s">
        <v>126</v>
      </c>
      <c r="F103" t="s">
        <v>99</v>
      </c>
      <c r="G103">
        <v>813</v>
      </c>
      <c r="H103">
        <v>0</v>
      </c>
      <c r="I103" s="5" t="str">
        <f>OutputTable[[#This Row],[ProjectName]]&amp;OutputTable[[#This Row],[Name]]&amp;OutputTable[[#This Row],[Type]]&amp;OutputTable[[#This Row],[Source]]</f>
        <v>Tener ArticulsorOrganizdor.NumberSeizedTotal Number SeizedResource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12</v>
      </c>
      <c r="K103" s="5" cm="1">
        <f t="array" ref="K103">IFERROR(AVERAGE(IF((OutputTable[GroupByKey]=OutputTable[[#This Row],[GroupByKey]]),(OutputTable[GroupByKey]=OutputTable[[#This Row],[GroupByKey]])*OutputTable[RecordedValue])),0)</f>
        <v>852.08333333333337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32.103407730002552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20.397532131659759</v>
      </c>
      <c r="O103" s="5" cm="1">
        <f t="array" ref="O103">MIN(IF((OutputTable[GroupByKey]=OutputTable[[#This Row],[GroupByKey]]),(OutputTable[GroupByKey]=OutputTable[[#This Row],[GroupByKey]])*OutputTable[RecordedValue]))</f>
        <v>800</v>
      </c>
      <c r="P103" s="5" cm="1">
        <f t="array" ref="P103">MAX(IF((OutputTable[GroupByKey]=OutputTable[[#This Row],[GroupByKey]]),(OutputTable[GroupByKey]=OutputTable[[#This Row],[GroupByKey]])*OutputTable[RecordedValue]))</f>
        <v>893</v>
      </c>
    </row>
    <row r="104" spans="1:16" x14ac:dyDescent="0.25">
      <c r="A104" t="s">
        <v>68</v>
      </c>
      <c r="B104" t="s">
        <v>70</v>
      </c>
      <c r="C104">
        <v>5</v>
      </c>
      <c r="D104" t="s">
        <v>127</v>
      </c>
      <c r="E104" t="s">
        <v>128</v>
      </c>
      <c r="F104" t="s">
        <v>99</v>
      </c>
      <c r="G104">
        <v>0.87408888428798603</v>
      </c>
      <c r="H104">
        <v>0</v>
      </c>
      <c r="I104" s="5" t="str">
        <f>OutputTable[[#This Row],[ProjectName]]&amp;OutputTable[[#This Row],[Name]]&amp;OutputTable[[#This Row],[Type]]&amp;OutputTable[[#This Row],[Source]]</f>
        <v>Tener ArticulsorOrganizdor.ScheduledUtilizationScheduled UtilizationResource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12</v>
      </c>
      <c r="K104" s="5" cm="1">
        <f t="array" ref="K104">IFERROR(AVERAGE(IF((OutputTable[GroupByKey]=OutputTable[[#This Row],[GroupByKey]]),(OutputTable[GroupByKey]=OutputTable[[#This Row],[GroupByKey]])*OutputTable[RecordedValue])),0)</f>
        <v>0.93693413710063267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3.0080475881637609E-2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1.9112222555672933E-2</v>
      </c>
      <c r="O104" s="5" cm="1">
        <f t="array" ref="O104">MIN(IF((OutputTable[GroupByKey]=OutputTable[[#This Row],[GroupByKey]]),(OutputTable[GroupByKey]=OutputTable[[#This Row],[GroupByKey]])*OutputTable[RecordedValue]))</f>
        <v>0.87408888428798603</v>
      </c>
      <c r="P104" s="5" cm="1">
        <f t="array" ref="P104">MAX(IF((OutputTable[GroupByKey]=OutputTable[[#This Row],[GroupByKey]]),(OutputTable[GroupByKey]=OutputTable[[#This Row],[GroupByKey]])*OutputTable[RecordedValue]))</f>
        <v>0.989515454392208</v>
      </c>
    </row>
    <row r="105" spans="1:16" x14ac:dyDescent="0.25">
      <c r="A105" t="s">
        <v>68</v>
      </c>
      <c r="B105" t="s">
        <v>70</v>
      </c>
      <c r="C105">
        <v>5</v>
      </c>
      <c r="D105" t="s">
        <v>129</v>
      </c>
      <c r="E105" t="s">
        <v>126</v>
      </c>
      <c r="F105" t="s">
        <v>99</v>
      </c>
      <c r="G105">
        <v>756</v>
      </c>
      <c r="H105">
        <v>0</v>
      </c>
      <c r="I105" s="5" t="str">
        <f>OutputTable[[#This Row],[ProjectName]]&amp;OutputTable[[#This Row],[Name]]&amp;OutputTable[[#This Row],[Type]]&amp;OutputTable[[#This Row],[Source]]</f>
        <v>Tener ArticulsorSacador.NumberSeizedTotal Number SeizedResource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12</v>
      </c>
      <c r="K105" s="5" cm="1">
        <f t="array" ref="K105">IFERROR(AVERAGE(IF((OutputTable[GroupByKey]=OutputTable[[#This Row],[GroupByKey]]),(OutputTable[GroupByKey]=OutputTable[[#This Row],[GroupByKey]])*OutputTable[RecordedValue])),0)</f>
        <v>795.66666666666663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34.623516268395946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21.998732705738043</v>
      </c>
      <c r="O105" s="5" cm="1">
        <f t="array" ref="O105">MIN(IF((OutputTable[GroupByKey]=OutputTable[[#This Row],[GroupByKey]]),(OutputTable[GroupByKey]=OutputTable[[#This Row],[GroupByKey]])*OutputTable[RecordedValue]))</f>
        <v>737</v>
      </c>
      <c r="P105" s="5" cm="1">
        <f t="array" ref="P105">MAX(IF((OutputTable[GroupByKey]=OutputTable[[#This Row],[GroupByKey]]),(OutputTable[GroupByKey]=OutputTable[[#This Row],[GroupByKey]])*OutputTable[RecordedValue]))</f>
        <v>842</v>
      </c>
    </row>
    <row r="106" spans="1:16" x14ac:dyDescent="0.25">
      <c r="A106" t="s">
        <v>68</v>
      </c>
      <c r="B106" t="s">
        <v>70</v>
      </c>
      <c r="C106">
        <v>5</v>
      </c>
      <c r="D106" t="s">
        <v>130</v>
      </c>
      <c r="E106" t="s">
        <v>128</v>
      </c>
      <c r="F106" t="s">
        <v>99</v>
      </c>
      <c r="G106">
        <v>0.70942526821475904</v>
      </c>
      <c r="H106">
        <v>0</v>
      </c>
      <c r="I106" s="5" t="str">
        <f>OutputTable[[#This Row],[ProjectName]]&amp;OutputTable[[#This Row],[Name]]&amp;OutputTable[[#This Row],[Type]]&amp;OutputTable[[#This Row],[Source]]</f>
        <v>Tener ArticulsorSacador.ScheduledUtilizationScheduled UtilizationResource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12</v>
      </c>
      <c r="K106" s="5" cm="1">
        <f t="array" ref="K106">IFERROR(AVERAGE(IF((OutputTable[GroupByKey]=OutputTable[[#This Row],[GroupByKey]]),(OutputTable[GroupByKey]=OutputTable[[#This Row],[GroupByKey]])*OutputTable[RecordedValue])),0)</f>
        <v>0.75499127770842467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3.0990673550046054E-2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1.9690534563658681E-2</v>
      </c>
      <c r="O106" s="5" cm="1">
        <f t="array" ref="O106">MIN(IF((OutputTable[GroupByKey]=OutputTable[[#This Row],[GroupByKey]]),(OutputTable[GroupByKey]=OutputTable[[#This Row],[GroupByKey]])*OutputTable[RecordedValue]))</f>
        <v>0.70281682687036895</v>
      </c>
      <c r="P106" s="5" cm="1">
        <f t="array" ref="P106">MAX(IF((OutputTable[GroupByKey]=OutputTable[[#This Row],[GroupByKey]]),(OutputTable[GroupByKey]=OutputTable[[#This Row],[GroupByKey]])*OutputTable[RecordedValue]))</f>
        <v>0.79676815469245998</v>
      </c>
    </row>
    <row r="107" spans="1:16" x14ac:dyDescent="0.25">
      <c r="A107" t="s">
        <v>68</v>
      </c>
      <c r="B107" t="s">
        <v>70</v>
      </c>
      <c r="C107">
        <v>6</v>
      </c>
      <c r="D107" t="s">
        <v>103</v>
      </c>
      <c r="E107" t="s">
        <v>104</v>
      </c>
      <c r="F107" t="s">
        <v>73</v>
      </c>
      <c r="G107">
        <v>801</v>
      </c>
      <c r="H107">
        <v>0</v>
      </c>
      <c r="I107" s="5" t="str">
        <f>OutputTable[[#This Row],[ProjectName]]&amp;OutputTable[[#This Row],[Name]]&amp;OutputTable[[#This Row],[Type]]&amp;OutputTable[[#This Row],[Source]]</f>
        <v>Tener ArticulsoArticulos.NumberInNumber InEntity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12</v>
      </c>
      <c r="K107" s="5" cm="1">
        <f t="array" ref="K107">IFERROR(AVERAGE(IF((OutputTable[GroupByKey]=OutputTable[[#This Row],[GroupByKey]]),(OutputTable[GroupByKey]=OutputTable[[#This Row],[GroupByKey]])*OutputTable[RecordedValue])),0)</f>
        <v>796.41666666666663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34.731328098924628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107" s="5" cm="1">
        <f t="array" ref="O107">MIN(IF((OutputTable[GroupByKey]=OutputTable[[#This Row],[GroupByKey]]),(OutputTable[GroupByKey]=OutputTable[[#This Row],[GroupByKey]])*OutputTable[RecordedValue]))</f>
        <v>737</v>
      </c>
      <c r="P107" s="5" cm="1">
        <f t="array" ref="P107">MAX(IF((OutputTable[GroupByKey]=OutputTable[[#This Row],[GroupByKey]]),(OutputTable[GroupByKey]=OutputTable[[#This Row],[GroupByKey]])*OutputTable[RecordedValue]))</f>
        <v>844</v>
      </c>
    </row>
    <row r="108" spans="1:16" x14ac:dyDescent="0.25">
      <c r="A108" t="s">
        <v>68</v>
      </c>
      <c r="B108" t="s">
        <v>70</v>
      </c>
      <c r="C108">
        <v>6</v>
      </c>
      <c r="D108" t="s">
        <v>105</v>
      </c>
      <c r="E108" t="s">
        <v>106</v>
      </c>
      <c r="F108" t="s">
        <v>73</v>
      </c>
      <c r="G108">
        <v>788</v>
      </c>
      <c r="H108">
        <v>0</v>
      </c>
      <c r="I108" s="5" t="str">
        <f>OutputTable[[#This Row],[ProjectName]]&amp;OutputTable[[#This Row],[Name]]&amp;OutputTable[[#This Row],[Type]]&amp;OutputTable[[#This Row],[Source]]</f>
        <v>Tener ArticulsoArticulos.NumberOutNumber OutEntity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12</v>
      </c>
      <c r="K108" s="5" cm="1">
        <f t="array" ref="K108">IFERROR(AVERAGE(IF((OutputTable[GroupByKey]=OutputTable[[#This Row],[GroupByKey]]),(OutputTable[GroupByKey]=OutputTable[[#This Row],[GroupByKey]])*OutputTable[RecordedValue])),0)</f>
        <v>783.16666666666663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31.541699191368682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20.040639553097002</v>
      </c>
      <c r="O108" s="5" cm="1">
        <f t="array" ref="O108">MIN(IF((OutputTable[GroupByKey]=OutputTable[[#This Row],[GroupByKey]]),(OutputTable[GroupByKey]=OutputTable[[#This Row],[GroupByKey]])*OutputTable[RecordedValue]))</f>
        <v>730</v>
      </c>
      <c r="P108" s="5" cm="1">
        <f t="array" ref="P108">MAX(IF((OutputTable[GroupByKey]=OutputTable[[#This Row],[GroupByKey]]),(OutputTable[GroupByKey]=OutputTable[[#This Row],[GroupByKey]])*OutputTable[RecordedValue]))</f>
        <v>826</v>
      </c>
    </row>
    <row r="109" spans="1:16" x14ac:dyDescent="0.25">
      <c r="A109" t="s">
        <v>68</v>
      </c>
      <c r="B109" t="s">
        <v>70</v>
      </c>
      <c r="C109">
        <v>6</v>
      </c>
      <c r="D109" t="s">
        <v>107</v>
      </c>
      <c r="E109" t="s">
        <v>104</v>
      </c>
      <c r="F109" t="s">
        <v>73</v>
      </c>
      <c r="G109">
        <v>1154</v>
      </c>
      <c r="H109">
        <v>0</v>
      </c>
      <c r="I109" s="5" t="str">
        <f>OutputTable[[#This Row],[ProjectName]]&amp;OutputTable[[#This Row],[Name]]&amp;OutputTable[[#This Row],[Type]]&amp;OutputTable[[#This Row],[Source]]</f>
        <v>Tener ArticulsoCarros.NumberInNumber InEntity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12</v>
      </c>
      <c r="K109" s="5" cm="1">
        <f t="array" ref="K109">IFERROR(AVERAGE(IF((OutputTable[GroupByKey]=OutputTable[[#This Row],[GroupByKey]]),(OutputTable[GroupByKey]=OutputTable[[#This Row],[GroupByKey]])*OutputTable[RecordedValue])),0)</f>
        <v>1145.9166666666667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49.73101891600696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31.597581939297463</v>
      </c>
      <c r="O109" s="5" cm="1">
        <f t="array" ref="O109">MIN(IF((OutputTable[GroupByKey]=OutputTable[[#This Row],[GroupByKey]]),(OutputTable[GroupByKey]=OutputTable[[#This Row],[GroupByKey]])*OutputTable[RecordedValue]))</f>
        <v>1059</v>
      </c>
      <c r="P109" s="5" cm="1">
        <f t="array" ref="P109">MAX(IF((OutputTable[GroupByKey]=OutputTable[[#This Row],[GroupByKey]]),(OutputTable[GroupByKey]=OutputTable[[#This Row],[GroupByKey]])*OutputTable[RecordedValue]))</f>
        <v>1210</v>
      </c>
    </row>
    <row r="110" spans="1:16" x14ac:dyDescent="0.25">
      <c r="A110" t="s">
        <v>68</v>
      </c>
      <c r="B110" t="s">
        <v>70</v>
      </c>
      <c r="C110">
        <v>6</v>
      </c>
      <c r="D110" t="s">
        <v>108</v>
      </c>
      <c r="E110" t="s">
        <v>106</v>
      </c>
      <c r="F110" t="s">
        <v>73</v>
      </c>
      <c r="G110">
        <v>1152</v>
      </c>
      <c r="H110">
        <v>0</v>
      </c>
      <c r="I110" s="5" t="str">
        <f>OutputTable[[#This Row],[ProjectName]]&amp;OutputTable[[#This Row],[Name]]&amp;OutputTable[[#This Row],[Type]]&amp;OutputTable[[#This Row],[Source]]</f>
        <v>Tener ArticulsoCarros.NumberOutNumber OutEntity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12</v>
      </c>
      <c r="K110" s="5" cm="1">
        <f t="array" ref="K110">IFERROR(AVERAGE(IF((OutputTable[GroupByKey]=OutputTable[[#This Row],[GroupByKey]]),(OutputTable[GroupByKey]=OutputTable[[#This Row],[GroupByKey]])*OutputTable[RecordedValue])),0)</f>
        <v>1145.3333333333333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49.816633464104832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31.651978827953357</v>
      </c>
      <c r="O110" s="5" cm="1">
        <f t="array" ref="O110">MIN(IF((OutputTable[GroupByKey]=OutputTable[[#This Row],[GroupByKey]]),(OutputTable[GroupByKey]=OutputTable[[#This Row],[GroupByKey]])*OutputTable[RecordedValue]))</f>
        <v>1059</v>
      </c>
      <c r="P110" s="5" cm="1">
        <f t="array" ref="P110">MAX(IF((OutputTable[GroupByKey]=OutputTable[[#This Row],[GroupByKey]]),(OutputTable[GroupByKey]=OutputTable[[#This Row],[GroupByKey]])*OutputTable[RecordedValue]))</f>
        <v>1210</v>
      </c>
    </row>
    <row r="111" spans="1:16" x14ac:dyDescent="0.25">
      <c r="A111" t="s">
        <v>68</v>
      </c>
      <c r="B111" t="s">
        <v>70</v>
      </c>
      <c r="C111">
        <v>6</v>
      </c>
      <c r="D111" t="s">
        <v>109</v>
      </c>
      <c r="E111" t="s">
        <v>110</v>
      </c>
      <c r="F111" t="s">
        <v>82</v>
      </c>
      <c r="G111">
        <v>807.34076275448695</v>
      </c>
      <c r="H111">
        <v>0</v>
      </c>
      <c r="I111" s="5" t="str">
        <f>OutputTable[[#This Row],[ProjectName]]&amp;OutputTable[[#This Row],[Name]]&amp;OutputTable[[#This Row],[Type]]&amp;OutputTable[[#This Row],[Source]]</f>
        <v>Tener ArticulsoDesembalaje Accum VA TimeAccum VA TimeProcess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12</v>
      </c>
      <c r="K111" s="5" cm="1">
        <f t="array" ref="K111">IFERROR(AVERAGE(IF((OutputTable[GroupByKey]=OutputTable[[#This Row],[GroupByKey]]),(OutputTable[GroupByKey]=OutputTable[[#This Row],[GroupByKey]])*OutputTable[RecordedValue])),0)</f>
        <v>783.216775239051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48.528923107513336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30.833806701313396</v>
      </c>
      <c r="O111" s="5" cm="1">
        <f t="array" ref="O111">MIN(IF((OutputTable[GroupByKey]=OutputTable[[#This Row],[GroupByKey]]),(OutputTable[GroupByKey]=OutputTable[[#This Row],[GroupByKey]])*OutputTable[RecordedValue]))</f>
        <v>678.52271145285295</v>
      </c>
      <c r="P111" s="5" cm="1">
        <f t="array" ref="P111">MAX(IF((OutputTable[GroupByKey]=OutputTable[[#This Row],[GroupByKey]]),(OutputTable[GroupByKey]=OutputTable[[#This Row],[GroupByKey]])*OutputTable[RecordedValue]))</f>
        <v>840.77730126549898</v>
      </c>
    </row>
    <row r="112" spans="1:16" x14ac:dyDescent="0.25">
      <c r="A112" t="s">
        <v>68</v>
      </c>
      <c r="B112" t="s">
        <v>70</v>
      </c>
      <c r="C112">
        <v>6</v>
      </c>
      <c r="D112" t="s">
        <v>111</v>
      </c>
      <c r="E112" t="s">
        <v>112</v>
      </c>
      <c r="F112" t="s">
        <v>82</v>
      </c>
      <c r="G112">
        <v>810.45621651721899</v>
      </c>
      <c r="H112">
        <v>0</v>
      </c>
      <c r="I112" s="5" t="str">
        <f>OutputTable[[#This Row],[ProjectName]]&amp;OutputTable[[#This Row],[Name]]&amp;OutputTable[[#This Row],[Type]]&amp;OutputTable[[#This Row],[Source]]</f>
        <v>Tener ArticulsoDesembalaje Accum Wait TimeAccum Wait TimeProcess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12</v>
      </c>
      <c r="K112" s="5" cm="1">
        <f t="array" ref="K112">IFERROR(AVERAGE(IF((OutputTable[GroupByKey]=OutputTable[[#This Row],[GroupByKey]]),(OutputTable[GroupByKey]=OutputTable[[#This Row],[GroupByKey]])*OutputTable[RecordedValue])),0)</f>
        <v>811.48948897731191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143.72351593510379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91.317565381747087</v>
      </c>
      <c r="O112" s="5" cm="1">
        <f t="array" ref="O112">MIN(IF((OutputTable[GroupByKey]=OutputTable[[#This Row],[GroupByKey]]),(OutputTable[GroupByKey]=OutputTable[[#This Row],[GroupByKey]])*OutputTable[RecordedValue]))</f>
        <v>546.46370972178704</v>
      </c>
      <c r="P112" s="5" cm="1">
        <f t="array" ref="P112">MAX(IF((OutputTable[GroupByKey]=OutputTable[[#This Row],[GroupByKey]]),(OutputTable[GroupByKey]=OutputTable[[#This Row],[GroupByKey]])*OutputTable[RecordedValue]))</f>
        <v>1012.863937084</v>
      </c>
    </row>
    <row r="113" spans="1:16" x14ac:dyDescent="0.25">
      <c r="A113" t="s">
        <v>68</v>
      </c>
      <c r="B113" t="s">
        <v>70</v>
      </c>
      <c r="C113">
        <v>6</v>
      </c>
      <c r="D113" t="s">
        <v>113</v>
      </c>
      <c r="E113" t="s">
        <v>104</v>
      </c>
      <c r="F113" t="s">
        <v>82</v>
      </c>
      <c r="G113">
        <v>70</v>
      </c>
      <c r="H113">
        <v>0</v>
      </c>
      <c r="I113" s="5" t="str">
        <f>OutputTable[[#This Row],[ProjectName]]&amp;OutputTable[[#This Row],[Name]]&amp;OutputTable[[#This Row],[Type]]&amp;OutputTable[[#This Row],[Source]]</f>
        <v>Tener ArticulsoDesembalaje Number InNumber InProcess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12</v>
      </c>
      <c r="K113" s="5" cm="1">
        <f t="array" ref="K113">IFERROR(AVERAGE(IF((OutputTable[GroupByKey]=OutputTable[[#This Row],[GroupByKey]]),(OutputTable[GroupByKey]=OutputTable[[#This Row],[GroupByKey]])*OutputTable[RecordedValue])),0)</f>
        <v>66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4.1560470729681676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2.640626329283204</v>
      </c>
      <c r="O113" s="5" cm="1">
        <f t="array" ref="O113">MIN(IF((OutputTable[GroupByKey]=OutputTable[[#This Row],[GroupByKey]]),(OutputTable[GroupByKey]=OutputTable[[#This Row],[GroupByKey]])*OutputTable[RecordedValue]))</f>
        <v>59</v>
      </c>
      <c r="P113" s="5" cm="1">
        <f t="array" ref="P113">MAX(IF((OutputTable[GroupByKey]=OutputTable[[#This Row],[GroupByKey]]),(OutputTable[GroupByKey]=OutputTable[[#This Row],[GroupByKey]])*OutputTable[RecordedValue]))</f>
        <v>70</v>
      </c>
    </row>
    <row r="114" spans="1:16" x14ac:dyDescent="0.25">
      <c r="A114" t="s">
        <v>68</v>
      </c>
      <c r="B114" t="s">
        <v>70</v>
      </c>
      <c r="C114">
        <v>6</v>
      </c>
      <c r="D114" t="s">
        <v>114</v>
      </c>
      <c r="E114" t="s">
        <v>106</v>
      </c>
      <c r="F114" t="s">
        <v>82</v>
      </c>
      <c r="G114">
        <v>69</v>
      </c>
      <c r="H114">
        <v>0</v>
      </c>
      <c r="I114" s="5" t="str">
        <f>OutputTable[[#This Row],[ProjectName]]&amp;OutputTable[[#This Row],[Name]]&amp;OutputTable[[#This Row],[Type]]&amp;OutputTable[[#This Row],[Source]]</f>
        <v>Tener ArticulsoDesembalaje Number OutNumber OutProcess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12</v>
      </c>
      <c r="K114" s="5" cm="1">
        <f t="array" ref="K114">IFERROR(AVERAGE(IF((OutputTable[GroupByKey]=OutputTable[[#This Row],[GroupByKey]]),(OutputTable[GroupByKey]=OutputTable[[#This Row],[GroupByKey]])*OutputTable[RecordedValue])),0)</f>
        <v>65.083333333333329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4.2310182168734691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2.6882607215451362</v>
      </c>
      <c r="O114" s="5" cm="1">
        <f t="array" ref="O114">MIN(IF((OutputTable[GroupByKey]=OutputTable[[#This Row],[GroupByKey]]),(OutputTable[GroupByKey]=OutputTable[[#This Row],[GroupByKey]])*OutputTable[RecordedValue]))</f>
        <v>58</v>
      </c>
      <c r="P114" s="5" cm="1">
        <f t="array" ref="P114">MAX(IF((OutputTable[GroupByKey]=OutputTable[[#This Row],[GroupByKey]]),(OutputTable[GroupByKey]=OutputTable[[#This Row],[GroupByKey]])*OutputTable[RecordedValue]))</f>
        <v>69</v>
      </c>
    </row>
    <row r="115" spans="1:16" x14ac:dyDescent="0.25">
      <c r="A115" t="s">
        <v>68</v>
      </c>
      <c r="B115" t="s">
        <v>70</v>
      </c>
      <c r="C115">
        <v>6</v>
      </c>
      <c r="D115" t="s">
        <v>115</v>
      </c>
      <c r="E115" t="s">
        <v>110</v>
      </c>
      <c r="F115" t="s">
        <v>82</v>
      </c>
      <c r="G115">
        <v>1179.90952209083</v>
      </c>
      <c r="H115">
        <v>0</v>
      </c>
      <c r="I115" s="5" t="str">
        <f>OutputTable[[#This Row],[ProjectName]]&amp;OutputTable[[#This Row],[Name]]&amp;OutputTable[[#This Row],[Type]]&amp;OutputTable[[#This Row],[Source]]</f>
        <v>Tener ArticulsoOrganizar Accum VA TimeAccum VA TimeProcess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12</v>
      </c>
      <c r="K115" s="5" cm="1">
        <f t="array" ref="K115">IFERROR(AVERAGE(IF((OutputTable[GroupByKey]=OutputTable[[#This Row],[GroupByKey]]),(OutputTable[GroupByKey]=OutputTable[[#This Row],[GroupByKey]])*OutputTable[RecordedValue])),0)</f>
        <v>1181.2622276627176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50.899735842094827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32.340149247203939</v>
      </c>
      <c r="O115" s="5" cm="1">
        <f t="array" ref="O115">MIN(IF((OutputTable[GroupByKey]=OutputTable[[#This Row],[GroupByKey]]),(OutputTable[GroupByKey]=OutputTable[[#This Row],[GroupByKey]])*OutputTable[RecordedValue]))</f>
        <v>1106.0350367697699</v>
      </c>
      <c r="P115" s="5" cm="1">
        <f t="array" ref="P115">MAX(IF((OutputTable[GroupByKey]=OutputTable[[#This Row],[GroupByKey]]),(OutputTable[GroupByKey]=OutputTable[[#This Row],[GroupByKey]])*OutputTable[RecordedValue]))</f>
        <v>1255.97830087074</v>
      </c>
    </row>
    <row r="116" spans="1:16" x14ac:dyDescent="0.25">
      <c r="A116" t="s">
        <v>68</v>
      </c>
      <c r="B116" t="s">
        <v>70</v>
      </c>
      <c r="C116">
        <v>6</v>
      </c>
      <c r="D116" t="s">
        <v>116</v>
      </c>
      <c r="E116" t="s">
        <v>112</v>
      </c>
      <c r="F116" t="s">
        <v>82</v>
      </c>
      <c r="G116">
        <v>13597.8519073392</v>
      </c>
      <c r="H116">
        <v>0</v>
      </c>
      <c r="I116" s="5" t="str">
        <f>OutputTable[[#This Row],[ProjectName]]&amp;OutputTable[[#This Row],[Name]]&amp;OutputTable[[#This Row],[Type]]&amp;OutputTable[[#This Row],[Source]]</f>
        <v>Tener ArticulsoOrganizar Accum Wait TimeAccum Wait TimeProcess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12</v>
      </c>
      <c r="K116" s="5" cm="1">
        <f t="array" ref="K116">IFERROR(AVERAGE(IF((OutputTable[GroupByKey]=OutputTable[[#This Row],[GroupByKey]]),(OutputTable[GroupByKey]=OutputTable[[#This Row],[GroupByKey]])*OutputTable[RecordedValue])),0)</f>
        <v>14481.366678807759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2869.9645631781104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1823.4884871564914</v>
      </c>
      <c r="O116" s="5" cm="1">
        <f t="array" ref="O116">MIN(IF((OutputTable[GroupByKey]=OutputTable[[#This Row],[GroupByKey]]),(OutputTable[GroupByKey]=OutputTable[[#This Row],[GroupByKey]])*OutputTable[RecordedValue]))</f>
        <v>9643.84605851171</v>
      </c>
      <c r="P116" s="5" cm="1">
        <f t="array" ref="P116">MAX(IF((OutputTable[GroupByKey]=OutputTable[[#This Row],[GroupByKey]]),(OutputTable[GroupByKey]=OutputTable[[#This Row],[GroupByKey]])*OutputTable[RecordedValue]))</f>
        <v>18159.7018308675</v>
      </c>
    </row>
    <row r="117" spans="1:16" x14ac:dyDescent="0.25">
      <c r="A117" t="s">
        <v>68</v>
      </c>
      <c r="B117" t="s">
        <v>70</v>
      </c>
      <c r="C117">
        <v>6</v>
      </c>
      <c r="D117" t="s">
        <v>117</v>
      </c>
      <c r="E117" t="s">
        <v>104</v>
      </c>
      <c r="F117" t="s">
        <v>82</v>
      </c>
      <c r="G117">
        <v>798</v>
      </c>
      <c r="H117">
        <v>0</v>
      </c>
      <c r="I117" s="5" t="str">
        <f>OutputTable[[#This Row],[ProjectName]]&amp;OutputTable[[#This Row],[Name]]&amp;OutputTable[[#This Row],[Type]]&amp;OutputTable[[#This Row],[Source]]</f>
        <v>Tener ArticulsoOrganizar Number InNumber InProcess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12</v>
      </c>
      <c r="K117" s="5" cm="1">
        <f t="array" ref="K117">IFERROR(AVERAGE(IF((OutputTable[GroupByKey]=OutputTable[[#This Row],[GroupByKey]]),(OutputTable[GroupByKey]=OutputTable[[#This Row],[GroupByKey]])*OutputTable[RecordedValue])),0)</f>
        <v>794.91666666666663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34.394656914154915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21.853322409391229</v>
      </c>
      <c r="O117" s="5" cm="1">
        <f t="array" ref="O117">MIN(IF((OutputTable[GroupByKey]=OutputTable[[#This Row],[GroupByKey]]),(OutputTable[GroupByKey]=OutputTable[[#This Row],[GroupByKey]])*OutputTable[RecordedValue]))</f>
        <v>737</v>
      </c>
      <c r="P117" s="5" cm="1">
        <f t="array" ref="P117">MAX(IF((OutputTable[GroupByKey]=OutputTable[[#This Row],[GroupByKey]]),(OutputTable[GroupByKey]=OutputTable[[#This Row],[GroupByKey]])*OutputTable[RecordedValue]))</f>
        <v>841</v>
      </c>
    </row>
    <row r="118" spans="1:16" x14ac:dyDescent="0.25">
      <c r="A118" t="s">
        <v>68</v>
      </c>
      <c r="B118" t="s">
        <v>70</v>
      </c>
      <c r="C118">
        <v>6</v>
      </c>
      <c r="D118" t="s">
        <v>118</v>
      </c>
      <c r="E118" t="s">
        <v>106</v>
      </c>
      <c r="F118" t="s">
        <v>82</v>
      </c>
      <c r="G118">
        <v>790</v>
      </c>
      <c r="H118">
        <v>0</v>
      </c>
      <c r="I118" s="5" t="str">
        <f>OutputTable[[#This Row],[ProjectName]]&amp;OutputTable[[#This Row],[Name]]&amp;OutputTable[[#This Row],[Type]]&amp;OutputTable[[#This Row],[Source]]</f>
        <v>Tener ArticulsoOrganizar Number OutNumber OutProcess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12</v>
      </c>
      <c r="K118" s="5" cm="1">
        <f t="array" ref="K118">IFERROR(AVERAGE(IF((OutputTable[GroupByKey]=OutputTable[[#This Row],[GroupByKey]]),(OutputTable[GroupByKey]=OutputTable[[#This Row],[GroupByKey]])*OutputTable[RecordedValue])),0)</f>
        <v>786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32.741411087489801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20.80290012542233</v>
      </c>
      <c r="O118" s="5" cm="1">
        <f t="array" ref="O118">MIN(IF((OutputTable[GroupByKey]=OutputTable[[#This Row],[GroupByKey]]),(OutputTable[GroupByKey]=OutputTable[[#This Row],[GroupByKey]])*OutputTable[RecordedValue]))</f>
        <v>732</v>
      </c>
      <c r="P118" s="5" cm="1">
        <f t="array" ref="P118">MAX(IF((OutputTable[GroupByKey]=OutputTable[[#This Row],[GroupByKey]]),(OutputTable[GroupByKey]=OutputTable[[#This Row],[GroupByKey]])*OutputTable[RecordedValue]))</f>
        <v>829</v>
      </c>
    </row>
    <row r="119" spans="1:16" x14ac:dyDescent="0.25">
      <c r="A119" t="s">
        <v>68</v>
      </c>
      <c r="B119" t="s">
        <v>70</v>
      </c>
      <c r="C119">
        <v>6</v>
      </c>
      <c r="D119" t="s">
        <v>119</v>
      </c>
      <c r="E119" t="s">
        <v>110</v>
      </c>
      <c r="F119" t="s">
        <v>82</v>
      </c>
      <c r="G119">
        <v>1633.0253864138899</v>
      </c>
      <c r="H119">
        <v>0</v>
      </c>
      <c r="I119" s="5" t="str">
        <f>OutputTable[[#This Row],[ProjectName]]&amp;OutputTable[[#This Row],[Name]]&amp;OutputTable[[#This Row],[Type]]&amp;OutputTable[[#This Row],[Source]]</f>
        <v>Tener ArticulsoSacar Articulos Accum VA TimeAccum VA TimeProcess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12</v>
      </c>
      <c r="K119" s="5" cm="1">
        <f t="array" ref="K119">IFERROR(AVERAGE(IF((OutputTable[GroupByKey]=OutputTable[[#This Row],[GroupByKey]]),(OutputTable[GroupByKey]=OutputTable[[#This Row],[GroupByKey]])*OutputTable[RecordedValue])),0)</f>
        <v>1584.7600747574054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65.199632506816158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41.425870119928376</v>
      </c>
      <c r="O119" s="5" cm="1">
        <f t="array" ref="O119">MIN(IF((OutputTable[GroupByKey]=OutputTable[[#This Row],[GroupByKey]]),(OutputTable[GroupByKey]=OutputTable[[#This Row],[GroupByKey]])*OutputTable[RecordedValue]))</f>
        <v>1473.78349566985</v>
      </c>
      <c r="P119" s="5" cm="1">
        <f t="array" ref="P119">MAX(IF((OutputTable[GroupByKey]=OutputTable[[#This Row],[GroupByKey]]),(OutputTable[GroupByKey]=OutputTable[[#This Row],[GroupByKey]])*OutputTable[RecordedValue]))</f>
        <v>1673.21312485417</v>
      </c>
    </row>
    <row r="120" spans="1:16" x14ac:dyDescent="0.25">
      <c r="A120" t="s">
        <v>68</v>
      </c>
      <c r="B120" t="s">
        <v>70</v>
      </c>
      <c r="C120">
        <v>6</v>
      </c>
      <c r="D120" t="s">
        <v>120</v>
      </c>
      <c r="E120" t="s">
        <v>112</v>
      </c>
      <c r="F120" t="s">
        <v>82</v>
      </c>
      <c r="G120">
        <v>1218.5243876613599</v>
      </c>
      <c r="H120">
        <v>0</v>
      </c>
      <c r="I120" s="5" t="str">
        <f>OutputTable[[#This Row],[ProjectName]]&amp;OutputTable[[#This Row],[Name]]&amp;OutputTable[[#This Row],[Type]]&amp;OutputTable[[#This Row],[Source]]</f>
        <v>Tener ArticulsoSacar Articulos Accum Wait TimeAccum Wait TimeProcess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12</v>
      </c>
      <c r="K120" s="5" cm="1">
        <f t="array" ref="K120">IFERROR(AVERAGE(IF((OutputTable[GroupByKey]=OutputTable[[#This Row],[GroupByKey]]),(OutputTable[GroupByKey]=OutputTable[[#This Row],[GroupByKey]])*OutputTable[RecordedValue])),0)</f>
        <v>1151.8667665386067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58.761364856103697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37.335190015744239</v>
      </c>
      <c r="O120" s="5" cm="1">
        <f t="array" ref="O120">MIN(IF((OutputTable[GroupByKey]=OutputTable[[#This Row],[GroupByKey]]),(OutputTable[GroupByKey]=OutputTable[[#This Row],[GroupByKey]])*OutputTable[RecordedValue]))</f>
        <v>1064.4971115521701</v>
      </c>
      <c r="P120" s="5" cm="1">
        <f t="array" ref="P120">MAX(IF((OutputTable[GroupByKey]=OutputTable[[#This Row],[GroupByKey]]),(OutputTable[GroupByKey]=OutputTable[[#This Row],[GroupByKey]])*OutputTable[RecordedValue]))</f>
        <v>1232.84038930315</v>
      </c>
    </row>
    <row r="121" spans="1:16" x14ac:dyDescent="0.25">
      <c r="A121" t="s">
        <v>68</v>
      </c>
      <c r="B121" t="s">
        <v>70</v>
      </c>
      <c r="C121">
        <v>6</v>
      </c>
      <c r="D121" t="s">
        <v>121</v>
      </c>
      <c r="E121" t="s">
        <v>104</v>
      </c>
      <c r="F121" t="s">
        <v>82</v>
      </c>
      <c r="G121">
        <v>801</v>
      </c>
      <c r="H121">
        <v>0</v>
      </c>
      <c r="I121" s="5" t="str">
        <f>OutputTable[[#This Row],[ProjectName]]&amp;OutputTable[[#This Row],[Name]]&amp;OutputTable[[#This Row],[Type]]&amp;OutputTable[[#This Row],[Source]]</f>
        <v>Tener ArticulsoSacar Articulos Number InNumber InProcess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12</v>
      </c>
      <c r="K121" s="5" cm="1">
        <f t="array" ref="K121">IFERROR(AVERAGE(IF((OutputTable[GroupByKey]=OutputTable[[#This Row],[GroupByKey]]),(OutputTable[GroupByKey]=OutputTable[[#This Row],[GroupByKey]])*OutputTable[RecordedValue])),0)</f>
        <v>796.41666666666663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34.731328098924628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121" s="5" cm="1">
        <f t="array" ref="O121">MIN(IF((OutputTable[GroupByKey]=OutputTable[[#This Row],[GroupByKey]]),(OutputTable[GroupByKey]=OutputTable[[#This Row],[GroupByKey]])*OutputTable[RecordedValue]))</f>
        <v>737</v>
      </c>
      <c r="P121" s="5" cm="1">
        <f t="array" ref="P121">MAX(IF((OutputTable[GroupByKey]=OutputTable[[#This Row],[GroupByKey]]),(OutputTable[GroupByKey]=OutputTable[[#This Row],[GroupByKey]])*OutputTable[RecordedValue]))</f>
        <v>844</v>
      </c>
    </row>
    <row r="122" spans="1:16" x14ac:dyDescent="0.25">
      <c r="A122" t="s">
        <v>68</v>
      </c>
      <c r="B122" t="s">
        <v>70</v>
      </c>
      <c r="C122">
        <v>6</v>
      </c>
      <c r="D122" t="s">
        <v>122</v>
      </c>
      <c r="E122" t="s">
        <v>106</v>
      </c>
      <c r="F122" t="s">
        <v>82</v>
      </c>
      <c r="G122">
        <v>798</v>
      </c>
      <c r="H122">
        <v>0</v>
      </c>
      <c r="I122" s="5" t="str">
        <f>OutputTable[[#This Row],[ProjectName]]&amp;OutputTable[[#This Row],[Name]]&amp;OutputTable[[#This Row],[Type]]&amp;OutputTable[[#This Row],[Source]]</f>
        <v>Tener ArticulsoSacar Articulos Number OutNumber OutProcess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12</v>
      </c>
      <c r="K122" s="5" cm="1">
        <f t="array" ref="K122">IFERROR(AVERAGE(IF((OutputTable[GroupByKey]=OutputTable[[#This Row],[GroupByKey]]),(OutputTable[GroupByKey]=OutputTable[[#This Row],[GroupByKey]])*OutputTable[RecordedValue])),0)</f>
        <v>795.08333333333337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34.510758094287411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21.927089579910728</v>
      </c>
      <c r="O122" s="5" cm="1">
        <f t="array" ref="O122">MIN(IF((OutputTable[GroupByKey]=OutputTable[[#This Row],[GroupByKey]]),(OutputTable[GroupByKey]=OutputTable[[#This Row],[GroupByKey]])*OutputTable[RecordedValue]))</f>
        <v>737</v>
      </c>
      <c r="P122" s="5" cm="1">
        <f t="array" ref="P122">MAX(IF((OutputTable[GroupByKey]=OutputTable[[#This Row],[GroupByKey]]),(OutputTable[GroupByKey]=OutputTable[[#This Row],[GroupByKey]])*OutputTable[RecordedValue]))</f>
        <v>841</v>
      </c>
    </row>
    <row r="123" spans="1:16" x14ac:dyDescent="0.25">
      <c r="A123" t="s">
        <v>68</v>
      </c>
      <c r="B123" t="s">
        <v>70</v>
      </c>
      <c r="C123">
        <v>6</v>
      </c>
      <c r="D123" t="s">
        <v>123</v>
      </c>
      <c r="E123" t="s">
        <v>106</v>
      </c>
      <c r="F123" t="s">
        <v>124</v>
      </c>
      <c r="G123">
        <v>1139</v>
      </c>
      <c r="H123">
        <v>0</v>
      </c>
      <c r="I123" s="5" t="str">
        <f>OutputTable[[#This Row],[ProjectName]]&amp;OutputTable[[#This Row],[Name]]&amp;OutputTable[[#This Row],[Type]]&amp;OutputTable[[#This Row],[Source]]</f>
        <v>Tener ArticulsoSystem.NumberOutNumber OutSystem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12</v>
      </c>
      <c r="K123" s="5" cm="1">
        <f t="array" ref="K123">IFERROR(AVERAGE(IF((OutputTable[GroupByKey]=OutputTable[[#This Row],[GroupByKey]]),(OutputTable[GroupByKey]=OutputTable[[#This Row],[GroupByKey]])*OutputTable[RecordedValue])),0)</f>
        <v>1132.0833333333333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46.640712479614429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29.634094905050876</v>
      </c>
      <c r="O123" s="5" cm="1">
        <f t="array" ref="O123">MIN(IF((OutputTable[GroupByKey]=OutputTable[[#This Row],[GroupByKey]]),(OutputTable[GroupByKey]=OutputTable[[#This Row],[GroupByKey]])*OutputTable[RecordedValue]))</f>
        <v>1052</v>
      </c>
      <c r="P123" s="5" cm="1">
        <f t="array" ref="P123">MAX(IF((OutputTable[GroupByKey]=OutputTable[[#This Row],[GroupByKey]]),(OutputTable[GroupByKey]=OutputTable[[#This Row],[GroupByKey]])*OutputTable[RecordedValue]))</f>
        <v>1192</v>
      </c>
    </row>
    <row r="124" spans="1:16" x14ac:dyDescent="0.25">
      <c r="A124" t="s">
        <v>68</v>
      </c>
      <c r="B124" t="s">
        <v>70</v>
      </c>
      <c r="C124">
        <v>6</v>
      </c>
      <c r="D124" t="s">
        <v>125</v>
      </c>
      <c r="E124" t="s">
        <v>126</v>
      </c>
      <c r="F124" t="s">
        <v>99</v>
      </c>
      <c r="G124">
        <v>860</v>
      </c>
      <c r="H124">
        <v>0</v>
      </c>
      <c r="I124" s="5" t="str">
        <f>OutputTable[[#This Row],[ProjectName]]&amp;OutputTable[[#This Row],[Name]]&amp;OutputTable[[#This Row],[Type]]&amp;OutputTable[[#This Row],[Source]]</f>
        <v>Tener ArticulsorOrganizdor.NumberSeizedTotal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12</v>
      </c>
      <c r="K124" s="5" cm="1">
        <f t="array" ref="K124">IFERROR(AVERAGE(IF((OutputTable[GroupByKey]=OutputTable[[#This Row],[GroupByKey]]),(OutputTable[GroupByKey]=OutputTable[[#This Row],[GroupByKey]])*OutputTable[RecordedValue])),0)</f>
        <v>852.08333333333337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32.103407730002552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20.397532131659759</v>
      </c>
      <c r="O124" s="5" cm="1">
        <f t="array" ref="O124">MIN(IF((OutputTable[GroupByKey]=OutputTable[[#This Row],[GroupByKey]]),(OutputTable[GroupByKey]=OutputTable[[#This Row],[GroupByKey]])*OutputTable[RecordedValue]))</f>
        <v>800</v>
      </c>
      <c r="P124" s="5" cm="1">
        <f t="array" ref="P124">MAX(IF((OutputTable[GroupByKey]=OutputTable[[#This Row],[GroupByKey]]),(OutputTable[GroupByKey]=OutputTable[[#This Row],[GroupByKey]])*OutputTable[RecordedValue]))</f>
        <v>893</v>
      </c>
    </row>
    <row r="125" spans="1:16" x14ac:dyDescent="0.25">
      <c r="A125" t="s">
        <v>68</v>
      </c>
      <c r="B125" t="s">
        <v>70</v>
      </c>
      <c r="C125">
        <v>6</v>
      </c>
      <c r="D125" t="s">
        <v>127</v>
      </c>
      <c r="E125" t="s">
        <v>128</v>
      </c>
      <c r="F125" t="s">
        <v>99</v>
      </c>
      <c r="G125">
        <v>0.95118807722640097</v>
      </c>
      <c r="H125">
        <v>0</v>
      </c>
      <c r="I125" s="5" t="str">
        <f>OutputTable[[#This Row],[ProjectName]]&amp;OutputTable[[#This Row],[Name]]&amp;OutputTable[[#This Row],[Type]]&amp;OutputTable[[#This Row],[Source]]</f>
        <v>Tener ArticulsorOrganizdor.ScheduledUtilizationScheduled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12</v>
      </c>
      <c r="K125" s="5" cm="1">
        <f t="array" ref="K125">IFERROR(AVERAGE(IF((OutputTable[GroupByKey]=OutputTable[[#This Row],[GroupByKey]]),(OutputTable[GroupByKey]=OutputTable[[#This Row],[GroupByKey]])*OutputTable[RecordedValue])),0)</f>
        <v>0.93693413710063267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3.0080475881637609E-2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1.9112222555672933E-2</v>
      </c>
      <c r="O125" s="5" cm="1">
        <f t="array" ref="O125">MIN(IF((OutputTable[GroupByKey]=OutputTable[[#This Row],[GroupByKey]]),(OutputTable[GroupByKey]=OutputTable[[#This Row],[GroupByKey]])*OutputTable[RecordedValue]))</f>
        <v>0.87408888428798603</v>
      </c>
      <c r="P125" s="5" cm="1">
        <f t="array" ref="P125">MAX(IF((OutputTable[GroupByKey]=OutputTable[[#This Row],[GroupByKey]]),(OutputTable[GroupByKey]=OutputTable[[#This Row],[GroupByKey]])*OutputTable[RecordedValue]))</f>
        <v>0.989515454392208</v>
      </c>
    </row>
    <row r="126" spans="1:16" x14ac:dyDescent="0.25">
      <c r="A126" t="s">
        <v>68</v>
      </c>
      <c r="B126" t="s">
        <v>70</v>
      </c>
      <c r="C126">
        <v>6</v>
      </c>
      <c r="D126" t="s">
        <v>129</v>
      </c>
      <c r="E126" t="s">
        <v>126</v>
      </c>
      <c r="F126" t="s">
        <v>99</v>
      </c>
      <c r="G126">
        <v>799</v>
      </c>
      <c r="H126">
        <v>0</v>
      </c>
      <c r="I126" s="5" t="str">
        <f>OutputTable[[#This Row],[ProjectName]]&amp;OutputTable[[#This Row],[Name]]&amp;OutputTable[[#This Row],[Type]]&amp;OutputTable[[#This Row],[Source]]</f>
        <v>Tener ArticulsorSacador.NumberSeizedTotal Number SeizedResource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12</v>
      </c>
      <c r="K126" s="5" cm="1">
        <f t="array" ref="K126">IFERROR(AVERAGE(IF((OutputTable[GroupByKey]=OutputTable[[#This Row],[GroupByKey]]),(OutputTable[GroupByKey]=OutputTable[[#This Row],[GroupByKey]])*OutputTable[RecordedValue])),0)</f>
        <v>795.66666666666663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34.623516268395946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21.998732705738043</v>
      </c>
      <c r="O126" s="5" cm="1">
        <f t="array" ref="O126">MIN(IF((OutputTable[GroupByKey]=OutputTable[[#This Row],[GroupByKey]]),(OutputTable[GroupByKey]=OutputTable[[#This Row],[GroupByKey]])*OutputTable[RecordedValue]))</f>
        <v>737</v>
      </c>
      <c r="P126" s="5" cm="1">
        <f t="array" ref="P126">MAX(IF((OutputTable[GroupByKey]=OutputTable[[#This Row],[GroupByKey]]),(OutputTable[GroupByKey]=OutputTable[[#This Row],[GroupByKey]])*OutputTable[RecordedValue]))</f>
        <v>842</v>
      </c>
    </row>
    <row r="127" spans="1:16" x14ac:dyDescent="0.25">
      <c r="A127" t="s">
        <v>68</v>
      </c>
      <c r="B127" t="s">
        <v>70</v>
      </c>
      <c r="C127">
        <v>6</v>
      </c>
      <c r="D127" t="s">
        <v>130</v>
      </c>
      <c r="E127" t="s">
        <v>128</v>
      </c>
      <c r="F127" t="s">
        <v>99</v>
      </c>
      <c r="G127">
        <v>0.77794878116621502</v>
      </c>
      <c r="H127">
        <v>0</v>
      </c>
      <c r="I127" s="5" t="str">
        <f>OutputTable[[#This Row],[ProjectName]]&amp;OutputTable[[#This Row],[Name]]&amp;OutputTable[[#This Row],[Type]]&amp;OutputTable[[#This Row],[Source]]</f>
        <v>Tener ArticulsorSacador.ScheduledUtilizationScheduled UtilizationResource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12</v>
      </c>
      <c r="K127" s="5" cm="1">
        <f t="array" ref="K127">IFERROR(AVERAGE(IF((OutputTable[GroupByKey]=OutputTable[[#This Row],[GroupByKey]]),(OutputTable[GroupByKey]=OutputTable[[#This Row],[GroupByKey]])*OutputTable[RecordedValue])),0)</f>
        <v>0.75499127770842467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3.0990673550046054E-2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1.9690534563658681E-2</v>
      </c>
      <c r="O127" s="5" cm="1">
        <f t="array" ref="O127">MIN(IF((OutputTable[GroupByKey]=OutputTable[[#This Row],[GroupByKey]]),(OutputTable[GroupByKey]=OutputTable[[#This Row],[GroupByKey]])*OutputTable[RecordedValue]))</f>
        <v>0.70281682687036895</v>
      </c>
      <c r="P127" s="5" cm="1">
        <f t="array" ref="P127">MAX(IF((OutputTable[GroupByKey]=OutputTable[[#This Row],[GroupByKey]]),(OutputTable[GroupByKey]=OutputTable[[#This Row],[GroupByKey]])*OutputTable[RecordedValue]))</f>
        <v>0.79676815469245998</v>
      </c>
    </row>
    <row r="128" spans="1:16" x14ac:dyDescent="0.25">
      <c r="A128" t="s">
        <v>68</v>
      </c>
      <c r="B128" t="s">
        <v>70</v>
      </c>
      <c r="C128">
        <v>7</v>
      </c>
      <c r="D128" t="s">
        <v>103</v>
      </c>
      <c r="E128" t="s">
        <v>104</v>
      </c>
      <c r="F128" t="s">
        <v>73</v>
      </c>
      <c r="G128">
        <v>747</v>
      </c>
      <c r="H128">
        <v>0</v>
      </c>
      <c r="I128" s="5" t="str">
        <f>OutputTable[[#This Row],[ProjectName]]&amp;OutputTable[[#This Row],[Name]]&amp;OutputTable[[#This Row],[Type]]&amp;OutputTable[[#This Row],[Source]]</f>
        <v>Tener ArticulsoArticulos.NumberInNumber InEntity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12</v>
      </c>
      <c r="K128" s="5" cm="1">
        <f t="array" ref="K128">IFERROR(AVERAGE(IF((OutputTable[GroupByKey]=OutputTable[[#This Row],[GroupByKey]]),(OutputTable[GroupByKey]=OutputTable[[#This Row],[GroupByKey]])*OutputTable[RecordedValue])),0)</f>
        <v>796.41666666666663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34.731328098924628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128" s="5" cm="1">
        <f t="array" ref="O128">MIN(IF((OutputTable[GroupByKey]=OutputTable[[#This Row],[GroupByKey]]),(OutputTable[GroupByKey]=OutputTable[[#This Row],[GroupByKey]])*OutputTable[RecordedValue]))</f>
        <v>737</v>
      </c>
      <c r="P128" s="5" cm="1">
        <f t="array" ref="P128">MAX(IF((OutputTable[GroupByKey]=OutputTable[[#This Row],[GroupByKey]]),(OutputTable[GroupByKey]=OutputTable[[#This Row],[GroupByKey]])*OutputTable[RecordedValue]))</f>
        <v>844</v>
      </c>
    </row>
    <row r="129" spans="1:16" x14ac:dyDescent="0.25">
      <c r="A129" t="s">
        <v>68</v>
      </c>
      <c r="B129" t="s">
        <v>70</v>
      </c>
      <c r="C129">
        <v>7</v>
      </c>
      <c r="D129" t="s">
        <v>105</v>
      </c>
      <c r="E129" t="s">
        <v>106</v>
      </c>
      <c r="F129" t="s">
        <v>73</v>
      </c>
      <c r="G129">
        <v>734</v>
      </c>
      <c r="H129">
        <v>0</v>
      </c>
      <c r="I129" s="5" t="str">
        <f>OutputTable[[#This Row],[ProjectName]]&amp;OutputTable[[#This Row],[Name]]&amp;OutputTable[[#This Row],[Type]]&amp;OutputTable[[#This Row],[Source]]</f>
        <v>Tener ArticulsoArticulos.NumberOutNumber OutEntity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12</v>
      </c>
      <c r="K129" s="5" cm="1">
        <f t="array" ref="K129">IFERROR(AVERAGE(IF((OutputTable[GroupByKey]=OutputTable[[#This Row],[GroupByKey]]),(OutputTable[GroupByKey]=OutputTable[[#This Row],[GroupByKey]])*OutputTable[RecordedValue])),0)</f>
        <v>783.16666666666663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31.541699191368682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20.040639553097002</v>
      </c>
      <c r="O129" s="5" cm="1">
        <f t="array" ref="O129">MIN(IF((OutputTable[GroupByKey]=OutputTable[[#This Row],[GroupByKey]]),(OutputTable[GroupByKey]=OutputTable[[#This Row],[GroupByKey]])*OutputTable[RecordedValue]))</f>
        <v>730</v>
      </c>
      <c r="P129" s="5" cm="1">
        <f t="array" ref="P129">MAX(IF((OutputTable[GroupByKey]=OutputTable[[#This Row],[GroupByKey]]),(OutputTable[GroupByKey]=OutputTable[[#This Row],[GroupByKey]])*OutputTable[RecordedValue]))</f>
        <v>826</v>
      </c>
    </row>
    <row r="130" spans="1:16" x14ac:dyDescent="0.25">
      <c r="A130" t="s">
        <v>68</v>
      </c>
      <c r="B130" t="s">
        <v>70</v>
      </c>
      <c r="C130">
        <v>7</v>
      </c>
      <c r="D130" t="s">
        <v>107</v>
      </c>
      <c r="E130" t="s">
        <v>104</v>
      </c>
      <c r="F130" t="s">
        <v>73</v>
      </c>
      <c r="G130">
        <v>1073</v>
      </c>
      <c r="H130">
        <v>0</v>
      </c>
      <c r="I130" s="5" t="str">
        <f>OutputTable[[#This Row],[ProjectName]]&amp;OutputTable[[#This Row],[Name]]&amp;OutputTable[[#This Row],[Type]]&amp;OutputTable[[#This Row],[Source]]</f>
        <v>Tener ArticulsoCarros.NumberInNumber InEntity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12</v>
      </c>
      <c r="K130" s="5" cm="1">
        <f t="array" ref="K130">IFERROR(AVERAGE(IF((OutputTable[GroupByKey]=OutputTable[[#This Row],[GroupByKey]]),(OutputTable[GroupByKey]=OutputTable[[#This Row],[GroupByKey]])*OutputTable[RecordedValue])),0)</f>
        <v>1145.9166666666667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49.73101891600696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31.597581939297463</v>
      </c>
      <c r="O130" s="5" cm="1">
        <f t="array" ref="O130">MIN(IF((OutputTable[GroupByKey]=OutputTable[[#This Row],[GroupByKey]]),(OutputTable[GroupByKey]=OutputTable[[#This Row],[GroupByKey]])*OutputTable[RecordedValue]))</f>
        <v>1059</v>
      </c>
      <c r="P130" s="5" cm="1">
        <f t="array" ref="P130">MAX(IF((OutputTable[GroupByKey]=OutputTable[[#This Row],[GroupByKey]]),(OutputTable[GroupByKey]=OutputTable[[#This Row],[GroupByKey]])*OutputTable[RecordedValue]))</f>
        <v>1210</v>
      </c>
    </row>
    <row r="131" spans="1:16" x14ac:dyDescent="0.25">
      <c r="A131" t="s">
        <v>68</v>
      </c>
      <c r="B131" t="s">
        <v>70</v>
      </c>
      <c r="C131">
        <v>7</v>
      </c>
      <c r="D131" t="s">
        <v>108</v>
      </c>
      <c r="E131" t="s">
        <v>106</v>
      </c>
      <c r="F131" t="s">
        <v>73</v>
      </c>
      <c r="G131">
        <v>1072</v>
      </c>
      <c r="H131">
        <v>0</v>
      </c>
      <c r="I131" s="5" t="str">
        <f>OutputTable[[#This Row],[ProjectName]]&amp;OutputTable[[#This Row],[Name]]&amp;OutputTable[[#This Row],[Type]]&amp;OutputTable[[#This Row],[Source]]</f>
        <v>Tener ArticulsoCarros.NumberOutNumber OutEntity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12</v>
      </c>
      <c r="K131" s="5" cm="1">
        <f t="array" ref="K131">IFERROR(AVERAGE(IF((OutputTable[GroupByKey]=OutputTable[[#This Row],[GroupByKey]]),(OutputTable[GroupByKey]=OutputTable[[#This Row],[GroupByKey]])*OutputTable[RecordedValue])),0)</f>
        <v>1145.3333333333333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49.816633464104832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31.651978827953357</v>
      </c>
      <c r="O131" s="5" cm="1">
        <f t="array" ref="O131">MIN(IF((OutputTable[GroupByKey]=OutputTable[[#This Row],[GroupByKey]]),(OutputTable[GroupByKey]=OutputTable[[#This Row],[GroupByKey]])*OutputTable[RecordedValue]))</f>
        <v>1059</v>
      </c>
      <c r="P131" s="5" cm="1">
        <f t="array" ref="P131">MAX(IF((OutputTable[GroupByKey]=OutputTable[[#This Row],[GroupByKey]]),(OutputTable[GroupByKey]=OutputTable[[#This Row],[GroupByKey]])*OutputTable[RecordedValue]))</f>
        <v>1210</v>
      </c>
    </row>
    <row r="132" spans="1:16" x14ac:dyDescent="0.25">
      <c r="A132" t="s">
        <v>68</v>
      </c>
      <c r="B132" t="s">
        <v>70</v>
      </c>
      <c r="C132">
        <v>7</v>
      </c>
      <c r="D132" t="s">
        <v>109</v>
      </c>
      <c r="E132" t="s">
        <v>110</v>
      </c>
      <c r="F132" t="s">
        <v>82</v>
      </c>
      <c r="G132">
        <v>809.33965556695796</v>
      </c>
      <c r="H132">
        <v>0</v>
      </c>
      <c r="I132" s="5" t="str">
        <f>OutputTable[[#This Row],[ProjectName]]&amp;OutputTable[[#This Row],[Name]]&amp;OutputTable[[#This Row],[Type]]&amp;OutputTable[[#This Row],[Source]]</f>
        <v>Tener ArticulsoDesembalaje Accum VA TimeAccum VA TimeProcess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12</v>
      </c>
      <c r="K132" s="5" cm="1">
        <f t="array" ref="K132">IFERROR(AVERAGE(IF((OutputTable[GroupByKey]=OutputTable[[#This Row],[GroupByKey]]),(OutputTable[GroupByKey]=OutputTable[[#This Row],[GroupByKey]])*OutputTable[RecordedValue])),0)</f>
        <v>783.216775239051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48.528923107513336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30.833806701313396</v>
      </c>
      <c r="O132" s="5" cm="1">
        <f t="array" ref="O132">MIN(IF((OutputTable[GroupByKey]=OutputTable[[#This Row],[GroupByKey]]),(OutputTable[GroupByKey]=OutputTable[[#This Row],[GroupByKey]])*OutputTable[RecordedValue]))</f>
        <v>678.52271145285295</v>
      </c>
      <c r="P132" s="5" cm="1">
        <f t="array" ref="P132">MAX(IF((OutputTable[GroupByKey]=OutputTable[[#This Row],[GroupByKey]]),(OutputTable[GroupByKey]=OutputTable[[#This Row],[GroupByKey]])*OutputTable[RecordedValue]))</f>
        <v>840.77730126549898</v>
      </c>
    </row>
    <row r="133" spans="1:16" x14ac:dyDescent="0.25">
      <c r="A133" t="s">
        <v>68</v>
      </c>
      <c r="B133" t="s">
        <v>70</v>
      </c>
      <c r="C133">
        <v>7</v>
      </c>
      <c r="D133" t="s">
        <v>111</v>
      </c>
      <c r="E133" t="s">
        <v>112</v>
      </c>
      <c r="F133" t="s">
        <v>82</v>
      </c>
      <c r="G133">
        <v>664.58317038553605</v>
      </c>
      <c r="H133">
        <v>0</v>
      </c>
      <c r="I133" s="5" t="str">
        <f>OutputTable[[#This Row],[ProjectName]]&amp;OutputTable[[#This Row],[Name]]&amp;OutputTable[[#This Row],[Type]]&amp;OutputTable[[#This Row],[Source]]</f>
        <v>Tener ArticulsoDesembalaje Accum Wait TimeAccum Wait TimeProcess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12</v>
      </c>
      <c r="K133" s="5" cm="1">
        <f t="array" ref="K133">IFERROR(AVERAGE(IF((OutputTable[GroupByKey]=OutputTable[[#This Row],[GroupByKey]]),(OutputTable[GroupByKey]=OutputTable[[#This Row],[GroupByKey]])*OutputTable[RecordedValue])),0)</f>
        <v>811.48948897731191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143.72351593510379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91.317565381747087</v>
      </c>
      <c r="O133" s="5" cm="1">
        <f t="array" ref="O133">MIN(IF((OutputTable[GroupByKey]=OutputTable[[#This Row],[GroupByKey]]),(OutputTable[GroupByKey]=OutputTable[[#This Row],[GroupByKey]])*OutputTable[RecordedValue]))</f>
        <v>546.46370972178704</v>
      </c>
      <c r="P133" s="5" cm="1">
        <f t="array" ref="P133">MAX(IF((OutputTable[GroupByKey]=OutputTable[[#This Row],[GroupByKey]]),(OutputTable[GroupByKey]=OutputTable[[#This Row],[GroupByKey]])*OutputTable[RecordedValue]))</f>
        <v>1012.863937084</v>
      </c>
    </row>
    <row r="134" spans="1:16" x14ac:dyDescent="0.25">
      <c r="A134" t="s">
        <v>68</v>
      </c>
      <c r="B134" t="s">
        <v>70</v>
      </c>
      <c r="C134">
        <v>7</v>
      </c>
      <c r="D134" t="s">
        <v>113</v>
      </c>
      <c r="E134" t="s">
        <v>104</v>
      </c>
      <c r="F134" t="s">
        <v>82</v>
      </c>
      <c r="G134">
        <v>69</v>
      </c>
      <c r="H134">
        <v>0</v>
      </c>
      <c r="I134" s="5" t="str">
        <f>OutputTable[[#This Row],[ProjectName]]&amp;OutputTable[[#This Row],[Name]]&amp;OutputTable[[#This Row],[Type]]&amp;OutputTable[[#This Row],[Source]]</f>
        <v>Tener ArticulsoDesembalaje Number InNumber InProcess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12</v>
      </c>
      <c r="K134" s="5" cm="1">
        <f t="array" ref="K134">IFERROR(AVERAGE(IF((OutputTable[GroupByKey]=OutputTable[[#This Row],[GroupByKey]]),(OutputTable[GroupByKey]=OutputTable[[#This Row],[GroupByKey]])*OutputTable[RecordedValue])),0)</f>
        <v>66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4.1560470729681676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2.640626329283204</v>
      </c>
      <c r="O134" s="5" cm="1">
        <f t="array" ref="O134">MIN(IF((OutputTable[GroupByKey]=OutputTable[[#This Row],[GroupByKey]]),(OutputTable[GroupByKey]=OutputTable[[#This Row],[GroupByKey]])*OutputTable[RecordedValue]))</f>
        <v>59</v>
      </c>
      <c r="P134" s="5" cm="1">
        <f t="array" ref="P134">MAX(IF((OutputTable[GroupByKey]=OutputTable[[#This Row],[GroupByKey]]),(OutputTable[GroupByKey]=OutputTable[[#This Row],[GroupByKey]])*OutputTable[RecordedValue]))</f>
        <v>70</v>
      </c>
    </row>
    <row r="135" spans="1:16" x14ac:dyDescent="0.25">
      <c r="A135" t="s">
        <v>68</v>
      </c>
      <c r="B135" t="s">
        <v>70</v>
      </c>
      <c r="C135">
        <v>7</v>
      </c>
      <c r="D135" t="s">
        <v>114</v>
      </c>
      <c r="E135" t="s">
        <v>106</v>
      </c>
      <c r="F135" t="s">
        <v>82</v>
      </c>
      <c r="G135">
        <v>68</v>
      </c>
      <c r="H135">
        <v>0</v>
      </c>
      <c r="I135" s="5" t="str">
        <f>OutputTable[[#This Row],[ProjectName]]&amp;OutputTable[[#This Row],[Name]]&amp;OutputTable[[#This Row],[Type]]&amp;OutputTable[[#This Row],[Source]]</f>
        <v>Tener ArticulsoDesembalaje Number OutNumber OutProcess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12</v>
      </c>
      <c r="K135" s="5" cm="1">
        <f t="array" ref="K135">IFERROR(AVERAGE(IF((OutputTable[GroupByKey]=OutputTable[[#This Row],[GroupByKey]]),(OutputTable[GroupByKey]=OutputTable[[#This Row],[GroupByKey]])*OutputTable[RecordedValue])),0)</f>
        <v>65.083333333333329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4.2310182168734691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2.6882607215451362</v>
      </c>
      <c r="O135" s="5" cm="1">
        <f t="array" ref="O135">MIN(IF((OutputTable[GroupByKey]=OutputTable[[#This Row],[GroupByKey]]),(OutputTable[GroupByKey]=OutputTable[[#This Row],[GroupByKey]])*OutputTable[RecordedValue]))</f>
        <v>58</v>
      </c>
      <c r="P135" s="5" cm="1">
        <f t="array" ref="P135">MAX(IF((OutputTable[GroupByKey]=OutputTable[[#This Row],[GroupByKey]]),(OutputTable[GroupByKey]=OutputTable[[#This Row],[GroupByKey]])*OutputTable[RecordedValue]))</f>
        <v>69</v>
      </c>
    </row>
    <row r="136" spans="1:16" x14ac:dyDescent="0.25">
      <c r="A136" t="s">
        <v>68</v>
      </c>
      <c r="B136" t="s">
        <v>70</v>
      </c>
      <c r="C136">
        <v>7</v>
      </c>
      <c r="D136" t="s">
        <v>115</v>
      </c>
      <c r="E136" t="s">
        <v>110</v>
      </c>
      <c r="F136" t="s">
        <v>82</v>
      </c>
      <c r="G136">
        <v>1106.87289266065</v>
      </c>
      <c r="H136">
        <v>0</v>
      </c>
      <c r="I136" s="5" t="str">
        <f>OutputTable[[#This Row],[ProjectName]]&amp;OutputTable[[#This Row],[Name]]&amp;OutputTable[[#This Row],[Type]]&amp;OutputTable[[#This Row],[Source]]</f>
        <v>Tener ArticulsoOrganizar Accum VA TimeAccum VA TimeProcess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12</v>
      </c>
      <c r="K136" s="5" cm="1">
        <f t="array" ref="K136">IFERROR(AVERAGE(IF((OutputTable[GroupByKey]=OutputTable[[#This Row],[GroupByKey]]),(OutputTable[GroupByKey]=OutputTable[[#This Row],[GroupByKey]])*OutputTable[RecordedValue])),0)</f>
        <v>1181.2622276627176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50.899735842094827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32.340149247203939</v>
      </c>
      <c r="O136" s="5" cm="1">
        <f t="array" ref="O136">MIN(IF((OutputTable[GroupByKey]=OutputTable[[#This Row],[GroupByKey]]),(OutputTable[GroupByKey]=OutputTable[[#This Row],[GroupByKey]])*OutputTable[RecordedValue]))</f>
        <v>1106.0350367697699</v>
      </c>
      <c r="P136" s="5" cm="1">
        <f t="array" ref="P136">MAX(IF((OutputTable[GroupByKey]=OutputTable[[#This Row],[GroupByKey]]),(OutputTable[GroupByKey]=OutputTable[[#This Row],[GroupByKey]])*OutputTable[RecordedValue]))</f>
        <v>1255.97830087074</v>
      </c>
    </row>
    <row r="137" spans="1:16" x14ac:dyDescent="0.25">
      <c r="A137" t="s">
        <v>68</v>
      </c>
      <c r="B137" t="s">
        <v>70</v>
      </c>
      <c r="C137">
        <v>7</v>
      </c>
      <c r="D137" t="s">
        <v>116</v>
      </c>
      <c r="E137" t="s">
        <v>112</v>
      </c>
      <c r="F137" t="s">
        <v>82</v>
      </c>
      <c r="G137">
        <v>10656.265383156</v>
      </c>
      <c r="H137">
        <v>0</v>
      </c>
      <c r="I137" s="5" t="str">
        <f>OutputTable[[#This Row],[ProjectName]]&amp;OutputTable[[#This Row],[Name]]&amp;OutputTable[[#This Row],[Type]]&amp;OutputTable[[#This Row],[Source]]</f>
        <v>Tener ArticulsoOrganizar Accum Wait TimeAccum Wait TimeProcess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12</v>
      </c>
      <c r="K137" s="5" cm="1">
        <f t="array" ref="K137">IFERROR(AVERAGE(IF((OutputTable[GroupByKey]=OutputTable[[#This Row],[GroupByKey]]),(OutputTable[GroupByKey]=OutputTable[[#This Row],[GroupByKey]])*OutputTable[RecordedValue])),0)</f>
        <v>14481.366678807759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2869.9645631781104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1823.4884871564914</v>
      </c>
      <c r="O137" s="5" cm="1">
        <f t="array" ref="O137">MIN(IF((OutputTable[GroupByKey]=OutputTable[[#This Row],[GroupByKey]]),(OutputTable[GroupByKey]=OutputTable[[#This Row],[GroupByKey]])*OutputTable[RecordedValue]))</f>
        <v>9643.84605851171</v>
      </c>
      <c r="P137" s="5" cm="1">
        <f t="array" ref="P137">MAX(IF((OutputTable[GroupByKey]=OutputTable[[#This Row],[GroupByKey]]),(OutputTable[GroupByKey]=OutputTable[[#This Row],[GroupByKey]])*OutputTable[RecordedValue]))</f>
        <v>18159.7018308675</v>
      </c>
    </row>
    <row r="138" spans="1:16" x14ac:dyDescent="0.25">
      <c r="A138" t="s">
        <v>68</v>
      </c>
      <c r="B138" t="s">
        <v>70</v>
      </c>
      <c r="C138">
        <v>7</v>
      </c>
      <c r="D138" t="s">
        <v>117</v>
      </c>
      <c r="E138" t="s">
        <v>104</v>
      </c>
      <c r="F138" t="s">
        <v>82</v>
      </c>
      <c r="G138">
        <v>744</v>
      </c>
      <c r="H138">
        <v>0</v>
      </c>
      <c r="I138" s="5" t="str">
        <f>OutputTable[[#This Row],[ProjectName]]&amp;OutputTable[[#This Row],[Name]]&amp;OutputTable[[#This Row],[Type]]&amp;OutputTable[[#This Row],[Source]]</f>
        <v>Tener ArticulsoOrganizar Number InNumber InProcess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12</v>
      </c>
      <c r="K138" s="5" cm="1">
        <f t="array" ref="K138">IFERROR(AVERAGE(IF((OutputTable[GroupByKey]=OutputTable[[#This Row],[GroupByKey]]),(OutputTable[GroupByKey]=OutputTable[[#This Row],[GroupByKey]])*OutputTable[RecordedValue])),0)</f>
        <v>794.91666666666663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34.394656914154915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21.853322409391229</v>
      </c>
      <c r="O138" s="5" cm="1">
        <f t="array" ref="O138">MIN(IF((OutputTable[GroupByKey]=OutputTable[[#This Row],[GroupByKey]]),(OutputTable[GroupByKey]=OutputTable[[#This Row],[GroupByKey]])*OutputTable[RecordedValue]))</f>
        <v>737</v>
      </c>
      <c r="P138" s="5" cm="1">
        <f t="array" ref="P138">MAX(IF((OutputTable[GroupByKey]=OutputTable[[#This Row],[GroupByKey]]),(OutputTable[GroupByKey]=OutputTable[[#This Row],[GroupByKey]])*OutputTable[RecordedValue]))</f>
        <v>841</v>
      </c>
    </row>
    <row r="139" spans="1:16" x14ac:dyDescent="0.25">
      <c r="A139" t="s">
        <v>68</v>
      </c>
      <c r="B139" t="s">
        <v>70</v>
      </c>
      <c r="C139">
        <v>7</v>
      </c>
      <c r="D139" t="s">
        <v>118</v>
      </c>
      <c r="E139" t="s">
        <v>106</v>
      </c>
      <c r="F139" t="s">
        <v>82</v>
      </c>
      <c r="G139">
        <v>735</v>
      </c>
      <c r="H139">
        <v>0</v>
      </c>
      <c r="I139" s="5" t="str">
        <f>OutputTable[[#This Row],[ProjectName]]&amp;OutputTable[[#This Row],[Name]]&amp;OutputTable[[#This Row],[Type]]&amp;OutputTable[[#This Row],[Source]]</f>
        <v>Tener ArticulsoOrganizar Number OutNumber OutProcess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12</v>
      </c>
      <c r="K139" s="5" cm="1">
        <f t="array" ref="K139">IFERROR(AVERAGE(IF((OutputTable[GroupByKey]=OutputTable[[#This Row],[GroupByKey]]),(OutputTable[GroupByKey]=OutputTable[[#This Row],[GroupByKey]])*OutputTable[RecordedValue])),0)</f>
        <v>786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32.741411087489801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20.80290012542233</v>
      </c>
      <c r="O139" s="5" cm="1">
        <f t="array" ref="O139">MIN(IF((OutputTable[GroupByKey]=OutputTable[[#This Row],[GroupByKey]]),(OutputTable[GroupByKey]=OutputTable[[#This Row],[GroupByKey]])*OutputTable[RecordedValue]))</f>
        <v>732</v>
      </c>
      <c r="P139" s="5" cm="1">
        <f t="array" ref="P139">MAX(IF((OutputTable[GroupByKey]=OutputTable[[#This Row],[GroupByKey]]),(OutputTable[GroupByKey]=OutputTable[[#This Row],[GroupByKey]])*OutputTable[RecordedValue]))</f>
        <v>829</v>
      </c>
    </row>
    <row r="140" spans="1:16" x14ac:dyDescent="0.25">
      <c r="A140" t="s">
        <v>68</v>
      </c>
      <c r="B140" t="s">
        <v>70</v>
      </c>
      <c r="C140">
        <v>7</v>
      </c>
      <c r="D140" t="s">
        <v>119</v>
      </c>
      <c r="E140" t="s">
        <v>110</v>
      </c>
      <c r="F140" t="s">
        <v>82</v>
      </c>
      <c r="G140">
        <v>1473.78349566985</v>
      </c>
      <c r="H140">
        <v>0</v>
      </c>
      <c r="I140" s="5" t="str">
        <f>OutputTable[[#This Row],[ProjectName]]&amp;OutputTable[[#This Row],[Name]]&amp;OutputTable[[#This Row],[Type]]&amp;OutputTable[[#This Row],[Source]]</f>
        <v>Tener ArticulsoSacar Articulos Accum VA TimeAccum VA TimeProcess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12</v>
      </c>
      <c r="K140" s="5" cm="1">
        <f t="array" ref="K140">IFERROR(AVERAGE(IF((OutputTable[GroupByKey]=OutputTable[[#This Row],[GroupByKey]]),(OutputTable[GroupByKey]=OutputTable[[#This Row],[GroupByKey]])*OutputTable[RecordedValue])),0)</f>
        <v>1584.7600747574054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65.199632506816158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41.425870119928376</v>
      </c>
      <c r="O140" s="5" cm="1">
        <f t="array" ref="O140">MIN(IF((OutputTable[GroupByKey]=OutputTable[[#This Row],[GroupByKey]]),(OutputTable[GroupByKey]=OutputTable[[#This Row],[GroupByKey]])*OutputTable[RecordedValue]))</f>
        <v>1473.78349566985</v>
      </c>
      <c r="P140" s="5" cm="1">
        <f t="array" ref="P140">MAX(IF((OutputTable[GroupByKey]=OutputTable[[#This Row],[GroupByKey]]),(OutputTable[GroupByKey]=OutputTable[[#This Row],[GroupByKey]])*OutputTable[RecordedValue]))</f>
        <v>1673.21312485417</v>
      </c>
    </row>
    <row r="141" spans="1:16" x14ac:dyDescent="0.25">
      <c r="A141" t="s">
        <v>68</v>
      </c>
      <c r="B141" t="s">
        <v>70</v>
      </c>
      <c r="C141">
        <v>7</v>
      </c>
      <c r="D141" t="s">
        <v>120</v>
      </c>
      <c r="E141" t="s">
        <v>112</v>
      </c>
      <c r="F141" t="s">
        <v>82</v>
      </c>
      <c r="G141">
        <v>1064.4971115521701</v>
      </c>
      <c r="H141">
        <v>0</v>
      </c>
      <c r="I141" s="5" t="str">
        <f>OutputTable[[#This Row],[ProjectName]]&amp;OutputTable[[#This Row],[Name]]&amp;OutputTable[[#This Row],[Type]]&amp;OutputTable[[#This Row],[Source]]</f>
        <v>Tener ArticulsoSacar Articulos Accum Wait TimeAccum Wait TimeProcess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12</v>
      </c>
      <c r="K141" s="5" cm="1">
        <f t="array" ref="K141">IFERROR(AVERAGE(IF((OutputTable[GroupByKey]=OutputTable[[#This Row],[GroupByKey]]),(OutputTable[GroupByKey]=OutputTable[[#This Row],[GroupByKey]])*OutputTable[RecordedValue])),0)</f>
        <v>1151.8667665386067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58.761364856103697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37.335190015744239</v>
      </c>
      <c r="O141" s="5" cm="1">
        <f t="array" ref="O141">MIN(IF((OutputTable[GroupByKey]=OutputTable[[#This Row],[GroupByKey]]),(OutputTable[GroupByKey]=OutputTable[[#This Row],[GroupByKey]])*OutputTable[RecordedValue]))</f>
        <v>1064.4971115521701</v>
      </c>
      <c r="P141" s="5" cm="1">
        <f t="array" ref="P141">MAX(IF((OutputTable[GroupByKey]=OutputTable[[#This Row],[GroupByKey]]),(OutputTable[GroupByKey]=OutputTable[[#This Row],[GroupByKey]])*OutputTable[RecordedValue]))</f>
        <v>1232.84038930315</v>
      </c>
    </row>
    <row r="142" spans="1:16" x14ac:dyDescent="0.25">
      <c r="A142" t="s">
        <v>68</v>
      </c>
      <c r="B142" t="s">
        <v>70</v>
      </c>
      <c r="C142">
        <v>7</v>
      </c>
      <c r="D142" t="s">
        <v>121</v>
      </c>
      <c r="E142" t="s">
        <v>104</v>
      </c>
      <c r="F142" t="s">
        <v>82</v>
      </c>
      <c r="G142">
        <v>747</v>
      </c>
      <c r="H142">
        <v>0</v>
      </c>
      <c r="I142" s="5" t="str">
        <f>OutputTable[[#This Row],[ProjectName]]&amp;OutputTable[[#This Row],[Name]]&amp;OutputTable[[#This Row],[Type]]&amp;OutputTable[[#This Row],[Source]]</f>
        <v>Tener ArticulsoSacar Articulos Number InNumber InProcess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12</v>
      </c>
      <c r="K142" s="5" cm="1">
        <f t="array" ref="K142">IFERROR(AVERAGE(IF((OutputTable[GroupByKey]=OutputTable[[#This Row],[GroupByKey]]),(OutputTable[GroupByKey]=OutputTable[[#This Row],[GroupByKey]])*OutputTable[RecordedValue])),0)</f>
        <v>796.41666666666663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34.731328098924628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142" s="5" cm="1">
        <f t="array" ref="O142">MIN(IF((OutputTable[GroupByKey]=OutputTable[[#This Row],[GroupByKey]]),(OutputTable[GroupByKey]=OutputTable[[#This Row],[GroupByKey]])*OutputTable[RecordedValue]))</f>
        <v>737</v>
      </c>
      <c r="P142" s="5" cm="1">
        <f t="array" ref="P142">MAX(IF((OutputTable[GroupByKey]=OutputTable[[#This Row],[GroupByKey]]),(OutputTable[GroupByKey]=OutputTable[[#This Row],[GroupByKey]])*OutputTable[RecordedValue]))</f>
        <v>844</v>
      </c>
    </row>
    <row r="143" spans="1:16" x14ac:dyDescent="0.25">
      <c r="A143" t="s">
        <v>68</v>
      </c>
      <c r="B143" t="s">
        <v>70</v>
      </c>
      <c r="C143">
        <v>7</v>
      </c>
      <c r="D143" t="s">
        <v>122</v>
      </c>
      <c r="E143" t="s">
        <v>106</v>
      </c>
      <c r="F143" t="s">
        <v>82</v>
      </c>
      <c r="G143">
        <v>744</v>
      </c>
      <c r="H143">
        <v>0</v>
      </c>
      <c r="I143" s="5" t="str">
        <f>OutputTable[[#This Row],[ProjectName]]&amp;OutputTable[[#This Row],[Name]]&amp;OutputTable[[#This Row],[Type]]&amp;OutputTable[[#This Row],[Source]]</f>
        <v>Tener ArticulsoSacar Articulos Number OutNumber OutProcess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12</v>
      </c>
      <c r="K143" s="5" cm="1">
        <f t="array" ref="K143">IFERROR(AVERAGE(IF((OutputTable[GroupByKey]=OutputTable[[#This Row],[GroupByKey]]),(OutputTable[GroupByKey]=OutputTable[[#This Row],[GroupByKey]])*OutputTable[RecordedValue])),0)</f>
        <v>795.08333333333337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34.510758094287411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21.927089579910728</v>
      </c>
      <c r="O143" s="5" cm="1">
        <f t="array" ref="O143">MIN(IF((OutputTable[GroupByKey]=OutputTable[[#This Row],[GroupByKey]]),(OutputTable[GroupByKey]=OutputTable[[#This Row],[GroupByKey]])*OutputTable[RecordedValue]))</f>
        <v>737</v>
      </c>
      <c r="P143" s="5" cm="1">
        <f t="array" ref="P143">MAX(IF((OutputTable[GroupByKey]=OutputTable[[#This Row],[GroupByKey]]),(OutputTable[GroupByKey]=OutputTable[[#This Row],[GroupByKey]])*OutputTable[RecordedValue]))</f>
        <v>841</v>
      </c>
    </row>
    <row r="144" spans="1:16" x14ac:dyDescent="0.25">
      <c r="A144" t="s">
        <v>68</v>
      </c>
      <c r="B144" t="s">
        <v>70</v>
      </c>
      <c r="C144">
        <v>7</v>
      </c>
      <c r="D144" t="s">
        <v>123</v>
      </c>
      <c r="E144" t="s">
        <v>106</v>
      </c>
      <c r="F144" t="s">
        <v>124</v>
      </c>
      <c r="G144">
        <v>1059</v>
      </c>
      <c r="H144">
        <v>0</v>
      </c>
      <c r="I144" s="5" t="str">
        <f>OutputTable[[#This Row],[ProjectName]]&amp;OutputTable[[#This Row],[Name]]&amp;OutputTable[[#This Row],[Type]]&amp;OutputTable[[#This Row],[Source]]</f>
        <v>Tener ArticulsoSystem.NumberOutNumber OutSystem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12</v>
      </c>
      <c r="K144" s="5" cm="1">
        <f t="array" ref="K144">IFERROR(AVERAGE(IF((OutputTable[GroupByKey]=OutputTable[[#This Row],[GroupByKey]]),(OutputTable[GroupByKey]=OutputTable[[#This Row],[GroupByKey]])*OutputTable[RecordedValue])),0)</f>
        <v>1132.0833333333333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46.640712479614429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29.634094905050876</v>
      </c>
      <c r="O144" s="5" cm="1">
        <f t="array" ref="O144">MIN(IF((OutputTable[GroupByKey]=OutputTable[[#This Row],[GroupByKey]]),(OutputTable[GroupByKey]=OutputTable[[#This Row],[GroupByKey]])*OutputTable[RecordedValue]))</f>
        <v>1052</v>
      </c>
      <c r="P144" s="5" cm="1">
        <f t="array" ref="P144">MAX(IF((OutputTable[GroupByKey]=OutputTable[[#This Row],[GroupByKey]]),(OutputTable[GroupByKey]=OutputTable[[#This Row],[GroupByKey]])*OutputTable[RecordedValue]))</f>
        <v>1192</v>
      </c>
    </row>
    <row r="145" spans="1:16" x14ac:dyDescent="0.25">
      <c r="A145" t="s">
        <v>68</v>
      </c>
      <c r="B145" t="s">
        <v>70</v>
      </c>
      <c r="C145">
        <v>7</v>
      </c>
      <c r="D145" t="s">
        <v>125</v>
      </c>
      <c r="E145" t="s">
        <v>126</v>
      </c>
      <c r="F145" t="s">
        <v>99</v>
      </c>
      <c r="G145">
        <v>804</v>
      </c>
      <c r="H145">
        <v>0</v>
      </c>
      <c r="I145" s="5" t="str">
        <f>OutputTable[[#This Row],[ProjectName]]&amp;OutputTable[[#This Row],[Name]]&amp;OutputTable[[#This Row],[Type]]&amp;OutputTable[[#This Row],[Source]]</f>
        <v>Tener ArticulsorOrganizdor.NumberSeizedTotal Number SeizedResource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12</v>
      </c>
      <c r="K145" s="5" cm="1">
        <f t="array" ref="K145">IFERROR(AVERAGE(IF((OutputTable[GroupByKey]=OutputTable[[#This Row],[GroupByKey]]),(OutputTable[GroupByKey]=OutputTable[[#This Row],[GroupByKey]])*OutputTable[RecordedValue])),0)</f>
        <v>852.08333333333337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32.103407730002552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20.397532131659759</v>
      </c>
      <c r="O145" s="5" cm="1">
        <f t="array" ref="O145">MIN(IF((OutputTable[GroupByKey]=OutputTable[[#This Row],[GroupByKey]]),(OutputTable[GroupByKey]=OutputTable[[#This Row],[GroupByKey]])*OutputTable[RecordedValue]))</f>
        <v>800</v>
      </c>
      <c r="P145" s="5" cm="1">
        <f t="array" ref="P145">MAX(IF((OutputTable[GroupByKey]=OutputTable[[#This Row],[GroupByKey]]),(OutputTable[GroupByKey]=OutputTable[[#This Row],[GroupByKey]])*OutputTable[RecordedValue]))</f>
        <v>893</v>
      </c>
    </row>
    <row r="146" spans="1:16" x14ac:dyDescent="0.25">
      <c r="A146" t="s">
        <v>68</v>
      </c>
      <c r="B146" t="s">
        <v>70</v>
      </c>
      <c r="C146">
        <v>7</v>
      </c>
      <c r="D146" t="s">
        <v>127</v>
      </c>
      <c r="E146" t="s">
        <v>128</v>
      </c>
      <c r="F146" t="s">
        <v>99</v>
      </c>
      <c r="G146">
        <v>0.91448050938635805</v>
      </c>
      <c r="H146">
        <v>0</v>
      </c>
      <c r="I146" s="5" t="str">
        <f>OutputTable[[#This Row],[ProjectName]]&amp;OutputTable[[#This Row],[Name]]&amp;OutputTable[[#This Row],[Type]]&amp;OutputTable[[#This Row],[Source]]</f>
        <v>Tener ArticulsorOrganizdor.ScheduledUtilizationScheduled UtilizationResource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12</v>
      </c>
      <c r="K146" s="5" cm="1">
        <f t="array" ref="K146">IFERROR(AVERAGE(IF((OutputTable[GroupByKey]=OutputTable[[#This Row],[GroupByKey]]),(OutputTable[GroupByKey]=OutputTable[[#This Row],[GroupByKey]])*OutputTable[RecordedValue])),0)</f>
        <v>0.93693413710063267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3.0080475881637609E-2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1.9112222555672933E-2</v>
      </c>
      <c r="O146" s="5" cm="1">
        <f t="array" ref="O146">MIN(IF((OutputTable[GroupByKey]=OutputTable[[#This Row],[GroupByKey]]),(OutputTable[GroupByKey]=OutputTable[[#This Row],[GroupByKey]])*OutputTable[RecordedValue]))</f>
        <v>0.87408888428798603</v>
      </c>
      <c r="P146" s="5" cm="1">
        <f t="array" ref="P146">MAX(IF((OutputTable[GroupByKey]=OutputTable[[#This Row],[GroupByKey]]),(OutputTable[GroupByKey]=OutputTable[[#This Row],[GroupByKey]])*OutputTable[RecordedValue]))</f>
        <v>0.989515454392208</v>
      </c>
    </row>
    <row r="147" spans="1:16" x14ac:dyDescent="0.25">
      <c r="A147" t="s">
        <v>68</v>
      </c>
      <c r="B147" t="s">
        <v>70</v>
      </c>
      <c r="C147">
        <v>7</v>
      </c>
      <c r="D147" t="s">
        <v>129</v>
      </c>
      <c r="E147" t="s">
        <v>126</v>
      </c>
      <c r="F147" t="s">
        <v>99</v>
      </c>
      <c r="G147">
        <v>745</v>
      </c>
      <c r="H147">
        <v>0</v>
      </c>
      <c r="I147" s="5" t="str">
        <f>OutputTable[[#This Row],[ProjectName]]&amp;OutputTable[[#This Row],[Name]]&amp;OutputTable[[#This Row],[Type]]&amp;OutputTable[[#This Row],[Source]]</f>
        <v>Tener ArticulsorSacador.NumberSeizedTotal Number SeizedResource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12</v>
      </c>
      <c r="K147" s="5" cm="1">
        <f t="array" ref="K147">IFERROR(AVERAGE(IF((OutputTable[GroupByKey]=OutputTable[[#This Row],[GroupByKey]]),(OutputTable[GroupByKey]=OutputTable[[#This Row],[GroupByKey]])*OutputTable[RecordedValue])),0)</f>
        <v>795.66666666666663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34.623516268395946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21.998732705738043</v>
      </c>
      <c r="O147" s="5" cm="1">
        <f t="array" ref="O147">MIN(IF((OutputTable[GroupByKey]=OutputTable[[#This Row],[GroupByKey]]),(OutputTable[GroupByKey]=OutputTable[[#This Row],[GroupByKey]])*OutputTable[RecordedValue]))</f>
        <v>737</v>
      </c>
      <c r="P147" s="5" cm="1">
        <f t="array" ref="P147">MAX(IF((OutputTable[GroupByKey]=OutputTable[[#This Row],[GroupByKey]]),(OutputTable[GroupByKey]=OutputTable[[#This Row],[GroupByKey]])*OutputTable[RecordedValue]))</f>
        <v>842</v>
      </c>
    </row>
    <row r="148" spans="1:16" x14ac:dyDescent="0.25">
      <c r="A148" t="s">
        <v>68</v>
      </c>
      <c r="B148" t="s">
        <v>70</v>
      </c>
      <c r="C148">
        <v>7</v>
      </c>
      <c r="D148" t="s">
        <v>130</v>
      </c>
      <c r="E148" t="s">
        <v>128</v>
      </c>
      <c r="F148" t="s">
        <v>99</v>
      </c>
      <c r="G148">
        <v>0.70281682687036895</v>
      </c>
      <c r="H148">
        <v>0</v>
      </c>
      <c r="I148" s="5" t="str">
        <f>OutputTable[[#This Row],[ProjectName]]&amp;OutputTable[[#This Row],[Name]]&amp;OutputTable[[#This Row],[Type]]&amp;OutputTable[[#This Row],[Source]]</f>
        <v>Tener ArticulsorSacador.ScheduledUtilizationScheduled UtilizationResource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12</v>
      </c>
      <c r="K148" s="5" cm="1">
        <f t="array" ref="K148">IFERROR(AVERAGE(IF((OutputTable[GroupByKey]=OutputTable[[#This Row],[GroupByKey]]),(OutputTable[GroupByKey]=OutputTable[[#This Row],[GroupByKey]])*OutputTable[RecordedValue])),0)</f>
        <v>0.75499127770842467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3.0990673550046054E-2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1.9690534563658681E-2</v>
      </c>
      <c r="O148" s="5" cm="1">
        <f t="array" ref="O148">MIN(IF((OutputTable[GroupByKey]=OutputTable[[#This Row],[GroupByKey]]),(OutputTable[GroupByKey]=OutputTable[[#This Row],[GroupByKey]])*OutputTable[RecordedValue]))</f>
        <v>0.70281682687036895</v>
      </c>
      <c r="P148" s="5" cm="1">
        <f t="array" ref="P148">MAX(IF((OutputTable[GroupByKey]=OutputTable[[#This Row],[GroupByKey]]),(OutputTable[GroupByKey]=OutputTable[[#This Row],[GroupByKey]])*OutputTable[RecordedValue]))</f>
        <v>0.79676815469245998</v>
      </c>
    </row>
    <row r="149" spans="1:16" x14ac:dyDescent="0.25">
      <c r="A149" t="s">
        <v>68</v>
      </c>
      <c r="B149" t="s">
        <v>70</v>
      </c>
      <c r="C149">
        <v>8</v>
      </c>
      <c r="D149" t="s">
        <v>103</v>
      </c>
      <c r="E149" t="s">
        <v>104</v>
      </c>
      <c r="F149" t="s">
        <v>73</v>
      </c>
      <c r="G149">
        <v>813</v>
      </c>
      <c r="H149">
        <v>0</v>
      </c>
      <c r="I149" s="5" t="str">
        <f>OutputTable[[#This Row],[ProjectName]]&amp;OutputTable[[#This Row],[Name]]&amp;OutputTable[[#This Row],[Type]]&amp;OutputTable[[#This Row],[Source]]</f>
        <v>Tener ArticulsoArticulos.NumberInNumber InEntity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12</v>
      </c>
      <c r="K149" s="5" cm="1">
        <f t="array" ref="K149">IFERROR(AVERAGE(IF((OutputTable[GroupByKey]=OutputTable[[#This Row],[GroupByKey]]),(OutputTable[GroupByKey]=OutputTable[[#This Row],[GroupByKey]])*OutputTable[RecordedValue])),0)</f>
        <v>796.41666666666663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34.731328098924628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149" s="5" cm="1">
        <f t="array" ref="O149">MIN(IF((OutputTable[GroupByKey]=OutputTable[[#This Row],[GroupByKey]]),(OutputTable[GroupByKey]=OutputTable[[#This Row],[GroupByKey]])*OutputTable[RecordedValue]))</f>
        <v>737</v>
      </c>
      <c r="P149" s="5" cm="1">
        <f t="array" ref="P149">MAX(IF((OutputTable[GroupByKey]=OutputTable[[#This Row],[GroupByKey]]),(OutputTable[GroupByKey]=OutputTable[[#This Row],[GroupByKey]])*OutputTable[RecordedValue]))</f>
        <v>844</v>
      </c>
    </row>
    <row r="150" spans="1:16" x14ac:dyDescent="0.25">
      <c r="A150" t="s">
        <v>68</v>
      </c>
      <c r="B150" t="s">
        <v>70</v>
      </c>
      <c r="C150">
        <v>8</v>
      </c>
      <c r="D150" t="s">
        <v>105</v>
      </c>
      <c r="E150" t="s">
        <v>106</v>
      </c>
      <c r="F150" t="s">
        <v>73</v>
      </c>
      <c r="G150">
        <v>784</v>
      </c>
      <c r="H150">
        <v>0</v>
      </c>
      <c r="I150" s="5" t="str">
        <f>OutputTable[[#This Row],[ProjectName]]&amp;OutputTable[[#This Row],[Name]]&amp;OutputTable[[#This Row],[Type]]&amp;OutputTable[[#This Row],[Source]]</f>
        <v>Tener ArticulsoArticulos.NumberOutNumber OutEntity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12</v>
      </c>
      <c r="K150" s="5" cm="1">
        <f t="array" ref="K150">IFERROR(AVERAGE(IF((OutputTable[GroupByKey]=OutputTable[[#This Row],[GroupByKey]]),(OutputTable[GroupByKey]=OutputTable[[#This Row],[GroupByKey]])*OutputTable[RecordedValue])),0)</f>
        <v>783.16666666666663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31.541699191368682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20.040639553097002</v>
      </c>
      <c r="O150" s="5" cm="1">
        <f t="array" ref="O150">MIN(IF((OutputTable[GroupByKey]=OutputTable[[#This Row],[GroupByKey]]),(OutputTable[GroupByKey]=OutputTable[[#This Row],[GroupByKey]])*OutputTable[RecordedValue]))</f>
        <v>730</v>
      </c>
      <c r="P150" s="5" cm="1">
        <f t="array" ref="P150">MAX(IF((OutputTable[GroupByKey]=OutputTable[[#This Row],[GroupByKey]]),(OutputTable[GroupByKey]=OutputTable[[#This Row],[GroupByKey]])*OutputTable[RecordedValue]))</f>
        <v>826</v>
      </c>
    </row>
    <row r="151" spans="1:16" x14ac:dyDescent="0.25">
      <c r="A151" t="s">
        <v>68</v>
      </c>
      <c r="B151" t="s">
        <v>70</v>
      </c>
      <c r="C151">
        <v>8</v>
      </c>
      <c r="D151" t="s">
        <v>107</v>
      </c>
      <c r="E151" t="s">
        <v>104</v>
      </c>
      <c r="F151" t="s">
        <v>73</v>
      </c>
      <c r="G151">
        <v>1166</v>
      </c>
      <c r="H151">
        <v>0</v>
      </c>
      <c r="I151" s="5" t="str">
        <f>OutputTable[[#This Row],[ProjectName]]&amp;OutputTable[[#This Row],[Name]]&amp;OutputTable[[#This Row],[Type]]&amp;OutputTable[[#This Row],[Source]]</f>
        <v>Tener ArticulsoCarros.NumberInNumber InEntity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12</v>
      </c>
      <c r="K151" s="5" cm="1">
        <f t="array" ref="K151">IFERROR(AVERAGE(IF((OutputTable[GroupByKey]=OutputTable[[#This Row],[GroupByKey]]),(OutputTable[GroupByKey]=OutputTable[[#This Row],[GroupByKey]])*OutputTable[RecordedValue])),0)</f>
        <v>1145.9166666666667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49.73101891600696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31.597581939297463</v>
      </c>
      <c r="O151" s="5" cm="1">
        <f t="array" ref="O151">MIN(IF((OutputTable[GroupByKey]=OutputTable[[#This Row],[GroupByKey]]),(OutputTable[GroupByKey]=OutputTable[[#This Row],[GroupByKey]])*OutputTable[RecordedValue]))</f>
        <v>1059</v>
      </c>
      <c r="P151" s="5" cm="1">
        <f t="array" ref="P151">MAX(IF((OutputTable[GroupByKey]=OutputTable[[#This Row],[GroupByKey]]),(OutputTable[GroupByKey]=OutputTable[[#This Row],[GroupByKey]])*OutputTable[RecordedValue]))</f>
        <v>1210</v>
      </c>
    </row>
    <row r="152" spans="1:16" x14ac:dyDescent="0.25">
      <c r="A152" t="s">
        <v>68</v>
      </c>
      <c r="B152" t="s">
        <v>70</v>
      </c>
      <c r="C152">
        <v>8</v>
      </c>
      <c r="D152" t="s">
        <v>108</v>
      </c>
      <c r="E152" t="s">
        <v>106</v>
      </c>
      <c r="F152" t="s">
        <v>73</v>
      </c>
      <c r="G152">
        <v>1166</v>
      </c>
      <c r="H152">
        <v>0</v>
      </c>
      <c r="I152" s="5" t="str">
        <f>OutputTable[[#This Row],[ProjectName]]&amp;OutputTable[[#This Row],[Name]]&amp;OutputTable[[#This Row],[Type]]&amp;OutputTable[[#This Row],[Source]]</f>
        <v>Tener ArticulsoCarros.NumberOutNumber OutEntity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12</v>
      </c>
      <c r="K152" s="5" cm="1">
        <f t="array" ref="K152">IFERROR(AVERAGE(IF((OutputTable[GroupByKey]=OutputTable[[#This Row],[GroupByKey]]),(OutputTable[GroupByKey]=OutputTable[[#This Row],[GroupByKey]])*OutputTable[RecordedValue])),0)</f>
        <v>1145.3333333333333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49.816633464104832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31.651978827953357</v>
      </c>
      <c r="O152" s="5" cm="1">
        <f t="array" ref="O152">MIN(IF((OutputTable[GroupByKey]=OutputTable[[#This Row],[GroupByKey]]),(OutputTable[GroupByKey]=OutputTable[[#This Row],[GroupByKey]])*OutputTable[RecordedValue]))</f>
        <v>1059</v>
      </c>
      <c r="P152" s="5" cm="1">
        <f t="array" ref="P152">MAX(IF((OutputTable[GroupByKey]=OutputTable[[#This Row],[GroupByKey]]),(OutputTable[GroupByKey]=OutputTable[[#This Row],[GroupByKey]])*OutputTable[RecordedValue]))</f>
        <v>1210</v>
      </c>
    </row>
    <row r="153" spans="1:16" x14ac:dyDescent="0.25">
      <c r="A153" t="s">
        <v>68</v>
      </c>
      <c r="B153" t="s">
        <v>70</v>
      </c>
      <c r="C153">
        <v>8</v>
      </c>
      <c r="D153" t="s">
        <v>109</v>
      </c>
      <c r="E153" t="s">
        <v>110</v>
      </c>
      <c r="F153" t="s">
        <v>82</v>
      </c>
      <c r="G153">
        <v>737.60675753834903</v>
      </c>
      <c r="H153">
        <v>0</v>
      </c>
      <c r="I153" s="5" t="str">
        <f>OutputTable[[#This Row],[ProjectName]]&amp;OutputTable[[#This Row],[Name]]&amp;OutputTable[[#This Row],[Type]]&amp;OutputTable[[#This Row],[Source]]</f>
        <v>Tener ArticulsoDesembalaje Accum VA TimeAccum VA TimeProcess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12</v>
      </c>
      <c r="K153" s="5" cm="1">
        <f t="array" ref="K153">IFERROR(AVERAGE(IF((OutputTable[GroupByKey]=OutputTable[[#This Row],[GroupByKey]]),(OutputTable[GroupByKey]=OutputTable[[#This Row],[GroupByKey]])*OutputTable[RecordedValue])),0)</f>
        <v>783.216775239051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48.528923107513336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30.833806701313396</v>
      </c>
      <c r="O153" s="5" cm="1">
        <f t="array" ref="O153">MIN(IF((OutputTable[GroupByKey]=OutputTable[[#This Row],[GroupByKey]]),(OutputTable[GroupByKey]=OutputTable[[#This Row],[GroupByKey]])*OutputTable[RecordedValue]))</f>
        <v>678.52271145285295</v>
      </c>
      <c r="P153" s="5" cm="1">
        <f t="array" ref="P153">MAX(IF((OutputTable[GroupByKey]=OutputTable[[#This Row],[GroupByKey]]),(OutputTable[GroupByKey]=OutputTable[[#This Row],[GroupByKey]])*OutputTable[RecordedValue]))</f>
        <v>840.77730126549898</v>
      </c>
    </row>
    <row r="154" spans="1:16" x14ac:dyDescent="0.25">
      <c r="A154" t="s">
        <v>68</v>
      </c>
      <c r="B154" t="s">
        <v>70</v>
      </c>
      <c r="C154">
        <v>8</v>
      </c>
      <c r="D154" t="s">
        <v>111</v>
      </c>
      <c r="E154" t="s">
        <v>112</v>
      </c>
      <c r="F154" t="s">
        <v>82</v>
      </c>
      <c r="G154">
        <v>787.62689423678</v>
      </c>
      <c r="H154">
        <v>0</v>
      </c>
      <c r="I154" s="5" t="str">
        <f>OutputTable[[#This Row],[ProjectName]]&amp;OutputTable[[#This Row],[Name]]&amp;OutputTable[[#This Row],[Type]]&amp;OutputTable[[#This Row],[Source]]</f>
        <v>Tener ArticulsoDesembalaje Accum Wait TimeAccum Wait TimeProcess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12</v>
      </c>
      <c r="K154" s="5" cm="1">
        <f t="array" ref="K154">IFERROR(AVERAGE(IF((OutputTable[GroupByKey]=OutputTable[[#This Row],[GroupByKey]]),(OutputTable[GroupByKey]=OutputTable[[#This Row],[GroupByKey]])*OutputTable[RecordedValue])),0)</f>
        <v>811.48948897731191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143.72351593510379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91.317565381747087</v>
      </c>
      <c r="O154" s="5" cm="1">
        <f t="array" ref="O154">MIN(IF((OutputTable[GroupByKey]=OutputTable[[#This Row],[GroupByKey]]),(OutputTable[GroupByKey]=OutputTable[[#This Row],[GroupByKey]])*OutputTable[RecordedValue]))</f>
        <v>546.46370972178704</v>
      </c>
      <c r="P154" s="5" cm="1">
        <f t="array" ref="P154">MAX(IF((OutputTable[GroupByKey]=OutputTable[[#This Row],[GroupByKey]]),(OutputTable[GroupByKey]=OutputTable[[#This Row],[GroupByKey]])*OutputTable[RecordedValue]))</f>
        <v>1012.863937084</v>
      </c>
    </row>
    <row r="155" spans="1:16" x14ac:dyDescent="0.25">
      <c r="A155" t="s">
        <v>68</v>
      </c>
      <c r="B155" t="s">
        <v>70</v>
      </c>
      <c r="C155">
        <v>8</v>
      </c>
      <c r="D155" t="s">
        <v>113</v>
      </c>
      <c r="E155" t="s">
        <v>104</v>
      </c>
      <c r="F155" t="s">
        <v>82</v>
      </c>
      <c r="G155">
        <v>59</v>
      </c>
      <c r="H155">
        <v>0</v>
      </c>
      <c r="I155" s="5" t="str">
        <f>OutputTable[[#This Row],[ProjectName]]&amp;OutputTable[[#This Row],[Name]]&amp;OutputTable[[#This Row],[Type]]&amp;OutputTable[[#This Row],[Source]]</f>
        <v>Tener ArticulsoDesembalaje Number InNumber InProcess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12</v>
      </c>
      <c r="K155" s="5" cm="1">
        <f t="array" ref="K155">IFERROR(AVERAGE(IF((OutputTable[GroupByKey]=OutputTable[[#This Row],[GroupByKey]]),(OutputTable[GroupByKey]=OutputTable[[#This Row],[GroupByKey]])*OutputTable[RecordedValue])),0)</f>
        <v>66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4.1560470729681676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2.640626329283204</v>
      </c>
      <c r="O155" s="5" cm="1">
        <f t="array" ref="O155">MIN(IF((OutputTable[GroupByKey]=OutputTable[[#This Row],[GroupByKey]]),(OutputTable[GroupByKey]=OutputTable[[#This Row],[GroupByKey]])*OutputTable[RecordedValue]))</f>
        <v>59</v>
      </c>
      <c r="P155" s="5" cm="1">
        <f t="array" ref="P155">MAX(IF((OutputTable[GroupByKey]=OutputTable[[#This Row],[GroupByKey]]),(OutputTable[GroupByKey]=OutputTable[[#This Row],[GroupByKey]])*OutputTable[RecordedValue]))</f>
        <v>70</v>
      </c>
    </row>
    <row r="156" spans="1:16" x14ac:dyDescent="0.25">
      <c r="A156" t="s">
        <v>68</v>
      </c>
      <c r="B156" t="s">
        <v>70</v>
      </c>
      <c r="C156">
        <v>8</v>
      </c>
      <c r="D156" t="s">
        <v>114</v>
      </c>
      <c r="E156" t="s">
        <v>106</v>
      </c>
      <c r="F156" t="s">
        <v>82</v>
      </c>
      <c r="G156">
        <v>58</v>
      </c>
      <c r="H156">
        <v>0</v>
      </c>
      <c r="I156" s="5" t="str">
        <f>OutputTable[[#This Row],[ProjectName]]&amp;OutputTable[[#This Row],[Name]]&amp;OutputTable[[#This Row],[Type]]&amp;OutputTable[[#This Row],[Source]]</f>
        <v>Tener ArticulsoDesembalaje Number OutNumber OutProcess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12</v>
      </c>
      <c r="K156" s="5" cm="1">
        <f t="array" ref="K156">IFERROR(AVERAGE(IF((OutputTable[GroupByKey]=OutputTable[[#This Row],[GroupByKey]]),(OutputTable[GroupByKey]=OutputTable[[#This Row],[GroupByKey]])*OutputTable[RecordedValue])),0)</f>
        <v>65.083333333333329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4.2310182168734691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2.6882607215451362</v>
      </c>
      <c r="O156" s="5" cm="1">
        <f t="array" ref="O156">MIN(IF((OutputTable[GroupByKey]=OutputTable[[#This Row],[GroupByKey]]),(OutputTable[GroupByKey]=OutputTable[[#This Row],[GroupByKey]])*OutputTable[RecordedValue]))</f>
        <v>58</v>
      </c>
      <c r="P156" s="5" cm="1">
        <f t="array" ref="P156">MAX(IF((OutputTable[GroupByKey]=OutputTable[[#This Row],[GroupByKey]]),(OutputTable[GroupByKey]=OutputTable[[#This Row],[GroupByKey]])*OutputTable[RecordedValue]))</f>
        <v>69</v>
      </c>
    </row>
    <row r="157" spans="1:16" x14ac:dyDescent="0.25">
      <c r="A157" t="s">
        <v>68</v>
      </c>
      <c r="B157" t="s">
        <v>70</v>
      </c>
      <c r="C157">
        <v>8</v>
      </c>
      <c r="D157" t="s">
        <v>115</v>
      </c>
      <c r="E157" t="s">
        <v>110</v>
      </c>
      <c r="F157" t="s">
        <v>82</v>
      </c>
      <c r="G157">
        <v>1195.60883011186</v>
      </c>
      <c r="H157">
        <v>0</v>
      </c>
      <c r="I157" s="5" t="str">
        <f>OutputTable[[#This Row],[ProjectName]]&amp;OutputTable[[#This Row],[Name]]&amp;OutputTable[[#This Row],[Type]]&amp;OutputTable[[#This Row],[Source]]</f>
        <v>Tener ArticulsoOrganizar Accum VA TimeAccum VA TimeProcess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12</v>
      </c>
      <c r="K157" s="5" cm="1">
        <f t="array" ref="K157">IFERROR(AVERAGE(IF((OutputTable[GroupByKey]=OutputTable[[#This Row],[GroupByKey]]),(OutputTable[GroupByKey]=OutputTable[[#This Row],[GroupByKey]])*OutputTable[RecordedValue])),0)</f>
        <v>1181.2622276627176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50.899735842094827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32.340149247203939</v>
      </c>
      <c r="O157" s="5" cm="1">
        <f t="array" ref="O157">MIN(IF((OutputTable[GroupByKey]=OutputTable[[#This Row],[GroupByKey]]),(OutputTable[GroupByKey]=OutputTable[[#This Row],[GroupByKey]])*OutputTable[RecordedValue]))</f>
        <v>1106.0350367697699</v>
      </c>
      <c r="P157" s="5" cm="1">
        <f t="array" ref="P157">MAX(IF((OutputTable[GroupByKey]=OutputTable[[#This Row],[GroupByKey]]),(OutputTable[GroupByKey]=OutputTable[[#This Row],[GroupByKey]])*OutputTable[RecordedValue]))</f>
        <v>1255.97830087074</v>
      </c>
    </row>
    <row r="158" spans="1:16" x14ac:dyDescent="0.25">
      <c r="A158" t="s">
        <v>68</v>
      </c>
      <c r="B158" t="s">
        <v>70</v>
      </c>
      <c r="C158">
        <v>8</v>
      </c>
      <c r="D158" t="s">
        <v>116</v>
      </c>
      <c r="E158" t="s">
        <v>112</v>
      </c>
      <c r="F158" t="s">
        <v>82</v>
      </c>
      <c r="G158">
        <v>16007.2843587796</v>
      </c>
      <c r="H158">
        <v>0</v>
      </c>
      <c r="I158" s="5" t="str">
        <f>OutputTable[[#This Row],[ProjectName]]&amp;OutputTable[[#This Row],[Name]]&amp;OutputTable[[#This Row],[Type]]&amp;OutputTable[[#This Row],[Source]]</f>
        <v>Tener ArticulsoOrganizar Accum Wait TimeAccum Wait TimeProcess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12</v>
      </c>
      <c r="K158" s="5" cm="1">
        <f t="array" ref="K158">IFERROR(AVERAGE(IF((OutputTable[GroupByKey]=OutputTable[[#This Row],[GroupByKey]]),(OutputTable[GroupByKey]=OutputTable[[#This Row],[GroupByKey]])*OutputTable[RecordedValue])),0)</f>
        <v>14481.366678807759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2869.9645631781104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1823.4884871564914</v>
      </c>
      <c r="O158" s="5" cm="1">
        <f t="array" ref="O158">MIN(IF((OutputTable[GroupByKey]=OutputTable[[#This Row],[GroupByKey]]),(OutputTable[GroupByKey]=OutputTable[[#This Row],[GroupByKey]])*OutputTable[RecordedValue]))</f>
        <v>9643.84605851171</v>
      </c>
      <c r="P158" s="5" cm="1">
        <f t="array" ref="P158">MAX(IF((OutputTable[GroupByKey]=OutputTable[[#This Row],[GroupByKey]]),(OutputTable[GroupByKey]=OutputTable[[#This Row],[GroupByKey]])*OutputTable[RecordedValue]))</f>
        <v>18159.7018308675</v>
      </c>
    </row>
    <row r="159" spans="1:16" x14ac:dyDescent="0.25">
      <c r="A159" t="s">
        <v>68</v>
      </c>
      <c r="B159" t="s">
        <v>70</v>
      </c>
      <c r="C159">
        <v>8</v>
      </c>
      <c r="D159" t="s">
        <v>117</v>
      </c>
      <c r="E159" t="s">
        <v>104</v>
      </c>
      <c r="F159" t="s">
        <v>82</v>
      </c>
      <c r="G159">
        <v>813</v>
      </c>
      <c r="H159">
        <v>0</v>
      </c>
      <c r="I159" s="5" t="str">
        <f>OutputTable[[#This Row],[ProjectName]]&amp;OutputTable[[#This Row],[Name]]&amp;OutputTable[[#This Row],[Type]]&amp;OutputTable[[#This Row],[Source]]</f>
        <v>Tener ArticulsoOrganizar Number InNumber InProcess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12</v>
      </c>
      <c r="K159" s="5" cm="1">
        <f t="array" ref="K159">IFERROR(AVERAGE(IF((OutputTable[GroupByKey]=OutputTable[[#This Row],[GroupByKey]]),(OutputTable[GroupByKey]=OutputTable[[#This Row],[GroupByKey]])*OutputTable[RecordedValue])),0)</f>
        <v>794.91666666666663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34.394656914154915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21.853322409391229</v>
      </c>
      <c r="O159" s="5" cm="1">
        <f t="array" ref="O159">MIN(IF((OutputTable[GroupByKey]=OutputTable[[#This Row],[GroupByKey]]),(OutputTable[GroupByKey]=OutputTable[[#This Row],[GroupByKey]])*OutputTable[RecordedValue]))</f>
        <v>737</v>
      </c>
      <c r="P159" s="5" cm="1">
        <f t="array" ref="P159">MAX(IF((OutputTable[GroupByKey]=OutputTable[[#This Row],[GroupByKey]]),(OutputTable[GroupByKey]=OutputTable[[#This Row],[GroupByKey]])*OutputTable[RecordedValue]))</f>
        <v>841</v>
      </c>
    </row>
    <row r="160" spans="1:16" x14ac:dyDescent="0.25">
      <c r="A160" t="s">
        <v>68</v>
      </c>
      <c r="B160" t="s">
        <v>70</v>
      </c>
      <c r="C160">
        <v>8</v>
      </c>
      <c r="D160" t="s">
        <v>118</v>
      </c>
      <c r="E160" t="s">
        <v>106</v>
      </c>
      <c r="F160" t="s">
        <v>82</v>
      </c>
      <c r="G160">
        <v>791</v>
      </c>
      <c r="H160">
        <v>0</v>
      </c>
      <c r="I160" s="5" t="str">
        <f>OutputTable[[#This Row],[ProjectName]]&amp;OutputTable[[#This Row],[Name]]&amp;OutputTable[[#This Row],[Type]]&amp;OutputTable[[#This Row],[Source]]</f>
        <v>Tener ArticulsoOrganizar Number OutNumber OutProcess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12</v>
      </c>
      <c r="K160" s="5" cm="1">
        <f t="array" ref="K160">IFERROR(AVERAGE(IF((OutputTable[GroupByKey]=OutputTable[[#This Row],[GroupByKey]]),(OutputTable[GroupByKey]=OutputTable[[#This Row],[GroupByKey]])*OutputTable[RecordedValue])),0)</f>
        <v>786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32.741411087489801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20.80290012542233</v>
      </c>
      <c r="O160" s="5" cm="1">
        <f t="array" ref="O160">MIN(IF((OutputTable[GroupByKey]=OutputTable[[#This Row],[GroupByKey]]),(OutputTable[GroupByKey]=OutputTable[[#This Row],[GroupByKey]])*OutputTable[RecordedValue]))</f>
        <v>732</v>
      </c>
      <c r="P160" s="5" cm="1">
        <f t="array" ref="P160">MAX(IF((OutputTable[GroupByKey]=OutputTable[[#This Row],[GroupByKey]]),(OutputTable[GroupByKey]=OutputTable[[#This Row],[GroupByKey]])*OutputTable[RecordedValue]))</f>
        <v>829</v>
      </c>
    </row>
    <row r="161" spans="1:16" x14ac:dyDescent="0.25">
      <c r="A161" t="s">
        <v>68</v>
      </c>
      <c r="B161" t="s">
        <v>70</v>
      </c>
      <c r="C161">
        <v>8</v>
      </c>
      <c r="D161" t="s">
        <v>119</v>
      </c>
      <c r="E161" t="s">
        <v>110</v>
      </c>
      <c r="F161" t="s">
        <v>82</v>
      </c>
      <c r="G161">
        <v>1610.3179613770101</v>
      </c>
      <c r="H161">
        <v>0</v>
      </c>
      <c r="I161" s="5" t="str">
        <f>OutputTable[[#This Row],[ProjectName]]&amp;OutputTable[[#This Row],[Name]]&amp;OutputTable[[#This Row],[Type]]&amp;OutputTable[[#This Row],[Source]]</f>
        <v>Tener ArticulsoSacar Articulos Accum VA TimeAccum VA TimeProcess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12</v>
      </c>
      <c r="K161" s="5" cm="1">
        <f t="array" ref="K161">IFERROR(AVERAGE(IF((OutputTable[GroupByKey]=OutputTable[[#This Row],[GroupByKey]]),(OutputTable[GroupByKey]=OutputTable[[#This Row],[GroupByKey]])*OutputTable[RecordedValue])),0)</f>
        <v>1584.7600747574054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65.199632506816158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41.425870119928376</v>
      </c>
      <c r="O161" s="5" cm="1">
        <f t="array" ref="O161">MIN(IF((OutputTable[GroupByKey]=OutputTable[[#This Row],[GroupByKey]]),(OutputTable[GroupByKey]=OutputTable[[#This Row],[GroupByKey]])*OutputTable[RecordedValue]))</f>
        <v>1473.78349566985</v>
      </c>
      <c r="P161" s="5" cm="1">
        <f t="array" ref="P161">MAX(IF((OutputTable[GroupByKey]=OutputTable[[#This Row],[GroupByKey]]),(OutputTable[GroupByKey]=OutputTable[[#This Row],[GroupByKey]])*OutputTable[RecordedValue]))</f>
        <v>1673.21312485417</v>
      </c>
    </row>
    <row r="162" spans="1:16" x14ac:dyDescent="0.25">
      <c r="A162" t="s">
        <v>68</v>
      </c>
      <c r="B162" t="s">
        <v>70</v>
      </c>
      <c r="C162">
        <v>8</v>
      </c>
      <c r="D162" t="s">
        <v>120</v>
      </c>
      <c r="E162" t="s">
        <v>112</v>
      </c>
      <c r="F162" t="s">
        <v>82</v>
      </c>
      <c r="G162">
        <v>1175.0286834881799</v>
      </c>
      <c r="H162">
        <v>0</v>
      </c>
      <c r="I162" s="5" t="str">
        <f>OutputTable[[#This Row],[ProjectName]]&amp;OutputTable[[#This Row],[Name]]&amp;OutputTable[[#This Row],[Type]]&amp;OutputTable[[#This Row],[Source]]</f>
        <v>Tener ArticulsoSacar Articulos Accum Wait TimeAccum Wait TimeProcess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12</v>
      </c>
      <c r="K162" s="5" cm="1">
        <f t="array" ref="K162">IFERROR(AVERAGE(IF((OutputTable[GroupByKey]=OutputTable[[#This Row],[GroupByKey]]),(OutputTable[GroupByKey]=OutputTable[[#This Row],[GroupByKey]])*OutputTable[RecordedValue])),0)</f>
        <v>1151.8667665386067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58.761364856103697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37.335190015744239</v>
      </c>
      <c r="O162" s="5" cm="1">
        <f t="array" ref="O162">MIN(IF((OutputTable[GroupByKey]=OutputTable[[#This Row],[GroupByKey]]),(OutputTable[GroupByKey]=OutputTable[[#This Row],[GroupByKey]])*OutputTable[RecordedValue]))</f>
        <v>1064.4971115521701</v>
      </c>
      <c r="P162" s="5" cm="1">
        <f t="array" ref="P162">MAX(IF((OutputTable[GroupByKey]=OutputTable[[#This Row],[GroupByKey]]),(OutputTable[GroupByKey]=OutputTable[[#This Row],[GroupByKey]])*OutputTable[RecordedValue]))</f>
        <v>1232.84038930315</v>
      </c>
    </row>
    <row r="163" spans="1:16" x14ac:dyDescent="0.25">
      <c r="A163" t="s">
        <v>68</v>
      </c>
      <c r="B163" t="s">
        <v>70</v>
      </c>
      <c r="C163">
        <v>8</v>
      </c>
      <c r="D163" t="s">
        <v>121</v>
      </c>
      <c r="E163" t="s">
        <v>104</v>
      </c>
      <c r="F163" t="s">
        <v>82</v>
      </c>
      <c r="G163">
        <v>813</v>
      </c>
      <c r="H163">
        <v>0</v>
      </c>
      <c r="I163" s="5" t="str">
        <f>OutputTable[[#This Row],[ProjectName]]&amp;OutputTable[[#This Row],[Name]]&amp;OutputTable[[#This Row],[Type]]&amp;OutputTable[[#This Row],[Source]]</f>
        <v>Tener ArticulsoSacar Articulos Number InNumber InProcess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12</v>
      </c>
      <c r="K163" s="5" cm="1">
        <f t="array" ref="K163">IFERROR(AVERAGE(IF((OutputTable[GroupByKey]=OutputTable[[#This Row],[GroupByKey]]),(OutputTable[GroupByKey]=OutputTable[[#This Row],[GroupByKey]])*OutputTable[RecordedValue])),0)</f>
        <v>796.41666666666663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34.731328098924628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163" s="5" cm="1">
        <f t="array" ref="O163">MIN(IF((OutputTable[GroupByKey]=OutputTable[[#This Row],[GroupByKey]]),(OutputTable[GroupByKey]=OutputTable[[#This Row],[GroupByKey]])*OutputTable[RecordedValue]))</f>
        <v>737</v>
      </c>
      <c r="P163" s="5" cm="1">
        <f t="array" ref="P163">MAX(IF((OutputTable[GroupByKey]=OutputTable[[#This Row],[GroupByKey]]),(OutputTable[GroupByKey]=OutputTable[[#This Row],[GroupByKey]])*OutputTable[RecordedValue]))</f>
        <v>844</v>
      </c>
    </row>
    <row r="164" spans="1:16" x14ac:dyDescent="0.25">
      <c r="A164" t="s">
        <v>68</v>
      </c>
      <c r="B164" t="s">
        <v>70</v>
      </c>
      <c r="C164">
        <v>8</v>
      </c>
      <c r="D164" t="s">
        <v>122</v>
      </c>
      <c r="E164" t="s">
        <v>106</v>
      </c>
      <c r="F164" t="s">
        <v>82</v>
      </c>
      <c r="G164">
        <v>813</v>
      </c>
      <c r="H164">
        <v>0</v>
      </c>
      <c r="I164" s="5" t="str">
        <f>OutputTable[[#This Row],[ProjectName]]&amp;OutputTable[[#This Row],[Name]]&amp;OutputTable[[#This Row],[Type]]&amp;OutputTable[[#This Row],[Source]]</f>
        <v>Tener ArticulsoSacar Articulos Number OutNumber OutProcess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12</v>
      </c>
      <c r="K164" s="5" cm="1">
        <f t="array" ref="K164">IFERROR(AVERAGE(IF((OutputTable[GroupByKey]=OutputTable[[#This Row],[GroupByKey]]),(OutputTable[GroupByKey]=OutputTable[[#This Row],[GroupByKey]])*OutputTable[RecordedValue])),0)</f>
        <v>795.08333333333337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34.510758094287411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21.927089579910728</v>
      </c>
      <c r="O164" s="5" cm="1">
        <f t="array" ref="O164">MIN(IF((OutputTable[GroupByKey]=OutputTable[[#This Row],[GroupByKey]]),(OutputTable[GroupByKey]=OutputTable[[#This Row],[GroupByKey]])*OutputTable[RecordedValue]))</f>
        <v>737</v>
      </c>
      <c r="P164" s="5" cm="1">
        <f t="array" ref="P164">MAX(IF((OutputTable[GroupByKey]=OutputTable[[#This Row],[GroupByKey]]),(OutputTable[GroupByKey]=OutputTable[[#This Row],[GroupByKey]])*OutputTable[RecordedValue]))</f>
        <v>841</v>
      </c>
    </row>
    <row r="165" spans="1:16" x14ac:dyDescent="0.25">
      <c r="A165" t="s">
        <v>68</v>
      </c>
      <c r="B165" t="s">
        <v>70</v>
      </c>
      <c r="C165">
        <v>8</v>
      </c>
      <c r="D165" t="s">
        <v>123</v>
      </c>
      <c r="E165" t="s">
        <v>106</v>
      </c>
      <c r="F165" t="s">
        <v>124</v>
      </c>
      <c r="G165">
        <v>1137</v>
      </c>
      <c r="H165">
        <v>0</v>
      </c>
      <c r="I165" s="5" t="str">
        <f>OutputTable[[#This Row],[ProjectName]]&amp;OutputTable[[#This Row],[Name]]&amp;OutputTable[[#This Row],[Type]]&amp;OutputTable[[#This Row],[Source]]</f>
        <v>Tener ArticulsoSystem.NumberOutNumber OutSystem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12</v>
      </c>
      <c r="K165" s="5" cm="1">
        <f t="array" ref="K165">IFERROR(AVERAGE(IF((OutputTable[GroupByKey]=OutputTable[[#This Row],[GroupByKey]]),(OutputTable[GroupByKey]=OutputTable[[#This Row],[GroupByKey]])*OutputTable[RecordedValue])),0)</f>
        <v>1132.0833333333333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46.640712479614429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29.634094905050876</v>
      </c>
      <c r="O165" s="5" cm="1">
        <f t="array" ref="O165">MIN(IF((OutputTable[GroupByKey]=OutputTable[[#This Row],[GroupByKey]]),(OutputTable[GroupByKey]=OutputTable[[#This Row],[GroupByKey]])*OutputTable[RecordedValue]))</f>
        <v>1052</v>
      </c>
      <c r="P165" s="5" cm="1">
        <f t="array" ref="P165">MAX(IF((OutputTable[GroupByKey]=OutputTable[[#This Row],[GroupByKey]]),(OutputTable[GroupByKey]=OutputTable[[#This Row],[GroupByKey]])*OutputTable[RecordedValue]))</f>
        <v>1192</v>
      </c>
    </row>
    <row r="166" spans="1:16" x14ac:dyDescent="0.25">
      <c r="A166" t="s">
        <v>68</v>
      </c>
      <c r="B166" t="s">
        <v>70</v>
      </c>
      <c r="C166">
        <v>8</v>
      </c>
      <c r="D166" t="s">
        <v>125</v>
      </c>
      <c r="E166" t="s">
        <v>126</v>
      </c>
      <c r="F166" t="s">
        <v>99</v>
      </c>
      <c r="G166">
        <v>850</v>
      </c>
      <c r="H166">
        <v>0</v>
      </c>
      <c r="I166" s="5" t="str">
        <f>OutputTable[[#This Row],[ProjectName]]&amp;OutputTable[[#This Row],[Name]]&amp;OutputTable[[#This Row],[Type]]&amp;OutputTable[[#This Row],[Source]]</f>
        <v>Tener ArticulsorOrganizdor.NumberSeizedTotal Number SeizedResource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12</v>
      </c>
      <c r="K166" s="5" cm="1">
        <f t="array" ref="K166">IFERROR(AVERAGE(IF((OutputTable[GroupByKey]=OutputTable[[#This Row],[GroupByKey]]),(OutputTable[GroupByKey]=OutputTable[[#This Row],[GroupByKey]])*OutputTable[RecordedValue])),0)</f>
        <v>852.08333333333337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32.103407730002552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20.397532131659759</v>
      </c>
      <c r="O166" s="5" cm="1">
        <f t="array" ref="O166">MIN(IF((OutputTable[GroupByKey]=OutputTable[[#This Row],[GroupByKey]]),(OutputTable[GroupByKey]=OutputTable[[#This Row],[GroupByKey]])*OutputTable[RecordedValue]))</f>
        <v>800</v>
      </c>
      <c r="P166" s="5" cm="1">
        <f t="array" ref="P166">MAX(IF((OutputTable[GroupByKey]=OutputTable[[#This Row],[GroupByKey]]),(OutputTable[GroupByKey]=OutputTable[[#This Row],[GroupByKey]])*OutputTable[RecordedValue]))</f>
        <v>893</v>
      </c>
    </row>
    <row r="167" spans="1:16" x14ac:dyDescent="0.25">
      <c r="A167" t="s">
        <v>68</v>
      </c>
      <c r="B167" t="s">
        <v>70</v>
      </c>
      <c r="C167">
        <v>8</v>
      </c>
      <c r="D167" t="s">
        <v>127</v>
      </c>
      <c r="E167" t="s">
        <v>128</v>
      </c>
      <c r="F167" t="s">
        <v>99</v>
      </c>
      <c r="G167">
        <v>0.92216547893183298</v>
      </c>
      <c r="H167">
        <v>0</v>
      </c>
      <c r="I167" s="5" t="str">
        <f>OutputTable[[#This Row],[ProjectName]]&amp;OutputTable[[#This Row],[Name]]&amp;OutputTable[[#This Row],[Type]]&amp;OutputTable[[#This Row],[Source]]</f>
        <v>Tener ArticulsorOrganizdor.ScheduledUtilizationScheduled UtilizationResource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12</v>
      </c>
      <c r="K167" s="5" cm="1">
        <f t="array" ref="K167">IFERROR(AVERAGE(IF((OutputTable[GroupByKey]=OutputTable[[#This Row],[GroupByKey]]),(OutputTable[GroupByKey]=OutputTable[[#This Row],[GroupByKey]])*OutputTable[RecordedValue])),0)</f>
        <v>0.93693413710063267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3.0080475881637609E-2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1.9112222555672933E-2</v>
      </c>
      <c r="O167" s="5" cm="1">
        <f t="array" ref="O167">MIN(IF((OutputTable[GroupByKey]=OutputTable[[#This Row],[GroupByKey]]),(OutputTable[GroupByKey]=OutputTable[[#This Row],[GroupByKey]])*OutputTable[RecordedValue]))</f>
        <v>0.87408888428798603</v>
      </c>
      <c r="P167" s="5" cm="1">
        <f t="array" ref="P167">MAX(IF((OutputTable[GroupByKey]=OutputTable[[#This Row],[GroupByKey]]),(OutputTable[GroupByKey]=OutputTable[[#This Row],[GroupByKey]])*OutputTable[RecordedValue]))</f>
        <v>0.989515454392208</v>
      </c>
    </row>
    <row r="168" spans="1:16" x14ac:dyDescent="0.25">
      <c r="A168" t="s">
        <v>68</v>
      </c>
      <c r="B168" t="s">
        <v>70</v>
      </c>
      <c r="C168">
        <v>8</v>
      </c>
      <c r="D168" t="s">
        <v>129</v>
      </c>
      <c r="E168" t="s">
        <v>126</v>
      </c>
      <c r="F168" t="s">
        <v>99</v>
      </c>
      <c r="G168">
        <v>813</v>
      </c>
      <c r="H168">
        <v>0</v>
      </c>
      <c r="I168" s="5" t="str">
        <f>OutputTable[[#This Row],[ProjectName]]&amp;OutputTable[[#This Row],[Name]]&amp;OutputTable[[#This Row],[Type]]&amp;OutputTable[[#This Row],[Source]]</f>
        <v>Tener ArticulsorSacador.NumberSeizedTotal Number SeizedResource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12</v>
      </c>
      <c r="K168" s="5" cm="1">
        <f t="array" ref="K168">IFERROR(AVERAGE(IF((OutputTable[GroupByKey]=OutputTable[[#This Row],[GroupByKey]]),(OutputTable[GroupByKey]=OutputTable[[#This Row],[GroupByKey]])*OutputTable[RecordedValue])),0)</f>
        <v>795.66666666666663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34.623516268395946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21.998732705738043</v>
      </c>
      <c r="O168" s="5" cm="1">
        <f t="array" ref="O168">MIN(IF((OutputTable[GroupByKey]=OutputTable[[#This Row],[GroupByKey]]),(OutputTable[GroupByKey]=OutputTable[[#This Row],[GroupByKey]])*OutputTable[RecordedValue]))</f>
        <v>737</v>
      </c>
      <c r="P168" s="5" cm="1">
        <f t="array" ref="P168">MAX(IF((OutputTable[GroupByKey]=OutputTable[[#This Row],[GroupByKey]]),(OutputTable[GroupByKey]=OutputTable[[#This Row],[GroupByKey]])*OutputTable[RecordedValue]))</f>
        <v>842</v>
      </c>
    </row>
    <row r="169" spans="1:16" x14ac:dyDescent="0.25">
      <c r="A169" t="s">
        <v>68</v>
      </c>
      <c r="B169" t="s">
        <v>70</v>
      </c>
      <c r="C169">
        <v>8</v>
      </c>
      <c r="D169" t="s">
        <v>130</v>
      </c>
      <c r="E169" t="s">
        <v>128</v>
      </c>
      <c r="F169" t="s">
        <v>99</v>
      </c>
      <c r="G169">
        <v>0.76681807684619496</v>
      </c>
      <c r="H169">
        <v>0</v>
      </c>
      <c r="I169" s="5" t="str">
        <f>OutputTable[[#This Row],[ProjectName]]&amp;OutputTable[[#This Row],[Name]]&amp;OutputTable[[#This Row],[Type]]&amp;OutputTable[[#This Row],[Source]]</f>
        <v>Tener ArticulsorSacador.ScheduledUtilizationScheduled UtilizationResource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12</v>
      </c>
      <c r="K169" s="5" cm="1">
        <f t="array" ref="K169">IFERROR(AVERAGE(IF((OutputTable[GroupByKey]=OutputTable[[#This Row],[GroupByKey]]),(OutputTable[GroupByKey]=OutputTable[[#This Row],[GroupByKey]])*OutputTable[RecordedValue])),0)</f>
        <v>0.75499127770842467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3.0990673550046054E-2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1.9690534563658681E-2</v>
      </c>
      <c r="O169" s="5" cm="1">
        <f t="array" ref="O169">MIN(IF((OutputTable[GroupByKey]=OutputTable[[#This Row],[GroupByKey]]),(OutputTable[GroupByKey]=OutputTable[[#This Row],[GroupByKey]])*OutputTable[RecordedValue]))</f>
        <v>0.70281682687036895</v>
      </c>
      <c r="P169" s="5" cm="1">
        <f t="array" ref="P169">MAX(IF((OutputTable[GroupByKey]=OutputTable[[#This Row],[GroupByKey]]),(OutputTable[GroupByKey]=OutputTable[[#This Row],[GroupByKey]])*OutputTable[RecordedValue]))</f>
        <v>0.79676815469245998</v>
      </c>
    </row>
    <row r="170" spans="1:16" x14ac:dyDescent="0.25">
      <c r="A170" t="s">
        <v>68</v>
      </c>
      <c r="B170" t="s">
        <v>70</v>
      </c>
      <c r="C170">
        <v>9</v>
      </c>
      <c r="D170" t="s">
        <v>103</v>
      </c>
      <c r="E170" t="s">
        <v>104</v>
      </c>
      <c r="F170" t="s">
        <v>73</v>
      </c>
      <c r="G170">
        <v>795</v>
      </c>
      <c r="H170">
        <v>0</v>
      </c>
      <c r="I170" s="5" t="str">
        <f>OutputTable[[#This Row],[ProjectName]]&amp;OutputTable[[#This Row],[Name]]&amp;OutputTable[[#This Row],[Type]]&amp;OutputTable[[#This Row],[Source]]</f>
        <v>Tener ArticulsoArticulos.NumberInNumber InEntity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12</v>
      </c>
      <c r="K170" s="5" cm="1">
        <f t="array" ref="K170">IFERROR(AVERAGE(IF((OutputTable[GroupByKey]=OutputTable[[#This Row],[GroupByKey]]),(OutputTable[GroupByKey]=OutputTable[[#This Row],[GroupByKey]])*OutputTable[RecordedValue])),0)</f>
        <v>796.41666666666663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34.731328098924628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170" s="5" cm="1">
        <f t="array" ref="O170">MIN(IF((OutputTable[GroupByKey]=OutputTable[[#This Row],[GroupByKey]]),(OutputTable[GroupByKey]=OutputTable[[#This Row],[GroupByKey]])*OutputTable[RecordedValue]))</f>
        <v>737</v>
      </c>
      <c r="P170" s="5" cm="1">
        <f t="array" ref="P170">MAX(IF((OutputTable[GroupByKey]=OutputTable[[#This Row],[GroupByKey]]),(OutputTable[GroupByKey]=OutputTable[[#This Row],[GroupByKey]])*OutputTable[RecordedValue]))</f>
        <v>844</v>
      </c>
    </row>
    <row r="171" spans="1:16" x14ac:dyDescent="0.25">
      <c r="A171" t="s">
        <v>68</v>
      </c>
      <c r="B171" t="s">
        <v>70</v>
      </c>
      <c r="C171">
        <v>9</v>
      </c>
      <c r="D171" t="s">
        <v>105</v>
      </c>
      <c r="E171" t="s">
        <v>106</v>
      </c>
      <c r="F171" t="s">
        <v>73</v>
      </c>
      <c r="G171">
        <v>783</v>
      </c>
      <c r="H171">
        <v>0</v>
      </c>
      <c r="I171" s="5" t="str">
        <f>OutputTable[[#This Row],[ProjectName]]&amp;OutputTable[[#This Row],[Name]]&amp;OutputTable[[#This Row],[Type]]&amp;OutputTable[[#This Row],[Source]]</f>
        <v>Tener ArticulsoArticulos.NumberOutNumber OutEntity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12</v>
      </c>
      <c r="K171" s="5" cm="1">
        <f t="array" ref="K171">IFERROR(AVERAGE(IF((OutputTable[GroupByKey]=OutputTable[[#This Row],[GroupByKey]]),(OutputTable[GroupByKey]=OutputTable[[#This Row],[GroupByKey]])*OutputTable[RecordedValue])),0)</f>
        <v>783.16666666666663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31.541699191368682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20.040639553097002</v>
      </c>
      <c r="O171" s="5" cm="1">
        <f t="array" ref="O171">MIN(IF((OutputTable[GroupByKey]=OutputTable[[#This Row],[GroupByKey]]),(OutputTable[GroupByKey]=OutputTable[[#This Row],[GroupByKey]])*OutputTable[RecordedValue]))</f>
        <v>730</v>
      </c>
      <c r="P171" s="5" cm="1">
        <f t="array" ref="P171">MAX(IF((OutputTable[GroupByKey]=OutputTable[[#This Row],[GroupByKey]]),(OutputTable[GroupByKey]=OutputTable[[#This Row],[GroupByKey]])*OutputTable[RecordedValue]))</f>
        <v>826</v>
      </c>
    </row>
    <row r="172" spans="1:16" x14ac:dyDescent="0.25">
      <c r="A172" t="s">
        <v>68</v>
      </c>
      <c r="B172" t="s">
        <v>70</v>
      </c>
      <c r="C172">
        <v>9</v>
      </c>
      <c r="D172" t="s">
        <v>107</v>
      </c>
      <c r="E172" t="s">
        <v>104</v>
      </c>
      <c r="F172" t="s">
        <v>73</v>
      </c>
      <c r="G172">
        <v>1148</v>
      </c>
      <c r="H172">
        <v>0</v>
      </c>
      <c r="I172" s="5" t="str">
        <f>OutputTable[[#This Row],[ProjectName]]&amp;OutputTable[[#This Row],[Name]]&amp;OutputTable[[#This Row],[Type]]&amp;OutputTable[[#This Row],[Source]]</f>
        <v>Tener ArticulsoCarros.NumberInNumber InEntity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12</v>
      </c>
      <c r="K172" s="5" cm="1">
        <f t="array" ref="K172">IFERROR(AVERAGE(IF((OutputTable[GroupByKey]=OutputTable[[#This Row],[GroupByKey]]),(OutputTable[GroupByKey]=OutputTable[[#This Row],[GroupByKey]])*OutputTable[RecordedValue])),0)</f>
        <v>1145.9166666666667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49.73101891600696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31.597581939297463</v>
      </c>
      <c r="O172" s="5" cm="1">
        <f t="array" ref="O172">MIN(IF((OutputTable[GroupByKey]=OutputTable[[#This Row],[GroupByKey]]),(OutputTable[GroupByKey]=OutputTable[[#This Row],[GroupByKey]])*OutputTable[RecordedValue]))</f>
        <v>1059</v>
      </c>
      <c r="P172" s="5" cm="1">
        <f t="array" ref="P172">MAX(IF((OutputTable[GroupByKey]=OutputTable[[#This Row],[GroupByKey]]),(OutputTable[GroupByKey]=OutputTable[[#This Row],[GroupByKey]])*OutputTable[RecordedValue]))</f>
        <v>1210</v>
      </c>
    </row>
    <row r="173" spans="1:16" x14ac:dyDescent="0.25">
      <c r="A173" t="s">
        <v>68</v>
      </c>
      <c r="B173" t="s">
        <v>70</v>
      </c>
      <c r="C173">
        <v>9</v>
      </c>
      <c r="D173" t="s">
        <v>108</v>
      </c>
      <c r="E173" t="s">
        <v>106</v>
      </c>
      <c r="F173" t="s">
        <v>73</v>
      </c>
      <c r="G173">
        <v>1146</v>
      </c>
      <c r="H173">
        <v>0</v>
      </c>
      <c r="I173" s="5" t="str">
        <f>OutputTable[[#This Row],[ProjectName]]&amp;OutputTable[[#This Row],[Name]]&amp;OutputTable[[#This Row],[Type]]&amp;OutputTable[[#This Row],[Source]]</f>
        <v>Tener ArticulsoCarros.NumberOutNumber OutEntity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12</v>
      </c>
      <c r="K173" s="5" cm="1">
        <f t="array" ref="K173">IFERROR(AVERAGE(IF((OutputTable[GroupByKey]=OutputTable[[#This Row],[GroupByKey]]),(OutputTable[GroupByKey]=OutputTable[[#This Row],[GroupByKey]])*OutputTable[RecordedValue])),0)</f>
        <v>1145.3333333333333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49.816633464104832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31.651978827953357</v>
      </c>
      <c r="O173" s="5" cm="1">
        <f t="array" ref="O173">MIN(IF((OutputTable[GroupByKey]=OutputTable[[#This Row],[GroupByKey]]),(OutputTable[GroupByKey]=OutputTable[[#This Row],[GroupByKey]])*OutputTable[RecordedValue]))</f>
        <v>1059</v>
      </c>
      <c r="P173" s="5" cm="1">
        <f t="array" ref="P173">MAX(IF((OutputTable[GroupByKey]=OutputTable[[#This Row],[GroupByKey]]),(OutputTable[GroupByKey]=OutputTable[[#This Row],[GroupByKey]])*OutputTable[RecordedValue]))</f>
        <v>1210</v>
      </c>
    </row>
    <row r="174" spans="1:16" x14ac:dyDescent="0.25">
      <c r="A174" t="s">
        <v>68</v>
      </c>
      <c r="B174" t="s">
        <v>70</v>
      </c>
      <c r="C174">
        <v>9</v>
      </c>
      <c r="D174" t="s">
        <v>109</v>
      </c>
      <c r="E174" t="s">
        <v>110</v>
      </c>
      <c r="F174" t="s">
        <v>82</v>
      </c>
      <c r="G174">
        <v>830.69034218189302</v>
      </c>
      <c r="H174">
        <v>0</v>
      </c>
      <c r="I174" s="5" t="str">
        <f>OutputTable[[#This Row],[ProjectName]]&amp;OutputTable[[#This Row],[Name]]&amp;OutputTable[[#This Row],[Type]]&amp;OutputTable[[#This Row],[Source]]</f>
        <v>Tener ArticulsoDesembalaje Accum VA TimeAccum VA TimeProcess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12</v>
      </c>
      <c r="K174" s="5" cm="1">
        <f t="array" ref="K174">IFERROR(AVERAGE(IF((OutputTable[GroupByKey]=OutputTable[[#This Row],[GroupByKey]]),(OutputTable[GroupByKey]=OutputTable[[#This Row],[GroupByKey]])*OutputTable[RecordedValue])),0)</f>
        <v>783.216775239051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48.528923107513336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30.833806701313396</v>
      </c>
      <c r="O174" s="5" cm="1">
        <f t="array" ref="O174">MIN(IF((OutputTable[GroupByKey]=OutputTable[[#This Row],[GroupByKey]]),(OutputTable[GroupByKey]=OutputTable[[#This Row],[GroupByKey]])*OutputTable[RecordedValue]))</f>
        <v>678.52271145285295</v>
      </c>
      <c r="P174" s="5" cm="1">
        <f t="array" ref="P174">MAX(IF((OutputTable[GroupByKey]=OutputTable[[#This Row],[GroupByKey]]),(OutputTable[GroupByKey]=OutputTable[[#This Row],[GroupByKey]])*OutputTable[RecordedValue]))</f>
        <v>840.77730126549898</v>
      </c>
    </row>
    <row r="175" spans="1:16" x14ac:dyDescent="0.25">
      <c r="A175" t="s">
        <v>68</v>
      </c>
      <c r="B175" t="s">
        <v>70</v>
      </c>
      <c r="C175">
        <v>9</v>
      </c>
      <c r="D175" t="s">
        <v>111</v>
      </c>
      <c r="E175" t="s">
        <v>112</v>
      </c>
      <c r="F175" t="s">
        <v>82</v>
      </c>
      <c r="G175">
        <v>994.93232214051795</v>
      </c>
      <c r="H175">
        <v>0</v>
      </c>
      <c r="I175" s="5" t="str">
        <f>OutputTable[[#This Row],[ProjectName]]&amp;OutputTable[[#This Row],[Name]]&amp;OutputTable[[#This Row],[Type]]&amp;OutputTable[[#This Row],[Source]]</f>
        <v>Tener ArticulsoDesembalaje Accum Wait TimeAccum Wait TimeProcess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12</v>
      </c>
      <c r="K175" s="5" cm="1">
        <f t="array" ref="K175">IFERROR(AVERAGE(IF((OutputTable[GroupByKey]=OutputTable[[#This Row],[GroupByKey]]),(OutputTable[GroupByKey]=OutputTable[[#This Row],[GroupByKey]])*OutputTable[RecordedValue])),0)</f>
        <v>811.48948897731191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143.72351593510379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91.317565381747087</v>
      </c>
      <c r="O175" s="5" cm="1">
        <f t="array" ref="O175">MIN(IF((OutputTable[GroupByKey]=OutputTable[[#This Row],[GroupByKey]]),(OutputTable[GroupByKey]=OutputTable[[#This Row],[GroupByKey]])*OutputTable[RecordedValue]))</f>
        <v>546.46370972178704</v>
      </c>
      <c r="P175" s="5" cm="1">
        <f t="array" ref="P175">MAX(IF((OutputTable[GroupByKey]=OutputTable[[#This Row],[GroupByKey]]),(OutputTable[GroupByKey]=OutputTable[[#This Row],[GroupByKey]])*OutputTable[RecordedValue]))</f>
        <v>1012.863937084</v>
      </c>
    </row>
    <row r="176" spans="1:16" x14ac:dyDescent="0.25">
      <c r="A176" t="s">
        <v>68</v>
      </c>
      <c r="B176" t="s">
        <v>70</v>
      </c>
      <c r="C176">
        <v>9</v>
      </c>
      <c r="D176" t="s">
        <v>113</v>
      </c>
      <c r="E176" t="s">
        <v>104</v>
      </c>
      <c r="F176" t="s">
        <v>82</v>
      </c>
      <c r="G176">
        <v>69</v>
      </c>
      <c r="H176">
        <v>0</v>
      </c>
      <c r="I176" s="5" t="str">
        <f>OutputTable[[#This Row],[ProjectName]]&amp;OutputTable[[#This Row],[Name]]&amp;OutputTable[[#This Row],[Type]]&amp;OutputTable[[#This Row],[Source]]</f>
        <v>Tener ArticulsoDesembalaje Number InNumber InProcess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12</v>
      </c>
      <c r="K176" s="5" cm="1">
        <f t="array" ref="K176">IFERROR(AVERAGE(IF((OutputTable[GroupByKey]=OutputTable[[#This Row],[GroupByKey]]),(OutputTable[GroupByKey]=OutputTable[[#This Row],[GroupByKey]])*OutputTable[RecordedValue])),0)</f>
        <v>66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4.1560470729681676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2.640626329283204</v>
      </c>
      <c r="O176" s="5" cm="1">
        <f t="array" ref="O176">MIN(IF((OutputTable[GroupByKey]=OutputTable[[#This Row],[GroupByKey]]),(OutputTable[GroupByKey]=OutputTable[[#This Row],[GroupByKey]])*OutputTable[RecordedValue]))</f>
        <v>59</v>
      </c>
      <c r="P176" s="5" cm="1">
        <f t="array" ref="P176">MAX(IF((OutputTable[GroupByKey]=OutputTable[[#This Row],[GroupByKey]]),(OutputTable[GroupByKey]=OutputTable[[#This Row],[GroupByKey]])*OutputTable[RecordedValue]))</f>
        <v>70</v>
      </c>
    </row>
    <row r="177" spans="1:16" x14ac:dyDescent="0.25">
      <c r="A177" t="s">
        <v>68</v>
      </c>
      <c r="B177" t="s">
        <v>70</v>
      </c>
      <c r="C177">
        <v>9</v>
      </c>
      <c r="D177" t="s">
        <v>114</v>
      </c>
      <c r="E177" t="s">
        <v>106</v>
      </c>
      <c r="F177" t="s">
        <v>82</v>
      </c>
      <c r="G177">
        <v>69</v>
      </c>
      <c r="H177">
        <v>0</v>
      </c>
      <c r="I177" s="5" t="str">
        <f>OutputTable[[#This Row],[ProjectName]]&amp;OutputTable[[#This Row],[Name]]&amp;OutputTable[[#This Row],[Type]]&amp;OutputTable[[#This Row],[Source]]</f>
        <v>Tener ArticulsoDesembalaje Number OutNumber OutProcess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12</v>
      </c>
      <c r="K177" s="5" cm="1">
        <f t="array" ref="K177">IFERROR(AVERAGE(IF((OutputTable[GroupByKey]=OutputTable[[#This Row],[GroupByKey]]),(OutputTable[GroupByKey]=OutputTable[[#This Row],[GroupByKey]])*OutputTable[RecordedValue])),0)</f>
        <v>65.083333333333329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4.2310182168734691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2.6882607215451362</v>
      </c>
      <c r="O177" s="5" cm="1">
        <f t="array" ref="O177">MIN(IF((OutputTable[GroupByKey]=OutputTable[[#This Row],[GroupByKey]]),(OutputTable[GroupByKey]=OutputTable[[#This Row],[GroupByKey]])*OutputTable[RecordedValue]))</f>
        <v>58</v>
      </c>
      <c r="P177" s="5" cm="1">
        <f t="array" ref="P177">MAX(IF((OutputTable[GroupByKey]=OutputTable[[#This Row],[GroupByKey]]),(OutputTable[GroupByKey]=OutputTable[[#This Row],[GroupByKey]])*OutputTable[RecordedValue]))</f>
        <v>69</v>
      </c>
    </row>
    <row r="178" spans="1:16" x14ac:dyDescent="0.25">
      <c r="A178" t="s">
        <v>68</v>
      </c>
      <c r="B178" t="s">
        <v>70</v>
      </c>
      <c r="C178">
        <v>9</v>
      </c>
      <c r="D178" t="s">
        <v>115</v>
      </c>
      <c r="E178" t="s">
        <v>110</v>
      </c>
      <c r="F178" t="s">
        <v>82</v>
      </c>
      <c r="G178">
        <v>1176.04937783427</v>
      </c>
      <c r="H178">
        <v>0</v>
      </c>
      <c r="I178" s="5" t="str">
        <f>OutputTable[[#This Row],[ProjectName]]&amp;OutputTable[[#This Row],[Name]]&amp;OutputTable[[#This Row],[Type]]&amp;OutputTable[[#This Row],[Source]]</f>
        <v>Tener ArticulsoOrganizar Accum VA TimeAccum VA TimeProcess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12</v>
      </c>
      <c r="K178" s="5" cm="1">
        <f t="array" ref="K178">IFERROR(AVERAGE(IF((OutputTable[GroupByKey]=OutputTable[[#This Row],[GroupByKey]]),(OutputTable[GroupByKey]=OutputTable[[#This Row],[GroupByKey]])*OutputTable[RecordedValue])),0)</f>
        <v>1181.2622276627176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50.899735842094827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32.340149247203939</v>
      </c>
      <c r="O178" s="5" cm="1">
        <f t="array" ref="O178">MIN(IF((OutputTable[GroupByKey]=OutputTable[[#This Row],[GroupByKey]]),(OutputTable[GroupByKey]=OutputTable[[#This Row],[GroupByKey]])*OutputTable[RecordedValue]))</f>
        <v>1106.0350367697699</v>
      </c>
      <c r="P178" s="5" cm="1">
        <f t="array" ref="P178">MAX(IF((OutputTable[GroupByKey]=OutputTable[[#This Row],[GroupByKey]]),(OutputTable[GroupByKey]=OutputTable[[#This Row],[GroupByKey]])*OutputTable[RecordedValue]))</f>
        <v>1255.97830087074</v>
      </c>
    </row>
    <row r="179" spans="1:16" x14ac:dyDescent="0.25">
      <c r="A179" t="s">
        <v>68</v>
      </c>
      <c r="B179" t="s">
        <v>70</v>
      </c>
      <c r="C179">
        <v>9</v>
      </c>
      <c r="D179" t="s">
        <v>116</v>
      </c>
      <c r="E179" t="s">
        <v>112</v>
      </c>
      <c r="F179" t="s">
        <v>82</v>
      </c>
      <c r="G179">
        <v>17711.3879390334</v>
      </c>
      <c r="H179">
        <v>0</v>
      </c>
      <c r="I179" s="5" t="str">
        <f>OutputTable[[#This Row],[ProjectName]]&amp;OutputTable[[#This Row],[Name]]&amp;OutputTable[[#This Row],[Type]]&amp;OutputTable[[#This Row],[Source]]</f>
        <v>Tener ArticulsoOrganizar Accum Wait TimeAccum Wait TimeProcess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12</v>
      </c>
      <c r="K179" s="5" cm="1">
        <f t="array" ref="K179">IFERROR(AVERAGE(IF((OutputTable[GroupByKey]=OutputTable[[#This Row],[GroupByKey]]),(OutputTable[GroupByKey]=OutputTable[[#This Row],[GroupByKey]])*OutputTable[RecordedValue])),0)</f>
        <v>14481.366678807759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2869.9645631781104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1823.4884871564914</v>
      </c>
      <c r="O179" s="5" cm="1">
        <f t="array" ref="O179">MIN(IF((OutputTable[GroupByKey]=OutputTable[[#This Row],[GroupByKey]]),(OutputTable[GroupByKey]=OutputTable[[#This Row],[GroupByKey]])*OutputTable[RecordedValue]))</f>
        <v>9643.84605851171</v>
      </c>
      <c r="P179" s="5" cm="1">
        <f t="array" ref="P179">MAX(IF((OutputTable[GroupByKey]=OutputTable[[#This Row],[GroupByKey]]),(OutputTable[GroupByKey]=OutputTable[[#This Row],[GroupByKey]])*OutputTable[RecordedValue]))</f>
        <v>18159.7018308675</v>
      </c>
    </row>
    <row r="180" spans="1:16" x14ac:dyDescent="0.25">
      <c r="A180" t="s">
        <v>68</v>
      </c>
      <c r="B180" t="s">
        <v>70</v>
      </c>
      <c r="C180">
        <v>9</v>
      </c>
      <c r="D180" t="s">
        <v>117</v>
      </c>
      <c r="E180" t="s">
        <v>104</v>
      </c>
      <c r="F180" t="s">
        <v>82</v>
      </c>
      <c r="G180">
        <v>793</v>
      </c>
      <c r="H180">
        <v>0</v>
      </c>
      <c r="I180" s="5" t="str">
        <f>OutputTable[[#This Row],[ProjectName]]&amp;OutputTable[[#This Row],[Name]]&amp;OutputTable[[#This Row],[Type]]&amp;OutputTable[[#This Row],[Source]]</f>
        <v>Tener ArticulsoOrganizar Number InNumber InProcess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12</v>
      </c>
      <c r="K180" s="5" cm="1">
        <f t="array" ref="K180">IFERROR(AVERAGE(IF((OutputTable[GroupByKey]=OutputTable[[#This Row],[GroupByKey]]),(OutputTable[GroupByKey]=OutputTable[[#This Row],[GroupByKey]])*OutputTable[RecordedValue])),0)</f>
        <v>794.91666666666663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34.394656914154915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21.853322409391229</v>
      </c>
      <c r="O180" s="5" cm="1">
        <f t="array" ref="O180">MIN(IF((OutputTable[GroupByKey]=OutputTable[[#This Row],[GroupByKey]]),(OutputTable[GroupByKey]=OutputTable[[#This Row],[GroupByKey]])*OutputTable[RecordedValue]))</f>
        <v>737</v>
      </c>
      <c r="P180" s="5" cm="1">
        <f t="array" ref="P180">MAX(IF((OutputTable[GroupByKey]=OutputTable[[#This Row],[GroupByKey]]),(OutputTable[GroupByKey]=OutputTable[[#This Row],[GroupByKey]])*OutputTable[RecordedValue]))</f>
        <v>841</v>
      </c>
    </row>
    <row r="181" spans="1:16" x14ac:dyDescent="0.25">
      <c r="A181" t="s">
        <v>68</v>
      </c>
      <c r="B181" t="s">
        <v>70</v>
      </c>
      <c r="C181">
        <v>9</v>
      </c>
      <c r="D181" t="s">
        <v>118</v>
      </c>
      <c r="E181" t="s">
        <v>106</v>
      </c>
      <c r="F181" t="s">
        <v>82</v>
      </c>
      <c r="G181">
        <v>783</v>
      </c>
      <c r="H181">
        <v>0</v>
      </c>
      <c r="I181" s="5" t="str">
        <f>OutputTable[[#This Row],[ProjectName]]&amp;OutputTable[[#This Row],[Name]]&amp;OutputTable[[#This Row],[Type]]&amp;OutputTable[[#This Row],[Source]]</f>
        <v>Tener ArticulsoOrganizar Number OutNumber OutProcess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12</v>
      </c>
      <c r="K181" s="5" cm="1">
        <f t="array" ref="K181">IFERROR(AVERAGE(IF((OutputTable[GroupByKey]=OutputTable[[#This Row],[GroupByKey]]),(OutputTable[GroupByKey]=OutputTable[[#This Row],[GroupByKey]])*OutputTable[RecordedValue])),0)</f>
        <v>786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32.741411087489801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20.80290012542233</v>
      </c>
      <c r="O181" s="5" cm="1">
        <f t="array" ref="O181">MIN(IF((OutputTable[GroupByKey]=OutputTable[[#This Row],[GroupByKey]]),(OutputTable[GroupByKey]=OutputTable[[#This Row],[GroupByKey]])*OutputTable[RecordedValue]))</f>
        <v>732</v>
      </c>
      <c r="P181" s="5" cm="1">
        <f t="array" ref="P181">MAX(IF((OutputTable[GroupByKey]=OutputTable[[#This Row],[GroupByKey]]),(OutputTable[GroupByKey]=OutputTable[[#This Row],[GroupByKey]])*OutputTable[RecordedValue]))</f>
        <v>829</v>
      </c>
    </row>
    <row r="182" spans="1:16" x14ac:dyDescent="0.25">
      <c r="A182" t="s">
        <v>68</v>
      </c>
      <c r="B182" t="s">
        <v>70</v>
      </c>
      <c r="C182">
        <v>9</v>
      </c>
      <c r="D182" t="s">
        <v>119</v>
      </c>
      <c r="E182" t="s">
        <v>110</v>
      </c>
      <c r="F182" t="s">
        <v>82</v>
      </c>
      <c r="G182">
        <v>1546.3373965079199</v>
      </c>
      <c r="H182">
        <v>0</v>
      </c>
      <c r="I182" s="5" t="str">
        <f>OutputTable[[#This Row],[ProjectName]]&amp;OutputTable[[#This Row],[Name]]&amp;OutputTable[[#This Row],[Type]]&amp;OutputTable[[#This Row],[Source]]</f>
        <v>Tener ArticulsoSacar Articulos Accum VA TimeAccum VA TimeProcess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12</v>
      </c>
      <c r="K182" s="5" cm="1">
        <f t="array" ref="K182">IFERROR(AVERAGE(IF((OutputTable[GroupByKey]=OutputTable[[#This Row],[GroupByKey]]),(OutputTable[GroupByKey]=OutputTable[[#This Row],[GroupByKey]])*OutputTable[RecordedValue])),0)</f>
        <v>1584.7600747574054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65.199632506816158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41.425870119928376</v>
      </c>
      <c r="O182" s="5" cm="1">
        <f t="array" ref="O182">MIN(IF((OutputTable[GroupByKey]=OutputTable[[#This Row],[GroupByKey]]),(OutputTable[GroupByKey]=OutputTable[[#This Row],[GroupByKey]])*OutputTable[RecordedValue]))</f>
        <v>1473.78349566985</v>
      </c>
      <c r="P182" s="5" cm="1">
        <f t="array" ref="P182">MAX(IF((OutputTable[GroupByKey]=OutputTable[[#This Row],[GroupByKey]]),(OutputTable[GroupByKey]=OutputTable[[#This Row],[GroupByKey]])*OutputTable[RecordedValue]))</f>
        <v>1673.21312485417</v>
      </c>
    </row>
    <row r="183" spans="1:16" x14ac:dyDescent="0.25">
      <c r="A183" t="s">
        <v>68</v>
      </c>
      <c r="B183" t="s">
        <v>70</v>
      </c>
      <c r="C183">
        <v>9</v>
      </c>
      <c r="D183" t="s">
        <v>120</v>
      </c>
      <c r="E183" t="s">
        <v>112</v>
      </c>
      <c r="F183" t="s">
        <v>82</v>
      </c>
      <c r="G183">
        <v>1127.3318804620001</v>
      </c>
      <c r="H183">
        <v>0</v>
      </c>
      <c r="I183" s="5" t="str">
        <f>OutputTable[[#This Row],[ProjectName]]&amp;OutputTable[[#This Row],[Name]]&amp;OutputTable[[#This Row],[Type]]&amp;OutputTable[[#This Row],[Source]]</f>
        <v>Tener ArticulsoSacar Articulos Accum Wait TimeAccum Wait TimeProcess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12</v>
      </c>
      <c r="K183" s="5" cm="1">
        <f t="array" ref="K183">IFERROR(AVERAGE(IF((OutputTable[GroupByKey]=OutputTable[[#This Row],[GroupByKey]]),(OutputTable[GroupByKey]=OutputTable[[#This Row],[GroupByKey]])*OutputTable[RecordedValue])),0)</f>
        <v>1151.8667665386067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58.761364856103697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37.335190015744239</v>
      </c>
      <c r="O183" s="5" cm="1">
        <f t="array" ref="O183">MIN(IF((OutputTable[GroupByKey]=OutputTable[[#This Row],[GroupByKey]]),(OutputTable[GroupByKey]=OutputTable[[#This Row],[GroupByKey]])*OutputTable[RecordedValue]))</f>
        <v>1064.4971115521701</v>
      </c>
      <c r="P183" s="5" cm="1">
        <f t="array" ref="P183">MAX(IF((OutputTable[GroupByKey]=OutputTable[[#This Row],[GroupByKey]]),(OutputTable[GroupByKey]=OutputTable[[#This Row],[GroupByKey]])*OutputTable[RecordedValue]))</f>
        <v>1232.84038930315</v>
      </c>
    </row>
    <row r="184" spans="1:16" x14ac:dyDescent="0.25">
      <c r="A184" t="s">
        <v>68</v>
      </c>
      <c r="B184" t="s">
        <v>70</v>
      </c>
      <c r="C184">
        <v>9</v>
      </c>
      <c r="D184" t="s">
        <v>121</v>
      </c>
      <c r="E184" t="s">
        <v>104</v>
      </c>
      <c r="F184" t="s">
        <v>82</v>
      </c>
      <c r="G184">
        <v>795</v>
      </c>
      <c r="H184">
        <v>0</v>
      </c>
      <c r="I184" s="5" t="str">
        <f>OutputTable[[#This Row],[ProjectName]]&amp;OutputTable[[#This Row],[Name]]&amp;OutputTable[[#This Row],[Type]]&amp;OutputTable[[#This Row],[Source]]</f>
        <v>Tener ArticulsoSacar Articulos Number InNumber InProcess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12</v>
      </c>
      <c r="K184" s="5" cm="1">
        <f t="array" ref="K184">IFERROR(AVERAGE(IF((OutputTable[GroupByKey]=OutputTable[[#This Row],[GroupByKey]]),(OutputTable[GroupByKey]=OutputTable[[#This Row],[GroupByKey]])*OutputTable[RecordedValue])),0)</f>
        <v>796.41666666666663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34.731328098924628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184" s="5" cm="1">
        <f t="array" ref="O184">MIN(IF((OutputTable[GroupByKey]=OutputTable[[#This Row],[GroupByKey]]),(OutputTable[GroupByKey]=OutputTable[[#This Row],[GroupByKey]])*OutputTable[RecordedValue]))</f>
        <v>737</v>
      </c>
      <c r="P184" s="5" cm="1">
        <f t="array" ref="P184">MAX(IF((OutputTable[GroupByKey]=OutputTable[[#This Row],[GroupByKey]]),(OutputTable[GroupByKey]=OutputTable[[#This Row],[GroupByKey]])*OutputTable[RecordedValue]))</f>
        <v>844</v>
      </c>
    </row>
    <row r="185" spans="1:16" x14ac:dyDescent="0.25">
      <c r="A185" t="s">
        <v>68</v>
      </c>
      <c r="B185" t="s">
        <v>70</v>
      </c>
      <c r="C185">
        <v>9</v>
      </c>
      <c r="D185" t="s">
        <v>122</v>
      </c>
      <c r="E185" t="s">
        <v>106</v>
      </c>
      <c r="F185" t="s">
        <v>82</v>
      </c>
      <c r="G185">
        <v>793</v>
      </c>
      <c r="H185">
        <v>0</v>
      </c>
      <c r="I185" s="5" t="str">
        <f>OutputTable[[#This Row],[ProjectName]]&amp;OutputTable[[#This Row],[Name]]&amp;OutputTable[[#This Row],[Type]]&amp;OutputTable[[#This Row],[Source]]</f>
        <v>Tener ArticulsoSacar Articulos Number OutNumber OutProcess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12</v>
      </c>
      <c r="K185" s="5" cm="1">
        <f t="array" ref="K185">IFERROR(AVERAGE(IF((OutputTable[GroupByKey]=OutputTable[[#This Row],[GroupByKey]]),(OutputTable[GroupByKey]=OutputTable[[#This Row],[GroupByKey]])*OutputTable[RecordedValue])),0)</f>
        <v>795.08333333333337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34.510758094287411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21.927089579910728</v>
      </c>
      <c r="O185" s="5" cm="1">
        <f t="array" ref="O185">MIN(IF((OutputTable[GroupByKey]=OutputTable[[#This Row],[GroupByKey]]),(OutputTable[GroupByKey]=OutputTable[[#This Row],[GroupByKey]])*OutputTable[RecordedValue]))</f>
        <v>737</v>
      </c>
      <c r="P185" s="5" cm="1">
        <f t="array" ref="P185">MAX(IF((OutputTable[GroupByKey]=OutputTable[[#This Row],[GroupByKey]]),(OutputTable[GroupByKey]=OutputTable[[#This Row],[GroupByKey]])*OutputTable[RecordedValue]))</f>
        <v>841</v>
      </c>
    </row>
    <row r="186" spans="1:16" x14ac:dyDescent="0.25">
      <c r="A186" t="s">
        <v>68</v>
      </c>
      <c r="B186" t="s">
        <v>70</v>
      </c>
      <c r="C186">
        <v>9</v>
      </c>
      <c r="D186" t="s">
        <v>123</v>
      </c>
      <c r="E186" t="s">
        <v>106</v>
      </c>
      <c r="F186" t="s">
        <v>124</v>
      </c>
      <c r="G186">
        <v>1134</v>
      </c>
      <c r="H186">
        <v>0</v>
      </c>
      <c r="I186" s="5" t="str">
        <f>OutputTable[[#This Row],[ProjectName]]&amp;OutputTable[[#This Row],[Name]]&amp;OutputTable[[#This Row],[Type]]&amp;OutputTable[[#This Row],[Source]]</f>
        <v>Tener ArticulsoSystem.NumberOutNumber OutSystem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12</v>
      </c>
      <c r="K186" s="5" cm="1">
        <f t="array" ref="K186">IFERROR(AVERAGE(IF((OutputTable[GroupByKey]=OutputTable[[#This Row],[GroupByKey]]),(OutputTable[GroupByKey]=OutputTable[[#This Row],[GroupByKey]])*OutputTable[RecordedValue])),0)</f>
        <v>1132.0833333333333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46.640712479614429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29.634094905050876</v>
      </c>
      <c r="O186" s="5" cm="1">
        <f t="array" ref="O186">MIN(IF((OutputTable[GroupByKey]=OutputTable[[#This Row],[GroupByKey]]),(OutputTable[GroupByKey]=OutputTable[[#This Row],[GroupByKey]])*OutputTable[RecordedValue]))</f>
        <v>1052</v>
      </c>
      <c r="P186" s="5" cm="1">
        <f t="array" ref="P186">MAX(IF((OutputTable[GroupByKey]=OutputTable[[#This Row],[GroupByKey]]),(OutputTable[GroupByKey]=OutputTable[[#This Row],[GroupByKey]])*OutputTable[RecordedValue]))</f>
        <v>1192</v>
      </c>
    </row>
    <row r="187" spans="1:16" x14ac:dyDescent="0.25">
      <c r="A187" t="s">
        <v>68</v>
      </c>
      <c r="B187" t="s">
        <v>70</v>
      </c>
      <c r="C187">
        <v>9</v>
      </c>
      <c r="D187" t="s">
        <v>125</v>
      </c>
      <c r="E187" t="s">
        <v>126</v>
      </c>
      <c r="F187" t="s">
        <v>99</v>
      </c>
      <c r="G187">
        <v>853</v>
      </c>
      <c r="H187">
        <v>0</v>
      </c>
      <c r="I187" s="5" t="str">
        <f>OutputTable[[#This Row],[ProjectName]]&amp;OutputTable[[#This Row],[Name]]&amp;OutputTable[[#This Row],[Type]]&amp;OutputTable[[#This Row],[Source]]</f>
        <v>Tener ArticulsorOrganizdor.NumberSeizedTotal Number SeizedResource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12</v>
      </c>
      <c r="K187" s="5" cm="1">
        <f t="array" ref="K187">IFERROR(AVERAGE(IF((OutputTable[GroupByKey]=OutputTable[[#This Row],[GroupByKey]]),(OutputTable[GroupByKey]=OutputTable[[#This Row],[GroupByKey]])*OutputTable[RecordedValue])),0)</f>
        <v>852.08333333333337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32.103407730002552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20.397532131659759</v>
      </c>
      <c r="O187" s="5" cm="1">
        <f t="array" ref="O187">MIN(IF((OutputTable[GroupByKey]=OutputTable[[#This Row],[GroupByKey]]),(OutputTable[GroupByKey]=OutputTable[[#This Row],[GroupByKey]])*OutputTable[RecordedValue]))</f>
        <v>800</v>
      </c>
      <c r="P187" s="5" cm="1">
        <f t="array" ref="P187">MAX(IF((OutputTable[GroupByKey]=OutputTable[[#This Row],[GroupByKey]]),(OutputTable[GroupByKey]=OutputTable[[#This Row],[GroupByKey]])*OutputTable[RecordedValue]))</f>
        <v>893</v>
      </c>
    </row>
    <row r="188" spans="1:16" x14ac:dyDescent="0.25">
      <c r="A188" t="s">
        <v>68</v>
      </c>
      <c r="B188" t="s">
        <v>70</v>
      </c>
      <c r="C188">
        <v>9</v>
      </c>
      <c r="D188" t="s">
        <v>127</v>
      </c>
      <c r="E188" t="s">
        <v>128</v>
      </c>
      <c r="F188" t="s">
        <v>99</v>
      </c>
      <c r="G188">
        <v>0.95576822242497705</v>
      </c>
      <c r="H188">
        <v>0</v>
      </c>
      <c r="I188" s="5" t="str">
        <f>OutputTable[[#This Row],[ProjectName]]&amp;OutputTable[[#This Row],[Name]]&amp;OutputTable[[#This Row],[Type]]&amp;OutputTable[[#This Row],[Source]]</f>
        <v>Tener ArticulsorOrganizdor.ScheduledUtilizationScheduled UtilizationResource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12</v>
      </c>
      <c r="K188" s="5" cm="1">
        <f t="array" ref="K188">IFERROR(AVERAGE(IF((OutputTable[GroupByKey]=OutputTable[[#This Row],[GroupByKey]]),(OutputTable[GroupByKey]=OutputTable[[#This Row],[GroupByKey]])*OutputTable[RecordedValue])),0)</f>
        <v>0.93693413710063267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3.0080475881637609E-2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1.9112222555672933E-2</v>
      </c>
      <c r="O188" s="5" cm="1">
        <f t="array" ref="O188">MIN(IF((OutputTable[GroupByKey]=OutputTable[[#This Row],[GroupByKey]]),(OutputTable[GroupByKey]=OutputTable[[#This Row],[GroupByKey]])*OutputTable[RecordedValue]))</f>
        <v>0.87408888428798603</v>
      </c>
      <c r="P188" s="5" cm="1">
        <f t="array" ref="P188">MAX(IF((OutputTable[GroupByKey]=OutputTable[[#This Row],[GroupByKey]]),(OutputTable[GroupByKey]=OutputTable[[#This Row],[GroupByKey]])*OutputTable[RecordedValue]))</f>
        <v>0.989515454392208</v>
      </c>
    </row>
    <row r="189" spans="1:16" x14ac:dyDescent="0.25">
      <c r="A189" t="s">
        <v>68</v>
      </c>
      <c r="B189" t="s">
        <v>70</v>
      </c>
      <c r="C189">
        <v>9</v>
      </c>
      <c r="D189" t="s">
        <v>129</v>
      </c>
      <c r="E189" t="s">
        <v>126</v>
      </c>
      <c r="F189" t="s">
        <v>99</v>
      </c>
      <c r="G189">
        <v>794</v>
      </c>
      <c r="H189">
        <v>0</v>
      </c>
      <c r="I189" s="5" t="str">
        <f>OutputTable[[#This Row],[ProjectName]]&amp;OutputTable[[#This Row],[Name]]&amp;OutputTable[[#This Row],[Type]]&amp;OutputTable[[#This Row],[Source]]</f>
        <v>Tener ArticulsorSacador.NumberSeizedTotal Number SeizedResource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12</v>
      </c>
      <c r="K189" s="5" cm="1">
        <f t="array" ref="K189">IFERROR(AVERAGE(IF((OutputTable[GroupByKey]=OutputTable[[#This Row],[GroupByKey]]),(OutputTable[GroupByKey]=OutputTable[[#This Row],[GroupByKey]])*OutputTable[RecordedValue])),0)</f>
        <v>795.66666666666663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34.623516268395946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21.998732705738043</v>
      </c>
      <c r="O189" s="5" cm="1">
        <f t="array" ref="O189">MIN(IF((OutputTable[GroupByKey]=OutputTable[[#This Row],[GroupByKey]]),(OutputTable[GroupByKey]=OutputTable[[#This Row],[GroupByKey]])*OutputTable[RecordedValue]))</f>
        <v>737</v>
      </c>
      <c r="P189" s="5" cm="1">
        <f t="array" ref="P189">MAX(IF((OutputTable[GroupByKey]=OutputTable[[#This Row],[GroupByKey]]),(OutputTable[GroupByKey]=OutputTable[[#This Row],[GroupByKey]])*OutputTable[RecordedValue]))</f>
        <v>842</v>
      </c>
    </row>
    <row r="190" spans="1:16" x14ac:dyDescent="0.25">
      <c r="A190" t="s">
        <v>68</v>
      </c>
      <c r="B190" t="s">
        <v>70</v>
      </c>
      <c r="C190">
        <v>9</v>
      </c>
      <c r="D190" t="s">
        <v>130</v>
      </c>
      <c r="E190" t="s">
        <v>128</v>
      </c>
      <c r="F190" t="s">
        <v>99</v>
      </c>
      <c r="G190">
        <v>0.73658584086425105</v>
      </c>
      <c r="H190">
        <v>0</v>
      </c>
      <c r="I190" s="5" t="str">
        <f>OutputTable[[#This Row],[ProjectName]]&amp;OutputTable[[#This Row],[Name]]&amp;OutputTable[[#This Row],[Type]]&amp;OutputTable[[#This Row],[Source]]</f>
        <v>Tener ArticulsorSacador.ScheduledUtilizationScheduled UtilizationResource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12</v>
      </c>
      <c r="K190" s="5" cm="1">
        <f t="array" ref="K190">IFERROR(AVERAGE(IF((OutputTable[GroupByKey]=OutputTable[[#This Row],[GroupByKey]]),(OutputTable[GroupByKey]=OutputTable[[#This Row],[GroupByKey]])*OutputTable[RecordedValue])),0)</f>
        <v>0.75499127770842467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3.0990673550046054E-2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1.9690534563658681E-2</v>
      </c>
      <c r="O190" s="5" cm="1">
        <f t="array" ref="O190">MIN(IF((OutputTable[GroupByKey]=OutputTable[[#This Row],[GroupByKey]]),(OutputTable[GroupByKey]=OutputTable[[#This Row],[GroupByKey]])*OutputTable[RecordedValue]))</f>
        <v>0.70281682687036895</v>
      </c>
      <c r="P190" s="5" cm="1">
        <f t="array" ref="P190">MAX(IF((OutputTable[GroupByKey]=OutputTable[[#This Row],[GroupByKey]]),(OutputTable[GroupByKey]=OutputTable[[#This Row],[GroupByKey]])*OutputTable[RecordedValue]))</f>
        <v>0.79676815469245998</v>
      </c>
    </row>
    <row r="191" spans="1:16" x14ac:dyDescent="0.25">
      <c r="A191" t="s">
        <v>68</v>
      </c>
      <c r="B191" t="s">
        <v>70</v>
      </c>
      <c r="C191">
        <v>10</v>
      </c>
      <c r="D191" t="s">
        <v>103</v>
      </c>
      <c r="E191" t="s">
        <v>104</v>
      </c>
      <c r="F191" t="s">
        <v>73</v>
      </c>
      <c r="G191">
        <v>793</v>
      </c>
      <c r="H191">
        <v>0</v>
      </c>
      <c r="I191" s="5" t="str">
        <f>OutputTable[[#This Row],[ProjectName]]&amp;OutputTable[[#This Row],[Name]]&amp;OutputTable[[#This Row],[Type]]&amp;OutputTable[[#This Row],[Source]]</f>
        <v>Tener ArticulsoArticulos.NumberInNumber InEntity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12</v>
      </c>
      <c r="K191" s="5" cm="1">
        <f t="array" ref="K191">IFERROR(AVERAGE(IF((OutputTable[GroupByKey]=OutputTable[[#This Row],[GroupByKey]]),(OutputTable[GroupByKey]=OutputTable[[#This Row],[GroupByKey]])*OutputTable[RecordedValue])),0)</f>
        <v>796.41666666666663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34.731328098924628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191" s="5" cm="1">
        <f t="array" ref="O191">MIN(IF((OutputTable[GroupByKey]=OutputTable[[#This Row],[GroupByKey]]),(OutputTable[GroupByKey]=OutputTable[[#This Row],[GroupByKey]])*OutputTable[RecordedValue]))</f>
        <v>737</v>
      </c>
      <c r="P191" s="5" cm="1">
        <f t="array" ref="P191">MAX(IF((OutputTable[GroupByKey]=OutputTable[[#This Row],[GroupByKey]]),(OutputTable[GroupByKey]=OutputTable[[#This Row],[GroupByKey]])*OutputTable[RecordedValue]))</f>
        <v>844</v>
      </c>
    </row>
    <row r="192" spans="1:16" x14ac:dyDescent="0.25">
      <c r="A192" t="s">
        <v>68</v>
      </c>
      <c r="B192" t="s">
        <v>70</v>
      </c>
      <c r="C192">
        <v>10</v>
      </c>
      <c r="D192" t="s">
        <v>105</v>
      </c>
      <c r="E192" t="s">
        <v>106</v>
      </c>
      <c r="F192" t="s">
        <v>73</v>
      </c>
      <c r="G192">
        <v>782</v>
      </c>
      <c r="H192">
        <v>0</v>
      </c>
      <c r="I192" s="5" t="str">
        <f>OutputTable[[#This Row],[ProjectName]]&amp;OutputTable[[#This Row],[Name]]&amp;OutputTable[[#This Row],[Type]]&amp;OutputTable[[#This Row],[Source]]</f>
        <v>Tener ArticulsoArticulos.NumberOutNumber OutEntity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12</v>
      </c>
      <c r="K192" s="5" cm="1">
        <f t="array" ref="K192">IFERROR(AVERAGE(IF((OutputTable[GroupByKey]=OutputTable[[#This Row],[GroupByKey]]),(OutputTable[GroupByKey]=OutputTable[[#This Row],[GroupByKey]])*OutputTable[RecordedValue])),0)</f>
        <v>783.16666666666663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31.541699191368682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20.040639553097002</v>
      </c>
      <c r="O192" s="5" cm="1">
        <f t="array" ref="O192">MIN(IF((OutputTable[GroupByKey]=OutputTable[[#This Row],[GroupByKey]]),(OutputTable[GroupByKey]=OutputTable[[#This Row],[GroupByKey]])*OutputTable[RecordedValue]))</f>
        <v>730</v>
      </c>
      <c r="P192" s="5" cm="1">
        <f t="array" ref="P192">MAX(IF((OutputTable[GroupByKey]=OutputTable[[#This Row],[GroupByKey]]),(OutputTable[GroupByKey]=OutputTable[[#This Row],[GroupByKey]])*OutputTable[RecordedValue]))</f>
        <v>826</v>
      </c>
    </row>
    <row r="193" spans="1:16" x14ac:dyDescent="0.25">
      <c r="A193" t="s">
        <v>68</v>
      </c>
      <c r="B193" t="s">
        <v>70</v>
      </c>
      <c r="C193">
        <v>10</v>
      </c>
      <c r="D193" t="s">
        <v>107</v>
      </c>
      <c r="E193" t="s">
        <v>104</v>
      </c>
      <c r="F193" t="s">
        <v>73</v>
      </c>
      <c r="G193">
        <v>1139</v>
      </c>
      <c r="H193">
        <v>0</v>
      </c>
      <c r="I193" s="5" t="str">
        <f>OutputTable[[#This Row],[ProjectName]]&amp;OutputTable[[#This Row],[Name]]&amp;OutputTable[[#This Row],[Type]]&amp;OutputTable[[#This Row],[Source]]</f>
        <v>Tener ArticulsoCarros.NumberInNumber InEntity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12</v>
      </c>
      <c r="K193" s="5" cm="1">
        <f t="array" ref="K193">IFERROR(AVERAGE(IF((OutputTable[GroupByKey]=OutputTable[[#This Row],[GroupByKey]]),(OutputTable[GroupByKey]=OutputTable[[#This Row],[GroupByKey]])*OutputTable[RecordedValue])),0)</f>
        <v>1145.9166666666667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49.73101891600696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31.597581939297463</v>
      </c>
      <c r="O193" s="5" cm="1">
        <f t="array" ref="O193">MIN(IF((OutputTable[GroupByKey]=OutputTable[[#This Row],[GroupByKey]]),(OutputTable[GroupByKey]=OutputTable[[#This Row],[GroupByKey]])*OutputTable[RecordedValue]))</f>
        <v>1059</v>
      </c>
      <c r="P193" s="5" cm="1">
        <f t="array" ref="P193">MAX(IF((OutputTable[GroupByKey]=OutputTable[[#This Row],[GroupByKey]]),(OutputTable[GroupByKey]=OutputTable[[#This Row],[GroupByKey]])*OutputTable[RecordedValue]))</f>
        <v>1210</v>
      </c>
    </row>
    <row r="194" spans="1:16" x14ac:dyDescent="0.25">
      <c r="A194" t="s">
        <v>68</v>
      </c>
      <c r="B194" t="s">
        <v>70</v>
      </c>
      <c r="C194">
        <v>10</v>
      </c>
      <c r="D194" t="s">
        <v>108</v>
      </c>
      <c r="E194" t="s">
        <v>106</v>
      </c>
      <c r="F194" t="s">
        <v>73</v>
      </c>
      <c r="G194">
        <v>1139</v>
      </c>
      <c r="H194">
        <v>0</v>
      </c>
      <c r="I194" s="5" t="str">
        <f>OutputTable[[#This Row],[ProjectName]]&amp;OutputTable[[#This Row],[Name]]&amp;OutputTable[[#This Row],[Type]]&amp;OutputTable[[#This Row],[Source]]</f>
        <v>Tener ArticulsoCarros.NumberOutNumber OutEntity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12</v>
      </c>
      <c r="K194" s="5" cm="1">
        <f t="array" ref="K194">IFERROR(AVERAGE(IF((OutputTable[GroupByKey]=OutputTable[[#This Row],[GroupByKey]]),(OutputTable[GroupByKey]=OutputTable[[#This Row],[GroupByKey]])*OutputTable[RecordedValue])),0)</f>
        <v>1145.3333333333333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49.816633464104832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31.651978827953357</v>
      </c>
      <c r="O194" s="5" cm="1">
        <f t="array" ref="O194">MIN(IF((OutputTable[GroupByKey]=OutputTable[[#This Row],[GroupByKey]]),(OutputTable[GroupByKey]=OutputTable[[#This Row],[GroupByKey]])*OutputTable[RecordedValue]))</f>
        <v>1059</v>
      </c>
      <c r="P194" s="5" cm="1">
        <f t="array" ref="P194">MAX(IF((OutputTable[GroupByKey]=OutputTable[[#This Row],[GroupByKey]]),(OutputTable[GroupByKey]=OutputTable[[#This Row],[GroupByKey]])*OutputTable[RecordedValue]))</f>
        <v>1210</v>
      </c>
    </row>
    <row r="195" spans="1:16" x14ac:dyDescent="0.25">
      <c r="A195" t="s">
        <v>68</v>
      </c>
      <c r="B195" t="s">
        <v>70</v>
      </c>
      <c r="C195">
        <v>10</v>
      </c>
      <c r="D195" t="s">
        <v>109</v>
      </c>
      <c r="E195" t="s">
        <v>110</v>
      </c>
      <c r="F195" t="s">
        <v>82</v>
      </c>
      <c r="G195">
        <v>824.72768701614905</v>
      </c>
      <c r="H195">
        <v>0</v>
      </c>
      <c r="I195" s="5" t="str">
        <f>OutputTable[[#This Row],[ProjectName]]&amp;OutputTable[[#This Row],[Name]]&amp;OutputTable[[#This Row],[Type]]&amp;OutputTable[[#This Row],[Source]]</f>
        <v>Tener ArticulsoDesembalaje Accum VA TimeAccum VA TimeProcess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12</v>
      </c>
      <c r="K195" s="5" cm="1">
        <f t="array" ref="K195">IFERROR(AVERAGE(IF((OutputTable[GroupByKey]=OutputTable[[#This Row],[GroupByKey]]),(OutputTable[GroupByKey]=OutputTable[[#This Row],[GroupByKey]])*OutputTable[RecordedValue])),0)</f>
        <v>783.216775239051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48.528923107513336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30.833806701313396</v>
      </c>
      <c r="O195" s="5" cm="1">
        <f t="array" ref="O195">MIN(IF((OutputTable[GroupByKey]=OutputTable[[#This Row],[GroupByKey]]),(OutputTable[GroupByKey]=OutputTable[[#This Row],[GroupByKey]])*OutputTable[RecordedValue]))</f>
        <v>678.52271145285295</v>
      </c>
      <c r="P195" s="5" cm="1">
        <f t="array" ref="P195">MAX(IF((OutputTable[GroupByKey]=OutputTable[[#This Row],[GroupByKey]]),(OutputTable[GroupByKey]=OutputTable[[#This Row],[GroupByKey]])*OutputTable[RecordedValue]))</f>
        <v>840.77730126549898</v>
      </c>
    </row>
    <row r="196" spans="1:16" x14ac:dyDescent="0.25">
      <c r="A196" t="s">
        <v>68</v>
      </c>
      <c r="B196" t="s">
        <v>70</v>
      </c>
      <c r="C196">
        <v>10</v>
      </c>
      <c r="D196" t="s">
        <v>111</v>
      </c>
      <c r="E196" t="s">
        <v>112</v>
      </c>
      <c r="F196" t="s">
        <v>82</v>
      </c>
      <c r="G196">
        <v>870.33660896922402</v>
      </c>
      <c r="H196">
        <v>0</v>
      </c>
      <c r="I196" s="5" t="str">
        <f>OutputTable[[#This Row],[ProjectName]]&amp;OutputTable[[#This Row],[Name]]&amp;OutputTable[[#This Row],[Type]]&amp;OutputTable[[#This Row],[Source]]</f>
        <v>Tener ArticulsoDesembalaje Accum Wait TimeAccum Wait TimeProcess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12</v>
      </c>
      <c r="K196" s="5" cm="1">
        <f t="array" ref="K196">IFERROR(AVERAGE(IF((OutputTable[GroupByKey]=OutputTable[[#This Row],[GroupByKey]]),(OutputTable[GroupByKey]=OutputTable[[#This Row],[GroupByKey]])*OutputTable[RecordedValue])),0)</f>
        <v>811.48948897731191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143.72351593510379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91.317565381747087</v>
      </c>
      <c r="O196" s="5" cm="1">
        <f t="array" ref="O196">MIN(IF((OutputTable[GroupByKey]=OutputTable[[#This Row],[GroupByKey]]),(OutputTable[GroupByKey]=OutputTable[[#This Row],[GroupByKey]])*OutputTable[RecordedValue]))</f>
        <v>546.46370972178704</v>
      </c>
      <c r="P196" s="5" cm="1">
        <f t="array" ref="P196">MAX(IF((OutputTable[GroupByKey]=OutputTable[[#This Row],[GroupByKey]]),(OutputTable[GroupByKey]=OutputTable[[#This Row],[GroupByKey]])*OutputTable[RecordedValue]))</f>
        <v>1012.863937084</v>
      </c>
    </row>
    <row r="197" spans="1:16" x14ac:dyDescent="0.25">
      <c r="A197" t="s">
        <v>68</v>
      </c>
      <c r="B197" t="s">
        <v>70</v>
      </c>
      <c r="C197">
        <v>10</v>
      </c>
      <c r="D197" t="s">
        <v>113</v>
      </c>
      <c r="E197" t="s">
        <v>104</v>
      </c>
      <c r="F197" t="s">
        <v>82</v>
      </c>
      <c r="G197">
        <v>70</v>
      </c>
      <c r="H197">
        <v>0</v>
      </c>
      <c r="I197" s="5" t="str">
        <f>OutputTable[[#This Row],[ProjectName]]&amp;OutputTable[[#This Row],[Name]]&amp;OutputTable[[#This Row],[Type]]&amp;OutputTable[[#This Row],[Source]]</f>
        <v>Tener ArticulsoDesembalaje Number InNumber InProcess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12</v>
      </c>
      <c r="K197" s="5" cm="1">
        <f t="array" ref="K197">IFERROR(AVERAGE(IF((OutputTable[GroupByKey]=OutputTable[[#This Row],[GroupByKey]]),(OutputTable[GroupByKey]=OutputTable[[#This Row],[GroupByKey]])*OutputTable[RecordedValue])),0)</f>
        <v>66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4.1560470729681676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2.640626329283204</v>
      </c>
      <c r="O197" s="5" cm="1">
        <f t="array" ref="O197">MIN(IF((OutputTable[GroupByKey]=OutputTable[[#This Row],[GroupByKey]]),(OutputTable[GroupByKey]=OutputTable[[#This Row],[GroupByKey]])*OutputTable[RecordedValue]))</f>
        <v>59</v>
      </c>
      <c r="P197" s="5" cm="1">
        <f t="array" ref="P197">MAX(IF((OutputTable[GroupByKey]=OutputTable[[#This Row],[GroupByKey]]),(OutputTable[GroupByKey]=OutputTable[[#This Row],[GroupByKey]])*OutputTable[RecordedValue]))</f>
        <v>70</v>
      </c>
    </row>
    <row r="198" spans="1:16" x14ac:dyDescent="0.25">
      <c r="A198" t="s">
        <v>68</v>
      </c>
      <c r="B198" t="s">
        <v>70</v>
      </c>
      <c r="C198">
        <v>10</v>
      </c>
      <c r="D198" t="s">
        <v>114</v>
      </c>
      <c r="E198" t="s">
        <v>106</v>
      </c>
      <c r="F198" t="s">
        <v>82</v>
      </c>
      <c r="G198">
        <v>69</v>
      </c>
      <c r="H198">
        <v>0</v>
      </c>
      <c r="I198" s="5" t="str">
        <f>OutputTable[[#This Row],[ProjectName]]&amp;OutputTable[[#This Row],[Name]]&amp;OutputTable[[#This Row],[Type]]&amp;OutputTable[[#This Row],[Source]]</f>
        <v>Tener ArticulsoDesembalaje Number OutNumber OutProcess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12</v>
      </c>
      <c r="K198" s="5" cm="1">
        <f t="array" ref="K198">IFERROR(AVERAGE(IF((OutputTable[GroupByKey]=OutputTable[[#This Row],[GroupByKey]]),(OutputTable[GroupByKey]=OutputTable[[#This Row],[GroupByKey]])*OutputTable[RecordedValue])),0)</f>
        <v>65.083333333333329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4.2310182168734691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2.6882607215451362</v>
      </c>
      <c r="O198" s="5" cm="1">
        <f t="array" ref="O198">MIN(IF((OutputTable[GroupByKey]=OutputTable[[#This Row],[GroupByKey]]),(OutputTable[GroupByKey]=OutputTable[[#This Row],[GroupByKey]])*OutputTable[RecordedValue]))</f>
        <v>58</v>
      </c>
      <c r="P198" s="5" cm="1">
        <f t="array" ref="P198">MAX(IF((OutputTable[GroupByKey]=OutputTable[[#This Row],[GroupByKey]]),(OutputTable[GroupByKey]=OutputTable[[#This Row],[GroupByKey]])*OutputTable[RecordedValue]))</f>
        <v>69</v>
      </c>
    </row>
    <row r="199" spans="1:16" x14ac:dyDescent="0.25">
      <c r="A199" t="s">
        <v>68</v>
      </c>
      <c r="B199" t="s">
        <v>70</v>
      </c>
      <c r="C199">
        <v>10</v>
      </c>
      <c r="D199" t="s">
        <v>115</v>
      </c>
      <c r="E199" t="s">
        <v>110</v>
      </c>
      <c r="F199" t="s">
        <v>82</v>
      </c>
      <c r="G199">
        <v>1186.17776892245</v>
      </c>
      <c r="H199">
        <v>0</v>
      </c>
      <c r="I199" s="5" t="str">
        <f>OutputTable[[#This Row],[ProjectName]]&amp;OutputTable[[#This Row],[Name]]&amp;OutputTable[[#This Row],[Type]]&amp;OutputTable[[#This Row],[Source]]</f>
        <v>Tener ArticulsoOrganizar Accum VA TimeAccum VA TimeProcess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12</v>
      </c>
      <c r="K199" s="5" cm="1">
        <f t="array" ref="K199">IFERROR(AVERAGE(IF((OutputTable[GroupByKey]=OutputTable[[#This Row],[GroupByKey]]),(OutputTable[GroupByKey]=OutputTable[[#This Row],[GroupByKey]])*OutputTable[RecordedValue])),0)</f>
        <v>1181.2622276627176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50.899735842094827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32.340149247203939</v>
      </c>
      <c r="O199" s="5" cm="1">
        <f t="array" ref="O199">MIN(IF((OutputTable[GroupByKey]=OutputTable[[#This Row],[GroupByKey]]),(OutputTable[GroupByKey]=OutputTable[[#This Row],[GroupByKey]])*OutputTable[RecordedValue]))</f>
        <v>1106.0350367697699</v>
      </c>
      <c r="P199" s="5" cm="1">
        <f t="array" ref="P199">MAX(IF((OutputTable[GroupByKey]=OutputTable[[#This Row],[GroupByKey]]),(OutputTable[GroupByKey]=OutputTable[[#This Row],[GroupByKey]])*OutputTable[RecordedValue]))</f>
        <v>1255.97830087074</v>
      </c>
    </row>
    <row r="200" spans="1:16" x14ac:dyDescent="0.25">
      <c r="A200" t="s">
        <v>68</v>
      </c>
      <c r="B200" t="s">
        <v>70</v>
      </c>
      <c r="C200">
        <v>10</v>
      </c>
      <c r="D200" t="s">
        <v>116</v>
      </c>
      <c r="E200" t="s">
        <v>112</v>
      </c>
      <c r="F200" t="s">
        <v>82</v>
      </c>
      <c r="G200">
        <v>14702.471912986401</v>
      </c>
      <c r="H200">
        <v>0</v>
      </c>
      <c r="I200" s="5" t="str">
        <f>OutputTable[[#This Row],[ProjectName]]&amp;OutputTable[[#This Row],[Name]]&amp;OutputTable[[#This Row],[Type]]&amp;OutputTable[[#This Row],[Source]]</f>
        <v>Tener ArticulsoOrganizar Accum Wait TimeAccum Wait TimeProcess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12</v>
      </c>
      <c r="K200" s="5" cm="1">
        <f t="array" ref="K200">IFERROR(AVERAGE(IF((OutputTable[GroupByKey]=OutputTable[[#This Row],[GroupByKey]]),(OutputTable[GroupByKey]=OutputTable[[#This Row],[GroupByKey]])*OutputTable[RecordedValue])),0)</f>
        <v>14481.366678807759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2869.9645631781104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1823.4884871564914</v>
      </c>
      <c r="O200" s="5" cm="1">
        <f t="array" ref="O200">MIN(IF((OutputTable[GroupByKey]=OutputTable[[#This Row],[GroupByKey]]),(OutputTable[GroupByKey]=OutputTable[[#This Row],[GroupByKey]])*OutputTable[RecordedValue]))</f>
        <v>9643.84605851171</v>
      </c>
      <c r="P200" s="5" cm="1">
        <f t="array" ref="P200">MAX(IF((OutputTable[GroupByKey]=OutputTable[[#This Row],[GroupByKey]]),(OutputTable[GroupByKey]=OutputTable[[#This Row],[GroupByKey]])*OutputTable[RecordedValue]))</f>
        <v>18159.7018308675</v>
      </c>
    </row>
    <row r="201" spans="1:16" x14ac:dyDescent="0.25">
      <c r="A201" t="s">
        <v>68</v>
      </c>
      <c r="B201" t="s">
        <v>70</v>
      </c>
      <c r="C201">
        <v>10</v>
      </c>
      <c r="D201" t="s">
        <v>117</v>
      </c>
      <c r="E201" t="s">
        <v>104</v>
      </c>
      <c r="F201" t="s">
        <v>82</v>
      </c>
      <c r="G201">
        <v>793</v>
      </c>
      <c r="H201">
        <v>0</v>
      </c>
      <c r="I201" s="5" t="str">
        <f>OutputTable[[#This Row],[ProjectName]]&amp;OutputTable[[#This Row],[Name]]&amp;OutputTable[[#This Row],[Type]]&amp;OutputTable[[#This Row],[Source]]</f>
        <v>Tener ArticulsoOrganizar Number InNumber InProcess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12</v>
      </c>
      <c r="K201" s="5" cm="1">
        <f t="array" ref="K201">IFERROR(AVERAGE(IF((OutputTable[GroupByKey]=OutputTable[[#This Row],[GroupByKey]]),(OutputTable[GroupByKey]=OutputTable[[#This Row],[GroupByKey]])*OutputTable[RecordedValue])),0)</f>
        <v>794.91666666666663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34.394656914154915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21.853322409391229</v>
      </c>
      <c r="O201" s="5" cm="1">
        <f t="array" ref="O201">MIN(IF((OutputTable[GroupByKey]=OutputTable[[#This Row],[GroupByKey]]),(OutputTable[GroupByKey]=OutputTable[[#This Row],[GroupByKey]])*OutputTable[RecordedValue]))</f>
        <v>737</v>
      </c>
      <c r="P201" s="5" cm="1">
        <f t="array" ref="P201">MAX(IF((OutputTable[GroupByKey]=OutputTable[[#This Row],[GroupByKey]]),(OutputTable[GroupByKey]=OutputTable[[#This Row],[GroupByKey]])*OutputTable[RecordedValue]))</f>
        <v>841</v>
      </c>
    </row>
    <row r="202" spans="1:16" x14ac:dyDescent="0.25">
      <c r="A202" t="s">
        <v>68</v>
      </c>
      <c r="B202" t="s">
        <v>70</v>
      </c>
      <c r="C202">
        <v>10</v>
      </c>
      <c r="D202" t="s">
        <v>118</v>
      </c>
      <c r="E202" t="s">
        <v>106</v>
      </c>
      <c r="F202" t="s">
        <v>82</v>
      </c>
      <c r="G202">
        <v>784</v>
      </c>
      <c r="H202">
        <v>0</v>
      </c>
      <c r="I202" s="5" t="str">
        <f>OutputTable[[#This Row],[ProjectName]]&amp;OutputTable[[#This Row],[Name]]&amp;OutputTable[[#This Row],[Type]]&amp;OutputTable[[#This Row],[Source]]</f>
        <v>Tener ArticulsoOrganizar Number OutNumber OutProcess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12</v>
      </c>
      <c r="K202" s="5" cm="1">
        <f t="array" ref="K202">IFERROR(AVERAGE(IF((OutputTable[GroupByKey]=OutputTable[[#This Row],[GroupByKey]]),(OutputTable[GroupByKey]=OutputTable[[#This Row],[GroupByKey]])*OutputTable[RecordedValue])),0)</f>
        <v>786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32.741411087489801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20.80290012542233</v>
      </c>
      <c r="O202" s="5" cm="1">
        <f t="array" ref="O202">MIN(IF((OutputTable[GroupByKey]=OutputTable[[#This Row],[GroupByKey]]),(OutputTable[GroupByKey]=OutputTable[[#This Row],[GroupByKey]])*OutputTable[RecordedValue]))</f>
        <v>732</v>
      </c>
      <c r="P202" s="5" cm="1">
        <f t="array" ref="P202">MAX(IF((OutputTable[GroupByKey]=OutputTable[[#This Row],[GroupByKey]]),(OutputTable[GroupByKey]=OutputTable[[#This Row],[GroupByKey]])*OutputTable[RecordedValue]))</f>
        <v>829</v>
      </c>
    </row>
    <row r="203" spans="1:16" x14ac:dyDescent="0.25">
      <c r="A203" t="s">
        <v>68</v>
      </c>
      <c r="B203" t="s">
        <v>70</v>
      </c>
      <c r="C203">
        <v>10</v>
      </c>
      <c r="D203" t="s">
        <v>119</v>
      </c>
      <c r="E203" t="s">
        <v>110</v>
      </c>
      <c r="F203" t="s">
        <v>82</v>
      </c>
      <c r="G203">
        <v>1594.1324582446</v>
      </c>
      <c r="H203">
        <v>0</v>
      </c>
      <c r="I203" s="5" t="str">
        <f>OutputTable[[#This Row],[ProjectName]]&amp;OutputTable[[#This Row],[Name]]&amp;OutputTable[[#This Row],[Type]]&amp;OutputTable[[#This Row],[Source]]</f>
        <v>Tener ArticulsoSacar Articulos Accum VA TimeAccum VA TimeProcess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12</v>
      </c>
      <c r="K203" s="5" cm="1">
        <f t="array" ref="K203">IFERROR(AVERAGE(IF((OutputTable[GroupByKey]=OutputTable[[#This Row],[GroupByKey]]),(OutputTable[GroupByKey]=OutputTable[[#This Row],[GroupByKey]])*OutputTable[RecordedValue])),0)</f>
        <v>1584.7600747574054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65.199632506816158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41.425870119928376</v>
      </c>
      <c r="O203" s="5" cm="1">
        <f t="array" ref="O203">MIN(IF((OutputTable[GroupByKey]=OutputTable[[#This Row],[GroupByKey]]),(OutputTable[GroupByKey]=OutputTable[[#This Row],[GroupByKey]])*OutputTable[RecordedValue]))</f>
        <v>1473.78349566985</v>
      </c>
      <c r="P203" s="5" cm="1">
        <f t="array" ref="P203">MAX(IF((OutputTable[GroupByKey]=OutputTable[[#This Row],[GroupByKey]]),(OutputTable[GroupByKey]=OutputTable[[#This Row],[GroupByKey]])*OutputTable[RecordedValue]))</f>
        <v>1673.21312485417</v>
      </c>
    </row>
    <row r="204" spans="1:16" x14ac:dyDescent="0.25">
      <c r="A204" t="s">
        <v>68</v>
      </c>
      <c r="B204" t="s">
        <v>70</v>
      </c>
      <c r="C204">
        <v>10</v>
      </c>
      <c r="D204" t="s">
        <v>120</v>
      </c>
      <c r="E204" t="s">
        <v>112</v>
      </c>
      <c r="F204" t="s">
        <v>82</v>
      </c>
      <c r="G204">
        <v>1160.5160720348899</v>
      </c>
      <c r="H204">
        <v>0</v>
      </c>
      <c r="I204" s="5" t="str">
        <f>OutputTable[[#This Row],[ProjectName]]&amp;OutputTable[[#This Row],[Name]]&amp;OutputTable[[#This Row],[Type]]&amp;OutputTable[[#This Row],[Source]]</f>
        <v>Tener ArticulsoSacar Articulos Accum Wait TimeAccum Wait TimeProcess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12</v>
      </c>
      <c r="K204" s="5" cm="1">
        <f t="array" ref="K204">IFERROR(AVERAGE(IF((OutputTable[GroupByKey]=OutputTable[[#This Row],[GroupByKey]]),(OutputTable[GroupByKey]=OutputTable[[#This Row],[GroupByKey]])*OutputTable[RecordedValue])),0)</f>
        <v>1151.8667665386067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58.761364856103697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37.335190015744239</v>
      </c>
      <c r="O204" s="5" cm="1">
        <f t="array" ref="O204">MIN(IF((OutputTable[GroupByKey]=OutputTable[[#This Row],[GroupByKey]]),(OutputTable[GroupByKey]=OutputTable[[#This Row],[GroupByKey]])*OutputTable[RecordedValue]))</f>
        <v>1064.4971115521701</v>
      </c>
      <c r="P204" s="5" cm="1">
        <f t="array" ref="P204">MAX(IF((OutputTable[GroupByKey]=OutputTable[[#This Row],[GroupByKey]]),(OutputTable[GroupByKey]=OutputTable[[#This Row],[GroupByKey]])*OutputTable[RecordedValue]))</f>
        <v>1232.84038930315</v>
      </c>
    </row>
    <row r="205" spans="1:16" x14ac:dyDescent="0.25">
      <c r="A205" t="s">
        <v>68</v>
      </c>
      <c r="B205" t="s">
        <v>70</v>
      </c>
      <c r="C205">
        <v>10</v>
      </c>
      <c r="D205" t="s">
        <v>121</v>
      </c>
      <c r="E205" t="s">
        <v>104</v>
      </c>
      <c r="F205" t="s">
        <v>82</v>
      </c>
      <c r="G205">
        <v>793</v>
      </c>
      <c r="H205">
        <v>0</v>
      </c>
      <c r="I205" s="5" t="str">
        <f>OutputTable[[#This Row],[ProjectName]]&amp;OutputTable[[#This Row],[Name]]&amp;OutputTable[[#This Row],[Type]]&amp;OutputTable[[#This Row],[Source]]</f>
        <v>Tener ArticulsoSacar Articulos Number InNumber InProcess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12</v>
      </c>
      <c r="K205" s="5" cm="1">
        <f t="array" ref="K205">IFERROR(AVERAGE(IF((OutputTable[GroupByKey]=OutputTable[[#This Row],[GroupByKey]]),(OutputTable[GroupByKey]=OutputTable[[#This Row],[GroupByKey]])*OutputTable[RecordedValue])),0)</f>
        <v>796.41666666666663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34.731328098924628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205" s="5" cm="1">
        <f t="array" ref="O205">MIN(IF((OutputTable[GroupByKey]=OutputTable[[#This Row],[GroupByKey]]),(OutputTable[GroupByKey]=OutputTable[[#This Row],[GroupByKey]])*OutputTable[RecordedValue]))</f>
        <v>737</v>
      </c>
      <c r="P205" s="5" cm="1">
        <f t="array" ref="P205">MAX(IF((OutputTable[GroupByKey]=OutputTable[[#This Row],[GroupByKey]]),(OutputTable[GroupByKey]=OutputTable[[#This Row],[GroupByKey]])*OutputTable[RecordedValue]))</f>
        <v>844</v>
      </c>
    </row>
    <row r="206" spans="1:16" x14ac:dyDescent="0.25">
      <c r="A206" t="s">
        <v>68</v>
      </c>
      <c r="B206" t="s">
        <v>70</v>
      </c>
      <c r="C206">
        <v>10</v>
      </c>
      <c r="D206" t="s">
        <v>122</v>
      </c>
      <c r="E206" t="s">
        <v>106</v>
      </c>
      <c r="F206" t="s">
        <v>82</v>
      </c>
      <c r="G206">
        <v>793</v>
      </c>
      <c r="H206">
        <v>0</v>
      </c>
      <c r="I206" s="5" t="str">
        <f>OutputTable[[#This Row],[ProjectName]]&amp;OutputTable[[#This Row],[Name]]&amp;OutputTable[[#This Row],[Type]]&amp;OutputTable[[#This Row],[Source]]</f>
        <v>Tener ArticulsoSacar Articulos Number OutNumber OutProcess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12</v>
      </c>
      <c r="K206" s="5" cm="1">
        <f t="array" ref="K206">IFERROR(AVERAGE(IF((OutputTable[GroupByKey]=OutputTable[[#This Row],[GroupByKey]]),(OutputTable[GroupByKey]=OutputTable[[#This Row],[GroupByKey]])*OutputTable[RecordedValue])),0)</f>
        <v>795.08333333333337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34.510758094287411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21.927089579910728</v>
      </c>
      <c r="O206" s="5" cm="1">
        <f t="array" ref="O206">MIN(IF((OutputTable[GroupByKey]=OutputTable[[#This Row],[GroupByKey]]),(OutputTable[GroupByKey]=OutputTable[[#This Row],[GroupByKey]])*OutputTable[RecordedValue]))</f>
        <v>737</v>
      </c>
      <c r="P206" s="5" cm="1">
        <f t="array" ref="P206">MAX(IF((OutputTable[GroupByKey]=OutputTable[[#This Row],[GroupByKey]]),(OutputTable[GroupByKey]=OutputTable[[#This Row],[GroupByKey]])*OutputTable[RecordedValue]))</f>
        <v>841</v>
      </c>
    </row>
    <row r="207" spans="1:16" x14ac:dyDescent="0.25">
      <c r="A207" t="s">
        <v>68</v>
      </c>
      <c r="B207" t="s">
        <v>70</v>
      </c>
      <c r="C207">
        <v>10</v>
      </c>
      <c r="D207" t="s">
        <v>123</v>
      </c>
      <c r="E207" t="s">
        <v>106</v>
      </c>
      <c r="F207" t="s">
        <v>124</v>
      </c>
      <c r="G207">
        <v>1128</v>
      </c>
      <c r="H207">
        <v>0</v>
      </c>
      <c r="I207" s="5" t="str">
        <f>OutputTable[[#This Row],[ProjectName]]&amp;OutputTable[[#This Row],[Name]]&amp;OutputTable[[#This Row],[Type]]&amp;OutputTable[[#This Row],[Source]]</f>
        <v>Tener ArticulsoSystem.NumberOutNumber OutSystem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12</v>
      </c>
      <c r="K207" s="5" cm="1">
        <f t="array" ref="K207">IFERROR(AVERAGE(IF((OutputTable[GroupByKey]=OutputTable[[#This Row],[GroupByKey]]),(OutputTable[GroupByKey]=OutputTable[[#This Row],[GroupByKey]])*OutputTable[RecordedValue])),0)</f>
        <v>1132.0833333333333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46.640712479614429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29.634094905050876</v>
      </c>
      <c r="O207" s="5" cm="1">
        <f t="array" ref="O207">MIN(IF((OutputTable[GroupByKey]=OutputTable[[#This Row],[GroupByKey]]),(OutputTable[GroupByKey]=OutputTable[[#This Row],[GroupByKey]])*OutputTable[RecordedValue]))</f>
        <v>1052</v>
      </c>
      <c r="P207" s="5" cm="1">
        <f t="array" ref="P207">MAX(IF((OutputTable[GroupByKey]=OutputTable[[#This Row],[GroupByKey]]),(OutputTable[GroupByKey]=OutputTable[[#This Row],[GroupByKey]])*OutputTable[RecordedValue]))</f>
        <v>1192</v>
      </c>
    </row>
    <row r="208" spans="1:16" x14ac:dyDescent="0.25">
      <c r="A208" t="s">
        <v>68</v>
      </c>
      <c r="B208" t="s">
        <v>70</v>
      </c>
      <c r="C208">
        <v>10</v>
      </c>
      <c r="D208" t="s">
        <v>125</v>
      </c>
      <c r="E208" t="s">
        <v>126</v>
      </c>
      <c r="F208" t="s">
        <v>99</v>
      </c>
      <c r="G208">
        <v>854</v>
      </c>
      <c r="H208">
        <v>0</v>
      </c>
      <c r="I208" s="5" t="str">
        <f>OutputTable[[#This Row],[ProjectName]]&amp;OutputTable[[#This Row],[Name]]&amp;OutputTable[[#This Row],[Type]]&amp;OutputTable[[#This Row],[Source]]</f>
        <v>Tener ArticulsorOrganizdor.NumberSeizedTotal Number SeizedResource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12</v>
      </c>
      <c r="K208" s="5" cm="1">
        <f t="array" ref="K208">IFERROR(AVERAGE(IF((OutputTable[GroupByKey]=OutputTable[[#This Row],[GroupByKey]]),(OutputTable[GroupByKey]=OutputTable[[#This Row],[GroupByKey]])*OutputTable[RecordedValue])),0)</f>
        <v>852.08333333333337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32.103407730002552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20.397532131659759</v>
      </c>
      <c r="O208" s="5" cm="1">
        <f t="array" ref="O208">MIN(IF((OutputTable[GroupByKey]=OutputTable[[#This Row],[GroupByKey]]),(OutputTable[GroupByKey]=OutputTable[[#This Row],[GroupByKey]])*OutputTable[RecordedValue]))</f>
        <v>800</v>
      </c>
      <c r="P208" s="5" cm="1">
        <f t="array" ref="P208">MAX(IF((OutputTable[GroupByKey]=OutputTable[[#This Row],[GroupByKey]]),(OutputTable[GroupByKey]=OutputTable[[#This Row],[GroupByKey]])*OutputTable[RecordedValue]))</f>
        <v>893</v>
      </c>
    </row>
    <row r="209" spans="1:16" x14ac:dyDescent="0.25">
      <c r="A209" t="s">
        <v>68</v>
      </c>
      <c r="B209" t="s">
        <v>70</v>
      </c>
      <c r="C209">
        <v>10</v>
      </c>
      <c r="D209" t="s">
        <v>127</v>
      </c>
      <c r="E209" t="s">
        <v>128</v>
      </c>
      <c r="F209" t="s">
        <v>99</v>
      </c>
      <c r="G209">
        <v>0.95778659094739305</v>
      </c>
      <c r="H209">
        <v>0</v>
      </c>
      <c r="I209" s="5" t="str">
        <f>OutputTable[[#This Row],[ProjectName]]&amp;OutputTable[[#This Row],[Name]]&amp;OutputTable[[#This Row],[Type]]&amp;OutputTable[[#This Row],[Source]]</f>
        <v>Tener ArticulsorOrganizdor.ScheduledUtilizationScheduled UtilizationResource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12</v>
      </c>
      <c r="K209" s="5" cm="1">
        <f t="array" ref="K209">IFERROR(AVERAGE(IF((OutputTable[GroupByKey]=OutputTable[[#This Row],[GroupByKey]]),(OutputTable[GroupByKey]=OutputTable[[#This Row],[GroupByKey]])*OutputTable[RecordedValue])),0)</f>
        <v>0.93693413710063267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3.0080475881637609E-2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1.9112222555672933E-2</v>
      </c>
      <c r="O209" s="5" cm="1">
        <f t="array" ref="O209">MIN(IF((OutputTable[GroupByKey]=OutputTable[[#This Row],[GroupByKey]]),(OutputTable[GroupByKey]=OutputTable[[#This Row],[GroupByKey]])*OutputTable[RecordedValue]))</f>
        <v>0.87408888428798603</v>
      </c>
      <c r="P209" s="5" cm="1">
        <f t="array" ref="P209">MAX(IF((OutputTable[GroupByKey]=OutputTable[[#This Row],[GroupByKey]]),(OutputTable[GroupByKey]=OutputTable[[#This Row],[GroupByKey]])*OutputTable[RecordedValue]))</f>
        <v>0.989515454392208</v>
      </c>
    </row>
    <row r="210" spans="1:16" x14ac:dyDescent="0.25">
      <c r="A210" t="s">
        <v>68</v>
      </c>
      <c r="B210" t="s">
        <v>70</v>
      </c>
      <c r="C210">
        <v>10</v>
      </c>
      <c r="D210" t="s">
        <v>129</v>
      </c>
      <c r="E210" t="s">
        <v>126</v>
      </c>
      <c r="F210" t="s">
        <v>99</v>
      </c>
      <c r="G210">
        <v>793</v>
      </c>
      <c r="H210">
        <v>0</v>
      </c>
      <c r="I210" s="5" t="str">
        <f>OutputTable[[#This Row],[ProjectName]]&amp;OutputTable[[#This Row],[Name]]&amp;OutputTable[[#This Row],[Type]]&amp;OutputTable[[#This Row],[Source]]</f>
        <v>Tener ArticulsorSacador.NumberSeizedTotal Number SeizedResource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12</v>
      </c>
      <c r="K210" s="5" cm="1">
        <f t="array" ref="K210">IFERROR(AVERAGE(IF((OutputTable[GroupByKey]=OutputTable[[#This Row],[GroupByKey]]),(OutputTable[GroupByKey]=OutputTable[[#This Row],[GroupByKey]])*OutputTable[RecordedValue])),0)</f>
        <v>795.66666666666663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34.623516268395946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21.998732705738043</v>
      </c>
      <c r="O210" s="5" cm="1">
        <f t="array" ref="O210">MIN(IF((OutputTable[GroupByKey]=OutputTable[[#This Row],[GroupByKey]]),(OutputTable[GroupByKey]=OutputTable[[#This Row],[GroupByKey]])*OutputTable[RecordedValue]))</f>
        <v>737</v>
      </c>
      <c r="P210" s="5" cm="1">
        <f t="array" ref="P210">MAX(IF((OutputTable[GroupByKey]=OutputTable[[#This Row],[GroupByKey]]),(OutputTable[GroupByKey]=OutputTable[[#This Row],[GroupByKey]])*OutputTable[RecordedValue]))</f>
        <v>842</v>
      </c>
    </row>
    <row r="211" spans="1:16" x14ac:dyDescent="0.25">
      <c r="A211" t="s">
        <v>68</v>
      </c>
      <c r="B211" t="s">
        <v>70</v>
      </c>
      <c r="C211">
        <v>10</v>
      </c>
      <c r="D211" t="s">
        <v>130</v>
      </c>
      <c r="E211" t="s">
        <v>128</v>
      </c>
      <c r="F211" t="s">
        <v>99</v>
      </c>
      <c r="G211">
        <v>0.75911069440218903</v>
      </c>
      <c r="H211">
        <v>0</v>
      </c>
      <c r="I211" s="5" t="str">
        <f>OutputTable[[#This Row],[ProjectName]]&amp;OutputTable[[#This Row],[Name]]&amp;OutputTable[[#This Row],[Type]]&amp;OutputTable[[#This Row],[Source]]</f>
        <v>Tener ArticulsorSacador.ScheduledUtilizationScheduled UtilizationResource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12</v>
      </c>
      <c r="K211" s="5" cm="1">
        <f t="array" ref="K211">IFERROR(AVERAGE(IF((OutputTable[GroupByKey]=OutputTable[[#This Row],[GroupByKey]]),(OutputTable[GroupByKey]=OutputTable[[#This Row],[GroupByKey]])*OutputTable[RecordedValue])),0)</f>
        <v>0.75499127770842467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3.0990673550046054E-2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1.9690534563658681E-2</v>
      </c>
      <c r="O211" s="5" cm="1">
        <f t="array" ref="O211">MIN(IF((OutputTable[GroupByKey]=OutputTable[[#This Row],[GroupByKey]]),(OutputTable[GroupByKey]=OutputTable[[#This Row],[GroupByKey]])*OutputTable[RecordedValue]))</f>
        <v>0.70281682687036895</v>
      </c>
      <c r="P211" s="5" cm="1">
        <f t="array" ref="P211">MAX(IF((OutputTable[GroupByKey]=OutputTable[[#This Row],[GroupByKey]]),(OutputTable[GroupByKey]=OutputTable[[#This Row],[GroupByKey]])*OutputTable[RecordedValue]))</f>
        <v>0.79676815469245998</v>
      </c>
    </row>
    <row r="212" spans="1:16" x14ac:dyDescent="0.25">
      <c r="A212" t="s">
        <v>68</v>
      </c>
      <c r="B212" t="s">
        <v>70</v>
      </c>
      <c r="C212">
        <v>11</v>
      </c>
      <c r="D212" t="s">
        <v>103</v>
      </c>
      <c r="E212" t="s">
        <v>104</v>
      </c>
      <c r="F212" t="s">
        <v>73</v>
      </c>
      <c r="G212">
        <v>802</v>
      </c>
      <c r="H212">
        <v>0</v>
      </c>
      <c r="I212" s="5" t="str">
        <f>OutputTable[[#This Row],[ProjectName]]&amp;OutputTable[[#This Row],[Name]]&amp;OutputTable[[#This Row],[Type]]&amp;OutputTable[[#This Row],[Source]]</f>
        <v>Tener ArticulsoArticulos.NumberInNumber InEntity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12</v>
      </c>
      <c r="K212" s="5" cm="1">
        <f t="array" ref="K212">IFERROR(AVERAGE(IF((OutputTable[GroupByKey]=OutputTable[[#This Row],[GroupByKey]]),(OutputTable[GroupByKey]=OutputTable[[#This Row],[GroupByKey]])*OutputTable[RecordedValue])),0)</f>
        <v>796.41666666666663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34.731328098924628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212" s="5" cm="1">
        <f t="array" ref="O212">MIN(IF((OutputTable[GroupByKey]=OutputTable[[#This Row],[GroupByKey]]),(OutputTable[GroupByKey]=OutputTable[[#This Row],[GroupByKey]])*OutputTable[RecordedValue]))</f>
        <v>737</v>
      </c>
      <c r="P212" s="5" cm="1">
        <f t="array" ref="P212">MAX(IF((OutputTable[GroupByKey]=OutputTable[[#This Row],[GroupByKey]]),(OutputTable[GroupByKey]=OutputTable[[#This Row],[GroupByKey]])*OutputTable[RecordedValue]))</f>
        <v>844</v>
      </c>
    </row>
    <row r="213" spans="1:16" x14ac:dyDescent="0.25">
      <c r="A213" t="s">
        <v>68</v>
      </c>
      <c r="B213" t="s">
        <v>70</v>
      </c>
      <c r="C213">
        <v>11</v>
      </c>
      <c r="D213" t="s">
        <v>105</v>
      </c>
      <c r="E213" t="s">
        <v>106</v>
      </c>
      <c r="F213" t="s">
        <v>73</v>
      </c>
      <c r="G213">
        <v>794</v>
      </c>
      <c r="H213">
        <v>0</v>
      </c>
      <c r="I213" s="5" t="str">
        <f>OutputTable[[#This Row],[ProjectName]]&amp;OutputTable[[#This Row],[Name]]&amp;OutputTable[[#This Row],[Type]]&amp;OutputTable[[#This Row],[Source]]</f>
        <v>Tener ArticulsoArticulos.NumberOutNumber OutEntity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12</v>
      </c>
      <c r="K213" s="5" cm="1">
        <f t="array" ref="K213">IFERROR(AVERAGE(IF((OutputTable[GroupByKey]=OutputTable[[#This Row],[GroupByKey]]),(OutputTable[GroupByKey]=OutputTable[[#This Row],[GroupByKey]])*OutputTable[RecordedValue])),0)</f>
        <v>783.16666666666663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31.541699191368682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20.040639553097002</v>
      </c>
      <c r="O213" s="5" cm="1">
        <f t="array" ref="O213">MIN(IF((OutputTable[GroupByKey]=OutputTable[[#This Row],[GroupByKey]]),(OutputTable[GroupByKey]=OutputTable[[#This Row],[GroupByKey]])*OutputTable[RecordedValue]))</f>
        <v>730</v>
      </c>
      <c r="P213" s="5" cm="1">
        <f t="array" ref="P213">MAX(IF((OutputTable[GroupByKey]=OutputTable[[#This Row],[GroupByKey]]),(OutputTable[GroupByKey]=OutputTable[[#This Row],[GroupByKey]])*OutputTable[RecordedValue]))</f>
        <v>826</v>
      </c>
    </row>
    <row r="214" spans="1:16" x14ac:dyDescent="0.25">
      <c r="A214" t="s">
        <v>68</v>
      </c>
      <c r="B214" t="s">
        <v>70</v>
      </c>
      <c r="C214">
        <v>11</v>
      </c>
      <c r="D214" t="s">
        <v>107</v>
      </c>
      <c r="E214" t="s">
        <v>104</v>
      </c>
      <c r="F214" t="s">
        <v>73</v>
      </c>
      <c r="G214">
        <v>1164</v>
      </c>
      <c r="H214">
        <v>0</v>
      </c>
      <c r="I214" s="5" t="str">
        <f>OutputTable[[#This Row],[ProjectName]]&amp;OutputTable[[#This Row],[Name]]&amp;OutputTable[[#This Row],[Type]]&amp;OutputTable[[#This Row],[Source]]</f>
        <v>Tener ArticulsoCarros.NumberInNumber InEntity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12</v>
      </c>
      <c r="K214" s="5" cm="1">
        <f t="array" ref="K214">IFERROR(AVERAGE(IF((OutputTable[GroupByKey]=OutputTable[[#This Row],[GroupByKey]]),(OutputTable[GroupByKey]=OutputTable[[#This Row],[GroupByKey]])*OutputTable[RecordedValue])),0)</f>
        <v>1145.9166666666667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49.73101891600696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31.597581939297463</v>
      </c>
      <c r="O214" s="5" cm="1">
        <f t="array" ref="O214">MIN(IF((OutputTable[GroupByKey]=OutputTable[[#This Row],[GroupByKey]]),(OutputTable[GroupByKey]=OutputTable[[#This Row],[GroupByKey]])*OutputTable[RecordedValue]))</f>
        <v>1059</v>
      </c>
      <c r="P214" s="5" cm="1">
        <f t="array" ref="P214">MAX(IF((OutputTable[GroupByKey]=OutputTable[[#This Row],[GroupByKey]]),(OutputTable[GroupByKey]=OutputTable[[#This Row],[GroupByKey]])*OutputTable[RecordedValue]))</f>
        <v>1210</v>
      </c>
    </row>
    <row r="215" spans="1:16" x14ac:dyDescent="0.25">
      <c r="A215" t="s">
        <v>68</v>
      </c>
      <c r="B215" t="s">
        <v>70</v>
      </c>
      <c r="C215">
        <v>11</v>
      </c>
      <c r="D215" t="s">
        <v>108</v>
      </c>
      <c r="E215" t="s">
        <v>106</v>
      </c>
      <c r="F215" t="s">
        <v>73</v>
      </c>
      <c r="G215">
        <v>1164</v>
      </c>
      <c r="H215">
        <v>0</v>
      </c>
      <c r="I215" s="5" t="str">
        <f>OutputTable[[#This Row],[ProjectName]]&amp;OutputTable[[#This Row],[Name]]&amp;OutputTable[[#This Row],[Type]]&amp;OutputTable[[#This Row],[Source]]</f>
        <v>Tener ArticulsoCarros.NumberOutNumber OutEntity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12</v>
      </c>
      <c r="K215" s="5" cm="1">
        <f t="array" ref="K215">IFERROR(AVERAGE(IF((OutputTable[GroupByKey]=OutputTable[[#This Row],[GroupByKey]]),(OutputTable[GroupByKey]=OutputTable[[#This Row],[GroupByKey]])*OutputTable[RecordedValue])),0)</f>
        <v>1145.3333333333333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49.816633464104832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31.651978827953357</v>
      </c>
      <c r="O215" s="5" cm="1">
        <f t="array" ref="O215">MIN(IF((OutputTable[GroupByKey]=OutputTable[[#This Row],[GroupByKey]]),(OutputTable[GroupByKey]=OutputTable[[#This Row],[GroupByKey]])*OutputTable[RecordedValue]))</f>
        <v>1059</v>
      </c>
      <c r="P215" s="5" cm="1">
        <f t="array" ref="P215">MAX(IF((OutputTable[GroupByKey]=OutputTable[[#This Row],[GroupByKey]]),(OutputTable[GroupByKey]=OutputTable[[#This Row],[GroupByKey]])*OutputTable[RecordedValue]))</f>
        <v>1210</v>
      </c>
    </row>
    <row r="216" spans="1:16" x14ac:dyDescent="0.25">
      <c r="A216" t="s">
        <v>68</v>
      </c>
      <c r="B216" t="s">
        <v>70</v>
      </c>
      <c r="C216">
        <v>11</v>
      </c>
      <c r="D216" t="s">
        <v>109</v>
      </c>
      <c r="E216" t="s">
        <v>110</v>
      </c>
      <c r="F216" t="s">
        <v>82</v>
      </c>
      <c r="G216">
        <v>754.347252650786</v>
      </c>
      <c r="H216">
        <v>0</v>
      </c>
      <c r="I216" s="5" t="str">
        <f>OutputTable[[#This Row],[ProjectName]]&amp;OutputTable[[#This Row],[Name]]&amp;OutputTable[[#This Row],[Type]]&amp;OutputTable[[#This Row],[Source]]</f>
        <v>Tener ArticulsoDesembalaje Accum VA TimeAccum VA TimeProcess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12</v>
      </c>
      <c r="K216" s="5" cm="1">
        <f t="array" ref="K216">IFERROR(AVERAGE(IF((OutputTable[GroupByKey]=OutputTable[[#This Row],[GroupByKey]]),(OutputTable[GroupByKey]=OutputTable[[#This Row],[GroupByKey]])*OutputTable[RecordedValue])),0)</f>
        <v>783.216775239051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48.528923107513336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30.833806701313396</v>
      </c>
      <c r="O216" s="5" cm="1">
        <f t="array" ref="O216">MIN(IF((OutputTable[GroupByKey]=OutputTable[[#This Row],[GroupByKey]]),(OutputTable[GroupByKey]=OutputTable[[#This Row],[GroupByKey]])*OutputTable[RecordedValue]))</f>
        <v>678.52271145285295</v>
      </c>
      <c r="P216" s="5" cm="1">
        <f t="array" ref="P216">MAX(IF((OutputTable[GroupByKey]=OutputTable[[#This Row],[GroupByKey]]),(OutputTable[GroupByKey]=OutputTable[[#This Row],[GroupByKey]])*OutputTable[RecordedValue]))</f>
        <v>840.77730126549898</v>
      </c>
    </row>
    <row r="217" spans="1:16" x14ac:dyDescent="0.25">
      <c r="A217" t="s">
        <v>68</v>
      </c>
      <c r="B217" t="s">
        <v>70</v>
      </c>
      <c r="C217">
        <v>11</v>
      </c>
      <c r="D217" t="s">
        <v>111</v>
      </c>
      <c r="E217" t="s">
        <v>112</v>
      </c>
      <c r="F217" t="s">
        <v>82</v>
      </c>
      <c r="G217">
        <v>721.63262315844599</v>
      </c>
      <c r="H217">
        <v>0</v>
      </c>
      <c r="I217" s="5" t="str">
        <f>OutputTable[[#This Row],[ProjectName]]&amp;OutputTable[[#This Row],[Name]]&amp;OutputTable[[#This Row],[Type]]&amp;OutputTable[[#This Row],[Source]]</f>
        <v>Tener ArticulsoDesembalaje Accum Wait TimeAccum Wait TimeProcess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12</v>
      </c>
      <c r="K217" s="5" cm="1">
        <f t="array" ref="K217">IFERROR(AVERAGE(IF((OutputTable[GroupByKey]=OutputTable[[#This Row],[GroupByKey]]),(OutputTable[GroupByKey]=OutputTable[[#This Row],[GroupByKey]])*OutputTable[RecordedValue])),0)</f>
        <v>811.48948897731191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143.72351593510379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91.317565381747087</v>
      </c>
      <c r="O217" s="5" cm="1">
        <f t="array" ref="O217">MIN(IF((OutputTable[GroupByKey]=OutputTable[[#This Row],[GroupByKey]]),(OutputTable[GroupByKey]=OutputTable[[#This Row],[GroupByKey]])*OutputTable[RecordedValue]))</f>
        <v>546.46370972178704</v>
      </c>
      <c r="P217" s="5" cm="1">
        <f t="array" ref="P217">MAX(IF((OutputTable[GroupByKey]=OutputTable[[#This Row],[GroupByKey]]),(OutputTable[GroupByKey]=OutputTable[[#This Row],[GroupByKey]])*OutputTable[RecordedValue]))</f>
        <v>1012.863937084</v>
      </c>
    </row>
    <row r="218" spans="1:16" x14ac:dyDescent="0.25">
      <c r="A218" t="s">
        <v>68</v>
      </c>
      <c r="B218" t="s">
        <v>70</v>
      </c>
      <c r="C218">
        <v>11</v>
      </c>
      <c r="D218" t="s">
        <v>113</v>
      </c>
      <c r="E218" t="s">
        <v>104</v>
      </c>
      <c r="F218" t="s">
        <v>82</v>
      </c>
      <c r="G218">
        <v>60</v>
      </c>
      <c r="H218">
        <v>0</v>
      </c>
      <c r="I218" s="5" t="str">
        <f>OutputTable[[#This Row],[ProjectName]]&amp;OutputTable[[#This Row],[Name]]&amp;OutputTable[[#This Row],[Type]]&amp;OutputTable[[#This Row],[Source]]</f>
        <v>Tener ArticulsoDesembalaje Number InNumber InProcess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12</v>
      </c>
      <c r="K218" s="5" cm="1">
        <f t="array" ref="K218">IFERROR(AVERAGE(IF((OutputTable[GroupByKey]=OutputTable[[#This Row],[GroupByKey]]),(OutputTable[GroupByKey]=OutputTable[[#This Row],[GroupByKey]])*OutputTable[RecordedValue])),0)</f>
        <v>66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4.1560470729681676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2.640626329283204</v>
      </c>
      <c r="O218" s="5" cm="1">
        <f t="array" ref="O218">MIN(IF((OutputTable[GroupByKey]=OutputTable[[#This Row],[GroupByKey]]),(OutputTable[GroupByKey]=OutputTable[[#This Row],[GroupByKey]])*OutputTable[RecordedValue]))</f>
        <v>59</v>
      </c>
      <c r="P218" s="5" cm="1">
        <f t="array" ref="P218">MAX(IF((OutputTable[GroupByKey]=OutputTable[[#This Row],[GroupByKey]]),(OutputTable[GroupByKey]=OutputTable[[#This Row],[GroupByKey]])*OutputTable[RecordedValue]))</f>
        <v>70</v>
      </c>
    </row>
    <row r="219" spans="1:16" x14ac:dyDescent="0.25">
      <c r="A219" t="s">
        <v>68</v>
      </c>
      <c r="B219" t="s">
        <v>70</v>
      </c>
      <c r="C219">
        <v>11</v>
      </c>
      <c r="D219" t="s">
        <v>114</v>
      </c>
      <c r="E219" t="s">
        <v>106</v>
      </c>
      <c r="F219" t="s">
        <v>82</v>
      </c>
      <c r="G219">
        <v>59</v>
      </c>
      <c r="H219">
        <v>0</v>
      </c>
      <c r="I219" s="5" t="str">
        <f>OutputTable[[#This Row],[ProjectName]]&amp;OutputTable[[#This Row],[Name]]&amp;OutputTable[[#This Row],[Type]]&amp;OutputTable[[#This Row],[Source]]</f>
        <v>Tener ArticulsoDesembalaje Number OutNumber OutProcess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12</v>
      </c>
      <c r="K219" s="5" cm="1">
        <f t="array" ref="K219">IFERROR(AVERAGE(IF((OutputTable[GroupByKey]=OutputTable[[#This Row],[GroupByKey]]),(OutputTable[GroupByKey]=OutputTable[[#This Row],[GroupByKey]])*OutputTable[RecordedValue])),0)</f>
        <v>65.083333333333329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4.2310182168734691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2.6882607215451362</v>
      </c>
      <c r="O219" s="5" cm="1">
        <f t="array" ref="O219">MIN(IF((OutputTable[GroupByKey]=OutputTable[[#This Row],[GroupByKey]]),(OutputTable[GroupByKey]=OutputTable[[#This Row],[GroupByKey]])*OutputTable[RecordedValue]))</f>
        <v>58</v>
      </c>
      <c r="P219" s="5" cm="1">
        <f t="array" ref="P219">MAX(IF((OutputTable[GroupByKey]=OutputTable[[#This Row],[GroupByKey]]),(OutputTable[GroupByKey]=OutputTable[[#This Row],[GroupByKey]])*OutputTable[RecordedValue]))</f>
        <v>69</v>
      </c>
    </row>
    <row r="220" spans="1:16" x14ac:dyDescent="0.25">
      <c r="A220" t="s">
        <v>68</v>
      </c>
      <c r="B220" t="s">
        <v>70</v>
      </c>
      <c r="C220">
        <v>11</v>
      </c>
      <c r="D220" t="s">
        <v>115</v>
      </c>
      <c r="E220" t="s">
        <v>110</v>
      </c>
      <c r="F220" t="s">
        <v>82</v>
      </c>
      <c r="G220">
        <v>1210.24543474854</v>
      </c>
      <c r="H220">
        <v>0</v>
      </c>
      <c r="I220" s="5" t="str">
        <f>OutputTable[[#This Row],[ProjectName]]&amp;OutputTable[[#This Row],[Name]]&amp;OutputTable[[#This Row],[Type]]&amp;OutputTable[[#This Row],[Source]]</f>
        <v>Tener ArticulsoOrganizar Accum VA TimeAccum VA TimeProcess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12</v>
      </c>
      <c r="K220" s="5" cm="1">
        <f t="array" ref="K220">IFERROR(AVERAGE(IF((OutputTable[GroupByKey]=OutputTable[[#This Row],[GroupByKey]]),(OutputTable[GroupByKey]=OutputTable[[#This Row],[GroupByKey]])*OutputTable[RecordedValue])),0)</f>
        <v>1181.2622276627176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50.899735842094827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32.340149247203939</v>
      </c>
      <c r="O220" s="5" cm="1">
        <f t="array" ref="O220">MIN(IF((OutputTable[GroupByKey]=OutputTable[[#This Row],[GroupByKey]]),(OutputTable[GroupByKey]=OutputTable[[#This Row],[GroupByKey]])*OutputTable[RecordedValue]))</f>
        <v>1106.0350367697699</v>
      </c>
      <c r="P220" s="5" cm="1">
        <f t="array" ref="P220">MAX(IF((OutputTable[GroupByKey]=OutputTable[[#This Row],[GroupByKey]]),(OutputTable[GroupByKey]=OutputTable[[#This Row],[GroupByKey]])*OutputTable[RecordedValue]))</f>
        <v>1255.97830087074</v>
      </c>
    </row>
    <row r="221" spans="1:16" x14ac:dyDescent="0.25">
      <c r="A221" t="s">
        <v>68</v>
      </c>
      <c r="B221" t="s">
        <v>70</v>
      </c>
      <c r="C221">
        <v>11</v>
      </c>
      <c r="D221" t="s">
        <v>116</v>
      </c>
      <c r="E221" t="s">
        <v>112</v>
      </c>
      <c r="F221" t="s">
        <v>82</v>
      </c>
      <c r="G221">
        <v>14490.8520366958</v>
      </c>
      <c r="H221">
        <v>0</v>
      </c>
      <c r="I221" s="5" t="str">
        <f>OutputTable[[#This Row],[ProjectName]]&amp;OutputTable[[#This Row],[Name]]&amp;OutputTable[[#This Row],[Type]]&amp;OutputTable[[#This Row],[Source]]</f>
        <v>Tener ArticulsoOrganizar Accum Wait TimeAccum Wait TimeProcess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12</v>
      </c>
      <c r="K221" s="5" cm="1">
        <f t="array" ref="K221">IFERROR(AVERAGE(IF((OutputTable[GroupByKey]=OutputTable[[#This Row],[GroupByKey]]),(OutputTable[GroupByKey]=OutputTable[[#This Row],[GroupByKey]])*OutputTable[RecordedValue])),0)</f>
        <v>14481.366678807759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2869.9645631781104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1823.4884871564914</v>
      </c>
      <c r="O221" s="5" cm="1">
        <f t="array" ref="O221">MIN(IF((OutputTable[GroupByKey]=OutputTable[[#This Row],[GroupByKey]]),(OutputTable[GroupByKey]=OutputTable[[#This Row],[GroupByKey]])*OutputTable[RecordedValue]))</f>
        <v>9643.84605851171</v>
      </c>
      <c r="P221" s="5" cm="1">
        <f t="array" ref="P221">MAX(IF((OutputTable[GroupByKey]=OutputTable[[#This Row],[GroupByKey]]),(OutputTable[GroupByKey]=OutputTable[[#This Row],[GroupByKey]])*OutputTable[RecordedValue]))</f>
        <v>18159.7018308675</v>
      </c>
    </row>
    <row r="222" spans="1:16" x14ac:dyDescent="0.25">
      <c r="A222" t="s">
        <v>68</v>
      </c>
      <c r="B222" t="s">
        <v>70</v>
      </c>
      <c r="C222">
        <v>11</v>
      </c>
      <c r="D222" t="s">
        <v>117</v>
      </c>
      <c r="E222" t="s">
        <v>104</v>
      </c>
      <c r="F222" t="s">
        <v>82</v>
      </c>
      <c r="G222">
        <v>800</v>
      </c>
      <c r="H222">
        <v>0</v>
      </c>
      <c r="I222" s="5" t="str">
        <f>OutputTable[[#This Row],[ProjectName]]&amp;OutputTable[[#This Row],[Name]]&amp;OutputTable[[#This Row],[Type]]&amp;OutputTable[[#This Row],[Source]]</f>
        <v>Tener ArticulsoOrganizar Number InNumber InProcess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12</v>
      </c>
      <c r="K222" s="5" cm="1">
        <f t="array" ref="K222">IFERROR(AVERAGE(IF((OutputTable[GroupByKey]=OutputTable[[#This Row],[GroupByKey]]),(OutputTable[GroupByKey]=OutputTable[[#This Row],[GroupByKey]])*OutputTable[RecordedValue])),0)</f>
        <v>794.91666666666663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34.394656914154915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21.853322409391229</v>
      </c>
      <c r="O222" s="5" cm="1">
        <f t="array" ref="O222">MIN(IF((OutputTable[GroupByKey]=OutputTable[[#This Row],[GroupByKey]]),(OutputTable[GroupByKey]=OutputTable[[#This Row],[GroupByKey]])*OutputTable[RecordedValue]))</f>
        <v>737</v>
      </c>
      <c r="P222" s="5" cm="1">
        <f t="array" ref="P222">MAX(IF((OutputTable[GroupByKey]=OutputTable[[#This Row],[GroupByKey]]),(OutputTable[GroupByKey]=OutputTable[[#This Row],[GroupByKey]])*OutputTable[RecordedValue]))</f>
        <v>841</v>
      </c>
    </row>
    <row r="223" spans="1:16" x14ac:dyDescent="0.25">
      <c r="A223" t="s">
        <v>68</v>
      </c>
      <c r="B223" t="s">
        <v>70</v>
      </c>
      <c r="C223">
        <v>11</v>
      </c>
      <c r="D223" t="s">
        <v>118</v>
      </c>
      <c r="E223" t="s">
        <v>106</v>
      </c>
      <c r="F223" t="s">
        <v>82</v>
      </c>
      <c r="G223">
        <v>797</v>
      </c>
      <c r="H223">
        <v>0</v>
      </c>
      <c r="I223" s="5" t="str">
        <f>OutputTable[[#This Row],[ProjectName]]&amp;OutputTable[[#This Row],[Name]]&amp;OutputTable[[#This Row],[Type]]&amp;OutputTable[[#This Row],[Source]]</f>
        <v>Tener ArticulsoOrganizar Number OutNumber OutProcess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12</v>
      </c>
      <c r="K223" s="5" cm="1">
        <f t="array" ref="K223">IFERROR(AVERAGE(IF((OutputTable[GroupByKey]=OutputTable[[#This Row],[GroupByKey]]),(OutputTable[GroupByKey]=OutputTable[[#This Row],[GroupByKey]])*OutputTable[RecordedValue])),0)</f>
        <v>786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32.741411087489801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20.80290012542233</v>
      </c>
      <c r="O223" s="5" cm="1">
        <f t="array" ref="O223">MIN(IF((OutputTable[GroupByKey]=OutputTable[[#This Row],[GroupByKey]]),(OutputTable[GroupByKey]=OutputTable[[#This Row],[GroupByKey]])*OutputTable[RecordedValue]))</f>
        <v>732</v>
      </c>
      <c r="P223" s="5" cm="1">
        <f t="array" ref="P223">MAX(IF((OutputTable[GroupByKey]=OutputTable[[#This Row],[GroupByKey]]),(OutputTable[GroupByKey]=OutputTable[[#This Row],[GroupByKey]])*OutputTable[RecordedValue]))</f>
        <v>829</v>
      </c>
    </row>
    <row r="224" spans="1:16" x14ac:dyDescent="0.25">
      <c r="A224" t="s">
        <v>68</v>
      </c>
      <c r="B224" t="s">
        <v>70</v>
      </c>
      <c r="C224">
        <v>11</v>
      </c>
      <c r="D224" t="s">
        <v>119</v>
      </c>
      <c r="E224" t="s">
        <v>110</v>
      </c>
      <c r="F224" t="s">
        <v>82</v>
      </c>
      <c r="G224">
        <v>1598.5758758726599</v>
      </c>
      <c r="H224">
        <v>0</v>
      </c>
      <c r="I224" s="5" t="str">
        <f>OutputTable[[#This Row],[ProjectName]]&amp;OutputTable[[#This Row],[Name]]&amp;OutputTable[[#This Row],[Type]]&amp;OutputTable[[#This Row],[Source]]</f>
        <v>Tener ArticulsoSacar Articulos Accum VA TimeAccum VA TimeProcess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12</v>
      </c>
      <c r="K224" s="5" cm="1">
        <f t="array" ref="K224">IFERROR(AVERAGE(IF((OutputTable[GroupByKey]=OutputTable[[#This Row],[GroupByKey]]),(OutputTable[GroupByKey]=OutputTable[[#This Row],[GroupByKey]])*OutputTable[RecordedValue])),0)</f>
        <v>1584.7600747574054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65.199632506816158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41.425870119928376</v>
      </c>
      <c r="O224" s="5" cm="1">
        <f t="array" ref="O224">MIN(IF((OutputTable[GroupByKey]=OutputTable[[#This Row],[GroupByKey]]),(OutputTable[GroupByKey]=OutputTable[[#This Row],[GroupByKey]])*OutputTable[RecordedValue]))</f>
        <v>1473.78349566985</v>
      </c>
      <c r="P224" s="5" cm="1">
        <f t="array" ref="P224">MAX(IF((OutputTable[GroupByKey]=OutputTable[[#This Row],[GroupByKey]]),(OutputTable[GroupByKey]=OutputTable[[#This Row],[GroupByKey]])*OutputTable[RecordedValue]))</f>
        <v>1673.21312485417</v>
      </c>
    </row>
    <row r="225" spans="1:16" x14ac:dyDescent="0.25">
      <c r="A225" t="s">
        <v>68</v>
      </c>
      <c r="B225" t="s">
        <v>70</v>
      </c>
      <c r="C225">
        <v>11</v>
      </c>
      <c r="D225" t="s">
        <v>120</v>
      </c>
      <c r="E225" t="s">
        <v>112</v>
      </c>
      <c r="F225" t="s">
        <v>82</v>
      </c>
      <c r="G225">
        <v>1120.8929218763201</v>
      </c>
      <c r="H225">
        <v>0</v>
      </c>
      <c r="I225" s="5" t="str">
        <f>OutputTable[[#This Row],[ProjectName]]&amp;OutputTable[[#This Row],[Name]]&amp;OutputTable[[#This Row],[Type]]&amp;OutputTable[[#This Row],[Source]]</f>
        <v>Tener ArticulsoSacar Articulos Accum Wait TimeAccum Wait TimeProcess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12</v>
      </c>
      <c r="K225" s="5" cm="1">
        <f t="array" ref="K225">IFERROR(AVERAGE(IF((OutputTable[GroupByKey]=OutputTable[[#This Row],[GroupByKey]]),(OutputTable[GroupByKey]=OutputTable[[#This Row],[GroupByKey]])*OutputTable[RecordedValue])),0)</f>
        <v>1151.8667665386067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58.761364856103697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37.335190015744239</v>
      </c>
      <c r="O225" s="5" cm="1">
        <f t="array" ref="O225">MIN(IF((OutputTable[GroupByKey]=OutputTable[[#This Row],[GroupByKey]]),(OutputTable[GroupByKey]=OutputTable[[#This Row],[GroupByKey]])*OutputTable[RecordedValue]))</f>
        <v>1064.4971115521701</v>
      </c>
      <c r="P225" s="5" cm="1">
        <f t="array" ref="P225">MAX(IF((OutputTable[GroupByKey]=OutputTable[[#This Row],[GroupByKey]]),(OutputTable[GroupByKey]=OutputTable[[#This Row],[GroupByKey]])*OutputTable[RecordedValue]))</f>
        <v>1232.84038930315</v>
      </c>
    </row>
    <row r="226" spans="1:16" x14ac:dyDescent="0.25">
      <c r="A226" t="s">
        <v>68</v>
      </c>
      <c r="B226" t="s">
        <v>70</v>
      </c>
      <c r="C226">
        <v>11</v>
      </c>
      <c r="D226" t="s">
        <v>121</v>
      </c>
      <c r="E226" t="s">
        <v>104</v>
      </c>
      <c r="F226" t="s">
        <v>82</v>
      </c>
      <c r="G226">
        <v>802</v>
      </c>
      <c r="H226">
        <v>0</v>
      </c>
      <c r="I226" s="5" t="str">
        <f>OutputTable[[#This Row],[ProjectName]]&amp;OutputTable[[#This Row],[Name]]&amp;OutputTable[[#This Row],[Type]]&amp;OutputTable[[#This Row],[Source]]</f>
        <v>Tener ArticulsoSacar Articulos Number InNumber InProcess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12</v>
      </c>
      <c r="K226" s="5" cm="1">
        <f t="array" ref="K226">IFERROR(AVERAGE(IF((OutputTable[GroupByKey]=OutputTable[[#This Row],[GroupByKey]]),(OutputTable[GroupByKey]=OutputTable[[#This Row],[GroupByKey]])*OutputTable[RecordedValue])),0)</f>
        <v>796.41666666666663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34.731328098924628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226" s="5" cm="1">
        <f t="array" ref="O226">MIN(IF((OutputTable[GroupByKey]=OutputTable[[#This Row],[GroupByKey]]),(OutputTable[GroupByKey]=OutputTable[[#This Row],[GroupByKey]])*OutputTable[RecordedValue]))</f>
        <v>737</v>
      </c>
      <c r="P226" s="5" cm="1">
        <f t="array" ref="P226">MAX(IF((OutputTable[GroupByKey]=OutputTable[[#This Row],[GroupByKey]]),(OutputTable[GroupByKey]=OutputTable[[#This Row],[GroupByKey]])*OutputTable[RecordedValue]))</f>
        <v>844</v>
      </c>
    </row>
    <row r="227" spans="1:16" x14ac:dyDescent="0.25">
      <c r="A227" t="s">
        <v>68</v>
      </c>
      <c r="B227" t="s">
        <v>70</v>
      </c>
      <c r="C227">
        <v>11</v>
      </c>
      <c r="D227" t="s">
        <v>122</v>
      </c>
      <c r="E227" t="s">
        <v>106</v>
      </c>
      <c r="F227" t="s">
        <v>82</v>
      </c>
      <c r="G227">
        <v>801</v>
      </c>
      <c r="H227">
        <v>0</v>
      </c>
      <c r="I227" s="5" t="str">
        <f>OutputTable[[#This Row],[ProjectName]]&amp;OutputTable[[#This Row],[Name]]&amp;OutputTable[[#This Row],[Type]]&amp;OutputTable[[#This Row],[Source]]</f>
        <v>Tener ArticulsoSacar Articulos Number OutNumber OutProcess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12</v>
      </c>
      <c r="K227" s="5" cm="1">
        <f t="array" ref="K227">IFERROR(AVERAGE(IF((OutputTable[GroupByKey]=OutputTable[[#This Row],[GroupByKey]]),(OutputTable[GroupByKey]=OutputTable[[#This Row],[GroupByKey]])*OutputTable[RecordedValue])),0)</f>
        <v>795.08333333333337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34.510758094287411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21.927089579910728</v>
      </c>
      <c r="O227" s="5" cm="1">
        <f t="array" ref="O227">MIN(IF((OutputTable[GroupByKey]=OutputTable[[#This Row],[GroupByKey]]),(OutputTable[GroupByKey]=OutputTable[[#This Row],[GroupByKey]])*OutputTable[RecordedValue]))</f>
        <v>737</v>
      </c>
      <c r="P227" s="5" cm="1">
        <f t="array" ref="P227">MAX(IF((OutputTable[GroupByKey]=OutputTable[[#This Row],[GroupByKey]]),(OutputTable[GroupByKey]=OutputTable[[#This Row],[GroupByKey]])*OutputTable[RecordedValue]))</f>
        <v>841</v>
      </c>
    </row>
    <row r="228" spans="1:16" x14ac:dyDescent="0.25">
      <c r="A228" t="s">
        <v>68</v>
      </c>
      <c r="B228" t="s">
        <v>70</v>
      </c>
      <c r="C228">
        <v>11</v>
      </c>
      <c r="D228" t="s">
        <v>123</v>
      </c>
      <c r="E228" t="s">
        <v>106</v>
      </c>
      <c r="F228" t="s">
        <v>124</v>
      </c>
      <c r="G228">
        <v>1156</v>
      </c>
      <c r="H228">
        <v>0</v>
      </c>
      <c r="I228" s="5" t="str">
        <f>OutputTable[[#This Row],[ProjectName]]&amp;OutputTable[[#This Row],[Name]]&amp;OutputTable[[#This Row],[Type]]&amp;OutputTable[[#This Row],[Source]]</f>
        <v>Tener ArticulsoSystem.NumberOutNumber OutSystem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12</v>
      </c>
      <c r="K228" s="5" cm="1">
        <f t="array" ref="K228">IFERROR(AVERAGE(IF((OutputTable[GroupByKey]=OutputTable[[#This Row],[GroupByKey]]),(OutputTable[GroupByKey]=OutputTable[[#This Row],[GroupByKey]])*OutputTable[RecordedValue])),0)</f>
        <v>1132.0833333333333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46.640712479614429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29.634094905050876</v>
      </c>
      <c r="O228" s="5" cm="1">
        <f t="array" ref="O228">MIN(IF((OutputTable[GroupByKey]=OutputTable[[#This Row],[GroupByKey]]),(OutputTable[GroupByKey]=OutputTable[[#This Row],[GroupByKey]])*OutputTable[RecordedValue]))</f>
        <v>1052</v>
      </c>
      <c r="P228" s="5" cm="1">
        <f t="array" ref="P228">MAX(IF((OutputTable[GroupByKey]=OutputTable[[#This Row],[GroupByKey]]),(OutputTable[GroupByKey]=OutputTable[[#This Row],[GroupByKey]])*OutputTable[RecordedValue]))</f>
        <v>1192</v>
      </c>
    </row>
    <row r="229" spans="1:16" x14ac:dyDescent="0.25">
      <c r="A229" t="s">
        <v>68</v>
      </c>
      <c r="B229" t="s">
        <v>70</v>
      </c>
      <c r="C229">
        <v>11</v>
      </c>
      <c r="D229" t="s">
        <v>125</v>
      </c>
      <c r="E229" t="s">
        <v>126</v>
      </c>
      <c r="F229" t="s">
        <v>99</v>
      </c>
      <c r="G229">
        <v>857</v>
      </c>
      <c r="H229">
        <v>0</v>
      </c>
      <c r="I229" s="5" t="str">
        <f>OutputTable[[#This Row],[ProjectName]]&amp;OutputTable[[#This Row],[Name]]&amp;OutputTable[[#This Row],[Type]]&amp;OutputTable[[#This Row],[Source]]</f>
        <v>Tener ArticulsorOrganizdor.NumberSeizedTotal Number SeizedResource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12</v>
      </c>
      <c r="K229" s="5" cm="1">
        <f t="array" ref="K229">IFERROR(AVERAGE(IF((OutputTable[GroupByKey]=OutputTable[[#This Row],[GroupByKey]]),(OutputTable[GroupByKey]=OutputTable[[#This Row],[GroupByKey]])*OutputTable[RecordedValue])),0)</f>
        <v>852.08333333333337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32.103407730002552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20.397532131659759</v>
      </c>
      <c r="O229" s="5" cm="1">
        <f t="array" ref="O229">MIN(IF((OutputTable[GroupByKey]=OutputTable[[#This Row],[GroupByKey]]),(OutputTable[GroupByKey]=OutputTable[[#This Row],[GroupByKey]])*OutputTable[RecordedValue]))</f>
        <v>800</v>
      </c>
      <c r="P229" s="5" cm="1">
        <f t="array" ref="P229">MAX(IF((OutputTable[GroupByKey]=OutputTable[[#This Row],[GroupByKey]]),(OutputTable[GroupByKey]=OutputTable[[#This Row],[GroupByKey]])*OutputTable[RecordedValue]))</f>
        <v>893</v>
      </c>
    </row>
    <row r="230" spans="1:16" x14ac:dyDescent="0.25">
      <c r="A230" t="s">
        <v>68</v>
      </c>
      <c r="B230" t="s">
        <v>70</v>
      </c>
      <c r="C230">
        <v>11</v>
      </c>
      <c r="D230" t="s">
        <v>127</v>
      </c>
      <c r="E230" t="s">
        <v>128</v>
      </c>
      <c r="F230" t="s">
        <v>99</v>
      </c>
      <c r="G230">
        <v>0.93586616929636302</v>
      </c>
      <c r="H230">
        <v>0</v>
      </c>
      <c r="I230" s="5" t="str">
        <f>OutputTable[[#This Row],[ProjectName]]&amp;OutputTable[[#This Row],[Name]]&amp;OutputTable[[#This Row],[Type]]&amp;OutputTable[[#This Row],[Source]]</f>
        <v>Tener ArticulsorOrganizdor.ScheduledUtilizationScheduled UtilizationResource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12</v>
      </c>
      <c r="K230" s="5" cm="1">
        <f t="array" ref="K230">IFERROR(AVERAGE(IF((OutputTable[GroupByKey]=OutputTable[[#This Row],[GroupByKey]]),(OutputTable[GroupByKey]=OutputTable[[#This Row],[GroupByKey]])*OutputTable[RecordedValue])),0)</f>
        <v>0.93693413710063267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3.0080475881637609E-2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1.9112222555672933E-2</v>
      </c>
      <c r="O230" s="5" cm="1">
        <f t="array" ref="O230">MIN(IF((OutputTable[GroupByKey]=OutputTable[[#This Row],[GroupByKey]]),(OutputTable[GroupByKey]=OutputTable[[#This Row],[GroupByKey]])*OutputTable[RecordedValue]))</f>
        <v>0.87408888428798603</v>
      </c>
      <c r="P230" s="5" cm="1">
        <f t="array" ref="P230">MAX(IF((OutputTable[GroupByKey]=OutputTable[[#This Row],[GroupByKey]]),(OutputTable[GroupByKey]=OutputTable[[#This Row],[GroupByKey]])*OutputTable[RecordedValue]))</f>
        <v>0.989515454392208</v>
      </c>
    </row>
    <row r="231" spans="1:16" x14ac:dyDescent="0.25">
      <c r="A231" t="s">
        <v>68</v>
      </c>
      <c r="B231" t="s">
        <v>70</v>
      </c>
      <c r="C231">
        <v>11</v>
      </c>
      <c r="D231" t="s">
        <v>129</v>
      </c>
      <c r="E231" t="s">
        <v>126</v>
      </c>
      <c r="F231" t="s">
        <v>99</v>
      </c>
      <c r="G231">
        <v>802</v>
      </c>
      <c r="H231">
        <v>0</v>
      </c>
      <c r="I231" s="5" t="str">
        <f>OutputTable[[#This Row],[ProjectName]]&amp;OutputTable[[#This Row],[Name]]&amp;OutputTable[[#This Row],[Type]]&amp;OutputTable[[#This Row],[Source]]</f>
        <v>Tener ArticulsorSacador.NumberSeizedTotal Number SeizedResource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12</v>
      </c>
      <c r="K231" s="5" cm="1">
        <f t="array" ref="K231">IFERROR(AVERAGE(IF((OutputTable[GroupByKey]=OutputTable[[#This Row],[GroupByKey]]),(OutputTable[GroupByKey]=OutputTable[[#This Row],[GroupByKey]])*OutputTable[RecordedValue])),0)</f>
        <v>795.66666666666663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34.623516268395946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21.998732705738043</v>
      </c>
      <c r="O231" s="5" cm="1">
        <f t="array" ref="O231">MIN(IF((OutputTable[GroupByKey]=OutputTable[[#This Row],[GroupByKey]]),(OutputTable[GroupByKey]=OutputTable[[#This Row],[GroupByKey]])*OutputTable[RecordedValue]))</f>
        <v>737</v>
      </c>
      <c r="P231" s="5" cm="1">
        <f t="array" ref="P231">MAX(IF((OutputTable[GroupByKey]=OutputTable[[#This Row],[GroupByKey]]),(OutputTable[GroupByKey]=OutputTable[[#This Row],[GroupByKey]])*OutputTable[RecordedValue]))</f>
        <v>842</v>
      </c>
    </row>
    <row r="232" spans="1:16" x14ac:dyDescent="0.25">
      <c r="A232" t="s">
        <v>68</v>
      </c>
      <c r="B232" t="s">
        <v>70</v>
      </c>
      <c r="C232">
        <v>11</v>
      </c>
      <c r="D232" t="s">
        <v>130</v>
      </c>
      <c r="E232" t="s">
        <v>128</v>
      </c>
      <c r="F232" t="s">
        <v>99</v>
      </c>
      <c r="G232">
        <v>0.76229781651912798</v>
      </c>
      <c r="H232">
        <v>0</v>
      </c>
      <c r="I232" s="5" t="str">
        <f>OutputTable[[#This Row],[ProjectName]]&amp;OutputTable[[#This Row],[Name]]&amp;OutputTable[[#This Row],[Type]]&amp;OutputTable[[#This Row],[Source]]</f>
        <v>Tener ArticulsorSacador.ScheduledUtilizationScheduled UtilizationResource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12</v>
      </c>
      <c r="K232" s="5" cm="1">
        <f t="array" ref="K232">IFERROR(AVERAGE(IF((OutputTable[GroupByKey]=OutputTable[[#This Row],[GroupByKey]]),(OutputTable[GroupByKey]=OutputTable[[#This Row],[GroupByKey]])*OutputTable[RecordedValue])),0)</f>
        <v>0.75499127770842467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3.0990673550046054E-2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1.9690534563658681E-2</v>
      </c>
      <c r="O232" s="5" cm="1">
        <f t="array" ref="O232">MIN(IF((OutputTable[GroupByKey]=OutputTable[[#This Row],[GroupByKey]]),(OutputTable[GroupByKey]=OutputTable[[#This Row],[GroupByKey]])*OutputTable[RecordedValue]))</f>
        <v>0.70281682687036895</v>
      </c>
      <c r="P232" s="5" cm="1">
        <f t="array" ref="P232">MAX(IF((OutputTable[GroupByKey]=OutputTable[[#This Row],[GroupByKey]]),(OutputTable[GroupByKey]=OutputTable[[#This Row],[GroupByKey]])*OutputTable[RecordedValue]))</f>
        <v>0.79676815469245998</v>
      </c>
    </row>
    <row r="233" spans="1:16" x14ac:dyDescent="0.25">
      <c r="A233" t="s">
        <v>68</v>
      </c>
      <c r="B233" t="s">
        <v>70</v>
      </c>
      <c r="C233">
        <v>12</v>
      </c>
      <c r="D233" t="s">
        <v>103</v>
      </c>
      <c r="E233" t="s">
        <v>104</v>
      </c>
      <c r="F233" t="s">
        <v>73</v>
      </c>
      <c r="G233">
        <v>737</v>
      </c>
      <c r="H233">
        <v>0</v>
      </c>
      <c r="I233" s="5" t="str">
        <f>OutputTable[[#This Row],[ProjectName]]&amp;OutputTable[[#This Row],[Name]]&amp;OutputTable[[#This Row],[Type]]&amp;OutputTable[[#This Row],[Source]]</f>
        <v>Tener ArticulsoArticulos.NumberInNumber InEntity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12</v>
      </c>
      <c r="K233" s="5" cm="1">
        <f t="array" ref="K233">IFERROR(AVERAGE(IF((OutputTable[GroupByKey]=OutputTable[[#This Row],[GroupByKey]]),(OutputTable[GroupByKey]=OutputTable[[#This Row],[GroupByKey]])*OutputTable[RecordedValue])),0)</f>
        <v>796.41666666666663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34.731328098924628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233" s="5" cm="1">
        <f t="array" ref="O233">MIN(IF((OutputTable[GroupByKey]=OutputTable[[#This Row],[GroupByKey]]),(OutputTable[GroupByKey]=OutputTable[[#This Row],[GroupByKey]])*OutputTable[RecordedValue]))</f>
        <v>737</v>
      </c>
      <c r="P233" s="5" cm="1">
        <f t="array" ref="P233">MAX(IF((OutputTable[GroupByKey]=OutputTable[[#This Row],[GroupByKey]]),(OutputTable[GroupByKey]=OutputTable[[#This Row],[GroupByKey]])*OutputTable[RecordedValue]))</f>
        <v>844</v>
      </c>
    </row>
    <row r="234" spans="1:16" x14ac:dyDescent="0.25">
      <c r="A234" t="s">
        <v>68</v>
      </c>
      <c r="B234" t="s">
        <v>70</v>
      </c>
      <c r="C234">
        <v>12</v>
      </c>
      <c r="D234" t="s">
        <v>105</v>
      </c>
      <c r="E234" t="s">
        <v>106</v>
      </c>
      <c r="F234" t="s">
        <v>73</v>
      </c>
      <c r="G234">
        <v>730</v>
      </c>
      <c r="H234">
        <v>0</v>
      </c>
      <c r="I234" s="5" t="str">
        <f>OutputTable[[#This Row],[ProjectName]]&amp;OutputTable[[#This Row],[Name]]&amp;OutputTable[[#This Row],[Type]]&amp;OutputTable[[#This Row],[Source]]</f>
        <v>Tener ArticulsoArticulos.NumberOutNumber OutEntity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12</v>
      </c>
      <c r="K234" s="5" cm="1">
        <f t="array" ref="K234">IFERROR(AVERAGE(IF((OutputTable[GroupByKey]=OutputTable[[#This Row],[GroupByKey]]),(OutputTable[GroupByKey]=OutputTable[[#This Row],[GroupByKey]])*OutputTable[RecordedValue])),0)</f>
        <v>783.16666666666663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31.541699191368682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20.040639553097002</v>
      </c>
      <c r="O234" s="5" cm="1">
        <f t="array" ref="O234">MIN(IF((OutputTable[GroupByKey]=OutputTable[[#This Row],[GroupByKey]]),(OutputTable[GroupByKey]=OutputTable[[#This Row],[GroupByKey]])*OutputTable[RecordedValue]))</f>
        <v>730</v>
      </c>
      <c r="P234" s="5" cm="1">
        <f t="array" ref="P234">MAX(IF((OutputTable[GroupByKey]=OutputTable[[#This Row],[GroupByKey]]),(OutputTable[GroupByKey]=OutputTable[[#This Row],[GroupByKey]])*OutputTable[RecordedValue]))</f>
        <v>826</v>
      </c>
    </row>
    <row r="235" spans="1:16" x14ac:dyDescent="0.25">
      <c r="A235" t="s">
        <v>68</v>
      </c>
      <c r="B235" t="s">
        <v>70</v>
      </c>
      <c r="C235">
        <v>12</v>
      </c>
      <c r="D235" t="s">
        <v>107</v>
      </c>
      <c r="E235" t="s">
        <v>104</v>
      </c>
      <c r="F235" t="s">
        <v>73</v>
      </c>
      <c r="G235">
        <v>1059</v>
      </c>
      <c r="H235">
        <v>0</v>
      </c>
      <c r="I235" s="5" t="str">
        <f>OutputTable[[#This Row],[ProjectName]]&amp;OutputTable[[#This Row],[Name]]&amp;OutputTable[[#This Row],[Type]]&amp;OutputTable[[#This Row],[Source]]</f>
        <v>Tener ArticulsoCarros.NumberInNumber InEntity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12</v>
      </c>
      <c r="K235" s="5" cm="1">
        <f t="array" ref="K235">IFERROR(AVERAGE(IF((OutputTable[GroupByKey]=OutputTable[[#This Row],[GroupByKey]]),(OutputTable[GroupByKey]=OutputTable[[#This Row],[GroupByKey]])*OutputTable[RecordedValue])),0)</f>
        <v>1145.9166666666667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49.73101891600696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31.597581939297463</v>
      </c>
      <c r="O235" s="5" cm="1">
        <f t="array" ref="O235">MIN(IF((OutputTable[GroupByKey]=OutputTable[[#This Row],[GroupByKey]]),(OutputTable[GroupByKey]=OutputTable[[#This Row],[GroupByKey]])*OutputTable[RecordedValue]))</f>
        <v>1059</v>
      </c>
      <c r="P235" s="5" cm="1">
        <f t="array" ref="P235">MAX(IF((OutputTable[GroupByKey]=OutputTable[[#This Row],[GroupByKey]]),(OutputTable[GroupByKey]=OutputTable[[#This Row],[GroupByKey]])*OutputTable[RecordedValue]))</f>
        <v>1210</v>
      </c>
    </row>
    <row r="236" spans="1:16" x14ac:dyDescent="0.25">
      <c r="A236" t="s">
        <v>68</v>
      </c>
      <c r="B236" t="s">
        <v>70</v>
      </c>
      <c r="C236">
        <v>12</v>
      </c>
      <c r="D236" t="s">
        <v>108</v>
      </c>
      <c r="E236" t="s">
        <v>106</v>
      </c>
      <c r="F236" t="s">
        <v>73</v>
      </c>
      <c r="G236">
        <v>1059</v>
      </c>
      <c r="H236">
        <v>0</v>
      </c>
      <c r="I236" s="5" t="str">
        <f>OutputTable[[#This Row],[ProjectName]]&amp;OutputTable[[#This Row],[Name]]&amp;OutputTable[[#This Row],[Type]]&amp;OutputTable[[#This Row],[Source]]</f>
        <v>Tener ArticulsoCarros.NumberOutNumber OutEntity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12</v>
      </c>
      <c r="K236" s="5" cm="1">
        <f t="array" ref="K236">IFERROR(AVERAGE(IF((OutputTable[GroupByKey]=OutputTable[[#This Row],[GroupByKey]]),(OutputTable[GroupByKey]=OutputTable[[#This Row],[GroupByKey]])*OutputTable[RecordedValue])),0)</f>
        <v>1145.3333333333333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49.816633464104832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31.651978827953357</v>
      </c>
      <c r="O236" s="5" cm="1">
        <f t="array" ref="O236">MIN(IF((OutputTable[GroupByKey]=OutputTable[[#This Row],[GroupByKey]]),(OutputTable[GroupByKey]=OutputTable[[#This Row],[GroupByKey]])*OutputTable[RecordedValue]))</f>
        <v>1059</v>
      </c>
      <c r="P236" s="5" cm="1">
        <f t="array" ref="P236">MAX(IF((OutputTable[GroupByKey]=OutputTable[[#This Row],[GroupByKey]]),(OutputTable[GroupByKey]=OutputTable[[#This Row],[GroupByKey]])*OutputTable[RecordedValue]))</f>
        <v>1210</v>
      </c>
    </row>
    <row r="237" spans="1:16" x14ac:dyDescent="0.25">
      <c r="A237" t="s">
        <v>68</v>
      </c>
      <c r="B237" t="s">
        <v>70</v>
      </c>
      <c r="C237">
        <v>12</v>
      </c>
      <c r="D237" t="s">
        <v>109</v>
      </c>
      <c r="E237" t="s">
        <v>110</v>
      </c>
      <c r="F237" t="s">
        <v>82</v>
      </c>
      <c r="G237">
        <v>800.73762516168995</v>
      </c>
      <c r="H237">
        <v>0</v>
      </c>
      <c r="I237" s="5" t="str">
        <f>OutputTable[[#This Row],[ProjectName]]&amp;OutputTable[[#This Row],[Name]]&amp;OutputTable[[#This Row],[Type]]&amp;OutputTable[[#This Row],[Source]]</f>
        <v>Tener ArticulsoDesembalaje Accum VA TimeAccum VA TimeProcess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12</v>
      </c>
      <c r="K237" s="5" cm="1">
        <f t="array" ref="K237">IFERROR(AVERAGE(IF((OutputTable[GroupByKey]=OutputTable[[#This Row],[GroupByKey]]),(OutputTable[GroupByKey]=OutputTable[[#This Row],[GroupByKey]])*OutputTable[RecordedValue])),0)</f>
        <v>783.216775239051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48.528923107513336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30.833806701313396</v>
      </c>
      <c r="O237" s="5" cm="1">
        <f t="array" ref="O237">MIN(IF((OutputTable[GroupByKey]=OutputTable[[#This Row],[GroupByKey]]),(OutputTable[GroupByKey]=OutputTable[[#This Row],[GroupByKey]])*OutputTable[RecordedValue]))</f>
        <v>678.52271145285295</v>
      </c>
      <c r="P237" s="5" cm="1">
        <f t="array" ref="P237">MAX(IF((OutputTable[GroupByKey]=OutputTable[[#This Row],[GroupByKey]]),(OutputTable[GroupByKey]=OutputTable[[#This Row],[GroupByKey]])*OutputTable[RecordedValue]))</f>
        <v>840.77730126549898</v>
      </c>
    </row>
    <row r="238" spans="1:16" x14ac:dyDescent="0.25">
      <c r="A238" t="s">
        <v>68</v>
      </c>
      <c r="B238" t="s">
        <v>70</v>
      </c>
      <c r="C238">
        <v>12</v>
      </c>
      <c r="D238" t="s">
        <v>111</v>
      </c>
      <c r="E238" t="s">
        <v>112</v>
      </c>
      <c r="F238" t="s">
        <v>82</v>
      </c>
      <c r="G238">
        <v>771.21363046314502</v>
      </c>
      <c r="H238">
        <v>0</v>
      </c>
      <c r="I238" s="5" t="str">
        <f>OutputTable[[#This Row],[ProjectName]]&amp;OutputTable[[#This Row],[Name]]&amp;OutputTable[[#This Row],[Type]]&amp;OutputTable[[#This Row],[Source]]</f>
        <v>Tener ArticulsoDesembalaje Accum Wait TimeAccum Wait TimeProcess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12</v>
      </c>
      <c r="K238" s="5" cm="1">
        <f t="array" ref="K238">IFERROR(AVERAGE(IF((OutputTable[GroupByKey]=OutputTable[[#This Row],[GroupByKey]]),(OutputTable[GroupByKey]=OutputTable[[#This Row],[GroupByKey]])*OutputTable[RecordedValue])),0)</f>
        <v>811.48948897731191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143.72351593510379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91.317565381747087</v>
      </c>
      <c r="O238" s="5" cm="1">
        <f t="array" ref="O238">MIN(IF((OutputTable[GroupByKey]=OutputTable[[#This Row],[GroupByKey]]),(OutputTable[GroupByKey]=OutputTable[[#This Row],[GroupByKey]])*OutputTable[RecordedValue]))</f>
        <v>546.46370972178704</v>
      </c>
      <c r="P238" s="5" cm="1">
        <f t="array" ref="P238">MAX(IF((OutputTable[GroupByKey]=OutputTable[[#This Row],[GroupByKey]]),(OutputTable[GroupByKey]=OutputTable[[#This Row],[GroupByKey]])*OutputTable[RecordedValue]))</f>
        <v>1012.863937084</v>
      </c>
    </row>
    <row r="239" spans="1:16" x14ac:dyDescent="0.25">
      <c r="A239" t="s">
        <v>68</v>
      </c>
      <c r="B239" t="s">
        <v>70</v>
      </c>
      <c r="C239">
        <v>12</v>
      </c>
      <c r="D239" t="s">
        <v>113</v>
      </c>
      <c r="E239" t="s">
        <v>104</v>
      </c>
      <c r="F239" t="s">
        <v>82</v>
      </c>
      <c r="G239">
        <v>68</v>
      </c>
      <c r="H239">
        <v>0</v>
      </c>
      <c r="I239" s="5" t="str">
        <f>OutputTable[[#This Row],[ProjectName]]&amp;OutputTable[[#This Row],[Name]]&amp;OutputTable[[#This Row],[Type]]&amp;OutputTable[[#This Row],[Source]]</f>
        <v>Tener ArticulsoDesembalaje Number InNumber InProcess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12</v>
      </c>
      <c r="K239" s="5" cm="1">
        <f t="array" ref="K239">IFERROR(AVERAGE(IF((OutputTable[GroupByKey]=OutputTable[[#This Row],[GroupByKey]]),(OutputTable[GroupByKey]=OutputTable[[#This Row],[GroupByKey]])*OutputTable[RecordedValue])),0)</f>
        <v>66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4.1560470729681676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2.640626329283204</v>
      </c>
      <c r="O239" s="5" cm="1">
        <f t="array" ref="O239">MIN(IF((OutputTable[GroupByKey]=OutputTable[[#This Row],[GroupByKey]]),(OutputTable[GroupByKey]=OutputTable[[#This Row],[GroupByKey]])*OutputTable[RecordedValue]))</f>
        <v>59</v>
      </c>
      <c r="P239" s="5" cm="1">
        <f t="array" ref="P239">MAX(IF((OutputTable[GroupByKey]=OutputTable[[#This Row],[GroupByKey]]),(OutputTable[GroupByKey]=OutputTable[[#This Row],[GroupByKey]])*OutputTable[RecordedValue]))</f>
        <v>70</v>
      </c>
    </row>
    <row r="240" spans="1:16" x14ac:dyDescent="0.25">
      <c r="A240" t="s">
        <v>68</v>
      </c>
      <c r="B240" t="s">
        <v>70</v>
      </c>
      <c r="C240">
        <v>12</v>
      </c>
      <c r="D240" t="s">
        <v>114</v>
      </c>
      <c r="E240" t="s">
        <v>106</v>
      </c>
      <c r="F240" t="s">
        <v>82</v>
      </c>
      <c r="G240">
        <v>67</v>
      </c>
      <c r="H240">
        <v>0</v>
      </c>
      <c r="I240" s="5" t="str">
        <f>OutputTable[[#This Row],[ProjectName]]&amp;OutputTable[[#This Row],[Name]]&amp;OutputTable[[#This Row],[Type]]&amp;OutputTable[[#This Row],[Source]]</f>
        <v>Tener ArticulsoDesembalaje Number OutNumber OutProcess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12</v>
      </c>
      <c r="K240" s="5" cm="1">
        <f t="array" ref="K240">IFERROR(AVERAGE(IF((OutputTable[GroupByKey]=OutputTable[[#This Row],[GroupByKey]]),(OutputTable[GroupByKey]=OutputTable[[#This Row],[GroupByKey]])*OutputTable[RecordedValue])),0)</f>
        <v>65.083333333333329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4.2310182168734691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2.6882607215451362</v>
      </c>
      <c r="O240" s="5" cm="1">
        <f t="array" ref="O240">MIN(IF((OutputTable[GroupByKey]=OutputTable[[#This Row],[GroupByKey]]),(OutputTable[GroupByKey]=OutputTable[[#This Row],[GroupByKey]])*OutputTable[RecordedValue]))</f>
        <v>58</v>
      </c>
      <c r="P240" s="5" cm="1">
        <f t="array" ref="P240">MAX(IF((OutputTable[GroupByKey]=OutputTable[[#This Row],[GroupByKey]]),(OutputTable[GroupByKey]=OutputTable[[#This Row],[GroupByKey]])*OutputTable[RecordedValue]))</f>
        <v>69</v>
      </c>
    </row>
    <row r="241" spans="1:16" x14ac:dyDescent="0.25">
      <c r="A241" t="s">
        <v>68</v>
      </c>
      <c r="B241" t="s">
        <v>70</v>
      </c>
      <c r="C241">
        <v>12</v>
      </c>
      <c r="D241" t="s">
        <v>115</v>
      </c>
      <c r="E241" t="s">
        <v>110</v>
      </c>
      <c r="F241" t="s">
        <v>82</v>
      </c>
      <c r="G241">
        <v>1110.6780989276499</v>
      </c>
      <c r="H241">
        <v>0</v>
      </c>
      <c r="I241" s="5" t="str">
        <f>OutputTable[[#This Row],[ProjectName]]&amp;OutputTable[[#This Row],[Name]]&amp;OutputTable[[#This Row],[Type]]&amp;OutputTable[[#This Row],[Source]]</f>
        <v>Tener ArticulsoOrganizar Accum VA TimeAccum VA TimeProcess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12</v>
      </c>
      <c r="K241" s="5" cm="1">
        <f t="array" ref="K241">IFERROR(AVERAGE(IF((OutputTable[GroupByKey]=OutputTable[[#This Row],[GroupByKey]]),(OutputTable[GroupByKey]=OutputTable[[#This Row],[GroupByKey]])*OutputTable[RecordedValue])),0)</f>
        <v>1181.2622276627176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50.899735842094827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32.340149247203939</v>
      </c>
      <c r="O241" s="5" cm="1">
        <f t="array" ref="O241">MIN(IF((OutputTable[GroupByKey]=OutputTable[[#This Row],[GroupByKey]]),(OutputTable[GroupByKey]=OutputTable[[#This Row],[GroupByKey]])*OutputTable[RecordedValue]))</f>
        <v>1106.0350367697699</v>
      </c>
      <c r="P241" s="5" cm="1">
        <f t="array" ref="P241">MAX(IF((OutputTable[GroupByKey]=OutputTable[[#This Row],[GroupByKey]]),(OutputTable[GroupByKey]=OutputTable[[#This Row],[GroupByKey]])*OutputTable[RecordedValue]))</f>
        <v>1255.97830087074</v>
      </c>
    </row>
    <row r="242" spans="1:16" x14ac:dyDescent="0.25">
      <c r="A242" t="s">
        <v>68</v>
      </c>
      <c r="B242" t="s">
        <v>70</v>
      </c>
      <c r="C242">
        <v>12</v>
      </c>
      <c r="D242" t="s">
        <v>116</v>
      </c>
      <c r="E242" t="s">
        <v>112</v>
      </c>
      <c r="F242" t="s">
        <v>82</v>
      </c>
      <c r="G242">
        <v>12121.3305896152</v>
      </c>
      <c r="H242">
        <v>0</v>
      </c>
      <c r="I242" s="5" t="str">
        <f>OutputTable[[#This Row],[ProjectName]]&amp;OutputTable[[#This Row],[Name]]&amp;OutputTable[[#This Row],[Type]]&amp;OutputTable[[#This Row],[Source]]</f>
        <v>Tener ArticulsoOrganizar Accum Wait TimeAccum Wait TimeProcess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12</v>
      </c>
      <c r="K242" s="5" cm="1">
        <f t="array" ref="K242">IFERROR(AVERAGE(IF((OutputTable[GroupByKey]=OutputTable[[#This Row],[GroupByKey]]),(OutputTable[GroupByKey]=OutputTable[[#This Row],[GroupByKey]])*OutputTable[RecordedValue])),0)</f>
        <v>14481.366678807759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2869.9645631781104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1823.4884871564914</v>
      </c>
      <c r="O242" s="5" cm="1">
        <f t="array" ref="O242">MIN(IF((OutputTable[GroupByKey]=OutputTable[[#This Row],[GroupByKey]]),(OutputTable[GroupByKey]=OutputTable[[#This Row],[GroupByKey]])*OutputTable[RecordedValue]))</f>
        <v>9643.84605851171</v>
      </c>
      <c r="P242" s="5" cm="1">
        <f t="array" ref="P242">MAX(IF((OutputTable[GroupByKey]=OutputTable[[#This Row],[GroupByKey]]),(OutputTable[GroupByKey]=OutputTable[[#This Row],[GroupByKey]])*OutputTable[RecordedValue]))</f>
        <v>18159.7018308675</v>
      </c>
    </row>
    <row r="243" spans="1:16" x14ac:dyDescent="0.25">
      <c r="A243" t="s">
        <v>68</v>
      </c>
      <c r="B243" t="s">
        <v>70</v>
      </c>
      <c r="C243">
        <v>12</v>
      </c>
      <c r="D243" t="s">
        <v>117</v>
      </c>
      <c r="E243" t="s">
        <v>104</v>
      </c>
      <c r="F243" t="s">
        <v>82</v>
      </c>
      <c r="G243">
        <v>737</v>
      </c>
      <c r="H243">
        <v>0</v>
      </c>
      <c r="I243" s="5" t="str">
        <f>OutputTable[[#This Row],[ProjectName]]&amp;OutputTable[[#This Row],[Name]]&amp;OutputTable[[#This Row],[Type]]&amp;OutputTable[[#This Row],[Source]]</f>
        <v>Tener ArticulsoOrganizar Number InNumber InProcess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12</v>
      </c>
      <c r="K243" s="5" cm="1">
        <f t="array" ref="K243">IFERROR(AVERAGE(IF((OutputTable[GroupByKey]=OutputTable[[#This Row],[GroupByKey]]),(OutputTable[GroupByKey]=OutputTable[[#This Row],[GroupByKey]])*OutputTable[RecordedValue])),0)</f>
        <v>794.91666666666663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34.394656914154915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21.853322409391229</v>
      </c>
      <c r="O243" s="5" cm="1">
        <f t="array" ref="O243">MIN(IF((OutputTable[GroupByKey]=OutputTable[[#This Row],[GroupByKey]]),(OutputTable[GroupByKey]=OutputTable[[#This Row],[GroupByKey]])*OutputTable[RecordedValue]))</f>
        <v>737</v>
      </c>
      <c r="P243" s="5" cm="1">
        <f t="array" ref="P243">MAX(IF((OutputTable[GroupByKey]=OutputTable[[#This Row],[GroupByKey]]),(OutputTable[GroupByKey]=OutputTable[[#This Row],[GroupByKey]])*OutputTable[RecordedValue]))</f>
        <v>841</v>
      </c>
    </row>
    <row r="244" spans="1:16" x14ac:dyDescent="0.25">
      <c r="A244" t="s">
        <v>68</v>
      </c>
      <c r="B244" t="s">
        <v>70</v>
      </c>
      <c r="C244">
        <v>12</v>
      </c>
      <c r="D244" t="s">
        <v>118</v>
      </c>
      <c r="E244" t="s">
        <v>106</v>
      </c>
      <c r="F244" t="s">
        <v>82</v>
      </c>
      <c r="G244">
        <v>732</v>
      </c>
      <c r="H244">
        <v>0</v>
      </c>
      <c r="I244" s="5" t="str">
        <f>OutputTable[[#This Row],[ProjectName]]&amp;OutputTable[[#This Row],[Name]]&amp;OutputTable[[#This Row],[Type]]&amp;OutputTable[[#This Row],[Source]]</f>
        <v>Tener ArticulsoOrganizar Number OutNumber OutProcess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12</v>
      </c>
      <c r="K244" s="5" cm="1">
        <f t="array" ref="K244">IFERROR(AVERAGE(IF((OutputTable[GroupByKey]=OutputTable[[#This Row],[GroupByKey]]),(OutputTable[GroupByKey]=OutputTable[[#This Row],[GroupByKey]])*OutputTable[RecordedValue])),0)</f>
        <v>786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32.741411087489801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20.80290012542233</v>
      </c>
      <c r="O244" s="5" cm="1">
        <f t="array" ref="O244">MIN(IF((OutputTable[GroupByKey]=OutputTable[[#This Row],[GroupByKey]]),(OutputTable[GroupByKey]=OutputTable[[#This Row],[GroupByKey]])*OutputTable[RecordedValue]))</f>
        <v>732</v>
      </c>
      <c r="P244" s="5" cm="1">
        <f t="array" ref="P244">MAX(IF((OutputTable[GroupByKey]=OutputTable[[#This Row],[GroupByKey]]),(OutputTable[GroupByKey]=OutputTable[[#This Row],[GroupByKey]])*OutputTable[RecordedValue]))</f>
        <v>829</v>
      </c>
    </row>
    <row r="245" spans="1:16" x14ac:dyDescent="0.25">
      <c r="A245" t="s">
        <v>68</v>
      </c>
      <c r="B245" t="s">
        <v>70</v>
      </c>
      <c r="C245">
        <v>12</v>
      </c>
      <c r="D245" t="s">
        <v>119</v>
      </c>
      <c r="E245" t="s">
        <v>110</v>
      </c>
      <c r="F245" t="s">
        <v>82</v>
      </c>
      <c r="G245">
        <v>1526.6621227439</v>
      </c>
      <c r="H245">
        <v>0</v>
      </c>
      <c r="I245" s="5" t="str">
        <f>OutputTable[[#This Row],[ProjectName]]&amp;OutputTable[[#This Row],[Name]]&amp;OutputTable[[#This Row],[Type]]&amp;OutputTable[[#This Row],[Source]]</f>
        <v>Tener ArticulsoSacar Articulos Accum VA TimeAccum VA TimeProcess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12</v>
      </c>
      <c r="K245" s="5" cm="1">
        <f t="array" ref="K245">IFERROR(AVERAGE(IF((OutputTable[GroupByKey]=OutputTable[[#This Row],[GroupByKey]]),(OutputTable[GroupByKey]=OutputTable[[#This Row],[GroupByKey]])*OutputTable[RecordedValue])),0)</f>
        <v>1584.7600747574054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65.199632506816158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41.425870119928376</v>
      </c>
      <c r="O245" s="5" cm="1">
        <f t="array" ref="O245">MIN(IF((OutputTable[GroupByKey]=OutputTable[[#This Row],[GroupByKey]]),(OutputTable[GroupByKey]=OutputTable[[#This Row],[GroupByKey]])*OutputTable[RecordedValue]))</f>
        <v>1473.78349566985</v>
      </c>
      <c r="P245" s="5" cm="1">
        <f t="array" ref="P245">MAX(IF((OutputTable[GroupByKey]=OutputTable[[#This Row],[GroupByKey]]),(OutputTable[GroupByKey]=OutputTable[[#This Row],[GroupByKey]])*OutputTable[RecordedValue]))</f>
        <v>1673.21312485417</v>
      </c>
    </row>
    <row r="246" spans="1:16" x14ac:dyDescent="0.25">
      <c r="A246" t="s">
        <v>68</v>
      </c>
      <c r="B246" t="s">
        <v>70</v>
      </c>
      <c r="C246">
        <v>12</v>
      </c>
      <c r="D246" t="s">
        <v>120</v>
      </c>
      <c r="E246" t="s">
        <v>112</v>
      </c>
      <c r="F246" t="s">
        <v>82</v>
      </c>
      <c r="G246">
        <v>1089.46670227411</v>
      </c>
      <c r="H246">
        <v>0</v>
      </c>
      <c r="I246" s="5" t="str">
        <f>OutputTable[[#This Row],[ProjectName]]&amp;OutputTable[[#This Row],[Name]]&amp;OutputTable[[#This Row],[Type]]&amp;OutputTable[[#This Row],[Source]]</f>
        <v>Tener ArticulsoSacar Articulos Accum Wait TimeAccum Wait TimeProcess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12</v>
      </c>
      <c r="K246" s="5" cm="1">
        <f t="array" ref="K246">IFERROR(AVERAGE(IF((OutputTable[GroupByKey]=OutputTable[[#This Row],[GroupByKey]]),(OutputTable[GroupByKey]=OutputTable[[#This Row],[GroupByKey]])*OutputTable[RecordedValue])),0)</f>
        <v>1151.8667665386067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58.761364856103697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37.335190015744239</v>
      </c>
      <c r="O246" s="5" cm="1">
        <f t="array" ref="O246">MIN(IF((OutputTable[GroupByKey]=OutputTable[[#This Row],[GroupByKey]]),(OutputTable[GroupByKey]=OutputTable[[#This Row],[GroupByKey]])*OutputTable[RecordedValue]))</f>
        <v>1064.4971115521701</v>
      </c>
      <c r="P246" s="5" cm="1">
        <f t="array" ref="P246">MAX(IF((OutputTable[GroupByKey]=OutputTable[[#This Row],[GroupByKey]]),(OutputTable[GroupByKey]=OutputTable[[#This Row],[GroupByKey]])*OutputTable[RecordedValue]))</f>
        <v>1232.84038930315</v>
      </c>
    </row>
    <row r="247" spans="1:16" x14ac:dyDescent="0.25">
      <c r="A247" t="s">
        <v>68</v>
      </c>
      <c r="B247" t="s">
        <v>70</v>
      </c>
      <c r="C247">
        <v>12</v>
      </c>
      <c r="D247" t="s">
        <v>121</v>
      </c>
      <c r="E247" t="s">
        <v>104</v>
      </c>
      <c r="F247" t="s">
        <v>82</v>
      </c>
      <c r="G247">
        <v>737</v>
      </c>
      <c r="H247">
        <v>0</v>
      </c>
      <c r="I247" s="5" t="str">
        <f>OutputTable[[#This Row],[ProjectName]]&amp;OutputTable[[#This Row],[Name]]&amp;OutputTable[[#This Row],[Type]]&amp;OutputTable[[#This Row],[Source]]</f>
        <v>Tener ArticulsoSacar Articulos Number InNumber InProcess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12</v>
      </c>
      <c r="K247" s="5" cm="1">
        <f t="array" ref="K247">IFERROR(AVERAGE(IF((OutputTable[GroupByKey]=OutputTable[[#This Row],[GroupByKey]]),(OutputTable[GroupByKey]=OutputTable[[#This Row],[GroupByKey]])*OutputTable[RecordedValue])),0)</f>
        <v>796.41666666666663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34.731328098924628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22.067233074791599</v>
      </c>
      <c r="O247" s="5" cm="1">
        <f t="array" ref="O247">MIN(IF((OutputTable[GroupByKey]=OutputTable[[#This Row],[GroupByKey]]),(OutputTable[GroupByKey]=OutputTable[[#This Row],[GroupByKey]])*OutputTable[RecordedValue]))</f>
        <v>737</v>
      </c>
      <c r="P247" s="5" cm="1">
        <f t="array" ref="P247">MAX(IF((OutputTable[GroupByKey]=OutputTable[[#This Row],[GroupByKey]]),(OutputTable[GroupByKey]=OutputTable[[#This Row],[GroupByKey]])*OutputTable[RecordedValue]))</f>
        <v>844</v>
      </c>
    </row>
    <row r="248" spans="1:16" x14ac:dyDescent="0.25">
      <c r="A248" t="s">
        <v>68</v>
      </c>
      <c r="B248" t="s">
        <v>70</v>
      </c>
      <c r="C248">
        <v>12</v>
      </c>
      <c r="D248" t="s">
        <v>122</v>
      </c>
      <c r="E248" t="s">
        <v>106</v>
      </c>
      <c r="F248" t="s">
        <v>82</v>
      </c>
      <c r="G248">
        <v>737</v>
      </c>
      <c r="H248">
        <v>0</v>
      </c>
      <c r="I248" s="5" t="str">
        <f>OutputTable[[#This Row],[ProjectName]]&amp;OutputTable[[#This Row],[Name]]&amp;OutputTable[[#This Row],[Type]]&amp;OutputTable[[#This Row],[Source]]</f>
        <v>Tener ArticulsoSacar Articulos Number OutNumber OutProcess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12</v>
      </c>
      <c r="K248" s="5" cm="1">
        <f t="array" ref="K248">IFERROR(AVERAGE(IF((OutputTable[GroupByKey]=OutputTable[[#This Row],[GroupByKey]]),(OutputTable[GroupByKey]=OutputTable[[#This Row],[GroupByKey]])*OutputTable[RecordedValue])),0)</f>
        <v>795.08333333333337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34.510758094287411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21.927089579910728</v>
      </c>
      <c r="O248" s="5" cm="1">
        <f t="array" ref="O248">MIN(IF((OutputTable[GroupByKey]=OutputTable[[#This Row],[GroupByKey]]),(OutputTable[GroupByKey]=OutputTable[[#This Row],[GroupByKey]])*OutputTable[RecordedValue]))</f>
        <v>737</v>
      </c>
      <c r="P248" s="5" cm="1">
        <f t="array" ref="P248">MAX(IF((OutputTable[GroupByKey]=OutputTable[[#This Row],[GroupByKey]]),(OutputTable[GroupByKey]=OutputTable[[#This Row],[GroupByKey]])*OutputTable[RecordedValue]))</f>
        <v>841</v>
      </c>
    </row>
    <row r="249" spans="1:16" x14ac:dyDescent="0.25">
      <c r="A249" t="s">
        <v>68</v>
      </c>
      <c r="B249" t="s">
        <v>70</v>
      </c>
      <c r="C249">
        <v>12</v>
      </c>
      <c r="D249" t="s">
        <v>123</v>
      </c>
      <c r="E249" t="s">
        <v>106</v>
      </c>
      <c r="F249" t="s">
        <v>124</v>
      </c>
      <c r="G249">
        <v>1052</v>
      </c>
      <c r="H249">
        <v>0</v>
      </c>
      <c r="I249" s="5" t="str">
        <f>OutputTable[[#This Row],[ProjectName]]&amp;OutputTable[[#This Row],[Name]]&amp;OutputTable[[#This Row],[Type]]&amp;OutputTable[[#This Row],[Source]]</f>
        <v>Tener ArticulsoSystem.NumberOutNumber OutSystem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12</v>
      </c>
      <c r="K249" s="5" cm="1">
        <f t="array" ref="K249">IFERROR(AVERAGE(IF((OutputTable[GroupByKey]=OutputTable[[#This Row],[GroupByKey]]),(OutputTable[GroupByKey]=OutputTable[[#This Row],[GroupByKey]])*OutputTable[RecordedValue])),0)</f>
        <v>1132.0833333333333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46.640712479614429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29.634094905050876</v>
      </c>
      <c r="O249" s="5" cm="1">
        <f t="array" ref="O249">MIN(IF((OutputTable[GroupByKey]=OutputTable[[#This Row],[GroupByKey]]),(OutputTable[GroupByKey]=OutputTable[[#This Row],[GroupByKey]])*OutputTable[RecordedValue]))</f>
        <v>1052</v>
      </c>
      <c r="P249" s="5" cm="1">
        <f t="array" ref="P249">MAX(IF((OutputTable[GroupByKey]=OutputTable[[#This Row],[GroupByKey]]),(OutputTable[GroupByKey]=OutputTable[[#This Row],[GroupByKey]])*OutputTable[RecordedValue]))</f>
        <v>1192</v>
      </c>
    </row>
    <row r="250" spans="1:16" x14ac:dyDescent="0.25">
      <c r="A250" t="s">
        <v>68</v>
      </c>
      <c r="B250" t="s">
        <v>70</v>
      </c>
      <c r="C250">
        <v>12</v>
      </c>
      <c r="D250" t="s">
        <v>125</v>
      </c>
      <c r="E250" t="s">
        <v>126</v>
      </c>
      <c r="F250" t="s">
        <v>99</v>
      </c>
      <c r="G250">
        <v>800</v>
      </c>
      <c r="H250">
        <v>0</v>
      </c>
      <c r="I250" s="5" t="str">
        <f>OutputTable[[#This Row],[ProjectName]]&amp;OutputTable[[#This Row],[Name]]&amp;OutputTable[[#This Row],[Type]]&amp;OutputTable[[#This Row],[Source]]</f>
        <v>Tener ArticulsorOrganizdor.NumberSeizedTotal Number SeizedResource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12</v>
      </c>
      <c r="K250" s="5" cm="1">
        <f t="array" ref="K250">IFERROR(AVERAGE(IF((OutputTable[GroupByKey]=OutputTable[[#This Row],[GroupByKey]]),(OutputTable[GroupByKey]=OutputTable[[#This Row],[GroupByKey]])*OutputTable[RecordedValue])),0)</f>
        <v>852.08333333333337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32.103407730002552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20.397532131659759</v>
      </c>
      <c r="O250" s="5" cm="1">
        <f t="array" ref="O250">MIN(IF((OutputTable[GroupByKey]=OutputTable[[#This Row],[GroupByKey]]),(OutputTable[GroupByKey]=OutputTable[[#This Row],[GroupByKey]])*OutputTable[RecordedValue]))</f>
        <v>800</v>
      </c>
      <c r="P250" s="5" cm="1">
        <f t="array" ref="P250">MAX(IF((OutputTable[GroupByKey]=OutputTable[[#This Row],[GroupByKey]]),(OutputTable[GroupByKey]=OutputTable[[#This Row],[GroupByKey]])*OutputTable[RecordedValue]))</f>
        <v>893</v>
      </c>
    </row>
    <row r="251" spans="1:16" x14ac:dyDescent="0.25">
      <c r="A251" t="s">
        <v>68</v>
      </c>
      <c r="B251" t="s">
        <v>70</v>
      </c>
      <c r="C251">
        <v>12</v>
      </c>
      <c r="D251" t="s">
        <v>127</v>
      </c>
      <c r="E251" t="s">
        <v>128</v>
      </c>
      <c r="F251" t="s">
        <v>99</v>
      </c>
      <c r="G251">
        <v>0.91035373034135203</v>
      </c>
      <c r="H251">
        <v>0</v>
      </c>
      <c r="I251" s="5" t="str">
        <f>OutputTable[[#This Row],[ProjectName]]&amp;OutputTable[[#This Row],[Name]]&amp;OutputTable[[#This Row],[Type]]&amp;OutputTable[[#This Row],[Source]]</f>
        <v>Tener ArticulsorOrganizdor.ScheduledUtilizationScheduled UtilizationResource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12</v>
      </c>
      <c r="K251" s="5" cm="1">
        <f t="array" ref="K251">IFERROR(AVERAGE(IF((OutputTable[GroupByKey]=OutputTable[[#This Row],[GroupByKey]]),(OutputTable[GroupByKey]=OutputTable[[#This Row],[GroupByKey]])*OutputTable[RecordedValue])),0)</f>
        <v>0.93693413710063267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3.0080475881637609E-2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1.9112222555672933E-2</v>
      </c>
      <c r="O251" s="5" cm="1">
        <f t="array" ref="O251">MIN(IF((OutputTable[GroupByKey]=OutputTable[[#This Row],[GroupByKey]]),(OutputTable[GroupByKey]=OutputTable[[#This Row],[GroupByKey]])*OutputTable[RecordedValue]))</f>
        <v>0.87408888428798603</v>
      </c>
      <c r="P251" s="5" cm="1">
        <f t="array" ref="P251">MAX(IF((OutputTable[GroupByKey]=OutputTable[[#This Row],[GroupByKey]]),(OutputTable[GroupByKey]=OutputTable[[#This Row],[GroupByKey]])*OutputTable[RecordedValue]))</f>
        <v>0.989515454392208</v>
      </c>
    </row>
    <row r="252" spans="1:16" x14ac:dyDescent="0.25">
      <c r="A252" t="s">
        <v>68</v>
      </c>
      <c r="B252" t="s">
        <v>70</v>
      </c>
      <c r="C252">
        <v>12</v>
      </c>
      <c r="D252" t="s">
        <v>129</v>
      </c>
      <c r="E252" t="s">
        <v>126</v>
      </c>
      <c r="F252" t="s">
        <v>99</v>
      </c>
      <c r="G252">
        <v>737</v>
      </c>
      <c r="H252">
        <v>0</v>
      </c>
      <c r="I252" s="5" t="str">
        <f>OutputTable[[#This Row],[ProjectName]]&amp;OutputTable[[#This Row],[Name]]&amp;OutputTable[[#This Row],[Type]]&amp;OutputTable[[#This Row],[Source]]</f>
        <v>Tener ArticulsorSacador.NumberSeizedTotal Number SeizedResource</v>
      </c>
      <c r="J252" s="5" cm="1">
        <f t="array" ref="J252">MAX(IF((ProjectInfoTable[ProjectName]=OutputTable[[#This Row],[ProjectName]]),(ProjectInfoTable[ProjectName]=OutputTable[[#This Row],[ProjectName]])*ProjectInfoTable[NumberOfReplications]))</f>
        <v>12</v>
      </c>
      <c r="K252" s="5" cm="1">
        <f t="array" ref="K252">IFERROR(AVERAGE(IF((OutputTable[GroupByKey]=OutputTable[[#This Row],[GroupByKey]]),(OutputTable[GroupByKey]=OutputTable[[#This Row],[GroupByKey]])*OutputTable[RecordedValue])),0)</f>
        <v>795.66666666666663</v>
      </c>
      <c r="L252" s="5" cm="1">
        <f t="array" ref="L252">IFERROR(_xlfn.STDEV.S(IF((OutputTable[GroupByKey]=OutputTable[[#This Row],[GroupByKey]]),(OutputTable[GroupByKey]=OutputTable[[#This Row],[GroupByKey]])*OutputTable[RecordedValue])),0)</f>
        <v>34.623516268395946</v>
      </c>
      <c r="M252" s="5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21.998732705738043</v>
      </c>
      <c r="O252" s="5" cm="1">
        <f t="array" ref="O252">MIN(IF((OutputTable[GroupByKey]=OutputTable[[#This Row],[GroupByKey]]),(OutputTable[GroupByKey]=OutputTable[[#This Row],[GroupByKey]])*OutputTable[RecordedValue]))</f>
        <v>737</v>
      </c>
      <c r="P252" s="5" cm="1">
        <f t="array" ref="P252">MAX(IF((OutputTable[GroupByKey]=OutputTable[[#This Row],[GroupByKey]]),(OutputTable[GroupByKey]=OutputTable[[#This Row],[GroupByKey]])*OutputTable[RecordedValue]))</f>
        <v>842</v>
      </c>
    </row>
    <row r="253" spans="1:16" x14ac:dyDescent="0.25">
      <c r="A253" t="s">
        <v>68</v>
      </c>
      <c r="B253" t="s">
        <v>70</v>
      </c>
      <c r="C253">
        <v>12</v>
      </c>
      <c r="D253" t="s">
        <v>130</v>
      </c>
      <c r="E253" t="s">
        <v>128</v>
      </c>
      <c r="F253" t="s">
        <v>99</v>
      </c>
      <c r="G253">
        <v>0.72698196321138198</v>
      </c>
      <c r="H253">
        <v>0</v>
      </c>
      <c r="I253" s="5" t="str">
        <f>OutputTable[[#This Row],[ProjectName]]&amp;OutputTable[[#This Row],[Name]]&amp;OutputTable[[#This Row],[Type]]&amp;OutputTable[[#This Row],[Source]]</f>
        <v>Tener ArticulsorSacador.ScheduledUtilizationScheduled UtilizationResource</v>
      </c>
      <c r="J253" s="5" cm="1">
        <f t="array" ref="J253">MAX(IF((ProjectInfoTable[ProjectName]=OutputTable[[#This Row],[ProjectName]]),(ProjectInfoTable[ProjectName]=OutputTable[[#This Row],[ProjectName]])*ProjectInfoTable[NumberOfReplications]))</f>
        <v>12</v>
      </c>
      <c r="K253" s="5" cm="1">
        <f t="array" ref="K253">IFERROR(AVERAGE(IF((OutputTable[GroupByKey]=OutputTable[[#This Row],[GroupByKey]]),(OutputTable[GroupByKey]=OutputTable[[#This Row],[GroupByKey]])*OutputTable[RecordedValue])),0)</f>
        <v>0.75499127770842467</v>
      </c>
      <c r="L253" s="5" cm="1">
        <f t="array" ref="L253">IFERROR(_xlfn.STDEV.S(IF((OutputTable[GroupByKey]=OutputTable[[#This Row],[GroupByKey]]),(OutputTable[GroupByKey]=OutputTable[[#This Row],[GroupByKey]])*OutputTable[RecordedValue])),0)</f>
        <v>3.0990673550046054E-2</v>
      </c>
      <c r="M253" s="5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1.9690534563658681E-2</v>
      </c>
      <c r="O253" s="5" cm="1">
        <f t="array" ref="O253">MIN(IF((OutputTable[GroupByKey]=OutputTable[[#This Row],[GroupByKey]]),(OutputTable[GroupByKey]=OutputTable[[#This Row],[GroupByKey]])*OutputTable[RecordedValue]))</f>
        <v>0.70281682687036895</v>
      </c>
      <c r="P253" s="5" cm="1">
        <f t="array" ref="P253">MAX(IF((OutputTable[GroupByKey]=OutputTable[[#This Row],[GroupByKey]]),(OutputTable[GroupByKey]=OutputTable[[#This Row],[GroupByKey]])*OutputTable[RecordedValue]))</f>
        <v>0.79676815469245998</v>
      </c>
    </row>
  </sheetData>
  <phoneticPr fontId="2" type="noConversion"/>
  <conditionalFormatting sqref="I2:P253">
    <cfRule type="expression" dxfId="3" priority="2">
      <formula>MOD(ROW(),2)=0</formula>
    </cfRule>
  </conditionalFormatting>
  <conditionalFormatting sqref="N2:N253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5" x14ac:dyDescent="0.25"/>
  <cols>
    <col min="1" max="1" width="14.85546875" bestFit="1" customWidth="1"/>
    <col min="2" max="2" width="22.28515625" bestFit="1" customWidth="1"/>
    <col min="3" max="3" width="13.28515625" bestFit="1" customWidth="1"/>
    <col min="4" max="4" width="8.5703125" bestFit="1" customWidth="1"/>
    <col min="5" max="5" width="11.140625" bestFit="1" customWidth="1"/>
    <col min="6" max="6" width="9.28515625" bestFit="1" customWidth="1"/>
    <col min="7" max="7" width="21.42578125" bestFit="1" customWidth="1"/>
    <col min="8" max="8" width="22.5703125" bestFit="1" customWidth="1"/>
    <col min="9" max="9" width="25" bestFit="1" customWidth="1"/>
    <col min="10" max="10" width="26.140625" bestFit="1" customWidth="1"/>
    <col min="11" max="11" width="16.140625" bestFit="1" customWidth="1"/>
    <col min="12" max="12" width="14.28515625" bestFit="1" customWidth="1"/>
    <col min="13" max="13" width="30" bestFit="1" customWidth="1"/>
    <col min="14" max="14" width="31.140625" bestFit="1" customWidth="1"/>
    <col min="15" max="15" width="17.28515625" bestFit="1" customWidth="1"/>
    <col min="16" max="16" width="29" bestFit="1" customWidth="1"/>
    <col min="17" max="17" width="30.140625" bestFit="1" customWidth="1"/>
    <col min="18" max="18" width="29.28515625" bestFit="1" customWidth="1"/>
    <col min="19" max="19" width="28.28515625" bestFit="1" customWidth="1"/>
    <col min="20" max="20" width="26.28515625" bestFit="1" customWidth="1"/>
    <col min="21" max="21" width="29.85546875" bestFit="1" customWidth="1"/>
    <col min="22" max="22" width="31.85546875" bestFit="1" customWidth="1"/>
    <col min="23" max="23" width="32.140625" bestFit="1" customWidth="1"/>
  </cols>
  <sheetData>
    <row r="1" spans="1:17" x14ac:dyDescent="0.2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Nestor Andres Tabares David</cp:lastModifiedBy>
  <cp:lastPrinted>2022-03-22T10:33:10Z</cp:lastPrinted>
  <dcterms:created xsi:type="dcterms:W3CDTF">2020-06-29T21:30:31Z</dcterms:created>
  <dcterms:modified xsi:type="dcterms:W3CDTF">2025-05-22T03:40:06Z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
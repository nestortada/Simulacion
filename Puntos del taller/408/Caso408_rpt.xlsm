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nestortada_unisabana_edu_co/Documents/Universidad/2025-1/Simulación/Puntos del taller/408/"/>
    </mc:Choice>
  </mc:AlternateContent>
  <xr:revisionPtr revIDLastSave="5" documentId="13_ncr:1_{325E12FA-5483-41CA-B36F-0BB911A2EF96}" xr6:coauthVersionLast="47" xr6:coauthVersionMax="47" xr10:uidLastSave="{A8469D6E-B665-4385-82B7-CAA2B0B5B0D9}"/>
  <bookViews>
    <workbookView xWindow="-120" yWindow="-120" windowWidth="20730" windowHeight="111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ContinuousTimeStatsByRep!$A$1:$L$11</definedName>
    <definedName name="ExternalData_1" localSheetId="4" hidden="1">CounterStatsByRep!$A$1:$G$3</definedName>
    <definedName name="ExternalData_1" localSheetId="2" hidden="1">DiscreteTimeStatsByRep!$A$1:$K$13</definedName>
    <definedName name="ExternalData_1" localSheetId="6" hidden="1">FrequencyStatsByRep!$A$1:$K$2</definedName>
    <definedName name="ExternalData_1" localSheetId="5" hidden="1">OutputStatsByRep!$A$1:$H$14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K8" i="20" s="1" a="1"/>
  <c r="K8" i="20" s="1"/>
  <c r="I9" i="20"/>
  <c r="I10" i="20"/>
  <c r="I11" i="20"/>
  <c r="I12" i="20"/>
  <c r="I13" i="20"/>
  <c r="O13" i="20" s="1" a="1"/>
  <c r="O13" i="20" s="1"/>
  <c r="I14" i="20"/>
  <c r="J2" i="20" a="1"/>
  <c r="J2" i="20"/>
  <c r="J3" i="20" a="1"/>
  <c r="J3" i="20" s="1"/>
  <c r="J4" i="20" a="1"/>
  <c r="J4" i="20"/>
  <c r="J5" i="20" a="1"/>
  <c r="J5" i="20" s="1"/>
  <c r="J6" i="20" a="1"/>
  <c r="J6" i="20" s="1"/>
  <c r="J7" i="20" a="1"/>
  <c r="J7" i="20" s="1"/>
  <c r="J8" i="20" a="1"/>
  <c r="J8" i="20"/>
  <c r="J9" i="20" a="1"/>
  <c r="J9" i="20" s="1"/>
  <c r="J10" i="20" a="1"/>
  <c r="J10" i="20"/>
  <c r="J11" i="20" a="1"/>
  <c r="J11" i="20" s="1"/>
  <c r="J12" i="20" a="1"/>
  <c r="J12" i="20" s="1"/>
  <c r="J13" i="20" a="1"/>
  <c r="J13" i="20" s="1"/>
  <c r="J14" i="20" a="1"/>
  <c r="J14" i="20" s="1"/>
  <c r="K6" i="20" a="1"/>
  <c r="K6" i="20" s="1"/>
  <c r="K14" i="20" a="1"/>
  <c r="K14" i="20" s="1"/>
  <c r="L9" i="20" a="1"/>
  <c r="L9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H2" i="19"/>
  <c r="H3" i="19"/>
  <c r="J2" i="19" s="1" a="1"/>
  <c r="J2" i="19" s="1"/>
  <c r="I2" i="19" a="1"/>
  <c r="I2" i="19" s="1"/>
  <c r="I3" i="19" a="1"/>
  <c r="I3" i="19" s="1"/>
  <c r="J3" i="19" a="1"/>
  <c r="J3" i="19" s="1"/>
  <c r="K2" i="19" a="1"/>
  <c r="K2" i="19" s="1"/>
  <c r="K3" i="19" a="1"/>
  <c r="K3" i="19" s="1"/>
  <c r="L2" i="19" a="1"/>
  <c r="L2" i="19" s="1"/>
  <c r="L3" i="19" a="1"/>
  <c r="L3" i="19" s="1"/>
  <c r="N2" i="19" a="1"/>
  <c r="N2" i="19" s="1"/>
  <c r="N3" i="19" a="1"/>
  <c r="N3" i="19" s="1"/>
  <c r="O2" i="19" a="1"/>
  <c r="O2" i="19" s="1"/>
  <c r="O3" i="19" a="1"/>
  <c r="O3" i="19" s="1"/>
  <c r="M2" i="18"/>
  <c r="M3" i="18"/>
  <c r="M4" i="18"/>
  <c r="M5" i="18"/>
  <c r="M6" i="18"/>
  <c r="M7" i="18"/>
  <c r="M8" i="18"/>
  <c r="M9" i="18"/>
  <c r="O9" i="18" s="1" a="1"/>
  <c r="O9" i="18" s="1"/>
  <c r="M10" i="18"/>
  <c r="M11" i="18"/>
  <c r="N2" i="18" a="1"/>
  <c r="N2" i="18"/>
  <c r="U2" i="18" s="1"/>
  <c r="N3" i="18" a="1"/>
  <c r="N3" i="18" s="1"/>
  <c r="N4" i="18" a="1"/>
  <c r="N4" i="18"/>
  <c r="N5" i="18" a="1"/>
  <c r="N5" i="18" s="1"/>
  <c r="N6" i="18" a="1"/>
  <c r="N6" i="18" s="1"/>
  <c r="U6" i="18" s="1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Q2" i="18" a="1"/>
  <c r="Q2" i="18"/>
  <c r="Q3" i="18" a="1"/>
  <c r="Q3" i="18" s="1"/>
  <c r="Q4" i="18" a="1"/>
  <c r="Q4" i="18"/>
  <c r="Q5" i="18" a="1"/>
  <c r="Q5" i="18" s="1"/>
  <c r="Q6" i="18" a="1"/>
  <c r="Q6" i="18" s="1"/>
  <c r="Q7" i="18" a="1"/>
  <c r="Q7" i="18" s="1"/>
  <c r="Q8" i="18" a="1"/>
  <c r="Q8" i="18"/>
  <c r="Q9" i="18" a="1"/>
  <c r="Q9" i="18" s="1"/>
  <c r="Q10" i="18" a="1"/>
  <c r="Q10" i="18"/>
  <c r="Q11" i="18" a="1"/>
  <c r="Q11" i="18" s="1"/>
  <c r="T8" i="18" a="1"/>
  <c r="T8" i="18" s="1"/>
  <c r="U10" i="18"/>
  <c r="L2" i="17"/>
  <c r="L3" i="17"/>
  <c r="L4" i="17"/>
  <c r="L5" i="17"/>
  <c r="L6" i="17"/>
  <c r="L7" i="17"/>
  <c r="L8" i="17"/>
  <c r="L9" i="17"/>
  <c r="L10" i="17"/>
  <c r="L11" i="17"/>
  <c r="L12" i="17"/>
  <c r="R12" i="17" s="1" a="1"/>
  <c r="R12" i="17" s="1"/>
  <c r="L13" i="17"/>
  <c r="U13" i="17" s="1" a="1"/>
  <c r="U13" i="17" s="1"/>
  <c r="M2" i="17" a="1"/>
  <c r="M2" i="17" s="1"/>
  <c r="M3" i="17" a="1"/>
  <c r="M3" i="17"/>
  <c r="M4" i="17" a="1"/>
  <c r="M4" i="17" s="1"/>
  <c r="W4" i="17" s="1"/>
  <c r="M5" i="17" a="1"/>
  <c r="M5" i="17" s="1"/>
  <c r="W5" i="17" s="1"/>
  <c r="M6" i="17" a="1"/>
  <c r="M6" i="17" s="1"/>
  <c r="M7" i="17" a="1"/>
  <c r="M7" i="17" s="1"/>
  <c r="M8" i="17" a="1"/>
  <c r="M8" i="17" s="1"/>
  <c r="M9" i="17" a="1"/>
  <c r="M9" i="17" s="1"/>
  <c r="W9" i="17" s="1"/>
  <c r="M10" i="17" a="1"/>
  <c r="M10" i="17" s="1"/>
  <c r="M11" i="17" a="1"/>
  <c r="M11" i="17" s="1"/>
  <c r="M12" i="17" a="1"/>
  <c r="M12" i="17" s="1"/>
  <c r="M13" i="17" a="1"/>
  <c r="M13" i="17" s="1"/>
  <c r="W13" i="17" s="1"/>
  <c r="P2" i="17" a="1"/>
  <c r="P2" i="17" s="1"/>
  <c r="P3" i="17" a="1"/>
  <c r="P3" i="17" s="1"/>
  <c r="P4" i="17" a="1"/>
  <c r="P4" i="17" s="1"/>
  <c r="P5" i="17" a="1"/>
  <c r="P5" i="17"/>
  <c r="P6" i="17" a="1"/>
  <c r="P6" i="17" s="1"/>
  <c r="P7" i="17" a="1"/>
  <c r="P7" i="17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R8" i="17" a="1"/>
  <c r="R8" i="17" s="1"/>
  <c r="S4" i="17" a="1"/>
  <c r="S4" i="17" s="1"/>
  <c r="U9" i="17" a="1"/>
  <c r="U9" i="17" s="1"/>
  <c r="U12" i="17" a="1"/>
  <c r="U12" i="17" s="1"/>
  <c r="V6" i="17" a="1"/>
  <c r="V6" i="17" s="1"/>
  <c r="V10" i="17" a="1"/>
  <c r="V10" i="17" s="1"/>
  <c r="V13" i="17" a="1"/>
  <c r="V13" i="17" s="1"/>
  <c r="W2" i="17"/>
  <c r="W6" i="17"/>
  <c r="W8" i="17"/>
  <c r="W10" i="17"/>
  <c r="W12" i="17"/>
  <c r="X3" i="17" a="1"/>
  <c r="X3" i="17" s="1"/>
  <c r="X6" i="17" a="1"/>
  <c r="X6" i="17" s="1"/>
  <c r="Y6" i="17" s="1"/>
  <c r="X7" i="17" a="1"/>
  <c r="X7" i="17" s="1"/>
  <c r="X9" i="17" a="1"/>
  <c r="X9" i="17" s="1"/>
  <c r="X10" i="17" a="1"/>
  <c r="X10" i="17" s="1"/>
  <c r="Y10" i="17" s="1"/>
  <c r="X12" i="17" a="1"/>
  <c r="X12" i="17" s="1"/>
  <c r="X13" i="17" a="1"/>
  <c r="X13" i="17" s="1"/>
  <c r="G2" i="16"/>
  <c r="O5" i="20" l="1" a="1"/>
  <c r="O5" i="20" s="1"/>
  <c r="K12" i="20" a="1"/>
  <c r="K12" i="20" s="1"/>
  <c r="N13" i="20"/>
  <c r="O3" i="20" a="1"/>
  <c r="O3" i="20" s="1"/>
  <c r="L13" i="20" a="1"/>
  <c r="L13" i="20" s="1"/>
  <c r="L5" i="20" a="1"/>
  <c r="L5" i="20" s="1"/>
  <c r="K10" i="20" a="1"/>
  <c r="K10" i="20" s="1"/>
  <c r="K2" i="20" a="1"/>
  <c r="K2" i="20" s="1"/>
  <c r="O9" i="20" a="1"/>
  <c r="O9" i="20" s="1"/>
  <c r="L7" i="20" a="1"/>
  <c r="L7" i="20" s="1"/>
  <c r="K4" i="20" a="1"/>
  <c r="K4" i="20" s="1"/>
  <c r="N5" i="20"/>
  <c r="L11" i="20" a="1"/>
  <c r="L11" i="20" s="1"/>
  <c r="L3" i="20" a="1"/>
  <c r="L3" i="20" s="1"/>
  <c r="N11" i="20"/>
  <c r="N3" i="20"/>
  <c r="N7" i="20"/>
  <c r="N12" i="20"/>
  <c r="N9" i="20"/>
  <c r="P13" i="20" a="1"/>
  <c r="P13" i="20" s="1"/>
  <c r="P11" i="20" a="1"/>
  <c r="P11" i="20" s="1"/>
  <c r="P9" i="20" a="1"/>
  <c r="P9" i="20" s="1"/>
  <c r="P7" i="20" a="1"/>
  <c r="P7" i="20" s="1"/>
  <c r="P5" i="20" a="1"/>
  <c r="P5" i="20" s="1"/>
  <c r="P3" i="20" a="1"/>
  <c r="P3" i="20" s="1"/>
  <c r="O14" i="20" a="1"/>
  <c r="O14" i="20" s="1"/>
  <c r="O12" i="20" a="1"/>
  <c r="O12" i="20" s="1"/>
  <c r="O10" i="20" a="1"/>
  <c r="O10" i="20" s="1"/>
  <c r="O8" i="20" a="1"/>
  <c r="O8" i="20" s="1"/>
  <c r="O6" i="20" a="1"/>
  <c r="O6" i="20" s="1"/>
  <c r="O4" i="20" a="1"/>
  <c r="O4" i="20" s="1"/>
  <c r="O2" i="20" a="1"/>
  <c r="O2" i="20" s="1"/>
  <c r="L12" i="20" a="1"/>
  <c r="L12" i="20" s="1"/>
  <c r="L10" i="20" a="1"/>
  <c r="L10" i="20" s="1"/>
  <c r="N10" i="20" s="1"/>
  <c r="L8" i="20" a="1"/>
  <c r="L8" i="20" s="1"/>
  <c r="N8" i="20" s="1"/>
  <c r="L6" i="20" a="1"/>
  <c r="L6" i="20" s="1"/>
  <c r="N6" i="20" s="1"/>
  <c r="L4" i="20" a="1"/>
  <c r="L4" i="20" s="1"/>
  <c r="N4" i="20" s="1"/>
  <c r="L2" i="20" a="1"/>
  <c r="L2" i="20" s="1"/>
  <c r="N2" i="20" s="1"/>
  <c r="K13" i="20" a="1"/>
  <c r="K13" i="20" s="1"/>
  <c r="K11" i="20" a="1"/>
  <c r="K11" i="20" s="1"/>
  <c r="K9" i="20" a="1"/>
  <c r="K9" i="20" s="1"/>
  <c r="K7" i="20" a="1"/>
  <c r="K7" i="20" s="1"/>
  <c r="K5" i="20" a="1"/>
  <c r="K5" i="20" s="1"/>
  <c r="K3" i="20" a="1"/>
  <c r="K3" i="20" s="1"/>
  <c r="L14" i="20" a="1"/>
  <c r="L14" i="20" s="1"/>
  <c r="N14" i="20" s="1"/>
  <c r="P14" i="20" a="1"/>
  <c r="P14" i="20" s="1"/>
  <c r="P12" i="20" a="1"/>
  <c r="P12" i="20" s="1"/>
  <c r="P10" i="20" a="1"/>
  <c r="P10" i="20" s="1"/>
  <c r="P8" i="20" a="1"/>
  <c r="P8" i="20" s="1"/>
  <c r="P6" i="20" a="1"/>
  <c r="P6" i="20" s="1"/>
  <c r="P4" i="20" a="1"/>
  <c r="P4" i="20" s="1"/>
  <c r="P2" i="20" a="1"/>
  <c r="P2" i="20" s="1"/>
  <c r="O11" i="20" a="1"/>
  <c r="O11" i="20" s="1"/>
  <c r="O7" i="20" a="1"/>
  <c r="O7" i="20" s="1"/>
  <c r="M3" i="19"/>
  <c r="M2" i="19"/>
  <c r="O3" i="18" a="1"/>
  <c r="O3" i="18" s="1"/>
  <c r="T4" i="18" a="1"/>
  <c r="T4" i="18" s="1"/>
  <c r="O5" i="18" a="1"/>
  <c r="O5" i="18" s="1"/>
  <c r="T6" i="18" a="1"/>
  <c r="T6" i="18" s="1"/>
  <c r="T10" i="18" a="1"/>
  <c r="T10" i="18" s="1"/>
  <c r="T2" i="18" a="1"/>
  <c r="T2" i="18" s="1"/>
  <c r="U5" i="18"/>
  <c r="U7" i="18"/>
  <c r="U9" i="18"/>
  <c r="U11" i="18"/>
  <c r="U3" i="18"/>
  <c r="U8" i="18"/>
  <c r="U4" i="18"/>
  <c r="T7" i="18" a="1"/>
  <c r="T7" i="18" s="1"/>
  <c r="T3" i="18" a="1"/>
  <c r="T3" i="18" s="1"/>
  <c r="S7" i="18" a="1"/>
  <c r="S7" i="18" s="1"/>
  <c r="S5" i="18" a="1"/>
  <c r="S5" i="18" s="1"/>
  <c r="P10" i="18" a="1"/>
  <c r="P10" i="18" s="1"/>
  <c r="R10" i="18" s="1"/>
  <c r="P6" i="18" a="1"/>
  <c r="P6" i="18" s="1"/>
  <c r="R6" i="18" s="1"/>
  <c r="P2" i="18" a="1"/>
  <c r="P2" i="18" s="1"/>
  <c r="R2" i="18" s="1"/>
  <c r="O8" i="18" a="1"/>
  <c r="O8" i="18" s="1"/>
  <c r="O2" i="18" a="1"/>
  <c r="O2" i="18" s="1"/>
  <c r="T11" i="18" a="1"/>
  <c r="T11" i="18" s="1"/>
  <c r="T9" i="18" a="1"/>
  <c r="T9" i="18" s="1"/>
  <c r="T5" i="18" a="1"/>
  <c r="T5" i="18" s="1"/>
  <c r="S11" i="18" a="1"/>
  <c r="S11" i="18" s="1"/>
  <c r="S9" i="18" a="1"/>
  <c r="S9" i="18" s="1"/>
  <c r="S3" i="18" a="1"/>
  <c r="S3" i="18" s="1"/>
  <c r="P8" i="18" a="1"/>
  <c r="P8" i="18" s="1"/>
  <c r="R8" i="18" s="1"/>
  <c r="P4" i="18" a="1"/>
  <c r="P4" i="18" s="1"/>
  <c r="R4" i="18" s="1"/>
  <c r="O10" i="18" a="1"/>
  <c r="O10" i="18" s="1"/>
  <c r="O6" i="18" a="1"/>
  <c r="O6" i="18" s="1"/>
  <c r="O4" i="18" a="1"/>
  <c r="O4" i="18" s="1"/>
  <c r="S10" i="18" a="1"/>
  <c r="S10" i="18" s="1"/>
  <c r="S8" i="18" a="1"/>
  <c r="S8" i="18" s="1"/>
  <c r="S6" i="18" a="1"/>
  <c r="S6" i="18" s="1"/>
  <c r="S4" i="18" a="1"/>
  <c r="S4" i="18" s="1"/>
  <c r="S2" i="18" a="1"/>
  <c r="S2" i="18" s="1"/>
  <c r="P11" i="18" a="1"/>
  <c r="P11" i="18" s="1"/>
  <c r="R11" i="18" s="1"/>
  <c r="P9" i="18" a="1"/>
  <c r="P9" i="18" s="1"/>
  <c r="R9" i="18" s="1"/>
  <c r="P7" i="18" a="1"/>
  <c r="P7" i="18" s="1"/>
  <c r="R7" i="18" s="1"/>
  <c r="P5" i="18" a="1"/>
  <c r="P5" i="18" s="1"/>
  <c r="R5" i="18" s="1"/>
  <c r="P3" i="18" a="1"/>
  <c r="P3" i="18" s="1"/>
  <c r="R3" i="18" s="1"/>
  <c r="O11" i="18" a="1"/>
  <c r="O11" i="18" s="1"/>
  <c r="O7" i="18" a="1"/>
  <c r="O7" i="18" s="1"/>
  <c r="V9" i="17" a="1"/>
  <c r="V9" i="17" s="1"/>
  <c r="T2" i="17" a="1"/>
  <c r="T2" i="17" s="1"/>
  <c r="S8" i="17" a="1"/>
  <c r="S8" i="17" s="1"/>
  <c r="R2" i="17" a="1"/>
  <c r="R2" i="17" s="1"/>
  <c r="T8" i="17" a="1"/>
  <c r="T8" i="17" s="1"/>
  <c r="Y12" i="17"/>
  <c r="Y9" i="17"/>
  <c r="V3" i="17" a="1"/>
  <c r="V3" i="17" s="1"/>
  <c r="S12" i="17" a="1"/>
  <c r="S12" i="17" s="1"/>
  <c r="X8" i="17" a="1"/>
  <c r="X8" i="17" s="1"/>
  <c r="Y8" i="17" s="1"/>
  <c r="X5" i="17" a="1"/>
  <c r="X5" i="17" s="1"/>
  <c r="Y5" i="17" s="1"/>
  <c r="V2" i="17" a="1"/>
  <c r="V2" i="17" s="1"/>
  <c r="Y13" i="17"/>
  <c r="X2" i="17" a="1"/>
  <c r="X2" i="17" s="1"/>
  <c r="Y2" i="17" s="1"/>
  <c r="V12" i="17" a="1"/>
  <c r="V12" i="17" s="1"/>
  <c r="U11" i="17" a="1"/>
  <c r="U11" i="17" s="1"/>
  <c r="U8" i="17" a="1"/>
  <c r="U8" i="17" s="1"/>
  <c r="U5" i="17" a="1"/>
  <c r="U5" i="17" s="1"/>
  <c r="T13" i="17" a="1"/>
  <c r="T13" i="17" s="1"/>
  <c r="T6" i="17" a="1"/>
  <c r="T6" i="17" s="1"/>
  <c r="S10" i="17" a="1"/>
  <c r="S10" i="17" s="1"/>
  <c r="S2" i="17" a="1"/>
  <c r="S2" i="17" s="1"/>
  <c r="R6" i="17" a="1"/>
  <c r="R6" i="17" s="1"/>
  <c r="X11" i="17" a="1"/>
  <c r="X11" i="17" s="1"/>
  <c r="Y11" i="17" s="1"/>
  <c r="X4" i="17" a="1"/>
  <c r="X4" i="17" s="1"/>
  <c r="Y4" i="17" s="1"/>
  <c r="V11" i="17" a="1"/>
  <c r="V11" i="17" s="1"/>
  <c r="V8" i="17" a="1"/>
  <c r="V8" i="17" s="1"/>
  <c r="V5" i="17" a="1"/>
  <c r="V5" i="17" s="1"/>
  <c r="U10" i="17" a="1"/>
  <c r="U10" i="17" s="1"/>
  <c r="U7" i="17" a="1"/>
  <c r="U7" i="17" s="1"/>
  <c r="U4" i="17" a="1"/>
  <c r="U4" i="17" s="1"/>
  <c r="T12" i="17" a="1"/>
  <c r="T12" i="17" s="1"/>
  <c r="T4" i="17" a="1"/>
  <c r="T4" i="17" s="1"/>
  <c r="R4" i="17" a="1"/>
  <c r="R4" i="17" s="1"/>
  <c r="V7" i="17" a="1"/>
  <c r="V7" i="17" s="1"/>
  <c r="V4" i="17" a="1"/>
  <c r="V4" i="17" s="1"/>
  <c r="U6" i="17" a="1"/>
  <c r="U6" i="17" s="1"/>
  <c r="U3" i="17" a="1"/>
  <c r="U3" i="17" s="1"/>
  <c r="T10" i="17" a="1"/>
  <c r="T10" i="17" s="1"/>
  <c r="S6" i="17" a="1"/>
  <c r="S6" i="17" s="1"/>
  <c r="R10" i="17" a="1"/>
  <c r="R10" i="17" s="1"/>
  <c r="O13" i="17" a="1"/>
  <c r="O13" i="17" s="1"/>
  <c r="S13" i="17" a="1"/>
  <c r="S13" i="17" s="1"/>
  <c r="N13" i="17" a="1"/>
  <c r="N13" i="17" s="1"/>
  <c r="R13" i="17" a="1"/>
  <c r="R13" i="17" s="1"/>
  <c r="R9" i="17" a="1"/>
  <c r="R9" i="17" s="1"/>
  <c r="N9" i="17" a="1"/>
  <c r="N9" i="17" s="1"/>
  <c r="O9" i="17" a="1"/>
  <c r="O9" i="17" s="1"/>
  <c r="Q9" i="17" s="1"/>
  <c r="S9" i="17" a="1"/>
  <c r="S9" i="17" s="1"/>
  <c r="T9" i="17" a="1"/>
  <c r="T9" i="17" s="1"/>
  <c r="N2" i="17" a="1"/>
  <c r="N2" i="17" s="1"/>
  <c r="N4" i="17" a="1"/>
  <c r="N4" i="17" s="1"/>
  <c r="N6" i="17" a="1"/>
  <c r="N6" i="17" s="1"/>
  <c r="N8" i="17" a="1"/>
  <c r="N8" i="17" s="1"/>
  <c r="N10" i="17" a="1"/>
  <c r="N10" i="17" s="1"/>
  <c r="N12" i="17" a="1"/>
  <c r="N12" i="17" s="1"/>
  <c r="O2" i="17" a="1"/>
  <c r="O2" i="17" s="1"/>
  <c r="Q2" i="17" s="1"/>
  <c r="O4" i="17" a="1"/>
  <c r="O4" i="17" s="1"/>
  <c r="O6" i="17" a="1"/>
  <c r="O6" i="17" s="1"/>
  <c r="Q6" i="17" s="1"/>
  <c r="O8" i="17" a="1"/>
  <c r="O8" i="17" s="1"/>
  <c r="N5" i="17" a="1"/>
  <c r="N5" i="17" s="1"/>
  <c r="N7" i="17" a="1"/>
  <c r="N7" i="17" s="1"/>
  <c r="O5" i="17" a="1"/>
  <c r="O5" i="17" s="1"/>
  <c r="Q5" i="17" s="1"/>
  <c r="O7" i="17" a="1"/>
  <c r="O7" i="17" s="1"/>
  <c r="R3" i="17" a="1"/>
  <c r="R3" i="17" s="1"/>
  <c r="R11" i="17" a="1"/>
  <c r="R11" i="17" s="1"/>
  <c r="S5" i="17" a="1"/>
  <c r="S5" i="17" s="1"/>
  <c r="S7" i="17" a="1"/>
  <c r="S7" i="17" s="1"/>
  <c r="T3" i="17" a="1"/>
  <c r="T3" i="17" s="1"/>
  <c r="T7" i="17" a="1"/>
  <c r="T7" i="17" s="1"/>
  <c r="N3" i="17" a="1"/>
  <c r="N3" i="17" s="1"/>
  <c r="N11" i="17" a="1"/>
  <c r="N11" i="17" s="1"/>
  <c r="O3" i="17" a="1"/>
  <c r="O3" i="17" s="1"/>
  <c r="O11" i="17" a="1"/>
  <c r="O11" i="17" s="1"/>
  <c r="R5" i="17" a="1"/>
  <c r="R5" i="17" s="1"/>
  <c r="R7" i="17" a="1"/>
  <c r="R7" i="17" s="1"/>
  <c r="S3" i="17" a="1"/>
  <c r="S3" i="17" s="1"/>
  <c r="S11" i="17" a="1"/>
  <c r="S11" i="17" s="1"/>
  <c r="T5" i="17" a="1"/>
  <c r="T5" i="17" s="1"/>
  <c r="T11" i="17" a="1"/>
  <c r="T11" i="17" s="1"/>
  <c r="O12" i="17" a="1"/>
  <c r="O12" i="17" s="1"/>
  <c r="Q12" i="17" s="1"/>
  <c r="W11" i="17"/>
  <c r="W3" i="17"/>
  <c r="Y3" i="17"/>
  <c r="U2" i="17" a="1"/>
  <c r="U2" i="17" s="1"/>
  <c r="Q8" i="17"/>
  <c r="O10" i="17" a="1"/>
  <c r="O10" i="17" s="1"/>
  <c r="Q10" i="17" s="1"/>
  <c r="W7" i="17"/>
  <c r="Y7" i="17"/>
  <c r="Q11" i="17" l="1"/>
  <c r="Q4" i="17"/>
  <c r="Q3" i="17"/>
  <c r="Q7" i="17"/>
  <c r="Q1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esto\OneDrive - Universidad de la Sabana\universidad\2025-1\simulación\puntos del taller\408\caso408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esto\OneDrive - Universidad de la Sabana\universidad\2025-1\simulación\puntos del taller\408\caso408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esto\OneDrive - Universidad de la Sabana\universidad\2025-1\simulación\puntos del taller\408\caso408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esto\OneDrive - Universidad de la Sabana\universidad\2025-1\simulación\puntos del taller\408\caso408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esto\OneDrive - Universidad de la Sabana\universidad\2025-1\simulación\puntos del taller\408\caso408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esto\OneDrive - Universidad de la Sabana\universidad\2025-1\simulación\puntos del taller\408\caso408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<sst xmlns="http://schemas.openxmlformats.org/spreadsheetml/2006/main" count="450" uniqueCount="123">
  <si>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</si>
  <si>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</si>
  <si>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</si>
  <si>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</si>
  <si>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</si>
  <si>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</si>
  <si>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</si>
  <si>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</si>
  <si>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</si>
  <si>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</si>
  <si>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</si>
  <si>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</si>
  <si>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</si>
  <si>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</si>
  <si>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</si>
  <si>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</si>
  <si>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</si>
  <si>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</si>
  <si>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</si>
  <si>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</si>
  <si>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</si>
  <si>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</si>
  <si>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</si>
  <si>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</si>
  <si>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</si>
  <si>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</si>
  <si>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</si>
  <si>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</si>
  <si>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</si>
  <si>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</si>
  <si>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</si>
  <si>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</si>
  <si>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</si>
  <si>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</si>
  <si>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</si>
  <si>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</si>
  <si>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</si>
  <si>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</si>
  <si>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</si>
  <si>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</si>
  <si>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</si>
  <si>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</si>
  <si>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</si>
  <si>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</si>
  <si>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</si>
  <si>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</si>
  <si>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</si>
  <si>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</si>
  <si>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</si>
  <si>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</si>
  <si>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</si>
  <si>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</si>
  <si>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</si>
  <si>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</si>
  <si>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</si>
  <si>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</si>
  <si>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</si>
  <si>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</si>
  <si>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</si>
  <si>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</si>
  <si>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</si>
  <si>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</si>
  <si>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</si>
  <si>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</si>
  <si>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</si>
  <si>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</si>
  <si>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</si>
  <si>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</si>
  <si>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</si>
  <si>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C:\Users\nesto\OneDrive - Universidad de la Sabana\Universidad\2025-1\Simulación\Puntos del taller\408\Caso408.p</t>
  </si>
  <si>
    <t>2025-05-22 15:38:36</t>
  </si>
  <si>
    <t>Caja</t>
  </si>
  <si>
    <t>Total Time Per Entity</t>
  </si>
  <si>
    <t>Process</t>
  </si>
  <si>
    <t>VA Time Per Entity</t>
  </si>
  <si>
    <t>Wait Time Per Entity</t>
  </si>
  <si>
    <t>Caja.Queue</t>
  </si>
  <si>
    <t>Waiting Time</t>
  </si>
  <si>
    <t>Queue</t>
  </si>
  <si>
    <t>GrupoCleintes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</si>
  <si>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</si>
  <si>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</si>
  <si>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</si>
  <si>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</si>
  <si>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</si>
  <si>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</si>
  <si>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</si>
  <si>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Ocupar Mesa.Queue</t>
  </si>
  <si>
    <t>TiempoSistemaCleinte</t>
  </si>
  <si>
    <t>Interval</t>
  </si>
  <si>
    <t>User Specified</t>
  </si>
  <si>
    <t>Number Waiting</t>
  </si>
  <si>
    <t>Entity 1</t>
  </si>
  <si>
    <t>WIP</t>
  </si>
  <si>
    <t>rCaja</t>
  </si>
  <si>
    <t>Instantaneous Utilization</t>
  </si>
  <si>
    <t>Resource</t>
  </si>
  <si>
    <t>Number Busy</t>
  </si>
  <si>
    <t>Number Scheduled</t>
  </si>
  <si>
    <t>rMesas</t>
  </si>
  <si>
    <t>ClientesAtendidos</t>
  </si>
  <si>
    <t>Count</t>
  </si>
  <si>
    <t>NoVanComer</t>
  </si>
  <si>
    <t>Caja Accum VA Time</t>
  </si>
  <si>
    <t>Accum VA Time</t>
  </si>
  <si>
    <t>Caja Accum Wait Time</t>
  </si>
  <si>
    <t>Accum Wait Time</t>
  </si>
  <si>
    <t>Caja Number In</t>
  </si>
  <si>
    <t>Number In</t>
  </si>
  <si>
    <t>Caja Number Out</t>
  </si>
  <si>
    <t>Number Out</t>
  </si>
  <si>
    <t>Entity 1.NumberIn</t>
  </si>
  <si>
    <t>Entity 1.NumberOut</t>
  </si>
  <si>
    <t>GrupoCleintes.NumberIn</t>
  </si>
  <si>
    <t>GrupoCleintes.NumberOut</t>
  </si>
  <si>
    <t>System.NumberOut</t>
  </si>
  <si>
    <t>System</t>
  </si>
  <si>
    <t>rCaja.NumberSeized</t>
  </si>
  <si>
    <t>Total Number Seized</t>
  </si>
  <si>
    <t>rCaja.ScheduledUtilization</t>
  </si>
  <si>
    <t>Scheduled Utilization</t>
  </si>
  <si>
    <t>rMesas.NumberSeized</t>
  </si>
  <si>
    <t>rMesas.ScheduledUtilization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</si>
</sst>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657116782408" createdVersion="7" refreshedVersion="8" minRefreshableVersion="3" recordCount="1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9">
        <s v="Caja.Queue"/>
        <s v="Entity 1"/>
        <s v="GrupoCleintes"/>
        <s v="Ocupar Mesa.Queue"/>
        <s v="rCaja"/>
        <s v="rMesa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50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50"/>
    </cacheField>
    <cacheField name="Maximum" numFmtId="0">
      <sharedItems containsSemiMixedTypes="0" containsString="0" containsNumber="1" containsInteger="1" minValue="1" maxValue="50"/>
    </cacheField>
    <cacheField name="LastRecordedValue" numFmtId="0">
      <sharedItems containsSemiMixedTypes="0" containsString="0" containsNumber="1" containsInteger="1" minValue="0" maxValue="5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0"/>
    </cacheField>
    <cacheField name="MaximumAverage" numFmtId="0">
      <sharedItems containsSemiMixedTypes="0" containsString="0" containsNumber="1" minValue="0" maxValue="50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6571172453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657117476854" createdVersion="7" refreshedVersion="8" minRefreshableVersion="3" recordCount="12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4">
        <s v="Caja"/>
        <s v="Caja.Queue"/>
        <s v="GrupoCleintes"/>
        <s v="Ocupar Mesa.Queue"/>
        <s v="TiempoSistemaCleint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Total Time Per Entity"/>
        <s v="VA Time Per Entity"/>
        <s v="Wait Time Per Entity"/>
        <s v="Waiting Time"/>
        <s v="NVA Time"/>
        <s v="Other Time"/>
        <s v="Total Time"/>
        <s v="Transfer Time"/>
        <s v="VA Time"/>
        <s v="Wait Time"/>
        <s v="Interval"/>
        <m u="1"/>
      </sharedItems>
    </cacheField>
    <cacheField name="Source" numFmtId="0">
      <sharedItems containsBlank="1" count="5">
        <s v="Process"/>
        <s v="Queue"/>
        <s v="Entity"/>
        <s v="User Specified"/>
        <m u="1"/>
      </sharedItems>
    </cacheField>
    <cacheField name="Average" numFmtId="0">
      <sharedItems containsSemiMixedTypes="0" containsString="0" containsNumber="1" minValue="0" maxValue="49.6666064582865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31.5595207201834"/>
    </cacheField>
    <cacheField name="Maximum" numFmtId="0">
      <sharedItems containsSemiMixedTypes="0" containsString="0" containsNumber="1" minValue="0" maxValue="70.899195213799004"/>
    </cacheField>
    <cacheField name="NumberObservations" numFmtId="0">
      <sharedItems containsSemiMixedTypes="0" containsString="0" containsNumber="1" containsInteger="1" minValue="133" maxValue="13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9.6666064582865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9.666606458286502"/>
    </cacheField>
    <cacheField name="MaximumAverage" numFmtId="0">
      <sharedItems containsSemiMixedTypes="0" containsString="0" containsNumber="1" minValue="0" maxValue="49.666606458286502"/>
    </cacheField>
    <cacheField name="OverallMinimum" numFmtId="0">
      <sharedItems containsSemiMixedTypes="0" containsString="0" containsNumber="1" minValue="0" maxValue="31.5595207201834"/>
    </cacheField>
    <cacheField name="OverallMaximum" numFmtId="0">
      <sharedItems containsSemiMixedTypes="0" containsString="0" containsNumber="1" minValue="0" maxValue="70.899195213799004"/>
    </cacheField>
    <cacheField name="AverageNumberObservations" numFmtId="0">
      <sharedItems containsSemiMixedTypes="0" containsString="0" containsNumber="1" containsInteger="1" minValue="133" maxValue="136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657117939816" createdVersion="7" refreshedVersion="8" minRefreshableVersion="3" recordCount="1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Caja Accum VA Time"/>
        <s v="Caja Accum Wait Time"/>
        <s v="Caja Number In"/>
        <s v="Caja Number Out"/>
        <s v="Entity 1.NumberIn"/>
        <s v="Entity 1.NumberOut"/>
        <s v="GrupoCleintes.NumberIn"/>
        <s v="GrupoCleintes.NumberOut"/>
        <s v="System.NumberOut"/>
        <s v="rCaja.NumberSeized"/>
        <s v="rCaja.ScheduledUtilization"/>
        <s v="rMesas.NumberSeized"/>
        <s v="rMesas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Accum VA Time"/>
        <s v="Accum Wait Time"/>
        <s v="Number In"/>
        <s v="Number Out"/>
        <s v="Total Number Seized"/>
        <s v="Scheduled Utilization"/>
        <m u="1"/>
      </sharedItems>
    </cacheField>
    <cacheField name="Source" numFmtId="0">
      <sharedItems containsBlank="1" count="5">
        <s v="Process"/>
        <s v="Entity"/>
        <s v="System"/>
        <s v="Resource"/>
        <m u="1"/>
      </sharedItems>
    </cacheField>
    <cacheField name="RecordedValue" numFmtId="0">
      <sharedItems containsSemiMixedTypes="0" containsString="0" containsNumber="1" minValue="0.35744019213610001" maxValue="550.6510634471029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35744019213610001" maxValue="550.65106344710296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35744019213610001" maxValue="550.65106344710296"/>
    </cacheField>
    <cacheField name="Maximum" numFmtId="0">
      <sharedItems containsSemiMixedTypes="0" containsString="0" containsNumber="1" minValue="0.35744019213610001" maxValue="550.651063447102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657118402778" createdVersion="7" refreshedVersion="8" minRefreshableVersion="3" recordCount="2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6">
        <s v="ClientesAtendidos"/>
        <s v="NoVanComer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3" maxValue="13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3" maxValue="133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3" maxValue="133"/>
    </cacheField>
    <cacheField name="Maximum" numFmtId="0">
      <sharedItems containsSemiMixedTypes="0" containsString="0" containsNumber="1" containsInteger="1" minValue="3" maxValue="1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5-05-22 15:38:36"/>
    <n v="1"/>
    <x v="0"/>
    <x v="0"/>
    <x v="0"/>
    <n v="1.3110739605883399"/>
    <n v="2E+20"/>
    <n v="0"/>
    <n v="18"/>
    <n v="0"/>
    <n v="0"/>
    <s v="Unnamed ProjectCaja.QueueNumber WaitingQueue"/>
    <n v="1"/>
    <n v="1.3110739605883399"/>
    <n v="0"/>
    <n v="0.95"/>
    <n v="4E+20"/>
    <n v="1.3110739605883399"/>
    <n v="1.3110739605883399"/>
    <n v="2E+20"/>
  </r>
  <r>
    <x v="0"/>
    <s v="2025-05-22 15:38:36"/>
    <n v="1"/>
    <x v="1"/>
    <x v="1"/>
    <x v="1"/>
    <n v="0"/>
    <n v="2E+20"/>
    <n v="0"/>
    <n v="1"/>
    <n v="0"/>
    <n v="0"/>
    <s v="Unnamed ProjectEntity 1WIPEntity"/>
    <n v="1"/>
    <n v="0"/>
    <n v="0"/>
    <n v="0.95"/>
    <n v="4E+20"/>
    <n v="0"/>
    <n v="0"/>
    <n v="2E+20"/>
  </r>
  <r>
    <x v="0"/>
    <s v="2025-05-22 15:38:36"/>
    <n v="1"/>
    <x v="2"/>
    <x v="1"/>
    <x v="1"/>
    <n v="15.727758711790701"/>
    <n v="2E+20"/>
    <n v="0"/>
    <n v="39"/>
    <n v="0"/>
    <n v="0"/>
    <s v="Unnamed ProjectGrupoCleintesWIPEntity"/>
    <n v="1"/>
    <n v="15.727758711790701"/>
    <n v="0"/>
    <n v="0.95"/>
    <n v="4E+20"/>
    <n v="15.727758711790701"/>
    <n v="15.727758711790701"/>
    <n v="2E+20"/>
  </r>
  <r>
    <x v="0"/>
    <s v="2025-05-22 15:38:36"/>
    <n v="1"/>
    <x v="3"/>
    <x v="0"/>
    <x v="0"/>
    <n v="0.21468094044000799"/>
    <n v="2E+20"/>
    <n v="0"/>
    <n v="7"/>
    <n v="0"/>
    <n v="0"/>
    <s v="Unnamed ProjectOcupar Mesa.QueueNumber WaitingQueue"/>
    <n v="1"/>
    <n v="0.21468094044000799"/>
    <n v="0"/>
    <n v="0.95"/>
    <n v="4E+20"/>
    <n v="0.21468094044000799"/>
    <n v="0.21468094044000799"/>
    <n v="2E+20"/>
  </r>
  <r>
    <x v="0"/>
    <s v="2025-05-22 15:38:36"/>
    <n v="1"/>
    <x v="4"/>
    <x v="2"/>
    <x v="2"/>
    <n v="0.35744019213610001"/>
    <n v="2E+20"/>
    <n v="0"/>
    <n v="1"/>
    <n v="0"/>
    <n v="0"/>
    <s v="Unnamed ProjectrCajaInstantaneous UtilizationResource"/>
    <n v="1"/>
    <n v="0.35744019213610001"/>
    <n v="0"/>
    <n v="0.95"/>
    <n v="4E+20"/>
    <n v="0.35744019213610001"/>
    <n v="0.35744019213610001"/>
    <n v="2E+20"/>
  </r>
  <r>
    <x v="0"/>
    <s v="2025-05-22 15:38:36"/>
    <n v="1"/>
    <x v="4"/>
    <x v="3"/>
    <x v="2"/>
    <n v="0.35744019213610001"/>
    <n v="2E+20"/>
    <n v="0"/>
    <n v="1"/>
    <n v="0"/>
    <n v="0"/>
    <s v="Unnamed ProjectrCajaNumber BusyResource"/>
    <n v="1"/>
    <n v="0.35744019213610001"/>
    <n v="0"/>
    <n v="0.95"/>
    <n v="4E+20"/>
    <n v="0.35744019213610001"/>
    <n v="0.35744019213610001"/>
    <n v="2E+20"/>
  </r>
  <r>
    <x v="0"/>
    <s v="2025-05-22 15:38:36"/>
    <n v="1"/>
    <x v="4"/>
    <x v="4"/>
    <x v="2"/>
    <n v="1"/>
    <n v="2E+20"/>
    <n v="1"/>
    <n v="1"/>
    <n v="1"/>
    <n v="0"/>
    <s v="Unnamed ProjectrCajaNumber ScheduledResource"/>
    <n v="1"/>
    <n v="1"/>
    <n v="0"/>
    <n v="0.95"/>
    <n v="4E+20"/>
    <n v="1"/>
    <n v="1"/>
    <n v="2E+20"/>
  </r>
  <r>
    <x v="0"/>
    <s v="2025-05-22 15:38:36"/>
    <n v="1"/>
    <x v="5"/>
    <x v="2"/>
    <x v="2"/>
    <n v="0.46430750034117502"/>
    <n v="2E+20"/>
    <n v="0"/>
    <n v="1"/>
    <n v="0"/>
    <n v="0"/>
    <s v="Unnamed ProjectrMesasInstantaneous UtilizationResource"/>
    <n v="1"/>
    <n v="0.46430750034117502"/>
    <n v="0"/>
    <n v="0.95"/>
    <n v="4E+20"/>
    <n v="0.46430750034117502"/>
    <n v="0.46430750034117502"/>
    <n v="2E+20"/>
  </r>
  <r>
    <x v="0"/>
    <s v="2025-05-22 15:38:36"/>
    <n v="1"/>
    <x v="5"/>
    <x v="3"/>
    <x v="2"/>
    <n v="23.2153750170588"/>
    <n v="2E+20"/>
    <n v="0"/>
    <n v="50"/>
    <n v="0"/>
    <n v="0"/>
    <s v="Unnamed ProjectrMesasNumber BusyResource"/>
    <n v="1"/>
    <n v="23.2153750170588"/>
    <n v="0"/>
    <n v="0.95"/>
    <n v="4E+20"/>
    <n v="23.2153750170588"/>
    <n v="23.2153750170588"/>
    <n v="2E+20"/>
  </r>
  <r>
    <x v="0"/>
    <s v="2025-05-22 15:38:36"/>
    <n v="1"/>
    <x v="5"/>
    <x v="4"/>
    <x v="2"/>
    <n v="50"/>
    <n v="2E+20"/>
    <n v="50"/>
    <n v="50"/>
    <n v="50"/>
    <n v="0"/>
    <s v="Unnamed ProjectrMesasNumber ScheduledResource"/>
    <n v="1"/>
    <n v="50"/>
    <n v="0"/>
    <n v="0.95"/>
    <n v="4E+20"/>
    <n v="50"/>
    <n v="50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s v="2025-05-22 15:38:36"/>
    <n v="1"/>
    <x v="0"/>
    <x v="0"/>
    <x v="0"/>
    <n v="5.26899206123508"/>
    <n v="2E+20"/>
    <n v="1.68604330838207E-4"/>
    <n v="24.393106001406"/>
    <n v="133"/>
    <s v="Unnamed ProjectCajaTotal Time Per EntityProcess"/>
    <n v="1"/>
    <n v="5.26899206123508"/>
    <n v="0"/>
    <n v="0.95"/>
    <n v="4E+20"/>
    <n v="5.26899206123508"/>
    <n v="5.26899206123508"/>
    <n v="1.68604330838207E-4"/>
    <n v="24.393106001406"/>
    <n v="133"/>
    <n v="2E+20"/>
    <n v="1"/>
    <n v="1"/>
  </r>
  <r>
    <x v="0"/>
    <s v="2025-05-22 15:38:36"/>
    <n v="1"/>
    <x v="0"/>
    <x v="1"/>
    <x v="0"/>
    <n v="1.12875850148242"/>
    <n v="2E+20"/>
    <n v="2.1989262677379901E-6"/>
    <n v="21.620861358350101"/>
    <n v="133"/>
    <s v="Unnamed ProjectCajaVA Time Per EntityProcess"/>
    <n v="1"/>
    <n v="1.12875850148242"/>
    <n v="0"/>
    <n v="0.95"/>
    <n v="4E+20"/>
    <n v="1.12875850148242"/>
    <n v="1.12875850148242"/>
    <n v="2.1989262677379901E-6"/>
    <n v="21.620861358350101"/>
    <n v="133"/>
    <n v="2E+20"/>
    <n v="1"/>
    <n v="1"/>
  </r>
  <r>
    <x v="0"/>
    <s v="2025-05-22 15:38:36"/>
    <n v="1"/>
    <x v="0"/>
    <x v="2"/>
    <x v="0"/>
    <n v="4.1402335597526498"/>
    <n v="2E+20"/>
    <n v="0"/>
    <n v="21.631423742904602"/>
    <n v="133"/>
    <s v="Unnamed ProjectCajaWait Time Per EntityProcess"/>
    <n v="1"/>
    <n v="4.1402335597526498"/>
    <n v="0"/>
    <n v="0.95"/>
    <n v="4E+20"/>
    <n v="4.1402335597526498"/>
    <n v="4.1402335597526498"/>
    <n v="0"/>
    <n v="21.631423742904602"/>
    <n v="133"/>
    <n v="2E+20"/>
    <n v="1"/>
    <n v="1"/>
  </r>
  <r>
    <x v="0"/>
    <s v="2025-05-22 15:38:36"/>
    <n v="1"/>
    <x v="1"/>
    <x v="3"/>
    <x v="1"/>
    <n v="4.1402335597526498"/>
    <n v="2E+20"/>
    <n v="0"/>
    <n v="21.631423742904602"/>
    <n v="133"/>
    <s v="Unnamed ProjectCaja.QueueWaiting TimeQueue"/>
    <n v="1"/>
    <n v="4.1402335597526498"/>
    <n v="0"/>
    <n v="0.95"/>
    <n v="4E+20"/>
    <n v="4.1402335597526498"/>
    <n v="4.1402335597526498"/>
    <n v="0"/>
    <n v="21.631423742904602"/>
    <n v="133"/>
    <n v="2E+20"/>
    <n v="1"/>
    <n v="1"/>
  </r>
  <r>
    <x v="0"/>
    <s v="2025-05-22 15:38:36"/>
    <n v="1"/>
    <x v="2"/>
    <x v="4"/>
    <x v="2"/>
    <n v="0"/>
    <n v="2E+20"/>
    <n v="0"/>
    <n v="0"/>
    <n v="136"/>
    <s v="Unnamed ProjectGrupoCleintesNVA TimeEntity"/>
    <n v="1"/>
    <n v="0"/>
    <n v="0"/>
    <n v="0.95"/>
    <n v="4E+20"/>
    <n v="0"/>
    <n v="0"/>
    <n v="0"/>
    <n v="0"/>
    <n v="136"/>
    <n v="2E+20"/>
    <n v="1"/>
    <n v="1"/>
  </r>
  <r>
    <x v="0"/>
    <s v="2025-05-22 15:38:36"/>
    <n v="1"/>
    <x v="2"/>
    <x v="5"/>
    <x v="2"/>
    <n v="42.755269998698701"/>
    <n v="2E+20"/>
    <n v="0"/>
    <n v="60.317088631478903"/>
    <n v="136"/>
    <s v="Unnamed ProjectGrupoCleintesOther TimeEntity"/>
    <n v="1"/>
    <n v="42.755269998698701"/>
    <n v="0"/>
    <n v="0.95"/>
    <n v="4E+20"/>
    <n v="42.755269998698701"/>
    <n v="42.755269998698701"/>
    <n v="0"/>
    <n v="60.317088631478903"/>
    <n v="136"/>
    <n v="2E+20"/>
    <n v="1"/>
    <n v="1"/>
  </r>
  <r>
    <x v="0"/>
    <s v="2025-05-22 15:38:36"/>
    <n v="1"/>
    <x v="2"/>
    <x v="6"/>
    <x v="2"/>
    <n v="48.571019551118297"/>
    <n v="2E+20"/>
    <n v="0"/>
    <n v="70.899195213799004"/>
    <n v="136"/>
    <s v="Unnamed ProjectGrupoCleintesTotal TimeEntity"/>
    <n v="1"/>
    <n v="48.571019551118297"/>
    <n v="0"/>
    <n v="0.95"/>
    <n v="4E+20"/>
    <n v="48.571019551118297"/>
    <n v="48.571019551118297"/>
    <n v="0"/>
    <n v="70.899195213799004"/>
    <n v="136"/>
    <n v="2E+20"/>
    <n v="1"/>
    <n v="1"/>
  </r>
  <r>
    <x v="0"/>
    <s v="2025-05-22 15:38:36"/>
    <n v="1"/>
    <x v="2"/>
    <x v="7"/>
    <x v="2"/>
    <n v="0"/>
    <n v="2E+20"/>
    <n v="0"/>
    <n v="0"/>
    <n v="136"/>
    <s v="Unnamed ProjectGrupoCleintesTransfer TimeEntity"/>
    <n v="1"/>
    <n v="0"/>
    <n v="0"/>
    <n v="0.95"/>
    <n v="4E+20"/>
    <n v="0"/>
    <n v="0"/>
    <n v="0"/>
    <n v="0"/>
    <n v="136"/>
    <n v="2E+20"/>
    <n v="1"/>
    <n v="1"/>
  </r>
  <r>
    <x v="0"/>
    <s v="2025-05-22 15:38:36"/>
    <n v="1"/>
    <x v="2"/>
    <x v="8"/>
    <x v="2"/>
    <n v="1.1038594168908999"/>
    <n v="2E+20"/>
    <n v="0"/>
    <n v="21.620861358350101"/>
    <n v="136"/>
    <s v="Unnamed ProjectGrupoCleintesVA TimeEntity"/>
    <n v="1"/>
    <n v="1.1038594168908999"/>
    <n v="0"/>
    <n v="0.95"/>
    <n v="4E+20"/>
    <n v="1.1038594168908999"/>
    <n v="1.1038594168908999"/>
    <n v="0"/>
    <n v="21.620861358350101"/>
    <n v="136"/>
    <n v="2E+20"/>
    <n v="1"/>
    <n v="1"/>
  </r>
  <r>
    <x v="0"/>
    <s v="2025-05-22 15:38:36"/>
    <n v="1"/>
    <x v="2"/>
    <x v="9"/>
    <x v="2"/>
    <n v="4.7118901355287202"/>
    <n v="2E+20"/>
    <n v="0"/>
    <n v="21.631423742904602"/>
    <n v="136"/>
    <s v="Unnamed ProjectGrupoCleintesWait TimeEntity"/>
    <n v="1"/>
    <n v="4.7118901355287202"/>
    <n v="0"/>
    <n v="0.95"/>
    <n v="4E+20"/>
    <n v="4.7118901355287202"/>
    <n v="4.7118901355287202"/>
    <n v="0"/>
    <n v="21.631423742904602"/>
    <n v="136"/>
    <n v="2E+20"/>
    <n v="1"/>
    <n v="1"/>
  </r>
  <r>
    <x v="0"/>
    <s v="2025-05-22 15:38:36"/>
    <n v="1"/>
    <x v="3"/>
    <x v="3"/>
    <x v="1"/>
    <n v="0.67793981191581398"/>
    <n v="2E+20"/>
    <n v="0"/>
    <n v="15.313957781095"/>
    <n v="133"/>
    <s v="Unnamed ProjectOcupar Mesa.QueueWaiting TimeQueue"/>
    <n v="1"/>
    <n v="0.67793981191581398"/>
    <n v="0"/>
    <n v="0.95"/>
    <n v="4E+20"/>
    <n v="0.67793981191581398"/>
    <n v="0.67793981191581398"/>
    <n v="0"/>
    <n v="15.313957781095"/>
    <n v="133"/>
    <n v="2E+20"/>
    <n v="1"/>
    <n v="1"/>
  </r>
  <r>
    <x v="0"/>
    <s v="2025-05-22 15:38:36"/>
    <n v="1"/>
    <x v="4"/>
    <x v="10"/>
    <x v="3"/>
    <n v="49.666606458286502"/>
    <n v="2E+20"/>
    <n v="31.5595207201834"/>
    <n v="70.899195213799004"/>
    <n v="133"/>
    <s v="Unnamed ProjectTiempoSistemaCleinteIntervalUser Specified"/>
    <n v="1"/>
    <n v="49.666606458286502"/>
    <n v="0"/>
    <n v="0.95"/>
    <n v="4E+20"/>
    <n v="49.666606458286502"/>
    <n v="49.666606458286502"/>
    <n v="31.5595207201834"/>
    <n v="70.899195213799004"/>
    <n v="133"/>
    <n v="2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5-05-22 15:38:36"/>
    <n v="1"/>
    <x v="0"/>
    <x v="0"/>
    <x v="0"/>
    <n v="150.12488069716201"/>
    <n v="0"/>
    <s v="Unnamed ProjectCaja Accum VA TimeAccum VA TimeProcess"/>
    <n v="1"/>
    <n v="150.12488069716201"/>
    <n v="0"/>
    <n v="0.95"/>
    <n v="4E+20"/>
    <n v="150.12488069716201"/>
    <n v="150.12488069716201"/>
  </r>
  <r>
    <x v="0"/>
    <s v="2025-05-22 15:38:36"/>
    <n v="1"/>
    <x v="1"/>
    <x v="1"/>
    <x v="0"/>
    <n v="550.65106344710296"/>
    <n v="0"/>
    <s v="Unnamed ProjectCaja Accum Wait TimeAccum Wait TimeProcess"/>
    <n v="1"/>
    <n v="550.65106344710296"/>
    <n v="0"/>
    <n v="0.95"/>
    <n v="4E+20"/>
    <n v="550.65106344710296"/>
    <n v="550.65106344710296"/>
  </r>
  <r>
    <x v="0"/>
    <s v="2025-05-22 15:38:36"/>
    <n v="1"/>
    <x v="2"/>
    <x v="2"/>
    <x v="0"/>
    <n v="133"/>
    <n v="0"/>
    <s v="Unnamed ProjectCaja Number InNumber InProcess"/>
    <n v="1"/>
    <n v="133"/>
    <n v="0"/>
    <n v="0.95"/>
    <n v="4E+20"/>
    <n v="133"/>
    <n v="133"/>
  </r>
  <r>
    <x v="0"/>
    <s v="2025-05-22 15:38:36"/>
    <n v="1"/>
    <x v="3"/>
    <x v="3"/>
    <x v="0"/>
    <n v="133"/>
    <n v="0"/>
    <s v="Unnamed ProjectCaja Number OutNumber OutProcess"/>
    <n v="1"/>
    <n v="133"/>
    <n v="0"/>
    <n v="0.95"/>
    <n v="4E+20"/>
    <n v="133"/>
    <n v="133"/>
  </r>
  <r>
    <x v="0"/>
    <s v="2025-05-22 15:38:36"/>
    <n v="1"/>
    <x v="4"/>
    <x v="2"/>
    <x v="1"/>
    <n v="1"/>
    <n v="0"/>
    <s v="Unnamed ProjectEntity 1.NumberInNumber InEntity"/>
    <n v="1"/>
    <n v="1"/>
    <n v="0"/>
    <n v="0.95"/>
    <n v="4E+20"/>
    <n v="1"/>
    <n v="1"/>
  </r>
  <r>
    <x v="0"/>
    <s v="2025-05-22 15:38:36"/>
    <n v="1"/>
    <x v="5"/>
    <x v="3"/>
    <x v="1"/>
    <n v="1"/>
    <n v="0"/>
    <s v="Unnamed ProjectEntity 1.NumberOutNumber OutEntity"/>
    <n v="1"/>
    <n v="1"/>
    <n v="0"/>
    <n v="0.95"/>
    <n v="4E+20"/>
    <n v="1"/>
    <n v="1"/>
  </r>
  <r>
    <x v="0"/>
    <s v="2025-05-22 15:38:36"/>
    <n v="1"/>
    <x v="6"/>
    <x v="2"/>
    <x v="1"/>
    <n v="136"/>
    <n v="0"/>
    <s v="Unnamed ProjectGrupoCleintes.NumberInNumber InEntity"/>
    <n v="1"/>
    <n v="136"/>
    <n v="0"/>
    <n v="0.95"/>
    <n v="4E+20"/>
    <n v="136"/>
    <n v="136"/>
  </r>
  <r>
    <x v="0"/>
    <s v="2025-05-22 15:38:36"/>
    <n v="1"/>
    <x v="7"/>
    <x v="3"/>
    <x v="1"/>
    <n v="136"/>
    <n v="0"/>
    <s v="Unnamed ProjectGrupoCleintes.NumberOutNumber OutEntity"/>
    <n v="1"/>
    <n v="136"/>
    <n v="0"/>
    <n v="0.95"/>
    <n v="4E+20"/>
    <n v="136"/>
    <n v="136"/>
  </r>
  <r>
    <x v="0"/>
    <s v="2025-05-22 15:38:36"/>
    <n v="1"/>
    <x v="8"/>
    <x v="3"/>
    <x v="2"/>
    <n v="136"/>
    <n v="0"/>
    <s v="Unnamed ProjectSystem.NumberOutNumber OutSystem"/>
    <n v="1"/>
    <n v="136"/>
    <n v="0"/>
    <n v="0.95"/>
    <n v="4E+20"/>
    <n v="136"/>
    <n v="136"/>
  </r>
  <r>
    <x v="0"/>
    <s v="2025-05-22 15:38:36"/>
    <n v="1"/>
    <x v="9"/>
    <x v="4"/>
    <x v="3"/>
    <n v="133"/>
    <n v="0"/>
    <s v="Unnamed ProjectrCaja.NumberSeizedTotal Number SeizedResource"/>
    <n v="1"/>
    <n v="133"/>
    <n v="0"/>
    <n v="0.95"/>
    <n v="4E+20"/>
    <n v="133"/>
    <n v="133"/>
  </r>
  <r>
    <x v="0"/>
    <s v="2025-05-22 15:38:36"/>
    <n v="1"/>
    <x v="10"/>
    <x v="5"/>
    <x v="3"/>
    <n v="0.35744019213610001"/>
    <n v="0"/>
    <s v="Unnamed ProjectrCaja.ScheduledUtilizationScheduled UtilizationResource"/>
    <n v="1"/>
    <n v="0.35744019213610001"/>
    <n v="0"/>
    <n v="0.95"/>
    <n v="4E+20"/>
    <n v="0.35744019213610001"/>
    <n v="0.35744019213610001"/>
  </r>
  <r>
    <x v="0"/>
    <s v="2025-05-22 15:38:36"/>
    <n v="1"/>
    <x v="11"/>
    <x v="4"/>
    <x v="3"/>
    <n v="223"/>
    <n v="0"/>
    <s v="Unnamed ProjectrMesas.NumberSeizedTotal Number SeizedResource"/>
    <n v="1"/>
    <n v="223"/>
    <n v="0"/>
    <n v="0.95"/>
    <n v="4E+20"/>
    <n v="223"/>
    <n v="223"/>
  </r>
  <r>
    <x v="0"/>
    <s v="2025-05-22 15:38:36"/>
    <n v="1"/>
    <x v="12"/>
    <x v="5"/>
    <x v="3"/>
    <n v="0.46430750034117502"/>
    <n v="0"/>
    <s v="Unnamed ProjectrMesas.ScheduledUtilizationScheduled UtilizationResource"/>
    <n v="1"/>
    <n v="0.46430750034117502"/>
    <n v="0"/>
    <n v="0.95"/>
    <n v="4E+20"/>
    <n v="0.46430750034117502"/>
    <n v="0.4643075003411750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2025-05-22 15:38:36"/>
    <n v="1"/>
    <x v="0"/>
    <x v="0"/>
    <x v="0"/>
    <n v="133"/>
    <s v="Unnamed ProjectClientesAtendidosCountUser Specified"/>
    <n v="1"/>
    <n v="133"/>
    <n v="0"/>
    <n v="0.95"/>
    <n v="4E+20"/>
    <n v="133"/>
    <n v="133"/>
  </r>
  <r>
    <x v="0"/>
    <s v="2025-05-22 15:38:36"/>
    <n v="1"/>
    <x v="1"/>
    <x v="0"/>
    <x v="0"/>
    <n v="3"/>
    <s v="Unnamed ProjectNoVanComerCountUser Specified"/>
    <n v="1"/>
    <n v="3"/>
    <n v="0"/>
    <n v="0.95"/>
    <n v="4E+20"/>
    <n v="3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2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1"/>
        <item m="1" x="12"/>
        <item m="1" x="28"/>
        <item m="1" x="37"/>
        <item m="1" x="50"/>
        <item m="1" x="49"/>
        <item m="1" x="13"/>
        <item m="1" x="114"/>
        <item m="1" x="92"/>
        <item m="1" x="55"/>
        <item m="1" x="42"/>
        <item m="1" x="46"/>
        <item x="1"/>
        <item m="1" x="31"/>
        <item m="1" x="113"/>
        <item m="1" x="35"/>
        <item m="1" x="86"/>
        <item m="1" x="100"/>
        <item m="1" x="10"/>
        <item m="1" x="36"/>
        <item m="1" x="123"/>
        <item m="1" x="25"/>
        <item m="1" x="115"/>
        <item m="1" x="14"/>
        <item m="1" x="41"/>
        <item m="1" x="67"/>
        <item m="1" x="11"/>
        <item m="1" x="17"/>
        <item m="1" x="87"/>
        <item m="1" x="68"/>
        <item m="1" x="102"/>
        <item m="1" x="58"/>
        <item m="1" x="22"/>
        <item m="1" x="52"/>
        <item m="1" x="88"/>
        <item m="1" x="73"/>
        <item m="1" x="23"/>
        <item m="1" x="33"/>
        <item m="1" x="95"/>
        <item m="1" x="9"/>
        <item m="1" x="122"/>
        <item m="1" x="80"/>
        <item m="1" x="20"/>
        <item m="1" x="105"/>
        <item m="1" x="51"/>
        <item m="1" x="124"/>
        <item m="1" x="85"/>
        <item m="1" x="27"/>
        <item m="1" x="72"/>
        <item m="1" x="91"/>
        <item m="1" x="104"/>
        <item m="1" x="112"/>
        <item m="1" x="121"/>
        <item m="1" x="8"/>
        <item m="1" x="26"/>
        <item m="1" x="40"/>
        <item m="1" x="29"/>
        <item m="1" x="7"/>
        <item m="1" x="101"/>
        <item m="1" x="118"/>
        <item m="1" x="44"/>
        <item m="1" x="79"/>
        <item m="1" x="32"/>
        <item m="1" x="53"/>
        <item m="1" x="38"/>
        <item m="1" x="62"/>
        <item m="1" x="47"/>
        <item m="1" x="69"/>
        <item m="1" x="54"/>
        <item m="1" x="81"/>
        <item m="1" x="63"/>
        <item m="1" x="89"/>
        <item m="1" x="70"/>
        <item m="1" x="98"/>
        <item m="1" x="82"/>
        <item m="1" x="103"/>
        <item m="1" x="90"/>
        <item m="1" x="107"/>
        <item m="1" x="119"/>
        <item m="1" x="109"/>
        <item m="1" x="93"/>
        <item m="1" x="66"/>
        <item m="1" x="45"/>
        <item m="1" x="60"/>
        <item m="1" x="24"/>
        <item m="1" x="30"/>
        <item m="1" x="39"/>
        <item m="1" x="43"/>
        <item m="1" x="75"/>
        <item m="1" x="120"/>
        <item m="1" x="110"/>
        <item m="1" x="94"/>
        <item m="1" x="61"/>
        <item m="1" x="128"/>
        <item m="1" x="77"/>
        <item m="1" x="65"/>
        <item m="1" x="97"/>
        <item m="1" x="78"/>
        <item m="1" x="57"/>
        <item m="1" x="64"/>
        <item m="1" x="18"/>
        <item m="1" x="83"/>
        <item m="1" x="99"/>
        <item m="1" x="108"/>
        <item m="1" x="116"/>
        <item m="1" x="127"/>
        <item m="1" x="15"/>
        <item m="1" x="34"/>
        <item m="1" x="126"/>
        <item m="1" x="16"/>
        <item m="1" x="84"/>
        <item m="1" x="59"/>
        <item m="1" x="74"/>
        <item m="1" x="19"/>
        <item m="1" x="125"/>
        <item m="1" x="106"/>
        <item m="1" x="56"/>
        <item m="1" x="117"/>
        <item m="1" x="76"/>
        <item m="1" x="96"/>
        <item m="1" x="111"/>
        <item m="1" x="48"/>
        <item m="1" x="71"/>
        <item m="1" x="6"/>
        <item x="0"/>
        <item x="2"/>
        <item x="3"/>
        <item x="4"/>
        <item x="5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0">
    <i>
      <x v="3"/>
      <x v="12"/>
      <x v="4"/>
      <x/>
    </i>
    <i r="1">
      <x v="124"/>
      <x v="3"/>
      <x v="1"/>
    </i>
    <i r="1">
      <x v="125"/>
      <x v="4"/>
      <x/>
    </i>
    <i r="1">
      <x v="126"/>
      <x v="3"/>
      <x v="1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2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x="10"/>
        <item x="4"/>
        <item x="5"/>
        <item x="6"/>
        <item x="7"/>
        <item x="8"/>
        <item x="9"/>
        <item x="3"/>
        <item x="0"/>
        <item x="1"/>
        <item x="2"/>
        <item m="1" x="11"/>
      </items>
    </pivotField>
    <pivotField axis="axisRow" compact="0" outline="0" showAll="0" defaultSubtotal="0">
      <items count="5">
        <item x="2"/>
        <item x="1"/>
        <item x="3"/>
        <item x="0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2">
    <i>
      <x v="3"/>
      <x v="99"/>
      <x v="8"/>
      <x v="3"/>
    </i>
    <i r="2">
      <x v="9"/>
      <x v="3"/>
    </i>
    <i r="2">
      <x v="10"/>
      <x v="3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8"/>
        <item m="1" x="14"/>
        <item m="1" x="39"/>
        <item m="1" x="15"/>
        <item m="1" x="40"/>
        <item m="1" x="16"/>
        <item m="1" x="41"/>
        <item m="1" x="17"/>
        <item m="1" x="73"/>
        <item m="1" x="28"/>
        <item x="8"/>
        <item m="1" x="72"/>
        <item m="1" x="59"/>
        <item m="1" x="76"/>
        <item m="1" x="61"/>
        <item x="4"/>
        <item x="5"/>
        <item m="1" x="53"/>
        <item m="1" x="21"/>
        <item m="1" x="70"/>
        <item m="1" x="60"/>
        <item m="1" x="58"/>
        <item m="1" x="24"/>
        <item m="1" x="68"/>
        <item m="1" x="33"/>
        <item m="1" x="69"/>
        <item m="1" x="34"/>
        <item m="1" x="67"/>
        <item m="1" x="85"/>
        <item m="1" x="27"/>
        <item m="1" x="88"/>
        <item m="1" x="55"/>
        <item m="1" x="22"/>
        <item m="1" x="83"/>
        <item m="1" x="79"/>
        <item m="1" x="56"/>
        <item m="1" x="23"/>
        <item m="1" x="84"/>
        <item m="1" x="80"/>
        <item m="1" x="18"/>
        <item m="1" x="52"/>
        <item m="1" x="36"/>
        <item m="1" x="26"/>
        <item m="1" x="77"/>
        <item m="1" x="48"/>
        <item m="1" x="78"/>
        <item m="1" x="49"/>
        <item m="1" x="35"/>
        <item m="1" x="30"/>
        <item m="1" x="57"/>
        <item m="1" x="32"/>
        <item m="1" x="87"/>
        <item m="1" x="81"/>
        <item m="1" x="31"/>
        <item m="1" x="29"/>
        <item m="1" x="74"/>
        <item m="1" x="82"/>
        <item m="1" x="19"/>
        <item m="1" x="37"/>
        <item m="1" x="50"/>
        <item m="1" x="71"/>
        <item m="1" x="86"/>
        <item m="1" x="20"/>
        <item m="1" x="47"/>
        <item m="1" x="51"/>
        <item m="1" x="75"/>
        <item m="1" x="54"/>
        <item m="1" x="25"/>
        <item m="1" x="42"/>
        <item m="1" x="62"/>
        <item m="1" x="43"/>
        <item m="1" x="63"/>
        <item m="1" x="44"/>
        <item m="1" x="64"/>
        <item m="1" x="45"/>
        <item m="1" x="65"/>
        <item m="1" x="46"/>
        <item m="1" x="66"/>
        <item m="1" x="13"/>
        <item x="0"/>
        <item x="1"/>
        <item x="2"/>
        <item x="3"/>
        <item x="6"/>
        <item x="7"/>
        <item x="9"/>
        <item x="10"/>
        <item x="11"/>
        <item x="12"/>
      </items>
    </pivotField>
    <pivotField axis="axisRow" compact="0" outline="0" showAll="0" defaultSubtotal="0">
      <items count="7">
        <item x="2"/>
        <item x="3"/>
        <item x="5"/>
        <item x="4"/>
        <item x="0"/>
        <item x="1"/>
        <item m="1" x="6"/>
      </items>
    </pivotField>
    <pivotField axis="axisRow" compact="0" outline="0" showAll="0" defaultSubtotal="0">
      <items count="5">
        <item x="1"/>
        <item x="3"/>
        <item x="2"/>
        <item x="0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0"/>
      <x v="1"/>
      <x v="2"/>
    </i>
    <i r="1">
      <x v="15"/>
      <x/>
      <x/>
    </i>
    <i r="1">
      <x v="16"/>
      <x v="1"/>
      <x/>
    </i>
    <i r="1">
      <x v="79"/>
      <x v="4"/>
      <x v="3"/>
    </i>
    <i r="1">
      <x v="80"/>
      <x v="5"/>
      <x v="3"/>
    </i>
    <i r="1">
      <x v="81"/>
      <x/>
      <x v="3"/>
    </i>
    <i r="1">
      <x v="82"/>
      <x v="1"/>
      <x v="3"/>
    </i>
    <i r="1">
      <x v="83"/>
      <x/>
      <x/>
    </i>
    <i r="1">
      <x v="84"/>
      <x v="1"/>
      <x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3" tableType="queryTable" totalsRowShown="0">
  <autoFilter ref="A1:Y13" xr:uid="{C3D003CA-1AFF-426C-A03D-D3AF5760DF1A}"/>
  <sortState xmlns:xlrd2="http://schemas.microsoft.com/office/spreadsheetml/2017/richdata2" ref="A2:Y13">
    <sortCondition ref="D1:D13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1" tableType="queryTable" totalsRowShown="0">
  <autoFilter ref="A1:U1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3" tableType="queryTable" totalsRowShown="0">
  <autoFilter ref="A1:O3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4" tableType="queryTable" totalsRowShown="0">
  <autoFilter ref="A1:P1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topLeftCell="P1"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1</v>
      </c>
      <c r="F2">
        <v>420</v>
      </c>
      <c r="G2">
        <f>0.95</f>
        <v>0.95</v>
      </c>
    </row>
  </sheetData>
  <phoneticPr fontId="2" type="noConversion"/>
  <conditionalFormatting sqref="D2">
    <cfRule type="expression" dxfId="67" priority="1">
      <formula>D2=3</formula>
    </cfRule>
    <cfRule type="expression" dxfId="66" priority="2">
      <formula>D2=2</formula>
    </cfRule>
    <cfRule type="expression" dxfId="65" priority="3">
      <formula>D2=1</formula>
    </cfRule>
    <cfRule type="expression" dxfId="64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tabSelected="1" workbookViewId="0">
      <selection activeCell="H17" sqref="H17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5.26899206123508</v>
      </c>
      <c r="F3" s="5">
        <v>1</v>
      </c>
      <c r="G3" s="5">
        <v>2E+20</v>
      </c>
      <c r="H3" s="5">
        <v>0</v>
      </c>
      <c r="I3" s="5">
        <v>5.26899206123508</v>
      </c>
      <c r="J3" s="5">
        <v>5.26899206123508</v>
      </c>
      <c r="K3" s="5">
        <v>1.68604330838207E-4</v>
      </c>
      <c r="L3" s="5">
        <v>24.393106001406</v>
      </c>
      <c r="M3" s="5">
        <v>133</v>
      </c>
      <c r="O3" t="s">
        <v>67</v>
      </c>
      <c r="P3" t="s">
        <v>92</v>
      </c>
      <c r="Q3" t="s">
        <v>93</v>
      </c>
      <c r="R3" t="s">
        <v>81</v>
      </c>
      <c r="S3" s="5">
        <v>0</v>
      </c>
      <c r="T3" s="5">
        <v>2E+20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67</v>
      </c>
      <c r="AB3" t="s">
        <v>100</v>
      </c>
      <c r="AC3" t="s">
        <v>101</v>
      </c>
      <c r="AD3" t="s">
        <v>90</v>
      </c>
      <c r="AE3" s="5">
        <v>133</v>
      </c>
      <c r="AF3" s="5">
        <v>4E+20</v>
      </c>
      <c r="AG3" s="5">
        <v>0</v>
      </c>
      <c r="AH3" s="5">
        <v>133</v>
      </c>
      <c r="AI3" s="5">
        <v>133</v>
      </c>
      <c r="AK3" t="s">
        <v>67</v>
      </c>
      <c r="AL3" t="s">
        <v>115</v>
      </c>
      <c r="AM3" t="s">
        <v>110</v>
      </c>
      <c r="AN3" t="s">
        <v>116</v>
      </c>
      <c r="AO3" s="5">
        <v>136</v>
      </c>
      <c r="AP3" s="5">
        <v>4E+20</v>
      </c>
      <c r="AQ3" s="5">
        <v>0</v>
      </c>
      <c r="AR3" s="5">
        <v>136</v>
      </c>
      <c r="AS3" s="5">
        <v>136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74</v>
      </c>
      <c r="D4" t="s">
        <v>73</v>
      </c>
      <c r="E4" s="5">
        <v>1.12875850148242</v>
      </c>
      <c r="F4" s="5">
        <v>1</v>
      </c>
      <c r="G4" s="5">
        <v>2E+20</v>
      </c>
      <c r="H4" s="5">
        <v>0</v>
      </c>
      <c r="I4" s="5">
        <v>1.12875850148242</v>
      </c>
      <c r="J4" s="5">
        <v>1.12875850148242</v>
      </c>
      <c r="K4" s="5">
        <v>2.1989262677379901E-6</v>
      </c>
      <c r="L4" s="5">
        <v>21.620861358350101</v>
      </c>
      <c r="M4" s="5">
        <v>133</v>
      </c>
      <c r="P4" t="s">
        <v>76</v>
      </c>
      <c r="Q4" t="s">
        <v>91</v>
      </c>
      <c r="R4" t="s">
        <v>78</v>
      </c>
      <c r="S4" s="5">
        <v>1.3110739605883399</v>
      </c>
      <c r="T4" s="5">
        <v>2E+20</v>
      </c>
      <c r="U4" s="5">
        <v>0</v>
      </c>
      <c r="V4" s="5">
        <v>1.3110739605883399</v>
      </c>
      <c r="W4" s="5">
        <v>1.3110739605883399</v>
      </c>
      <c r="X4" s="5">
        <v>0</v>
      </c>
      <c r="Y4" s="5">
        <v>18</v>
      </c>
      <c r="AB4" t="s">
        <v>102</v>
      </c>
      <c r="AC4" t="s">
        <v>101</v>
      </c>
      <c r="AD4" t="s">
        <v>90</v>
      </c>
      <c r="AE4" s="5">
        <v>3</v>
      </c>
      <c r="AF4" s="5">
        <v>4E+20</v>
      </c>
      <c r="AG4" s="5">
        <v>0</v>
      </c>
      <c r="AH4" s="5">
        <v>3</v>
      </c>
      <c r="AI4" s="5">
        <v>3</v>
      </c>
      <c r="AL4" t="s">
        <v>111</v>
      </c>
      <c r="AM4" t="s">
        <v>108</v>
      </c>
      <c r="AN4" t="s">
        <v>81</v>
      </c>
      <c r="AO4" s="5">
        <v>1</v>
      </c>
      <c r="AP4" s="5">
        <v>4E+20</v>
      </c>
      <c r="AQ4" s="5">
        <v>0</v>
      </c>
      <c r="AR4" s="5">
        <v>1</v>
      </c>
      <c r="AS4" s="5">
        <v>1</v>
      </c>
    </row>
    <row r="5" spans="1:52" x14ac:dyDescent="0.25">
      <c r="C5" t="s">
        <v>75</v>
      </c>
      <c r="D5" t="s">
        <v>73</v>
      </c>
      <c r="E5" s="5">
        <v>4.1402335597526498</v>
      </c>
      <c r="F5" s="5">
        <v>1</v>
      </c>
      <c r="G5" s="5">
        <v>2E+20</v>
      </c>
      <c r="H5" s="5">
        <v>0</v>
      </c>
      <c r="I5" s="5">
        <v>4.1402335597526498</v>
      </c>
      <c r="J5" s="5">
        <v>4.1402335597526498</v>
      </c>
      <c r="K5" s="5">
        <v>0</v>
      </c>
      <c r="L5" s="5">
        <v>21.631423742904602</v>
      </c>
      <c r="M5" s="5">
        <v>133</v>
      </c>
      <c r="P5" t="s">
        <v>79</v>
      </c>
      <c r="Q5" t="s">
        <v>93</v>
      </c>
      <c r="R5" t="s">
        <v>81</v>
      </c>
      <c r="S5" s="5">
        <v>15.727758711790701</v>
      </c>
      <c r="T5" s="5">
        <v>2E+20</v>
      </c>
      <c r="U5" s="5">
        <v>0</v>
      </c>
      <c r="V5" s="5">
        <v>15.727758711790701</v>
      </c>
      <c r="W5" s="5">
        <v>15.727758711790701</v>
      </c>
      <c r="X5" s="5">
        <v>0</v>
      </c>
      <c r="Y5" s="5">
        <v>39</v>
      </c>
      <c r="AL5" t="s">
        <v>112</v>
      </c>
      <c r="AM5" t="s">
        <v>110</v>
      </c>
      <c r="AN5" t="s">
        <v>81</v>
      </c>
      <c r="AO5" s="5">
        <v>1</v>
      </c>
      <c r="AP5" s="5">
        <v>4E+20</v>
      </c>
      <c r="AQ5" s="5">
        <v>0</v>
      </c>
      <c r="AR5" s="5">
        <v>1</v>
      </c>
      <c r="AS5" s="5">
        <v>1</v>
      </c>
    </row>
    <row r="6" spans="1:52" x14ac:dyDescent="0.25">
      <c r="B6" t="s">
        <v>76</v>
      </c>
      <c r="C6" t="s">
        <v>77</v>
      </c>
      <c r="D6" t="s">
        <v>78</v>
      </c>
      <c r="E6" s="5">
        <v>4.1402335597526498</v>
      </c>
      <c r="F6" s="5">
        <v>1</v>
      </c>
      <c r="G6" s="5">
        <v>2E+20</v>
      </c>
      <c r="H6" s="5">
        <v>0</v>
      </c>
      <c r="I6" s="5">
        <v>4.1402335597526498</v>
      </c>
      <c r="J6" s="5">
        <v>4.1402335597526498</v>
      </c>
      <c r="K6" s="5">
        <v>0</v>
      </c>
      <c r="L6" s="5">
        <v>21.631423742904602</v>
      </c>
      <c r="M6" s="5">
        <v>133</v>
      </c>
      <c r="P6" t="s">
        <v>87</v>
      </c>
      <c r="Q6" t="s">
        <v>91</v>
      </c>
      <c r="R6" t="s">
        <v>78</v>
      </c>
      <c r="S6" s="5">
        <v>0.21468094044000799</v>
      </c>
      <c r="T6" s="5">
        <v>2E+20</v>
      </c>
      <c r="U6" s="5">
        <v>0</v>
      </c>
      <c r="V6" s="5">
        <v>0.21468094044000799</v>
      </c>
      <c r="W6" s="5">
        <v>0.21468094044000799</v>
      </c>
      <c r="X6" s="5">
        <v>0</v>
      </c>
      <c r="Y6" s="5">
        <v>7</v>
      </c>
      <c r="AL6" t="s">
        <v>103</v>
      </c>
      <c r="AM6" t="s">
        <v>104</v>
      </c>
      <c r="AN6" t="s">
        <v>73</v>
      </c>
      <c r="AO6" s="5">
        <v>150.12488069716201</v>
      </c>
      <c r="AP6" s="5">
        <v>4E+20</v>
      </c>
      <c r="AQ6" s="5">
        <v>0</v>
      </c>
      <c r="AR6" s="5">
        <v>150.12488069716201</v>
      </c>
      <c r="AS6" s="5">
        <v>150.12488069716201</v>
      </c>
    </row>
    <row r="7" spans="1:52" x14ac:dyDescent="0.25">
      <c r="B7" t="s">
        <v>79</v>
      </c>
      <c r="C7" t="s">
        <v>80</v>
      </c>
      <c r="D7" t="s">
        <v>81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136</v>
      </c>
      <c r="P7" t="s">
        <v>94</v>
      </c>
      <c r="Q7" t="s">
        <v>95</v>
      </c>
      <c r="R7" t="s">
        <v>96</v>
      </c>
      <c r="S7" s="5">
        <v>0.35744019213610001</v>
      </c>
      <c r="T7" s="5">
        <v>2E+20</v>
      </c>
      <c r="U7" s="5">
        <v>0</v>
      </c>
      <c r="V7" s="5">
        <v>0.35744019213610001</v>
      </c>
      <c r="W7" s="5">
        <v>0.35744019213610001</v>
      </c>
      <c r="X7" s="5">
        <v>0</v>
      </c>
      <c r="Y7" s="5">
        <v>1</v>
      </c>
      <c r="AL7" t="s">
        <v>105</v>
      </c>
      <c r="AM7" t="s">
        <v>106</v>
      </c>
      <c r="AN7" t="s">
        <v>73</v>
      </c>
      <c r="AO7" s="5">
        <v>550.65106344710296</v>
      </c>
      <c r="AP7" s="5">
        <v>4E+20</v>
      </c>
      <c r="AQ7" s="5">
        <v>0</v>
      </c>
      <c r="AR7" s="5">
        <v>550.65106344710296</v>
      </c>
      <c r="AS7" s="5">
        <v>550.65106344710296</v>
      </c>
    </row>
    <row r="8" spans="1:52" x14ac:dyDescent="0.25">
      <c r="C8" t="s">
        <v>82</v>
      </c>
      <c r="D8" t="s">
        <v>81</v>
      </c>
      <c r="E8" s="5">
        <v>42.755269998698701</v>
      </c>
      <c r="F8" s="5">
        <v>1</v>
      </c>
      <c r="G8" s="5">
        <v>2E+20</v>
      </c>
      <c r="H8" s="5">
        <v>0</v>
      </c>
      <c r="I8" s="5">
        <v>42.755269998698701</v>
      </c>
      <c r="J8" s="5">
        <v>42.755269998698701</v>
      </c>
      <c r="K8" s="5">
        <v>0</v>
      </c>
      <c r="L8" s="5">
        <v>60.317088631478903</v>
      </c>
      <c r="M8" s="5">
        <v>136</v>
      </c>
      <c r="Q8" t="s">
        <v>97</v>
      </c>
      <c r="R8" t="s">
        <v>96</v>
      </c>
      <c r="S8" s="5">
        <v>0.35744019213610001</v>
      </c>
      <c r="T8" s="5">
        <v>2E+20</v>
      </c>
      <c r="U8" s="5">
        <v>0</v>
      </c>
      <c r="V8" s="5">
        <v>0.35744019213610001</v>
      </c>
      <c r="W8" s="5">
        <v>0.35744019213610001</v>
      </c>
      <c r="X8" s="5">
        <v>0</v>
      </c>
      <c r="Y8" s="5">
        <v>1</v>
      </c>
      <c r="AL8" t="s">
        <v>107</v>
      </c>
      <c r="AM8" t="s">
        <v>108</v>
      </c>
      <c r="AN8" t="s">
        <v>73</v>
      </c>
      <c r="AO8" s="5">
        <v>133</v>
      </c>
      <c r="AP8" s="5">
        <v>4E+20</v>
      </c>
      <c r="AQ8" s="5">
        <v>0</v>
      </c>
      <c r="AR8" s="5">
        <v>133</v>
      </c>
      <c r="AS8" s="5">
        <v>133</v>
      </c>
    </row>
    <row r="9" spans="1:52" x14ac:dyDescent="0.25">
      <c r="C9" t="s">
        <v>83</v>
      </c>
      <c r="D9" t="s">
        <v>81</v>
      </c>
      <c r="E9" s="5">
        <v>48.571019551118297</v>
      </c>
      <c r="F9" s="5">
        <v>1</v>
      </c>
      <c r="G9" s="5">
        <v>2E+20</v>
      </c>
      <c r="H9" s="5">
        <v>0</v>
      </c>
      <c r="I9" s="5">
        <v>48.571019551118297</v>
      </c>
      <c r="J9" s="5">
        <v>48.571019551118297</v>
      </c>
      <c r="K9" s="5">
        <v>0</v>
      </c>
      <c r="L9" s="5">
        <v>70.899195213799004</v>
      </c>
      <c r="M9" s="5">
        <v>136</v>
      </c>
      <c r="Q9" t="s">
        <v>98</v>
      </c>
      <c r="R9" t="s">
        <v>96</v>
      </c>
      <c r="S9" s="5">
        <v>1</v>
      </c>
      <c r="T9" s="5">
        <v>2E+20</v>
      </c>
      <c r="U9" s="5">
        <v>0</v>
      </c>
      <c r="V9" s="5">
        <v>1</v>
      </c>
      <c r="W9" s="5">
        <v>1</v>
      </c>
      <c r="X9" s="5">
        <v>1</v>
      </c>
      <c r="Y9" s="5">
        <v>1</v>
      </c>
      <c r="AL9" t="s">
        <v>109</v>
      </c>
      <c r="AM9" t="s">
        <v>110</v>
      </c>
      <c r="AN9" t="s">
        <v>73</v>
      </c>
      <c r="AO9" s="5">
        <v>133</v>
      </c>
      <c r="AP9" s="5">
        <v>4E+20</v>
      </c>
      <c r="AQ9" s="5">
        <v>0</v>
      </c>
      <c r="AR9" s="5">
        <v>133</v>
      </c>
      <c r="AS9" s="5">
        <v>133</v>
      </c>
    </row>
    <row r="10" spans="1:52" x14ac:dyDescent="0.25">
      <c r="C10" t="s">
        <v>84</v>
      </c>
      <c r="D10" t="s">
        <v>81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136</v>
      </c>
      <c r="P10" t="s">
        <v>99</v>
      </c>
      <c r="Q10" t="s">
        <v>95</v>
      </c>
      <c r="R10" t="s">
        <v>96</v>
      </c>
      <c r="S10" s="5">
        <v>0.46430750034117502</v>
      </c>
      <c r="T10" s="5">
        <v>2E+20</v>
      </c>
      <c r="U10" s="5">
        <v>0</v>
      </c>
      <c r="V10" s="5">
        <v>0.46430750034117502</v>
      </c>
      <c r="W10" s="5">
        <v>0.46430750034117502</v>
      </c>
      <c r="X10" s="5">
        <v>0</v>
      </c>
      <c r="Y10" s="5">
        <v>1</v>
      </c>
      <c r="AL10" t="s">
        <v>113</v>
      </c>
      <c r="AM10" t="s">
        <v>108</v>
      </c>
      <c r="AN10" t="s">
        <v>81</v>
      </c>
      <c r="AO10" s="5">
        <v>136</v>
      </c>
      <c r="AP10" s="5">
        <v>4E+20</v>
      </c>
      <c r="AQ10" s="5">
        <v>0</v>
      </c>
      <c r="AR10" s="5">
        <v>136</v>
      </c>
      <c r="AS10" s="5">
        <v>136</v>
      </c>
    </row>
    <row r="11" spans="1:52" x14ac:dyDescent="0.25">
      <c r="C11" t="s">
        <v>85</v>
      </c>
      <c r="D11" t="s">
        <v>81</v>
      </c>
      <c r="E11" s="5">
        <v>1.1038594168908999</v>
      </c>
      <c r="F11" s="5">
        <v>1</v>
      </c>
      <c r="G11" s="5">
        <v>2E+20</v>
      </c>
      <c r="H11" s="5">
        <v>0</v>
      </c>
      <c r="I11" s="5">
        <v>1.1038594168908999</v>
      </c>
      <c r="J11" s="5">
        <v>1.1038594168908999</v>
      </c>
      <c r="K11" s="5">
        <v>0</v>
      </c>
      <c r="L11" s="5">
        <v>21.620861358350101</v>
      </c>
      <c r="M11" s="5">
        <v>136</v>
      </c>
      <c r="Q11" t="s">
        <v>97</v>
      </c>
      <c r="R11" t="s">
        <v>96</v>
      </c>
      <c r="S11" s="5">
        <v>23.2153750170588</v>
      </c>
      <c r="T11" s="5">
        <v>2E+20</v>
      </c>
      <c r="U11" s="5">
        <v>0</v>
      </c>
      <c r="V11" s="5">
        <v>23.2153750170588</v>
      </c>
      <c r="W11" s="5">
        <v>23.2153750170588</v>
      </c>
      <c r="X11" s="5">
        <v>0</v>
      </c>
      <c r="Y11" s="5">
        <v>50</v>
      </c>
      <c r="AL11" t="s">
        <v>114</v>
      </c>
      <c r="AM11" t="s">
        <v>110</v>
      </c>
      <c r="AN11" t="s">
        <v>81</v>
      </c>
      <c r="AO11" s="5">
        <v>136</v>
      </c>
      <c r="AP11" s="5">
        <v>4E+20</v>
      </c>
      <c r="AQ11" s="5">
        <v>0</v>
      </c>
      <c r="AR11" s="5">
        <v>136</v>
      </c>
      <c r="AS11" s="5">
        <v>136</v>
      </c>
    </row>
    <row r="12" spans="1:52" x14ac:dyDescent="0.25">
      <c r="C12" t="s">
        <v>86</v>
      </c>
      <c r="D12" t="s">
        <v>81</v>
      </c>
      <c r="E12" s="5">
        <v>4.7118901355287202</v>
      </c>
      <c r="F12" s="5">
        <v>1</v>
      </c>
      <c r="G12" s="5">
        <v>2E+20</v>
      </c>
      <c r="H12" s="5">
        <v>0</v>
      </c>
      <c r="I12" s="5">
        <v>4.7118901355287202</v>
      </c>
      <c r="J12" s="5">
        <v>4.7118901355287202</v>
      </c>
      <c r="K12" s="5">
        <v>0</v>
      </c>
      <c r="L12" s="5">
        <v>21.631423742904602</v>
      </c>
      <c r="M12" s="5">
        <v>136</v>
      </c>
      <c r="Q12" t="s">
        <v>98</v>
      </c>
      <c r="R12" t="s">
        <v>96</v>
      </c>
      <c r="S12" s="5">
        <v>50</v>
      </c>
      <c r="T12" s="5">
        <v>2E+20</v>
      </c>
      <c r="U12" s="5">
        <v>0</v>
      </c>
      <c r="V12" s="5">
        <v>50</v>
      </c>
      <c r="W12" s="5">
        <v>50</v>
      </c>
      <c r="X12" s="5">
        <v>50</v>
      </c>
      <c r="Y12" s="5">
        <v>50</v>
      </c>
      <c r="AL12" t="s">
        <v>117</v>
      </c>
      <c r="AM12" t="s">
        <v>118</v>
      </c>
      <c r="AN12" t="s">
        <v>96</v>
      </c>
      <c r="AO12" s="5">
        <v>133</v>
      </c>
      <c r="AP12" s="5">
        <v>4E+20</v>
      </c>
      <c r="AQ12" s="5">
        <v>0</v>
      </c>
      <c r="AR12" s="5">
        <v>133</v>
      </c>
      <c r="AS12" s="5">
        <v>133</v>
      </c>
    </row>
    <row r="13" spans="1:52" x14ac:dyDescent="0.25">
      <c r="B13" t="s">
        <v>87</v>
      </c>
      <c r="C13" t="s">
        <v>77</v>
      </c>
      <c r="D13" t="s">
        <v>78</v>
      </c>
      <c r="E13" s="5">
        <v>0.67793981191581398</v>
      </c>
      <c r="F13" s="5">
        <v>1</v>
      </c>
      <c r="G13" s="5">
        <v>2E+20</v>
      </c>
      <c r="H13" s="5">
        <v>0</v>
      </c>
      <c r="I13" s="5">
        <v>0.67793981191581398</v>
      </c>
      <c r="J13" s="5">
        <v>0.67793981191581398</v>
      </c>
      <c r="K13" s="5">
        <v>0</v>
      </c>
      <c r="L13" s="5">
        <v>15.313957781095</v>
      </c>
      <c r="M13" s="5">
        <v>133</v>
      </c>
      <c r="AL13" t="s">
        <v>119</v>
      </c>
      <c r="AM13" t="s">
        <v>120</v>
      </c>
      <c r="AN13" t="s">
        <v>96</v>
      </c>
      <c r="AO13" s="5">
        <v>0.35744019213610001</v>
      </c>
      <c r="AP13" s="5">
        <v>4E+20</v>
      </c>
      <c r="AQ13" s="5">
        <v>0</v>
      </c>
      <c r="AR13" s="5">
        <v>0.35744019213610001</v>
      </c>
      <c r="AS13" s="5">
        <v>0.35744019213610001</v>
      </c>
    </row>
    <row r="14" spans="1:52" x14ac:dyDescent="0.25">
      <c r="B14" t="s">
        <v>88</v>
      </c>
      <c r="C14" t="s">
        <v>89</v>
      </c>
      <c r="D14" t="s">
        <v>90</v>
      </c>
      <c r="E14" s="5">
        <v>49.666606458286502</v>
      </c>
      <c r="F14" s="5">
        <v>1</v>
      </c>
      <c r="G14" s="5">
        <v>2E+20</v>
      </c>
      <c r="H14" s="5">
        <v>0</v>
      </c>
      <c r="I14" s="5">
        <v>49.666606458286502</v>
      </c>
      <c r="J14" s="5">
        <v>49.666606458286502</v>
      </c>
      <c r="K14" s="5">
        <v>31.5595207201834</v>
      </c>
      <c r="L14" s="5">
        <v>70.899195213799004</v>
      </c>
      <c r="M14" s="5">
        <v>133</v>
      </c>
      <c r="AL14" t="s">
        <v>121</v>
      </c>
      <c r="AM14" t="s">
        <v>118</v>
      </c>
      <c r="AN14" t="s">
        <v>96</v>
      </c>
      <c r="AO14" s="5">
        <v>223</v>
      </c>
      <c r="AP14" s="5">
        <v>4E+20</v>
      </c>
      <c r="AQ14" s="5">
        <v>0</v>
      </c>
      <c r="AR14" s="5">
        <v>223</v>
      </c>
      <c r="AS14" s="5">
        <v>223</v>
      </c>
    </row>
    <row r="15" spans="1:52" x14ac:dyDescent="0.25">
      <c r="AL15" t="s">
        <v>122</v>
      </c>
      <c r="AM15" t="s">
        <v>120</v>
      </c>
      <c r="AN15" t="s">
        <v>96</v>
      </c>
      <c r="AO15" s="5">
        <v>0.46430750034117502</v>
      </c>
      <c r="AP15" s="5">
        <v>4E+20</v>
      </c>
      <c r="AQ15" s="5">
        <v>0</v>
      </c>
      <c r="AR15" s="5">
        <v>0.46430750034117502</v>
      </c>
      <c r="AS15" s="5">
        <v>0.46430750034117502</v>
      </c>
    </row>
  </sheetData>
  <dataConsolidate/>
  <conditionalFormatting pivot="1" sqref="G3:G14">
    <cfRule type="expression" dxfId="63" priority="14">
      <formula>G3=200000000000000000000</formula>
    </cfRule>
  </conditionalFormatting>
  <conditionalFormatting pivot="1" sqref="T3:T12">
    <cfRule type="expression" dxfId="62" priority="13">
      <formula>T3=200000000000000000000</formula>
    </cfRule>
  </conditionalFormatting>
  <conditionalFormatting pivot="1" sqref="T3:T12">
    <cfRule type="expression" dxfId="61" priority="12">
      <formula>T3=300000000000000000000</formula>
    </cfRule>
  </conditionalFormatting>
  <conditionalFormatting pivot="1" sqref="G3:G14">
    <cfRule type="expression" dxfId="60" priority="11">
      <formula>G3=300000000000000000000</formula>
    </cfRule>
  </conditionalFormatting>
  <conditionalFormatting pivot="1" sqref="F3:F14">
    <cfRule type="expression" dxfId="59" priority="10">
      <formula>F3=0</formula>
    </cfRule>
  </conditionalFormatting>
  <conditionalFormatting pivot="1" sqref="F3:F14">
    <cfRule type="expression" dxfId="58" priority="9">
      <formula>F3=1</formula>
    </cfRule>
  </conditionalFormatting>
  <conditionalFormatting pivot="1" sqref="T3:T12">
    <cfRule type="expression" dxfId="57" priority="8">
      <formula>T3=400000000000000000000</formula>
    </cfRule>
  </conditionalFormatting>
  <conditionalFormatting pivot="1" sqref="AP3:AP15">
    <cfRule type="expression" dxfId="56" priority="7">
      <formula>AP3=400000000000000000000</formula>
    </cfRule>
  </conditionalFormatting>
  <conditionalFormatting pivot="1" sqref="AF3:AF4">
    <cfRule type="expression" dxfId="55" priority="6">
      <formula>AF3=400000000000000000000</formula>
    </cfRule>
  </conditionalFormatting>
  <conditionalFormatting pivot="1" sqref="G3:G14">
    <cfRule type="expression" dxfId="54" priority="5">
      <formula>G3=400000000000000000000</formula>
    </cfRule>
  </conditionalFormatting>
  <conditionalFormatting pivot="1" sqref="AZ3">
    <cfRule type="expression" dxfId="53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3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1.5703125" bestFit="1" customWidth="1"/>
    <col min="5" max="5" width="19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7.5703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5.26899206123508</v>
      </c>
      <c r="H2">
        <v>2E+20</v>
      </c>
      <c r="I2">
        <v>1.68604330838207E-4</v>
      </c>
      <c r="J2">
        <v>24.393106001406</v>
      </c>
      <c r="K2">
        <v>133</v>
      </c>
      <c r="L2" t="str">
        <f>DiscreteStatsTable[[#This Row],[ProjectName]]&amp;DiscreteStatsTable[[#This Row],[Name]]&amp;DiscreteStatsTable[[#This Row],[Type]]&amp;DiscreteStatsTable[[#This Row],[Source]]</f>
        <v>Unnamed ProjectCajaTotal Time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5.26899206123508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5.26899206123508</v>
      </c>
      <c r="S2" cm="1">
        <f t="array" ref="S2">MAX(IF((DiscreteStatsTable[GroupByKey]=DiscreteStatsTable[[#This Row],[GroupByKey]]),(DiscreteStatsTable[GroupByKey]=DiscreteStatsTable[[#This Row],[GroupByKey]])*DiscreteStatsTable[Average]))</f>
        <v>5.26899206123508</v>
      </c>
      <c r="T2" cm="1">
        <f t="array" ref="T2">MIN(IF((DiscreteStatsTable[GroupByKey]=DiscreteStatsTable[[#This Row],[GroupByKey]]),(DiscreteStatsTable[GroupByKey]=DiscreteStatsTable[[#This Row],[GroupByKey]])*DiscreteStatsTable[Minimum]))</f>
        <v>1.68604330838207E-4</v>
      </c>
      <c r="U2" cm="1">
        <f t="array" ref="U2">MAX(IF((DiscreteStatsTable[GroupByKey]=DiscreteStatsTable[[#This Row],[GroupByKey]]),(DiscreteStatsTable[GroupByKey]=DiscreteStatsTable[[#This Row],[GroupByKey]])*DiscreteStatsTable[Maximum]))</f>
        <v>24.393106001406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133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1.12875850148242</v>
      </c>
      <c r="H3">
        <v>2E+20</v>
      </c>
      <c r="I3">
        <v>2.1989262677379901E-6</v>
      </c>
      <c r="J3">
        <v>21.620861358350101</v>
      </c>
      <c r="K3">
        <v>133</v>
      </c>
      <c r="L3" t="str">
        <f>DiscreteStatsTable[[#This Row],[ProjectName]]&amp;DiscreteStatsTable[[#This Row],[Name]]&amp;DiscreteStatsTable[[#This Row],[Type]]&amp;DiscreteStatsTable[[#This Row],[Source]]</f>
        <v>Unnamed ProjectCajaVA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1.12875850148242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1.12875850148242</v>
      </c>
      <c r="S3" cm="1">
        <f t="array" ref="S3">MAX(IF((DiscreteStatsTable[GroupByKey]=DiscreteStatsTable[[#This Row],[GroupByKey]]),(DiscreteStatsTable[GroupByKey]=DiscreteStatsTable[[#This Row],[GroupByKey]])*DiscreteStatsTable[Average]))</f>
        <v>1.12875850148242</v>
      </c>
      <c r="T3" cm="1">
        <f t="array" ref="T3">MIN(IF((DiscreteStatsTable[GroupByKey]=DiscreteStatsTable[[#This Row],[GroupByKey]]),(DiscreteStatsTable[GroupByKey]=DiscreteStatsTable[[#This Row],[GroupByKey]])*DiscreteStatsTable[Minimum]))</f>
        <v>2.1989262677379901E-6</v>
      </c>
      <c r="U3" cm="1">
        <f t="array" ref="U3">MAX(IF((DiscreteStatsTable[GroupByKey]=DiscreteStatsTable[[#This Row],[GroupByKey]]),(DiscreteStatsTable[GroupByKey]=DiscreteStatsTable[[#This Row],[GroupByKey]])*DiscreteStatsTable[Maximum]))</f>
        <v>21.620861358350101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133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4.1402335597526498</v>
      </c>
      <c r="H4">
        <v>2E+20</v>
      </c>
      <c r="I4">
        <v>0</v>
      </c>
      <c r="J4">
        <v>21.631423742904602</v>
      </c>
      <c r="K4">
        <v>133</v>
      </c>
      <c r="L4" t="str">
        <f>DiscreteStatsTable[[#This Row],[ProjectName]]&amp;DiscreteStatsTable[[#This Row],[Name]]&amp;DiscreteStatsTable[[#This Row],[Type]]&amp;DiscreteStatsTable[[#This Row],[Source]]</f>
        <v>Unnamed ProjectCajaWait Time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4.1402335597526498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4.1402335597526498</v>
      </c>
      <c r="S4" cm="1">
        <f t="array" ref="S4">MAX(IF((DiscreteStatsTable[GroupByKey]=DiscreteStatsTable[[#This Row],[GroupByKey]]),(DiscreteStatsTable[GroupByKey]=DiscreteStatsTable[[#This Row],[GroupByKey]])*DiscreteStatsTable[Average]))</f>
        <v>4.1402335597526498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21.631423742904602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133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76</v>
      </c>
      <c r="E5" t="s">
        <v>77</v>
      </c>
      <c r="F5" t="s">
        <v>78</v>
      </c>
      <c r="G5">
        <v>4.1402335597526498</v>
      </c>
      <c r="H5">
        <v>2E+20</v>
      </c>
      <c r="I5">
        <v>0</v>
      </c>
      <c r="J5">
        <v>21.631423742904602</v>
      </c>
      <c r="K5">
        <v>133</v>
      </c>
      <c r="L5" t="str">
        <f>DiscreteStatsTable[[#This Row],[ProjectName]]&amp;DiscreteStatsTable[[#This Row],[Name]]&amp;DiscreteStatsTable[[#This Row],[Type]]&amp;DiscreteStatsTable[[#This Row],[Source]]</f>
        <v>Unnamed ProjectCaja.QueueWaiting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4.1402335597526498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4.1402335597526498</v>
      </c>
      <c r="S5" cm="1">
        <f t="array" ref="S5">MAX(IF((DiscreteStatsTable[GroupByKey]=DiscreteStatsTable[[#This Row],[GroupByKey]]),(DiscreteStatsTable[GroupByKey]=DiscreteStatsTable[[#This Row],[GroupByKey]])*DiscreteStatsTable[Average]))</f>
        <v>4.1402335597526498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21.631423742904602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133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79</v>
      </c>
      <c r="E6" t="s">
        <v>80</v>
      </c>
      <c r="F6" t="s">
        <v>81</v>
      </c>
      <c r="G6">
        <v>0</v>
      </c>
      <c r="H6">
        <v>2E+20</v>
      </c>
      <c r="I6">
        <v>0</v>
      </c>
      <c r="J6">
        <v>0</v>
      </c>
      <c r="K6">
        <v>136</v>
      </c>
      <c r="L6" t="str">
        <f>DiscreteStatsTable[[#This Row],[ProjectName]]&amp;DiscreteStatsTable[[#This Row],[Name]]&amp;DiscreteStatsTable[[#This Row],[Type]]&amp;DiscreteStatsTable[[#This Row],[Source]]</f>
        <v>Unnamed ProjectGrupoCleintesNVA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136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79</v>
      </c>
      <c r="E7" t="s">
        <v>82</v>
      </c>
      <c r="F7" t="s">
        <v>81</v>
      </c>
      <c r="G7">
        <v>42.755269998698701</v>
      </c>
      <c r="H7">
        <v>2E+20</v>
      </c>
      <c r="I7">
        <v>0</v>
      </c>
      <c r="J7">
        <v>60.317088631478903</v>
      </c>
      <c r="K7">
        <v>136</v>
      </c>
      <c r="L7" t="str">
        <f>DiscreteStatsTable[[#This Row],[ProjectName]]&amp;DiscreteStatsTable[[#This Row],[Name]]&amp;DiscreteStatsTable[[#This Row],[Type]]&amp;DiscreteStatsTable[[#This Row],[Source]]</f>
        <v>Unnamed ProjectGrupoCleintesOther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42.755269998698701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42.755269998698701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42.755269998698701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60.317088631478903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136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79</v>
      </c>
      <c r="E8" t="s">
        <v>83</v>
      </c>
      <c r="F8" t="s">
        <v>81</v>
      </c>
      <c r="G8">
        <v>48.571019551118297</v>
      </c>
      <c r="H8">
        <v>2E+20</v>
      </c>
      <c r="I8">
        <v>0</v>
      </c>
      <c r="J8">
        <v>70.899195213799004</v>
      </c>
      <c r="K8">
        <v>136</v>
      </c>
      <c r="L8" t="str">
        <f>DiscreteStatsTable[[#This Row],[ProjectName]]&amp;DiscreteStatsTable[[#This Row],[Name]]&amp;DiscreteStatsTable[[#This Row],[Type]]&amp;DiscreteStatsTable[[#This Row],[Source]]</f>
        <v>Unnamed ProjectGrupoCleintesTotal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48.571019551118297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48.571019551118297</v>
      </c>
      <c r="S8" cm="1">
        <f t="array" ref="S8">MAX(IF((DiscreteStatsTable[GroupByKey]=DiscreteStatsTable[[#This Row],[GroupByKey]]),(DiscreteStatsTable[GroupByKey]=DiscreteStatsTable[[#This Row],[GroupByKey]])*DiscreteStatsTable[Average]))</f>
        <v>48.571019551118297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70.899195213799004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136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79</v>
      </c>
      <c r="E9" t="s">
        <v>84</v>
      </c>
      <c r="F9" t="s">
        <v>81</v>
      </c>
      <c r="G9">
        <v>0</v>
      </c>
      <c r="H9">
        <v>2E+20</v>
      </c>
      <c r="I9">
        <v>0</v>
      </c>
      <c r="J9">
        <v>0</v>
      </c>
      <c r="K9">
        <v>136</v>
      </c>
      <c r="L9" t="str">
        <f>DiscreteStatsTable[[#This Row],[ProjectName]]&amp;DiscreteStatsTable[[#This Row],[Name]]&amp;DiscreteStatsTable[[#This Row],[Type]]&amp;DiscreteStatsTable[[#This Row],[Source]]</f>
        <v>Unnamed ProjectGrupoCleintesTransfer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136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79</v>
      </c>
      <c r="E10" t="s">
        <v>85</v>
      </c>
      <c r="F10" t="s">
        <v>81</v>
      </c>
      <c r="G10">
        <v>1.1038594168908999</v>
      </c>
      <c r="H10">
        <v>2E+20</v>
      </c>
      <c r="I10">
        <v>0</v>
      </c>
      <c r="J10">
        <v>21.620861358350101</v>
      </c>
      <c r="K10">
        <v>136</v>
      </c>
      <c r="L10" t="str">
        <f>DiscreteStatsTable[[#This Row],[ProjectName]]&amp;DiscreteStatsTable[[#This Row],[Name]]&amp;DiscreteStatsTable[[#This Row],[Type]]&amp;DiscreteStatsTable[[#This Row],[Source]]</f>
        <v>Unnamed ProjectGrupoCleintesVA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1.1038594168908999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1.1038594168908999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1.1038594168908999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21.620861358350101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136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79</v>
      </c>
      <c r="E11" t="s">
        <v>86</v>
      </c>
      <c r="F11" t="s">
        <v>81</v>
      </c>
      <c r="G11">
        <v>4.7118901355287202</v>
      </c>
      <c r="H11">
        <v>2E+20</v>
      </c>
      <c r="I11">
        <v>0</v>
      </c>
      <c r="J11">
        <v>21.631423742904602</v>
      </c>
      <c r="K11">
        <v>136</v>
      </c>
      <c r="L11" t="str">
        <f>DiscreteStatsTable[[#This Row],[ProjectName]]&amp;DiscreteStatsTable[[#This Row],[Name]]&amp;DiscreteStatsTable[[#This Row],[Type]]&amp;DiscreteStatsTable[[#This Row],[Source]]</f>
        <v>Unnamed ProjectGrupoCleintesWait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4.7118901355287202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4.7118901355287202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4.7118901355287202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21.631423742904602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136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87</v>
      </c>
      <c r="E12" t="s">
        <v>77</v>
      </c>
      <c r="F12" t="s">
        <v>78</v>
      </c>
      <c r="G12">
        <v>0.67793981191581398</v>
      </c>
      <c r="H12">
        <v>2E+20</v>
      </c>
      <c r="I12">
        <v>0</v>
      </c>
      <c r="J12">
        <v>15.313957781095</v>
      </c>
      <c r="K12">
        <v>133</v>
      </c>
      <c r="L12" t="str">
        <f>DiscreteStatsTable[[#This Row],[ProjectName]]&amp;DiscreteStatsTable[[#This Row],[Name]]&amp;DiscreteStatsTable[[#This Row],[Type]]&amp;DiscreteStatsTable[[#This Row],[Source]]</f>
        <v>Unnamed ProjectOcupar Mesa.QueueWaiting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0.67793981191581398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0.67793981191581398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0.67793981191581398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15.313957781095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133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1</v>
      </c>
      <c r="D13" t="s">
        <v>88</v>
      </c>
      <c r="E13" t="s">
        <v>89</v>
      </c>
      <c r="F13" t="s">
        <v>90</v>
      </c>
      <c r="G13">
        <v>49.666606458286502</v>
      </c>
      <c r="H13">
        <v>2E+20</v>
      </c>
      <c r="I13">
        <v>31.5595207201834</v>
      </c>
      <c r="J13">
        <v>70.899195213799004</v>
      </c>
      <c r="K13">
        <v>133</v>
      </c>
      <c r="L13" t="str">
        <f>DiscreteStatsTable[[#This Row],[ProjectName]]&amp;DiscreteStatsTable[[#This Row],[Name]]&amp;DiscreteStatsTable[[#This Row],[Type]]&amp;DiscreteStatsTable[[#This Row],[Source]]</f>
        <v>Unnamed ProjectTiempoSistemaCleinteIntervalUser Specified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49.666606458286502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49.666606458286502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49.666606458286502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31.5595207201834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70.899195213799004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133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</sheetData>
  <phoneticPr fontId="2" type="noConversion"/>
  <conditionalFormatting sqref="H2:H13 Q2:Q13">
    <cfRule type="expression" dxfId="51" priority="23">
      <formula>H2=200000000000000000000</formula>
    </cfRule>
  </conditionalFormatting>
  <conditionalFormatting sqref="H2:H13">
    <cfRule type="expression" dxfId="50" priority="21">
      <formula>H2=300000000000000000000</formula>
    </cfRule>
  </conditionalFormatting>
  <conditionalFormatting sqref="L2:Y13">
    <cfRule type="expression" dxfId="49" priority="19">
      <formula>MOD(ROW(),2)=0</formula>
    </cfRule>
  </conditionalFormatting>
  <conditionalFormatting sqref="Y2:Y13">
    <cfRule type="expression" dxfId="48" priority="14">
      <formula>Y2=0</formula>
    </cfRule>
    <cfRule type="expression" dxfId="47" priority="16">
      <formula>Y2=1</formula>
    </cfRule>
  </conditionalFormatting>
  <conditionalFormatting sqref="Y3:Y13">
    <cfRule type="expression" dxfId="46" priority="15">
      <formula>Y3=1</formula>
    </cfRule>
  </conditionalFormatting>
  <conditionalFormatting sqref="W2:W13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3 W2:W13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285156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6.42578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76</v>
      </c>
      <c r="E2" t="s">
        <v>91</v>
      </c>
      <c r="F2" t="s">
        <v>78</v>
      </c>
      <c r="G2">
        <v>1.3110739605883399</v>
      </c>
      <c r="H2">
        <v>2E+20</v>
      </c>
      <c r="I2">
        <v>0</v>
      </c>
      <c r="J2">
        <v>18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ProjectCaja.QueueNumber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1.3110739605883399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1.3110739605883399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1.3110739605883399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70</v>
      </c>
      <c r="C3">
        <v>1</v>
      </c>
      <c r="D3" t="s">
        <v>92</v>
      </c>
      <c r="E3" t="s">
        <v>93</v>
      </c>
      <c r="F3" t="s">
        <v>81</v>
      </c>
      <c r="G3">
        <v>0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70</v>
      </c>
      <c r="C4">
        <v>1</v>
      </c>
      <c r="D4" t="s">
        <v>79</v>
      </c>
      <c r="E4" t="s">
        <v>93</v>
      </c>
      <c r="F4" t="s">
        <v>81</v>
      </c>
      <c r="G4">
        <v>15.727758711790701</v>
      </c>
      <c r="H4">
        <v>2E+20</v>
      </c>
      <c r="I4">
        <v>0</v>
      </c>
      <c r="J4">
        <v>39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ProjectGrupoCleintesWIPEntity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15.727758711790701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15.727758711790701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15.727758711790701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87</v>
      </c>
      <c r="E5" t="s">
        <v>91</v>
      </c>
      <c r="F5" t="s">
        <v>78</v>
      </c>
      <c r="G5">
        <v>0.21468094044000799</v>
      </c>
      <c r="H5">
        <v>2E+20</v>
      </c>
      <c r="I5">
        <v>0</v>
      </c>
      <c r="J5">
        <v>7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ProjectOcupar Mesa.QueueNumber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0.21468094044000799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0.21468094044000799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0.21468094044000799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70</v>
      </c>
      <c r="C6">
        <v>1</v>
      </c>
      <c r="D6" t="s">
        <v>94</v>
      </c>
      <c r="E6" t="s">
        <v>95</v>
      </c>
      <c r="F6" t="s">
        <v>96</v>
      </c>
      <c r="G6">
        <v>0.35744019213610001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ProjectrCajaInstantaneous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0.35744019213610001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0.35744019213610001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0.35744019213610001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70</v>
      </c>
      <c r="C7">
        <v>1</v>
      </c>
      <c r="D7" t="s">
        <v>94</v>
      </c>
      <c r="E7" t="s">
        <v>97</v>
      </c>
      <c r="F7" t="s">
        <v>96</v>
      </c>
      <c r="G7">
        <v>0.35744019213610001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ProjectrCajaNumber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0.35744019213610001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0.35744019213610001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0.35744019213610001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70</v>
      </c>
      <c r="C8">
        <v>1</v>
      </c>
      <c r="D8" t="s">
        <v>94</v>
      </c>
      <c r="E8" t="s">
        <v>98</v>
      </c>
      <c r="F8" t="s">
        <v>96</v>
      </c>
      <c r="G8">
        <v>1</v>
      </c>
      <c r="H8">
        <v>2E+20</v>
      </c>
      <c r="I8">
        <v>1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ProjectrCajaNumber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25">
      <c r="A9" t="s">
        <v>67</v>
      </c>
      <c r="B9" t="s">
        <v>70</v>
      </c>
      <c r="C9">
        <v>1</v>
      </c>
      <c r="D9" t="s">
        <v>99</v>
      </c>
      <c r="E9" t="s">
        <v>95</v>
      </c>
      <c r="F9" t="s">
        <v>96</v>
      </c>
      <c r="G9">
        <v>0.46430750034117502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ProjectrMesasInstantaneous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0.46430750034117502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0.46430750034117502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0.46430750034117502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70</v>
      </c>
      <c r="C10">
        <v>1</v>
      </c>
      <c r="D10" t="s">
        <v>99</v>
      </c>
      <c r="E10" t="s">
        <v>97</v>
      </c>
      <c r="F10" t="s">
        <v>96</v>
      </c>
      <c r="G10">
        <v>23.2153750170588</v>
      </c>
      <c r="H10">
        <v>2E+20</v>
      </c>
      <c r="I10">
        <v>0</v>
      </c>
      <c r="J10">
        <v>50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ProjectrMesasNumber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23.2153750170588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23.2153750170588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23.2153750170588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25">
      <c r="A11" t="s">
        <v>67</v>
      </c>
      <c r="B11" t="s">
        <v>70</v>
      </c>
      <c r="C11">
        <v>1</v>
      </c>
      <c r="D11" t="s">
        <v>99</v>
      </c>
      <c r="E11" t="s">
        <v>98</v>
      </c>
      <c r="F11" t="s">
        <v>96</v>
      </c>
      <c r="G11">
        <v>50</v>
      </c>
      <c r="H11">
        <v>2E+20</v>
      </c>
      <c r="I11">
        <v>50</v>
      </c>
      <c r="J11">
        <v>50</v>
      </c>
      <c r="K11">
        <v>50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ProjectrMesasNumber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50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50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50</v>
      </c>
      <c r="U11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1">
    <cfRule type="expression" dxfId="28" priority="9">
      <formula>H2=200000000000000000000</formula>
    </cfRule>
  </conditionalFormatting>
  <conditionalFormatting sqref="H2:H11">
    <cfRule type="expression" dxfId="27" priority="7">
      <formula>H2=300000000000000000000</formula>
    </cfRule>
  </conditionalFormatting>
  <conditionalFormatting sqref="M2:U11">
    <cfRule type="expression" dxfId="26" priority="5">
      <formula>MOD(ROW(),2)=0</formula>
    </cfRule>
  </conditionalFormatting>
  <conditionalFormatting sqref="U2:U11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11 U2:U11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3"/>
  <sheetViews>
    <sheetView workbookViewId="0">
      <selection activeCell="G2" sqref="G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7.7109375" bestFit="1" customWidth="1"/>
    <col min="5" max="5" width="7.5703125" bestFit="1" customWidth="1"/>
    <col min="6" max="6" width="13.85546875" bestFit="1" customWidth="1"/>
    <col min="7" max="7" width="17" bestFit="1" customWidth="1"/>
    <col min="8" max="8" width="52.140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70</v>
      </c>
      <c r="C2">
        <v>1</v>
      </c>
      <c r="D2" t="s">
        <v>100</v>
      </c>
      <c r="E2" t="s">
        <v>101</v>
      </c>
      <c r="F2" t="s">
        <v>90</v>
      </c>
      <c r="G2">
        <v>133</v>
      </c>
      <c r="H2" t="str">
        <f>CountersTable[[#This Row],[ProjectName]]&amp;CountersTable[[#This Row],[Name]]&amp;CountersTable[[#This Row],[Type]]&amp;CountersTable[[#This Row],[Source]]</f>
        <v>Unnamed ProjectClientesAtendidosCountUser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</v>
      </c>
      <c r="J2" cm="1">
        <f t="array" ref="J2">IFERROR(AVERAGE(IF((CountersTable[GroupByKey]=CountersTable[[#This Row],[GroupByKey]]),(CountersTable[GroupByKey]=CountersTable[[#This Row],[GroupByKey]])*CountersTable[RecordedValue])),0)</f>
        <v>133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 cm="1">
        <f t="array" ref="N2">MIN(IF((CountersTable[GroupByKey]=CountersTable[[#This Row],[GroupByKey]]),(CountersTable[GroupByKey]=CountersTable[[#This Row],[GroupByKey]])*CountersTable[RecordedValue]))</f>
        <v>133</v>
      </c>
      <c r="O2" cm="1">
        <f t="array" ref="O2">MAX(IF((CountersTable[GroupByKey]=CountersTable[[#This Row],[GroupByKey]]),(CountersTable[GroupByKey]=CountersTable[[#This Row],[GroupByKey]])*CountersTable[RecordedValue]))</f>
        <v>133</v>
      </c>
    </row>
    <row r="3" spans="1:15" x14ac:dyDescent="0.25">
      <c r="A3" t="s">
        <v>67</v>
      </c>
      <c r="B3" t="s">
        <v>70</v>
      </c>
      <c r="C3">
        <v>1</v>
      </c>
      <c r="D3" t="s">
        <v>102</v>
      </c>
      <c r="E3" t="s">
        <v>101</v>
      </c>
      <c r="F3" t="s">
        <v>90</v>
      </c>
      <c r="G3">
        <v>3</v>
      </c>
      <c r="H3" t="str">
        <f>CountersTable[[#This Row],[ProjectName]]&amp;CountersTable[[#This Row],[Name]]&amp;CountersTable[[#This Row],[Type]]&amp;CountersTable[[#This Row],[Source]]</f>
        <v>Unnamed ProjectNoVanComerCountUser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1</v>
      </c>
      <c r="J3" cm="1">
        <f t="array" ref="J3">IFERROR(AVERAGE(IF((CountersTable[GroupByKey]=CountersTable[[#This Row],[GroupByKey]]),(CountersTable[GroupByKey]=CountersTable[[#This Row],[GroupByKey]])*CountersTable[RecordedValue])),0)</f>
        <v>3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0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3" cm="1">
        <f t="array" ref="N3">MIN(IF((CountersTable[GroupByKey]=CountersTable[[#This Row],[GroupByKey]]),(CountersTable[GroupByKey]=CountersTable[[#This Row],[GroupByKey]])*CountersTable[RecordedValue]))</f>
        <v>3</v>
      </c>
      <c r="O3" cm="1">
        <f t="array" ref="O3">MAX(IF((CountersTable[GroupByKey]=CountersTable[[#This Row],[GroupByKey]]),(CountersTable[GroupByKey]=CountersTable[[#This Row],[GroupByKey]])*CountersTable[RecordedValue]))</f>
        <v>3</v>
      </c>
    </row>
  </sheetData>
  <phoneticPr fontId="2" type="noConversion"/>
  <conditionalFormatting sqref="H1:O3">
    <cfRule type="expression" dxfId="13" priority="2">
      <formula>MOD(ROW(),2)=0</formula>
    </cfRule>
  </conditionalFormatting>
  <conditionalFormatting sqref="M1:M3">
    <cfRule type="expression" dxfId="12" priority="1">
      <formula>M1=400000000000000000000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4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6.8554687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0.57031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103</v>
      </c>
      <c r="E2" t="s">
        <v>104</v>
      </c>
      <c r="F2" t="s">
        <v>73</v>
      </c>
      <c r="G2">
        <v>150.12488069716201</v>
      </c>
      <c r="H2">
        <v>0</v>
      </c>
      <c r="I2" t="str">
        <f>OutputTable[[#This Row],[ProjectName]]&amp;OutputTable[[#This Row],[Name]]&amp;OutputTable[[#This Row],[Type]]&amp;OutputTable[[#This Row],[Source]]</f>
        <v>Unnamed ProjectCaja Accum VA TimeAccum VA TimeProcess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150.12488069716201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150.12488069716201</v>
      </c>
      <c r="P2" cm="1">
        <f t="array" ref="P2">MAX(IF((OutputTable[GroupByKey]=OutputTable[[#This Row],[GroupByKey]]),(OutputTable[GroupByKey]=OutputTable[[#This Row],[GroupByKey]])*OutputTable[RecordedValue]))</f>
        <v>150.12488069716201</v>
      </c>
    </row>
    <row r="3" spans="1:16" x14ac:dyDescent="0.25">
      <c r="A3" t="s">
        <v>67</v>
      </c>
      <c r="B3" t="s">
        <v>70</v>
      </c>
      <c r="C3">
        <v>1</v>
      </c>
      <c r="D3" t="s">
        <v>105</v>
      </c>
      <c r="E3" t="s">
        <v>106</v>
      </c>
      <c r="F3" t="s">
        <v>73</v>
      </c>
      <c r="G3">
        <v>550.65106344710296</v>
      </c>
      <c r="H3">
        <v>0</v>
      </c>
      <c r="I3" t="str">
        <f>OutputTable[[#This Row],[ProjectName]]&amp;OutputTable[[#This Row],[Name]]&amp;OutputTable[[#This Row],[Type]]&amp;OutputTable[[#This Row],[Source]]</f>
        <v>Unnamed ProjectCaja Accum Wait TimeAccum Wait TimeProcess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550.65106344710296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550.65106344710296</v>
      </c>
      <c r="P3" cm="1">
        <f t="array" ref="P3">MAX(IF((OutputTable[GroupByKey]=OutputTable[[#This Row],[GroupByKey]]),(OutputTable[GroupByKey]=OutputTable[[#This Row],[GroupByKey]])*OutputTable[RecordedValue]))</f>
        <v>550.65106344710296</v>
      </c>
    </row>
    <row r="4" spans="1:16" x14ac:dyDescent="0.25">
      <c r="A4" t="s">
        <v>67</v>
      </c>
      <c r="B4" t="s">
        <v>70</v>
      </c>
      <c r="C4">
        <v>1</v>
      </c>
      <c r="D4" t="s">
        <v>107</v>
      </c>
      <c r="E4" t="s">
        <v>108</v>
      </c>
      <c r="F4" t="s">
        <v>73</v>
      </c>
      <c r="G4">
        <v>133</v>
      </c>
      <c r="H4">
        <v>0</v>
      </c>
      <c r="I4" t="str">
        <f>OutputTable[[#This Row],[ProjectName]]&amp;OutputTable[[#This Row],[Name]]&amp;OutputTable[[#This Row],[Type]]&amp;OutputTable[[#This Row],[Source]]</f>
        <v>Unnamed ProjectCaja Number InNumber InProcess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133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133</v>
      </c>
      <c r="P4" cm="1">
        <f t="array" ref="P4">MAX(IF((OutputTable[GroupByKey]=OutputTable[[#This Row],[GroupByKey]]),(OutputTable[GroupByKey]=OutputTable[[#This Row],[GroupByKey]])*OutputTable[RecordedValue]))</f>
        <v>133</v>
      </c>
    </row>
    <row r="5" spans="1:16" x14ac:dyDescent="0.25">
      <c r="A5" t="s">
        <v>67</v>
      </c>
      <c r="B5" t="s">
        <v>70</v>
      </c>
      <c r="C5">
        <v>1</v>
      </c>
      <c r="D5" t="s">
        <v>109</v>
      </c>
      <c r="E5" t="s">
        <v>110</v>
      </c>
      <c r="F5" t="s">
        <v>73</v>
      </c>
      <c r="G5">
        <v>133</v>
      </c>
      <c r="H5">
        <v>0</v>
      </c>
      <c r="I5" t="str">
        <f>OutputTable[[#This Row],[ProjectName]]&amp;OutputTable[[#This Row],[Name]]&amp;OutputTable[[#This Row],[Type]]&amp;OutputTable[[#This Row],[Source]]</f>
        <v>Unnamed ProjectCaja Number OutNumber OutProcess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133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133</v>
      </c>
      <c r="P5" cm="1">
        <f t="array" ref="P5">MAX(IF((OutputTable[GroupByKey]=OutputTable[[#This Row],[GroupByKey]]),(OutputTable[GroupByKey]=OutputTable[[#This Row],[GroupByKey]])*OutputTable[RecordedValue]))</f>
        <v>133</v>
      </c>
    </row>
    <row r="6" spans="1:16" x14ac:dyDescent="0.25">
      <c r="A6" t="s">
        <v>67</v>
      </c>
      <c r="B6" t="s">
        <v>70</v>
      </c>
      <c r="C6">
        <v>1</v>
      </c>
      <c r="D6" t="s">
        <v>111</v>
      </c>
      <c r="E6" t="s">
        <v>108</v>
      </c>
      <c r="F6" t="s">
        <v>81</v>
      </c>
      <c r="G6">
        <v>1</v>
      </c>
      <c r="H6">
        <v>0</v>
      </c>
      <c r="I6" t="str">
        <f>OutputTable[[#This Row],[ProjectName]]&amp;OutputTable[[#This Row],[Name]]&amp;OutputTable[[#This Row],[Type]]&amp;OutputTable[[#This Row],[Source]]</f>
        <v>Unnamed ProjectEntity 1.NumberInNumber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</v>
      </c>
      <c r="P6" cm="1">
        <f t="array" ref="P6">MAX(IF((OutputTable[GroupByKey]=OutputTable[[#This Row],[GroupByKey]]),(OutputTable[GroupByKey]=OutputTable[[#This Row],[GroupByKey]])*OutputTable[RecordedValue]))</f>
        <v>1</v>
      </c>
    </row>
    <row r="7" spans="1:16" x14ac:dyDescent="0.25">
      <c r="A7" t="s">
        <v>67</v>
      </c>
      <c r="B7" t="s">
        <v>70</v>
      </c>
      <c r="C7">
        <v>1</v>
      </c>
      <c r="D7" t="s">
        <v>112</v>
      </c>
      <c r="E7" t="s">
        <v>110</v>
      </c>
      <c r="F7" t="s">
        <v>81</v>
      </c>
      <c r="G7">
        <v>1</v>
      </c>
      <c r="H7">
        <v>0</v>
      </c>
      <c r="I7" t="str">
        <f>OutputTable[[#This Row],[ProjectName]]&amp;OutputTable[[#This Row],[Name]]&amp;OutputTable[[#This Row],[Type]]&amp;OutputTable[[#This Row],[Source]]</f>
        <v>Unnamed ProjectEntity 1.NumberOutNumber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1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1</v>
      </c>
      <c r="P7" cm="1">
        <f t="array" ref="P7">MAX(IF((OutputTable[GroupByKey]=OutputTable[[#This Row],[GroupByKey]]),(OutputTable[GroupByKey]=OutputTable[[#This Row],[GroupByKey]])*OutputTable[RecordedValue]))</f>
        <v>1</v>
      </c>
    </row>
    <row r="8" spans="1:16" x14ac:dyDescent="0.25">
      <c r="A8" t="s">
        <v>67</v>
      </c>
      <c r="B8" t="s">
        <v>70</v>
      </c>
      <c r="C8">
        <v>1</v>
      </c>
      <c r="D8" t="s">
        <v>113</v>
      </c>
      <c r="E8" t="s">
        <v>108</v>
      </c>
      <c r="F8" t="s">
        <v>81</v>
      </c>
      <c r="G8">
        <v>136</v>
      </c>
      <c r="H8">
        <v>0</v>
      </c>
      <c r="I8" t="str">
        <f>OutputTable[[#This Row],[ProjectName]]&amp;OutputTable[[#This Row],[Name]]&amp;OutputTable[[#This Row],[Type]]&amp;OutputTable[[#This Row],[Source]]</f>
        <v>Unnamed ProjectGrupoCleintes.NumberInNumber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136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136</v>
      </c>
      <c r="P8" cm="1">
        <f t="array" ref="P8">MAX(IF((OutputTable[GroupByKey]=OutputTable[[#This Row],[GroupByKey]]),(OutputTable[GroupByKey]=OutputTable[[#This Row],[GroupByKey]])*OutputTable[RecordedValue]))</f>
        <v>136</v>
      </c>
    </row>
    <row r="9" spans="1:16" x14ac:dyDescent="0.25">
      <c r="A9" t="s">
        <v>67</v>
      </c>
      <c r="B9" t="s">
        <v>70</v>
      </c>
      <c r="C9">
        <v>1</v>
      </c>
      <c r="D9" t="s">
        <v>114</v>
      </c>
      <c r="E9" t="s">
        <v>110</v>
      </c>
      <c r="F9" t="s">
        <v>81</v>
      </c>
      <c r="G9">
        <v>136</v>
      </c>
      <c r="H9">
        <v>0</v>
      </c>
      <c r="I9" t="str">
        <f>OutputTable[[#This Row],[ProjectName]]&amp;OutputTable[[#This Row],[Name]]&amp;OutputTable[[#This Row],[Type]]&amp;OutputTable[[#This Row],[Source]]</f>
        <v>Unnamed ProjectGrupoCleintes.NumberOutNumber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136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136</v>
      </c>
      <c r="P9" cm="1">
        <f t="array" ref="P9">MAX(IF((OutputTable[GroupByKey]=OutputTable[[#This Row],[GroupByKey]]),(OutputTable[GroupByKey]=OutputTable[[#This Row],[GroupByKey]])*OutputTable[RecordedValue]))</f>
        <v>136</v>
      </c>
    </row>
    <row r="10" spans="1:16" x14ac:dyDescent="0.25">
      <c r="A10" t="s">
        <v>67</v>
      </c>
      <c r="B10" t="s">
        <v>70</v>
      </c>
      <c r="C10">
        <v>1</v>
      </c>
      <c r="D10" t="s">
        <v>115</v>
      </c>
      <c r="E10" t="s">
        <v>110</v>
      </c>
      <c r="F10" t="s">
        <v>116</v>
      </c>
      <c r="G10">
        <v>136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136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136</v>
      </c>
      <c r="P10" cm="1">
        <f t="array" ref="P10">MAX(IF((OutputTable[GroupByKey]=OutputTable[[#This Row],[GroupByKey]]),(OutputTable[GroupByKey]=OutputTable[[#This Row],[GroupByKey]])*OutputTable[RecordedValue]))</f>
        <v>136</v>
      </c>
    </row>
    <row r="11" spans="1:16" x14ac:dyDescent="0.25">
      <c r="A11" t="s">
        <v>67</v>
      </c>
      <c r="B11" t="s">
        <v>70</v>
      </c>
      <c r="C11">
        <v>1</v>
      </c>
      <c r="D11" t="s">
        <v>117</v>
      </c>
      <c r="E11" t="s">
        <v>118</v>
      </c>
      <c r="F11" t="s">
        <v>96</v>
      </c>
      <c r="G11">
        <v>133</v>
      </c>
      <c r="H11">
        <v>0</v>
      </c>
      <c r="I11" t="str">
        <f>OutputTable[[#This Row],[ProjectName]]&amp;OutputTable[[#This Row],[Name]]&amp;OutputTable[[#This Row],[Type]]&amp;OutputTable[[#This Row],[Source]]</f>
        <v>Unnamed ProjectrCaja.NumberSeizedTotal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133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133</v>
      </c>
      <c r="P11" cm="1">
        <f t="array" ref="P11">MAX(IF((OutputTable[GroupByKey]=OutputTable[[#This Row],[GroupByKey]]),(OutputTable[GroupByKey]=OutputTable[[#This Row],[GroupByKey]])*OutputTable[RecordedValue]))</f>
        <v>133</v>
      </c>
    </row>
    <row r="12" spans="1:16" x14ac:dyDescent="0.25">
      <c r="A12" t="s">
        <v>67</v>
      </c>
      <c r="B12" t="s">
        <v>70</v>
      </c>
      <c r="C12">
        <v>1</v>
      </c>
      <c r="D12" t="s">
        <v>119</v>
      </c>
      <c r="E12" t="s">
        <v>120</v>
      </c>
      <c r="F12" t="s">
        <v>96</v>
      </c>
      <c r="G12">
        <v>0.35744019213610001</v>
      </c>
      <c r="H12">
        <v>0</v>
      </c>
      <c r="I12" t="str">
        <f>OutputTable[[#This Row],[ProjectName]]&amp;OutputTable[[#This Row],[Name]]&amp;OutputTable[[#This Row],[Type]]&amp;OutputTable[[#This Row],[Source]]</f>
        <v>Unnamed ProjectrCaja.ScheduledUtilizationScheduled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0.35744019213610001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0.35744019213610001</v>
      </c>
      <c r="P12" cm="1">
        <f t="array" ref="P12">MAX(IF((OutputTable[GroupByKey]=OutputTable[[#This Row],[GroupByKey]]),(OutputTable[GroupByKey]=OutputTable[[#This Row],[GroupByKey]])*OutputTable[RecordedValue]))</f>
        <v>0.35744019213610001</v>
      </c>
    </row>
    <row r="13" spans="1:16" x14ac:dyDescent="0.25">
      <c r="A13" t="s">
        <v>67</v>
      </c>
      <c r="B13" t="s">
        <v>70</v>
      </c>
      <c r="C13">
        <v>1</v>
      </c>
      <c r="D13" t="s">
        <v>121</v>
      </c>
      <c r="E13" t="s">
        <v>118</v>
      </c>
      <c r="F13" t="s">
        <v>96</v>
      </c>
      <c r="G13">
        <v>223</v>
      </c>
      <c r="H13">
        <v>0</v>
      </c>
      <c r="I13" t="str">
        <f>OutputTable[[#This Row],[ProjectName]]&amp;OutputTable[[#This Row],[Name]]&amp;OutputTable[[#This Row],[Type]]&amp;OutputTable[[#This Row],[Source]]</f>
        <v>Unnamed ProjectrMesas.NumberSeizedTotal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223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223</v>
      </c>
      <c r="P13" cm="1">
        <f t="array" ref="P13">MAX(IF((OutputTable[GroupByKey]=OutputTable[[#This Row],[GroupByKey]]),(OutputTable[GroupByKey]=OutputTable[[#This Row],[GroupByKey]])*OutputTable[RecordedValue]))</f>
        <v>223</v>
      </c>
    </row>
    <row r="14" spans="1:16" x14ac:dyDescent="0.25">
      <c r="A14" t="s">
        <v>67</v>
      </c>
      <c r="B14" t="s">
        <v>70</v>
      </c>
      <c r="C14">
        <v>1</v>
      </c>
      <c r="D14" t="s">
        <v>122</v>
      </c>
      <c r="E14" t="s">
        <v>120</v>
      </c>
      <c r="F14" t="s">
        <v>96</v>
      </c>
      <c r="G14">
        <v>0.46430750034117502</v>
      </c>
      <c r="H14">
        <v>0</v>
      </c>
      <c r="I14" t="str">
        <f>OutputTable[[#This Row],[ProjectName]]&amp;OutputTable[[#This Row],[Name]]&amp;OutputTable[[#This Row],[Type]]&amp;OutputTable[[#This Row],[Source]]</f>
        <v>Unnamed ProjectrMesas.ScheduledUtilizationScheduled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0.46430750034117502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0.46430750034117502</v>
      </c>
      <c r="P14" cm="1">
        <f t="array" ref="P14">MAX(IF((OutputTable[GroupByKey]=OutputTable[[#This Row],[GroupByKey]]),(OutputTable[GroupByKey]=OutputTable[[#This Row],[GroupByKey]])*OutputTable[RecordedValue]))</f>
        <v>0.46430750034117502</v>
      </c>
    </row>
  </sheetData>
  <phoneticPr fontId="2" type="noConversion"/>
  <conditionalFormatting sqref="I2:P14">
    <cfRule type="expression" dxfId="11" priority="2">
      <formula>MOD(ROW(),2)=0</formula>
    </cfRule>
  </conditionalFormatting>
  <conditionalFormatting sqref="N2:N14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Nestor Andres Tabares David</cp:lastModifiedBy>
  <cp:lastPrinted>2022-03-22T10:33:10Z</cp:lastPrinted>
  <dcterms:created xsi:type="dcterms:W3CDTF">2020-06-29T21:30:31Z</dcterms:created>
  <dcterms:modified xsi:type="dcterms:W3CDTF">2025-05-22T20:46:15Z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
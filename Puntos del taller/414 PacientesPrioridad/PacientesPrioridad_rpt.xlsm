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sabanaedu-my.sharepoint.com/personal/nestortada_unisabana_edu_co/Documents/Universidad/2025-1/Simulación/Puntos del taller/414 PacientesPrioridad/"/>
    </mc:Choice>
  </mc:AlternateContent>
  <xr:revisionPtr revIDLastSave="83" documentId="13_ncr:1_{325E12FA-5483-41CA-B36F-0BB911A2EF96}" xr6:coauthVersionLast="47" xr6:coauthVersionMax="47" xr10:uidLastSave="{4FA5BAF7-AA83-4CED-A769-5CF39B31B3AA}"/>
  <bookViews>
    <workbookView xWindow="-120" yWindow="-120" windowWidth="20730" windowHeight="111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ContinuousTimeStatsByRep!$A$1:$L$601</definedName>
    <definedName name="ExternalData_1" localSheetId="4" hidden="1">CounterStatsByRep!$A$1:$G$2</definedName>
    <definedName name="ExternalData_1" localSheetId="2" hidden="1">DiscreteTimeStatsByRep!$A$1:$K$1001</definedName>
    <definedName name="ExternalData_1" localSheetId="6" hidden="1">FrequencyStatsByRep!$A$1:$K$2</definedName>
    <definedName name="ExternalData_1" localSheetId="5" hidden="1">OutputStatsByRep!$A$1:$H$851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J2" i="20" a="1"/>
  <c r="J2" i="20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/>
  <c r="J171" i="20" a="1"/>
  <c r="J171" i="20" s="1"/>
  <c r="J172" i="20" a="1"/>
  <c r="J172" i="20" s="1"/>
  <c r="J173" i="20" a="1"/>
  <c r="J173" i="20" s="1"/>
  <c r="J174" i="20" a="1"/>
  <c r="J174" i="20"/>
  <c r="J175" i="20" a="1"/>
  <c r="J175" i="20" s="1"/>
  <c r="J176" i="20" a="1"/>
  <c r="J176" i="20" s="1"/>
  <c r="J177" i="20" a="1"/>
  <c r="J177" i="20" s="1"/>
  <c r="J178" i="20" a="1"/>
  <c r="J178" i="20"/>
  <c r="J179" i="20" a="1"/>
  <c r="J179" i="20" s="1"/>
  <c r="J180" i="20" a="1"/>
  <c r="J180" i="20" s="1"/>
  <c r="J181" i="20" a="1"/>
  <c r="J181" i="20" s="1"/>
  <c r="J182" i="20" a="1"/>
  <c r="J182" i="20"/>
  <c r="J183" i="20" a="1"/>
  <c r="J183" i="20" s="1"/>
  <c r="J184" i="20" a="1"/>
  <c r="J184" i="20" s="1"/>
  <c r="J185" i="20" a="1"/>
  <c r="J185" i="20" s="1"/>
  <c r="J186" i="20" a="1"/>
  <c r="J186" i="20"/>
  <c r="J187" i="20" a="1"/>
  <c r="J187" i="20" s="1"/>
  <c r="J188" i="20" a="1"/>
  <c r="J188" i="20" s="1"/>
  <c r="J189" i="20" a="1"/>
  <c r="J189" i="20" s="1"/>
  <c r="J190" i="20" a="1"/>
  <c r="J190" i="20"/>
  <c r="J191" i="20" a="1"/>
  <c r="J191" i="20" s="1"/>
  <c r="J192" i="20" a="1"/>
  <c r="J192" i="20" s="1"/>
  <c r="J193" i="20" a="1"/>
  <c r="J193" i="20" s="1"/>
  <c r="J194" i="20" a="1"/>
  <c r="J194" i="20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 s="1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 s="1"/>
  <c r="J333" i="20" a="1"/>
  <c r="J333" i="20" s="1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 s="1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 s="1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 s="1"/>
  <c r="J352" i="20" a="1"/>
  <c r="J352" i="20" s="1"/>
  <c r="J353" i="20" a="1"/>
  <c r="J353" i="20" s="1"/>
  <c r="J354" i="20" a="1"/>
  <c r="J354" i="20" s="1"/>
  <c r="J355" i="20" a="1"/>
  <c r="J355" i="20" s="1"/>
  <c r="J356" i="20" a="1"/>
  <c r="J356" i="20" s="1"/>
  <c r="J357" i="20" a="1"/>
  <c r="J357" i="20" s="1"/>
  <c r="J358" i="20" a="1"/>
  <c r="J358" i="20" s="1"/>
  <c r="J359" i="20" a="1"/>
  <c r="J359" i="20" s="1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 s="1"/>
  <c r="J365" i="20" a="1"/>
  <c r="J365" i="20" s="1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 s="1"/>
  <c r="J372" i="20" a="1"/>
  <c r="J372" i="20" s="1"/>
  <c r="J373" i="20" a="1"/>
  <c r="J373" i="20" s="1"/>
  <c r="J374" i="20" a="1"/>
  <c r="J374" i="20" s="1"/>
  <c r="J375" i="20" a="1"/>
  <c r="J375" i="20" s="1"/>
  <c r="J376" i="20" a="1"/>
  <c r="J376" i="20" s="1"/>
  <c r="J377" i="20" a="1"/>
  <c r="J377" i="20" s="1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 s="1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 s="1"/>
  <c r="J394" i="20" a="1"/>
  <c r="J394" i="20" s="1"/>
  <c r="J395" i="20" a="1"/>
  <c r="J395" i="20" s="1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 s="1"/>
  <c r="J404" i="20" a="1"/>
  <c r="J404" i="20" s="1"/>
  <c r="J405" i="20" a="1"/>
  <c r="J405" i="20" s="1"/>
  <c r="J406" i="20" a="1"/>
  <c r="J406" i="20" s="1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 s="1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 s="1"/>
  <c r="J418" i="20" a="1"/>
  <c r="J418" i="20" s="1"/>
  <c r="J419" i="20" a="1"/>
  <c r="J419" i="20" s="1"/>
  <c r="J420" i="20" a="1"/>
  <c r="J420" i="20" s="1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 s="1"/>
  <c r="J426" i="20" a="1"/>
  <c r="J426" i="20" s="1"/>
  <c r="J427" i="20" a="1"/>
  <c r="J427" i="20" s="1"/>
  <c r="J428" i="20" a="1"/>
  <c r="J428" i="20" s="1"/>
  <c r="J429" i="20" a="1"/>
  <c r="J429" i="20" s="1"/>
  <c r="J430" i="20" a="1"/>
  <c r="J430" i="20" s="1"/>
  <c r="J431" i="20" a="1"/>
  <c r="J431" i="20" s="1"/>
  <c r="J432" i="20" a="1"/>
  <c r="J432" i="20" s="1"/>
  <c r="J433" i="20" a="1"/>
  <c r="J433" i="20" s="1"/>
  <c r="J434" i="20" a="1"/>
  <c r="J434" i="20" s="1"/>
  <c r="J435" i="20" a="1"/>
  <c r="J435" i="20" s="1"/>
  <c r="J436" i="20" a="1"/>
  <c r="J436" i="20" s="1"/>
  <c r="J437" i="20" a="1"/>
  <c r="J437" i="20" s="1"/>
  <c r="J438" i="20" a="1"/>
  <c r="J438" i="20" s="1"/>
  <c r="J439" i="20" a="1"/>
  <c r="J439" i="20" s="1"/>
  <c r="J440" i="20" a="1"/>
  <c r="J440" i="20" s="1"/>
  <c r="J441" i="20" a="1"/>
  <c r="J441" i="20" s="1"/>
  <c r="J442" i="20" a="1"/>
  <c r="J442" i="20" s="1"/>
  <c r="J443" i="20" a="1"/>
  <c r="J443" i="20" s="1"/>
  <c r="J444" i="20" a="1"/>
  <c r="J444" i="20" s="1"/>
  <c r="J445" i="20" a="1"/>
  <c r="J445" i="20" s="1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 s="1"/>
  <c r="J452" i="20" a="1"/>
  <c r="J452" i="20" s="1"/>
  <c r="J453" i="20" a="1"/>
  <c r="J453" i="20" s="1"/>
  <c r="J454" i="20" a="1"/>
  <c r="J454" i="20" s="1"/>
  <c r="J455" i="20" a="1"/>
  <c r="J455" i="20" s="1"/>
  <c r="J456" i="20" a="1"/>
  <c r="J456" i="20" s="1"/>
  <c r="J457" i="20" a="1"/>
  <c r="J457" i="20" s="1"/>
  <c r="J458" i="20" a="1"/>
  <c r="J458" i="20" s="1"/>
  <c r="J459" i="20" a="1"/>
  <c r="J459" i="20" s="1"/>
  <c r="J460" i="20" a="1"/>
  <c r="J460" i="20" s="1"/>
  <c r="J461" i="20" a="1"/>
  <c r="J461" i="20" s="1"/>
  <c r="J462" i="20" a="1"/>
  <c r="J462" i="20" s="1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 s="1"/>
  <c r="J470" i="20" a="1"/>
  <c r="J470" i="20" s="1"/>
  <c r="J471" i="20" a="1"/>
  <c r="J471" i="20" s="1"/>
  <c r="J472" i="20" a="1"/>
  <c r="J472" i="20" s="1"/>
  <c r="J473" i="20" a="1"/>
  <c r="J473" i="20" s="1"/>
  <c r="J474" i="20" a="1"/>
  <c r="J474" i="20" s="1"/>
  <c r="J475" i="20" a="1"/>
  <c r="J475" i="20" s="1"/>
  <c r="J476" i="20" a="1"/>
  <c r="J476" i="20" s="1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 s="1"/>
  <c r="J482" i="20" a="1"/>
  <c r="J482" i="20" s="1"/>
  <c r="J483" i="20" a="1"/>
  <c r="J483" i="20" s="1"/>
  <c r="J484" i="20" a="1"/>
  <c r="J484" i="20" s="1"/>
  <c r="J485" i="20" a="1"/>
  <c r="J485" i="20" s="1"/>
  <c r="J486" i="20" a="1"/>
  <c r="J486" i="20" s="1"/>
  <c r="J487" i="20" a="1"/>
  <c r="J487" i="20" s="1"/>
  <c r="J488" i="20" a="1"/>
  <c r="J488" i="20" s="1"/>
  <c r="J489" i="20" a="1"/>
  <c r="J489" i="20" s="1"/>
  <c r="J490" i="20" a="1"/>
  <c r="J490" i="20" s="1"/>
  <c r="J491" i="20" a="1"/>
  <c r="J491" i="20" s="1"/>
  <c r="J492" i="20" a="1"/>
  <c r="J492" i="20" s="1"/>
  <c r="J493" i="20" a="1"/>
  <c r="J493" i="20" s="1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 s="1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 s="1"/>
  <c r="J516" i="20" a="1"/>
  <c r="J516" i="20" s="1"/>
  <c r="J517" i="20" a="1"/>
  <c r="J517" i="20" s="1"/>
  <c r="J518" i="20" a="1"/>
  <c r="J518" i="20" s="1"/>
  <c r="J519" i="20" a="1"/>
  <c r="J519" i="20" s="1"/>
  <c r="J520" i="20" a="1"/>
  <c r="J520" i="20" s="1"/>
  <c r="J521" i="20" a="1"/>
  <c r="J521" i="20" s="1"/>
  <c r="J522" i="20" a="1"/>
  <c r="J522" i="20" s="1"/>
  <c r="J523" i="20" a="1"/>
  <c r="J523" i="20" s="1"/>
  <c r="J524" i="20" a="1"/>
  <c r="J524" i="20" s="1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 s="1"/>
  <c r="J537" i="20" a="1"/>
  <c r="J537" i="20" s="1"/>
  <c r="J538" i="20" a="1"/>
  <c r="J538" i="20" s="1"/>
  <c r="J539" i="20" a="1"/>
  <c r="J539" i="20" s="1"/>
  <c r="J540" i="20" a="1"/>
  <c r="J540" i="20" s="1"/>
  <c r="J541" i="20" a="1"/>
  <c r="J541" i="20" s="1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 s="1"/>
  <c r="J547" i="20" a="1"/>
  <c r="J547" i="20" s="1"/>
  <c r="J548" i="20" a="1"/>
  <c r="J548" i="20" s="1"/>
  <c r="J549" i="20" a="1"/>
  <c r="J549" i="20" s="1"/>
  <c r="J550" i="20" a="1"/>
  <c r="J550" i="20" s="1"/>
  <c r="J551" i="20" a="1"/>
  <c r="J551" i="20" s="1"/>
  <c r="J552" i="20" a="1"/>
  <c r="J552" i="20" s="1"/>
  <c r="J553" i="20" a="1"/>
  <c r="J553" i="20" s="1"/>
  <c r="J554" i="20" a="1"/>
  <c r="J554" i="20" s="1"/>
  <c r="J555" i="20" a="1"/>
  <c r="J555" i="20" s="1"/>
  <c r="J556" i="20" a="1"/>
  <c r="J556" i="20" s="1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 s="1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 s="1"/>
  <c r="J578" i="20" a="1"/>
  <c r="J578" i="20" s="1"/>
  <c r="J579" i="20" a="1"/>
  <c r="J579" i="20" s="1"/>
  <c r="J580" i="20" a="1"/>
  <c r="J580" i="20" s="1"/>
  <c r="J581" i="20" a="1"/>
  <c r="J581" i="20" s="1"/>
  <c r="J582" i="20" a="1"/>
  <c r="J582" i="20" s="1"/>
  <c r="J583" i="20" a="1"/>
  <c r="J583" i="20" s="1"/>
  <c r="J584" i="20" a="1"/>
  <c r="J584" i="20" s="1"/>
  <c r="J585" i="20" a="1"/>
  <c r="J585" i="20" s="1"/>
  <c r="J586" i="20" a="1"/>
  <c r="J586" i="20" s="1"/>
  <c r="J587" i="20" a="1"/>
  <c r="J587" i="20" s="1"/>
  <c r="J588" i="20" a="1"/>
  <c r="J588" i="20" s="1"/>
  <c r="J589" i="20" a="1"/>
  <c r="J589" i="20" s="1"/>
  <c r="J590" i="20" a="1"/>
  <c r="J590" i="20" s="1"/>
  <c r="J591" i="20" a="1"/>
  <c r="J591" i="20" s="1"/>
  <c r="J592" i="20" a="1"/>
  <c r="J592" i="20" s="1"/>
  <c r="J593" i="20" a="1"/>
  <c r="J593" i="20" s="1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 s="1"/>
  <c r="J599" i="20" a="1"/>
  <c r="J599" i="20" s="1"/>
  <c r="J600" i="20" a="1"/>
  <c r="J600" i="20" s="1"/>
  <c r="J601" i="20" a="1"/>
  <c r="J601" i="20" s="1"/>
  <c r="J602" i="20" a="1"/>
  <c r="J602" i="20" s="1"/>
  <c r="J603" i="20" a="1"/>
  <c r="J603" i="20" s="1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 s="1"/>
  <c r="J610" i="20" a="1"/>
  <c r="J610" i="20" s="1"/>
  <c r="J611" i="20" a="1"/>
  <c r="J611" i="20" s="1"/>
  <c r="J612" i="20" a="1"/>
  <c r="J612" i="20" s="1"/>
  <c r="J613" i="20" a="1"/>
  <c r="J613" i="20" s="1"/>
  <c r="J614" i="20" a="1"/>
  <c r="J614" i="20" s="1"/>
  <c r="J615" i="20" a="1"/>
  <c r="J615" i="20" s="1"/>
  <c r="J616" i="20" a="1"/>
  <c r="J616" i="20" s="1"/>
  <c r="J617" i="20" a="1"/>
  <c r="J617" i="20" s="1"/>
  <c r="J618" i="20" a="1"/>
  <c r="J618" i="20" s="1"/>
  <c r="J619" i="20" a="1"/>
  <c r="J619" i="20" s="1"/>
  <c r="J620" i="20" a="1"/>
  <c r="J620" i="20" s="1"/>
  <c r="J621" i="20" a="1"/>
  <c r="J621" i="20" s="1"/>
  <c r="J622" i="20" a="1"/>
  <c r="J622" i="20" s="1"/>
  <c r="J623" i="20" a="1"/>
  <c r="J623" i="20" s="1"/>
  <c r="J624" i="20" a="1"/>
  <c r="J624" i="20" s="1"/>
  <c r="J625" i="20" a="1"/>
  <c r="J625" i="20" s="1"/>
  <c r="J626" i="20" a="1"/>
  <c r="J626" i="20" s="1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 s="1"/>
  <c r="J632" i="20" a="1"/>
  <c r="J632" i="20" s="1"/>
  <c r="J633" i="20" a="1"/>
  <c r="J633" i="20" s="1"/>
  <c r="J634" i="20" a="1"/>
  <c r="J634" i="20" s="1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 s="1"/>
  <c r="J644" i="20" a="1"/>
  <c r="J644" i="20" s="1"/>
  <c r="J645" i="20" a="1"/>
  <c r="J645" i="20" s="1"/>
  <c r="J646" i="20" a="1"/>
  <c r="J646" i="20" s="1"/>
  <c r="J647" i="20" a="1"/>
  <c r="J647" i="20" s="1"/>
  <c r="J648" i="20" a="1"/>
  <c r="J648" i="20" s="1"/>
  <c r="J649" i="20" a="1"/>
  <c r="J649" i="20" s="1"/>
  <c r="J650" i="20" a="1"/>
  <c r="J650" i="20" s="1"/>
  <c r="J651" i="20" a="1"/>
  <c r="J651" i="20" s="1"/>
  <c r="J652" i="20" a="1"/>
  <c r="J652" i="20" s="1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 s="1"/>
  <c r="J658" i="20" a="1"/>
  <c r="J658" i="20" s="1"/>
  <c r="J659" i="20" a="1"/>
  <c r="J659" i="20" s="1"/>
  <c r="J660" i="20" a="1"/>
  <c r="J660" i="20" s="1"/>
  <c r="J661" i="20" a="1"/>
  <c r="J661" i="20" s="1"/>
  <c r="J662" i="20" a="1"/>
  <c r="J662" i="20" s="1"/>
  <c r="J663" i="20" a="1"/>
  <c r="J663" i="20" s="1"/>
  <c r="J664" i="20" a="1"/>
  <c r="J664" i="20" s="1"/>
  <c r="J665" i="20" a="1"/>
  <c r="J665" i="20" s="1"/>
  <c r="J666" i="20" a="1"/>
  <c r="J666" i="20" s="1"/>
  <c r="J667" i="20" a="1"/>
  <c r="J667" i="20" s="1"/>
  <c r="J668" i="20" a="1"/>
  <c r="J668" i="20" s="1"/>
  <c r="J669" i="20" a="1"/>
  <c r="J669" i="20" s="1"/>
  <c r="J670" i="20" a="1"/>
  <c r="J670" i="20" s="1"/>
  <c r="J671" i="20" a="1"/>
  <c r="J671" i="20" s="1"/>
  <c r="J672" i="20" a="1"/>
  <c r="J672" i="20" s="1"/>
  <c r="J673" i="20" a="1"/>
  <c r="J673" i="20" s="1"/>
  <c r="J674" i="20" a="1"/>
  <c r="J674" i="20" s="1"/>
  <c r="J675" i="20" a="1"/>
  <c r="J675" i="20" s="1"/>
  <c r="J676" i="20" a="1"/>
  <c r="J676" i="20" s="1"/>
  <c r="J677" i="20" a="1"/>
  <c r="J677" i="20" s="1"/>
  <c r="J678" i="20" a="1"/>
  <c r="J678" i="20" s="1"/>
  <c r="J679" i="20" a="1"/>
  <c r="J679" i="20" s="1"/>
  <c r="J680" i="20" a="1"/>
  <c r="J680" i="20" s="1"/>
  <c r="J681" i="20" a="1"/>
  <c r="J681" i="20" s="1"/>
  <c r="J682" i="20" a="1"/>
  <c r="J682" i="20" s="1"/>
  <c r="J683" i="20" a="1"/>
  <c r="J683" i="20" s="1"/>
  <c r="J684" i="20" a="1"/>
  <c r="J684" i="20" s="1"/>
  <c r="J685" i="20" a="1"/>
  <c r="J685" i="20" s="1"/>
  <c r="J686" i="20" a="1"/>
  <c r="J686" i="20" s="1"/>
  <c r="J687" i="20" a="1"/>
  <c r="J687" i="20" s="1"/>
  <c r="J688" i="20" a="1"/>
  <c r="J688" i="20" s="1"/>
  <c r="J689" i="20" a="1"/>
  <c r="J689" i="20" s="1"/>
  <c r="J690" i="20" a="1"/>
  <c r="J690" i="20" s="1"/>
  <c r="J691" i="20" a="1"/>
  <c r="J691" i="20" s="1"/>
  <c r="J692" i="20" a="1"/>
  <c r="J692" i="20" s="1"/>
  <c r="J693" i="20" a="1"/>
  <c r="J693" i="20" s="1"/>
  <c r="J694" i="20" a="1"/>
  <c r="J694" i="20" s="1"/>
  <c r="J695" i="20" a="1"/>
  <c r="J695" i="20" s="1"/>
  <c r="J696" i="20" a="1"/>
  <c r="J696" i="20" s="1"/>
  <c r="J697" i="20" a="1"/>
  <c r="J697" i="20" s="1"/>
  <c r="J698" i="20" a="1"/>
  <c r="J698" i="20" s="1"/>
  <c r="J699" i="20" a="1"/>
  <c r="J699" i="20" s="1"/>
  <c r="J700" i="20" a="1"/>
  <c r="J700" i="20" s="1"/>
  <c r="J701" i="20" a="1"/>
  <c r="J701" i="20" s="1"/>
  <c r="J702" i="20" a="1"/>
  <c r="J702" i="20" s="1"/>
  <c r="J703" i="20" a="1"/>
  <c r="J703" i="20" s="1"/>
  <c r="J704" i="20" a="1"/>
  <c r="J704" i="20" s="1"/>
  <c r="J705" i="20" a="1"/>
  <c r="J705" i="20" s="1"/>
  <c r="J706" i="20" a="1"/>
  <c r="J706" i="20" s="1"/>
  <c r="J707" i="20" a="1"/>
  <c r="J707" i="20" s="1"/>
  <c r="J708" i="20" a="1"/>
  <c r="J708" i="20" s="1"/>
  <c r="J709" i="20" a="1"/>
  <c r="J709" i="20" s="1"/>
  <c r="J710" i="20" a="1"/>
  <c r="J710" i="20" s="1"/>
  <c r="J711" i="20" a="1"/>
  <c r="J711" i="20" s="1"/>
  <c r="J712" i="20" a="1"/>
  <c r="J712" i="20" s="1"/>
  <c r="J713" i="20" a="1"/>
  <c r="J713" i="20" s="1"/>
  <c r="J714" i="20" a="1"/>
  <c r="J714" i="20" s="1"/>
  <c r="J715" i="20" a="1"/>
  <c r="J715" i="20" s="1"/>
  <c r="J716" i="20" a="1"/>
  <c r="J716" i="20" s="1"/>
  <c r="J717" i="20" a="1"/>
  <c r="J717" i="20" s="1"/>
  <c r="J718" i="20" a="1"/>
  <c r="J718" i="20" s="1"/>
  <c r="J719" i="20" a="1"/>
  <c r="J719" i="20" s="1"/>
  <c r="J720" i="20" a="1"/>
  <c r="J720" i="20" s="1"/>
  <c r="J721" i="20" a="1"/>
  <c r="J721" i="20" s="1"/>
  <c r="J722" i="20" a="1"/>
  <c r="J722" i="20" s="1"/>
  <c r="J723" i="20" a="1"/>
  <c r="J723" i="20" s="1"/>
  <c r="J724" i="20" a="1"/>
  <c r="J724" i="20" s="1"/>
  <c r="J725" i="20" a="1"/>
  <c r="J725" i="20" s="1"/>
  <c r="J726" i="20" a="1"/>
  <c r="J726" i="20" s="1"/>
  <c r="J727" i="20" a="1"/>
  <c r="J727" i="20" s="1"/>
  <c r="J728" i="20" a="1"/>
  <c r="J728" i="20" s="1"/>
  <c r="J729" i="20" a="1"/>
  <c r="J729" i="20" s="1"/>
  <c r="J730" i="20" a="1"/>
  <c r="J730" i="20" s="1"/>
  <c r="J731" i="20" a="1"/>
  <c r="J731" i="20" s="1"/>
  <c r="J732" i="20" a="1"/>
  <c r="J732" i="20" s="1"/>
  <c r="J733" i="20" a="1"/>
  <c r="J733" i="20" s="1"/>
  <c r="J734" i="20" a="1"/>
  <c r="J734" i="20" s="1"/>
  <c r="J735" i="20" a="1"/>
  <c r="J735" i="20" s="1"/>
  <c r="J736" i="20" a="1"/>
  <c r="J736" i="20" s="1"/>
  <c r="J737" i="20" a="1"/>
  <c r="J737" i="20" s="1"/>
  <c r="J738" i="20" a="1"/>
  <c r="J738" i="20" s="1"/>
  <c r="J739" i="20" a="1"/>
  <c r="J739" i="20" s="1"/>
  <c r="J740" i="20" a="1"/>
  <c r="J740" i="20" s="1"/>
  <c r="J741" i="20" a="1"/>
  <c r="J741" i="20" s="1"/>
  <c r="J742" i="20" a="1"/>
  <c r="J742" i="20" s="1"/>
  <c r="J743" i="20" a="1"/>
  <c r="J743" i="20" s="1"/>
  <c r="J744" i="20" a="1"/>
  <c r="J744" i="20" s="1"/>
  <c r="J745" i="20" a="1"/>
  <c r="J745" i="20" s="1"/>
  <c r="J746" i="20" a="1"/>
  <c r="J746" i="20" s="1"/>
  <c r="J747" i="20" a="1"/>
  <c r="J747" i="20" s="1"/>
  <c r="J748" i="20" a="1"/>
  <c r="J748" i="20" s="1"/>
  <c r="J749" i="20" a="1"/>
  <c r="J749" i="20" s="1"/>
  <c r="J750" i="20" a="1"/>
  <c r="J750" i="20" s="1"/>
  <c r="J751" i="20" a="1"/>
  <c r="J751" i="20" s="1"/>
  <c r="J752" i="20" a="1"/>
  <c r="J752" i="20" s="1"/>
  <c r="J753" i="20" a="1"/>
  <c r="J753" i="20" s="1"/>
  <c r="J754" i="20" a="1"/>
  <c r="J754" i="20" s="1"/>
  <c r="J755" i="20" a="1"/>
  <c r="J755" i="20" s="1"/>
  <c r="J756" i="20" a="1"/>
  <c r="J756" i="20" s="1"/>
  <c r="J757" i="20" a="1"/>
  <c r="J757" i="20" s="1"/>
  <c r="J758" i="20" a="1"/>
  <c r="J758" i="20" s="1"/>
  <c r="J759" i="20" a="1"/>
  <c r="J759" i="20" s="1"/>
  <c r="J760" i="20" a="1"/>
  <c r="J760" i="20" s="1"/>
  <c r="J761" i="20" a="1"/>
  <c r="J761" i="20" s="1"/>
  <c r="J762" i="20" a="1"/>
  <c r="J762" i="20" s="1"/>
  <c r="J763" i="20" a="1"/>
  <c r="J763" i="20" s="1"/>
  <c r="J764" i="20" a="1"/>
  <c r="J764" i="20" s="1"/>
  <c r="J765" i="20" a="1"/>
  <c r="J765" i="20" s="1"/>
  <c r="J766" i="20" a="1"/>
  <c r="J766" i="20" s="1"/>
  <c r="J767" i="20" a="1"/>
  <c r="J767" i="20" s="1"/>
  <c r="J768" i="20" a="1"/>
  <c r="J768" i="20" s="1"/>
  <c r="J769" i="20" a="1"/>
  <c r="J769" i="20" s="1"/>
  <c r="J770" i="20" a="1"/>
  <c r="J770" i="20" s="1"/>
  <c r="J771" i="20" a="1"/>
  <c r="J771" i="20" s="1"/>
  <c r="J772" i="20" a="1"/>
  <c r="J772" i="20" s="1"/>
  <c r="J773" i="20" a="1"/>
  <c r="J773" i="20" s="1"/>
  <c r="J774" i="20" a="1"/>
  <c r="J774" i="20" s="1"/>
  <c r="J775" i="20" a="1"/>
  <c r="J775" i="20" s="1"/>
  <c r="J776" i="20" a="1"/>
  <c r="J776" i="20" s="1"/>
  <c r="J777" i="20" a="1"/>
  <c r="J777" i="20" s="1"/>
  <c r="J778" i="20" a="1"/>
  <c r="J778" i="20" s="1"/>
  <c r="J779" i="20" a="1"/>
  <c r="J779" i="20" s="1"/>
  <c r="J780" i="20" a="1"/>
  <c r="J780" i="20" s="1"/>
  <c r="J781" i="20" a="1"/>
  <c r="J781" i="20" s="1"/>
  <c r="J782" i="20" a="1"/>
  <c r="J782" i="20" s="1"/>
  <c r="J783" i="20" a="1"/>
  <c r="J783" i="20" s="1"/>
  <c r="J784" i="20" a="1"/>
  <c r="J784" i="20" s="1"/>
  <c r="J785" i="20" a="1"/>
  <c r="J785" i="20" s="1"/>
  <c r="J786" i="20" a="1"/>
  <c r="J786" i="20" s="1"/>
  <c r="J787" i="20" a="1"/>
  <c r="J787" i="20" s="1"/>
  <c r="J788" i="20" a="1"/>
  <c r="J788" i="20" s="1"/>
  <c r="J789" i="20" a="1"/>
  <c r="J789" i="20" s="1"/>
  <c r="J790" i="20" a="1"/>
  <c r="J790" i="20" s="1"/>
  <c r="J791" i="20" a="1"/>
  <c r="J791" i="20" s="1"/>
  <c r="J792" i="20" a="1"/>
  <c r="J792" i="20" s="1"/>
  <c r="J793" i="20" a="1"/>
  <c r="J793" i="20" s="1"/>
  <c r="J794" i="20" a="1"/>
  <c r="J794" i="20" s="1"/>
  <c r="J795" i="20" a="1"/>
  <c r="J795" i="20" s="1"/>
  <c r="J796" i="20" a="1"/>
  <c r="J796" i="20" s="1"/>
  <c r="J797" i="20" a="1"/>
  <c r="J797" i="20" s="1"/>
  <c r="J798" i="20" a="1"/>
  <c r="J798" i="20" s="1"/>
  <c r="J799" i="20" a="1"/>
  <c r="J799" i="20" s="1"/>
  <c r="J800" i="20" a="1"/>
  <c r="J800" i="20" s="1"/>
  <c r="J801" i="20" a="1"/>
  <c r="J801" i="20" s="1"/>
  <c r="J802" i="20" a="1"/>
  <c r="J802" i="20" s="1"/>
  <c r="J803" i="20" a="1"/>
  <c r="J803" i="20" s="1"/>
  <c r="J804" i="20" a="1"/>
  <c r="J804" i="20" s="1"/>
  <c r="J805" i="20" a="1"/>
  <c r="J805" i="20" s="1"/>
  <c r="J806" i="20" a="1"/>
  <c r="J806" i="20" s="1"/>
  <c r="J807" i="20" a="1"/>
  <c r="J807" i="20" s="1"/>
  <c r="J808" i="20" a="1"/>
  <c r="J808" i="20" s="1"/>
  <c r="J809" i="20" a="1"/>
  <c r="J809" i="20" s="1"/>
  <c r="J810" i="20" a="1"/>
  <c r="J810" i="20" s="1"/>
  <c r="J811" i="20" a="1"/>
  <c r="J811" i="20" s="1"/>
  <c r="J812" i="20" a="1"/>
  <c r="J812" i="20" s="1"/>
  <c r="J813" i="20" a="1"/>
  <c r="J813" i="20" s="1"/>
  <c r="J814" i="20" a="1"/>
  <c r="J814" i="20" s="1"/>
  <c r="J815" i="20" a="1"/>
  <c r="J815" i="20" s="1"/>
  <c r="J816" i="20" a="1"/>
  <c r="J816" i="20" s="1"/>
  <c r="J817" i="20" a="1"/>
  <c r="J817" i="20" s="1"/>
  <c r="J818" i="20" a="1"/>
  <c r="J818" i="20" s="1"/>
  <c r="J819" i="20" a="1"/>
  <c r="J819" i="20" s="1"/>
  <c r="J820" i="20" a="1"/>
  <c r="J820" i="20" s="1"/>
  <c r="J821" i="20" a="1"/>
  <c r="J821" i="20" s="1"/>
  <c r="J822" i="20" a="1"/>
  <c r="J822" i="20" s="1"/>
  <c r="J823" i="20" a="1"/>
  <c r="J823" i="20" s="1"/>
  <c r="J824" i="20" a="1"/>
  <c r="J824" i="20" s="1"/>
  <c r="J825" i="20" a="1"/>
  <c r="J825" i="20" s="1"/>
  <c r="J826" i="20" a="1"/>
  <c r="J826" i="20" s="1"/>
  <c r="J827" i="20" a="1"/>
  <c r="J827" i="20" s="1"/>
  <c r="J828" i="20" a="1"/>
  <c r="J828" i="20" s="1"/>
  <c r="J829" i="20" a="1"/>
  <c r="J829" i="20" s="1"/>
  <c r="J830" i="20" a="1"/>
  <c r="J830" i="20" s="1"/>
  <c r="J831" i="20" a="1"/>
  <c r="J831" i="20" s="1"/>
  <c r="J832" i="20" a="1"/>
  <c r="J832" i="20" s="1"/>
  <c r="J833" i="20" a="1"/>
  <c r="J833" i="20" s="1"/>
  <c r="J834" i="20" a="1"/>
  <c r="J834" i="20" s="1"/>
  <c r="J835" i="20" a="1"/>
  <c r="J835" i="20" s="1"/>
  <c r="J836" i="20" a="1"/>
  <c r="J836" i="20" s="1"/>
  <c r="J837" i="20" a="1"/>
  <c r="J837" i="20" s="1"/>
  <c r="J838" i="20" a="1"/>
  <c r="J838" i="20" s="1"/>
  <c r="J839" i="20" a="1"/>
  <c r="J839" i="20" s="1"/>
  <c r="J840" i="20" a="1"/>
  <c r="J840" i="20" s="1"/>
  <c r="J841" i="20" a="1"/>
  <c r="J841" i="20" s="1"/>
  <c r="J842" i="20" a="1"/>
  <c r="J842" i="20" s="1"/>
  <c r="J843" i="20" a="1"/>
  <c r="J843" i="20" s="1"/>
  <c r="J844" i="20" a="1"/>
  <c r="J844" i="20" s="1"/>
  <c r="J845" i="20" a="1"/>
  <c r="J845" i="20" s="1"/>
  <c r="J846" i="20" a="1"/>
  <c r="J846" i="20" s="1"/>
  <c r="J847" i="20" a="1"/>
  <c r="J847" i="20" s="1"/>
  <c r="J848" i="20" a="1"/>
  <c r="J848" i="20" s="1"/>
  <c r="J849" i="20" a="1"/>
  <c r="J849" i="20" s="1"/>
  <c r="J850" i="20" a="1"/>
  <c r="J850" i="20" s="1"/>
  <c r="J851" i="20" a="1"/>
  <c r="J85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/>
  <c r="K153" i="20" a="1"/>
  <c r="K153" i="20" s="1"/>
  <c r="K154" i="20" a="1"/>
  <c r="K154" i="20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/>
  <c r="K169" i="20" a="1"/>
  <c r="K169" i="20" s="1"/>
  <c r="K170" i="20" a="1"/>
  <c r="K170" i="20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/>
  <c r="K185" i="20" a="1"/>
  <c r="K185" i="20" s="1"/>
  <c r="K186" i="20" a="1"/>
  <c r="K186" i="20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/>
  <c r="K201" i="20" a="1"/>
  <c r="K201" i="20" s="1"/>
  <c r="K202" i="20" a="1"/>
  <c r="K202" i="20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/>
  <c r="K217" i="20" a="1"/>
  <c r="K217" i="20" s="1"/>
  <c r="K218" i="20" a="1"/>
  <c r="K218" i="20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 s="1"/>
  <c r="K322" i="20" a="1"/>
  <c r="K322" i="20" s="1"/>
  <c r="K323" i="20" a="1"/>
  <c r="K323" i="20" s="1"/>
  <c r="K324" i="20" a="1"/>
  <c r="K324" i="20" s="1"/>
  <c r="K325" i="20" a="1"/>
  <c r="K325" i="20" s="1"/>
  <c r="K326" i="20" a="1"/>
  <c r="K326" i="20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 s="1"/>
  <c r="K333" i="20" a="1"/>
  <c r="K333" i="20" s="1"/>
  <c r="K334" i="20" a="1"/>
  <c r="K334" i="20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 s="1"/>
  <c r="K340" i="20" a="1"/>
  <c r="K340" i="20" s="1"/>
  <c r="K341" i="20" a="1"/>
  <c r="K341" i="20" s="1"/>
  <c r="K342" i="20" a="1"/>
  <c r="K342" i="20"/>
  <c r="K343" i="20" a="1"/>
  <c r="K343" i="20" s="1"/>
  <c r="K344" i="20" a="1"/>
  <c r="K344" i="20" s="1"/>
  <c r="K345" i="20" a="1"/>
  <c r="K345" i="20" s="1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 s="1"/>
  <c r="K364" i="20" a="1"/>
  <c r="K364" i="20" s="1"/>
  <c r="K365" i="20" a="1"/>
  <c r="K365" i="20" s="1"/>
  <c r="K366" i="20" a="1"/>
  <c r="K366" i="20"/>
  <c r="K367" i="20" a="1"/>
  <c r="K367" i="20" s="1"/>
  <c r="K368" i="20" a="1"/>
  <c r="K368" i="20" s="1"/>
  <c r="K369" i="20" a="1"/>
  <c r="K369" i="20" s="1"/>
  <c r="K370" i="20" a="1"/>
  <c r="K370" i="20" s="1"/>
  <c r="K371" i="20" a="1"/>
  <c r="K371" i="20" s="1"/>
  <c r="K372" i="20" a="1"/>
  <c r="K372" i="20" s="1"/>
  <c r="K373" i="20" a="1"/>
  <c r="K373" i="20" s="1"/>
  <c r="K374" i="20" a="1"/>
  <c r="K374" i="20"/>
  <c r="K375" i="20" a="1"/>
  <c r="K375" i="20" s="1"/>
  <c r="K376" i="20" a="1"/>
  <c r="K376" i="20" s="1"/>
  <c r="K377" i="20" a="1"/>
  <c r="K377" i="20" s="1"/>
  <c r="K378" i="20" a="1"/>
  <c r="K378" i="20"/>
  <c r="K379" i="20" a="1"/>
  <c r="K379" i="20" s="1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 s="1"/>
  <c r="K386" i="20" a="1"/>
  <c r="K386" i="20"/>
  <c r="K387" i="20" a="1"/>
  <c r="K387" i="20" s="1"/>
  <c r="K388" i="20" a="1"/>
  <c r="K388" i="20" s="1"/>
  <c r="K389" i="20" a="1"/>
  <c r="K389" i="20" s="1"/>
  <c r="K390" i="20" a="1"/>
  <c r="K390" i="20" s="1"/>
  <c r="K391" i="20" a="1"/>
  <c r="K391" i="20" s="1"/>
  <c r="K392" i="20" a="1"/>
  <c r="K392" i="20" s="1"/>
  <c r="K393" i="20" a="1"/>
  <c r="K393" i="20" s="1"/>
  <c r="K394" i="20" a="1"/>
  <c r="K394" i="20" s="1"/>
  <c r="K395" i="20" a="1"/>
  <c r="K395" i="20" s="1"/>
  <c r="K396" i="20" a="1"/>
  <c r="K396" i="20" s="1"/>
  <c r="K397" i="20" a="1"/>
  <c r="K397" i="20" s="1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/>
  <c r="K403" i="20" a="1"/>
  <c r="K403" i="20" s="1"/>
  <c r="K404" i="20" a="1"/>
  <c r="K404" i="20" s="1"/>
  <c r="K405" i="20" a="1"/>
  <c r="K405" i="20" s="1"/>
  <c r="K406" i="20" a="1"/>
  <c r="K406" i="20" s="1"/>
  <c r="K407" i="20" a="1"/>
  <c r="K407" i="20" s="1"/>
  <c r="K408" i="20" a="1"/>
  <c r="K408" i="20" s="1"/>
  <c r="K409" i="20" a="1"/>
  <c r="K409" i="20" s="1"/>
  <c r="K410" i="20" a="1"/>
  <c r="K410" i="20"/>
  <c r="K411" i="20" a="1"/>
  <c r="K411" i="20" s="1"/>
  <c r="K412" i="20" a="1"/>
  <c r="K412" i="20" s="1"/>
  <c r="K413" i="20" a="1"/>
  <c r="K413" i="20" s="1"/>
  <c r="K414" i="20" a="1"/>
  <c r="K414" i="20" s="1"/>
  <c r="K415" i="20" a="1"/>
  <c r="K415" i="20" s="1"/>
  <c r="K416" i="20" a="1"/>
  <c r="K416" i="20" s="1"/>
  <c r="K417" i="20" a="1"/>
  <c r="K417" i="20" s="1"/>
  <c r="K418" i="20" a="1"/>
  <c r="K418" i="20"/>
  <c r="K419" i="20" a="1"/>
  <c r="K419" i="20" s="1"/>
  <c r="K420" i="20" a="1"/>
  <c r="K420" i="20" s="1"/>
  <c r="K421" i="20" a="1"/>
  <c r="K421" i="20" s="1"/>
  <c r="K422" i="20" a="1"/>
  <c r="K422" i="20" s="1"/>
  <c r="K423" i="20" a="1"/>
  <c r="K423" i="20" s="1"/>
  <c r="K424" i="20" a="1"/>
  <c r="K424" i="20" s="1"/>
  <c r="K425" i="20" a="1"/>
  <c r="K425" i="20" s="1"/>
  <c r="K426" i="20" a="1"/>
  <c r="K426" i="20" s="1"/>
  <c r="K427" i="20" a="1"/>
  <c r="K427" i="20" s="1"/>
  <c r="K428" i="20" a="1"/>
  <c r="K428" i="20" s="1"/>
  <c r="K429" i="20" a="1"/>
  <c r="K429" i="20" s="1"/>
  <c r="K430" i="20" a="1"/>
  <c r="K430" i="20" s="1"/>
  <c r="K431" i="20" a="1"/>
  <c r="K431" i="20" s="1"/>
  <c r="K432" i="20" a="1"/>
  <c r="K432" i="20" s="1"/>
  <c r="K433" i="20" a="1"/>
  <c r="K433" i="20" s="1"/>
  <c r="K434" i="20" a="1"/>
  <c r="K434" i="20"/>
  <c r="K435" i="20" a="1"/>
  <c r="K435" i="20" s="1"/>
  <c r="K436" i="20" a="1"/>
  <c r="K436" i="20" s="1"/>
  <c r="K437" i="20" a="1"/>
  <c r="K437" i="20" s="1"/>
  <c r="K438" i="20" a="1"/>
  <c r="K438" i="20" s="1"/>
  <c r="K439" i="20" a="1"/>
  <c r="K439" i="20" s="1"/>
  <c r="K440" i="20" a="1"/>
  <c r="K440" i="20" s="1"/>
  <c r="K441" i="20" a="1"/>
  <c r="K441" i="20" s="1"/>
  <c r="K442" i="20" a="1"/>
  <c r="K442" i="20"/>
  <c r="K443" i="20" a="1"/>
  <c r="K443" i="20" s="1"/>
  <c r="K444" i="20" a="1"/>
  <c r="K444" i="20" s="1"/>
  <c r="K445" i="20" a="1"/>
  <c r="K445" i="20" s="1"/>
  <c r="K446" i="20" a="1"/>
  <c r="K446" i="20" s="1"/>
  <c r="K447" i="20" a="1"/>
  <c r="K447" i="20" s="1"/>
  <c r="K448" i="20" a="1"/>
  <c r="K448" i="20" s="1"/>
  <c r="K449" i="20" a="1"/>
  <c r="K449" i="20" s="1"/>
  <c r="K450" i="20" a="1"/>
  <c r="K450" i="20"/>
  <c r="K451" i="20" a="1"/>
  <c r="K451" i="20" s="1"/>
  <c r="K452" i="20" a="1"/>
  <c r="K452" i="20" s="1"/>
  <c r="K453" i="20" a="1"/>
  <c r="K453" i="20" s="1"/>
  <c r="K454" i="20" a="1"/>
  <c r="K454" i="20" s="1"/>
  <c r="K455" i="20" a="1"/>
  <c r="K455" i="20" s="1"/>
  <c r="K456" i="20" a="1"/>
  <c r="K456" i="20" s="1"/>
  <c r="K457" i="20" a="1"/>
  <c r="K457" i="20" s="1"/>
  <c r="K458" i="20" a="1"/>
  <c r="K458" i="20" s="1"/>
  <c r="K459" i="20" a="1"/>
  <c r="K459" i="20" s="1"/>
  <c r="K460" i="20" a="1"/>
  <c r="K460" i="20" s="1"/>
  <c r="K461" i="20" a="1"/>
  <c r="K461" i="20" s="1"/>
  <c r="K462" i="20" a="1"/>
  <c r="K462" i="20" s="1"/>
  <c r="K463" i="20" a="1"/>
  <c r="K463" i="20" s="1"/>
  <c r="K464" i="20" a="1"/>
  <c r="K464" i="20" s="1"/>
  <c r="K465" i="20" a="1"/>
  <c r="K465" i="20" s="1"/>
  <c r="K466" i="20" a="1"/>
  <c r="K466" i="20"/>
  <c r="K467" i="20" a="1"/>
  <c r="K467" i="20" s="1"/>
  <c r="K468" i="20" a="1"/>
  <c r="K468" i="20" s="1"/>
  <c r="K469" i="20" a="1"/>
  <c r="K469" i="20" s="1"/>
  <c r="K470" i="20" a="1"/>
  <c r="K470" i="20" s="1"/>
  <c r="K471" i="20" a="1"/>
  <c r="K471" i="20" s="1"/>
  <c r="K472" i="20" a="1"/>
  <c r="K472" i="20" s="1"/>
  <c r="K473" i="20" a="1"/>
  <c r="K473" i="20" s="1"/>
  <c r="K474" i="20" a="1"/>
  <c r="K474" i="20"/>
  <c r="K475" i="20" a="1"/>
  <c r="K475" i="20" s="1"/>
  <c r="K476" i="20" a="1"/>
  <c r="K476" i="20" s="1"/>
  <c r="K477" i="20" a="1"/>
  <c r="K477" i="20" s="1"/>
  <c r="K478" i="20" a="1"/>
  <c r="K478" i="20" s="1"/>
  <c r="K479" i="20" a="1"/>
  <c r="K479" i="20" s="1"/>
  <c r="K480" i="20" a="1"/>
  <c r="K480" i="20" s="1"/>
  <c r="K481" i="20" a="1"/>
  <c r="K481" i="20" s="1"/>
  <c r="K482" i="20" a="1"/>
  <c r="K482" i="20"/>
  <c r="K483" i="20" a="1"/>
  <c r="K483" i="20" s="1"/>
  <c r="K484" i="20" a="1"/>
  <c r="K484" i="20" s="1"/>
  <c r="K485" i="20" a="1"/>
  <c r="K485" i="20" s="1"/>
  <c r="K486" i="20" a="1"/>
  <c r="K486" i="20" s="1"/>
  <c r="K487" i="20" a="1"/>
  <c r="K487" i="20" s="1"/>
  <c r="K488" i="20" a="1"/>
  <c r="K488" i="20" s="1"/>
  <c r="K489" i="20" a="1"/>
  <c r="K489" i="20" s="1"/>
  <c r="K490" i="20" a="1"/>
  <c r="K490" i="20" s="1"/>
  <c r="K491" i="20" a="1"/>
  <c r="K491" i="20" s="1"/>
  <c r="K492" i="20" a="1"/>
  <c r="K492" i="20" s="1"/>
  <c r="K493" i="20" a="1"/>
  <c r="K493" i="20" s="1"/>
  <c r="K494" i="20" a="1"/>
  <c r="K494" i="20" s="1"/>
  <c r="K495" i="20" a="1"/>
  <c r="K495" i="20" s="1"/>
  <c r="K496" i="20" a="1"/>
  <c r="K496" i="20" s="1"/>
  <c r="K497" i="20" a="1"/>
  <c r="K497" i="20" s="1"/>
  <c r="K498" i="20" a="1"/>
  <c r="K498" i="20"/>
  <c r="K499" i="20" a="1"/>
  <c r="K499" i="20" s="1"/>
  <c r="K500" i="20" a="1"/>
  <c r="K500" i="20" s="1"/>
  <c r="K501" i="20" a="1"/>
  <c r="K501" i="20" s="1"/>
  <c r="K502" i="20" a="1"/>
  <c r="K502" i="20" s="1"/>
  <c r="K503" i="20" a="1"/>
  <c r="K503" i="20" s="1"/>
  <c r="K504" i="20" a="1"/>
  <c r="K504" i="20" s="1"/>
  <c r="K505" i="20" a="1"/>
  <c r="K505" i="20" s="1"/>
  <c r="K506" i="20" a="1"/>
  <c r="K506" i="20"/>
  <c r="K507" i="20" a="1"/>
  <c r="K507" i="20" s="1"/>
  <c r="K508" i="20" a="1"/>
  <c r="K508" i="20" s="1"/>
  <c r="K509" i="20" a="1"/>
  <c r="K509" i="20" s="1"/>
  <c r="K510" i="20" a="1"/>
  <c r="K510" i="20" s="1"/>
  <c r="K511" i="20" a="1"/>
  <c r="K511" i="20" s="1"/>
  <c r="K512" i="20" a="1"/>
  <c r="K512" i="20" s="1"/>
  <c r="K513" i="20" a="1"/>
  <c r="K513" i="20" s="1"/>
  <c r="K514" i="20" a="1"/>
  <c r="K514" i="20"/>
  <c r="K515" i="20" a="1"/>
  <c r="K515" i="20" s="1"/>
  <c r="K516" i="20" a="1"/>
  <c r="K516" i="20" s="1"/>
  <c r="K517" i="20" a="1"/>
  <c r="K517" i="20" s="1"/>
  <c r="K518" i="20" a="1"/>
  <c r="K518" i="20" s="1"/>
  <c r="K519" i="20" a="1"/>
  <c r="K519" i="20" s="1"/>
  <c r="K520" i="20" a="1"/>
  <c r="K520" i="20" s="1"/>
  <c r="K521" i="20" a="1"/>
  <c r="K521" i="20" s="1"/>
  <c r="K522" i="20" a="1"/>
  <c r="K522" i="20" s="1"/>
  <c r="K523" i="20" a="1"/>
  <c r="K523" i="20" s="1"/>
  <c r="K524" i="20" a="1"/>
  <c r="K524" i="20" s="1"/>
  <c r="K525" i="20" a="1"/>
  <c r="K525" i="20" s="1"/>
  <c r="K526" i="20" a="1"/>
  <c r="K526" i="20" s="1"/>
  <c r="K527" i="20" a="1"/>
  <c r="K527" i="20" s="1"/>
  <c r="K528" i="20" a="1"/>
  <c r="K528" i="20" s="1"/>
  <c r="K529" i="20" a="1"/>
  <c r="K529" i="20" s="1"/>
  <c r="K530" i="20" a="1"/>
  <c r="K530" i="20"/>
  <c r="K531" i="20" a="1"/>
  <c r="K531" i="20" s="1"/>
  <c r="K532" i="20" a="1"/>
  <c r="K532" i="20" s="1"/>
  <c r="K533" i="20" a="1"/>
  <c r="K533" i="20" s="1"/>
  <c r="K534" i="20" a="1"/>
  <c r="K534" i="20" s="1"/>
  <c r="K535" i="20" a="1"/>
  <c r="K535" i="20" s="1"/>
  <c r="K536" i="20" a="1"/>
  <c r="K536" i="20" s="1"/>
  <c r="K537" i="20" a="1"/>
  <c r="K537" i="20" s="1"/>
  <c r="K538" i="20" a="1"/>
  <c r="K538" i="20"/>
  <c r="K539" i="20" a="1"/>
  <c r="K539" i="20" s="1"/>
  <c r="K540" i="20" a="1"/>
  <c r="K540" i="20" s="1"/>
  <c r="K541" i="20" a="1"/>
  <c r="K541" i="20" s="1"/>
  <c r="K542" i="20" a="1"/>
  <c r="K542" i="20" s="1"/>
  <c r="K543" i="20" a="1"/>
  <c r="K543" i="20" s="1"/>
  <c r="K544" i="20" a="1"/>
  <c r="K544" i="20" s="1"/>
  <c r="K545" i="20" a="1"/>
  <c r="K545" i="20" s="1"/>
  <c r="K546" i="20" a="1"/>
  <c r="K546" i="20"/>
  <c r="K547" i="20" a="1"/>
  <c r="K547" i="20" s="1"/>
  <c r="K548" i="20" a="1"/>
  <c r="K548" i="20" s="1"/>
  <c r="K549" i="20" a="1"/>
  <c r="K549" i="20" s="1"/>
  <c r="K550" i="20" a="1"/>
  <c r="K550" i="20" s="1"/>
  <c r="K551" i="20" a="1"/>
  <c r="K551" i="20" s="1"/>
  <c r="K552" i="20" a="1"/>
  <c r="K552" i="20" s="1"/>
  <c r="K553" i="20" a="1"/>
  <c r="K553" i="20" s="1"/>
  <c r="K554" i="20" a="1"/>
  <c r="K554" i="20" s="1"/>
  <c r="K555" i="20" a="1"/>
  <c r="K555" i="20" s="1"/>
  <c r="K556" i="20" a="1"/>
  <c r="K556" i="20" s="1"/>
  <c r="K557" i="20" a="1"/>
  <c r="K557" i="20" s="1"/>
  <c r="K558" i="20" a="1"/>
  <c r="K558" i="20" s="1"/>
  <c r="K559" i="20" a="1"/>
  <c r="K559" i="20" s="1"/>
  <c r="K560" i="20" a="1"/>
  <c r="K560" i="20" s="1"/>
  <c r="K561" i="20" a="1"/>
  <c r="K561" i="20" s="1"/>
  <c r="K562" i="20" a="1"/>
  <c r="K562" i="20" s="1"/>
  <c r="K563" i="20" a="1"/>
  <c r="K563" i="20" s="1"/>
  <c r="K564" i="20" a="1"/>
  <c r="K564" i="20" s="1"/>
  <c r="K565" i="20" a="1"/>
  <c r="K565" i="20" s="1"/>
  <c r="K566" i="20" a="1"/>
  <c r="K566" i="20" s="1"/>
  <c r="K567" i="20" a="1"/>
  <c r="K567" i="20" s="1"/>
  <c r="K568" i="20" a="1"/>
  <c r="K568" i="20" s="1"/>
  <c r="K569" i="20" a="1"/>
  <c r="K569" i="20" s="1"/>
  <c r="K570" i="20" a="1"/>
  <c r="K570" i="20"/>
  <c r="K571" i="20" a="1"/>
  <c r="K571" i="20" s="1"/>
  <c r="K572" i="20" a="1"/>
  <c r="K572" i="20" s="1"/>
  <c r="K573" i="20" a="1"/>
  <c r="K573" i="20" s="1"/>
  <c r="K574" i="20" a="1"/>
  <c r="K574" i="20" s="1"/>
  <c r="K575" i="20" a="1"/>
  <c r="K575" i="20" s="1"/>
  <c r="K576" i="20" a="1"/>
  <c r="K576" i="20" s="1"/>
  <c r="K577" i="20" a="1"/>
  <c r="K577" i="20" s="1"/>
  <c r="K578" i="20" a="1"/>
  <c r="K578" i="20"/>
  <c r="K579" i="20" a="1"/>
  <c r="K579" i="20" s="1"/>
  <c r="K580" i="20" a="1"/>
  <c r="K580" i="20" s="1"/>
  <c r="K581" i="20" a="1"/>
  <c r="K581" i="20" s="1"/>
  <c r="K582" i="20" a="1"/>
  <c r="K582" i="20" s="1"/>
  <c r="K583" i="20" a="1"/>
  <c r="K583" i="20" s="1"/>
  <c r="K584" i="20" a="1"/>
  <c r="K584" i="20" s="1"/>
  <c r="K585" i="20" a="1"/>
  <c r="K585" i="20" s="1"/>
  <c r="K586" i="20" a="1"/>
  <c r="K586" i="20" s="1"/>
  <c r="K587" i="20" a="1"/>
  <c r="K587" i="20" s="1"/>
  <c r="K588" i="20" a="1"/>
  <c r="K588" i="20" s="1"/>
  <c r="K589" i="20" a="1"/>
  <c r="K589" i="20" s="1"/>
  <c r="K590" i="20" a="1"/>
  <c r="K590" i="20" s="1"/>
  <c r="K591" i="20" a="1"/>
  <c r="K591" i="20" s="1"/>
  <c r="K592" i="20" a="1"/>
  <c r="K592" i="20" s="1"/>
  <c r="K593" i="20" a="1"/>
  <c r="K593" i="20" s="1"/>
  <c r="K594" i="20" a="1"/>
  <c r="K594" i="20" s="1"/>
  <c r="K595" i="20" a="1"/>
  <c r="K595" i="20" s="1"/>
  <c r="K596" i="20" a="1"/>
  <c r="K596" i="20" s="1"/>
  <c r="K597" i="20" a="1"/>
  <c r="K597" i="20" s="1"/>
  <c r="K598" i="20" a="1"/>
  <c r="K598" i="20" s="1"/>
  <c r="K599" i="20" a="1"/>
  <c r="K599" i="20" s="1"/>
  <c r="K600" i="20" a="1"/>
  <c r="K600" i="20" s="1"/>
  <c r="K601" i="20" a="1"/>
  <c r="K601" i="20" s="1"/>
  <c r="K602" i="20" a="1"/>
  <c r="K602" i="20"/>
  <c r="K603" i="20" a="1"/>
  <c r="K603" i="20" s="1"/>
  <c r="K604" i="20" a="1"/>
  <c r="K604" i="20" s="1"/>
  <c r="K605" i="20" a="1"/>
  <c r="K605" i="20" s="1"/>
  <c r="K606" i="20" a="1"/>
  <c r="K606" i="20" s="1"/>
  <c r="K607" i="20" a="1"/>
  <c r="K607" i="20" s="1"/>
  <c r="K608" i="20" a="1"/>
  <c r="K608" i="20" s="1"/>
  <c r="K609" i="20" a="1"/>
  <c r="K609" i="20" s="1"/>
  <c r="K610" i="20" a="1"/>
  <c r="K610" i="20"/>
  <c r="K611" i="20" a="1"/>
  <c r="K611" i="20" s="1"/>
  <c r="K612" i="20" a="1"/>
  <c r="K612" i="20" s="1"/>
  <c r="K613" i="20" a="1"/>
  <c r="K613" i="20" s="1"/>
  <c r="K614" i="20" a="1"/>
  <c r="K614" i="20" s="1"/>
  <c r="K615" i="20" a="1"/>
  <c r="K615" i="20" s="1"/>
  <c r="K616" i="20" a="1"/>
  <c r="K616" i="20" s="1"/>
  <c r="K617" i="20" a="1"/>
  <c r="K617" i="20" s="1"/>
  <c r="K618" i="20" a="1"/>
  <c r="K618" i="20" s="1"/>
  <c r="K619" i="20" a="1"/>
  <c r="K619" i="20" s="1"/>
  <c r="K620" i="20" a="1"/>
  <c r="K620" i="20" s="1"/>
  <c r="K621" i="20" a="1"/>
  <c r="K621" i="20" s="1"/>
  <c r="K622" i="20" a="1"/>
  <c r="K622" i="20"/>
  <c r="K623" i="20" a="1"/>
  <c r="K623" i="20" s="1"/>
  <c r="K624" i="20" a="1"/>
  <c r="K624" i="20" s="1"/>
  <c r="K625" i="20" a="1"/>
  <c r="K625" i="20" s="1"/>
  <c r="K626" i="20" a="1"/>
  <c r="K626" i="20"/>
  <c r="K627" i="20" a="1"/>
  <c r="K627" i="20" s="1"/>
  <c r="K628" i="20" a="1"/>
  <c r="K628" i="20" s="1"/>
  <c r="K629" i="20" a="1"/>
  <c r="K629" i="20" s="1"/>
  <c r="K630" i="20" a="1"/>
  <c r="K630" i="20" s="1"/>
  <c r="K631" i="20" a="1"/>
  <c r="K631" i="20" s="1"/>
  <c r="K632" i="20" a="1"/>
  <c r="K632" i="20" s="1"/>
  <c r="K633" i="20" a="1"/>
  <c r="K633" i="20" s="1"/>
  <c r="K634" i="20" a="1"/>
  <c r="K634" i="20" s="1"/>
  <c r="K635" i="20" a="1"/>
  <c r="K635" i="20" s="1"/>
  <c r="K636" i="20" a="1"/>
  <c r="K636" i="20" s="1"/>
  <c r="K637" i="20" a="1"/>
  <c r="K637" i="20" s="1"/>
  <c r="K638" i="20" a="1"/>
  <c r="K638" i="20"/>
  <c r="K639" i="20" a="1"/>
  <c r="K639" i="20" s="1"/>
  <c r="K640" i="20" a="1"/>
  <c r="K640" i="20" s="1"/>
  <c r="K641" i="20" a="1"/>
  <c r="K641" i="20" s="1"/>
  <c r="K642" i="20" a="1"/>
  <c r="K642" i="20"/>
  <c r="K643" i="20" a="1"/>
  <c r="K643" i="20" s="1"/>
  <c r="K644" i="20" a="1"/>
  <c r="K644" i="20" s="1"/>
  <c r="K645" i="20" a="1"/>
  <c r="K645" i="20" s="1"/>
  <c r="K646" i="20" a="1"/>
  <c r="K646" i="20" s="1"/>
  <c r="K647" i="20" a="1"/>
  <c r="K647" i="20" s="1"/>
  <c r="K648" i="20" a="1"/>
  <c r="K648" i="20" s="1"/>
  <c r="K649" i="20" a="1"/>
  <c r="K649" i="20" s="1"/>
  <c r="K650" i="20" a="1"/>
  <c r="K650" i="20" s="1"/>
  <c r="K651" i="20" a="1"/>
  <c r="K651" i="20" s="1"/>
  <c r="K652" i="20" a="1"/>
  <c r="K652" i="20" s="1"/>
  <c r="K653" i="20" a="1"/>
  <c r="K653" i="20" s="1"/>
  <c r="K654" i="20" a="1"/>
  <c r="K654" i="20"/>
  <c r="K655" i="20" a="1"/>
  <c r="K655" i="20" s="1"/>
  <c r="K656" i="20" a="1"/>
  <c r="K656" i="20" s="1"/>
  <c r="K657" i="20" a="1"/>
  <c r="K657" i="20" s="1"/>
  <c r="K658" i="20" a="1"/>
  <c r="K658" i="20"/>
  <c r="K659" i="20" a="1"/>
  <c r="K659" i="20" s="1"/>
  <c r="K660" i="20" a="1"/>
  <c r="K660" i="20" s="1"/>
  <c r="K661" i="20" a="1"/>
  <c r="K661" i="20" s="1"/>
  <c r="K662" i="20" a="1"/>
  <c r="K662" i="20" s="1"/>
  <c r="K663" i="20" a="1"/>
  <c r="K663" i="20" s="1"/>
  <c r="K664" i="20" a="1"/>
  <c r="K664" i="20" s="1"/>
  <c r="K665" i="20" a="1"/>
  <c r="K665" i="20" s="1"/>
  <c r="K666" i="20" a="1"/>
  <c r="K666" i="20" s="1"/>
  <c r="K667" i="20" a="1"/>
  <c r="K667" i="20" s="1"/>
  <c r="K668" i="20" a="1"/>
  <c r="K668" i="20" s="1"/>
  <c r="K669" i="20" a="1"/>
  <c r="K669" i="20" s="1"/>
  <c r="K670" i="20" a="1"/>
  <c r="K670" i="20"/>
  <c r="K671" i="20" a="1"/>
  <c r="K671" i="20" s="1"/>
  <c r="K672" i="20" a="1"/>
  <c r="K672" i="20" s="1"/>
  <c r="K673" i="20" a="1"/>
  <c r="K673" i="20" s="1"/>
  <c r="K674" i="20" a="1"/>
  <c r="K674" i="20"/>
  <c r="K675" i="20" a="1"/>
  <c r="K675" i="20" s="1"/>
  <c r="K676" i="20" a="1"/>
  <c r="K676" i="20" s="1"/>
  <c r="K677" i="20" a="1"/>
  <c r="K677" i="20" s="1"/>
  <c r="K678" i="20" a="1"/>
  <c r="K678" i="20" s="1"/>
  <c r="K679" i="20" a="1"/>
  <c r="K679" i="20" s="1"/>
  <c r="K680" i="20" a="1"/>
  <c r="K680" i="20" s="1"/>
  <c r="K681" i="20" a="1"/>
  <c r="K681" i="20" s="1"/>
  <c r="K682" i="20" a="1"/>
  <c r="K682" i="20" s="1"/>
  <c r="K683" i="20" a="1"/>
  <c r="K683" i="20" s="1"/>
  <c r="K684" i="20" a="1"/>
  <c r="K684" i="20" s="1"/>
  <c r="K685" i="20" a="1"/>
  <c r="K685" i="20" s="1"/>
  <c r="K686" i="20" a="1"/>
  <c r="K686" i="20"/>
  <c r="K687" i="20" a="1"/>
  <c r="K687" i="20" s="1"/>
  <c r="K688" i="20" a="1"/>
  <c r="K688" i="20" s="1"/>
  <c r="K689" i="20" a="1"/>
  <c r="K689" i="20" s="1"/>
  <c r="K690" i="20" a="1"/>
  <c r="K690" i="20"/>
  <c r="K691" i="20" a="1"/>
  <c r="K691" i="20" s="1"/>
  <c r="K692" i="20" a="1"/>
  <c r="K692" i="20" s="1"/>
  <c r="K693" i="20" a="1"/>
  <c r="K693" i="20" s="1"/>
  <c r="K694" i="20" a="1"/>
  <c r="K694" i="20" s="1"/>
  <c r="K695" i="20" a="1"/>
  <c r="K695" i="20" s="1"/>
  <c r="K696" i="20" a="1"/>
  <c r="K696" i="20" s="1"/>
  <c r="K697" i="20" a="1"/>
  <c r="K697" i="20" s="1"/>
  <c r="K698" i="20" a="1"/>
  <c r="K698" i="20" s="1"/>
  <c r="K699" i="20" a="1"/>
  <c r="K699" i="20" s="1"/>
  <c r="K700" i="20" a="1"/>
  <c r="K700" i="20" s="1"/>
  <c r="K701" i="20" a="1"/>
  <c r="K701" i="20" s="1"/>
  <c r="K702" i="20" a="1"/>
  <c r="K702" i="20" s="1"/>
  <c r="K703" i="20" a="1"/>
  <c r="K703" i="20" s="1"/>
  <c r="K704" i="20" a="1"/>
  <c r="K704" i="20" s="1"/>
  <c r="K705" i="20" a="1"/>
  <c r="K705" i="20" s="1"/>
  <c r="K706" i="20" a="1"/>
  <c r="K706" i="20"/>
  <c r="K707" i="20" a="1"/>
  <c r="K707" i="20" s="1"/>
  <c r="K708" i="20" a="1"/>
  <c r="K708" i="20" s="1"/>
  <c r="K709" i="20" a="1"/>
  <c r="K709" i="20" s="1"/>
  <c r="K710" i="20" a="1"/>
  <c r="K710" i="20" s="1"/>
  <c r="K711" i="20" a="1"/>
  <c r="K711" i="20" s="1"/>
  <c r="K712" i="20" a="1"/>
  <c r="K712" i="20" s="1"/>
  <c r="K713" i="20" a="1"/>
  <c r="K713" i="20" s="1"/>
  <c r="K714" i="20" a="1"/>
  <c r="K714" i="20"/>
  <c r="K715" i="20" a="1"/>
  <c r="K715" i="20" s="1"/>
  <c r="K716" i="20" a="1"/>
  <c r="K716" i="20" s="1"/>
  <c r="K717" i="20" a="1"/>
  <c r="K717" i="20" s="1"/>
  <c r="K718" i="20" a="1"/>
  <c r="K718" i="20" s="1"/>
  <c r="K719" i="20" a="1"/>
  <c r="K719" i="20" s="1"/>
  <c r="K720" i="20" a="1"/>
  <c r="K720" i="20" s="1"/>
  <c r="K721" i="20" a="1"/>
  <c r="K721" i="20" s="1"/>
  <c r="K722" i="20" a="1"/>
  <c r="K722" i="20" s="1"/>
  <c r="K723" i="20" a="1"/>
  <c r="K723" i="20" s="1"/>
  <c r="K724" i="20" a="1"/>
  <c r="K724" i="20" s="1"/>
  <c r="K725" i="20" a="1"/>
  <c r="K725" i="20" s="1"/>
  <c r="K726" i="20" a="1"/>
  <c r="K726" i="20" s="1"/>
  <c r="K727" i="20" a="1"/>
  <c r="K727" i="20" s="1"/>
  <c r="K728" i="20" a="1"/>
  <c r="K728" i="20" s="1"/>
  <c r="K729" i="20" a="1"/>
  <c r="K729" i="20" s="1"/>
  <c r="K730" i="20" a="1"/>
  <c r="K730" i="20" s="1"/>
  <c r="K731" i="20" a="1"/>
  <c r="K731" i="20" s="1"/>
  <c r="K732" i="20" a="1"/>
  <c r="K732" i="20" s="1"/>
  <c r="K733" i="20" a="1"/>
  <c r="K733" i="20" s="1"/>
  <c r="K734" i="20" a="1"/>
  <c r="K734" i="20" s="1"/>
  <c r="K735" i="20" a="1"/>
  <c r="K735" i="20" s="1"/>
  <c r="K736" i="20" a="1"/>
  <c r="K736" i="20" s="1"/>
  <c r="K737" i="20" a="1"/>
  <c r="K737" i="20" s="1"/>
  <c r="K738" i="20" a="1"/>
  <c r="K738" i="20"/>
  <c r="K739" i="20" a="1"/>
  <c r="K739" i="20" s="1"/>
  <c r="K740" i="20" a="1"/>
  <c r="K740" i="20" s="1"/>
  <c r="K741" i="20" a="1"/>
  <c r="K741" i="20" s="1"/>
  <c r="K742" i="20" a="1"/>
  <c r="K742" i="20" s="1"/>
  <c r="K743" i="20" a="1"/>
  <c r="K743" i="20" s="1"/>
  <c r="K744" i="20" a="1"/>
  <c r="K744" i="20" s="1"/>
  <c r="K745" i="20" a="1"/>
  <c r="K745" i="20" s="1"/>
  <c r="K746" i="20" a="1"/>
  <c r="K746" i="20"/>
  <c r="K747" i="20" a="1"/>
  <c r="K747" i="20" s="1"/>
  <c r="K748" i="20" a="1"/>
  <c r="K748" i="20" s="1"/>
  <c r="K749" i="20" a="1"/>
  <c r="K749" i="20" s="1"/>
  <c r="K750" i="20" a="1"/>
  <c r="K750" i="20" s="1"/>
  <c r="K751" i="20" a="1"/>
  <c r="K751" i="20" s="1"/>
  <c r="K752" i="20" a="1"/>
  <c r="K752" i="20" s="1"/>
  <c r="K753" i="20" a="1"/>
  <c r="K753" i="20" s="1"/>
  <c r="K754" i="20" a="1"/>
  <c r="K754" i="20" s="1"/>
  <c r="K755" i="20" a="1"/>
  <c r="K755" i="20" s="1"/>
  <c r="K756" i="20" a="1"/>
  <c r="K756" i="20" s="1"/>
  <c r="K757" i="20" a="1"/>
  <c r="K757" i="20" s="1"/>
  <c r="K758" i="20" a="1"/>
  <c r="K758" i="20" s="1"/>
  <c r="K759" i="20" a="1"/>
  <c r="K759" i="20" s="1"/>
  <c r="K760" i="20" a="1"/>
  <c r="K760" i="20" s="1"/>
  <c r="K761" i="20" a="1"/>
  <c r="K761" i="20" s="1"/>
  <c r="K762" i="20" a="1"/>
  <c r="K762" i="20" s="1"/>
  <c r="K763" i="20" a="1"/>
  <c r="K763" i="20" s="1"/>
  <c r="K764" i="20" a="1"/>
  <c r="K764" i="20" s="1"/>
  <c r="K765" i="20" a="1"/>
  <c r="K765" i="20" s="1"/>
  <c r="K766" i="20" a="1"/>
  <c r="K766" i="20"/>
  <c r="K767" i="20" a="1"/>
  <c r="K767" i="20" s="1"/>
  <c r="K768" i="20" a="1"/>
  <c r="K768" i="20" s="1"/>
  <c r="K769" i="20" a="1"/>
  <c r="K769" i="20" s="1"/>
  <c r="K770" i="20" a="1"/>
  <c r="K770" i="20"/>
  <c r="K771" i="20" a="1"/>
  <c r="K771" i="20" s="1"/>
  <c r="K772" i="20" a="1"/>
  <c r="K772" i="20" s="1"/>
  <c r="K773" i="20" a="1"/>
  <c r="K773" i="20" s="1"/>
  <c r="K774" i="20" a="1"/>
  <c r="K774" i="20" s="1"/>
  <c r="K775" i="20" a="1"/>
  <c r="K775" i="20" s="1"/>
  <c r="K776" i="20" a="1"/>
  <c r="K776" i="20" s="1"/>
  <c r="K777" i="20" a="1"/>
  <c r="K777" i="20" s="1"/>
  <c r="K778" i="20" a="1"/>
  <c r="K778" i="20" s="1"/>
  <c r="K779" i="20" a="1"/>
  <c r="K779" i="20" s="1"/>
  <c r="K780" i="20" a="1"/>
  <c r="K780" i="20" s="1"/>
  <c r="K781" i="20" a="1"/>
  <c r="K781" i="20" s="1"/>
  <c r="K782" i="20" a="1"/>
  <c r="K782" i="20" s="1"/>
  <c r="K783" i="20" a="1"/>
  <c r="K783" i="20" s="1"/>
  <c r="K784" i="20" a="1"/>
  <c r="K784" i="20" s="1"/>
  <c r="K785" i="20" a="1"/>
  <c r="K785" i="20" s="1"/>
  <c r="K786" i="20" a="1"/>
  <c r="K786" i="20"/>
  <c r="K787" i="20" a="1"/>
  <c r="K787" i="20" s="1"/>
  <c r="K788" i="20" a="1"/>
  <c r="K788" i="20" s="1"/>
  <c r="K789" i="20" a="1"/>
  <c r="K789" i="20" s="1"/>
  <c r="K790" i="20" a="1"/>
  <c r="K790" i="20" s="1"/>
  <c r="K791" i="20" a="1"/>
  <c r="K791" i="20" s="1"/>
  <c r="K792" i="20" a="1"/>
  <c r="K792" i="20" s="1"/>
  <c r="K793" i="20" a="1"/>
  <c r="K793" i="20" s="1"/>
  <c r="K794" i="20" a="1"/>
  <c r="K794" i="20"/>
  <c r="K795" i="20" a="1"/>
  <c r="K795" i="20" s="1"/>
  <c r="K796" i="20" a="1"/>
  <c r="K796" i="20" s="1"/>
  <c r="K797" i="20" a="1"/>
  <c r="K797" i="20" s="1"/>
  <c r="K798" i="20" a="1"/>
  <c r="K798" i="20" s="1"/>
  <c r="K799" i="20" a="1"/>
  <c r="K799" i="20" s="1"/>
  <c r="K800" i="20" a="1"/>
  <c r="K800" i="20" s="1"/>
  <c r="K801" i="20" a="1"/>
  <c r="K801" i="20" s="1"/>
  <c r="K802" i="20" a="1"/>
  <c r="K802" i="20" s="1"/>
  <c r="K803" i="20" a="1"/>
  <c r="K803" i="20" s="1"/>
  <c r="K804" i="20" a="1"/>
  <c r="K804" i="20" s="1"/>
  <c r="K805" i="20" a="1"/>
  <c r="K805" i="20" s="1"/>
  <c r="K806" i="20" a="1"/>
  <c r="K806" i="20" s="1"/>
  <c r="K807" i="20" a="1"/>
  <c r="K807" i="20" s="1"/>
  <c r="K808" i="20" a="1"/>
  <c r="K808" i="20" s="1"/>
  <c r="K809" i="20" a="1"/>
  <c r="K809" i="20" s="1"/>
  <c r="K810" i="20" a="1"/>
  <c r="K810" i="20" s="1"/>
  <c r="K811" i="20" a="1"/>
  <c r="K811" i="20" s="1"/>
  <c r="K812" i="20" a="1"/>
  <c r="K812" i="20" s="1"/>
  <c r="K813" i="20" a="1"/>
  <c r="K813" i="20" s="1"/>
  <c r="K814" i="20" a="1"/>
  <c r="K814" i="20" s="1"/>
  <c r="K815" i="20" a="1"/>
  <c r="K815" i="20" s="1"/>
  <c r="K816" i="20" a="1"/>
  <c r="K816" i="20" s="1"/>
  <c r="K817" i="20" a="1"/>
  <c r="K817" i="20" s="1"/>
  <c r="K818" i="20" a="1"/>
  <c r="K818" i="20"/>
  <c r="K819" i="20" a="1"/>
  <c r="K819" i="20" s="1"/>
  <c r="K820" i="20" a="1"/>
  <c r="K820" i="20" s="1"/>
  <c r="K821" i="20" a="1"/>
  <c r="K821" i="20" s="1"/>
  <c r="K822" i="20" a="1"/>
  <c r="K822" i="20" s="1"/>
  <c r="K823" i="20" a="1"/>
  <c r="K823" i="20" s="1"/>
  <c r="K824" i="20" a="1"/>
  <c r="K824" i="20" s="1"/>
  <c r="K825" i="20" a="1"/>
  <c r="K825" i="20" s="1"/>
  <c r="K826" i="20" a="1"/>
  <c r="K826" i="20"/>
  <c r="K827" i="20" a="1"/>
  <c r="K827" i="20" s="1"/>
  <c r="K828" i="20" a="1"/>
  <c r="K828" i="20"/>
  <c r="K829" i="20" a="1"/>
  <c r="K829" i="20" s="1"/>
  <c r="K830" i="20" a="1"/>
  <c r="K830" i="20" s="1"/>
  <c r="K831" i="20" a="1"/>
  <c r="K831" i="20" s="1"/>
  <c r="K832" i="20" a="1"/>
  <c r="K832" i="20" s="1"/>
  <c r="K833" i="20" a="1"/>
  <c r="K833" i="20" s="1"/>
  <c r="K834" i="20" a="1"/>
  <c r="K834" i="20" s="1"/>
  <c r="K835" i="20" a="1"/>
  <c r="K835" i="20" s="1"/>
  <c r="K836" i="20" a="1"/>
  <c r="K836" i="20" s="1"/>
  <c r="K837" i="20" a="1"/>
  <c r="K837" i="20" s="1"/>
  <c r="K838" i="20" a="1"/>
  <c r="K838" i="20"/>
  <c r="K839" i="20" a="1"/>
  <c r="K839" i="20" s="1"/>
  <c r="K840" i="20" a="1"/>
  <c r="K840" i="20" s="1"/>
  <c r="K841" i="20" a="1"/>
  <c r="K841" i="20" s="1"/>
  <c r="K842" i="20" a="1"/>
  <c r="K842" i="20" s="1"/>
  <c r="K843" i="20" a="1"/>
  <c r="K843" i="20" s="1"/>
  <c r="K844" i="20" a="1"/>
  <c r="K844" i="20" s="1"/>
  <c r="K845" i="20" a="1"/>
  <c r="K845" i="20" s="1"/>
  <c r="K846" i="20" a="1"/>
  <c r="K846" i="20"/>
  <c r="K847" i="20" a="1"/>
  <c r="K847" i="20" s="1"/>
  <c r="K848" i="20" a="1"/>
  <c r="K848" i="20" s="1"/>
  <c r="K849" i="20" a="1"/>
  <c r="K849" i="20" s="1"/>
  <c r="K850" i="20" a="1"/>
  <c r="K850" i="20" s="1"/>
  <c r="K851" i="20" a="1"/>
  <c r="K8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/>
  <c r="L85" i="20" a="1"/>
  <c r="L85" i="20" s="1"/>
  <c r="L86" i="20" a="1"/>
  <c r="L86" i="20" s="1"/>
  <c r="L87" i="20" a="1"/>
  <c r="L87" i="20" s="1"/>
  <c r="L88" i="20" a="1"/>
  <c r="L88" i="20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/>
  <c r="L101" i="20" a="1"/>
  <c r="L101" i="20" s="1"/>
  <c r="L102" i="20" a="1"/>
  <c r="L102" i="20" s="1"/>
  <c r="L103" i="20" a="1"/>
  <c r="L103" i="20" s="1"/>
  <c r="L104" i="20" a="1"/>
  <c r="L104" i="20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/>
  <c r="L117" i="20" a="1"/>
  <c r="L117" i="20" s="1"/>
  <c r="L118" i="20" a="1"/>
  <c r="L118" i="20" s="1"/>
  <c r="L119" i="20" a="1"/>
  <c r="L119" i="20" s="1"/>
  <c r="L120" i="20" a="1"/>
  <c r="L120" i="20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 s="1"/>
  <c r="L288" i="20" a="1"/>
  <c r="L288" i="20"/>
  <c r="L289" i="20" a="1"/>
  <c r="L289" i="20" s="1"/>
  <c r="L290" i="20" a="1"/>
  <c r="L290" i="20" s="1"/>
  <c r="L291" i="20" a="1"/>
  <c r="L291" i="20" s="1"/>
  <c r="L292" i="20" a="1"/>
  <c r="L292" i="20" s="1"/>
  <c r="L293" i="20" a="1"/>
  <c r="L293" i="20" s="1"/>
  <c r="L294" i="20" a="1"/>
  <c r="L294" i="20" s="1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 s="1"/>
  <c r="L300" i="20" a="1"/>
  <c r="L300" i="20" s="1"/>
  <c r="L301" i="20" a="1"/>
  <c r="L301" i="20" s="1"/>
  <c r="L302" i="20" a="1"/>
  <c r="L302" i="20" s="1"/>
  <c r="L303" i="20" a="1"/>
  <c r="L303" i="20" s="1"/>
  <c r="L304" i="20" a="1"/>
  <c r="L304" i="20"/>
  <c r="L305" i="20" a="1"/>
  <c r="L305" i="20" s="1"/>
  <c r="L306" i="20" a="1"/>
  <c r="L306" i="20" s="1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 s="1"/>
  <c r="L312" i="20" a="1"/>
  <c r="L312" i="20" s="1"/>
  <c r="L313" i="20" a="1"/>
  <c r="L313" i="20" s="1"/>
  <c r="L314" i="20" a="1"/>
  <c r="L314" i="20" s="1"/>
  <c r="L315" i="20" a="1"/>
  <c r="L315" i="20" s="1"/>
  <c r="L316" i="20" a="1"/>
  <c r="L316" i="20" s="1"/>
  <c r="L317" i="20" a="1"/>
  <c r="L317" i="20" s="1"/>
  <c r="L318" i="20" a="1"/>
  <c r="L318" i="20" s="1"/>
  <c r="L319" i="20" a="1"/>
  <c r="L319" i="20" s="1"/>
  <c r="L320" i="20" a="1"/>
  <c r="L320" i="20"/>
  <c r="L321" i="20" a="1"/>
  <c r="L321" i="20" s="1"/>
  <c r="L322" i="20" a="1"/>
  <c r="L322" i="20" s="1"/>
  <c r="L323" i="20" a="1"/>
  <c r="L323" i="20" s="1"/>
  <c r="L324" i="20" a="1"/>
  <c r="L324" i="20" s="1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 s="1"/>
  <c r="L334" i="20" a="1"/>
  <c r="L334" i="20" s="1"/>
  <c r="L335" i="20" a="1"/>
  <c r="L335" i="20" s="1"/>
  <c r="L336" i="20" a="1"/>
  <c r="L336" i="20"/>
  <c r="L337" i="20" a="1"/>
  <c r="L337" i="20" s="1"/>
  <c r="L338" i="20" a="1"/>
  <c r="L338" i="20" s="1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 s="1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/>
  <c r="L353" i="20" a="1"/>
  <c r="L353" i="20" s="1"/>
  <c r="L354" i="20" a="1"/>
  <c r="L354" i="20" s="1"/>
  <c r="L355" i="20" a="1"/>
  <c r="L355" i="20" s="1"/>
  <c r="L356" i="20" a="1"/>
  <c r="L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 s="1"/>
  <c r="L365" i="20" a="1"/>
  <c r="L365" i="20" s="1"/>
  <c r="L366" i="20" a="1"/>
  <c r="L366" i="20" s="1"/>
  <c r="L367" i="20" a="1"/>
  <c r="L367" i="20" s="1"/>
  <c r="L368" i="20" a="1"/>
  <c r="L368" i="20"/>
  <c r="L369" i="20" a="1"/>
  <c r="L369" i="20" s="1"/>
  <c r="L370" i="20" a="1"/>
  <c r="L370" i="20" s="1"/>
  <c r="L371" i="20" a="1"/>
  <c r="L371" i="20" s="1"/>
  <c r="L372" i="20" a="1"/>
  <c r="L372" i="20" s="1"/>
  <c r="L373" i="20" a="1"/>
  <c r="L373" i="20" s="1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 s="1"/>
  <c r="L379" i="20" a="1"/>
  <c r="L379" i="20" s="1"/>
  <c r="L380" i="20" a="1"/>
  <c r="L380" i="20" s="1"/>
  <c r="L381" i="20" a="1"/>
  <c r="L381" i="20" s="1"/>
  <c r="L382" i="20" a="1"/>
  <c r="L382" i="20" s="1"/>
  <c r="L383" i="20" a="1"/>
  <c r="L383" i="20" s="1"/>
  <c r="L384" i="20" a="1"/>
  <c r="L384" i="20"/>
  <c r="L385" i="20" a="1"/>
  <c r="L385" i="20" s="1"/>
  <c r="L386" i="20" a="1"/>
  <c r="L386" i="20" s="1"/>
  <c r="L387" i="20" a="1"/>
  <c r="L387" i="20" s="1"/>
  <c r="L388" i="20" a="1"/>
  <c r="L388" i="20" s="1"/>
  <c r="L389" i="20" a="1"/>
  <c r="L389" i="20" s="1"/>
  <c r="L390" i="20" a="1"/>
  <c r="L390" i="20" s="1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 s="1"/>
  <c r="L396" i="20" a="1"/>
  <c r="L396" i="20" s="1"/>
  <c r="L397" i="20" a="1"/>
  <c r="L397" i="20" s="1"/>
  <c r="L398" i="20" a="1"/>
  <c r="L398" i="20" s="1"/>
  <c r="L399" i="20" a="1"/>
  <c r="L399" i="20" s="1"/>
  <c r="L400" i="20" a="1"/>
  <c r="L400" i="20"/>
  <c r="L401" i="20" a="1"/>
  <c r="L401" i="20" s="1"/>
  <c r="L402" i="20" a="1"/>
  <c r="L402" i="20" s="1"/>
  <c r="L403" i="20" a="1"/>
  <c r="L403" i="20" s="1"/>
  <c r="L404" i="20" a="1"/>
  <c r="L404" i="20" s="1"/>
  <c r="L405" i="20" a="1"/>
  <c r="L405" i="20" s="1"/>
  <c r="L406" i="20" a="1"/>
  <c r="L406" i="20" s="1"/>
  <c r="L407" i="20" a="1"/>
  <c r="L407" i="20" s="1"/>
  <c r="L408" i="20" a="1"/>
  <c r="L408" i="20" s="1"/>
  <c r="L409" i="20" a="1"/>
  <c r="L409" i="20" s="1"/>
  <c r="L410" i="20" a="1"/>
  <c r="L410" i="20" s="1"/>
  <c r="L411" i="20" a="1"/>
  <c r="L411" i="20" s="1"/>
  <c r="L412" i="20" a="1"/>
  <c r="L412" i="20" s="1"/>
  <c r="L413" i="20" a="1"/>
  <c r="L413" i="20" s="1"/>
  <c r="L414" i="20" a="1"/>
  <c r="L414" i="20" s="1"/>
  <c r="L415" i="20" a="1"/>
  <c r="L415" i="20" s="1"/>
  <c r="L416" i="20" a="1"/>
  <c r="L416" i="20" s="1"/>
  <c r="L417" i="20" a="1"/>
  <c r="L417" i="20" s="1"/>
  <c r="L418" i="20" a="1"/>
  <c r="L418" i="20" s="1"/>
  <c r="L419" i="20" a="1"/>
  <c r="L419" i="20" s="1"/>
  <c r="L420" i="20" a="1"/>
  <c r="L420" i="20" s="1"/>
  <c r="L421" i="20" a="1"/>
  <c r="L421" i="20" s="1"/>
  <c r="L422" i="20" a="1"/>
  <c r="L422" i="20" s="1"/>
  <c r="L423" i="20" a="1"/>
  <c r="L423" i="20" s="1"/>
  <c r="L424" i="20" a="1"/>
  <c r="L424" i="20"/>
  <c r="L425" i="20" a="1"/>
  <c r="L425" i="20" s="1"/>
  <c r="L426" i="20" a="1"/>
  <c r="L426" i="20" s="1"/>
  <c r="L427" i="20" a="1"/>
  <c r="L427" i="20" s="1"/>
  <c r="L428" i="20" a="1"/>
  <c r="L428" i="20" s="1"/>
  <c r="L429" i="20" a="1"/>
  <c r="L429" i="20" s="1"/>
  <c r="L430" i="20" a="1"/>
  <c r="L430" i="20"/>
  <c r="L431" i="20" a="1"/>
  <c r="L431" i="20" s="1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/>
  <c r="L437" i="20" a="1"/>
  <c r="L437" i="20" s="1"/>
  <c r="L438" i="20" a="1"/>
  <c r="L438" i="20" s="1"/>
  <c r="L439" i="20" a="1"/>
  <c r="L439" i="20" s="1"/>
  <c r="L440" i="20" a="1"/>
  <c r="L440" i="20" s="1"/>
  <c r="L441" i="20" a="1"/>
  <c r="L441" i="20" s="1"/>
  <c r="L442" i="20" a="1"/>
  <c r="L442" i="20" s="1"/>
  <c r="L443" i="20" a="1"/>
  <c r="L443" i="20" s="1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 s="1"/>
  <c r="L449" i="20" a="1"/>
  <c r="L449" i="20" s="1"/>
  <c r="L450" i="20" a="1"/>
  <c r="L450" i="20" s="1"/>
  <c r="L451" i="20" a="1"/>
  <c r="L451" i="20" s="1"/>
  <c r="L452" i="20" a="1"/>
  <c r="L452" i="20" s="1"/>
  <c r="L453" i="20" a="1"/>
  <c r="L453" i="20" s="1"/>
  <c r="L454" i="20" a="1"/>
  <c r="L454" i="20" s="1"/>
  <c r="L455" i="20" a="1"/>
  <c r="L455" i="20" s="1"/>
  <c r="L456" i="20" a="1"/>
  <c r="L456" i="20"/>
  <c r="L457" i="20" a="1"/>
  <c r="L457" i="20" s="1"/>
  <c r="L458" i="20" a="1"/>
  <c r="L458" i="20" s="1"/>
  <c r="L459" i="20" a="1"/>
  <c r="L459" i="20" s="1"/>
  <c r="L460" i="20" a="1"/>
  <c r="L460" i="20" s="1"/>
  <c r="L461" i="20" a="1"/>
  <c r="L461" i="20" s="1"/>
  <c r="L462" i="20" a="1"/>
  <c r="L462" i="20"/>
  <c r="L463" i="20" a="1"/>
  <c r="L463" i="20" s="1"/>
  <c r="L464" i="20" a="1"/>
  <c r="L464" i="20" s="1"/>
  <c r="L465" i="20" a="1"/>
  <c r="L465" i="20" s="1"/>
  <c r="L466" i="20" a="1"/>
  <c r="L466" i="20" s="1"/>
  <c r="L467" i="20" a="1"/>
  <c r="L467" i="20" s="1"/>
  <c r="L468" i="20" a="1"/>
  <c r="L468" i="20"/>
  <c r="L469" i="20" a="1"/>
  <c r="L469" i="20" s="1"/>
  <c r="L470" i="20" a="1"/>
  <c r="L470" i="20" s="1"/>
  <c r="L471" i="20" a="1"/>
  <c r="L471" i="20" s="1"/>
  <c r="L472" i="20" a="1"/>
  <c r="L472" i="20" s="1"/>
  <c r="L473" i="20" a="1"/>
  <c r="L473" i="20" s="1"/>
  <c r="L474" i="20" a="1"/>
  <c r="L474" i="20" s="1"/>
  <c r="L475" i="20" a="1"/>
  <c r="L475" i="20" s="1"/>
  <c r="L476" i="20" a="1"/>
  <c r="L476" i="20" s="1"/>
  <c r="L477" i="20" a="1"/>
  <c r="L477" i="20" s="1"/>
  <c r="L478" i="20" a="1"/>
  <c r="L478" i="20" s="1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 s="1"/>
  <c r="L484" i="20" a="1"/>
  <c r="L484" i="20" s="1"/>
  <c r="L485" i="20" a="1"/>
  <c r="L485" i="20" s="1"/>
  <c r="L486" i="20" a="1"/>
  <c r="L486" i="20" s="1"/>
  <c r="L487" i="20" a="1"/>
  <c r="L487" i="20" s="1"/>
  <c r="L488" i="20" a="1"/>
  <c r="L488" i="20"/>
  <c r="L489" i="20" a="1"/>
  <c r="L489" i="20" s="1"/>
  <c r="L490" i="20" a="1"/>
  <c r="L490" i="20" s="1"/>
  <c r="L491" i="20" a="1"/>
  <c r="L491" i="20" s="1"/>
  <c r="L492" i="20" a="1"/>
  <c r="L492" i="20" s="1"/>
  <c r="L493" i="20" a="1"/>
  <c r="L493" i="20" s="1"/>
  <c r="L494" i="20" a="1"/>
  <c r="L494" i="20"/>
  <c r="L495" i="20" a="1"/>
  <c r="L495" i="20" s="1"/>
  <c r="L496" i="20" a="1"/>
  <c r="L496" i="20" s="1"/>
  <c r="L497" i="20" a="1"/>
  <c r="L497" i="20" s="1"/>
  <c r="L498" i="20" a="1"/>
  <c r="L498" i="20" s="1"/>
  <c r="L499" i="20" a="1"/>
  <c r="L499" i="20" s="1"/>
  <c r="L500" i="20" a="1"/>
  <c r="L500" i="20"/>
  <c r="L501" i="20" a="1"/>
  <c r="L501" i="20" s="1"/>
  <c r="L502" i="20" a="1"/>
  <c r="L502" i="20" s="1"/>
  <c r="L503" i="20" a="1"/>
  <c r="L503" i="20" s="1"/>
  <c r="L504" i="20" a="1"/>
  <c r="L504" i="20" s="1"/>
  <c r="L505" i="20" a="1"/>
  <c r="L505" i="20" s="1"/>
  <c r="L506" i="20" a="1"/>
  <c r="L506" i="20" s="1"/>
  <c r="L507" i="20" a="1"/>
  <c r="L507" i="20" s="1"/>
  <c r="L508" i="20" a="1"/>
  <c r="L508" i="20" s="1"/>
  <c r="L509" i="20" a="1"/>
  <c r="L509" i="20" s="1"/>
  <c r="L510" i="20" a="1"/>
  <c r="L510" i="20" s="1"/>
  <c r="L511" i="20" a="1"/>
  <c r="L511" i="20" s="1"/>
  <c r="L512" i="20" a="1"/>
  <c r="L512" i="20" s="1"/>
  <c r="L513" i="20" a="1"/>
  <c r="L513" i="20" s="1"/>
  <c r="L514" i="20" a="1"/>
  <c r="L514" i="20" s="1"/>
  <c r="L515" i="20" a="1"/>
  <c r="L515" i="20" s="1"/>
  <c r="L516" i="20" a="1"/>
  <c r="L516" i="20" s="1"/>
  <c r="L517" i="20" a="1"/>
  <c r="L517" i="20" s="1"/>
  <c r="L518" i="20" a="1"/>
  <c r="L518" i="20" s="1"/>
  <c r="L519" i="20" a="1"/>
  <c r="L519" i="20" s="1"/>
  <c r="L520" i="20" a="1"/>
  <c r="L520" i="20"/>
  <c r="L521" i="20" a="1"/>
  <c r="L521" i="20" s="1"/>
  <c r="L522" i="20" a="1"/>
  <c r="L522" i="20" s="1"/>
  <c r="L523" i="20" a="1"/>
  <c r="L523" i="20" s="1"/>
  <c r="L524" i="20" a="1"/>
  <c r="L524" i="20" s="1"/>
  <c r="L525" i="20" a="1"/>
  <c r="L525" i="20" s="1"/>
  <c r="L526" i="20" a="1"/>
  <c r="L526" i="20"/>
  <c r="L527" i="20" a="1"/>
  <c r="L527" i="20" s="1"/>
  <c r="L528" i="20" a="1"/>
  <c r="L528" i="20" s="1"/>
  <c r="L529" i="20" a="1"/>
  <c r="L529" i="20" s="1"/>
  <c r="L530" i="20" a="1"/>
  <c r="L530" i="20" s="1"/>
  <c r="L531" i="20" a="1"/>
  <c r="L531" i="20" s="1"/>
  <c r="L532" i="20" a="1"/>
  <c r="L532" i="20"/>
  <c r="L533" i="20" a="1"/>
  <c r="L533" i="20" s="1"/>
  <c r="L534" i="20" a="1"/>
  <c r="L534" i="20" s="1"/>
  <c r="L535" i="20" a="1"/>
  <c r="L535" i="20" s="1"/>
  <c r="L536" i="20" a="1"/>
  <c r="L536" i="20" s="1"/>
  <c r="L537" i="20" a="1"/>
  <c r="L537" i="20" s="1"/>
  <c r="L538" i="20" a="1"/>
  <c r="L538" i="20" s="1"/>
  <c r="L539" i="20" a="1"/>
  <c r="L539" i="20" s="1"/>
  <c r="L540" i="20" a="1"/>
  <c r="L540" i="20"/>
  <c r="L541" i="20" a="1"/>
  <c r="L541" i="20" s="1"/>
  <c r="L542" i="20" a="1"/>
  <c r="L542" i="20" s="1"/>
  <c r="L543" i="20" a="1"/>
  <c r="L543" i="20" s="1"/>
  <c r="L544" i="20" a="1"/>
  <c r="L544" i="20" s="1"/>
  <c r="L545" i="20" a="1"/>
  <c r="L545" i="20" s="1"/>
  <c r="L546" i="20" a="1"/>
  <c r="L546" i="20" s="1"/>
  <c r="L547" i="20" a="1"/>
  <c r="L547" i="20" s="1"/>
  <c r="L548" i="20" a="1"/>
  <c r="L548" i="20"/>
  <c r="L549" i="20" a="1"/>
  <c r="L549" i="20" s="1"/>
  <c r="L550" i="20" a="1"/>
  <c r="L550" i="20" s="1"/>
  <c r="L551" i="20" a="1"/>
  <c r="L551" i="20" s="1"/>
  <c r="L552" i="20" a="1"/>
  <c r="L552" i="20" s="1"/>
  <c r="L553" i="20" a="1"/>
  <c r="L553" i="20" s="1"/>
  <c r="L554" i="20" a="1"/>
  <c r="L554" i="20" s="1"/>
  <c r="L555" i="20" a="1"/>
  <c r="L555" i="20" s="1"/>
  <c r="L556" i="20" a="1"/>
  <c r="L556" i="20"/>
  <c r="L557" i="20" a="1"/>
  <c r="L557" i="20" s="1"/>
  <c r="L558" i="20" a="1"/>
  <c r="L558" i="20" s="1"/>
  <c r="L559" i="20" a="1"/>
  <c r="L559" i="20" s="1"/>
  <c r="L560" i="20" a="1"/>
  <c r="L560" i="20" s="1"/>
  <c r="L561" i="20" a="1"/>
  <c r="L561" i="20" s="1"/>
  <c r="L562" i="20" a="1"/>
  <c r="L562" i="20" s="1"/>
  <c r="L563" i="20" a="1"/>
  <c r="L563" i="20" s="1"/>
  <c r="L564" i="20" a="1"/>
  <c r="L564" i="20"/>
  <c r="L565" i="20" a="1"/>
  <c r="L565" i="20" s="1"/>
  <c r="L566" i="20" a="1"/>
  <c r="L566" i="20" s="1"/>
  <c r="L567" i="20" a="1"/>
  <c r="L567" i="20" s="1"/>
  <c r="L568" i="20" a="1"/>
  <c r="L568" i="20" s="1"/>
  <c r="L569" i="20" a="1"/>
  <c r="L569" i="20" s="1"/>
  <c r="L570" i="20" a="1"/>
  <c r="L570" i="20" s="1"/>
  <c r="L571" i="20" a="1"/>
  <c r="L571" i="20" s="1"/>
  <c r="L572" i="20" a="1"/>
  <c r="L572" i="20"/>
  <c r="L573" i="20" a="1"/>
  <c r="L573" i="20" s="1"/>
  <c r="L574" i="20" a="1"/>
  <c r="L574" i="20" s="1"/>
  <c r="L575" i="20" a="1"/>
  <c r="L575" i="20" s="1"/>
  <c r="L576" i="20" a="1"/>
  <c r="L576" i="20" s="1"/>
  <c r="L577" i="20" a="1"/>
  <c r="L577" i="20" s="1"/>
  <c r="L578" i="20" a="1"/>
  <c r="L578" i="20" s="1"/>
  <c r="L579" i="20" a="1"/>
  <c r="L579" i="20" s="1"/>
  <c r="L580" i="20" a="1"/>
  <c r="L580" i="20"/>
  <c r="L581" i="20" a="1"/>
  <c r="L581" i="20" s="1"/>
  <c r="L582" i="20" a="1"/>
  <c r="L582" i="20" s="1"/>
  <c r="L583" i="20" a="1"/>
  <c r="L583" i="20" s="1"/>
  <c r="L584" i="20" a="1"/>
  <c r="L584" i="20" s="1"/>
  <c r="L585" i="20" a="1"/>
  <c r="L585" i="20" s="1"/>
  <c r="L586" i="20" a="1"/>
  <c r="L586" i="20" s="1"/>
  <c r="L587" i="20" a="1"/>
  <c r="L587" i="20" s="1"/>
  <c r="L588" i="20" a="1"/>
  <c r="L588" i="20"/>
  <c r="L589" i="20" a="1"/>
  <c r="L589" i="20" s="1"/>
  <c r="L590" i="20" a="1"/>
  <c r="L590" i="20" s="1"/>
  <c r="L591" i="20" a="1"/>
  <c r="L591" i="20" s="1"/>
  <c r="L592" i="20" a="1"/>
  <c r="L592" i="20" s="1"/>
  <c r="L593" i="20" a="1"/>
  <c r="L593" i="20" s="1"/>
  <c r="L594" i="20" a="1"/>
  <c r="L594" i="20" s="1"/>
  <c r="L595" i="20" a="1"/>
  <c r="L595" i="20" s="1"/>
  <c r="L596" i="20" a="1"/>
  <c r="L596" i="20"/>
  <c r="L597" i="20" a="1"/>
  <c r="L597" i="20" s="1"/>
  <c r="L598" i="20" a="1"/>
  <c r="L598" i="20" s="1"/>
  <c r="L599" i="20" a="1"/>
  <c r="L599" i="20" s="1"/>
  <c r="L600" i="20" a="1"/>
  <c r="L600" i="20" s="1"/>
  <c r="L601" i="20" a="1"/>
  <c r="L601" i="20" s="1"/>
  <c r="L602" i="20" a="1"/>
  <c r="L602" i="20" s="1"/>
  <c r="L603" i="20" a="1"/>
  <c r="L603" i="20" s="1"/>
  <c r="L604" i="20" a="1"/>
  <c r="L604" i="20"/>
  <c r="L605" i="20" a="1"/>
  <c r="L605" i="20" s="1"/>
  <c r="L606" i="20" a="1"/>
  <c r="L606" i="20" s="1"/>
  <c r="L607" i="20" a="1"/>
  <c r="L607" i="20" s="1"/>
  <c r="L608" i="20" a="1"/>
  <c r="L608" i="20" s="1"/>
  <c r="L609" i="20" a="1"/>
  <c r="L609" i="20" s="1"/>
  <c r="L610" i="20" a="1"/>
  <c r="L610" i="20" s="1"/>
  <c r="L611" i="20" a="1"/>
  <c r="L611" i="20" s="1"/>
  <c r="L612" i="20" a="1"/>
  <c r="L612" i="20"/>
  <c r="L613" i="20" a="1"/>
  <c r="L613" i="20" s="1"/>
  <c r="L614" i="20" a="1"/>
  <c r="L614" i="20" s="1"/>
  <c r="L615" i="20" a="1"/>
  <c r="L615" i="20" s="1"/>
  <c r="L616" i="20" a="1"/>
  <c r="L616" i="20" s="1"/>
  <c r="L617" i="20" a="1"/>
  <c r="L617" i="20" s="1"/>
  <c r="L618" i="20" a="1"/>
  <c r="L618" i="20" s="1"/>
  <c r="L619" i="20" a="1"/>
  <c r="L619" i="20" s="1"/>
  <c r="L620" i="20" a="1"/>
  <c r="L620" i="20"/>
  <c r="L621" i="20" a="1"/>
  <c r="L621" i="20" s="1"/>
  <c r="L622" i="20" a="1"/>
  <c r="L622" i="20" s="1"/>
  <c r="L623" i="20" a="1"/>
  <c r="L623" i="20" s="1"/>
  <c r="L624" i="20" a="1"/>
  <c r="L624" i="20" s="1"/>
  <c r="L625" i="20" a="1"/>
  <c r="L625" i="20" s="1"/>
  <c r="L626" i="20" a="1"/>
  <c r="L626" i="20" s="1"/>
  <c r="L627" i="20" a="1"/>
  <c r="L627" i="20" s="1"/>
  <c r="L628" i="20" a="1"/>
  <c r="L628" i="20"/>
  <c r="L629" i="20" a="1"/>
  <c r="L629" i="20" s="1"/>
  <c r="L630" i="20" a="1"/>
  <c r="L630" i="20" s="1"/>
  <c r="L631" i="20" a="1"/>
  <c r="L631" i="20" s="1"/>
  <c r="L632" i="20" a="1"/>
  <c r="L632" i="20" s="1"/>
  <c r="L633" i="20" a="1"/>
  <c r="L633" i="20" s="1"/>
  <c r="L634" i="20" a="1"/>
  <c r="L634" i="20" s="1"/>
  <c r="L635" i="20" a="1"/>
  <c r="L635" i="20" s="1"/>
  <c r="L636" i="20" a="1"/>
  <c r="L636" i="20"/>
  <c r="L637" i="20" a="1"/>
  <c r="L637" i="20" s="1"/>
  <c r="L638" i="20" a="1"/>
  <c r="L638" i="20" s="1"/>
  <c r="L639" i="20" a="1"/>
  <c r="L639" i="20" s="1"/>
  <c r="L640" i="20" a="1"/>
  <c r="L640" i="20" s="1"/>
  <c r="L641" i="20" a="1"/>
  <c r="L641" i="20" s="1"/>
  <c r="L642" i="20" a="1"/>
  <c r="L642" i="20" s="1"/>
  <c r="L643" i="20" a="1"/>
  <c r="L643" i="20" s="1"/>
  <c r="L644" i="20" a="1"/>
  <c r="L644" i="20"/>
  <c r="L645" i="20" a="1"/>
  <c r="L645" i="20" s="1"/>
  <c r="L646" i="20" a="1"/>
  <c r="L646" i="20" s="1"/>
  <c r="L647" i="20" a="1"/>
  <c r="L647" i="20" s="1"/>
  <c r="L648" i="20" a="1"/>
  <c r="L648" i="20" s="1"/>
  <c r="L649" i="20" a="1"/>
  <c r="L649" i="20" s="1"/>
  <c r="L650" i="20" a="1"/>
  <c r="L650" i="20" s="1"/>
  <c r="L651" i="20" a="1"/>
  <c r="L651" i="20" s="1"/>
  <c r="L652" i="20" a="1"/>
  <c r="L652" i="20"/>
  <c r="L653" i="20" a="1"/>
  <c r="L653" i="20" s="1"/>
  <c r="L654" i="20" a="1"/>
  <c r="L654" i="20" s="1"/>
  <c r="L655" i="20" a="1"/>
  <c r="L655" i="20" s="1"/>
  <c r="L656" i="20" a="1"/>
  <c r="L656" i="20" s="1"/>
  <c r="L657" i="20" a="1"/>
  <c r="L657" i="20" s="1"/>
  <c r="L658" i="20" a="1"/>
  <c r="L658" i="20" s="1"/>
  <c r="L659" i="20" a="1"/>
  <c r="L659" i="20" s="1"/>
  <c r="L660" i="20" a="1"/>
  <c r="L660" i="20"/>
  <c r="L661" i="20" a="1"/>
  <c r="L661" i="20" s="1"/>
  <c r="L662" i="20" a="1"/>
  <c r="L662" i="20" s="1"/>
  <c r="L663" i="20" a="1"/>
  <c r="L663" i="20" s="1"/>
  <c r="L664" i="20" a="1"/>
  <c r="L664" i="20" s="1"/>
  <c r="L665" i="20" a="1"/>
  <c r="L665" i="20" s="1"/>
  <c r="L666" i="20" a="1"/>
  <c r="L666" i="20" s="1"/>
  <c r="L667" i="20" a="1"/>
  <c r="L667" i="20" s="1"/>
  <c r="L668" i="20" a="1"/>
  <c r="L668" i="20"/>
  <c r="L669" i="20" a="1"/>
  <c r="L669" i="20" s="1"/>
  <c r="L670" i="20" a="1"/>
  <c r="L670" i="20" s="1"/>
  <c r="L671" i="20" a="1"/>
  <c r="L671" i="20" s="1"/>
  <c r="L672" i="20" a="1"/>
  <c r="L672" i="20" s="1"/>
  <c r="L673" i="20" a="1"/>
  <c r="L673" i="20" s="1"/>
  <c r="L674" i="20" a="1"/>
  <c r="L674" i="20" s="1"/>
  <c r="L675" i="20" a="1"/>
  <c r="L675" i="20" s="1"/>
  <c r="L676" i="20" a="1"/>
  <c r="L676" i="20"/>
  <c r="L677" i="20" a="1"/>
  <c r="L677" i="20" s="1"/>
  <c r="L678" i="20" a="1"/>
  <c r="L678" i="20" s="1"/>
  <c r="L679" i="20" a="1"/>
  <c r="L679" i="20" s="1"/>
  <c r="L680" i="20" a="1"/>
  <c r="L680" i="20" s="1"/>
  <c r="L681" i="20" a="1"/>
  <c r="L681" i="20" s="1"/>
  <c r="L682" i="20" a="1"/>
  <c r="L682" i="20" s="1"/>
  <c r="L683" i="20" a="1"/>
  <c r="L683" i="20" s="1"/>
  <c r="L684" i="20" a="1"/>
  <c r="L684" i="20"/>
  <c r="L685" i="20" a="1"/>
  <c r="L685" i="20" s="1"/>
  <c r="L686" i="20" a="1"/>
  <c r="L686" i="20" s="1"/>
  <c r="L687" i="20" a="1"/>
  <c r="L687" i="20" s="1"/>
  <c r="L688" i="20" a="1"/>
  <c r="L688" i="20" s="1"/>
  <c r="L689" i="20" a="1"/>
  <c r="L689" i="20" s="1"/>
  <c r="L690" i="20" a="1"/>
  <c r="L690" i="20" s="1"/>
  <c r="L691" i="20" a="1"/>
  <c r="L691" i="20" s="1"/>
  <c r="L692" i="20" a="1"/>
  <c r="L692" i="20"/>
  <c r="L693" i="20" a="1"/>
  <c r="L693" i="20" s="1"/>
  <c r="L694" i="20" a="1"/>
  <c r="L694" i="20" s="1"/>
  <c r="L695" i="20" a="1"/>
  <c r="L695" i="20" s="1"/>
  <c r="L696" i="20" a="1"/>
  <c r="L696" i="20" s="1"/>
  <c r="L697" i="20" a="1"/>
  <c r="L697" i="20" s="1"/>
  <c r="L698" i="20" a="1"/>
  <c r="L698" i="20" s="1"/>
  <c r="L699" i="20" a="1"/>
  <c r="L699" i="20" s="1"/>
  <c r="L700" i="20" a="1"/>
  <c r="L700" i="20"/>
  <c r="L701" i="20" a="1"/>
  <c r="L701" i="20" s="1"/>
  <c r="L702" i="20" a="1"/>
  <c r="L702" i="20" s="1"/>
  <c r="L703" i="20" a="1"/>
  <c r="L703" i="20" s="1"/>
  <c r="L704" i="20" a="1"/>
  <c r="L704" i="20" s="1"/>
  <c r="L705" i="20" a="1"/>
  <c r="L705" i="20" s="1"/>
  <c r="L706" i="20" a="1"/>
  <c r="L706" i="20" s="1"/>
  <c r="L707" i="20" a="1"/>
  <c r="L707" i="20" s="1"/>
  <c r="L708" i="20" a="1"/>
  <c r="L708" i="20"/>
  <c r="L709" i="20" a="1"/>
  <c r="L709" i="20" s="1"/>
  <c r="L710" i="20" a="1"/>
  <c r="L710" i="20" s="1"/>
  <c r="L711" i="20" a="1"/>
  <c r="L711" i="20" s="1"/>
  <c r="L712" i="20" a="1"/>
  <c r="L712" i="20" s="1"/>
  <c r="L713" i="20" a="1"/>
  <c r="L713" i="20" s="1"/>
  <c r="L714" i="20" a="1"/>
  <c r="L714" i="20" s="1"/>
  <c r="L715" i="20" a="1"/>
  <c r="L715" i="20" s="1"/>
  <c r="L716" i="20" a="1"/>
  <c r="L716" i="20"/>
  <c r="L717" i="20" a="1"/>
  <c r="L717" i="20" s="1"/>
  <c r="L718" i="20" a="1"/>
  <c r="L718" i="20" s="1"/>
  <c r="L719" i="20" a="1"/>
  <c r="L719" i="20" s="1"/>
  <c r="L720" i="20" a="1"/>
  <c r="L720" i="20" s="1"/>
  <c r="L721" i="20" a="1"/>
  <c r="L721" i="20" s="1"/>
  <c r="L722" i="20" a="1"/>
  <c r="L722" i="20" s="1"/>
  <c r="L723" i="20" a="1"/>
  <c r="L723" i="20" s="1"/>
  <c r="L724" i="20" a="1"/>
  <c r="L724" i="20"/>
  <c r="L725" i="20" a="1"/>
  <c r="L725" i="20" s="1"/>
  <c r="L726" i="20" a="1"/>
  <c r="L726" i="20" s="1"/>
  <c r="L727" i="20" a="1"/>
  <c r="L727" i="20" s="1"/>
  <c r="L728" i="20" a="1"/>
  <c r="L728" i="20" s="1"/>
  <c r="L729" i="20" a="1"/>
  <c r="L729" i="20" s="1"/>
  <c r="L730" i="20" a="1"/>
  <c r="L730" i="20" s="1"/>
  <c r="L731" i="20" a="1"/>
  <c r="L731" i="20" s="1"/>
  <c r="L732" i="20" a="1"/>
  <c r="L732" i="20"/>
  <c r="L733" i="20" a="1"/>
  <c r="L733" i="20" s="1"/>
  <c r="L734" i="20" a="1"/>
  <c r="L734" i="20" s="1"/>
  <c r="L735" i="20" a="1"/>
  <c r="L735" i="20" s="1"/>
  <c r="L736" i="20" a="1"/>
  <c r="L736" i="20" s="1"/>
  <c r="L737" i="20" a="1"/>
  <c r="L737" i="20" s="1"/>
  <c r="L738" i="20" a="1"/>
  <c r="L738" i="20" s="1"/>
  <c r="L739" i="20" a="1"/>
  <c r="L739" i="20" s="1"/>
  <c r="L740" i="20" a="1"/>
  <c r="L740" i="20"/>
  <c r="L741" i="20" a="1"/>
  <c r="L741" i="20" s="1"/>
  <c r="L742" i="20" a="1"/>
  <c r="L742" i="20" s="1"/>
  <c r="L743" i="20" a="1"/>
  <c r="L743" i="20" s="1"/>
  <c r="L744" i="20" a="1"/>
  <c r="L744" i="20" s="1"/>
  <c r="L745" i="20" a="1"/>
  <c r="L745" i="20" s="1"/>
  <c r="L746" i="20" a="1"/>
  <c r="L746" i="20" s="1"/>
  <c r="L747" i="20" a="1"/>
  <c r="L747" i="20" s="1"/>
  <c r="L748" i="20" a="1"/>
  <c r="L748" i="20"/>
  <c r="L749" i="20" a="1"/>
  <c r="L749" i="20" s="1"/>
  <c r="L750" i="20" a="1"/>
  <c r="L750" i="20" s="1"/>
  <c r="L751" i="20" a="1"/>
  <c r="L751" i="20" s="1"/>
  <c r="L752" i="20" a="1"/>
  <c r="L752" i="20" s="1"/>
  <c r="L753" i="20" a="1"/>
  <c r="L753" i="20" s="1"/>
  <c r="L754" i="20" a="1"/>
  <c r="L754" i="20" s="1"/>
  <c r="L755" i="20" a="1"/>
  <c r="L755" i="20" s="1"/>
  <c r="L756" i="20" a="1"/>
  <c r="L756" i="20"/>
  <c r="L757" i="20" a="1"/>
  <c r="L757" i="20" s="1"/>
  <c r="L758" i="20" a="1"/>
  <c r="L758" i="20" s="1"/>
  <c r="L759" i="20" a="1"/>
  <c r="L759" i="20" s="1"/>
  <c r="L760" i="20" a="1"/>
  <c r="L760" i="20" s="1"/>
  <c r="L761" i="20" a="1"/>
  <c r="L761" i="20" s="1"/>
  <c r="L762" i="20" a="1"/>
  <c r="L762" i="20" s="1"/>
  <c r="L763" i="20" a="1"/>
  <c r="L763" i="20" s="1"/>
  <c r="L764" i="20" a="1"/>
  <c r="L764" i="20"/>
  <c r="L765" i="20" a="1"/>
  <c r="L765" i="20" s="1"/>
  <c r="L766" i="20" a="1"/>
  <c r="L766" i="20" s="1"/>
  <c r="L767" i="20" a="1"/>
  <c r="L767" i="20" s="1"/>
  <c r="L768" i="20" a="1"/>
  <c r="L768" i="20" s="1"/>
  <c r="L769" i="20" a="1"/>
  <c r="L769" i="20" s="1"/>
  <c r="L770" i="20" a="1"/>
  <c r="L770" i="20" s="1"/>
  <c r="L771" i="20" a="1"/>
  <c r="L771" i="20" s="1"/>
  <c r="L772" i="20" a="1"/>
  <c r="L772" i="20"/>
  <c r="L773" i="20" a="1"/>
  <c r="L773" i="20" s="1"/>
  <c r="L774" i="20" a="1"/>
  <c r="L774" i="20" s="1"/>
  <c r="L775" i="20" a="1"/>
  <c r="L775" i="20" s="1"/>
  <c r="L776" i="20" a="1"/>
  <c r="L776" i="20" s="1"/>
  <c r="L777" i="20" a="1"/>
  <c r="L777" i="20" s="1"/>
  <c r="L778" i="20" a="1"/>
  <c r="L778" i="20" s="1"/>
  <c r="L779" i="20" a="1"/>
  <c r="L779" i="20" s="1"/>
  <c r="L780" i="20" a="1"/>
  <c r="L780" i="20"/>
  <c r="L781" i="20" a="1"/>
  <c r="L781" i="20" s="1"/>
  <c r="L782" i="20" a="1"/>
  <c r="L782" i="20" s="1"/>
  <c r="L783" i="20" a="1"/>
  <c r="L783" i="20" s="1"/>
  <c r="L784" i="20" a="1"/>
  <c r="L784" i="20" s="1"/>
  <c r="L785" i="20" a="1"/>
  <c r="L785" i="20" s="1"/>
  <c r="L786" i="20" a="1"/>
  <c r="L786" i="20" s="1"/>
  <c r="L787" i="20" a="1"/>
  <c r="L787" i="20" s="1"/>
  <c r="L788" i="20" a="1"/>
  <c r="L788" i="20"/>
  <c r="L789" i="20" a="1"/>
  <c r="L789" i="20" s="1"/>
  <c r="L790" i="20" a="1"/>
  <c r="L790" i="20" s="1"/>
  <c r="L791" i="20" a="1"/>
  <c r="L791" i="20" s="1"/>
  <c r="L792" i="20" a="1"/>
  <c r="L792" i="20" s="1"/>
  <c r="L793" i="20" a="1"/>
  <c r="L793" i="20" s="1"/>
  <c r="L794" i="20" a="1"/>
  <c r="L794" i="20" s="1"/>
  <c r="L795" i="20" a="1"/>
  <c r="L795" i="20" s="1"/>
  <c r="L796" i="20" a="1"/>
  <c r="L796" i="20"/>
  <c r="L797" i="20" a="1"/>
  <c r="L797" i="20" s="1"/>
  <c r="L798" i="20" a="1"/>
  <c r="L798" i="20" s="1"/>
  <c r="L799" i="20" a="1"/>
  <c r="L799" i="20" s="1"/>
  <c r="L800" i="20" a="1"/>
  <c r="L800" i="20" s="1"/>
  <c r="L801" i="20" a="1"/>
  <c r="L801" i="20" s="1"/>
  <c r="L802" i="20" a="1"/>
  <c r="L802" i="20" s="1"/>
  <c r="L803" i="20" a="1"/>
  <c r="L803" i="20" s="1"/>
  <c r="L804" i="20" a="1"/>
  <c r="L804" i="20"/>
  <c r="L805" i="20" a="1"/>
  <c r="L805" i="20" s="1"/>
  <c r="L806" i="20" a="1"/>
  <c r="L806" i="20" s="1"/>
  <c r="L807" i="20" a="1"/>
  <c r="L807" i="20" s="1"/>
  <c r="L808" i="20" a="1"/>
  <c r="L808" i="20" s="1"/>
  <c r="L809" i="20" a="1"/>
  <c r="L809" i="20" s="1"/>
  <c r="L810" i="20" a="1"/>
  <c r="L810" i="20" s="1"/>
  <c r="L811" i="20" a="1"/>
  <c r="L811" i="20" s="1"/>
  <c r="L812" i="20" a="1"/>
  <c r="L812" i="20"/>
  <c r="L813" i="20" a="1"/>
  <c r="L813" i="20" s="1"/>
  <c r="L814" i="20" a="1"/>
  <c r="L814" i="20" s="1"/>
  <c r="L815" i="20" a="1"/>
  <c r="L815" i="20" s="1"/>
  <c r="L816" i="20" a="1"/>
  <c r="L816" i="20" s="1"/>
  <c r="L817" i="20" a="1"/>
  <c r="L817" i="20" s="1"/>
  <c r="L818" i="20" a="1"/>
  <c r="L818" i="20" s="1"/>
  <c r="L819" i="20" a="1"/>
  <c r="L819" i="20" s="1"/>
  <c r="L820" i="20" a="1"/>
  <c r="L820" i="20" s="1"/>
  <c r="L821" i="20" a="1"/>
  <c r="L821" i="20" s="1"/>
  <c r="L822" i="20" a="1"/>
  <c r="L822" i="20"/>
  <c r="L823" i="20" a="1"/>
  <c r="L823" i="20" s="1"/>
  <c r="L824" i="20" a="1"/>
  <c r="L824" i="20" s="1"/>
  <c r="L825" i="20" a="1"/>
  <c r="L825" i="20" s="1"/>
  <c r="L826" i="20" a="1"/>
  <c r="L826" i="20" s="1"/>
  <c r="L827" i="20" a="1"/>
  <c r="L827" i="20" s="1"/>
  <c r="L828" i="20" a="1"/>
  <c r="L828" i="20" s="1"/>
  <c r="L829" i="20" a="1"/>
  <c r="L829" i="20" s="1"/>
  <c r="L830" i="20" a="1"/>
  <c r="L830" i="20"/>
  <c r="L831" i="20" a="1"/>
  <c r="L831" i="20" s="1"/>
  <c r="L832" i="20" a="1"/>
  <c r="L832" i="20" s="1"/>
  <c r="L833" i="20" a="1"/>
  <c r="L833" i="20" s="1"/>
  <c r="L834" i="20" a="1"/>
  <c r="L834" i="20"/>
  <c r="L835" i="20" a="1"/>
  <c r="L835" i="20" s="1"/>
  <c r="L836" i="20" a="1"/>
  <c r="L836" i="20" s="1"/>
  <c r="L837" i="20" a="1"/>
  <c r="L837" i="20" s="1"/>
  <c r="L838" i="20" a="1"/>
  <c r="L838" i="20" s="1"/>
  <c r="L839" i="20" a="1"/>
  <c r="L839" i="20" s="1"/>
  <c r="L840" i="20" a="1"/>
  <c r="L840" i="20" s="1"/>
  <c r="L841" i="20" a="1"/>
  <c r="L841" i="20" s="1"/>
  <c r="L842" i="20" a="1"/>
  <c r="L842" i="20" s="1"/>
  <c r="L843" i="20" a="1"/>
  <c r="L843" i="20" s="1"/>
  <c r="L844" i="20" a="1"/>
  <c r="L844" i="20" s="1"/>
  <c r="L845" i="20" a="1"/>
  <c r="L845" i="20" s="1"/>
  <c r="L846" i="20" a="1"/>
  <c r="L846" i="20"/>
  <c r="L847" i="20" a="1"/>
  <c r="L847" i="20" s="1"/>
  <c r="L848" i="20" a="1"/>
  <c r="L848" i="20" s="1"/>
  <c r="L849" i="20" a="1"/>
  <c r="L849" i="20" s="1"/>
  <c r="L850" i="20" a="1"/>
  <c r="L850" i="20" s="1"/>
  <c r="L851" i="20" a="1"/>
  <c r="L851" i="20" s="1"/>
  <c r="M2" i="20" a="1"/>
  <c r="M2" i="20" s="1"/>
  <c r="N2" i="20" s="1"/>
  <c r="M3" i="20" a="1"/>
  <c r="M3" i="20" s="1"/>
  <c r="N3" i="20" s="1"/>
  <c r="M4" i="20" a="1"/>
  <c r="M4" i="20"/>
  <c r="M5" i="20" a="1"/>
  <c r="M5" i="20" s="1"/>
  <c r="M6" i="20" a="1"/>
  <c r="M6" i="20" s="1"/>
  <c r="M7" i="20" a="1"/>
  <c r="M7" i="20" s="1"/>
  <c r="N7" i="20" s="1"/>
  <c r="M8" i="20" a="1"/>
  <c r="M8" i="20" s="1"/>
  <c r="N8" i="20" s="1"/>
  <c r="M9" i="20" a="1"/>
  <c r="M9" i="20" s="1"/>
  <c r="M10" i="20" a="1"/>
  <c r="M10" i="20"/>
  <c r="N10" i="20" s="1"/>
  <c r="M11" i="20" a="1"/>
  <c r="M11" i="20" s="1"/>
  <c r="N11" i="20" s="1"/>
  <c r="M12" i="20" a="1"/>
  <c r="M12" i="20" s="1"/>
  <c r="M13" i="20" a="1"/>
  <c r="M13" i="20" s="1"/>
  <c r="N13" i="20" s="1"/>
  <c r="M14" i="20" a="1"/>
  <c r="M14" i="20" s="1"/>
  <c r="M15" i="20" a="1"/>
  <c r="M15" i="20" s="1"/>
  <c r="N15" i="20" s="1"/>
  <c r="M16" i="20" a="1"/>
  <c r="M16" i="20"/>
  <c r="N16" i="20" s="1"/>
  <c r="M17" i="20" a="1"/>
  <c r="M17" i="20" s="1"/>
  <c r="M18" i="20" a="1"/>
  <c r="M18" i="20" s="1"/>
  <c r="M19" i="20" a="1"/>
  <c r="M19" i="20" s="1"/>
  <c r="N19" i="20" s="1"/>
  <c r="M20" i="20" a="1"/>
  <c r="M20" i="20"/>
  <c r="M21" i="20" a="1"/>
  <c r="M21" i="20" s="1"/>
  <c r="M22" i="20" a="1"/>
  <c r="M22" i="20" s="1"/>
  <c r="N22" i="20" s="1"/>
  <c r="M23" i="20" a="1"/>
  <c r="M23" i="20" s="1"/>
  <c r="N23" i="20" s="1"/>
  <c r="M24" i="20" a="1"/>
  <c r="M24" i="20" s="1"/>
  <c r="M25" i="20" a="1"/>
  <c r="M25" i="20" s="1"/>
  <c r="M26" i="20" a="1"/>
  <c r="M26" i="20" s="1"/>
  <c r="N26" i="20" s="1"/>
  <c r="M27" i="20" a="1"/>
  <c r="M27" i="20" s="1"/>
  <c r="N27" i="20" s="1"/>
  <c r="M28" i="20" a="1"/>
  <c r="M28" i="20"/>
  <c r="M29" i="20" a="1"/>
  <c r="M29" i="20" s="1"/>
  <c r="M30" i="20" a="1"/>
  <c r="M30" i="20" s="1"/>
  <c r="M31" i="20" a="1"/>
  <c r="M31" i="20" s="1"/>
  <c r="N31" i="20" s="1"/>
  <c r="M32" i="20" a="1"/>
  <c r="M32" i="20" s="1"/>
  <c r="N32" i="20" s="1"/>
  <c r="M33" i="20" a="1"/>
  <c r="M33" i="20" s="1"/>
  <c r="M34" i="20" a="1"/>
  <c r="M34" i="20" s="1"/>
  <c r="N34" i="20" s="1"/>
  <c r="M35" i="20" a="1"/>
  <c r="M35" i="20" s="1"/>
  <c r="N35" i="20" s="1"/>
  <c r="M36" i="20" a="1"/>
  <c r="M36" i="20"/>
  <c r="M37" i="20" a="1"/>
  <c r="M37" i="20" s="1"/>
  <c r="M38" i="20" a="1"/>
  <c r="M38" i="20" s="1"/>
  <c r="M39" i="20" a="1"/>
  <c r="M39" i="20" s="1"/>
  <c r="N39" i="20" s="1"/>
  <c r="M40" i="20" a="1"/>
  <c r="M40" i="20" s="1"/>
  <c r="N40" i="20" s="1"/>
  <c r="M41" i="20" a="1"/>
  <c r="M41" i="20" s="1"/>
  <c r="M42" i="20" a="1"/>
  <c r="M42" i="20"/>
  <c r="N42" i="20" s="1"/>
  <c r="M43" i="20" a="1"/>
  <c r="M43" i="20" s="1"/>
  <c r="N43" i="20" s="1"/>
  <c r="M44" i="20" a="1"/>
  <c r="M44" i="20" s="1"/>
  <c r="M45" i="20" a="1"/>
  <c r="M45" i="20" s="1"/>
  <c r="N45" i="20" s="1"/>
  <c r="M46" i="20" a="1"/>
  <c r="M46" i="20" s="1"/>
  <c r="M47" i="20" a="1"/>
  <c r="M47" i="20" s="1"/>
  <c r="N47" i="20" s="1"/>
  <c r="M48" i="20" a="1"/>
  <c r="M48" i="20"/>
  <c r="N48" i="20" s="1"/>
  <c r="M49" i="20" a="1"/>
  <c r="M49" i="20" s="1"/>
  <c r="M50" i="20" a="1"/>
  <c r="M50" i="20" s="1"/>
  <c r="M51" i="20" a="1"/>
  <c r="M51" i="20" s="1"/>
  <c r="N51" i="20" s="1"/>
  <c r="M52" i="20" a="1"/>
  <c r="M52" i="20"/>
  <c r="M53" i="20" a="1"/>
  <c r="M53" i="20" s="1"/>
  <c r="M54" i="20" a="1"/>
  <c r="M54" i="20" s="1"/>
  <c r="N54" i="20" s="1"/>
  <c r="M55" i="20" a="1"/>
  <c r="M55" i="20" s="1"/>
  <c r="N55" i="20" s="1"/>
  <c r="M56" i="20" a="1"/>
  <c r="M56" i="20" s="1"/>
  <c r="M57" i="20" a="1"/>
  <c r="M57" i="20" s="1"/>
  <c r="M58" i="20" a="1"/>
  <c r="M58" i="20" s="1"/>
  <c r="N58" i="20" s="1"/>
  <c r="M59" i="20" a="1"/>
  <c r="M59" i="20" s="1"/>
  <c r="N59" i="20" s="1"/>
  <c r="M60" i="20" a="1"/>
  <c r="M60" i="20"/>
  <c r="M61" i="20" a="1"/>
  <c r="M61" i="20" s="1"/>
  <c r="M62" i="20" a="1"/>
  <c r="M62" i="20" s="1"/>
  <c r="M63" i="20" a="1"/>
  <c r="M63" i="20" s="1"/>
  <c r="N63" i="20" s="1"/>
  <c r="M64" i="20" a="1"/>
  <c r="M64" i="20" s="1"/>
  <c r="N64" i="20" s="1"/>
  <c r="M65" i="20" a="1"/>
  <c r="M65" i="20" s="1"/>
  <c r="M66" i="20" a="1"/>
  <c r="M66" i="20" s="1"/>
  <c r="N66" i="20" s="1"/>
  <c r="M67" i="20" a="1"/>
  <c r="M67" i="20" s="1"/>
  <c r="N67" i="20" s="1"/>
  <c r="M68" i="20" a="1"/>
  <c r="M68" i="20" s="1"/>
  <c r="N68" i="20" s="1"/>
  <c r="M69" i="20" a="1"/>
  <c r="M69" i="20" s="1"/>
  <c r="M70" i="20" a="1"/>
  <c r="M70" i="20" s="1"/>
  <c r="M71" i="20" a="1"/>
  <c r="M71" i="20" s="1"/>
  <c r="N71" i="20" s="1"/>
  <c r="M72" i="20" a="1"/>
  <c r="M72" i="20" s="1"/>
  <c r="N72" i="20" s="1"/>
  <c r="M73" i="20" a="1"/>
  <c r="M73" i="20" s="1"/>
  <c r="M74" i="20" a="1"/>
  <c r="M74" i="20"/>
  <c r="N74" i="20" s="1"/>
  <c r="M75" i="20" a="1"/>
  <c r="M75" i="20" s="1"/>
  <c r="N75" i="20" s="1"/>
  <c r="M76" i="20" a="1"/>
  <c r="M76" i="20"/>
  <c r="M77" i="20" a="1"/>
  <c r="M77" i="20" s="1"/>
  <c r="N77" i="20" s="1"/>
  <c r="M78" i="20" a="1"/>
  <c r="M78" i="20" s="1"/>
  <c r="M79" i="20" a="1"/>
  <c r="M79" i="20" s="1"/>
  <c r="N79" i="20" s="1"/>
  <c r="M80" i="20" a="1"/>
  <c r="M80" i="20"/>
  <c r="N80" i="20" s="1"/>
  <c r="M81" i="20" a="1"/>
  <c r="M81" i="20" s="1"/>
  <c r="M82" i="20" a="1"/>
  <c r="M82" i="20"/>
  <c r="M83" i="20" a="1"/>
  <c r="M83" i="20" s="1"/>
  <c r="N83" i="20" s="1"/>
  <c r="M84" i="20" a="1"/>
  <c r="M84" i="20" s="1"/>
  <c r="N84" i="20" s="1"/>
  <c r="M85" i="20" a="1"/>
  <c r="M85" i="20" s="1"/>
  <c r="M86" i="20" a="1"/>
  <c r="M86" i="20" s="1"/>
  <c r="N86" i="20" s="1"/>
  <c r="M87" i="20" a="1"/>
  <c r="M87" i="20" s="1"/>
  <c r="N87" i="20" s="1"/>
  <c r="M88" i="20" a="1"/>
  <c r="M88" i="20"/>
  <c r="M89" i="20" a="1"/>
  <c r="M89" i="20" s="1"/>
  <c r="M90" i="20" a="1"/>
  <c r="M90" i="20" s="1"/>
  <c r="N90" i="20" s="1"/>
  <c r="M91" i="20" a="1"/>
  <c r="M91" i="20" s="1"/>
  <c r="N91" i="20" s="1"/>
  <c r="M92" i="20" a="1"/>
  <c r="M92" i="20"/>
  <c r="M93" i="20" a="1"/>
  <c r="M93" i="20" s="1"/>
  <c r="M94" i="20" a="1"/>
  <c r="M94" i="20" s="1"/>
  <c r="M95" i="20" a="1"/>
  <c r="M95" i="20" s="1"/>
  <c r="N95" i="20" s="1"/>
  <c r="M96" i="20" a="1"/>
  <c r="M96" i="20" s="1"/>
  <c r="N96" i="20" s="1"/>
  <c r="M97" i="20" a="1"/>
  <c r="M97" i="20" s="1"/>
  <c r="M98" i="20" a="1"/>
  <c r="M98" i="20" s="1"/>
  <c r="N98" i="20" s="1"/>
  <c r="M99" i="20" a="1"/>
  <c r="M99" i="20" s="1"/>
  <c r="N99" i="20" s="1"/>
  <c r="M100" i="20" a="1"/>
  <c r="M100" i="20" s="1"/>
  <c r="N100" i="20" s="1"/>
  <c r="M101" i="20" a="1"/>
  <c r="M101" i="20" s="1"/>
  <c r="M102" i="20" a="1"/>
  <c r="M102" i="20" s="1"/>
  <c r="M103" i="20" a="1"/>
  <c r="M103" i="20" s="1"/>
  <c r="N103" i="20" s="1"/>
  <c r="M104" i="20" a="1"/>
  <c r="M104" i="20" s="1"/>
  <c r="N104" i="20" s="1"/>
  <c r="M105" i="20" a="1"/>
  <c r="M105" i="20" s="1"/>
  <c r="M106" i="20" a="1"/>
  <c r="M106" i="20"/>
  <c r="N106" i="20" s="1"/>
  <c r="M107" i="20" a="1"/>
  <c r="M107" i="20" s="1"/>
  <c r="N107" i="20" s="1"/>
  <c r="M108" i="20" a="1"/>
  <c r="M108" i="20"/>
  <c r="M109" i="20" a="1"/>
  <c r="M109" i="20" s="1"/>
  <c r="N109" i="20" s="1"/>
  <c r="M110" i="20" a="1"/>
  <c r="M110" i="20" s="1"/>
  <c r="M111" i="20" a="1"/>
  <c r="M111" i="20" s="1"/>
  <c r="N111" i="20" s="1"/>
  <c r="M112" i="20" a="1"/>
  <c r="M112" i="20"/>
  <c r="N112" i="20" s="1"/>
  <c r="M113" i="20" a="1"/>
  <c r="M113" i="20" s="1"/>
  <c r="M114" i="20" a="1"/>
  <c r="M114" i="20"/>
  <c r="M115" i="20" a="1"/>
  <c r="M115" i="20" s="1"/>
  <c r="N115" i="20" s="1"/>
  <c r="M116" i="20" a="1"/>
  <c r="M116" i="20" s="1"/>
  <c r="N116" i="20" s="1"/>
  <c r="M117" i="20" a="1"/>
  <c r="M117" i="20" s="1"/>
  <c r="M118" i="20" a="1"/>
  <c r="M118" i="20" s="1"/>
  <c r="N118" i="20" s="1"/>
  <c r="M119" i="20" a="1"/>
  <c r="M119" i="20" s="1"/>
  <c r="N119" i="20" s="1"/>
  <c r="M120" i="20" a="1"/>
  <c r="M120" i="20"/>
  <c r="M121" i="20" a="1"/>
  <c r="M121" i="20" s="1"/>
  <c r="M122" i="20" a="1"/>
  <c r="M122" i="20" s="1"/>
  <c r="N122" i="20" s="1"/>
  <c r="M123" i="20" a="1"/>
  <c r="M123" i="20" s="1"/>
  <c r="N123" i="20" s="1"/>
  <c r="M124" i="20" a="1"/>
  <c r="M124" i="20"/>
  <c r="M125" i="20" a="1"/>
  <c r="M125" i="20" s="1"/>
  <c r="M126" i="20" a="1"/>
  <c r="M126" i="20" s="1"/>
  <c r="M127" i="20" a="1"/>
  <c r="M127" i="20" s="1"/>
  <c r="N127" i="20" s="1"/>
  <c r="M128" i="20" a="1"/>
  <c r="M128" i="20" s="1"/>
  <c r="N128" i="20" s="1"/>
  <c r="M129" i="20" a="1"/>
  <c r="M129" i="20" s="1"/>
  <c r="M130" i="20" a="1"/>
  <c r="M130" i="20" s="1"/>
  <c r="N130" i="20" s="1"/>
  <c r="M131" i="20" a="1"/>
  <c r="M131" i="20" s="1"/>
  <c r="N131" i="20" s="1"/>
  <c r="M132" i="20" a="1"/>
  <c r="M132" i="20" s="1"/>
  <c r="N132" i="20" s="1"/>
  <c r="M133" i="20" a="1"/>
  <c r="M133" i="20" s="1"/>
  <c r="M134" i="20" a="1"/>
  <c r="M134" i="20" s="1"/>
  <c r="M135" i="20" a="1"/>
  <c r="M135" i="20" s="1"/>
  <c r="N135" i="20" s="1"/>
  <c r="M136" i="20" a="1"/>
  <c r="M136" i="20" s="1"/>
  <c r="N136" i="20" s="1"/>
  <c r="M137" i="20" a="1"/>
  <c r="M137" i="20" s="1"/>
  <c r="M138" i="20" a="1"/>
  <c r="M138" i="20"/>
  <c r="N138" i="20" s="1"/>
  <c r="M139" i="20" a="1"/>
  <c r="M139" i="20" s="1"/>
  <c r="N139" i="20" s="1"/>
  <c r="M140" i="20" a="1"/>
  <c r="M140" i="20"/>
  <c r="M141" i="20" a="1"/>
  <c r="M141" i="20" s="1"/>
  <c r="N141" i="20" s="1"/>
  <c r="M142" i="20" a="1"/>
  <c r="M142" i="20" s="1"/>
  <c r="M143" i="20" a="1"/>
  <c r="M143" i="20" s="1"/>
  <c r="N143" i="20" s="1"/>
  <c r="M144" i="20" a="1"/>
  <c r="M144" i="20"/>
  <c r="N144" i="20" s="1"/>
  <c r="M145" i="20" a="1"/>
  <c r="M145" i="20" s="1"/>
  <c r="M146" i="20" a="1"/>
  <c r="M146" i="20"/>
  <c r="M147" i="20" a="1"/>
  <c r="M147" i="20" s="1"/>
  <c r="N147" i="20" s="1"/>
  <c r="M148" i="20" a="1"/>
  <c r="M148" i="20" s="1"/>
  <c r="N148" i="20" s="1"/>
  <c r="M149" i="20" a="1"/>
  <c r="M149" i="20" s="1"/>
  <c r="M150" i="20" a="1"/>
  <c r="M150" i="20" s="1"/>
  <c r="N150" i="20" s="1"/>
  <c r="M151" i="20" a="1"/>
  <c r="M151" i="20" s="1"/>
  <c r="N151" i="20" s="1"/>
  <c r="M152" i="20" a="1"/>
  <c r="M152" i="20"/>
  <c r="M153" i="20" a="1"/>
  <c r="M153" i="20" s="1"/>
  <c r="M154" i="20" a="1"/>
  <c r="M154" i="20" s="1"/>
  <c r="N154" i="20" s="1"/>
  <c r="M155" i="20" a="1"/>
  <c r="M155" i="20" s="1"/>
  <c r="N155" i="20" s="1"/>
  <c r="M156" i="20" a="1"/>
  <c r="M156" i="20"/>
  <c r="M157" i="20" a="1"/>
  <c r="M157" i="20" s="1"/>
  <c r="M158" i="20" a="1"/>
  <c r="M158" i="20" s="1"/>
  <c r="M159" i="20" a="1"/>
  <c r="M159" i="20" s="1"/>
  <c r="N159" i="20" s="1"/>
  <c r="M160" i="20" a="1"/>
  <c r="M160" i="20" s="1"/>
  <c r="N160" i="20" s="1"/>
  <c r="M161" i="20" a="1"/>
  <c r="M161" i="20" s="1"/>
  <c r="M162" i="20" a="1"/>
  <c r="M162" i="20" s="1"/>
  <c r="N162" i="20" s="1"/>
  <c r="M163" i="20" a="1"/>
  <c r="M163" i="20" s="1"/>
  <c r="N163" i="20" s="1"/>
  <c r="M164" i="20" a="1"/>
  <c r="M164" i="20" s="1"/>
  <c r="N164" i="20" s="1"/>
  <c r="M165" i="20" a="1"/>
  <c r="M165" i="20" s="1"/>
  <c r="M166" i="20" a="1"/>
  <c r="M166" i="20" s="1"/>
  <c r="M167" i="20" a="1"/>
  <c r="M167" i="20" s="1"/>
  <c r="N167" i="20" s="1"/>
  <c r="M168" i="20" a="1"/>
  <c r="M168" i="20" s="1"/>
  <c r="N168" i="20" s="1"/>
  <c r="M169" i="20" a="1"/>
  <c r="M169" i="20" s="1"/>
  <c r="M170" i="20" a="1"/>
  <c r="M170" i="20"/>
  <c r="N170" i="20" s="1"/>
  <c r="M171" i="20" a="1"/>
  <c r="M171" i="20" s="1"/>
  <c r="N171" i="20" s="1"/>
  <c r="M172" i="20" a="1"/>
  <c r="M172" i="20"/>
  <c r="M173" i="20" a="1"/>
  <c r="M173" i="20" s="1"/>
  <c r="N173" i="20" s="1"/>
  <c r="M174" i="20" a="1"/>
  <c r="M174" i="20" s="1"/>
  <c r="M175" i="20" a="1"/>
  <c r="M175" i="20" s="1"/>
  <c r="N175" i="20" s="1"/>
  <c r="M176" i="20" a="1"/>
  <c r="M176" i="20"/>
  <c r="N176" i="20" s="1"/>
  <c r="M177" i="20" a="1"/>
  <c r="M177" i="20" s="1"/>
  <c r="M178" i="20" a="1"/>
  <c r="M178" i="20"/>
  <c r="M179" i="20" a="1"/>
  <c r="M179" i="20" s="1"/>
  <c r="N179" i="20" s="1"/>
  <c r="M180" i="20" a="1"/>
  <c r="M180" i="20" s="1"/>
  <c r="N180" i="20" s="1"/>
  <c r="M181" i="20" a="1"/>
  <c r="M181" i="20" s="1"/>
  <c r="M182" i="20" a="1"/>
  <c r="M182" i="20" s="1"/>
  <c r="N182" i="20" s="1"/>
  <c r="M183" i="20" a="1"/>
  <c r="M183" i="20" s="1"/>
  <c r="N183" i="20" s="1"/>
  <c r="M184" i="20" a="1"/>
  <c r="M184" i="20"/>
  <c r="M185" i="20" a="1"/>
  <c r="M185" i="20" s="1"/>
  <c r="M186" i="20" a="1"/>
  <c r="M186" i="20" s="1"/>
  <c r="N186" i="20" s="1"/>
  <c r="M187" i="20" a="1"/>
  <c r="M187" i="20" s="1"/>
  <c r="N187" i="20" s="1"/>
  <c r="M188" i="20" a="1"/>
  <c r="M188" i="20"/>
  <c r="M189" i="20" a="1"/>
  <c r="M189" i="20" s="1"/>
  <c r="M190" i="20" a="1"/>
  <c r="M190" i="20" s="1"/>
  <c r="M191" i="20" a="1"/>
  <c r="M191" i="20" s="1"/>
  <c r="N191" i="20" s="1"/>
  <c r="M192" i="20" a="1"/>
  <c r="M192" i="20" s="1"/>
  <c r="N192" i="20" s="1"/>
  <c r="M193" i="20" a="1"/>
  <c r="M193" i="20" s="1"/>
  <c r="M194" i="20" a="1"/>
  <c r="M194" i="20" s="1"/>
  <c r="N194" i="20" s="1"/>
  <c r="M195" i="20" a="1"/>
  <c r="M195" i="20" s="1"/>
  <c r="N195" i="20" s="1"/>
  <c r="M196" i="20" a="1"/>
  <c r="M196" i="20" s="1"/>
  <c r="M197" i="20" a="1"/>
  <c r="M197" i="20" s="1"/>
  <c r="M198" i="20" a="1"/>
  <c r="M198" i="20" s="1"/>
  <c r="M199" i="20" a="1"/>
  <c r="M199" i="20" s="1"/>
  <c r="N199" i="20" s="1"/>
  <c r="M200" i="20" a="1"/>
  <c r="M200" i="20" s="1"/>
  <c r="N200" i="20" s="1"/>
  <c r="M201" i="20" a="1"/>
  <c r="M201" i="20" s="1"/>
  <c r="M202" i="20" a="1"/>
  <c r="M202" i="20"/>
  <c r="N202" i="20" s="1"/>
  <c r="M203" i="20" a="1"/>
  <c r="M203" i="20" s="1"/>
  <c r="N203" i="20" s="1"/>
  <c r="M204" i="20" a="1"/>
  <c r="M204" i="20"/>
  <c r="M205" i="20" a="1"/>
  <c r="M205" i="20" s="1"/>
  <c r="N205" i="20" s="1"/>
  <c r="M206" i="20" a="1"/>
  <c r="M206" i="20" s="1"/>
  <c r="M207" i="20" a="1"/>
  <c r="M207" i="20" s="1"/>
  <c r="N207" i="20" s="1"/>
  <c r="M208" i="20" a="1"/>
  <c r="M208" i="20"/>
  <c r="N208" i="20" s="1"/>
  <c r="M209" i="20" a="1"/>
  <c r="M209" i="20" s="1"/>
  <c r="M210" i="20" a="1"/>
  <c r="M210" i="20" s="1"/>
  <c r="M211" i="20" a="1"/>
  <c r="M211" i="20" s="1"/>
  <c r="N211" i="20" s="1"/>
  <c r="M212" i="20" a="1"/>
  <c r="M212" i="20" s="1"/>
  <c r="N212" i="20" s="1"/>
  <c r="M213" i="20" a="1"/>
  <c r="M213" i="20" s="1"/>
  <c r="M214" i="20" a="1"/>
  <c r="M214" i="20" s="1"/>
  <c r="N214" i="20" s="1"/>
  <c r="M215" i="20" a="1"/>
  <c r="M215" i="20" s="1"/>
  <c r="N215" i="20" s="1"/>
  <c r="M216" i="20" a="1"/>
  <c r="M216" i="20" s="1"/>
  <c r="N216" i="20" s="1"/>
  <c r="M217" i="20" a="1"/>
  <c r="M217" i="20" s="1"/>
  <c r="M218" i="20" a="1"/>
  <c r="M218" i="20" s="1"/>
  <c r="N218" i="20" s="1"/>
  <c r="M219" i="20" a="1"/>
  <c r="M219" i="20" s="1"/>
  <c r="N219" i="20" s="1"/>
  <c r="M220" i="20" a="1"/>
  <c r="M220" i="20"/>
  <c r="M221" i="20" a="1"/>
  <c r="M221" i="20" s="1"/>
  <c r="M222" i="20" a="1"/>
  <c r="M222" i="20" s="1"/>
  <c r="M223" i="20" a="1"/>
  <c r="M223" i="20" s="1"/>
  <c r="N223" i="20" s="1"/>
  <c r="M224" i="20" a="1"/>
  <c r="M224" i="20" s="1"/>
  <c r="N224" i="20" s="1"/>
  <c r="M225" i="20" a="1"/>
  <c r="M225" i="20" s="1"/>
  <c r="M226" i="20" a="1"/>
  <c r="M226" i="20" s="1"/>
  <c r="N226" i="20" s="1"/>
  <c r="M227" i="20" a="1"/>
  <c r="M227" i="20" s="1"/>
  <c r="N227" i="20" s="1"/>
  <c r="M228" i="20" a="1"/>
  <c r="M228" i="20" s="1"/>
  <c r="N228" i="20" s="1"/>
  <c r="M229" i="20" a="1"/>
  <c r="M229" i="20" s="1"/>
  <c r="M230" i="20" a="1"/>
  <c r="M230" i="20" s="1"/>
  <c r="M231" i="20" a="1"/>
  <c r="M231" i="20" s="1"/>
  <c r="N231" i="20" s="1"/>
  <c r="M232" i="20" a="1"/>
  <c r="M232" i="20" s="1"/>
  <c r="N232" i="20" s="1"/>
  <c r="M233" i="20" a="1"/>
  <c r="M233" i="20" s="1"/>
  <c r="M234" i="20" a="1"/>
  <c r="M234" i="20"/>
  <c r="N234" i="20" s="1"/>
  <c r="M235" i="20" a="1"/>
  <c r="M235" i="20" s="1"/>
  <c r="N235" i="20" s="1"/>
  <c r="M236" i="20" a="1"/>
  <c r="M236" i="20" s="1"/>
  <c r="N236" i="20" s="1"/>
  <c r="M237" i="20" a="1"/>
  <c r="M237" i="20" s="1"/>
  <c r="N237" i="20" s="1"/>
  <c r="M238" i="20" a="1"/>
  <c r="M238" i="20" s="1"/>
  <c r="M239" i="20" a="1"/>
  <c r="M239" i="20" s="1"/>
  <c r="N239" i="20" s="1"/>
  <c r="M240" i="20" a="1"/>
  <c r="M240" i="20"/>
  <c r="N240" i="20" s="1"/>
  <c r="M241" i="20" a="1"/>
  <c r="M241" i="20" s="1"/>
  <c r="M242" i="20" a="1"/>
  <c r="M242" i="20" s="1"/>
  <c r="N242" i="20" s="1"/>
  <c r="M243" i="20" a="1"/>
  <c r="M243" i="20" s="1"/>
  <c r="N243" i="20" s="1"/>
  <c r="M244" i="20" a="1"/>
  <c r="M244" i="20" s="1"/>
  <c r="N244" i="20" s="1"/>
  <c r="M245" i="20" a="1"/>
  <c r="M245" i="20" s="1"/>
  <c r="M246" i="20" a="1"/>
  <c r="M246" i="20" s="1"/>
  <c r="N246" i="20" s="1"/>
  <c r="M247" i="20" a="1"/>
  <c r="M247" i="20" s="1"/>
  <c r="N247" i="20" s="1"/>
  <c r="M248" i="20" a="1"/>
  <c r="M248" i="20" s="1"/>
  <c r="M249" i="20" a="1"/>
  <c r="M249" i="20" s="1"/>
  <c r="M250" i="20" a="1"/>
  <c r="M250" i="20" s="1"/>
  <c r="N250" i="20" s="1"/>
  <c r="M251" i="20" a="1"/>
  <c r="M251" i="20" s="1"/>
  <c r="N251" i="20" s="1"/>
  <c r="M252" i="20" a="1"/>
  <c r="M252" i="20"/>
  <c r="M253" i="20" a="1"/>
  <c r="M253" i="20" s="1"/>
  <c r="M254" i="20" a="1"/>
  <c r="M254" i="20" s="1"/>
  <c r="M255" i="20" a="1"/>
  <c r="M255" i="20" s="1"/>
  <c r="N255" i="20" s="1"/>
  <c r="M256" i="20" a="1"/>
  <c r="M256" i="20" s="1"/>
  <c r="N256" i="20" s="1"/>
  <c r="M257" i="20" a="1"/>
  <c r="M257" i="20" s="1"/>
  <c r="M258" i="20" a="1"/>
  <c r="M258" i="20" s="1"/>
  <c r="N258" i="20" s="1"/>
  <c r="M259" i="20" a="1"/>
  <c r="M259" i="20" s="1"/>
  <c r="N259" i="20" s="1"/>
  <c r="M260" i="20" a="1"/>
  <c r="M260" i="20" s="1"/>
  <c r="N260" i="20" s="1"/>
  <c r="M261" i="20" a="1"/>
  <c r="M261" i="20" s="1"/>
  <c r="M262" i="20" a="1"/>
  <c r="M262" i="20" s="1"/>
  <c r="M263" i="20" a="1"/>
  <c r="M263" i="20" s="1"/>
  <c r="N263" i="20" s="1"/>
  <c r="M264" i="20" a="1"/>
  <c r="M264" i="20" s="1"/>
  <c r="N264" i="20" s="1"/>
  <c r="M265" i="20" a="1"/>
  <c r="M265" i="20" s="1"/>
  <c r="M266" i="20" a="1"/>
  <c r="M266" i="20"/>
  <c r="N266" i="20" s="1"/>
  <c r="M267" i="20" a="1"/>
  <c r="M267" i="20" s="1"/>
  <c r="N267" i="20" s="1"/>
  <c r="M268" i="20" a="1"/>
  <c r="M268" i="20" s="1"/>
  <c r="N268" i="20" s="1"/>
  <c r="M269" i="20" a="1"/>
  <c r="M269" i="20" s="1"/>
  <c r="N269" i="20" s="1"/>
  <c r="M270" i="20" a="1"/>
  <c r="M270" i="20" s="1"/>
  <c r="M271" i="20" a="1"/>
  <c r="M271" i="20" s="1"/>
  <c r="N271" i="20" s="1"/>
  <c r="M272" i="20" a="1"/>
  <c r="M272" i="20"/>
  <c r="N272" i="20" s="1"/>
  <c r="M273" i="20" a="1"/>
  <c r="M273" i="20" s="1"/>
  <c r="M274" i="20" a="1"/>
  <c r="M274" i="20" s="1"/>
  <c r="N274" i="20" s="1"/>
  <c r="M275" i="20" a="1"/>
  <c r="M275" i="20" s="1"/>
  <c r="N275" i="20" s="1"/>
  <c r="M276" i="20" a="1"/>
  <c r="M276" i="20" s="1"/>
  <c r="N276" i="20" s="1"/>
  <c r="M277" i="20" a="1"/>
  <c r="M277" i="20" s="1"/>
  <c r="M278" i="20" a="1"/>
  <c r="M278" i="20" s="1"/>
  <c r="N278" i="20" s="1"/>
  <c r="M279" i="20" a="1"/>
  <c r="M279" i="20" s="1"/>
  <c r="N279" i="20" s="1"/>
  <c r="M280" i="20" a="1"/>
  <c r="M280" i="20" s="1"/>
  <c r="M281" i="20" a="1"/>
  <c r="M281" i="20" s="1"/>
  <c r="M282" i="20" a="1"/>
  <c r="M282" i="20" s="1"/>
  <c r="N282" i="20" s="1"/>
  <c r="M283" i="20" a="1"/>
  <c r="M283" i="20" s="1"/>
  <c r="N283" i="20" s="1"/>
  <c r="M284" i="20" a="1"/>
  <c r="M284" i="20"/>
  <c r="M285" i="20" a="1"/>
  <c r="M285" i="20" s="1"/>
  <c r="M286" i="20" a="1"/>
  <c r="M286" i="20" s="1"/>
  <c r="M287" i="20" a="1"/>
  <c r="M287" i="20" s="1"/>
  <c r="N287" i="20" s="1"/>
  <c r="M288" i="20" a="1"/>
  <c r="M288" i="20" s="1"/>
  <c r="N288" i="20" s="1"/>
  <c r="M289" i="20" a="1"/>
  <c r="M289" i="20" s="1"/>
  <c r="M290" i="20" a="1"/>
  <c r="M290" i="20" s="1"/>
  <c r="N290" i="20" s="1"/>
  <c r="M291" i="20" a="1"/>
  <c r="M291" i="20" s="1"/>
  <c r="N291" i="20" s="1"/>
  <c r="M292" i="20" a="1"/>
  <c r="M292" i="20" s="1"/>
  <c r="N292" i="20" s="1"/>
  <c r="M293" i="20" a="1"/>
  <c r="M293" i="20" s="1"/>
  <c r="M294" i="20" a="1"/>
  <c r="M294" i="20" s="1"/>
  <c r="M295" i="20" a="1"/>
  <c r="M295" i="20" s="1"/>
  <c r="N295" i="20" s="1"/>
  <c r="M296" i="20" a="1"/>
  <c r="M296" i="20" s="1"/>
  <c r="N296" i="20" s="1"/>
  <c r="M297" i="20" a="1"/>
  <c r="M297" i="20" s="1"/>
  <c r="M298" i="20" a="1"/>
  <c r="M298" i="20"/>
  <c r="N298" i="20" s="1"/>
  <c r="M299" i="20" a="1"/>
  <c r="M299" i="20" s="1"/>
  <c r="N299" i="20" s="1"/>
  <c r="M300" i="20" a="1"/>
  <c r="M300" i="20" s="1"/>
  <c r="N300" i="20" s="1"/>
  <c r="M301" i="20" a="1"/>
  <c r="M301" i="20" s="1"/>
  <c r="N301" i="20" s="1"/>
  <c r="M302" i="20" a="1"/>
  <c r="M302" i="20" s="1"/>
  <c r="M303" i="20" a="1"/>
  <c r="M303" i="20" s="1"/>
  <c r="N303" i="20" s="1"/>
  <c r="M304" i="20" a="1"/>
  <c r="M304" i="20"/>
  <c r="N304" i="20" s="1"/>
  <c r="M305" i="20" a="1"/>
  <c r="M305" i="20" s="1"/>
  <c r="M306" i="20" a="1"/>
  <c r="M306" i="20" s="1"/>
  <c r="N306" i="20" s="1"/>
  <c r="M307" i="20" a="1"/>
  <c r="M307" i="20" s="1"/>
  <c r="N307" i="20" s="1"/>
  <c r="M308" i="20" a="1"/>
  <c r="M308" i="20" s="1"/>
  <c r="N308" i="20" s="1"/>
  <c r="M309" i="20" a="1"/>
  <c r="M309" i="20" s="1"/>
  <c r="M310" i="20" a="1"/>
  <c r="M310" i="20" s="1"/>
  <c r="N310" i="20" s="1"/>
  <c r="M311" i="20" a="1"/>
  <c r="M311" i="20" s="1"/>
  <c r="N311" i="20" s="1"/>
  <c r="M312" i="20" a="1"/>
  <c r="M312" i="20" s="1"/>
  <c r="M313" i="20" a="1"/>
  <c r="M313" i="20" s="1"/>
  <c r="M314" i="20" a="1"/>
  <c r="M314" i="20" s="1"/>
  <c r="N314" i="20" s="1"/>
  <c r="M315" i="20" a="1"/>
  <c r="M315" i="20" s="1"/>
  <c r="N315" i="20" s="1"/>
  <c r="M316" i="20" a="1"/>
  <c r="M316" i="20"/>
  <c r="M317" i="20" a="1"/>
  <c r="M317" i="20" s="1"/>
  <c r="M318" i="20" a="1"/>
  <c r="M318" i="20" s="1"/>
  <c r="M319" i="20" a="1"/>
  <c r="M319" i="20" s="1"/>
  <c r="N319" i="20" s="1"/>
  <c r="M320" i="20" a="1"/>
  <c r="M320" i="20" s="1"/>
  <c r="N320" i="20" s="1"/>
  <c r="M321" i="20" a="1"/>
  <c r="M321" i="20" s="1"/>
  <c r="M322" i="20" a="1"/>
  <c r="M322" i="20" s="1"/>
  <c r="N322" i="20" s="1"/>
  <c r="M323" i="20" a="1"/>
  <c r="M323" i="20" s="1"/>
  <c r="N323" i="20" s="1"/>
  <c r="M324" i="20" a="1"/>
  <c r="M324" i="20" s="1"/>
  <c r="N324" i="20" s="1"/>
  <c r="M325" i="20" a="1"/>
  <c r="M325" i="20" s="1"/>
  <c r="M326" i="20" a="1"/>
  <c r="M326" i="20" s="1"/>
  <c r="M327" i="20" a="1"/>
  <c r="M327" i="20" s="1"/>
  <c r="N327" i="20" s="1"/>
  <c r="M328" i="20" a="1"/>
  <c r="M328" i="20" s="1"/>
  <c r="N328" i="20" s="1"/>
  <c r="M329" i="20" a="1"/>
  <c r="M329" i="20" s="1"/>
  <c r="M330" i="20" a="1"/>
  <c r="M330" i="20"/>
  <c r="N330" i="20" s="1"/>
  <c r="M331" i="20" a="1"/>
  <c r="M331" i="20" s="1"/>
  <c r="N331" i="20" s="1"/>
  <c r="M332" i="20" a="1"/>
  <c r="M332" i="20" s="1"/>
  <c r="N332" i="20" s="1"/>
  <c r="M333" i="20" a="1"/>
  <c r="M333" i="20" s="1"/>
  <c r="N333" i="20" s="1"/>
  <c r="M334" i="20" a="1"/>
  <c r="M334" i="20" s="1"/>
  <c r="M335" i="20" a="1"/>
  <c r="M335" i="20" s="1"/>
  <c r="N335" i="20" s="1"/>
  <c r="M336" i="20" a="1"/>
  <c r="M336" i="20"/>
  <c r="N336" i="20" s="1"/>
  <c r="M337" i="20" a="1"/>
  <c r="M337" i="20" s="1"/>
  <c r="M338" i="20" a="1"/>
  <c r="M338" i="20" s="1"/>
  <c r="N338" i="20" s="1"/>
  <c r="M339" i="20" a="1"/>
  <c r="M339" i="20" s="1"/>
  <c r="N339" i="20" s="1"/>
  <c r="M340" i="20" a="1"/>
  <c r="M340" i="20" s="1"/>
  <c r="N340" i="20" s="1"/>
  <c r="M341" i="20" a="1"/>
  <c r="M341" i="20" s="1"/>
  <c r="M342" i="20" a="1"/>
  <c r="M342" i="20" s="1"/>
  <c r="N342" i="20" s="1"/>
  <c r="M343" i="20" a="1"/>
  <c r="M343" i="20" s="1"/>
  <c r="N343" i="20" s="1"/>
  <c r="M344" i="20" a="1"/>
  <c r="M344" i="20" s="1"/>
  <c r="M345" i="20" a="1"/>
  <c r="M345" i="20" s="1"/>
  <c r="M346" i="20" a="1"/>
  <c r="M346" i="20" s="1"/>
  <c r="N346" i="20" s="1"/>
  <c r="M347" i="20" a="1"/>
  <c r="M347" i="20" s="1"/>
  <c r="N347" i="20" s="1"/>
  <c r="M348" i="20" a="1"/>
  <c r="M348" i="20"/>
  <c r="M349" i="20" a="1"/>
  <c r="M349" i="20" s="1"/>
  <c r="M350" i="20" a="1"/>
  <c r="M350" i="20" s="1"/>
  <c r="M351" i="20" a="1"/>
  <c r="M351" i="20" s="1"/>
  <c r="N351" i="20" s="1"/>
  <c r="M352" i="20" a="1"/>
  <c r="M352" i="20" s="1"/>
  <c r="N352" i="20" s="1"/>
  <c r="M353" i="20" a="1"/>
  <c r="M353" i="20" s="1"/>
  <c r="M354" i="20" a="1"/>
  <c r="M354" i="20" s="1"/>
  <c r="N354" i="20" s="1"/>
  <c r="M355" i="20" a="1"/>
  <c r="M355" i="20" s="1"/>
  <c r="N355" i="20" s="1"/>
  <c r="M356" i="20" a="1"/>
  <c r="M356" i="20" s="1"/>
  <c r="N356" i="20" s="1"/>
  <c r="M357" i="20" a="1"/>
  <c r="M357" i="20" s="1"/>
  <c r="M358" i="20" a="1"/>
  <c r="M358" i="20" s="1"/>
  <c r="M359" i="20" a="1"/>
  <c r="M359" i="20" s="1"/>
  <c r="N359" i="20" s="1"/>
  <c r="M360" i="20" a="1"/>
  <c r="M360" i="20" s="1"/>
  <c r="N360" i="20" s="1"/>
  <c r="M361" i="20" a="1"/>
  <c r="M361" i="20" s="1"/>
  <c r="M362" i="20" a="1"/>
  <c r="M362" i="20"/>
  <c r="N362" i="20" s="1"/>
  <c r="M363" i="20" a="1"/>
  <c r="M363" i="20" s="1"/>
  <c r="N363" i="20" s="1"/>
  <c r="M364" i="20" a="1"/>
  <c r="M364" i="20" s="1"/>
  <c r="N364" i="20" s="1"/>
  <c r="M365" i="20" a="1"/>
  <c r="M365" i="20" s="1"/>
  <c r="N365" i="20" s="1"/>
  <c r="M366" i="20" a="1"/>
  <c r="M366" i="20" s="1"/>
  <c r="M367" i="20" a="1"/>
  <c r="M367" i="20" s="1"/>
  <c r="N367" i="20" s="1"/>
  <c r="M368" i="20" a="1"/>
  <c r="M368" i="20"/>
  <c r="N368" i="20" s="1"/>
  <c r="M369" i="20" a="1"/>
  <c r="M369" i="20" s="1"/>
  <c r="M370" i="20" a="1"/>
  <c r="M370" i="20" s="1"/>
  <c r="N370" i="20" s="1"/>
  <c r="M371" i="20" a="1"/>
  <c r="M371" i="20" s="1"/>
  <c r="N371" i="20" s="1"/>
  <c r="M372" i="20" a="1"/>
  <c r="M372" i="20" s="1"/>
  <c r="N372" i="20" s="1"/>
  <c r="M373" i="20" a="1"/>
  <c r="M373" i="20" s="1"/>
  <c r="M374" i="20" a="1"/>
  <c r="M374" i="20" s="1"/>
  <c r="N374" i="20" s="1"/>
  <c r="M375" i="20" a="1"/>
  <c r="M375" i="20" s="1"/>
  <c r="N375" i="20" s="1"/>
  <c r="M376" i="20" a="1"/>
  <c r="M376" i="20" s="1"/>
  <c r="M377" i="20" a="1"/>
  <c r="M377" i="20" s="1"/>
  <c r="M378" i="20" a="1"/>
  <c r="M378" i="20" s="1"/>
  <c r="N378" i="20" s="1"/>
  <c r="M379" i="20" a="1"/>
  <c r="M379" i="20" s="1"/>
  <c r="N379" i="20" s="1"/>
  <c r="M380" i="20" a="1"/>
  <c r="M380" i="20"/>
  <c r="M381" i="20" a="1"/>
  <c r="M381" i="20" s="1"/>
  <c r="M382" i="20" a="1"/>
  <c r="M382" i="20" s="1"/>
  <c r="M383" i="20" a="1"/>
  <c r="M383" i="20" s="1"/>
  <c r="N383" i="20" s="1"/>
  <c r="M384" i="20" a="1"/>
  <c r="M384" i="20" s="1"/>
  <c r="N384" i="20" s="1"/>
  <c r="M385" i="20" a="1"/>
  <c r="M385" i="20" s="1"/>
  <c r="M386" i="20" a="1"/>
  <c r="M386" i="20" s="1"/>
  <c r="N386" i="20" s="1"/>
  <c r="M387" i="20" a="1"/>
  <c r="M387" i="20" s="1"/>
  <c r="N387" i="20" s="1"/>
  <c r="M388" i="20" a="1"/>
  <c r="M388" i="20" s="1"/>
  <c r="N388" i="20" s="1"/>
  <c r="M389" i="20" a="1"/>
  <c r="M389" i="20" s="1"/>
  <c r="M390" i="20" a="1"/>
  <c r="M390" i="20" s="1"/>
  <c r="M391" i="20" a="1"/>
  <c r="M391" i="20" s="1"/>
  <c r="N391" i="20" s="1"/>
  <c r="M392" i="20" a="1"/>
  <c r="M392" i="20" s="1"/>
  <c r="N392" i="20" s="1"/>
  <c r="M393" i="20" a="1"/>
  <c r="M393" i="20" s="1"/>
  <c r="M394" i="20" a="1"/>
  <c r="M394" i="20"/>
  <c r="N394" i="20" s="1"/>
  <c r="M395" i="20" a="1"/>
  <c r="M395" i="20" s="1"/>
  <c r="N395" i="20" s="1"/>
  <c r="M396" i="20" a="1"/>
  <c r="M396" i="20" s="1"/>
  <c r="N396" i="20" s="1"/>
  <c r="M397" i="20" a="1"/>
  <c r="M397" i="20" s="1"/>
  <c r="N397" i="20" s="1"/>
  <c r="M398" i="20" a="1"/>
  <c r="M398" i="20" s="1"/>
  <c r="M399" i="20" a="1"/>
  <c r="M399" i="20" s="1"/>
  <c r="N399" i="20" s="1"/>
  <c r="M400" i="20" a="1"/>
  <c r="M400" i="20"/>
  <c r="N400" i="20" s="1"/>
  <c r="M401" i="20" a="1"/>
  <c r="M401" i="20" s="1"/>
  <c r="M402" i="20" a="1"/>
  <c r="M402" i="20" s="1"/>
  <c r="M403" i="20" a="1"/>
  <c r="M403" i="20" s="1"/>
  <c r="N403" i="20" s="1"/>
  <c r="M404" i="20" a="1"/>
  <c r="M404" i="20" s="1"/>
  <c r="N404" i="20" s="1"/>
  <c r="M405" i="20" a="1"/>
  <c r="M405" i="20" s="1"/>
  <c r="M406" i="20" a="1"/>
  <c r="M406" i="20" s="1"/>
  <c r="N406" i="20" s="1"/>
  <c r="M407" i="20" a="1"/>
  <c r="M407" i="20" s="1"/>
  <c r="N407" i="20" s="1"/>
  <c r="M408" i="20" a="1"/>
  <c r="M408" i="20" s="1"/>
  <c r="M409" i="20" a="1"/>
  <c r="M409" i="20" s="1"/>
  <c r="M410" i="20" a="1"/>
  <c r="M410" i="20" s="1"/>
  <c r="N410" i="20" s="1"/>
  <c r="M411" i="20" a="1"/>
  <c r="M411" i="20" s="1"/>
  <c r="N411" i="20" s="1"/>
  <c r="M412" i="20" a="1"/>
  <c r="M412" i="20"/>
  <c r="N412" i="20" s="1"/>
  <c r="M413" i="20" a="1"/>
  <c r="M413" i="20" s="1"/>
  <c r="M414" i="20" a="1"/>
  <c r="M414" i="20" s="1"/>
  <c r="M415" i="20" a="1"/>
  <c r="M415" i="20" s="1"/>
  <c r="N415" i="20" s="1"/>
  <c r="M416" i="20" a="1"/>
  <c r="M416" i="20" s="1"/>
  <c r="N416" i="20" s="1"/>
  <c r="M417" i="20" a="1"/>
  <c r="M417" i="20" s="1"/>
  <c r="M418" i="20" a="1"/>
  <c r="M418" i="20" s="1"/>
  <c r="N418" i="20" s="1"/>
  <c r="M419" i="20" a="1"/>
  <c r="M419" i="20" s="1"/>
  <c r="N419" i="20" s="1"/>
  <c r="M420" i="20" a="1"/>
  <c r="M420" i="20" s="1"/>
  <c r="N420" i="20" s="1"/>
  <c r="M421" i="20" a="1"/>
  <c r="M421" i="20" s="1"/>
  <c r="M422" i="20" a="1"/>
  <c r="M422" i="20" s="1"/>
  <c r="M423" i="20" a="1"/>
  <c r="M423" i="20" s="1"/>
  <c r="N423" i="20" s="1"/>
  <c r="M424" i="20" a="1"/>
  <c r="M424" i="20" s="1"/>
  <c r="N424" i="20" s="1"/>
  <c r="M425" i="20" a="1"/>
  <c r="M425" i="20" s="1"/>
  <c r="M426" i="20" a="1"/>
  <c r="M426" i="20"/>
  <c r="N426" i="20" s="1"/>
  <c r="M427" i="20" a="1"/>
  <c r="M427" i="20" s="1"/>
  <c r="N427" i="20" s="1"/>
  <c r="M428" i="20" a="1"/>
  <c r="M428" i="20" s="1"/>
  <c r="N428" i="20" s="1"/>
  <c r="M429" i="20" a="1"/>
  <c r="M429" i="20" s="1"/>
  <c r="N429" i="20" s="1"/>
  <c r="M430" i="20" a="1"/>
  <c r="M430" i="20" s="1"/>
  <c r="M431" i="20" a="1"/>
  <c r="M431" i="20" s="1"/>
  <c r="N431" i="20" s="1"/>
  <c r="M432" i="20" a="1"/>
  <c r="M432" i="20"/>
  <c r="N432" i="20" s="1"/>
  <c r="M433" i="20" a="1"/>
  <c r="M433" i="20" s="1"/>
  <c r="M434" i="20" a="1"/>
  <c r="M434" i="20" s="1"/>
  <c r="M435" i="20" a="1"/>
  <c r="M435" i="20" s="1"/>
  <c r="N435" i="20" s="1"/>
  <c r="M436" i="20" a="1"/>
  <c r="M436" i="20" s="1"/>
  <c r="N436" i="20" s="1"/>
  <c r="M437" i="20" a="1"/>
  <c r="M437" i="20" s="1"/>
  <c r="M438" i="20" a="1"/>
  <c r="M438" i="20" s="1"/>
  <c r="N438" i="20" s="1"/>
  <c r="M439" i="20" a="1"/>
  <c r="M439" i="20" s="1"/>
  <c r="N439" i="20" s="1"/>
  <c r="M440" i="20" a="1"/>
  <c r="M440" i="20" s="1"/>
  <c r="M441" i="20" a="1"/>
  <c r="M441" i="20" s="1"/>
  <c r="M442" i="20" a="1"/>
  <c r="M442" i="20" s="1"/>
  <c r="N442" i="20" s="1"/>
  <c r="M443" i="20" a="1"/>
  <c r="M443" i="20" s="1"/>
  <c r="N443" i="20" s="1"/>
  <c r="M444" i="20" a="1"/>
  <c r="M444" i="20"/>
  <c r="N444" i="20" s="1"/>
  <c r="M445" i="20" a="1"/>
  <c r="M445" i="20" s="1"/>
  <c r="M446" i="20" a="1"/>
  <c r="M446" i="20" s="1"/>
  <c r="M447" i="20" a="1"/>
  <c r="M447" i="20" s="1"/>
  <c r="N447" i="20" s="1"/>
  <c r="M448" i="20" a="1"/>
  <c r="M448" i="20" s="1"/>
  <c r="N448" i="20" s="1"/>
  <c r="M449" i="20" a="1"/>
  <c r="M449" i="20" s="1"/>
  <c r="M450" i="20" a="1"/>
  <c r="M450" i="20" s="1"/>
  <c r="N450" i="20" s="1"/>
  <c r="M451" i="20" a="1"/>
  <c r="M451" i="20" s="1"/>
  <c r="N451" i="20" s="1"/>
  <c r="M452" i="20" a="1"/>
  <c r="M452" i="20" s="1"/>
  <c r="N452" i="20" s="1"/>
  <c r="M453" i="20" a="1"/>
  <c r="M453" i="20" s="1"/>
  <c r="M454" i="20" a="1"/>
  <c r="M454" i="20" s="1"/>
  <c r="M455" i="20" a="1"/>
  <c r="M455" i="20" s="1"/>
  <c r="N455" i="20" s="1"/>
  <c r="M456" i="20" a="1"/>
  <c r="M456" i="20" s="1"/>
  <c r="N456" i="20" s="1"/>
  <c r="M457" i="20" a="1"/>
  <c r="M457" i="20" s="1"/>
  <c r="M458" i="20" a="1"/>
  <c r="M458" i="20"/>
  <c r="N458" i="20" s="1"/>
  <c r="M459" i="20" a="1"/>
  <c r="M459" i="20" s="1"/>
  <c r="N459" i="20" s="1"/>
  <c r="M460" i="20" a="1"/>
  <c r="M460" i="20" s="1"/>
  <c r="N460" i="20" s="1"/>
  <c r="M461" i="20" a="1"/>
  <c r="M461" i="20" s="1"/>
  <c r="N461" i="20" s="1"/>
  <c r="M462" i="20" a="1"/>
  <c r="M462" i="20" s="1"/>
  <c r="M463" i="20" a="1"/>
  <c r="M463" i="20" s="1"/>
  <c r="N463" i="20" s="1"/>
  <c r="M464" i="20" a="1"/>
  <c r="M464" i="20"/>
  <c r="N464" i="20" s="1"/>
  <c r="M465" i="20" a="1"/>
  <c r="M465" i="20" s="1"/>
  <c r="M466" i="20" a="1"/>
  <c r="M466" i="20" s="1"/>
  <c r="M467" i="20" a="1"/>
  <c r="M467" i="20" s="1"/>
  <c r="N467" i="20" s="1"/>
  <c r="M468" i="20" a="1"/>
  <c r="M468" i="20" s="1"/>
  <c r="N468" i="20" s="1"/>
  <c r="M469" i="20" a="1"/>
  <c r="M469" i="20" s="1"/>
  <c r="M470" i="20" a="1"/>
  <c r="M470" i="20" s="1"/>
  <c r="N470" i="20" s="1"/>
  <c r="M471" i="20" a="1"/>
  <c r="M471" i="20" s="1"/>
  <c r="N471" i="20" s="1"/>
  <c r="M472" i="20" a="1"/>
  <c r="M472" i="20" s="1"/>
  <c r="M473" i="20" a="1"/>
  <c r="M473" i="20" s="1"/>
  <c r="M474" i="20" a="1"/>
  <c r="M474" i="20" s="1"/>
  <c r="N474" i="20" s="1"/>
  <c r="M475" i="20" a="1"/>
  <c r="M475" i="20" s="1"/>
  <c r="N475" i="20" s="1"/>
  <c r="M476" i="20" a="1"/>
  <c r="M476" i="20"/>
  <c r="N476" i="20" s="1"/>
  <c r="M477" i="20" a="1"/>
  <c r="M477" i="20" s="1"/>
  <c r="M478" i="20" a="1"/>
  <c r="M478" i="20" s="1"/>
  <c r="M479" i="20" a="1"/>
  <c r="M479" i="20" s="1"/>
  <c r="N479" i="20" s="1"/>
  <c r="M480" i="20" a="1"/>
  <c r="M480" i="20" s="1"/>
  <c r="N480" i="20" s="1"/>
  <c r="M481" i="20" a="1"/>
  <c r="M481" i="20" s="1"/>
  <c r="M482" i="20" a="1"/>
  <c r="M482" i="20" s="1"/>
  <c r="N482" i="20" s="1"/>
  <c r="M483" i="20" a="1"/>
  <c r="M483" i="20" s="1"/>
  <c r="N483" i="20" s="1"/>
  <c r="M484" i="20" a="1"/>
  <c r="M484" i="20" s="1"/>
  <c r="N484" i="20" s="1"/>
  <c r="M485" i="20" a="1"/>
  <c r="M485" i="20" s="1"/>
  <c r="M486" i="20" a="1"/>
  <c r="M486" i="20" s="1"/>
  <c r="M487" i="20" a="1"/>
  <c r="M487" i="20" s="1"/>
  <c r="N487" i="20" s="1"/>
  <c r="M488" i="20" a="1"/>
  <c r="M488" i="20" s="1"/>
  <c r="N488" i="20" s="1"/>
  <c r="M489" i="20" a="1"/>
  <c r="M489" i="20" s="1"/>
  <c r="M490" i="20" a="1"/>
  <c r="M490" i="20"/>
  <c r="N490" i="20" s="1"/>
  <c r="M491" i="20" a="1"/>
  <c r="M491" i="20" s="1"/>
  <c r="N491" i="20" s="1"/>
  <c r="M492" i="20" a="1"/>
  <c r="M492" i="20" s="1"/>
  <c r="N492" i="20" s="1"/>
  <c r="M493" i="20" a="1"/>
  <c r="M493" i="20" s="1"/>
  <c r="N493" i="20" s="1"/>
  <c r="M494" i="20" a="1"/>
  <c r="M494" i="20" s="1"/>
  <c r="M495" i="20" a="1"/>
  <c r="M495" i="20" s="1"/>
  <c r="N495" i="20" s="1"/>
  <c r="M496" i="20" a="1"/>
  <c r="M496" i="20"/>
  <c r="N496" i="20" s="1"/>
  <c r="M497" i="20" a="1"/>
  <c r="M497" i="20" s="1"/>
  <c r="M498" i="20" a="1"/>
  <c r="M498" i="20" s="1"/>
  <c r="M499" i="20" a="1"/>
  <c r="M499" i="20" s="1"/>
  <c r="N499" i="20" s="1"/>
  <c r="M500" i="20" a="1"/>
  <c r="M500" i="20" s="1"/>
  <c r="N500" i="20" s="1"/>
  <c r="M501" i="20" a="1"/>
  <c r="M501" i="20" s="1"/>
  <c r="M502" i="20" a="1"/>
  <c r="M502" i="20" s="1"/>
  <c r="N502" i="20" s="1"/>
  <c r="M503" i="20" a="1"/>
  <c r="M503" i="20" s="1"/>
  <c r="N503" i="20" s="1"/>
  <c r="M504" i="20" a="1"/>
  <c r="M504" i="20" s="1"/>
  <c r="M505" i="20" a="1"/>
  <c r="M505" i="20" s="1"/>
  <c r="M506" i="20" a="1"/>
  <c r="M506" i="20" s="1"/>
  <c r="N506" i="20" s="1"/>
  <c r="M507" i="20" a="1"/>
  <c r="M507" i="20" s="1"/>
  <c r="N507" i="20" s="1"/>
  <c r="M508" i="20" a="1"/>
  <c r="M508" i="20"/>
  <c r="N508" i="20" s="1"/>
  <c r="M509" i="20" a="1"/>
  <c r="M509" i="20" s="1"/>
  <c r="M510" i="20" a="1"/>
  <c r="M510" i="20" s="1"/>
  <c r="M511" i="20" a="1"/>
  <c r="M511" i="20" s="1"/>
  <c r="N511" i="20" s="1"/>
  <c r="M512" i="20" a="1"/>
  <c r="M512" i="20" s="1"/>
  <c r="N512" i="20" s="1"/>
  <c r="M513" i="20" a="1"/>
  <c r="M513" i="20" s="1"/>
  <c r="M514" i="20" a="1"/>
  <c r="M514" i="20" s="1"/>
  <c r="N514" i="20" s="1"/>
  <c r="M515" i="20" a="1"/>
  <c r="M515" i="20" s="1"/>
  <c r="N515" i="20" s="1"/>
  <c r="M516" i="20" a="1"/>
  <c r="M516" i="20" s="1"/>
  <c r="N516" i="20" s="1"/>
  <c r="M517" i="20" a="1"/>
  <c r="M517" i="20" s="1"/>
  <c r="M518" i="20" a="1"/>
  <c r="M518" i="20" s="1"/>
  <c r="M519" i="20" a="1"/>
  <c r="M519" i="20" s="1"/>
  <c r="N519" i="20" s="1"/>
  <c r="M520" i="20" a="1"/>
  <c r="M520" i="20" s="1"/>
  <c r="N520" i="20" s="1"/>
  <c r="M521" i="20" a="1"/>
  <c r="M521" i="20" s="1"/>
  <c r="M522" i="20" a="1"/>
  <c r="M522" i="20"/>
  <c r="N522" i="20" s="1"/>
  <c r="M523" i="20" a="1"/>
  <c r="M523" i="20" s="1"/>
  <c r="N523" i="20" s="1"/>
  <c r="M524" i="20" a="1"/>
  <c r="M524" i="20" s="1"/>
  <c r="N524" i="20" s="1"/>
  <c r="M525" i="20" a="1"/>
  <c r="M525" i="20" s="1"/>
  <c r="N525" i="20" s="1"/>
  <c r="M526" i="20" a="1"/>
  <c r="M526" i="20" s="1"/>
  <c r="M527" i="20" a="1"/>
  <c r="M527" i="20" s="1"/>
  <c r="N527" i="20" s="1"/>
  <c r="M528" i="20" a="1"/>
  <c r="M528" i="20"/>
  <c r="N528" i="20" s="1"/>
  <c r="M529" i="20" a="1"/>
  <c r="M529" i="20" s="1"/>
  <c r="M530" i="20" a="1"/>
  <c r="M530" i="20" s="1"/>
  <c r="M531" i="20" a="1"/>
  <c r="M531" i="20" s="1"/>
  <c r="N531" i="20" s="1"/>
  <c r="M532" i="20" a="1"/>
  <c r="M532" i="20" s="1"/>
  <c r="N532" i="20" s="1"/>
  <c r="M533" i="20" a="1"/>
  <c r="M533" i="20" s="1"/>
  <c r="M534" i="20" a="1"/>
  <c r="M534" i="20" s="1"/>
  <c r="N534" i="20" s="1"/>
  <c r="M535" i="20" a="1"/>
  <c r="M535" i="20" s="1"/>
  <c r="N535" i="20" s="1"/>
  <c r="M536" i="20" a="1"/>
  <c r="M536" i="20" s="1"/>
  <c r="M537" i="20" a="1"/>
  <c r="M537" i="20" s="1"/>
  <c r="M538" i="20" a="1"/>
  <c r="M538" i="20" s="1"/>
  <c r="N538" i="20" s="1"/>
  <c r="M539" i="20" a="1"/>
  <c r="M539" i="20" s="1"/>
  <c r="N539" i="20" s="1"/>
  <c r="M540" i="20" a="1"/>
  <c r="M540" i="20"/>
  <c r="N540" i="20" s="1"/>
  <c r="M541" i="20" a="1"/>
  <c r="M541" i="20" s="1"/>
  <c r="M542" i="20" a="1"/>
  <c r="M542" i="20" s="1"/>
  <c r="M543" i="20" a="1"/>
  <c r="M543" i="20" s="1"/>
  <c r="N543" i="20" s="1"/>
  <c r="M544" i="20" a="1"/>
  <c r="M544" i="20" s="1"/>
  <c r="N544" i="20" s="1"/>
  <c r="M545" i="20" a="1"/>
  <c r="M545" i="20" s="1"/>
  <c r="M546" i="20" a="1"/>
  <c r="M546" i="20" s="1"/>
  <c r="N546" i="20" s="1"/>
  <c r="M547" i="20" a="1"/>
  <c r="M547" i="20" s="1"/>
  <c r="N547" i="20" s="1"/>
  <c r="M548" i="20" a="1"/>
  <c r="M548" i="20" s="1"/>
  <c r="N548" i="20" s="1"/>
  <c r="M549" i="20" a="1"/>
  <c r="M549" i="20" s="1"/>
  <c r="M550" i="20" a="1"/>
  <c r="M550" i="20" s="1"/>
  <c r="M551" i="20" a="1"/>
  <c r="M551" i="20" s="1"/>
  <c r="N551" i="20" s="1"/>
  <c r="M552" i="20" a="1"/>
  <c r="M552" i="20" s="1"/>
  <c r="N552" i="20" s="1"/>
  <c r="M553" i="20" a="1"/>
  <c r="M553" i="20" s="1"/>
  <c r="M554" i="20" a="1"/>
  <c r="M554" i="20"/>
  <c r="N554" i="20" s="1"/>
  <c r="M555" i="20" a="1"/>
  <c r="M555" i="20" s="1"/>
  <c r="N555" i="20" s="1"/>
  <c r="M556" i="20" a="1"/>
  <c r="M556" i="20" s="1"/>
  <c r="N556" i="20" s="1"/>
  <c r="M557" i="20" a="1"/>
  <c r="M557" i="20" s="1"/>
  <c r="N557" i="20" s="1"/>
  <c r="M558" i="20" a="1"/>
  <c r="M558" i="20" s="1"/>
  <c r="M559" i="20" a="1"/>
  <c r="M559" i="20" s="1"/>
  <c r="N559" i="20" s="1"/>
  <c r="M560" i="20" a="1"/>
  <c r="M560" i="20"/>
  <c r="N560" i="20" s="1"/>
  <c r="M561" i="20" a="1"/>
  <c r="M561" i="20" s="1"/>
  <c r="M562" i="20" a="1"/>
  <c r="M562" i="20" s="1"/>
  <c r="M563" i="20" a="1"/>
  <c r="M563" i="20" s="1"/>
  <c r="N563" i="20" s="1"/>
  <c r="M564" i="20" a="1"/>
  <c r="M564" i="20" s="1"/>
  <c r="N564" i="20" s="1"/>
  <c r="M565" i="20" a="1"/>
  <c r="M565" i="20" s="1"/>
  <c r="M566" i="20" a="1"/>
  <c r="M566" i="20" s="1"/>
  <c r="N566" i="20" s="1"/>
  <c r="M567" i="20" a="1"/>
  <c r="M567" i="20" s="1"/>
  <c r="N567" i="20" s="1"/>
  <c r="M568" i="20" a="1"/>
  <c r="M568" i="20" s="1"/>
  <c r="M569" i="20" a="1"/>
  <c r="M569" i="20" s="1"/>
  <c r="M570" i="20" a="1"/>
  <c r="M570" i="20" s="1"/>
  <c r="N570" i="20" s="1"/>
  <c r="M571" i="20" a="1"/>
  <c r="M571" i="20" s="1"/>
  <c r="N571" i="20" s="1"/>
  <c r="M572" i="20" a="1"/>
  <c r="M572" i="20"/>
  <c r="N572" i="20" s="1"/>
  <c r="M573" i="20" a="1"/>
  <c r="M573" i="20" s="1"/>
  <c r="M574" i="20" a="1"/>
  <c r="M574" i="20" s="1"/>
  <c r="M575" i="20" a="1"/>
  <c r="M575" i="20" s="1"/>
  <c r="N575" i="20" s="1"/>
  <c r="M576" i="20" a="1"/>
  <c r="M576" i="20" s="1"/>
  <c r="N576" i="20" s="1"/>
  <c r="M577" i="20" a="1"/>
  <c r="M577" i="20" s="1"/>
  <c r="M578" i="20" a="1"/>
  <c r="M578" i="20" s="1"/>
  <c r="N578" i="20" s="1"/>
  <c r="M579" i="20" a="1"/>
  <c r="M579" i="20" s="1"/>
  <c r="N579" i="20" s="1"/>
  <c r="M580" i="20" a="1"/>
  <c r="M580" i="20" s="1"/>
  <c r="N580" i="20" s="1"/>
  <c r="M581" i="20" a="1"/>
  <c r="M581" i="20" s="1"/>
  <c r="M582" i="20" a="1"/>
  <c r="M582" i="20" s="1"/>
  <c r="M583" i="20" a="1"/>
  <c r="M583" i="20" s="1"/>
  <c r="N583" i="20" s="1"/>
  <c r="M584" i="20" a="1"/>
  <c r="M584" i="20" s="1"/>
  <c r="N584" i="20" s="1"/>
  <c r="M585" i="20" a="1"/>
  <c r="M585" i="20" s="1"/>
  <c r="M586" i="20" a="1"/>
  <c r="M586" i="20"/>
  <c r="N586" i="20" s="1"/>
  <c r="M587" i="20" a="1"/>
  <c r="M587" i="20" s="1"/>
  <c r="N587" i="20" s="1"/>
  <c r="M588" i="20" a="1"/>
  <c r="M588" i="20" s="1"/>
  <c r="N588" i="20" s="1"/>
  <c r="M589" i="20" a="1"/>
  <c r="M589" i="20" s="1"/>
  <c r="N589" i="20" s="1"/>
  <c r="M590" i="20" a="1"/>
  <c r="M590" i="20" s="1"/>
  <c r="M591" i="20" a="1"/>
  <c r="M591" i="20" s="1"/>
  <c r="N591" i="20" s="1"/>
  <c r="M592" i="20" a="1"/>
  <c r="M592" i="20"/>
  <c r="N592" i="20" s="1"/>
  <c r="M593" i="20" a="1"/>
  <c r="M593" i="20" s="1"/>
  <c r="M594" i="20" a="1"/>
  <c r="M594" i="20" s="1"/>
  <c r="M595" i="20" a="1"/>
  <c r="M595" i="20" s="1"/>
  <c r="N595" i="20" s="1"/>
  <c r="M596" i="20" a="1"/>
  <c r="M596" i="20" s="1"/>
  <c r="N596" i="20" s="1"/>
  <c r="M597" i="20" a="1"/>
  <c r="M597" i="20" s="1"/>
  <c r="M598" i="20" a="1"/>
  <c r="M598" i="20" s="1"/>
  <c r="N598" i="20" s="1"/>
  <c r="M599" i="20" a="1"/>
  <c r="M599" i="20" s="1"/>
  <c r="N599" i="20" s="1"/>
  <c r="M600" i="20" a="1"/>
  <c r="M600" i="20" s="1"/>
  <c r="M601" i="20" a="1"/>
  <c r="M601" i="20" s="1"/>
  <c r="M602" i="20" a="1"/>
  <c r="M602" i="20" s="1"/>
  <c r="N602" i="20" s="1"/>
  <c r="M603" i="20" a="1"/>
  <c r="M603" i="20" s="1"/>
  <c r="N603" i="20" s="1"/>
  <c r="M604" i="20" a="1"/>
  <c r="M604" i="20"/>
  <c r="N604" i="20" s="1"/>
  <c r="M605" i="20" a="1"/>
  <c r="M605" i="20" s="1"/>
  <c r="M606" i="20" a="1"/>
  <c r="M606" i="20" s="1"/>
  <c r="M607" i="20" a="1"/>
  <c r="M607" i="20" s="1"/>
  <c r="N607" i="20" s="1"/>
  <c r="M608" i="20" a="1"/>
  <c r="M608" i="20" s="1"/>
  <c r="N608" i="20" s="1"/>
  <c r="M609" i="20" a="1"/>
  <c r="M609" i="20" s="1"/>
  <c r="M610" i="20" a="1"/>
  <c r="M610" i="20" s="1"/>
  <c r="N610" i="20" s="1"/>
  <c r="M611" i="20" a="1"/>
  <c r="M611" i="20" s="1"/>
  <c r="N611" i="20" s="1"/>
  <c r="M612" i="20" a="1"/>
  <c r="M612" i="20" s="1"/>
  <c r="N612" i="20" s="1"/>
  <c r="M613" i="20" a="1"/>
  <c r="M613" i="20" s="1"/>
  <c r="M614" i="20" a="1"/>
  <c r="M614" i="20" s="1"/>
  <c r="M615" i="20" a="1"/>
  <c r="M615" i="20" s="1"/>
  <c r="N615" i="20" s="1"/>
  <c r="M616" i="20" a="1"/>
  <c r="M616" i="20" s="1"/>
  <c r="N616" i="20" s="1"/>
  <c r="M617" i="20" a="1"/>
  <c r="M617" i="20" s="1"/>
  <c r="M618" i="20" a="1"/>
  <c r="M618" i="20"/>
  <c r="N618" i="20" s="1"/>
  <c r="M619" i="20" a="1"/>
  <c r="M619" i="20" s="1"/>
  <c r="N619" i="20" s="1"/>
  <c r="M620" i="20" a="1"/>
  <c r="M620" i="20" s="1"/>
  <c r="N620" i="20" s="1"/>
  <c r="M621" i="20" a="1"/>
  <c r="M621" i="20" s="1"/>
  <c r="N621" i="20" s="1"/>
  <c r="M622" i="20" a="1"/>
  <c r="M622" i="20" s="1"/>
  <c r="M623" i="20" a="1"/>
  <c r="M623" i="20" s="1"/>
  <c r="N623" i="20" s="1"/>
  <c r="M624" i="20" a="1"/>
  <c r="M624" i="20"/>
  <c r="N624" i="20" s="1"/>
  <c r="M625" i="20" a="1"/>
  <c r="M625" i="20" s="1"/>
  <c r="M626" i="20" a="1"/>
  <c r="M626" i="20" s="1"/>
  <c r="M627" i="20" a="1"/>
  <c r="M627" i="20" s="1"/>
  <c r="N627" i="20" s="1"/>
  <c r="M628" i="20" a="1"/>
  <c r="M628" i="20" s="1"/>
  <c r="M629" i="20" a="1"/>
  <c r="M629" i="20" s="1"/>
  <c r="M630" i="20" a="1"/>
  <c r="M630" i="20" s="1"/>
  <c r="N630" i="20" s="1"/>
  <c r="M631" i="20" a="1"/>
  <c r="M631" i="20" s="1"/>
  <c r="M632" i="20" a="1"/>
  <c r="M632" i="20" s="1"/>
  <c r="N632" i="20" s="1"/>
  <c r="M633" i="20" a="1"/>
  <c r="M633" i="20" s="1"/>
  <c r="M634" i="20" a="1"/>
  <c r="M634" i="20" s="1"/>
  <c r="N634" i="20" s="1"/>
  <c r="M635" i="20" a="1"/>
  <c r="M635" i="20" s="1"/>
  <c r="M636" i="20" a="1"/>
  <c r="M636" i="20"/>
  <c r="M637" i="20" a="1"/>
  <c r="M637" i="20" s="1"/>
  <c r="M638" i="20" a="1"/>
  <c r="M638" i="20" s="1"/>
  <c r="M639" i="20" a="1"/>
  <c r="M639" i="20" s="1"/>
  <c r="M640" i="20" a="1"/>
  <c r="M640" i="20" s="1"/>
  <c r="N640" i="20" s="1"/>
  <c r="M641" i="20" a="1"/>
  <c r="M641" i="20" s="1"/>
  <c r="M642" i="20" a="1"/>
  <c r="M642" i="20" s="1"/>
  <c r="N642" i="20" s="1"/>
  <c r="M643" i="20" a="1"/>
  <c r="M643" i="20" s="1"/>
  <c r="M644" i="20" a="1"/>
  <c r="M644" i="20" s="1"/>
  <c r="N644" i="20" s="1"/>
  <c r="M645" i="20" a="1"/>
  <c r="M645" i="20" s="1"/>
  <c r="M646" i="20" a="1"/>
  <c r="M646" i="20" s="1"/>
  <c r="M647" i="20" a="1"/>
  <c r="M647" i="20" s="1"/>
  <c r="M648" i="20" a="1"/>
  <c r="M648" i="20" s="1"/>
  <c r="N648" i="20" s="1"/>
  <c r="M649" i="20" a="1"/>
  <c r="M649" i="20" s="1"/>
  <c r="M650" i="20" a="1"/>
  <c r="M650" i="20"/>
  <c r="N650" i="20" s="1"/>
  <c r="M651" i="20" a="1"/>
  <c r="M651" i="20" s="1"/>
  <c r="M652" i="20" a="1"/>
  <c r="M652" i="20" s="1"/>
  <c r="M653" i="20" a="1"/>
  <c r="M653" i="20" s="1"/>
  <c r="N653" i="20" s="1"/>
  <c r="M654" i="20" a="1"/>
  <c r="M654" i="20" s="1"/>
  <c r="M655" i="20" a="1"/>
  <c r="M655" i="20" s="1"/>
  <c r="M656" i="20" a="1"/>
  <c r="M656" i="20"/>
  <c r="N656" i="20" s="1"/>
  <c r="M657" i="20" a="1"/>
  <c r="M657" i="20" s="1"/>
  <c r="M658" i="20" a="1"/>
  <c r="M658" i="20" s="1"/>
  <c r="M659" i="20" a="1"/>
  <c r="M659" i="20" s="1"/>
  <c r="M660" i="20" a="1"/>
  <c r="M660" i="20" s="1"/>
  <c r="N660" i="20" s="1"/>
  <c r="M661" i="20" a="1"/>
  <c r="M661" i="20" s="1"/>
  <c r="M662" i="20" a="1"/>
  <c r="M662" i="20" s="1"/>
  <c r="N662" i="20" s="1"/>
  <c r="M663" i="20" a="1"/>
  <c r="M663" i="20" s="1"/>
  <c r="M664" i="20" a="1"/>
  <c r="M664" i="20" s="1"/>
  <c r="M665" i="20" a="1"/>
  <c r="M665" i="20" s="1"/>
  <c r="N665" i="20" s="1"/>
  <c r="M666" i="20" a="1"/>
  <c r="M666" i="20" s="1"/>
  <c r="N666" i="20" s="1"/>
  <c r="M667" i="20" a="1"/>
  <c r="M667" i="20" s="1"/>
  <c r="M668" i="20" a="1"/>
  <c r="M668" i="20"/>
  <c r="M669" i="20" a="1"/>
  <c r="M669" i="20" s="1"/>
  <c r="M670" i="20" a="1"/>
  <c r="M670" i="20" s="1"/>
  <c r="M671" i="20" a="1"/>
  <c r="M671" i="20" s="1"/>
  <c r="M672" i="20" a="1"/>
  <c r="M672" i="20" s="1"/>
  <c r="N672" i="20" s="1"/>
  <c r="M673" i="20" a="1"/>
  <c r="M673" i="20" s="1"/>
  <c r="M674" i="20" a="1"/>
  <c r="M674" i="20" s="1"/>
  <c r="N674" i="20" s="1"/>
  <c r="M675" i="20" a="1"/>
  <c r="M675" i="20" s="1"/>
  <c r="M676" i="20" a="1"/>
  <c r="M676" i="20" s="1"/>
  <c r="N676" i="20" s="1"/>
  <c r="M677" i="20" a="1"/>
  <c r="M677" i="20" s="1"/>
  <c r="M678" i="20" a="1"/>
  <c r="M678" i="20" s="1"/>
  <c r="M679" i="20" a="1"/>
  <c r="M679" i="20" s="1"/>
  <c r="M680" i="20" a="1"/>
  <c r="M680" i="20" s="1"/>
  <c r="M681" i="20" a="1"/>
  <c r="M681" i="20"/>
  <c r="N681" i="20" s="1"/>
  <c r="M682" i="20" a="1"/>
  <c r="M682" i="20" s="1"/>
  <c r="N682" i="20" s="1"/>
  <c r="M683" i="20" a="1"/>
  <c r="M683" i="20" s="1"/>
  <c r="N683" i="20" s="1"/>
  <c r="M684" i="20" a="1"/>
  <c r="M684" i="20" s="1"/>
  <c r="M685" i="20" a="1"/>
  <c r="M685" i="20" s="1"/>
  <c r="N685" i="20" s="1"/>
  <c r="M686" i="20" a="1"/>
  <c r="M686" i="20" s="1"/>
  <c r="M687" i="20" a="1"/>
  <c r="M687" i="20" s="1"/>
  <c r="M688" i="20" a="1"/>
  <c r="M688" i="20" s="1"/>
  <c r="N688" i="20" s="1"/>
  <c r="M689" i="20" a="1"/>
  <c r="M689" i="20" s="1"/>
  <c r="M690" i="20" a="1"/>
  <c r="M690" i="20" s="1"/>
  <c r="N690" i="20" s="1"/>
  <c r="M691" i="20" a="1"/>
  <c r="M691" i="20" s="1"/>
  <c r="N691" i="20" s="1"/>
  <c r="M692" i="20" a="1"/>
  <c r="M692" i="20" s="1"/>
  <c r="M693" i="20" a="1"/>
  <c r="M693" i="20" s="1"/>
  <c r="N693" i="20" s="1"/>
  <c r="M694" i="20" a="1"/>
  <c r="M694" i="20" s="1"/>
  <c r="M695" i="20" a="1"/>
  <c r="M695" i="20" s="1"/>
  <c r="N695" i="20" s="1"/>
  <c r="M696" i="20" a="1"/>
  <c r="M696" i="20" s="1"/>
  <c r="M697" i="20" a="1"/>
  <c r="M697" i="20"/>
  <c r="M698" i="20" a="1"/>
  <c r="M698" i="20" s="1"/>
  <c r="N698" i="20" s="1"/>
  <c r="M699" i="20" a="1"/>
  <c r="M699" i="20" s="1"/>
  <c r="N699" i="20" s="1"/>
  <c r="M700" i="20" a="1"/>
  <c r="M700" i="20" s="1"/>
  <c r="M701" i="20" a="1"/>
  <c r="M701" i="20" s="1"/>
  <c r="N701" i="20" s="1"/>
  <c r="M702" i="20" a="1"/>
  <c r="M702" i="20" s="1"/>
  <c r="M703" i="20" a="1"/>
  <c r="M703" i="20" s="1"/>
  <c r="M704" i="20" a="1"/>
  <c r="M704" i="20" s="1"/>
  <c r="M705" i="20" a="1"/>
  <c r="M705" i="20" s="1"/>
  <c r="M706" i="20" a="1"/>
  <c r="M706" i="20" s="1"/>
  <c r="N706" i="20" s="1"/>
  <c r="M707" i="20" a="1"/>
  <c r="M707" i="20" s="1"/>
  <c r="N707" i="20" s="1"/>
  <c r="M708" i="20" a="1"/>
  <c r="M708" i="20" s="1"/>
  <c r="M709" i="20" a="1"/>
  <c r="M709" i="20" s="1"/>
  <c r="N709" i="20" s="1"/>
  <c r="M710" i="20" a="1"/>
  <c r="M710" i="20" s="1"/>
  <c r="M711" i="20" a="1"/>
  <c r="M711" i="20" s="1"/>
  <c r="M712" i="20" a="1"/>
  <c r="M712" i="20" s="1"/>
  <c r="M713" i="20" a="1"/>
  <c r="M713" i="20"/>
  <c r="N713" i="20" s="1"/>
  <c r="M714" i="20" a="1"/>
  <c r="M714" i="20" s="1"/>
  <c r="N714" i="20" s="1"/>
  <c r="M715" i="20" a="1"/>
  <c r="M715" i="20" s="1"/>
  <c r="N715" i="20" s="1"/>
  <c r="M716" i="20" a="1"/>
  <c r="M716" i="20" s="1"/>
  <c r="M717" i="20" a="1"/>
  <c r="M717" i="20" s="1"/>
  <c r="N717" i="20" s="1"/>
  <c r="M718" i="20" a="1"/>
  <c r="M718" i="20" s="1"/>
  <c r="M719" i="20" a="1"/>
  <c r="M719" i="20" s="1"/>
  <c r="M720" i="20" a="1"/>
  <c r="M720" i="20" s="1"/>
  <c r="N720" i="20" s="1"/>
  <c r="M721" i="20" a="1"/>
  <c r="M721" i="20" s="1"/>
  <c r="M722" i="20" a="1"/>
  <c r="M722" i="20" s="1"/>
  <c r="N722" i="20" s="1"/>
  <c r="M723" i="20" a="1"/>
  <c r="M723" i="20" s="1"/>
  <c r="N723" i="20" s="1"/>
  <c r="M724" i="20" a="1"/>
  <c r="M724" i="20" s="1"/>
  <c r="M725" i="20" a="1"/>
  <c r="M725" i="20" s="1"/>
  <c r="N725" i="20" s="1"/>
  <c r="M726" i="20" a="1"/>
  <c r="M726" i="20" s="1"/>
  <c r="M727" i="20" a="1"/>
  <c r="M727" i="20" s="1"/>
  <c r="N727" i="20" s="1"/>
  <c r="M728" i="20" a="1"/>
  <c r="M728" i="20" s="1"/>
  <c r="M729" i="20" a="1"/>
  <c r="M729" i="20"/>
  <c r="M730" i="20" a="1"/>
  <c r="M730" i="20" s="1"/>
  <c r="N730" i="20" s="1"/>
  <c r="M731" i="20" a="1"/>
  <c r="M731" i="20" s="1"/>
  <c r="N731" i="20" s="1"/>
  <c r="M732" i="20" a="1"/>
  <c r="M732" i="20" s="1"/>
  <c r="M733" i="20" a="1"/>
  <c r="M733" i="20" s="1"/>
  <c r="N733" i="20" s="1"/>
  <c r="M734" i="20" a="1"/>
  <c r="M734" i="20" s="1"/>
  <c r="M735" i="20" a="1"/>
  <c r="M735" i="20" s="1"/>
  <c r="M736" i="20" a="1"/>
  <c r="M736" i="20" s="1"/>
  <c r="M737" i="20" a="1"/>
  <c r="M737" i="20" s="1"/>
  <c r="M738" i="20" a="1"/>
  <c r="M738" i="20" s="1"/>
  <c r="N738" i="20" s="1"/>
  <c r="M739" i="20" a="1"/>
  <c r="M739" i="20" s="1"/>
  <c r="N739" i="20" s="1"/>
  <c r="M740" i="20" a="1"/>
  <c r="M740" i="20" s="1"/>
  <c r="M741" i="20" a="1"/>
  <c r="M741" i="20" s="1"/>
  <c r="N741" i="20" s="1"/>
  <c r="M742" i="20" a="1"/>
  <c r="M742" i="20" s="1"/>
  <c r="M743" i="20" a="1"/>
  <c r="M743" i="20" s="1"/>
  <c r="M744" i="20" a="1"/>
  <c r="M744" i="20" s="1"/>
  <c r="M745" i="20" a="1"/>
  <c r="M745" i="20"/>
  <c r="N745" i="20" s="1"/>
  <c r="M746" i="20" a="1"/>
  <c r="M746" i="20" s="1"/>
  <c r="N746" i="20" s="1"/>
  <c r="M747" i="20" a="1"/>
  <c r="M747" i="20" s="1"/>
  <c r="N747" i="20" s="1"/>
  <c r="M748" i="20" a="1"/>
  <c r="M748" i="20" s="1"/>
  <c r="M749" i="20" a="1"/>
  <c r="M749" i="20" s="1"/>
  <c r="N749" i="20" s="1"/>
  <c r="M750" i="20" a="1"/>
  <c r="M750" i="20" s="1"/>
  <c r="M751" i="20" a="1"/>
  <c r="M751" i="20" s="1"/>
  <c r="M752" i="20" a="1"/>
  <c r="M752" i="20" s="1"/>
  <c r="M753" i="20" a="1"/>
  <c r="M753" i="20" s="1"/>
  <c r="M754" i="20" a="1"/>
  <c r="M754" i="20" s="1"/>
  <c r="N754" i="20" s="1"/>
  <c r="M755" i="20" a="1"/>
  <c r="M755" i="20" s="1"/>
  <c r="N755" i="20" s="1"/>
  <c r="M756" i="20" a="1"/>
  <c r="M756" i="20" s="1"/>
  <c r="M757" i="20" a="1"/>
  <c r="M757" i="20" s="1"/>
  <c r="N757" i="20" s="1"/>
  <c r="M758" i="20" a="1"/>
  <c r="M758" i="20" s="1"/>
  <c r="M759" i="20" a="1"/>
  <c r="M759" i="20" s="1"/>
  <c r="M760" i="20" a="1"/>
  <c r="M760" i="20" s="1"/>
  <c r="M761" i="20" a="1"/>
  <c r="M761" i="20"/>
  <c r="M762" i="20" a="1"/>
  <c r="M762" i="20" s="1"/>
  <c r="N762" i="20" s="1"/>
  <c r="M763" i="20" a="1"/>
  <c r="M763" i="20" s="1"/>
  <c r="N763" i="20" s="1"/>
  <c r="M764" i="20" a="1"/>
  <c r="M764" i="20" s="1"/>
  <c r="M765" i="20" a="1"/>
  <c r="M765" i="20" s="1"/>
  <c r="N765" i="20" s="1"/>
  <c r="M766" i="20" a="1"/>
  <c r="M766" i="20" s="1"/>
  <c r="M767" i="20" a="1"/>
  <c r="M767" i="20" s="1"/>
  <c r="M768" i="20" a="1"/>
  <c r="M768" i="20" s="1"/>
  <c r="M769" i="20" a="1"/>
  <c r="M769" i="20" s="1"/>
  <c r="M770" i="20" a="1"/>
  <c r="M770" i="20" s="1"/>
  <c r="N770" i="20" s="1"/>
  <c r="M771" i="20" a="1"/>
  <c r="M771" i="20" s="1"/>
  <c r="N771" i="20" s="1"/>
  <c r="M772" i="20" a="1"/>
  <c r="M772" i="20" s="1"/>
  <c r="M773" i="20" a="1"/>
  <c r="M773" i="20" s="1"/>
  <c r="N773" i="20" s="1"/>
  <c r="M774" i="20" a="1"/>
  <c r="M774" i="20" s="1"/>
  <c r="M775" i="20" a="1"/>
  <c r="M775" i="20" s="1"/>
  <c r="M776" i="20" a="1"/>
  <c r="M776" i="20" s="1"/>
  <c r="M777" i="20" a="1"/>
  <c r="M777" i="20"/>
  <c r="M778" i="20" a="1"/>
  <c r="M778" i="20" s="1"/>
  <c r="N778" i="20" s="1"/>
  <c r="M779" i="20" a="1"/>
  <c r="M779" i="20" s="1"/>
  <c r="N779" i="20" s="1"/>
  <c r="M780" i="20" a="1"/>
  <c r="M780" i="20" s="1"/>
  <c r="M781" i="20" a="1"/>
  <c r="M781" i="20" s="1"/>
  <c r="N781" i="20" s="1"/>
  <c r="M782" i="20" a="1"/>
  <c r="M782" i="20" s="1"/>
  <c r="M783" i="20" a="1"/>
  <c r="M783" i="20" s="1"/>
  <c r="M784" i="20" a="1"/>
  <c r="M784" i="20" s="1"/>
  <c r="M785" i="20" a="1"/>
  <c r="M785" i="20" s="1"/>
  <c r="M786" i="20" a="1"/>
  <c r="M786" i="20" s="1"/>
  <c r="N786" i="20" s="1"/>
  <c r="M787" i="20" a="1"/>
  <c r="M787" i="20" s="1"/>
  <c r="N787" i="20" s="1"/>
  <c r="M788" i="20" a="1"/>
  <c r="M788" i="20" s="1"/>
  <c r="M789" i="20" a="1"/>
  <c r="M789" i="20" s="1"/>
  <c r="N789" i="20" s="1"/>
  <c r="M790" i="20" a="1"/>
  <c r="M790" i="20" s="1"/>
  <c r="M791" i="20" a="1"/>
  <c r="M791" i="20" s="1"/>
  <c r="M792" i="20" a="1"/>
  <c r="M792" i="20" s="1"/>
  <c r="M793" i="20" a="1"/>
  <c r="M793" i="20"/>
  <c r="M794" i="20" a="1"/>
  <c r="M794" i="20" s="1"/>
  <c r="N794" i="20" s="1"/>
  <c r="M795" i="20" a="1"/>
  <c r="M795" i="20" s="1"/>
  <c r="N795" i="20" s="1"/>
  <c r="M796" i="20" a="1"/>
  <c r="M796" i="20" s="1"/>
  <c r="M797" i="20" a="1"/>
  <c r="M797" i="20" s="1"/>
  <c r="N797" i="20" s="1"/>
  <c r="M798" i="20" a="1"/>
  <c r="M798" i="20" s="1"/>
  <c r="M799" i="20" a="1"/>
  <c r="M799" i="20" s="1"/>
  <c r="M800" i="20" a="1"/>
  <c r="M800" i="20" s="1"/>
  <c r="M801" i="20" a="1"/>
  <c r="M801" i="20" s="1"/>
  <c r="M802" i="20" a="1"/>
  <c r="M802" i="20" s="1"/>
  <c r="N802" i="20" s="1"/>
  <c r="M803" i="20" a="1"/>
  <c r="M803" i="20" s="1"/>
  <c r="N803" i="20" s="1"/>
  <c r="M804" i="20" a="1"/>
  <c r="M804" i="20" s="1"/>
  <c r="M805" i="20" a="1"/>
  <c r="M805" i="20" s="1"/>
  <c r="N805" i="20" s="1"/>
  <c r="M806" i="20" a="1"/>
  <c r="M806" i="20" s="1"/>
  <c r="M807" i="20" a="1"/>
  <c r="M807" i="20" s="1"/>
  <c r="M808" i="20" a="1"/>
  <c r="M808" i="20" s="1"/>
  <c r="M809" i="20" a="1"/>
  <c r="M809" i="20"/>
  <c r="M810" i="20" a="1"/>
  <c r="M810" i="20" s="1"/>
  <c r="N810" i="20" s="1"/>
  <c r="M811" i="20" a="1"/>
  <c r="M811" i="20" s="1"/>
  <c r="N811" i="20" s="1"/>
  <c r="M812" i="20" a="1"/>
  <c r="M812" i="20" s="1"/>
  <c r="M813" i="20" a="1"/>
  <c r="M813" i="20" s="1"/>
  <c r="N813" i="20" s="1"/>
  <c r="M814" i="20" a="1"/>
  <c r="M814" i="20" s="1"/>
  <c r="M815" i="20" a="1"/>
  <c r="M815" i="20" s="1"/>
  <c r="M816" i="20" a="1"/>
  <c r="M816" i="20" s="1"/>
  <c r="M817" i="20" a="1"/>
  <c r="M817" i="20" s="1"/>
  <c r="M818" i="20" a="1"/>
  <c r="M818" i="20" s="1"/>
  <c r="M819" i="20" a="1"/>
  <c r="M819" i="20" s="1"/>
  <c r="N819" i="20" s="1"/>
  <c r="M820" i="20" a="1"/>
  <c r="M820" i="20" s="1"/>
  <c r="M821" i="20" a="1"/>
  <c r="M821" i="20" s="1"/>
  <c r="N821" i="20" s="1"/>
  <c r="M822" i="20" a="1"/>
  <c r="M822" i="20" s="1"/>
  <c r="M823" i="20" a="1"/>
  <c r="M823" i="20" s="1"/>
  <c r="M824" i="20" a="1"/>
  <c r="M824" i="20" s="1"/>
  <c r="M825" i="20" a="1"/>
  <c r="M825" i="20"/>
  <c r="M826" i="20" a="1"/>
  <c r="M826" i="20" s="1"/>
  <c r="N826" i="20" s="1"/>
  <c r="M827" i="20" a="1"/>
  <c r="M827" i="20" s="1"/>
  <c r="N827" i="20" s="1"/>
  <c r="M828" i="20" a="1"/>
  <c r="M828" i="20" s="1"/>
  <c r="M829" i="20" a="1"/>
  <c r="M829" i="20" s="1"/>
  <c r="N829" i="20" s="1"/>
  <c r="M830" i="20" a="1"/>
  <c r="M830" i="20" s="1"/>
  <c r="M831" i="20" a="1"/>
  <c r="M831" i="20" s="1"/>
  <c r="M832" i="20" a="1"/>
  <c r="M832" i="20" s="1"/>
  <c r="M833" i="20" a="1"/>
  <c r="M833" i="20" s="1"/>
  <c r="M834" i="20" a="1"/>
  <c r="M834" i="20" s="1"/>
  <c r="N834" i="20" s="1"/>
  <c r="M835" i="20" a="1"/>
  <c r="M835" i="20" s="1"/>
  <c r="N835" i="20" s="1"/>
  <c r="M836" i="20" a="1"/>
  <c r="M836" i="20" s="1"/>
  <c r="M837" i="20" a="1"/>
  <c r="M837" i="20" s="1"/>
  <c r="N837" i="20" s="1"/>
  <c r="M838" i="20" a="1"/>
  <c r="M838" i="20" s="1"/>
  <c r="M839" i="20" a="1"/>
  <c r="M839" i="20" s="1"/>
  <c r="M840" i="20" a="1"/>
  <c r="M840" i="20" s="1"/>
  <c r="M841" i="20" a="1"/>
  <c r="M841" i="20"/>
  <c r="M842" i="20" a="1"/>
  <c r="M842" i="20" s="1"/>
  <c r="N842" i="20" s="1"/>
  <c r="M843" i="20" a="1"/>
  <c r="M843" i="20" s="1"/>
  <c r="N843" i="20" s="1"/>
  <c r="M844" i="20" a="1"/>
  <c r="M844" i="20" s="1"/>
  <c r="M845" i="20" a="1"/>
  <c r="M845" i="20" s="1"/>
  <c r="N845" i="20" s="1"/>
  <c r="M846" i="20" a="1"/>
  <c r="M846" i="20" s="1"/>
  <c r="M847" i="20" a="1"/>
  <c r="M847" i="20" s="1"/>
  <c r="M848" i="20" a="1"/>
  <c r="M848" i="20" s="1"/>
  <c r="M849" i="20" a="1"/>
  <c r="M849" i="20" s="1"/>
  <c r="M850" i="20" a="1"/>
  <c r="M850" i="20" s="1"/>
  <c r="N850" i="20" s="1"/>
  <c r="M851" i="20" a="1"/>
  <c r="M851" i="20" s="1"/>
  <c r="N851" i="20" s="1"/>
  <c r="N4" i="20"/>
  <c r="N5" i="20"/>
  <c r="N6" i="20"/>
  <c r="N9" i="20"/>
  <c r="N12" i="20"/>
  <c r="N14" i="20"/>
  <c r="N17" i="20"/>
  <c r="N18" i="20"/>
  <c r="N20" i="20"/>
  <c r="N21" i="20"/>
  <c r="N24" i="20"/>
  <c r="N25" i="20"/>
  <c r="N28" i="20"/>
  <c r="N29" i="20"/>
  <c r="N30" i="20"/>
  <c r="N33" i="20"/>
  <c r="N36" i="20"/>
  <c r="N37" i="20"/>
  <c r="N38" i="20"/>
  <c r="N41" i="20"/>
  <c r="N44" i="20"/>
  <c r="N46" i="20"/>
  <c r="N49" i="20"/>
  <c r="N50" i="20"/>
  <c r="N52" i="20"/>
  <c r="N53" i="20"/>
  <c r="N56" i="20"/>
  <c r="N57" i="20"/>
  <c r="N60" i="20"/>
  <c r="N61" i="20"/>
  <c r="N62" i="20"/>
  <c r="N65" i="20"/>
  <c r="N69" i="20"/>
  <c r="N70" i="20"/>
  <c r="N73" i="20"/>
  <c r="N76" i="20"/>
  <c r="N78" i="20"/>
  <c r="N81" i="20"/>
  <c r="N82" i="20"/>
  <c r="N85" i="20"/>
  <c r="N88" i="20"/>
  <c r="N89" i="20"/>
  <c r="N92" i="20"/>
  <c r="N93" i="20"/>
  <c r="N94" i="20"/>
  <c r="N97" i="20"/>
  <c r="N101" i="20"/>
  <c r="N102" i="20"/>
  <c r="N105" i="20"/>
  <c r="N108" i="20"/>
  <c r="N110" i="20"/>
  <c r="N113" i="20"/>
  <c r="N114" i="20"/>
  <c r="N117" i="20"/>
  <c r="N120" i="20"/>
  <c r="N121" i="20"/>
  <c r="N124" i="20"/>
  <c r="N125" i="20"/>
  <c r="N126" i="20"/>
  <c r="N129" i="20"/>
  <c r="N133" i="20"/>
  <c r="N134" i="20"/>
  <c r="N137" i="20"/>
  <c r="N140" i="20"/>
  <c r="N142" i="20"/>
  <c r="N145" i="20"/>
  <c r="N146" i="20"/>
  <c r="N149" i="20"/>
  <c r="N152" i="20"/>
  <c r="N153" i="20"/>
  <c r="N156" i="20"/>
  <c r="N157" i="20"/>
  <c r="N158" i="20"/>
  <c r="N161" i="20"/>
  <c r="N165" i="20"/>
  <c r="N166" i="20"/>
  <c r="N169" i="20"/>
  <c r="N172" i="20"/>
  <c r="N174" i="20"/>
  <c r="N177" i="20"/>
  <c r="N178" i="20"/>
  <c r="N181" i="20"/>
  <c r="N184" i="20"/>
  <c r="N185" i="20"/>
  <c r="N189" i="20"/>
  <c r="N190" i="20"/>
  <c r="N193" i="20"/>
  <c r="N196" i="20"/>
  <c r="N197" i="20"/>
  <c r="N198" i="20"/>
  <c r="N201" i="20"/>
  <c r="N204" i="20"/>
  <c r="N206" i="20"/>
  <c r="N209" i="20"/>
  <c r="N213" i="20"/>
  <c r="N217" i="20"/>
  <c r="N220" i="20"/>
  <c r="N221" i="20"/>
  <c r="N222" i="20"/>
  <c r="N225" i="20"/>
  <c r="N229" i="20"/>
  <c r="N233" i="20"/>
  <c r="N238" i="20"/>
  <c r="N241" i="20"/>
  <c r="N245" i="20"/>
  <c r="N248" i="20"/>
  <c r="N249" i="20"/>
  <c r="N252" i="20"/>
  <c r="N253" i="20"/>
  <c r="N254" i="20"/>
  <c r="N257" i="20"/>
  <c r="N261" i="20"/>
  <c r="N262" i="20"/>
  <c r="N265" i="20"/>
  <c r="N270" i="20"/>
  <c r="N273" i="20"/>
  <c r="N277" i="20"/>
  <c r="N280" i="20"/>
  <c r="N281" i="20"/>
  <c r="N284" i="20"/>
  <c r="N285" i="20"/>
  <c r="N286" i="20"/>
  <c r="N289" i="20"/>
  <c r="N293" i="20"/>
  <c r="N294" i="20"/>
  <c r="N297" i="20"/>
  <c r="N302" i="20"/>
  <c r="N305" i="20"/>
  <c r="N309" i="20"/>
  <c r="N312" i="20"/>
  <c r="N313" i="20"/>
  <c r="N316" i="20"/>
  <c r="N317" i="20"/>
  <c r="N318" i="20"/>
  <c r="N321" i="20"/>
  <c r="N325" i="20"/>
  <c r="N326" i="20"/>
  <c r="N329" i="20"/>
  <c r="N334" i="20"/>
  <c r="N337" i="20"/>
  <c r="N341" i="20"/>
  <c r="N344" i="20"/>
  <c r="N345" i="20"/>
  <c r="N348" i="20"/>
  <c r="N349" i="20"/>
  <c r="N350" i="20"/>
  <c r="N353" i="20"/>
  <c r="N357" i="20"/>
  <c r="N358" i="20"/>
  <c r="N361" i="20"/>
  <c r="N366" i="20"/>
  <c r="N369" i="20"/>
  <c r="N373" i="20"/>
  <c r="N376" i="20"/>
  <c r="N377" i="20"/>
  <c r="N380" i="20"/>
  <c r="N381" i="20"/>
  <c r="N382" i="20"/>
  <c r="N385" i="20"/>
  <c r="N389" i="20"/>
  <c r="N390" i="20"/>
  <c r="N393" i="20"/>
  <c r="N398" i="20"/>
  <c r="N401" i="20"/>
  <c r="N402" i="20"/>
  <c r="N405" i="20"/>
  <c r="N408" i="20"/>
  <c r="N409" i="20"/>
  <c r="N413" i="20"/>
  <c r="N414" i="20"/>
  <c r="N417" i="20"/>
  <c r="N421" i="20"/>
  <c r="N422" i="20"/>
  <c r="N425" i="20"/>
  <c r="N430" i="20"/>
  <c r="N433" i="20"/>
  <c r="N434" i="20"/>
  <c r="N437" i="20"/>
  <c r="N440" i="20"/>
  <c r="N441" i="20"/>
  <c r="N445" i="20"/>
  <c r="N446" i="20"/>
  <c r="N449" i="20"/>
  <c r="N453" i="20"/>
  <c r="N454" i="20"/>
  <c r="N457" i="20"/>
  <c r="N462" i="20"/>
  <c r="N465" i="20"/>
  <c r="N466" i="20"/>
  <c r="N469" i="20"/>
  <c r="N472" i="20"/>
  <c r="N473" i="20"/>
  <c r="N477" i="20"/>
  <c r="N478" i="20"/>
  <c r="N481" i="20"/>
  <c r="N485" i="20"/>
  <c r="N486" i="20"/>
  <c r="N489" i="20"/>
  <c r="N494" i="20"/>
  <c r="N497" i="20"/>
  <c r="N498" i="20"/>
  <c r="N501" i="20"/>
  <c r="N504" i="20"/>
  <c r="N505" i="20"/>
  <c r="N509" i="20"/>
  <c r="N510" i="20"/>
  <c r="N513" i="20"/>
  <c r="N517" i="20"/>
  <c r="N518" i="20"/>
  <c r="N521" i="20"/>
  <c r="N526" i="20"/>
  <c r="N529" i="20"/>
  <c r="N530" i="20"/>
  <c r="N533" i="20"/>
  <c r="N536" i="20"/>
  <c r="N537" i="20"/>
  <c r="N541" i="20"/>
  <c r="N542" i="20"/>
  <c r="N545" i="20"/>
  <c r="N549" i="20"/>
  <c r="N550" i="20"/>
  <c r="N553" i="20"/>
  <c r="N558" i="20"/>
  <c r="N561" i="20"/>
  <c r="N562" i="20"/>
  <c r="N565" i="20"/>
  <c r="N568" i="20"/>
  <c r="N569" i="20"/>
  <c r="N573" i="20"/>
  <c r="N574" i="20"/>
  <c r="N577" i="20"/>
  <c r="N581" i="20"/>
  <c r="N582" i="20"/>
  <c r="N585" i="20"/>
  <c r="N590" i="20"/>
  <c r="N593" i="20"/>
  <c r="N594" i="20"/>
  <c r="N597" i="20"/>
  <c r="N600" i="20"/>
  <c r="N601" i="20"/>
  <c r="N605" i="20"/>
  <c r="N606" i="20"/>
  <c r="N609" i="20"/>
  <c r="N613" i="20"/>
  <c r="N614" i="20"/>
  <c r="N617" i="20"/>
  <c r="N622" i="20"/>
  <c r="N625" i="20"/>
  <c r="N626" i="20"/>
  <c r="N628" i="20"/>
  <c r="N629" i="20"/>
  <c r="N631" i="20"/>
  <c r="N633" i="20"/>
  <c r="N635" i="20"/>
  <c r="N636" i="20"/>
  <c r="N637" i="20"/>
  <c r="N638" i="20"/>
  <c r="N639" i="20"/>
  <c r="N641" i="20"/>
  <c r="N643" i="20"/>
  <c r="N645" i="20"/>
  <c r="N646" i="20"/>
  <c r="N647" i="20"/>
  <c r="N649" i="20"/>
  <c r="N651" i="20"/>
  <c r="N652" i="20"/>
  <c r="N654" i="20"/>
  <c r="N655" i="20"/>
  <c r="N657" i="20"/>
  <c r="N658" i="20"/>
  <c r="N659" i="20"/>
  <c r="N661" i="20"/>
  <c r="N663" i="20"/>
  <c r="N664" i="20"/>
  <c r="N667" i="20"/>
  <c r="N668" i="20"/>
  <c r="N669" i="20"/>
  <c r="N670" i="20"/>
  <c r="N671" i="20"/>
  <c r="N673" i="20"/>
  <c r="N675" i="20"/>
  <c r="N677" i="20"/>
  <c r="N678" i="20"/>
  <c r="N679" i="20"/>
  <c r="N680" i="20"/>
  <c r="N684" i="20"/>
  <c r="N686" i="20"/>
  <c r="N687" i="20"/>
  <c r="N689" i="20"/>
  <c r="N692" i="20"/>
  <c r="N694" i="20"/>
  <c r="N696" i="20"/>
  <c r="N697" i="20"/>
  <c r="N700" i="20"/>
  <c r="N702" i="20"/>
  <c r="N703" i="20"/>
  <c r="N704" i="20"/>
  <c r="N705" i="20"/>
  <c r="N708" i="20"/>
  <c r="N710" i="20"/>
  <c r="N711" i="20"/>
  <c r="N712" i="20"/>
  <c r="N716" i="20"/>
  <c r="N718" i="20"/>
  <c r="N719" i="20"/>
  <c r="N721" i="20"/>
  <c r="N724" i="20"/>
  <c r="N726" i="20"/>
  <c r="N728" i="20"/>
  <c r="N729" i="20"/>
  <c r="N732" i="20"/>
  <c r="N734" i="20"/>
  <c r="N735" i="20"/>
  <c r="N736" i="20"/>
  <c r="N737" i="20"/>
  <c r="N740" i="20"/>
  <c r="N742" i="20"/>
  <c r="N743" i="20"/>
  <c r="N744" i="20"/>
  <c r="N748" i="20"/>
  <c r="N750" i="20"/>
  <c r="N751" i="20"/>
  <c r="N752" i="20"/>
  <c r="N753" i="20"/>
  <c r="N756" i="20"/>
  <c r="N758" i="20"/>
  <c r="N759" i="20"/>
  <c r="N760" i="20"/>
  <c r="N761" i="20"/>
  <c r="N764" i="20"/>
  <c r="N766" i="20"/>
  <c r="N767" i="20"/>
  <c r="N768" i="20"/>
  <c r="N769" i="20"/>
  <c r="N772" i="20"/>
  <c r="N774" i="20"/>
  <c r="N775" i="20"/>
  <c r="N776" i="20"/>
  <c r="N777" i="20"/>
  <c r="N780" i="20"/>
  <c r="N782" i="20"/>
  <c r="N783" i="20"/>
  <c r="N784" i="20"/>
  <c r="N785" i="20"/>
  <c r="N788" i="20"/>
  <c r="N790" i="20"/>
  <c r="N791" i="20"/>
  <c r="N792" i="20"/>
  <c r="N793" i="20"/>
  <c r="N796" i="20"/>
  <c r="N798" i="20"/>
  <c r="N799" i="20"/>
  <c r="N800" i="20"/>
  <c r="N801" i="20"/>
  <c r="N804" i="20"/>
  <c r="N806" i="20"/>
  <c r="N807" i="20"/>
  <c r="N808" i="20"/>
  <c r="N809" i="20"/>
  <c r="N812" i="20"/>
  <c r="N814" i="20"/>
  <c r="N815" i="20"/>
  <c r="N816" i="20"/>
  <c r="N817" i="20"/>
  <c r="N822" i="20"/>
  <c r="N823" i="20"/>
  <c r="N824" i="20"/>
  <c r="N825" i="20"/>
  <c r="N828" i="20"/>
  <c r="N830" i="20"/>
  <c r="N831" i="20"/>
  <c r="N832" i="20"/>
  <c r="N838" i="20"/>
  <c r="N839" i="20"/>
  <c r="N840" i="20"/>
  <c r="N841" i="20"/>
  <c r="N844" i="20"/>
  <c r="N846" i="20"/>
  <c r="N847" i="20"/>
  <c r="N848" i="20"/>
  <c r="O2" i="20" a="1"/>
  <c r="O2" i="20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/>
  <c r="O52" i="20" a="1"/>
  <c r="O52" i="20" s="1"/>
  <c r="O53" i="20" a="1"/>
  <c r="O53" i="20" s="1"/>
  <c r="O54" i="20" a="1"/>
  <c r="O54" i="20" s="1"/>
  <c r="O55" i="20" a="1"/>
  <c r="O55" i="20"/>
  <c r="O56" i="20" a="1"/>
  <c r="O56" i="20" s="1"/>
  <c r="O57" i="20" a="1"/>
  <c r="O57" i="20" s="1"/>
  <c r="O58" i="20" a="1"/>
  <c r="O58" i="20" s="1"/>
  <c r="O59" i="20" a="1"/>
  <c r="O59" i="20"/>
  <c r="O60" i="20" a="1"/>
  <c r="O60" i="20" s="1"/>
  <c r="O61" i="20" a="1"/>
  <c r="O61" i="20" s="1"/>
  <c r="O62" i="20" a="1"/>
  <c r="O62" i="20" s="1"/>
  <c r="O63" i="20" a="1"/>
  <c r="O63" i="20"/>
  <c r="O64" i="20" a="1"/>
  <c r="O64" i="20" s="1"/>
  <c r="O65" i="20" a="1"/>
  <c r="O65" i="20" s="1"/>
  <c r="O66" i="20" a="1"/>
  <c r="O66" i="20" s="1"/>
  <c r="O67" i="20" a="1"/>
  <c r="O67" i="20"/>
  <c r="O68" i="20" a="1"/>
  <c r="O68" i="20" s="1"/>
  <c r="O69" i="20" a="1"/>
  <c r="O69" i="20" s="1"/>
  <c r="O70" i="20" a="1"/>
  <c r="O70" i="20" s="1"/>
  <c r="O71" i="20" a="1"/>
  <c r="O71" i="20"/>
  <c r="O72" i="20" a="1"/>
  <c r="O72" i="20" s="1"/>
  <c r="O73" i="20" a="1"/>
  <c r="O73" i="20" s="1"/>
  <c r="O74" i="20" a="1"/>
  <c r="O74" i="20" s="1"/>
  <c r="O75" i="20" a="1"/>
  <c r="O75" i="20"/>
  <c r="O76" i="20" a="1"/>
  <c r="O76" i="20" s="1"/>
  <c r="O77" i="20" a="1"/>
  <c r="O77" i="20" s="1"/>
  <c r="O78" i="20" a="1"/>
  <c r="O78" i="20" s="1"/>
  <c r="O79" i="20" a="1"/>
  <c r="O79" i="20"/>
  <c r="O80" i="20" a="1"/>
  <c r="O80" i="20" s="1"/>
  <c r="O81" i="20" a="1"/>
  <c r="O81" i="20" s="1"/>
  <c r="O82" i="20" a="1"/>
  <c r="O82" i="20" s="1"/>
  <c r="O83" i="20" a="1"/>
  <c r="O83" i="20"/>
  <c r="O84" i="20" a="1"/>
  <c r="O84" i="20" s="1"/>
  <c r="O85" i="20" a="1"/>
  <c r="O85" i="20" s="1"/>
  <c r="O86" i="20" a="1"/>
  <c r="O86" i="20" s="1"/>
  <c r="O87" i="20" a="1"/>
  <c r="O87" i="20"/>
  <c r="O88" i="20" a="1"/>
  <c r="O88" i="20" s="1"/>
  <c r="O89" i="20" a="1"/>
  <c r="O89" i="20" s="1"/>
  <c r="O90" i="20" a="1"/>
  <c r="O90" i="20" s="1"/>
  <c r="O91" i="20" a="1"/>
  <c r="O91" i="20"/>
  <c r="O92" i="20" a="1"/>
  <c r="O92" i="20" s="1"/>
  <c r="O93" i="20" a="1"/>
  <c r="O93" i="20" s="1"/>
  <c r="O94" i="20" a="1"/>
  <c r="O94" i="20" s="1"/>
  <c r="O95" i="20" a="1"/>
  <c r="O95" i="20"/>
  <c r="O96" i="20" a="1"/>
  <c r="O96" i="20" s="1"/>
  <c r="O97" i="20" a="1"/>
  <c r="O97" i="20" s="1"/>
  <c r="O98" i="20" a="1"/>
  <c r="O98" i="20" s="1"/>
  <c r="O99" i="20" a="1"/>
  <c r="O99" i="20"/>
  <c r="O100" i="20" a="1"/>
  <c r="O100" i="20" s="1"/>
  <c r="O101" i="20" a="1"/>
  <c r="O101" i="20" s="1"/>
  <c r="O102" i="20" a="1"/>
  <c r="O102" i="20" s="1"/>
  <c r="O103" i="20" a="1"/>
  <c r="O103" i="20"/>
  <c r="O104" i="20" a="1"/>
  <c r="O104" i="20" s="1"/>
  <c r="O105" i="20" a="1"/>
  <c r="O105" i="20" s="1"/>
  <c r="O106" i="20" a="1"/>
  <c r="O106" i="20" s="1"/>
  <c r="O107" i="20" a="1"/>
  <c r="O107" i="20"/>
  <c r="O108" i="20" a="1"/>
  <c r="O108" i="20" s="1"/>
  <c r="O109" i="20" a="1"/>
  <c r="O109" i="20" s="1"/>
  <c r="O110" i="20" a="1"/>
  <c r="O110" i="20" s="1"/>
  <c r="O111" i="20" a="1"/>
  <c r="O111" i="20"/>
  <c r="O112" i="20" a="1"/>
  <c r="O112" i="20" s="1"/>
  <c r="O113" i="20" a="1"/>
  <c r="O113" i="20" s="1"/>
  <c r="O114" i="20" a="1"/>
  <c r="O114" i="20" s="1"/>
  <c r="O115" i="20" a="1"/>
  <c r="O115" i="20"/>
  <c r="O116" i="20" a="1"/>
  <c r="O116" i="20" s="1"/>
  <c r="O117" i="20" a="1"/>
  <c r="O117" i="20" s="1"/>
  <c r="O118" i="20" a="1"/>
  <c r="O118" i="20" s="1"/>
  <c r="O119" i="20" a="1"/>
  <c r="O119" i="20"/>
  <c r="O120" i="20" a="1"/>
  <c r="O120" i="20" s="1"/>
  <c r="O121" i="20" a="1"/>
  <c r="O121" i="20" s="1"/>
  <c r="O122" i="20" a="1"/>
  <c r="O122" i="20" s="1"/>
  <c r="O123" i="20" a="1"/>
  <c r="O123" i="20"/>
  <c r="O124" i="20" a="1"/>
  <c r="O124" i="20" s="1"/>
  <c r="O125" i="20" a="1"/>
  <c r="O125" i="20" s="1"/>
  <c r="O126" i="20" a="1"/>
  <c r="O126" i="20" s="1"/>
  <c r="O127" i="20" a="1"/>
  <c r="O127" i="20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 s="1"/>
  <c r="O315" i="20" a="1"/>
  <c r="O315" i="20" s="1"/>
  <c r="O316" i="20" a="1"/>
  <c r="O316" i="20" s="1"/>
  <c r="O317" i="20" a="1"/>
  <c r="O317" i="20" s="1"/>
  <c r="O318" i="20" a="1"/>
  <c r="O318" i="20" s="1"/>
  <c r="O319" i="20" a="1"/>
  <c r="O319" i="20" s="1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 s="1"/>
  <c r="O329" i="20" a="1"/>
  <c r="O329" i="20" s="1"/>
  <c r="O330" i="20" a="1"/>
  <c r="O330" i="20" s="1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 s="1"/>
  <c r="O351" i="20" a="1"/>
  <c r="O351" i="20" s="1"/>
  <c r="O352" i="20" a="1"/>
  <c r="O352" i="20" s="1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 s="1"/>
  <c r="O360" i="20" a="1"/>
  <c r="O360" i="20" s="1"/>
  <c r="O361" i="20" a="1"/>
  <c r="O361" i="20" s="1"/>
  <c r="O362" i="20" a="1"/>
  <c r="O362" i="20" s="1"/>
  <c r="O363" i="20" a="1"/>
  <c r="O363" i="20" s="1"/>
  <c r="O364" i="20" a="1"/>
  <c r="O364" i="20" s="1"/>
  <c r="O365" i="20" a="1"/>
  <c r="O365" i="20" s="1"/>
  <c r="O366" i="20" a="1"/>
  <c r="O366" i="20" s="1"/>
  <c r="O367" i="20" a="1"/>
  <c r="O367" i="20" s="1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 s="1"/>
  <c r="O375" i="20" a="1"/>
  <c r="O375" i="20" s="1"/>
  <c r="O376" i="20" a="1"/>
  <c r="O376" i="20" s="1"/>
  <c r="O377" i="20" a="1"/>
  <c r="O377" i="20" s="1"/>
  <c r="O378" i="20" a="1"/>
  <c r="O378" i="20" s="1"/>
  <c r="O379" i="20" a="1"/>
  <c r="O379" i="20" s="1"/>
  <c r="O380" i="20" a="1"/>
  <c r="O380" i="20" s="1"/>
  <c r="O381" i="20" a="1"/>
  <c r="O381" i="20" s="1"/>
  <c r="O382" i="20" a="1"/>
  <c r="O382" i="20" s="1"/>
  <c r="O383" i="20" a="1"/>
  <c r="O383" i="20" s="1"/>
  <c r="O384" i="20" a="1"/>
  <c r="O384" i="20" s="1"/>
  <c r="O385" i="20" a="1"/>
  <c r="O385" i="20" s="1"/>
  <c r="O386" i="20" a="1"/>
  <c r="O386" i="20" s="1"/>
  <c r="O387" i="20" a="1"/>
  <c r="O387" i="20" s="1"/>
  <c r="O388" i="20" a="1"/>
  <c r="O388" i="20" s="1"/>
  <c r="O389" i="20" a="1"/>
  <c r="O389" i="20" s="1"/>
  <c r="O390" i="20" a="1"/>
  <c r="O390" i="20" s="1"/>
  <c r="O391" i="20" a="1"/>
  <c r="O391" i="20" s="1"/>
  <c r="O392" i="20" a="1"/>
  <c r="O392" i="20" s="1"/>
  <c r="O393" i="20" a="1"/>
  <c r="O393" i="20" s="1"/>
  <c r="O394" i="20" a="1"/>
  <c r="O394" i="20" s="1"/>
  <c r="O395" i="20" a="1"/>
  <c r="O395" i="20" s="1"/>
  <c r="O396" i="20" a="1"/>
  <c r="O396" i="20" s="1"/>
  <c r="O397" i="20" a="1"/>
  <c r="O397" i="20" s="1"/>
  <c r="O398" i="20" a="1"/>
  <c r="O398" i="20" s="1"/>
  <c r="O399" i="20" a="1"/>
  <c r="O399" i="20" s="1"/>
  <c r="O400" i="20" a="1"/>
  <c r="O400" i="20" s="1"/>
  <c r="O401" i="20" a="1"/>
  <c r="O401" i="20" s="1"/>
  <c r="O402" i="20" a="1"/>
  <c r="O402" i="20" s="1"/>
  <c r="O403" i="20" a="1"/>
  <c r="O403" i="20" s="1"/>
  <c r="O404" i="20" a="1"/>
  <c r="O404" i="20" s="1"/>
  <c r="O405" i="20" a="1"/>
  <c r="O405" i="20" s="1"/>
  <c r="O406" i="20" a="1"/>
  <c r="O406" i="20" s="1"/>
  <c r="O407" i="20" a="1"/>
  <c r="O407" i="20" s="1"/>
  <c r="O408" i="20" a="1"/>
  <c r="O408" i="20" s="1"/>
  <c r="O409" i="20" a="1"/>
  <c r="O409" i="20" s="1"/>
  <c r="O410" i="20" a="1"/>
  <c r="O410" i="20" s="1"/>
  <c r="O411" i="20" a="1"/>
  <c r="O411" i="20" s="1"/>
  <c r="O412" i="20" a="1"/>
  <c r="O412" i="20" s="1"/>
  <c r="O413" i="20" a="1"/>
  <c r="O413" i="20" s="1"/>
  <c r="O414" i="20" a="1"/>
  <c r="O414" i="20" s="1"/>
  <c r="O415" i="20" a="1"/>
  <c r="O415" i="20" s="1"/>
  <c r="O416" i="20" a="1"/>
  <c r="O416" i="20" s="1"/>
  <c r="O417" i="20" a="1"/>
  <c r="O417" i="20" s="1"/>
  <c r="O418" i="20" a="1"/>
  <c r="O418" i="20" s="1"/>
  <c r="O419" i="20" a="1"/>
  <c r="O419" i="20" s="1"/>
  <c r="O420" i="20" a="1"/>
  <c r="O420" i="20" s="1"/>
  <c r="O421" i="20" a="1"/>
  <c r="O421" i="20" s="1"/>
  <c r="O422" i="20" a="1"/>
  <c r="O422" i="20" s="1"/>
  <c r="O423" i="20" a="1"/>
  <c r="O423" i="20" s="1"/>
  <c r="O424" i="20" a="1"/>
  <c r="O424" i="20" s="1"/>
  <c r="O425" i="20" a="1"/>
  <c r="O425" i="20" s="1"/>
  <c r="O426" i="20" a="1"/>
  <c r="O426" i="20" s="1"/>
  <c r="O427" i="20" a="1"/>
  <c r="O427" i="20" s="1"/>
  <c r="O428" i="20" a="1"/>
  <c r="O428" i="20" s="1"/>
  <c r="O429" i="20" a="1"/>
  <c r="O429" i="20" s="1"/>
  <c r="O430" i="20" a="1"/>
  <c r="O430" i="20" s="1"/>
  <c r="O431" i="20" a="1"/>
  <c r="O431" i="20" s="1"/>
  <c r="O432" i="20" a="1"/>
  <c r="O432" i="20" s="1"/>
  <c r="O433" i="20" a="1"/>
  <c r="O433" i="20" s="1"/>
  <c r="O434" i="20" a="1"/>
  <c r="O434" i="20" s="1"/>
  <c r="O435" i="20" a="1"/>
  <c r="O435" i="20" s="1"/>
  <c r="O436" i="20" a="1"/>
  <c r="O436" i="20" s="1"/>
  <c r="O437" i="20" a="1"/>
  <c r="O437" i="20" s="1"/>
  <c r="O438" i="20" a="1"/>
  <c r="O438" i="20" s="1"/>
  <c r="O439" i="20" a="1"/>
  <c r="O439" i="20" s="1"/>
  <c r="O440" i="20" a="1"/>
  <c r="O440" i="20" s="1"/>
  <c r="O441" i="20" a="1"/>
  <c r="O441" i="20" s="1"/>
  <c r="O442" i="20" a="1"/>
  <c r="O442" i="20" s="1"/>
  <c r="O443" i="20" a="1"/>
  <c r="O443" i="20" s="1"/>
  <c r="O444" i="20" a="1"/>
  <c r="O444" i="20" s="1"/>
  <c r="O445" i="20" a="1"/>
  <c r="O445" i="20" s="1"/>
  <c r="O446" i="20" a="1"/>
  <c r="O446" i="20" s="1"/>
  <c r="O447" i="20" a="1"/>
  <c r="O447" i="20" s="1"/>
  <c r="O448" i="20" a="1"/>
  <c r="O448" i="20" s="1"/>
  <c r="O449" i="20" a="1"/>
  <c r="O449" i="20" s="1"/>
  <c r="O450" i="20" a="1"/>
  <c r="O450" i="20" s="1"/>
  <c r="O451" i="20" a="1"/>
  <c r="O451" i="20" s="1"/>
  <c r="O452" i="20" a="1"/>
  <c r="O452" i="20" s="1"/>
  <c r="O453" i="20" a="1"/>
  <c r="O453" i="20" s="1"/>
  <c r="O454" i="20" a="1"/>
  <c r="O454" i="20" s="1"/>
  <c r="O455" i="20" a="1"/>
  <c r="O455" i="20" s="1"/>
  <c r="O456" i="20" a="1"/>
  <c r="O456" i="20" s="1"/>
  <c r="O457" i="20" a="1"/>
  <c r="O457" i="20" s="1"/>
  <c r="O458" i="20" a="1"/>
  <c r="O458" i="20" s="1"/>
  <c r="O459" i="20" a="1"/>
  <c r="O459" i="20" s="1"/>
  <c r="O460" i="20" a="1"/>
  <c r="O460" i="20" s="1"/>
  <c r="O461" i="20" a="1"/>
  <c r="O461" i="20" s="1"/>
  <c r="O462" i="20" a="1"/>
  <c r="O462" i="20" s="1"/>
  <c r="O463" i="20" a="1"/>
  <c r="O463" i="20" s="1"/>
  <c r="O464" i="20" a="1"/>
  <c r="O464" i="20" s="1"/>
  <c r="O465" i="20" a="1"/>
  <c r="O465" i="20" s="1"/>
  <c r="O466" i="20" a="1"/>
  <c r="O466" i="20" s="1"/>
  <c r="O467" i="20" a="1"/>
  <c r="O467" i="20" s="1"/>
  <c r="O468" i="20" a="1"/>
  <c r="O468" i="20" s="1"/>
  <c r="O469" i="20" a="1"/>
  <c r="O469" i="20" s="1"/>
  <c r="O470" i="20" a="1"/>
  <c r="O470" i="20" s="1"/>
  <c r="O471" i="20" a="1"/>
  <c r="O471" i="20" s="1"/>
  <c r="O472" i="20" a="1"/>
  <c r="O472" i="20" s="1"/>
  <c r="O473" i="20" a="1"/>
  <c r="O473" i="20" s="1"/>
  <c r="O474" i="20" a="1"/>
  <c r="O474" i="20" s="1"/>
  <c r="O475" i="20" a="1"/>
  <c r="O475" i="20" s="1"/>
  <c r="O476" i="20" a="1"/>
  <c r="O476" i="20" s="1"/>
  <c r="O477" i="20" a="1"/>
  <c r="O477" i="20" s="1"/>
  <c r="O478" i="20" a="1"/>
  <c r="O478" i="20" s="1"/>
  <c r="O479" i="20" a="1"/>
  <c r="O479" i="20" s="1"/>
  <c r="O480" i="20" a="1"/>
  <c r="O480" i="20" s="1"/>
  <c r="O481" i="20" a="1"/>
  <c r="O481" i="20" s="1"/>
  <c r="O482" i="20" a="1"/>
  <c r="O482" i="20" s="1"/>
  <c r="O483" i="20" a="1"/>
  <c r="O483" i="20" s="1"/>
  <c r="O484" i="20" a="1"/>
  <c r="O484" i="20" s="1"/>
  <c r="O485" i="20" a="1"/>
  <c r="O485" i="20" s="1"/>
  <c r="O486" i="20" a="1"/>
  <c r="O486" i="20" s="1"/>
  <c r="O487" i="20" a="1"/>
  <c r="O487" i="20" s="1"/>
  <c r="O488" i="20" a="1"/>
  <c r="O488" i="20" s="1"/>
  <c r="O489" i="20" a="1"/>
  <c r="O489" i="20" s="1"/>
  <c r="O490" i="20" a="1"/>
  <c r="O490" i="20" s="1"/>
  <c r="O491" i="20" a="1"/>
  <c r="O491" i="20" s="1"/>
  <c r="O492" i="20" a="1"/>
  <c r="O492" i="20" s="1"/>
  <c r="O493" i="20" a="1"/>
  <c r="O493" i="20" s="1"/>
  <c r="O494" i="20" a="1"/>
  <c r="O494" i="20" s="1"/>
  <c r="O495" i="20" a="1"/>
  <c r="O495" i="20" s="1"/>
  <c r="O496" i="20" a="1"/>
  <c r="O496" i="20" s="1"/>
  <c r="O497" i="20" a="1"/>
  <c r="O497" i="20" s="1"/>
  <c r="O498" i="20" a="1"/>
  <c r="O498" i="20" s="1"/>
  <c r="O499" i="20" a="1"/>
  <c r="O499" i="20" s="1"/>
  <c r="O500" i="20" a="1"/>
  <c r="O500" i="20" s="1"/>
  <c r="O501" i="20" a="1"/>
  <c r="O501" i="20" s="1"/>
  <c r="O502" i="20" a="1"/>
  <c r="O502" i="20" s="1"/>
  <c r="O503" i="20" a="1"/>
  <c r="O503" i="20" s="1"/>
  <c r="O504" i="20" a="1"/>
  <c r="O504" i="20" s="1"/>
  <c r="O505" i="20" a="1"/>
  <c r="O505" i="20" s="1"/>
  <c r="O506" i="20" a="1"/>
  <c r="O506" i="20" s="1"/>
  <c r="O507" i="20" a="1"/>
  <c r="O507" i="20" s="1"/>
  <c r="O508" i="20" a="1"/>
  <c r="O508" i="20" s="1"/>
  <c r="O509" i="20" a="1"/>
  <c r="O509" i="20" s="1"/>
  <c r="O510" i="20" a="1"/>
  <c r="O510" i="20" s="1"/>
  <c r="O511" i="20" a="1"/>
  <c r="O511" i="20" s="1"/>
  <c r="O512" i="20" a="1"/>
  <c r="O512" i="20" s="1"/>
  <c r="O513" i="20" a="1"/>
  <c r="O513" i="20" s="1"/>
  <c r="O514" i="20" a="1"/>
  <c r="O514" i="20" s="1"/>
  <c r="O515" i="20" a="1"/>
  <c r="O515" i="20" s="1"/>
  <c r="O516" i="20" a="1"/>
  <c r="O516" i="20" s="1"/>
  <c r="O517" i="20" a="1"/>
  <c r="O517" i="20" s="1"/>
  <c r="O518" i="20" a="1"/>
  <c r="O518" i="20" s="1"/>
  <c r="O519" i="20" a="1"/>
  <c r="O519" i="20" s="1"/>
  <c r="O520" i="20" a="1"/>
  <c r="O520" i="20" s="1"/>
  <c r="O521" i="20" a="1"/>
  <c r="O521" i="20" s="1"/>
  <c r="O522" i="20" a="1"/>
  <c r="O522" i="20" s="1"/>
  <c r="O523" i="20" a="1"/>
  <c r="O523" i="20" s="1"/>
  <c r="O524" i="20" a="1"/>
  <c r="O524" i="20" s="1"/>
  <c r="O525" i="20" a="1"/>
  <c r="O525" i="20" s="1"/>
  <c r="O526" i="20" a="1"/>
  <c r="O526" i="20" s="1"/>
  <c r="O527" i="20" a="1"/>
  <c r="O527" i="20" s="1"/>
  <c r="O528" i="20" a="1"/>
  <c r="O528" i="20" s="1"/>
  <c r="O529" i="20" a="1"/>
  <c r="O529" i="20" s="1"/>
  <c r="O530" i="20" a="1"/>
  <c r="O530" i="20" s="1"/>
  <c r="O531" i="20" a="1"/>
  <c r="O531" i="20" s="1"/>
  <c r="O532" i="20" a="1"/>
  <c r="O532" i="20" s="1"/>
  <c r="O533" i="20" a="1"/>
  <c r="O533" i="20" s="1"/>
  <c r="O534" i="20" a="1"/>
  <c r="O534" i="20" s="1"/>
  <c r="O535" i="20" a="1"/>
  <c r="O535" i="20" s="1"/>
  <c r="O536" i="20" a="1"/>
  <c r="O536" i="20" s="1"/>
  <c r="O537" i="20" a="1"/>
  <c r="O537" i="20" s="1"/>
  <c r="O538" i="20" a="1"/>
  <c r="O538" i="20" s="1"/>
  <c r="O539" i="20" a="1"/>
  <c r="O539" i="20" s="1"/>
  <c r="O540" i="20" a="1"/>
  <c r="O540" i="20" s="1"/>
  <c r="O541" i="20" a="1"/>
  <c r="O541" i="20" s="1"/>
  <c r="O542" i="20" a="1"/>
  <c r="O542" i="20" s="1"/>
  <c r="O543" i="20" a="1"/>
  <c r="O543" i="20" s="1"/>
  <c r="O544" i="20" a="1"/>
  <c r="O544" i="20" s="1"/>
  <c r="O545" i="20" a="1"/>
  <c r="O545" i="20" s="1"/>
  <c r="O546" i="20" a="1"/>
  <c r="O546" i="20" s="1"/>
  <c r="O547" i="20" a="1"/>
  <c r="O547" i="20" s="1"/>
  <c r="O548" i="20" a="1"/>
  <c r="O548" i="20" s="1"/>
  <c r="O549" i="20" a="1"/>
  <c r="O549" i="20" s="1"/>
  <c r="O550" i="20" a="1"/>
  <c r="O550" i="20" s="1"/>
  <c r="O551" i="20" a="1"/>
  <c r="O551" i="20" s="1"/>
  <c r="O552" i="20" a="1"/>
  <c r="O552" i="20" s="1"/>
  <c r="O553" i="20" a="1"/>
  <c r="O553" i="20" s="1"/>
  <c r="O554" i="20" a="1"/>
  <c r="O554" i="20" s="1"/>
  <c r="O555" i="20" a="1"/>
  <c r="O555" i="20" s="1"/>
  <c r="O556" i="20" a="1"/>
  <c r="O556" i="20" s="1"/>
  <c r="O557" i="20" a="1"/>
  <c r="O557" i="20" s="1"/>
  <c r="O558" i="20" a="1"/>
  <c r="O558" i="20" s="1"/>
  <c r="O559" i="20" a="1"/>
  <c r="O559" i="20" s="1"/>
  <c r="O560" i="20" a="1"/>
  <c r="O560" i="20" s="1"/>
  <c r="O561" i="20" a="1"/>
  <c r="O561" i="20" s="1"/>
  <c r="O562" i="20" a="1"/>
  <c r="O562" i="20" s="1"/>
  <c r="O563" i="20" a="1"/>
  <c r="O563" i="20" s="1"/>
  <c r="O564" i="20" a="1"/>
  <c r="O564" i="20" s="1"/>
  <c r="O565" i="20" a="1"/>
  <c r="O565" i="20" s="1"/>
  <c r="O566" i="20" a="1"/>
  <c r="O566" i="20" s="1"/>
  <c r="O567" i="20" a="1"/>
  <c r="O567" i="20" s="1"/>
  <c r="O568" i="20" a="1"/>
  <c r="O568" i="20" s="1"/>
  <c r="O569" i="20" a="1"/>
  <c r="O569" i="20" s="1"/>
  <c r="O570" i="20" a="1"/>
  <c r="O570" i="20" s="1"/>
  <c r="O571" i="20" a="1"/>
  <c r="O571" i="20" s="1"/>
  <c r="O572" i="20" a="1"/>
  <c r="O572" i="20" s="1"/>
  <c r="O573" i="20" a="1"/>
  <c r="O573" i="20" s="1"/>
  <c r="O574" i="20" a="1"/>
  <c r="O574" i="20" s="1"/>
  <c r="O575" i="20" a="1"/>
  <c r="O575" i="20" s="1"/>
  <c r="O576" i="20" a="1"/>
  <c r="O576" i="20" s="1"/>
  <c r="O577" i="20" a="1"/>
  <c r="O577" i="20" s="1"/>
  <c r="O578" i="20" a="1"/>
  <c r="O578" i="20" s="1"/>
  <c r="O579" i="20" a="1"/>
  <c r="O579" i="20" s="1"/>
  <c r="O580" i="20" a="1"/>
  <c r="O580" i="20" s="1"/>
  <c r="O581" i="20" a="1"/>
  <c r="O581" i="20" s="1"/>
  <c r="O582" i="20" a="1"/>
  <c r="O582" i="20" s="1"/>
  <c r="O583" i="20" a="1"/>
  <c r="O583" i="20" s="1"/>
  <c r="O584" i="20" a="1"/>
  <c r="O584" i="20" s="1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 s="1"/>
  <c r="O590" i="20" a="1"/>
  <c r="O590" i="20" s="1"/>
  <c r="O591" i="20" a="1"/>
  <c r="O591" i="20" s="1"/>
  <c r="O592" i="20" a="1"/>
  <c r="O592" i="20" s="1"/>
  <c r="O593" i="20" a="1"/>
  <c r="O593" i="20" s="1"/>
  <c r="O594" i="20" a="1"/>
  <c r="O594" i="20" s="1"/>
  <c r="O595" i="20" a="1"/>
  <c r="O595" i="20" s="1"/>
  <c r="O596" i="20" a="1"/>
  <c r="O596" i="20" s="1"/>
  <c r="O597" i="20" a="1"/>
  <c r="O597" i="20" s="1"/>
  <c r="O598" i="20" a="1"/>
  <c r="O598" i="20" s="1"/>
  <c r="O599" i="20" a="1"/>
  <c r="O599" i="20" s="1"/>
  <c r="O600" i="20" a="1"/>
  <c r="O600" i="20" s="1"/>
  <c r="O601" i="20" a="1"/>
  <c r="O601" i="20" s="1"/>
  <c r="O602" i="20" a="1"/>
  <c r="O602" i="20" s="1"/>
  <c r="O603" i="20" a="1"/>
  <c r="O603" i="20" s="1"/>
  <c r="O604" i="20" a="1"/>
  <c r="O604" i="20" s="1"/>
  <c r="O605" i="20" a="1"/>
  <c r="O605" i="20" s="1"/>
  <c r="O606" i="20" a="1"/>
  <c r="O606" i="20" s="1"/>
  <c r="O607" i="20" a="1"/>
  <c r="O607" i="20" s="1"/>
  <c r="O608" i="20" a="1"/>
  <c r="O608" i="20" s="1"/>
  <c r="O609" i="20" a="1"/>
  <c r="O609" i="20" s="1"/>
  <c r="O610" i="20" a="1"/>
  <c r="O610" i="20" s="1"/>
  <c r="O611" i="20" a="1"/>
  <c r="O611" i="20" s="1"/>
  <c r="O612" i="20" a="1"/>
  <c r="O612" i="20" s="1"/>
  <c r="O613" i="20" a="1"/>
  <c r="O613" i="20" s="1"/>
  <c r="O614" i="20" a="1"/>
  <c r="O614" i="20" s="1"/>
  <c r="O615" i="20" a="1"/>
  <c r="O615" i="20" s="1"/>
  <c r="O616" i="20" a="1"/>
  <c r="O616" i="20" s="1"/>
  <c r="O617" i="20" a="1"/>
  <c r="O617" i="20" s="1"/>
  <c r="O618" i="20" a="1"/>
  <c r="O618" i="20" s="1"/>
  <c r="O619" i="20" a="1"/>
  <c r="O619" i="20" s="1"/>
  <c r="O620" i="20" a="1"/>
  <c r="O620" i="20" s="1"/>
  <c r="O621" i="20" a="1"/>
  <c r="O621" i="20" s="1"/>
  <c r="O622" i="20" a="1"/>
  <c r="O622" i="20" s="1"/>
  <c r="O623" i="20" a="1"/>
  <c r="O623" i="20" s="1"/>
  <c r="O624" i="20" a="1"/>
  <c r="O624" i="20" s="1"/>
  <c r="O625" i="20" a="1"/>
  <c r="O625" i="20" s="1"/>
  <c r="O626" i="20" a="1"/>
  <c r="O626" i="20" s="1"/>
  <c r="O627" i="20" a="1"/>
  <c r="O627" i="20" s="1"/>
  <c r="O628" i="20" a="1"/>
  <c r="O628" i="20" s="1"/>
  <c r="O629" i="20" a="1"/>
  <c r="O629" i="20" s="1"/>
  <c r="O630" i="20" a="1"/>
  <c r="O630" i="20" s="1"/>
  <c r="O631" i="20" a="1"/>
  <c r="O631" i="20" s="1"/>
  <c r="O632" i="20" a="1"/>
  <c r="O632" i="20" s="1"/>
  <c r="O633" i="20" a="1"/>
  <c r="O633" i="20" s="1"/>
  <c r="O634" i="20" a="1"/>
  <c r="O634" i="20" s="1"/>
  <c r="O635" i="20" a="1"/>
  <c r="O635" i="20" s="1"/>
  <c r="O636" i="20" a="1"/>
  <c r="O636" i="20" s="1"/>
  <c r="O637" i="20" a="1"/>
  <c r="O637" i="20" s="1"/>
  <c r="O638" i="20" a="1"/>
  <c r="O638" i="20" s="1"/>
  <c r="O639" i="20" a="1"/>
  <c r="O639" i="20" s="1"/>
  <c r="O640" i="20" a="1"/>
  <c r="O640" i="20" s="1"/>
  <c r="O641" i="20" a="1"/>
  <c r="O641" i="20" s="1"/>
  <c r="O642" i="20" a="1"/>
  <c r="O642" i="20" s="1"/>
  <c r="O643" i="20" a="1"/>
  <c r="O643" i="20" s="1"/>
  <c r="O644" i="20" a="1"/>
  <c r="O644" i="20" s="1"/>
  <c r="O645" i="20" a="1"/>
  <c r="O645" i="20" s="1"/>
  <c r="O646" i="20" a="1"/>
  <c r="O646" i="20" s="1"/>
  <c r="O647" i="20" a="1"/>
  <c r="O647" i="20" s="1"/>
  <c r="O648" i="20" a="1"/>
  <c r="O648" i="20" s="1"/>
  <c r="O649" i="20" a="1"/>
  <c r="O649" i="20" s="1"/>
  <c r="O650" i="20" a="1"/>
  <c r="O650" i="20" s="1"/>
  <c r="O651" i="20" a="1"/>
  <c r="O651" i="20" s="1"/>
  <c r="O652" i="20" a="1"/>
  <c r="O652" i="20" s="1"/>
  <c r="O653" i="20" a="1"/>
  <c r="O653" i="20" s="1"/>
  <c r="O654" i="20" a="1"/>
  <c r="O654" i="20" s="1"/>
  <c r="O655" i="20" a="1"/>
  <c r="O655" i="20" s="1"/>
  <c r="O656" i="20" a="1"/>
  <c r="O656" i="20" s="1"/>
  <c r="O657" i="20" a="1"/>
  <c r="O657" i="20" s="1"/>
  <c r="O658" i="20" a="1"/>
  <c r="O658" i="20" s="1"/>
  <c r="O659" i="20" a="1"/>
  <c r="O659" i="20" s="1"/>
  <c r="O660" i="20" a="1"/>
  <c r="O660" i="20" s="1"/>
  <c r="O661" i="20" a="1"/>
  <c r="O661" i="20" s="1"/>
  <c r="O662" i="20" a="1"/>
  <c r="O662" i="20" s="1"/>
  <c r="O663" i="20" a="1"/>
  <c r="O663" i="20" s="1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 s="1"/>
  <c r="O671" i="20" a="1"/>
  <c r="O671" i="20" s="1"/>
  <c r="O672" i="20" a="1"/>
  <c r="O672" i="20" s="1"/>
  <c r="O673" i="20" a="1"/>
  <c r="O673" i="20" s="1"/>
  <c r="O674" i="20" a="1"/>
  <c r="O674" i="20" s="1"/>
  <c r="O675" i="20" a="1"/>
  <c r="O675" i="20" s="1"/>
  <c r="O676" i="20" a="1"/>
  <c r="O676" i="20" s="1"/>
  <c r="O677" i="20" a="1"/>
  <c r="O677" i="20" s="1"/>
  <c r="O678" i="20" a="1"/>
  <c r="O678" i="20" s="1"/>
  <c r="O679" i="20" a="1"/>
  <c r="O679" i="20" s="1"/>
  <c r="O680" i="20" a="1"/>
  <c r="O680" i="20" s="1"/>
  <c r="O681" i="20" a="1"/>
  <c r="O681" i="20" s="1"/>
  <c r="O682" i="20" a="1"/>
  <c r="O682" i="20" s="1"/>
  <c r="O683" i="20" a="1"/>
  <c r="O683" i="20" s="1"/>
  <c r="O684" i="20" a="1"/>
  <c r="O684" i="20" s="1"/>
  <c r="O685" i="20" a="1"/>
  <c r="O685" i="20" s="1"/>
  <c r="O686" i="20" a="1"/>
  <c r="O686" i="20" s="1"/>
  <c r="O687" i="20" a="1"/>
  <c r="O687" i="20" s="1"/>
  <c r="O688" i="20" a="1"/>
  <c r="O688" i="20" s="1"/>
  <c r="O689" i="20" a="1"/>
  <c r="O689" i="20" s="1"/>
  <c r="O690" i="20" a="1"/>
  <c r="O690" i="20" s="1"/>
  <c r="O691" i="20" a="1"/>
  <c r="O691" i="20" s="1"/>
  <c r="O692" i="20" a="1"/>
  <c r="O692" i="20" s="1"/>
  <c r="O693" i="20" a="1"/>
  <c r="O693" i="20" s="1"/>
  <c r="O694" i="20" a="1"/>
  <c r="O694" i="20" s="1"/>
  <c r="O695" i="20" a="1"/>
  <c r="O695" i="20" s="1"/>
  <c r="O696" i="20" a="1"/>
  <c r="O696" i="20" s="1"/>
  <c r="O697" i="20" a="1"/>
  <c r="O697" i="20" s="1"/>
  <c r="O698" i="20" a="1"/>
  <c r="O698" i="20" s="1"/>
  <c r="O699" i="20" a="1"/>
  <c r="O699" i="20" s="1"/>
  <c r="O700" i="20" a="1"/>
  <c r="O700" i="20" s="1"/>
  <c r="O701" i="20" a="1"/>
  <c r="O701" i="20" s="1"/>
  <c r="O702" i="20" a="1"/>
  <c r="O702" i="20" s="1"/>
  <c r="O703" i="20" a="1"/>
  <c r="O703" i="20" s="1"/>
  <c r="O704" i="20" a="1"/>
  <c r="O704" i="20" s="1"/>
  <c r="O705" i="20" a="1"/>
  <c r="O705" i="20" s="1"/>
  <c r="O706" i="20" a="1"/>
  <c r="O706" i="20" s="1"/>
  <c r="O707" i="20" a="1"/>
  <c r="O707" i="20" s="1"/>
  <c r="O708" i="20" a="1"/>
  <c r="O708" i="20" s="1"/>
  <c r="O709" i="20" a="1"/>
  <c r="O709" i="20" s="1"/>
  <c r="O710" i="20" a="1"/>
  <c r="O710" i="20" s="1"/>
  <c r="O711" i="20" a="1"/>
  <c r="O711" i="20" s="1"/>
  <c r="O712" i="20" a="1"/>
  <c r="O712" i="20" s="1"/>
  <c r="O713" i="20" a="1"/>
  <c r="O713" i="20" s="1"/>
  <c r="O714" i="20" a="1"/>
  <c r="O714" i="20" s="1"/>
  <c r="O715" i="20" a="1"/>
  <c r="O715" i="20" s="1"/>
  <c r="O716" i="20" a="1"/>
  <c r="O716" i="20" s="1"/>
  <c r="O717" i="20" a="1"/>
  <c r="O717" i="20" s="1"/>
  <c r="O718" i="20" a="1"/>
  <c r="O718" i="20" s="1"/>
  <c r="O719" i="20" a="1"/>
  <c r="O719" i="20" s="1"/>
  <c r="O720" i="20" a="1"/>
  <c r="O720" i="20" s="1"/>
  <c r="O721" i="20" a="1"/>
  <c r="O721" i="20" s="1"/>
  <c r="O722" i="20" a="1"/>
  <c r="O722" i="20" s="1"/>
  <c r="O723" i="20" a="1"/>
  <c r="O723" i="20" s="1"/>
  <c r="O724" i="20" a="1"/>
  <c r="O724" i="20" s="1"/>
  <c r="O725" i="20" a="1"/>
  <c r="O725" i="20" s="1"/>
  <c r="O726" i="20" a="1"/>
  <c r="O726" i="20" s="1"/>
  <c r="O727" i="20" a="1"/>
  <c r="O727" i="20" s="1"/>
  <c r="O728" i="20" a="1"/>
  <c r="O728" i="20" s="1"/>
  <c r="O729" i="20" a="1"/>
  <c r="O729" i="20" s="1"/>
  <c r="O730" i="20" a="1"/>
  <c r="O730" i="20" s="1"/>
  <c r="O731" i="20" a="1"/>
  <c r="O731" i="20" s="1"/>
  <c r="O732" i="20" a="1"/>
  <c r="O732" i="20" s="1"/>
  <c r="O733" i="20" a="1"/>
  <c r="O733" i="20" s="1"/>
  <c r="O734" i="20" a="1"/>
  <c r="O734" i="20" s="1"/>
  <c r="O735" i="20" a="1"/>
  <c r="O735" i="20" s="1"/>
  <c r="O736" i="20" a="1"/>
  <c r="O736" i="20" s="1"/>
  <c r="O737" i="20" a="1"/>
  <c r="O737" i="20" s="1"/>
  <c r="O738" i="20" a="1"/>
  <c r="O738" i="20" s="1"/>
  <c r="O739" i="20" a="1"/>
  <c r="O739" i="20" s="1"/>
  <c r="O740" i="20" a="1"/>
  <c r="O740" i="20" s="1"/>
  <c r="O741" i="20" a="1"/>
  <c r="O741" i="20" s="1"/>
  <c r="O742" i="20" a="1"/>
  <c r="O742" i="20" s="1"/>
  <c r="O743" i="20" a="1"/>
  <c r="O743" i="20" s="1"/>
  <c r="O744" i="20" a="1"/>
  <c r="O744" i="20" s="1"/>
  <c r="O745" i="20" a="1"/>
  <c r="O745" i="20" s="1"/>
  <c r="O746" i="20" a="1"/>
  <c r="O746" i="20" s="1"/>
  <c r="O747" i="20" a="1"/>
  <c r="O747" i="20" s="1"/>
  <c r="O748" i="20" a="1"/>
  <c r="O748" i="20" s="1"/>
  <c r="O749" i="20" a="1"/>
  <c r="O749" i="20" s="1"/>
  <c r="O750" i="20" a="1"/>
  <c r="O750" i="20" s="1"/>
  <c r="O751" i="20" a="1"/>
  <c r="O751" i="20" s="1"/>
  <c r="O752" i="20" a="1"/>
  <c r="O752" i="20" s="1"/>
  <c r="O753" i="20" a="1"/>
  <c r="O753" i="20" s="1"/>
  <c r="O754" i="20" a="1"/>
  <c r="O754" i="20" s="1"/>
  <c r="O755" i="20" a="1"/>
  <c r="O755" i="20" s="1"/>
  <c r="O756" i="20" a="1"/>
  <c r="O756" i="20" s="1"/>
  <c r="O757" i="20" a="1"/>
  <c r="O757" i="20" s="1"/>
  <c r="O758" i="20" a="1"/>
  <c r="O758" i="20" s="1"/>
  <c r="O759" i="20" a="1"/>
  <c r="O759" i="20" s="1"/>
  <c r="O760" i="20" a="1"/>
  <c r="O760" i="20" s="1"/>
  <c r="O761" i="20" a="1"/>
  <c r="O761" i="20" s="1"/>
  <c r="O762" i="20" a="1"/>
  <c r="O762" i="20" s="1"/>
  <c r="O763" i="20" a="1"/>
  <c r="O763" i="20" s="1"/>
  <c r="O764" i="20" a="1"/>
  <c r="O764" i="20" s="1"/>
  <c r="O765" i="20" a="1"/>
  <c r="O765" i="20" s="1"/>
  <c r="O766" i="20" a="1"/>
  <c r="O766" i="20" s="1"/>
  <c r="O767" i="20" a="1"/>
  <c r="O767" i="20" s="1"/>
  <c r="O768" i="20" a="1"/>
  <c r="O768" i="20" s="1"/>
  <c r="O769" i="20" a="1"/>
  <c r="O769" i="20" s="1"/>
  <c r="O770" i="20" a="1"/>
  <c r="O770" i="20" s="1"/>
  <c r="O771" i="20" a="1"/>
  <c r="O771" i="20" s="1"/>
  <c r="O772" i="20" a="1"/>
  <c r="O772" i="20" s="1"/>
  <c r="O773" i="20" a="1"/>
  <c r="O773" i="20" s="1"/>
  <c r="O774" i="20" a="1"/>
  <c r="O774" i="20" s="1"/>
  <c r="O775" i="20" a="1"/>
  <c r="O775" i="20" s="1"/>
  <c r="O776" i="20" a="1"/>
  <c r="O776" i="20" s="1"/>
  <c r="O777" i="20" a="1"/>
  <c r="O777" i="20" s="1"/>
  <c r="O778" i="20" a="1"/>
  <c r="O778" i="20" s="1"/>
  <c r="O779" i="20" a="1"/>
  <c r="O779" i="20" s="1"/>
  <c r="O780" i="20" a="1"/>
  <c r="O780" i="20" s="1"/>
  <c r="O781" i="20" a="1"/>
  <c r="O781" i="20" s="1"/>
  <c r="O782" i="20" a="1"/>
  <c r="O782" i="20" s="1"/>
  <c r="O783" i="20" a="1"/>
  <c r="O783" i="20" s="1"/>
  <c r="O784" i="20" a="1"/>
  <c r="O784" i="20" s="1"/>
  <c r="O785" i="20" a="1"/>
  <c r="O785" i="20" s="1"/>
  <c r="O786" i="20" a="1"/>
  <c r="O786" i="20" s="1"/>
  <c r="O787" i="20" a="1"/>
  <c r="O787" i="20" s="1"/>
  <c r="O788" i="20" a="1"/>
  <c r="O788" i="20" s="1"/>
  <c r="O789" i="20" a="1"/>
  <c r="O789" i="20" s="1"/>
  <c r="O790" i="20" a="1"/>
  <c r="O790" i="20" s="1"/>
  <c r="O791" i="20" a="1"/>
  <c r="O791" i="20" s="1"/>
  <c r="O792" i="20" a="1"/>
  <c r="O792" i="20" s="1"/>
  <c r="O793" i="20" a="1"/>
  <c r="O793" i="20" s="1"/>
  <c r="O794" i="20" a="1"/>
  <c r="O794" i="20" s="1"/>
  <c r="O795" i="20" a="1"/>
  <c r="O795" i="20" s="1"/>
  <c r="O796" i="20" a="1"/>
  <c r="O796" i="20" s="1"/>
  <c r="O797" i="20" a="1"/>
  <c r="O797" i="20" s="1"/>
  <c r="O798" i="20" a="1"/>
  <c r="O798" i="20" s="1"/>
  <c r="O799" i="20" a="1"/>
  <c r="O799" i="20" s="1"/>
  <c r="O800" i="20" a="1"/>
  <c r="O800" i="20" s="1"/>
  <c r="O801" i="20" a="1"/>
  <c r="O801" i="20" s="1"/>
  <c r="O802" i="20" a="1"/>
  <c r="O802" i="20" s="1"/>
  <c r="O803" i="20" a="1"/>
  <c r="O803" i="20" s="1"/>
  <c r="O804" i="20" a="1"/>
  <c r="O804" i="20" s="1"/>
  <c r="O805" i="20" a="1"/>
  <c r="O805" i="20" s="1"/>
  <c r="O806" i="20" a="1"/>
  <c r="O806" i="20" s="1"/>
  <c r="O807" i="20" a="1"/>
  <c r="O807" i="20" s="1"/>
  <c r="O808" i="20" a="1"/>
  <c r="O808" i="20" s="1"/>
  <c r="O809" i="20" a="1"/>
  <c r="O809" i="20" s="1"/>
  <c r="O810" i="20" a="1"/>
  <c r="O810" i="20" s="1"/>
  <c r="O811" i="20" a="1"/>
  <c r="O811" i="20" s="1"/>
  <c r="O812" i="20" a="1"/>
  <c r="O812" i="20" s="1"/>
  <c r="O813" i="20" a="1"/>
  <c r="O813" i="20" s="1"/>
  <c r="O814" i="20" a="1"/>
  <c r="O814" i="20" s="1"/>
  <c r="O815" i="20" a="1"/>
  <c r="O815" i="20" s="1"/>
  <c r="O816" i="20" a="1"/>
  <c r="O816" i="20" s="1"/>
  <c r="O817" i="20" a="1"/>
  <c r="O817" i="20" s="1"/>
  <c r="O818" i="20" a="1"/>
  <c r="O818" i="20" s="1"/>
  <c r="O819" i="20" a="1"/>
  <c r="O819" i="20" s="1"/>
  <c r="O820" i="20" a="1"/>
  <c r="O820" i="20" s="1"/>
  <c r="O821" i="20" a="1"/>
  <c r="O821" i="20" s="1"/>
  <c r="O822" i="20" a="1"/>
  <c r="O822" i="20" s="1"/>
  <c r="O823" i="20" a="1"/>
  <c r="O823" i="20" s="1"/>
  <c r="O824" i="20" a="1"/>
  <c r="O824" i="20" s="1"/>
  <c r="O825" i="20" a="1"/>
  <c r="O825" i="20" s="1"/>
  <c r="O826" i="20" a="1"/>
  <c r="O826" i="20" s="1"/>
  <c r="O827" i="20" a="1"/>
  <c r="O827" i="20" s="1"/>
  <c r="O828" i="20" a="1"/>
  <c r="O828" i="20" s="1"/>
  <c r="O829" i="20" a="1"/>
  <c r="O829" i="20" s="1"/>
  <c r="O830" i="20" a="1"/>
  <c r="O830" i="20" s="1"/>
  <c r="O831" i="20" a="1"/>
  <c r="O831" i="20" s="1"/>
  <c r="O832" i="20" a="1"/>
  <c r="O832" i="20" s="1"/>
  <c r="O833" i="20" a="1"/>
  <c r="O833" i="20" s="1"/>
  <c r="O834" i="20" a="1"/>
  <c r="O834" i="20" s="1"/>
  <c r="O835" i="20" a="1"/>
  <c r="O835" i="20" s="1"/>
  <c r="O836" i="20" a="1"/>
  <c r="O836" i="20" s="1"/>
  <c r="O837" i="20" a="1"/>
  <c r="O837" i="20" s="1"/>
  <c r="O838" i="20" a="1"/>
  <c r="O838" i="20" s="1"/>
  <c r="O839" i="20" a="1"/>
  <c r="O839" i="20" s="1"/>
  <c r="O840" i="20" a="1"/>
  <c r="O840" i="20" s="1"/>
  <c r="O841" i="20" a="1"/>
  <c r="O841" i="20" s="1"/>
  <c r="O842" i="20" a="1"/>
  <c r="O842" i="20" s="1"/>
  <c r="O843" i="20" a="1"/>
  <c r="O843" i="20" s="1"/>
  <c r="O844" i="20" a="1"/>
  <c r="O844" i="20" s="1"/>
  <c r="O845" i="20" a="1"/>
  <c r="O845" i="20" s="1"/>
  <c r="O846" i="20" a="1"/>
  <c r="O846" i="20" s="1"/>
  <c r="O847" i="20" a="1"/>
  <c r="O847" i="20" s="1"/>
  <c r="O848" i="20" a="1"/>
  <c r="O848" i="20" s="1"/>
  <c r="O849" i="20" a="1"/>
  <c r="O849" i="20" s="1"/>
  <c r="O850" i="20" a="1"/>
  <c r="O850" i="20" s="1"/>
  <c r="O851" i="20" a="1"/>
  <c r="O8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 s="1"/>
  <c r="P296" i="20" a="1"/>
  <c r="P296" i="20" s="1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 s="1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 s="1"/>
  <c r="P344" i="20" a="1"/>
  <c r="P344" i="20" s="1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 s="1"/>
  <c r="P360" i="20" a="1"/>
  <c r="P360" i="20" s="1"/>
  <c r="P361" i="20" a="1"/>
  <c r="P361" i="20" s="1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 s="1"/>
  <c r="P369" i="20" a="1"/>
  <c r="P369" i="20" s="1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 s="1"/>
  <c r="P377" i="20" a="1"/>
  <c r="P377" i="20" s="1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 s="1"/>
  <c r="P392" i="20" a="1"/>
  <c r="P392" i="20" s="1"/>
  <c r="P393" i="20" a="1"/>
  <c r="P393" i="20" s="1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P407" i="20" a="1"/>
  <c r="P407" i="20" s="1"/>
  <c r="P408" i="20" a="1"/>
  <c r="P408" i="20" s="1"/>
  <c r="P409" i="20" a="1"/>
  <c r="P409" i="20" s="1"/>
  <c r="P410" i="20" a="1"/>
  <c r="P410" i="20" s="1"/>
  <c r="P411" i="20" a="1"/>
  <c r="P411" i="20" s="1"/>
  <c r="P412" i="20" a="1"/>
  <c r="P412" i="20" s="1"/>
  <c r="P413" i="20" a="1"/>
  <c r="P413" i="20" s="1"/>
  <c r="P414" i="20" a="1"/>
  <c r="P414" i="20" s="1"/>
  <c r="P415" i="20" a="1"/>
  <c r="P415" i="20" s="1"/>
  <c r="P416" i="20" a="1"/>
  <c r="P416" i="20" s="1"/>
  <c r="P417" i="20" a="1"/>
  <c r="P417" i="20" s="1"/>
  <c r="P418" i="20" a="1"/>
  <c r="P418" i="20" s="1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 s="1"/>
  <c r="P424" i="20" a="1"/>
  <c r="P424" i="20" s="1"/>
  <c r="P425" i="20" a="1"/>
  <c r="P425" i="20" s="1"/>
  <c r="P426" i="20" a="1"/>
  <c r="P426" i="20" s="1"/>
  <c r="P427" i="20" a="1"/>
  <c r="P427" i="20" s="1"/>
  <c r="P428" i="20" a="1"/>
  <c r="P428" i="20" s="1"/>
  <c r="P429" i="20" a="1"/>
  <c r="P429" i="20" s="1"/>
  <c r="P430" i="20" a="1"/>
  <c r="P430" i="20" s="1"/>
  <c r="P431" i="20" a="1"/>
  <c r="P431" i="20" s="1"/>
  <c r="P432" i="20" a="1"/>
  <c r="P432" i="20" s="1"/>
  <c r="P433" i="20" a="1"/>
  <c r="P433" i="20" s="1"/>
  <c r="P434" i="20" a="1"/>
  <c r="P434" i="20" s="1"/>
  <c r="P435" i="20" a="1"/>
  <c r="P435" i="20" s="1"/>
  <c r="P436" i="20" a="1"/>
  <c r="P436" i="20" s="1"/>
  <c r="P437" i="20" a="1"/>
  <c r="P437" i="20" s="1"/>
  <c r="P438" i="20" a="1"/>
  <c r="P438" i="20" s="1"/>
  <c r="P439" i="20" a="1"/>
  <c r="P439" i="20" s="1"/>
  <c r="P440" i="20" a="1"/>
  <c r="P440" i="20" s="1"/>
  <c r="P441" i="20" a="1"/>
  <c r="P441" i="20" s="1"/>
  <c r="P442" i="20" a="1"/>
  <c r="P442" i="20" s="1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 s="1"/>
  <c r="P449" i="20" a="1"/>
  <c r="P449" i="20" s="1"/>
  <c r="P450" i="20" a="1"/>
  <c r="P450" i="20" s="1"/>
  <c r="P451" i="20" a="1"/>
  <c r="P451" i="20" s="1"/>
  <c r="P452" i="20" a="1"/>
  <c r="P452" i="20" s="1"/>
  <c r="P453" i="20" a="1"/>
  <c r="P453" i="20" s="1"/>
  <c r="P454" i="20" a="1"/>
  <c r="P454" i="20" s="1"/>
  <c r="P455" i="20" a="1"/>
  <c r="P455" i="20" s="1"/>
  <c r="P456" i="20" a="1"/>
  <c r="P456" i="20" s="1"/>
  <c r="P457" i="20" a="1"/>
  <c r="P457" i="20" s="1"/>
  <c r="P458" i="20" a="1"/>
  <c r="P458" i="20" s="1"/>
  <c r="P459" i="20" a="1"/>
  <c r="P459" i="20" s="1"/>
  <c r="P460" i="20" a="1"/>
  <c r="P460" i="20" s="1"/>
  <c r="P461" i="20" a="1"/>
  <c r="P461" i="20" s="1"/>
  <c r="P462" i="20" a="1"/>
  <c r="P462" i="20" s="1"/>
  <c r="P463" i="20" a="1"/>
  <c r="P463" i="20" s="1"/>
  <c r="P464" i="20" a="1"/>
  <c r="P464" i="20" s="1"/>
  <c r="P465" i="20" a="1"/>
  <c r="P465" i="20" s="1"/>
  <c r="P466" i="20" a="1"/>
  <c r="P466" i="20" s="1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 s="1"/>
  <c r="P473" i="20" a="1"/>
  <c r="P473" i="20" s="1"/>
  <c r="P474" i="20" a="1"/>
  <c r="P474" i="20" s="1"/>
  <c r="P475" i="20" a="1"/>
  <c r="P475" i="20" s="1"/>
  <c r="P476" i="20" a="1"/>
  <c r="P476" i="20" s="1"/>
  <c r="P477" i="20" a="1"/>
  <c r="P477" i="20" s="1"/>
  <c r="P478" i="20" a="1"/>
  <c r="P478" i="20" s="1"/>
  <c r="P479" i="20" a="1"/>
  <c r="P479" i="20" s="1"/>
  <c r="P480" i="20" a="1"/>
  <c r="P480" i="20" s="1"/>
  <c r="P481" i="20" a="1"/>
  <c r="P481" i="20" s="1"/>
  <c r="P482" i="20" a="1"/>
  <c r="P482" i="20" s="1"/>
  <c r="P483" i="20" a="1"/>
  <c r="P483" i="20" s="1"/>
  <c r="P484" i="20" a="1"/>
  <c r="P484" i="20" s="1"/>
  <c r="P485" i="20" a="1"/>
  <c r="P485" i="20" s="1"/>
  <c r="P486" i="20" a="1"/>
  <c r="P486" i="20" s="1"/>
  <c r="P487" i="20" a="1"/>
  <c r="P487" i="20" s="1"/>
  <c r="P488" i="20" a="1"/>
  <c r="P488" i="20" s="1"/>
  <c r="P489" i="20" a="1"/>
  <c r="P489" i="20" s="1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 s="1"/>
  <c r="P496" i="20" a="1"/>
  <c r="P496" i="20" s="1"/>
  <c r="P497" i="20" a="1"/>
  <c r="P497" i="20" s="1"/>
  <c r="P498" i="20" a="1"/>
  <c r="P498" i="20" s="1"/>
  <c r="P499" i="20" a="1"/>
  <c r="P499" i="20" s="1"/>
  <c r="P500" i="20" a="1"/>
  <c r="P500" i="20" s="1"/>
  <c r="P501" i="20" a="1"/>
  <c r="P501" i="20" s="1"/>
  <c r="P502" i="20" a="1"/>
  <c r="P502" i="20" s="1"/>
  <c r="P503" i="20" a="1"/>
  <c r="P503" i="20" s="1"/>
  <c r="P504" i="20" a="1"/>
  <c r="P504" i="20" s="1"/>
  <c r="P505" i="20" a="1"/>
  <c r="P505" i="20" s="1"/>
  <c r="P506" i="20" a="1"/>
  <c r="P506" i="20" s="1"/>
  <c r="P507" i="20" a="1"/>
  <c r="P507" i="20" s="1"/>
  <c r="P508" i="20" a="1"/>
  <c r="P508" i="20" s="1"/>
  <c r="P509" i="20" a="1"/>
  <c r="P509" i="20" s="1"/>
  <c r="P510" i="20" a="1"/>
  <c r="P510" i="20" s="1"/>
  <c r="P511" i="20" a="1"/>
  <c r="P511" i="20" s="1"/>
  <c r="P512" i="20" a="1"/>
  <c r="P512" i="20" s="1"/>
  <c r="P513" i="20" a="1"/>
  <c r="P513" i="20" s="1"/>
  <c r="P514" i="20" a="1"/>
  <c r="P514" i="20" s="1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 s="1"/>
  <c r="P520" i="20" a="1"/>
  <c r="P520" i="20" s="1"/>
  <c r="P521" i="20" a="1"/>
  <c r="P521" i="20" s="1"/>
  <c r="P522" i="20" a="1"/>
  <c r="P522" i="20" s="1"/>
  <c r="P523" i="20" a="1"/>
  <c r="P523" i="20" s="1"/>
  <c r="P524" i="20" a="1"/>
  <c r="P524" i="20" s="1"/>
  <c r="P525" i="20" a="1"/>
  <c r="P525" i="20" s="1"/>
  <c r="P526" i="20" a="1"/>
  <c r="P526" i="20" s="1"/>
  <c r="P527" i="20" a="1"/>
  <c r="P527" i="20" s="1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 s="1"/>
  <c r="P537" i="20" a="1"/>
  <c r="P537" i="20" s="1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 s="1"/>
  <c r="P544" i="20" a="1"/>
  <c r="P544" i="20" s="1"/>
  <c r="P545" i="20" a="1"/>
  <c r="P545" i="20" s="1"/>
  <c r="P546" i="20" a="1"/>
  <c r="P546" i="20" s="1"/>
  <c r="P547" i="20" a="1"/>
  <c r="P547" i="20" s="1"/>
  <c r="P548" i="20" a="1"/>
  <c r="P548" i="20" s="1"/>
  <c r="P549" i="20" a="1"/>
  <c r="P549" i="20" s="1"/>
  <c r="P550" i="20" a="1"/>
  <c r="P550" i="20" s="1"/>
  <c r="P551" i="20" a="1"/>
  <c r="P551" i="20" s="1"/>
  <c r="P552" i="20" a="1"/>
  <c r="P552" i="20" s="1"/>
  <c r="P553" i="20" a="1"/>
  <c r="P553" i="20" s="1"/>
  <c r="P554" i="20" a="1"/>
  <c r="P554" i="20" s="1"/>
  <c r="P555" i="20" a="1"/>
  <c r="P555" i="20" s="1"/>
  <c r="P556" i="20" a="1"/>
  <c r="P556" i="20" s="1"/>
  <c r="P557" i="20" a="1"/>
  <c r="P557" i="20" s="1"/>
  <c r="P558" i="20" a="1"/>
  <c r="P558" i="20" s="1"/>
  <c r="P559" i="20" a="1"/>
  <c r="P559" i="20" s="1"/>
  <c r="P560" i="20" a="1"/>
  <c r="P560" i="20" s="1"/>
  <c r="P561" i="20" a="1"/>
  <c r="P561" i="20" s="1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 s="1"/>
  <c r="P567" i="20" a="1"/>
  <c r="P567" i="20" s="1"/>
  <c r="P568" i="20" a="1"/>
  <c r="P568" i="20" s="1"/>
  <c r="P569" i="20" a="1"/>
  <c r="P569" i="20" s="1"/>
  <c r="P570" i="20" a="1"/>
  <c r="P570" i="20" s="1"/>
  <c r="P571" i="20" a="1"/>
  <c r="P571" i="20" s="1"/>
  <c r="P572" i="20" a="1"/>
  <c r="P572" i="20" s="1"/>
  <c r="P573" i="20" a="1"/>
  <c r="P573" i="20" s="1"/>
  <c r="P574" i="20" a="1"/>
  <c r="P574" i="20" s="1"/>
  <c r="P575" i="20" a="1"/>
  <c r="P575" i="20" s="1"/>
  <c r="P576" i="20" a="1"/>
  <c r="P576" i="20" s="1"/>
  <c r="P577" i="20" a="1"/>
  <c r="P577" i="20" s="1"/>
  <c r="P578" i="20" a="1"/>
  <c r="P578" i="20" s="1"/>
  <c r="P579" i="20" a="1"/>
  <c r="P579" i="20" s="1"/>
  <c r="P580" i="20" a="1"/>
  <c r="P580" i="20" s="1"/>
  <c r="P581" i="20" a="1"/>
  <c r="P581" i="20" s="1"/>
  <c r="P582" i="20" a="1"/>
  <c r="P582" i="20" s="1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 s="1"/>
  <c r="P589" i="20" a="1"/>
  <c r="P589" i="20" s="1"/>
  <c r="P590" i="20" a="1"/>
  <c r="P590" i="20" s="1"/>
  <c r="P591" i="20" a="1"/>
  <c r="P591" i="20" s="1"/>
  <c r="P592" i="20" a="1"/>
  <c r="P592" i="20" s="1"/>
  <c r="P593" i="20" a="1"/>
  <c r="P593" i="20" s="1"/>
  <c r="P594" i="20" a="1"/>
  <c r="P594" i="20" s="1"/>
  <c r="P595" i="20" a="1"/>
  <c r="P595" i="20" s="1"/>
  <c r="P596" i="20" a="1"/>
  <c r="P596" i="20" s="1"/>
  <c r="P597" i="20" a="1"/>
  <c r="P597" i="20" s="1"/>
  <c r="P598" i="20" a="1"/>
  <c r="P598" i="20" s="1"/>
  <c r="P599" i="20" a="1"/>
  <c r="P599" i="20" s="1"/>
  <c r="P600" i="20" a="1"/>
  <c r="P600" i="20" s="1"/>
  <c r="P601" i="20" a="1"/>
  <c r="P601" i="20"/>
  <c r="P602" i="20" a="1"/>
  <c r="P602" i="20" s="1"/>
  <c r="P603" i="20" a="1"/>
  <c r="P603" i="20"/>
  <c r="P604" i="20" a="1"/>
  <c r="P604" i="20" s="1"/>
  <c r="P605" i="20" a="1"/>
  <c r="P605" i="20" s="1"/>
  <c r="P606" i="20" a="1"/>
  <c r="P606" i="20" s="1"/>
  <c r="P607" i="20" a="1"/>
  <c r="P607" i="20" s="1"/>
  <c r="P608" i="20" a="1"/>
  <c r="P608" i="20" s="1"/>
  <c r="P609" i="20" a="1"/>
  <c r="P609" i="20"/>
  <c r="P610" i="20" a="1"/>
  <c r="P610" i="20" s="1"/>
  <c r="P611" i="20" a="1"/>
  <c r="P611" i="20" s="1"/>
  <c r="P612" i="20" a="1"/>
  <c r="P612" i="20" s="1"/>
  <c r="P613" i="20" a="1"/>
  <c r="P613" i="20" s="1"/>
  <c r="P614" i="20" a="1"/>
  <c r="P614" i="20" s="1"/>
  <c r="P615" i="20" a="1"/>
  <c r="P615" i="20" s="1"/>
  <c r="P616" i="20" a="1"/>
  <c r="P616" i="20" s="1"/>
  <c r="P617" i="20" a="1"/>
  <c r="P617" i="20"/>
  <c r="P618" i="20" a="1"/>
  <c r="P618" i="20" s="1"/>
  <c r="P619" i="20" a="1"/>
  <c r="P619" i="20"/>
  <c r="P620" i="20" a="1"/>
  <c r="P620" i="20" s="1"/>
  <c r="P621" i="20" a="1"/>
  <c r="P621" i="20" s="1"/>
  <c r="P622" i="20" a="1"/>
  <c r="P622" i="20" s="1"/>
  <c r="P623" i="20" a="1"/>
  <c r="P623" i="20" s="1"/>
  <c r="P624" i="20" a="1"/>
  <c r="P624" i="20" s="1"/>
  <c r="P625" i="20" a="1"/>
  <c r="P625" i="20"/>
  <c r="P626" i="20" a="1"/>
  <c r="P626" i="20" s="1"/>
  <c r="P627" i="20" a="1"/>
  <c r="P627" i="20" s="1"/>
  <c r="P628" i="20" a="1"/>
  <c r="P628" i="20" s="1"/>
  <c r="P629" i="20" a="1"/>
  <c r="P629" i="20" s="1"/>
  <c r="P630" i="20" a="1"/>
  <c r="P630" i="20" s="1"/>
  <c r="P631" i="20" a="1"/>
  <c r="P631" i="20" s="1"/>
  <c r="P632" i="20" a="1"/>
  <c r="P632" i="20" s="1"/>
  <c r="P633" i="20" a="1"/>
  <c r="P633" i="20"/>
  <c r="P634" i="20" a="1"/>
  <c r="P634" i="20" s="1"/>
  <c r="P635" i="20" a="1"/>
  <c r="P635" i="20"/>
  <c r="P636" i="20" a="1"/>
  <c r="P636" i="20" s="1"/>
  <c r="P637" i="20" a="1"/>
  <c r="P637" i="20" s="1"/>
  <c r="P638" i="20" a="1"/>
  <c r="P638" i="20" s="1"/>
  <c r="P639" i="20" a="1"/>
  <c r="P639" i="20" s="1"/>
  <c r="P640" i="20" a="1"/>
  <c r="P640" i="20" s="1"/>
  <c r="P641" i="20" a="1"/>
  <c r="P641" i="20"/>
  <c r="P642" i="20" a="1"/>
  <c r="P642" i="20" s="1"/>
  <c r="P643" i="20" a="1"/>
  <c r="P643" i="20" s="1"/>
  <c r="P644" i="20" a="1"/>
  <c r="P644" i="20" s="1"/>
  <c r="P645" i="20" a="1"/>
  <c r="P645" i="20" s="1"/>
  <c r="P646" i="20" a="1"/>
  <c r="P646" i="20" s="1"/>
  <c r="P647" i="20" a="1"/>
  <c r="P647" i="20" s="1"/>
  <c r="P648" i="20" a="1"/>
  <c r="P648" i="20" s="1"/>
  <c r="P649" i="20" a="1"/>
  <c r="P649" i="20"/>
  <c r="P650" i="20" a="1"/>
  <c r="P650" i="20" s="1"/>
  <c r="P651" i="20" a="1"/>
  <c r="P651" i="20"/>
  <c r="P652" i="20" a="1"/>
  <c r="P652" i="20" s="1"/>
  <c r="P653" i="20" a="1"/>
  <c r="P653" i="20" s="1"/>
  <c r="P654" i="20" a="1"/>
  <c r="P654" i="20" s="1"/>
  <c r="P655" i="20" a="1"/>
  <c r="P655" i="20" s="1"/>
  <c r="P656" i="20" a="1"/>
  <c r="P656" i="20" s="1"/>
  <c r="P657" i="20" a="1"/>
  <c r="P657" i="20"/>
  <c r="P658" i="20" a="1"/>
  <c r="P658" i="20" s="1"/>
  <c r="P659" i="20" a="1"/>
  <c r="P659" i="20" s="1"/>
  <c r="P660" i="20" a="1"/>
  <c r="P660" i="20" s="1"/>
  <c r="P661" i="20" a="1"/>
  <c r="P661" i="20" s="1"/>
  <c r="P662" i="20" a="1"/>
  <c r="P662" i="20" s="1"/>
  <c r="P663" i="20" a="1"/>
  <c r="P663" i="20" s="1"/>
  <c r="P664" i="20" a="1"/>
  <c r="P664" i="20" s="1"/>
  <c r="P665" i="20" a="1"/>
  <c r="P665" i="20"/>
  <c r="P666" i="20" a="1"/>
  <c r="P666" i="20" s="1"/>
  <c r="P667" i="20" a="1"/>
  <c r="P667" i="20"/>
  <c r="P668" i="20" a="1"/>
  <c r="P668" i="20" s="1"/>
  <c r="P669" i="20" a="1"/>
  <c r="P669" i="20" s="1"/>
  <c r="P670" i="20" a="1"/>
  <c r="P670" i="20" s="1"/>
  <c r="P671" i="20" a="1"/>
  <c r="P671" i="20" s="1"/>
  <c r="P672" i="20" a="1"/>
  <c r="P672" i="20" s="1"/>
  <c r="P673" i="20" a="1"/>
  <c r="P673" i="20"/>
  <c r="P674" i="20" a="1"/>
  <c r="P674" i="20" s="1"/>
  <c r="P675" i="20" a="1"/>
  <c r="P675" i="20" s="1"/>
  <c r="P676" i="20" a="1"/>
  <c r="P676" i="20" s="1"/>
  <c r="P677" i="20" a="1"/>
  <c r="P677" i="20" s="1"/>
  <c r="P678" i="20" a="1"/>
  <c r="P678" i="20" s="1"/>
  <c r="P679" i="20" a="1"/>
  <c r="P679" i="20" s="1"/>
  <c r="P680" i="20" a="1"/>
  <c r="P680" i="20" s="1"/>
  <c r="P681" i="20" a="1"/>
  <c r="P681" i="20"/>
  <c r="P682" i="20" a="1"/>
  <c r="P682" i="20" s="1"/>
  <c r="P683" i="20" a="1"/>
  <c r="P683" i="20"/>
  <c r="P684" i="20" a="1"/>
  <c r="P684" i="20" s="1"/>
  <c r="P685" i="20" a="1"/>
  <c r="P685" i="20"/>
  <c r="P686" i="20" a="1"/>
  <c r="P686" i="20" s="1"/>
  <c r="P687" i="20" a="1"/>
  <c r="P687" i="20" s="1"/>
  <c r="P688" i="20" a="1"/>
  <c r="P688" i="20" s="1"/>
  <c r="P689" i="20" a="1"/>
  <c r="P689" i="20"/>
  <c r="P690" i="20" a="1"/>
  <c r="P690" i="20" s="1"/>
  <c r="P691" i="20" a="1"/>
  <c r="P691" i="20"/>
  <c r="P692" i="20" a="1"/>
  <c r="P692" i="20" s="1"/>
  <c r="P693" i="20" a="1"/>
  <c r="P693" i="20" s="1"/>
  <c r="P694" i="20" a="1"/>
  <c r="P694" i="20" s="1"/>
  <c r="P695" i="20" a="1"/>
  <c r="P695" i="20" s="1"/>
  <c r="P696" i="20" a="1"/>
  <c r="P696" i="20" s="1"/>
  <c r="P697" i="20" a="1"/>
  <c r="P697" i="20"/>
  <c r="P698" i="20" a="1"/>
  <c r="P698" i="20" s="1"/>
  <c r="P699" i="20" a="1"/>
  <c r="P699" i="20" s="1"/>
  <c r="P700" i="20" a="1"/>
  <c r="P700" i="20" s="1"/>
  <c r="P701" i="20" a="1"/>
  <c r="P701" i="20"/>
  <c r="P702" i="20" a="1"/>
  <c r="P702" i="20" s="1"/>
  <c r="P703" i="20" a="1"/>
  <c r="P703" i="20" s="1"/>
  <c r="P704" i="20" a="1"/>
  <c r="P704" i="20" s="1"/>
  <c r="P705" i="20" a="1"/>
  <c r="P705" i="20" s="1"/>
  <c r="P706" i="20" a="1"/>
  <c r="P706" i="20" s="1"/>
  <c r="P707" i="20" a="1"/>
  <c r="P707" i="20"/>
  <c r="P708" i="20" a="1"/>
  <c r="P708" i="20" s="1"/>
  <c r="P709" i="20" a="1"/>
  <c r="P709" i="20"/>
  <c r="P710" i="20" a="1"/>
  <c r="P710" i="20" s="1"/>
  <c r="P711" i="20" a="1"/>
  <c r="P711" i="20" s="1"/>
  <c r="P712" i="20" a="1"/>
  <c r="P712" i="20" s="1"/>
  <c r="P713" i="20" a="1"/>
  <c r="P713" i="20"/>
  <c r="P714" i="20" a="1"/>
  <c r="P714" i="20" s="1"/>
  <c r="P715" i="20" a="1"/>
  <c r="P715" i="20"/>
  <c r="P716" i="20" a="1"/>
  <c r="P716" i="20" s="1"/>
  <c r="P717" i="20" a="1"/>
  <c r="P717" i="20"/>
  <c r="P718" i="20" a="1"/>
  <c r="P718" i="20" s="1"/>
  <c r="P719" i="20" a="1"/>
  <c r="P719" i="20" s="1"/>
  <c r="P720" i="20" a="1"/>
  <c r="P720" i="20" s="1"/>
  <c r="P721" i="20" a="1"/>
  <c r="P721" i="20"/>
  <c r="P722" i="20" a="1"/>
  <c r="P722" i="20" s="1"/>
  <c r="P723" i="20" a="1"/>
  <c r="P723" i="20"/>
  <c r="P724" i="20" a="1"/>
  <c r="P724" i="20" s="1"/>
  <c r="P725" i="20" a="1"/>
  <c r="P725" i="20" s="1"/>
  <c r="P726" i="20" a="1"/>
  <c r="P726" i="20" s="1"/>
  <c r="P727" i="20" a="1"/>
  <c r="P727" i="20" s="1"/>
  <c r="P728" i="20" a="1"/>
  <c r="P728" i="20" s="1"/>
  <c r="P729" i="20" a="1"/>
  <c r="P729" i="20"/>
  <c r="P730" i="20" a="1"/>
  <c r="P730" i="20" s="1"/>
  <c r="P731" i="20" a="1"/>
  <c r="P731" i="20" s="1"/>
  <c r="P732" i="20" a="1"/>
  <c r="P732" i="20" s="1"/>
  <c r="P733" i="20" a="1"/>
  <c r="P733" i="20"/>
  <c r="P734" i="20" a="1"/>
  <c r="P734" i="20" s="1"/>
  <c r="P735" i="20" a="1"/>
  <c r="P735" i="20" s="1"/>
  <c r="P736" i="20" a="1"/>
  <c r="P736" i="20" s="1"/>
  <c r="P737" i="20" a="1"/>
  <c r="P737" i="20" s="1"/>
  <c r="P738" i="20" a="1"/>
  <c r="P738" i="20" s="1"/>
  <c r="P739" i="20" a="1"/>
  <c r="P739" i="20"/>
  <c r="P740" i="20" a="1"/>
  <c r="P740" i="20" s="1"/>
  <c r="P741" i="20" a="1"/>
  <c r="P741" i="20"/>
  <c r="P742" i="20" a="1"/>
  <c r="P742" i="20" s="1"/>
  <c r="P743" i="20" a="1"/>
  <c r="P743" i="20" s="1"/>
  <c r="P744" i="20" a="1"/>
  <c r="P744" i="20" s="1"/>
  <c r="P745" i="20" a="1"/>
  <c r="P745" i="20"/>
  <c r="P746" i="20" a="1"/>
  <c r="P746" i="20" s="1"/>
  <c r="P747" i="20" a="1"/>
  <c r="P747" i="20"/>
  <c r="P748" i="20" a="1"/>
  <c r="P748" i="20" s="1"/>
  <c r="P749" i="20" a="1"/>
  <c r="P749" i="20"/>
  <c r="P750" i="20" a="1"/>
  <c r="P750" i="20" s="1"/>
  <c r="P751" i="20" a="1"/>
  <c r="P751" i="20" s="1"/>
  <c r="P752" i="20" a="1"/>
  <c r="P752" i="20" s="1"/>
  <c r="P753" i="20" a="1"/>
  <c r="P753" i="20"/>
  <c r="P754" i="20" a="1"/>
  <c r="P754" i="20" s="1"/>
  <c r="P755" i="20" a="1"/>
  <c r="P755" i="20"/>
  <c r="P756" i="20" a="1"/>
  <c r="P756" i="20" s="1"/>
  <c r="P757" i="20" a="1"/>
  <c r="P757" i="20" s="1"/>
  <c r="P758" i="20" a="1"/>
  <c r="P758" i="20" s="1"/>
  <c r="P759" i="20" a="1"/>
  <c r="P759" i="20" s="1"/>
  <c r="P760" i="20" a="1"/>
  <c r="P760" i="20" s="1"/>
  <c r="P761" i="20" a="1"/>
  <c r="P761" i="20"/>
  <c r="P762" i="20" a="1"/>
  <c r="P762" i="20" s="1"/>
  <c r="P763" i="20" a="1"/>
  <c r="P763" i="20" s="1"/>
  <c r="P764" i="20" a="1"/>
  <c r="P764" i="20" s="1"/>
  <c r="P765" i="20" a="1"/>
  <c r="P765" i="20"/>
  <c r="P766" i="20" a="1"/>
  <c r="P766" i="20" s="1"/>
  <c r="P767" i="20" a="1"/>
  <c r="P767" i="20" s="1"/>
  <c r="P768" i="20" a="1"/>
  <c r="P768" i="20" s="1"/>
  <c r="P769" i="20" a="1"/>
  <c r="P769" i="20" s="1"/>
  <c r="P770" i="20" a="1"/>
  <c r="P770" i="20" s="1"/>
  <c r="P771" i="20" a="1"/>
  <c r="P771" i="20"/>
  <c r="P772" i="20" a="1"/>
  <c r="P772" i="20" s="1"/>
  <c r="P773" i="20" a="1"/>
  <c r="P773" i="20"/>
  <c r="P774" i="20" a="1"/>
  <c r="P774" i="20" s="1"/>
  <c r="P775" i="20" a="1"/>
  <c r="P775" i="20" s="1"/>
  <c r="P776" i="20" a="1"/>
  <c r="P776" i="20" s="1"/>
  <c r="P777" i="20" a="1"/>
  <c r="P777" i="20"/>
  <c r="P778" i="20" a="1"/>
  <c r="P778" i="20" s="1"/>
  <c r="P779" i="20" a="1"/>
  <c r="P779" i="20"/>
  <c r="P780" i="20" a="1"/>
  <c r="P780" i="20" s="1"/>
  <c r="P781" i="20" a="1"/>
  <c r="P781" i="20"/>
  <c r="P782" i="20" a="1"/>
  <c r="P782" i="20" s="1"/>
  <c r="P783" i="20" a="1"/>
  <c r="P783" i="20" s="1"/>
  <c r="P784" i="20" a="1"/>
  <c r="P784" i="20" s="1"/>
  <c r="P785" i="20" a="1"/>
  <c r="P785" i="20"/>
  <c r="P786" i="20" a="1"/>
  <c r="P786" i="20" s="1"/>
  <c r="P787" i="20" a="1"/>
  <c r="P787" i="20"/>
  <c r="P788" i="20" a="1"/>
  <c r="P788" i="20" s="1"/>
  <c r="P789" i="20" a="1"/>
  <c r="P789" i="20" s="1"/>
  <c r="P790" i="20" a="1"/>
  <c r="P790" i="20" s="1"/>
  <c r="P791" i="20" a="1"/>
  <c r="P791" i="20" s="1"/>
  <c r="P792" i="20" a="1"/>
  <c r="P792" i="20" s="1"/>
  <c r="P793" i="20" a="1"/>
  <c r="P793" i="20"/>
  <c r="P794" i="20" a="1"/>
  <c r="P794" i="20" s="1"/>
  <c r="P795" i="20" a="1"/>
  <c r="P795" i="20" s="1"/>
  <c r="P796" i="20" a="1"/>
  <c r="P796" i="20" s="1"/>
  <c r="P797" i="20" a="1"/>
  <c r="P797" i="20"/>
  <c r="P798" i="20" a="1"/>
  <c r="P798" i="20" s="1"/>
  <c r="P799" i="20" a="1"/>
  <c r="P799" i="20" s="1"/>
  <c r="P800" i="20" a="1"/>
  <c r="P800" i="20" s="1"/>
  <c r="P801" i="20" a="1"/>
  <c r="P801" i="20" s="1"/>
  <c r="P802" i="20" a="1"/>
  <c r="P802" i="20" s="1"/>
  <c r="P803" i="20" a="1"/>
  <c r="P803" i="20"/>
  <c r="P804" i="20" a="1"/>
  <c r="P804" i="20" s="1"/>
  <c r="P805" i="20" a="1"/>
  <c r="P805" i="20"/>
  <c r="P806" i="20" a="1"/>
  <c r="P806" i="20" s="1"/>
  <c r="P807" i="20" a="1"/>
  <c r="P807" i="20" s="1"/>
  <c r="P808" i="20" a="1"/>
  <c r="P808" i="20" s="1"/>
  <c r="P809" i="20" a="1"/>
  <c r="P809" i="20"/>
  <c r="P810" i="20" a="1"/>
  <c r="P810" i="20" s="1"/>
  <c r="P811" i="20" a="1"/>
  <c r="P811" i="20"/>
  <c r="P812" i="20" a="1"/>
  <c r="P812" i="20" s="1"/>
  <c r="P813" i="20" a="1"/>
  <c r="P813" i="20"/>
  <c r="P814" i="20" a="1"/>
  <c r="P814" i="20" s="1"/>
  <c r="P815" i="20" a="1"/>
  <c r="P815" i="20" s="1"/>
  <c r="P816" i="20" a="1"/>
  <c r="P816" i="20" s="1"/>
  <c r="P817" i="20" a="1"/>
  <c r="P817" i="20"/>
  <c r="P818" i="20" a="1"/>
  <c r="P818" i="20" s="1"/>
  <c r="P819" i="20" a="1"/>
  <c r="P819" i="20"/>
  <c r="P820" i="20" a="1"/>
  <c r="P820" i="20" s="1"/>
  <c r="P821" i="20" a="1"/>
  <c r="P821" i="20" s="1"/>
  <c r="P822" i="20" a="1"/>
  <c r="P822" i="20" s="1"/>
  <c r="P823" i="20" a="1"/>
  <c r="P823" i="20" s="1"/>
  <c r="P824" i="20" a="1"/>
  <c r="P824" i="20" s="1"/>
  <c r="P825" i="20" a="1"/>
  <c r="P825" i="20"/>
  <c r="P826" i="20" a="1"/>
  <c r="P826" i="20" s="1"/>
  <c r="P827" i="20" a="1"/>
  <c r="P827" i="20" s="1"/>
  <c r="P828" i="20" a="1"/>
  <c r="P828" i="20" s="1"/>
  <c r="P829" i="20" a="1"/>
  <c r="P829" i="20"/>
  <c r="P830" i="20" a="1"/>
  <c r="P830" i="20" s="1"/>
  <c r="P831" i="20" a="1"/>
  <c r="P831" i="20" s="1"/>
  <c r="P832" i="20" a="1"/>
  <c r="P832" i="20" s="1"/>
  <c r="P833" i="20" a="1"/>
  <c r="P833" i="20" s="1"/>
  <c r="P834" i="20" a="1"/>
  <c r="P834" i="20" s="1"/>
  <c r="P835" i="20" a="1"/>
  <c r="P835" i="20"/>
  <c r="P836" i="20" a="1"/>
  <c r="P836" i="20" s="1"/>
  <c r="P837" i="20" a="1"/>
  <c r="P837" i="20"/>
  <c r="P838" i="20" a="1"/>
  <c r="P838" i="20" s="1"/>
  <c r="P839" i="20" a="1"/>
  <c r="P839" i="20" s="1"/>
  <c r="P840" i="20" a="1"/>
  <c r="P840" i="20" s="1"/>
  <c r="P841" i="20" a="1"/>
  <c r="P841" i="20"/>
  <c r="P842" i="20" a="1"/>
  <c r="P842" i="20" s="1"/>
  <c r="P843" i="20" a="1"/>
  <c r="P843" i="20"/>
  <c r="P844" i="20" a="1"/>
  <c r="P844" i="20" s="1"/>
  <c r="P845" i="20" a="1"/>
  <c r="P845" i="20"/>
  <c r="P846" i="20" a="1"/>
  <c r="P846" i="20" s="1"/>
  <c r="P847" i="20" a="1"/>
  <c r="P847" i="20" s="1"/>
  <c r="P848" i="20" a="1"/>
  <c r="P848" i="20" s="1"/>
  <c r="P849" i="20" a="1"/>
  <c r="P849" i="20"/>
  <c r="P850" i="20" a="1"/>
  <c r="P850" i="20" s="1"/>
  <c r="P851" i="20" a="1"/>
  <c r="P851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N2" i="18" a="1"/>
  <c r="N2" i="18"/>
  <c r="N3" i="18" a="1"/>
  <c r="N3" i="18" s="1"/>
  <c r="N4" i="18" a="1"/>
  <c r="N4" i="18"/>
  <c r="N5" i="18" a="1"/>
  <c r="N5" i="18" s="1"/>
  <c r="N6" i="18" a="1"/>
  <c r="N6" i="18"/>
  <c r="N7" i="18" a="1"/>
  <c r="N7" i="18" s="1"/>
  <c r="N8" i="18" a="1"/>
  <c r="N8" i="18"/>
  <c r="N9" i="18" a="1"/>
  <c r="N9" i="18" s="1"/>
  <c r="N10" i="18" a="1"/>
  <c r="N10" i="18"/>
  <c r="N11" i="18" a="1"/>
  <c r="N11" i="18" s="1"/>
  <c r="N12" i="18" a="1"/>
  <c r="N12" i="18"/>
  <c r="N13" i="18" a="1"/>
  <c r="N13" i="18" s="1"/>
  <c r="N14" i="18" a="1"/>
  <c r="N14" i="18"/>
  <c r="N15" i="18" a="1"/>
  <c r="N15" i="18" s="1"/>
  <c r="N16" i="18" a="1"/>
  <c r="N16" i="18"/>
  <c r="N17" i="18" a="1"/>
  <c r="N17" i="18" s="1"/>
  <c r="N18" i="18" a="1"/>
  <c r="N18" i="18"/>
  <c r="N19" i="18" a="1"/>
  <c r="N19" i="18" s="1"/>
  <c r="N20" i="18" a="1"/>
  <c r="N20" i="18"/>
  <c r="N21" i="18" a="1"/>
  <c r="N21" i="18" s="1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 s="1"/>
  <c r="N469" i="18" a="1"/>
  <c r="N469" i="18" s="1"/>
  <c r="N470" i="18" a="1"/>
  <c r="N470" i="18" s="1"/>
  <c r="N471" i="18" a="1"/>
  <c r="N471" i="18" s="1"/>
  <c r="N472" i="18" a="1"/>
  <c r="N472" i="18" s="1"/>
  <c r="N473" i="18" a="1"/>
  <c r="N473" i="18" s="1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 s="1"/>
  <c r="N485" i="18" a="1"/>
  <c r="N485" i="18" s="1"/>
  <c r="N486" i="18" a="1"/>
  <c r="N486" i="18" s="1"/>
  <c r="N487" i="18" a="1"/>
  <c r="N487" i="18" s="1"/>
  <c r="N488" i="18" a="1"/>
  <c r="N488" i="18" s="1"/>
  <c r="N489" i="18" a="1"/>
  <c r="N489" i="18" s="1"/>
  <c r="N490" i="18" a="1"/>
  <c r="N490" i="18" s="1"/>
  <c r="N491" i="18" a="1"/>
  <c r="N491" i="18" s="1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 s="1"/>
  <c r="N500" i="18" a="1"/>
  <c r="N500" i="18" s="1"/>
  <c r="N501" i="18" a="1"/>
  <c r="N501" i="18" s="1"/>
  <c r="N502" i="18" a="1"/>
  <c r="N502" i="18" s="1"/>
  <c r="N503" i="18" a="1"/>
  <c r="N503" i="18" s="1"/>
  <c r="N504" i="18" a="1"/>
  <c r="N504" i="18" s="1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 s="1"/>
  <c r="N513" i="18" a="1"/>
  <c r="N513" i="18" s="1"/>
  <c r="N514" i="18" a="1"/>
  <c r="N514" i="18" s="1"/>
  <c r="N515" i="18" a="1"/>
  <c r="N515" i="18" s="1"/>
  <c r="N516" i="18" a="1"/>
  <c r="N516" i="18" s="1"/>
  <c r="N517" i="18" a="1"/>
  <c r="N517" i="18" s="1"/>
  <c r="N518" i="18" a="1"/>
  <c r="N518" i="18" s="1"/>
  <c r="N519" i="18" a="1"/>
  <c r="N519" i="18" s="1"/>
  <c r="N520" i="18" a="1"/>
  <c r="N520" i="18" s="1"/>
  <c r="N521" i="18" a="1"/>
  <c r="N521" i="18" s="1"/>
  <c r="N522" i="18" a="1"/>
  <c r="N522" i="18" s="1"/>
  <c r="N523" i="18" a="1"/>
  <c r="N523" i="18" s="1"/>
  <c r="N524" i="18" a="1"/>
  <c r="N524" i="18" s="1"/>
  <c r="N525" i="18" a="1"/>
  <c r="N525" i="18" s="1"/>
  <c r="N526" i="18" a="1"/>
  <c r="N526" i="18" s="1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 s="1"/>
  <c r="N535" i="18" a="1"/>
  <c r="N535" i="18" s="1"/>
  <c r="N536" i="18" a="1"/>
  <c r="N536" i="18" s="1"/>
  <c r="N537" i="18" a="1"/>
  <c r="N537" i="18" s="1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 s="1"/>
  <c r="N545" i="18" a="1"/>
  <c r="N545" i="18" s="1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 s="1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 s="1"/>
  <c r="N568" i="18" a="1"/>
  <c r="N568" i="18" s="1"/>
  <c r="N569" i="18" a="1"/>
  <c r="N569" i="18" s="1"/>
  <c r="N570" i="18" a="1"/>
  <c r="N570" i="18" s="1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 s="1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 s="1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 s="1"/>
  <c r="N593" i="18" a="1"/>
  <c r="N593" i="18" s="1"/>
  <c r="N594" i="18" a="1"/>
  <c r="N594" i="18" s="1"/>
  <c r="N595" i="18" a="1"/>
  <c r="N595" i="18" s="1"/>
  <c r="N596" i="18" a="1"/>
  <c r="N596" i="18" s="1"/>
  <c r="N597" i="18" a="1"/>
  <c r="N597" i="18" s="1"/>
  <c r="N598" i="18" a="1"/>
  <c r="N598" i="18" s="1"/>
  <c r="N599" i="18" a="1"/>
  <c r="N599" i="18" s="1"/>
  <c r="N600" i="18" a="1"/>
  <c r="N600" i="18" s="1"/>
  <c r="N601" i="18" a="1"/>
  <c r="N60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 s="1"/>
  <c r="O448" i="18" a="1"/>
  <c r="O448" i="18" s="1"/>
  <c r="O449" i="18" a="1"/>
  <c r="O449" i="18" s="1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 s="1"/>
  <c r="O457" i="18" a="1"/>
  <c r="O457" i="18" s="1"/>
  <c r="O458" i="18" a="1"/>
  <c r="O458" i="18" s="1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 s="1"/>
  <c r="O464" i="18" a="1"/>
  <c r="O464" i="18" s="1"/>
  <c r="O465" i="18" a="1"/>
  <c r="O465" i="18" s="1"/>
  <c r="O466" i="18" a="1"/>
  <c r="O466" i="18" s="1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 s="1"/>
  <c r="O473" i="18" a="1"/>
  <c r="O473" i="18" s="1"/>
  <c r="O474" i="18" a="1"/>
  <c r="O474" i="18" s="1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 s="1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 s="1"/>
  <c r="O487" i="18" a="1"/>
  <c r="O487" i="18" s="1"/>
  <c r="O488" i="18" a="1"/>
  <c r="O488" i="18" s="1"/>
  <c r="O489" i="18" a="1"/>
  <c r="O489" i="18" s="1"/>
  <c r="O490" i="18" a="1"/>
  <c r="O490" i="18" s="1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 s="1"/>
  <c r="O496" i="18" a="1"/>
  <c r="O496" i="18" s="1"/>
  <c r="O497" i="18" a="1"/>
  <c r="O497" i="18" s="1"/>
  <c r="O498" i="18" a="1"/>
  <c r="O498" i="18" s="1"/>
  <c r="O499" i="18" a="1"/>
  <c r="O499" i="18" s="1"/>
  <c r="O500" i="18" a="1"/>
  <c r="O500" i="18" s="1"/>
  <c r="O501" i="18" a="1"/>
  <c r="O501" i="18" s="1"/>
  <c r="O502" i="18" a="1"/>
  <c r="O502" i="18" s="1"/>
  <c r="O503" i="18" a="1"/>
  <c r="O503" i="18" s="1"/>
  <c r="O504" i="18" a="1"/>
  <c r="O504" i="18" s="1"/>
  <c r="O505" i="18" a="1"/>
  <c r="O505" i="18" s="1"/>
  <c r="O506" i="18" a="1"/>
  <c r="O506" i="18" s="1"/>
  <c r="O507" i="18" a="1"/>
  <c r="O507" i="18" s="1"/>
  <c r="O508" i="18" a="1"/>
  <c r="O508" i="18" s="1"/>
  <c r="O509" i="18" a="1"/>
  <c r="O509" i="18" s="1"/>
  <c r="O510" i="18" a="1"/>
  <c r="O510" i="18" s="1"/>
  <c r="O511" i="18" a="1"/>
  <c r="O511" i="18" s="1"/>
  <c r="O512" i="18" a="1"/>
  <c r="O512" i="18" s="1"/>
  <c r="O513" i="18" a="1"/>
  <c r="O513" i="18" s="1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 s="1"/>
  <c r="O519" i="18" a="1"/>
  <c r="O519" i="18" s="1"/>
  <c r="O520" i="18" a="1"/>
  <c r="O520" i="18" s="1"/>
  <c r="O521" i="18" a="1"/>
  <c r="O521" i="18" s="1"/>
  <c r="O522" i="18" a="1"/>
  <c r="O522" i="18" s="1"/>
  <c r="O523" i="18" a="1"/>
  <c r="O523" i="18" s="1"/>
  <c r="O524" i="18" a="1"/>
  <c r="O524" i="18" s="1"/>
  <c r="O525" i="18" a="1"/>
  <c r="O525" i="18" s="1"/>
  <c r="O526" i="18" a="1"/>
  <c r="O526" i="18" s="1"/>
  <c r="O527" i="18" a="1"/>
  <c r="O527" i="18" s="1"/>
  <c r="O528" i="18" a="1"/>
  <c r="O528" i="18" s="1"/>
  <c r="O529" i="18" a="1"/>
  <c r="O529" i="18" s="1"/>
  <c r="O530" i="18" a="1"/>
  <c r="O530" i="18" s="1"/>
  <c r="O531" i="18" a="1"/>
  <c r="O531" i="18" s="1"/>
  <c r="O532" i="18" a="1"/>
  <c r="O532" i="18" s="1"/>
  <c r="O533" i="18" a="1"/>
  <c r="O533" i="18" s="1"/>
  <c r="O534" i="18" a="1"/>
  <c r="O534" i="18" s="1"/>
  <c r="O535" i="18" a="1"/>
  <c r="O535" i="18" s="1"/>
  <c r="O536" i="18" a="1"/>
  <c r="O536" i="18" s="1"/>
  <c r="O537" i="18" a="1"/>
  <c r="O537" i="18" s="1"/>
  <c r="O538" i="18" a="1"/>
  <c r="O538" i="18" s="1"/>
  <c r="O539" i="18" a="1"/>
  <c r="O539" i="18" s="1"/>
  <c r="O540" i="18" a="1"/>
  <c r="O540" i="18" s="1"/>
  <c r="O541" i="18" a="1"/>
  <c r="O541" i="18" s="1"/>
  <c r="O542" i="18" a="1"/>
  <c r="O542" i="18" s="1"/>
  <c r="O543" i="18" a="1"/>
  <c r="O543" i="18" s="1"/>
  <c r="O544" i="18" a="1"/>
  <c r="O544" i="18" s="1"/>
  <c r="O545" i="18" a="1"/>
  <c r="O545" i="18" s="1"/>
  <c r="O546" i="18" a="1"/>
  <c r="O546" i="18" s="1"/>
  <c r="O547" i="18" a="1"/>
  <c r="O547" i="18" s="1"/>
  <c r="O548" i="18" a="1"/>
  <c r="O548" i="18" s="1"/>
  <c r="O549" i="18" a="1"/>
  <c r="O549" i="18" s="1"/>
  <c r="O550" i="18" a="1"/>
  <c r="O550" i="18" s="1"/>
  <c r="O551" i="18" a="1"/>
  <c r="O551" i="18" s="1"/>
  <c r="O552" i="18" a="1"/>
  <c r="O552" i="18" s="1"/>
  <c r="O553" i="18" a="1"/>
  <c r="O553" i="18" s="1"/>
  <c r="O554" i="18" a="1"/>
  <c r="O554" i="18" s="1"/>
  <c r="O555" i="18" a="1"/>
  <c r="O555" i="18" s="1"/>
  <c r="O556" i="18" a="1"/>
  <c r="O556" i="18" s="1"/>
  <c r="O557" i="18" a="1"/>
  <c r="O557" i="18" s="1"/>
  <c r="O558" i="18" a="1"/>
  <c r="O558" i="18" s="1"/>
  <c r="O559" i="18" a="1"/>
  <c r="O559" i="18" s="1"/>
  <c r="O560" i="18" a="1"/>
  <c r="O560" i="18" s="1"/>
  <c r="O561" i="18" a="1"/>
  <c r="O561" i="18" s="1"/>
  <c r="O562" i="18" a="1"/>
  <c r="O562" i="18" s="1"/>
  <c r="O563" i="18" a="1"/>
  <c r="O563" i="18" s="1"/>
  <c r="O564" i="18" a="1"/>
  <c r="O564" i="18" s="1"/>
  <c r="O565" i="18" a="1"/>
  <c r="O565" i="18" s="1"/>
  <c r="O566" i="18" a="1"/>
  <c r="O566" i="18" s="1"/>
  <c r="O567" i="18" a="1"/>
  <c r="O567" i="18" s="1"/>
  <c r="O568" i="18" a="1"/>
  <c r="O568" i="18" s="1"/>
  <c r="O569" i="18" a="1"/>
  <c r="O569" i="18" s="1"/>
  <c r="O570" i="18" a="1"/>
  <c r="O570" i="18" s="1"/>
  <c r="O571" i="18" a="1"/>
  <c r="O571" i="18" s="1"/>
  <c r="O572" i="18" a="1"/>
  <c r="O572" i="18" s="1"/>
  <c r="O573" i="18" a="1"/>
  <c r="O573" i="18" s="1"/>
  <c r="O574" i="18" a="1"/>
  <c r="O574" i="18" s="1"/>
  <c r="O575" i="18" a="1"/>
  <c r="O575" i="18" s="1"/>
  <c r="O576" i="18" a="1"/>
  <c r="O576" i="18" s="1"/>
  <c r="O577" i="18" a="1"/>
  <c r="O577" i="18" s="1"/>
  <c r="O578" i="18" a="1"/>
  <c r="O578" i="18" s="1"/>
  <c r="O579" i="18" a="1"/>
  <c r="O579" i="18" s="1"/>
  <c r="O580" i="18" a="1"/>
  <c r="O580" i="18" s="1"/>
  <c r="O581" i="18" a="1"/>
  <c r="O581" i="18" s="1"/>
  <c r="O582" i="18" a="1"/>
  <c r="O582" i="18" s="1"/>
  <c r="O583" i="18" a="1"/>
  <c r="O583" i="18" s="1"/>
  <c r="O584" i="18" a="1"/>
  <c r="O584" i="18" s="1"/>
  <c r="O585" i="18" a="1"/>
  <c r="O585" i="18" s="1"/>
  <c r="O586" i="18" a="1"/>
  <c r="O586" i="18" s="1"/>
  <c r="O587" i="18" a="1"/>
  <c r="O587" i="18" s="1"/>
  <c r="O588" i="18" a="1"/>
  <c r="O588" i="18" s="1"/>
  <c r="O589" i="18" a="1"/>
  <c r="O589" i="18" s="1"/>
  <c r="O590" i="18" a="1"/>
  <c r="O590" i="18" s="1"/>
  <c r="O591" i="18" a="1"/>
  <c r="O591" i="18" s="1"/>
  <c r="O592" i="18" a="1"/>
  <c r="O592" i="18" s="1"/>
  <c r="O593" i="18" a="1"/>
  <c r="O593" i="18" s="1"/>
  <c r="O594" i="18" a="1"/>
  <c r="O594" i="18" s="1"/>
  <c r="O595" i="18" a="1"/>
  <c r="O595" i="18" s="1"/>
  <c r="O596" i="18" a="1"/>
  <c r="O596" i="18" s="1"/>
  <c r="O597" i="18" a="1"/>
  <c r="O597" i="18" s="1"/>
  <c r="O598" i="18" a="1"/>
  <c r="O598" i="18" s="1"/>
  <c r="O599" i="18" a="1"/>
  <c r="O599" i="18" s="1"/>
  <c r="O600" i="18" a="1"/>
  <c r="O600" i="18" s="1"/>
  <c r="O601" i="18" a="1"/>
  <c r="O60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/>
  <c r="P23" i="18" a="1"/>
  <c r="P23" i="18" s="1"/>
  <c r="P24" i="18" a="1"/>
  <c r="P24" i="18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/>
  <c r="P31" i="18" a="1"/>
  <c r="P31" i="18" s="1"/>
  <c r="P32" i="18" a="1"/>
  <c r="P32" i="18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/>
  <c r="P47" i="18" a="1"/>
  <c r="P47" i="18" s="1"/>
  <c r="P48" i="18" a="1"/>
  <c r="P48" i="18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/>
  <c r="P185" i="18" a="1"/>
  <c r="P185" i="18" s="1"/>
  <c r="P186" i="18" a="1"/>
  <c r="P186" i="18"/>
  <c r="P187" i="18" a="1"/>
  <c r="P187" i="18" s="1"/>
  <c r="P188" i="18" a="1"/>
  <c r="P188" i="18" s="1"/>
  <c r="P189" i="18" a="1"/>
  <c r="P189" i="18" s="1"/>
  <c r="P190" i="18" a="1"/>
  <c r="P190" i="18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/>
  <c r="P209" i="18" a="1"/>
  <c r="P209" i="18" s="1"/>
  <c r="P210" i="18" a="1"/>
  <c r="P210" i="18"/>
  <c r="P211" i="18" a="1"/>
  <c r="P211" i="18" s="1"/>
  <c r="P212" i="18" a="1"/>
  <c r="P212" i="18" s="1"/>
  <c r="P213" i="18" a="1"/>
  <c r="P213" i="18" s="1"/>
  <c r="P214" i="18" a="1"/>
  <c r="P214" i="18"/>
  <c r="P215" i="18" a="1"/>
  <c r="P215" i="18" s="1"/>
  <c r="P216" i="18" a="1"/>
  <c r="P216" i="18"/>
  <c r="P217" i="18" a="1"/>
  <c r="P217" i="18" s="1"/>
  <c r="P218" i="18" a="1"/>
  <c r="P218" i="18"/>
  <c r="P219" i="18" a="1"/>
  <c r="P219" i="18" s="1"/>
  <c r="P220" i="18" a="1"/>
  <c r="P220" i="18" s="1"/>
  <c r="P221" i="18" a="1"/>
  <c r="P221" i="18" s="1"/>
  <c r="P222" i="18" a="1"/>
  <c r="P222" i="18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/>
  <c r="P265" i="18" a="1"/>
  <c r="P265" i="18" s="1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/>
  <c r="P271" i="18" a="1"/>
  <c r="P271" i="18" s="1"/>
  <c r="P272" i="18" a="1"/>
  <c r="P272" i="18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/>
  <c r="P287" i="18" a="1"/>
  <c r="P287" i="18" s="1"/>
  <c r="P288" i="18" a="1"/>
  <c r="P288" i="18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/>
  <c r="P303" i="18" a="1"/>
  <c r="P303" i="18" s="1"/>
  <c r="P304" i="18" a="1"/>
  <c r="P304" i="18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/>
  <c r="P319" i="18" a="1"/>
  <c r="P319" i="18" s="1"/>
  <c r="P320" i="18" a="1"/>
  <c r="P320" i="18"/>
  <c r="P321" i="18" a="1"/>
  <c r="P321" i="18" s="1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 s="1"/>
  <c r="P350" i="18" a="1"/>
  <c r="P350" i="18"/>
  <c r="P351" i="18" a="1"/>
  <c r="P351" i="18" s="1"/>
  <c r="P352" i="18" a="1"/>
  <c r="P352" i="18" s="1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 s="1"/>
  <c r="P414" i="18" a="1"/>
  <c r="P414" i="18"/>
  <c r="P415" i="18" a="1"/>
  <c r="P415" i="18" s="1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 s="1"/>
  <c r="P442" i="18" a="1"/>
  <c r="P442" i="18" s="1"/>
  <c r="P443" i="18" a="1"/>
  <c r="P443" i="18" s="1"/>
  <c r="P444" i="18" a="1"/>
  <c r="P444" i="18" s="1"/>
  <c r="P445" i="18" a="1"/>
  <c r="P445" i="18" s="1"/>
  <c r="P446" i="18" a="1"/>
  <c r="P446" i="18"/>
  <c r="P447" i="18" a="1"/>
  <c r="P447" i="18" s="1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 s="1"/>
  <c r="P453" i="18" a="1"/>
  <c r="P453" i="18" s="1"/>
  <c r="P454" i="18" a="1"/>
  <c r="P454" i="18" s="1"/>
  <c r="P455" i="18" a="1"/>
  <c r="P455" i="18" s="1"/>
  <c r="P456" i="18" a="1"/>
  <c r="P456" i="18" s="1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/>
  <c r="P463" i="18" a="1"/>
  <c r="P463" i="18" s="1"/>
  <c r="P464" i="18" a="1"/>
  <c r="P464" i="18" s="1"/>
  <c r="P465" i="18" a="1"/>
  <c r="P465" i="18" s="1"/>
  <c r="P466" i="18" a="1"/>
  <c r="P466" i="18" s="1"/>
  <c r="P467" i="18" a="1"/>
  <c r="P467" i="18" s="1"/>
  <c r="P468" i="18" a="1"/>
  <c r="P468" i="18" s="1"/>
  <c r="P469" i="18" a="1"/>
  <c r="P469" i="18" s="1"/>
  <c r="P470" i="18" a="1"/>
  <c r="P470" i="18" s="1"/>
  <c r="P471" i="18" a="1"/>
  <c r="P471" i="18" s="1"/>
  <c r="P472" i="18" a="1"/>
  <c r="P472" i="18" s="1"/>
  <c r="P473" i="18" a="1"/>
  <c r="P473" i="18" s="1"/>
  <c r="P474" i="18" a="1"/>
  <c r="P474" i="18" s="1"/>
  <c r="P475" i="18" a="1"/>
  <c r="P475" i="18" s="1"/>
  <c r="P476" i="18" a="1"/>
  <c r="P476" i="18" s="1"/>
  <c r="P477" i="18" a="1"/>
  <c r="P477" i="18" s="1"/>
  <c r="P478" i="18" a="1"/>
  <c r="P478" i="18"/>
  <c r="P479" i="18" a="1"/>
  <c r="P479" i="18" s="1"/>
  <c r="P480" i="18" a="1"/>
  <c r="P480" i="18" s="1"/>
  <c r="P481" i="18" a="1"/>
  <c r="P481" i="18" s="1"/>
  <c r="P482" i="18" a="1"/>
  <c r="P482" i="18" s="1"/>
  <c r="P483" i="18" a="1"/>
  <c r="P483" i="18" s="1"/>
  <c r="P484" i="18" a="1"/>
  <c r="P484" i="18" s="1"/>
  <c r="P485" i="18" a="1"/>
  <c r="P485" i="18" s="1"/>
  <c r="P486" i="18" a="1"/>
  <c r="P486" i="18" s="1"/>
  <c r="P487" i="18" a="1"/>
  <c r="P487" i="18" s="1"/>
  <c r="P488" i="18" a="1"/>
  <c r="P488" i="18" s="1"/>
  <c r="P489" i="18" a="1"/>
  <c r="P489" i="18" s="1"/>
  <c r="P490" i="18" a="1"/>
  <c r="P490" i="18" s="1"/>
  <c r="P491" i="18" a="1"/>
  <c r="P491" i="18" s="1"/>
  <c r="P492" i="18" a="1"/>
  <c r="P492" i="18" s="1"/>
  <c r="P493" i="18" a="1"/>
  <c r="P493" i="18" s="1"/>
  <c r="P494" i="18" a="1"/>
  <c r="P494" i="18"/>
  <c r="P495" i="18" a="1"/>
  <c r="P495" i="18" s="1"/>
  <c r="P496" i="18" a="1"/>
  <c r="P496" i="18" s="1"/>
  <c r="P497" i="18" a="1"/>
  <c r="P497" i="18" s="1"/>
  <c r="P498" i="18" a="1"/>
  <c r="P498" i="18" s="1"/>
  <c r="P499" i="18" a="1"/>
  <c r="P499" i="18" s="1"/>
  <c r="P500" i="18" a="1"/>
  <c r="P500" i="18" s="1"/>
  <c r="P501" i="18" a="1"/>
  <c r="P501" i="18" s="1"/>
  <c r="P502" i="18" a="1"/>
  <c r="P502" i="18" s="1"/>
  <c r="P503" i="18" a="1"/>
  <c r="P503" i="18" s="1"/>
  <c r="P504" i="18" a="1"/>
  <c r="P504" i="18" s="1"/>
  <c r="P505" i="18" a="1"/>
  <c r="P505" i="18" s="1"/>
  <c r="P506" i="18" a="1"/>
  <c r="P506" i="18" s="1"/>
  <c r="P507" i="18" a="1"/>
  <c r="P507" i="18" s="1"/>
  <c r="P508" i="18" a="1"/>
  <c r="P508" i="18" s="1"/>
  <c r="P509" i="18" a="1"/>
  <c r="P509" i="18" s="1"/>
  <c r="P510" i="18" a="1"/>
  <c r="P510" i="18"/>
  <c r="P511" i="18" a="1"/>
  <c r="P511" i="18" s="1"/>
  <c r="P512" i="18" a="1"/>
  <c r="P512" i="18" s="1"/>
  <c r="P513" i="18" a="1"/>
  <c r="P513" i="18" s="1"/>
  <c r="P514" i="18" a="1"/>
  <c r="P514" i="18" s="1"/>
  <c r="P515" i="18" a="1"/>
  <c r="P515" i="18" s="1"/>
  <c r="P516" i="18" a="1"/>
  <c r="P516" i="18" s="1"/>
  <c r="P517" i="18" a="1"/>
  <c r="P517" i="18" s="1"/>
  <c r="P518" i="18" a="1"/>
  <c r="P518" i="18" s="1"/>
  <c r="P519" i="18" a="1"/>
  <c r="P519" i="18" s="1"/>
  <c r="P520" i="18" a="1"/>
  <c r="P520" i="18" s="1"/>
  <c r="P521" i="18" a="1"/>
  <c r="P521" i="18" s="1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/>
  <c r="P527" i="18" a="1"/>
  <c r="P527" i="18" s="1"/>
  <c r="P528" i="18" a="1"/>
  <c r="P528" i="18" s="1"/>
  <c r="P529" i="18" a="1"/>
  <c r="P529" i="18" s="1"/>
  <c r="P530" i="18" a="1"/>
  <c r="P530" i="18" s="1"/>
  <c r="P531" i="18" a="1"/>
  <c r="P531" i="18" s="1"/>
  <c r="P532" i="18" a="1"/>
  <c r="P532" i="18" s="1"/>
  <c r="P533" i="18" a="1"/>
  <c r="P533" i="18" s="1"/>
  <c r="P534" i="18" a="1"/>
  <c r="P534" i="18"/>
  <c r="P535" i="18" a="1"/>
  <c r="P535" i="18" s="1"/>
  <c r="P536" i="18" a="1"/>
  <c r="P536" i="18" s="1"/>
  <c r="P537" i="18" a="1"/>
  <c r="P537" i="18" s="1"/>
  <c r="P538" i="18" a="1"/>
  <c r="P538" i="18" s="1"/>
  <c r="P539" i="18" a="1"/>
  <c r="P539" i="18" s="1"/>
  <c r="P540" i="18" a="1"/>
  <c r="P540" i="18" s="1"/>
  <c r="P541" i="18" a="1"/>
  <c r="P541" i="18" s="1"/>
  <c r="P542" i="18" a="1"/>
  <c r="P542" i="18"/>
  <c r="P543" i="18" a="1"/>
  <c r="P543" i="18" s="1"/>
  <c r="P544" i="18" a="1"/>
  <c r="P544" i="18" s="1"/>
  <c r="P545" i="18" a="1"/>
  <c r="P545" i="18" s="1"/>
  <c r="P546" i="18" a="1"/>
  <c r="P546" i="18" s="1"/>
  <c r="P547" i="18" a="1"/>
  <c r="P547" i="18" s="1"/>
  <c r="P548" i="18" a="1"/>
  <c r="P548" i="18" s="1"/>
  <c r="P549" i="18" a="1"/>
  <c r="P549" i="18" s="1"/>
  <c r="P550" i="18" a="1"/>
  <c r="P550" i="18"/>
  <c r="P551" i="18" a="1"/>
  <c r="P551" i="18" s="1"/>
  <c r="P552" i="18" a="1"/>
  <c r="P552" i="18" s="1"/>
  <c r="P553" i="18" a="1"/>
  <c r="P553" i="18" s="1"/>
  <c r="P554" i="18" a="1"/>
  <c r="P554" i="18"/>
  <c r="P555" i="18" a="1"/>
  <c r="P555" i="18" s="1"/>
  <c r="P556" i="18" a="1"/>
  <c r="P556" i="18" s="1"/>
  <c r="P557" i="18" a="1"/>
  <c r="P557" i="18" s="1"/>
  <c r="P558" i="18" a="1"/>
  <c r="P558" i="18" s="1"/>
  <c r="P559" i="18" a="1"/>
  <c r="P559" i="18" s="1"/>
  <c r="P560" i="18" a="1"/>
  <c r="P560" i="18" s="1"/>
  <c r="P561" i="18" a="1"/>
  <c r="P561" i="18" s="1"/>
  <c r="P562" i="18" a="1"/>
  <c r="P562" i="18" s="1"/>
  <c r="P563" i="18" a="1"/>
  <c r="P563" i="18" s="1"/>
  <c r="P564" i="18" a="1"/>
  <c r="P564" i="18" s="1"/>
  <c r="P565" i="18" a="1"/>
  <c r="P565" i="18" s="1"/>
  <c r="P566" i="18" a="1"/>
  <c r="P566" i="18"/>
  <c r="P567" i="18" a="1"/>
  <c r="P567" i="18" s="1"/>
  <c r="P568" i="18" a="1"/>
  <c r="P568" i="18" s="1"/>
  <c r="P569" i="18" a="1"/>
  <c r="P569" i="18" s="1"/>
  <c r="P570" i="18" a="1"/>
  <c r="P570" i="18" s="1"/>
  <c r="P571" i="18" a="1"/>
  <c r="P571" i="18" s="1"/>
  <c r="P572" i="18" a="1"/>
  <c r="P572" i="18" s="1"/>
  <c r="P573" i="18" a="1"/>
  <c r="P573" i="18" s="1"/>
  <c r="P574" i="18" a="1"/>
  <c r="P574" i="18"/>
  <c r="P575" i="18" a="1"/>
  <c r="P575" i="18" s="1"/>
  <c r="P576" i="18" a="1"/>
  <c r="P576" i="18" s="1"/>
  <c r="P577" i="18" a="1"/>
  <c r="P577" i="18" s="1"/>
  <c r="P578" i="18" a="1"/>
  <c r="P578" i="18" s="1"/>
  <c r="P579" i="18" a="1"/>
  <c r="P579" i="18" s="1"/>
  <c r="P580" i="18" a="1"/>
  <c r="P580" i="18" s="1"/>
  <c r="P581" i="18" a="1"/>
  <c r="P581" i="18" s="1"/>
  <c r="P582" i="18" a="1"/>
  <c r="P582" i="18"/>
  <c r="P583" i="18" a="1"/>
  <c r="P583" i="18" s="1"/>
  <c r="P584" i="18" a="1"/>
  <c r="P584" i="18" s="1"/>
  <c r="P585" i="18" a="1"/>
  <c r="P585" i="18" s="1"/>
  <c r="P586" i="18" a="1"/>
  <c r="P586" i="18" s="1"/>
  <c r="P587" i="18" a="1"/>
  <c r="P587" i="18" s="1"/>
  <c r="P588" i="18" a="1"/>
  <c r="P588" i="18" s="1"/>
  <c r="P589" i="18" a="1"/>
  <c r="P589" i="18" s="1"/>
  <c r="P590" i="18" a="1"/>
  <c r="P590" i="18" s="1"/>
  <c r="P591" i="18" a="1"/>
  <c r="P591" i="18" s="1"/>
  <c r="P592" i="18" a="1"/>
  <c r="P592" i="18" s="1"/>
  <c r="P593" i="18" a="1"/>
  <c r="P593" i="18" s="1"/>
  <c r="P594" i="18" a="1"/>
  <c r="P594" i="18" s="1"/>
  <c r="P595" i="18" a="1"/>
  <c r="P595" i="18" s="1"/>
  <c r="P596" i="18" a="1"/>
  <c r="P596" i="18" s="1"/>
  <c r="P597" i="18" a="1"/>
  <c r="P597" i="18" s="1"/>
  <c r="P598" i="18" a="1"/>
  <c r="P598" i="18"/>
  <c r="P599" i="18" a="1"/>
  <c r="P599" i="18" s="1"/>
  <c r="P600" i="18" a="1"/>
  <c r="P600" i="18" s="1"/>
  <c r="P601" i="18" a="1"/>
  <c r="P601" i="18" s="1"/>
  <c r="Q2" i="18" a="1"/>
  <c r="Q2" i="18" s="1"/>
  <c r="R2" i="18" s="1"/>
  <c r="Q3" i="18" a="1"/>
  <c r="Q3" i="18" s="1"/>
  <c r="Q4" i="18" a="1"/>
  <c r="Q4" i="18" s="1"/>
  <c r="R4" i="18" s="1"/>
  <c r="Q5" i="18" a="1"/>
  <c r="Q5" i="18" s="1"/>
  <c r="R5" i="18" s="1"/>
  <c r="Q6" i="18" a="1"/>
  <c r="Q6" i="18" s="1"/>
  <c r="R6" i="18" s="1"/>
  <c r="Q7" i="18" a="1"/>
  <c r="Q7" i="18" s="1"/>
  <c r="Q8" i="18" a="1"/>
  <c r="Q8" i="18" s="1"/>
  <c r="Q9" i="18" a="1"/>
  <c r="Q9" i="18" s="1"/>
  <c r="R9" i="18" s="1"/>
  <c r="Q10" i="18" a="1"/>
  <c r="Q10" i="18" s="1"/>
  <c r="R10" i="18" s="1"/>
  <c r="Q11" i="18" a="1"/>
  <c r="Q11" i="18" s="1"/>
  <c r="R11" i="18" s="1"/>
  <c r="Q12" i="18" a="1"/>
  <c r="Q12" i="18" s="1"/>
  <c r="R12" i="18" s="1"/>
  <c r="Q13" i="18" a="1"/>
  <c r="Q13" i="18" s="1"/>
  <c r="R13" i="18" s="1"/>
  <c r="Q14" i="18" a="1"/>
  <c r="Q14" i="18"/>
  <c r="Q15" i="18" a="1"/>
  <c r="Q15" i="18" s="1"/>
  <c r="R15" i="18" s="1"/>
  <c r="Q16" i="18" a="1"/>
  <c r="Q16" i="18" s="1"/>
  <c r="R16" i="18" s="1"/>
  <c r="Q17" i="18" a="1"/>
  <c r="Q17" i="18" s="1"/>
  <c r="Q18" i="18" a="1"/>
  <c r="Q18" i="18" s="1"/>
  <c r="R18" i="18" s="1"/>
  <c r="Q19" i="18" a="1"/>
  <c r="Q19" i="18" s="1"/>
  <c r="Q20" i="18" a="1"/>
  <c r="Q20" i="18" s="1"/>
  <c r="R20" i="18" s="1"/>
  <c r="Q21" i="18" a="1"/>
  <c r="Q21" i="18" s="1"/>
  <c r="R21" i="18" s="1"/>
  <c r="Q22" i="18" a="1"/>
  <c r="Q22" i="18" s="1"/>
  <c r="R22" i="18" s="1"/>
  <c r="Q23" i="18" a="1"/>
  <c r="Q23" i="18" s="1"/>
  <c r="Q24" i="18" a="1"/>
  <c r="Q24" i="18" s="1"/>
  <c r="Q25" i="18" a="1"/>
  <c r="Q25" i="18" s="1"/>
  <c r="R25" i="18" s="1"/>
  <c r="Q26" i="18" a="1"/>
  <c r="Q26" i="18" s="1"/>
  <c r="R26" i="18" s="1"/>
  <c r="Q27" i="18" a="1"/>
  <c r="Q27" i="18" s="1"/>
  <c r="Q28" i="18" a="1"/>
  <c r="Q28" i="18" s="1"/>
  <c r="R28" i="18" s="1"/>
  <c r="Q29" i="18" a="1"/>
  <c r="Q29" i="18" s="1"/>
  <c r="R29" i="18" s="1"/>
  <c r="Q30" i="18" a="1"/>
  <c r="Q30" i="18"/>
  <c r="R30" i="18" s="1"/>
  <c r="Q31" i="18" a="1"/>
  <c r="Q31" i="18" s="1"/>
  <c r="R31" i="18" s="1"/>
  <c r="Q32" i="18" a="1"/>
  <c r="Q32" i="18" s="1"/>
  <c r="R32" i="18" s="1"/>
  <c r="Q33" i="18" a="1"/>
  <c r="Q33" i="18" s="1"/>
  <c r="R33" i="18" s="1"/>
  <c r="Q34" i="18" a="1"/>
  <c r="Q34" i="18" s="1"/>
  <c r="R34" i="18" s="1"/>
  <c r="Q35" i="18" a="1"/>
  <c r="Q35" i="18" s="1"/>
  <c r="Q36" i="18" a="1"/>
  <c r="Q36" i="18" s="1"/>
  <c r="R36" i="18" s="1"/>
  <c r="Q37" i="18" a="1"/>
  <c r="Q37" i="18" s="1"/>
  <c r="R37" i="18" s="1"/>
  <c r="Q38" i="18" a="1"/>
  <c r="Q38" i="18" s="1"/>
  <c r="R38" i="18" s="1"/>
  <c r="Q39" i="18" a="1"/>
  <c r="Q39" i="18" s="1"/>
  <c r="R39" i="18" s="1"/>
  <c r="Q40" i="18" a="1"/>
  <c r="Q40" i="18" s="1"/>
  <c r="Q41" i="18" a="1"/>
  <c r="Q41" i="18" s="1"/>
  <c r="R41" i="18" s="1"/>
  <c r="Q42" i="18" a="1"/>
  <c r="Q42" i="18" s="1"/>
  <c r="R42" i="18" s="1"/>
  <c r="Q43" i="18" a="1"/>
  <c r="Q43" i="18" s="1"/>
  <c r="R43" i="18" s="1"/>
  <c r="Q44" i="18" a="1"/>
  <c r="Q44" i="18" s="1"/>
  <c r="R44" i="18" s="1"/>
  <c r="Q45" i="18" a="1"/>
  <c r="Q45" i="18" s="1"/>
  <c r="R45" i="18" s="1"/>
  <c r="Q46" i="18" a="1"/>
  <c r="Q46" i="18"/>
  <c r="R46" i="18" s="1"/>
  <c r="Q47" i="18" a="1"/>
  <c r="Q47" i="18" s="1"/>
  <c r="R47" i="18" s="1"/>
  <c r="Q48" i="18" a="1"/>
  <c r="Q48" i="18" s="1"/>
  <c r="R48" i="18" s="1"/>
  <c r="Q49" i="18" a="1"/>
  <c r="Q49" i="18" s="1"/>
  <c r="R49" i="18" s="1"/>
  <c r="Q50" i="18" a="1"/>
  <c r="Q50" i="18" s="1"/>
  <c r="R50" i="18" s="1"/>
  <c r="Q51" i="18" a="1"/>
  <c r="Q51" i="18" s="1"/>
  <c r="Q52" i="18" a="1"/>
  <c r="Q52" i="18" s="1"/>
  <c r="Q53" i="18" a="1"/>
  <c r="Q53" i="18" s="1"/>
  <c r="R53" i="18" s="1"/>
  <c r="Q54" i="18" a="1"/>
  <c r="Q54" i="18" s="1"/>
  <c r="R54" i="18" s="1"/>
  <c r="Q55" i="18" a="1"/>
  <c r="Q55" i="18" s="1"/>
  <c r="Q56" i="18" a="1"/>
  <c r="Q56" i="18" s="1"/>
  <c r="Q57" i="18" a="1"/>
  <c r="Q57" i="18" s="1"/>
  <c r="R57" i="18" s="1"/>
  <c r="Q58" i="18" a="1"/>
  <c r="Q58" i="18" s="1"/>
  <c r="Q59" i="18" a="1"/>
  <c r="Q59" i="18" s="1"/>
  <c r="Q60" i="18" a="1"/>
  <c r="Q60" i="18" s="1"/>
  <c r="R60" i="18" s="1"/>
  <c r="Q61" i="18" a="1"/>
  <c r="Q61" i="18" s="1"/>
  <c r="R61" i="18" s="1"/>
  <c r="Q62" i="18" a="1"/>
  <c r="Q62" i="18"/>
  <c r="R62" i="18" s="1"/>
  <c r="Q63" i="18" a="1"/>
  <c r="Q63" i="18" s="1"/>
  <c r="R63" i="18" s="1"/>
  <c r="Q64" i="18" a="1"/>
  <c r="Q64" i="18" s="1"/>
  <c r="R64" i="18" s="1"/>
  <c r="Q65" i="18" a="1"/>
  <c r="Q65" i="18" s="1"/>
  <c r="R65" i="18" s="1"/>
  <c r="Q66" i="18" a="1"/>
  <c r="Q66" i="18" s="1"/>
  <c r="R66" i="18" s="1"/>
  <c r="Q67" i="18" a="1"/>
  <c r="Q67" i="18" s="1"/>
  <c r="Q68" i="18" a="1"/>
  <c r="Q68" i="18" s="1"/>
  <c r="R68" i="18" s="1"/>
  <c r="Q69" i="18" a="1"/>
  <c r="Q69" i="18" s="1"/>
  <c r="R69" i="18" s="1"/>
  <c r="Q70" i="18" a="1"/>
  <c r="Q70" i="18" s="1"/>
  <c r="R70" i="18" s="1"/>
  <c r="Q71" i="18" a="1"/>
  <c r="Q71" i="18" s="1"/>
  <c r="Q72" i="18" a="1"/>
  <c r="Q72" i="18" s="1"/>
  <c r="Q73" i="18" a="1"/>
  <c r="Q73" i="18" s="1"/>
  <c r="R73" i="18" s="1"/>
  <c r="Q74" i="18" a="1"/>
  <c r="Q74" i="18" s="1"/>
  <c r="R74" i="18" s="1"/>
  <c r="Q75" i="18" a="1"/>
  <c r="Q75" i="18" s="1"/>
  <c r="R75" i="18" s="1"/>
  <c r="Q76" i="18" a="1"/>
  <c r="Q76" i="18" s="1"/>
  <c r="R76" i="18" s="1"/>
  <c r="Q77" i="18" a="1"/>
  <c r="Q77" i="18" s="1"/>
  <c r="R77" i="18" s="1"/>
  <c r="Q78" i="18" a="1"/>
  <c r="Q78" i="18"/>
  <c r="R78" i="18" s="1"/>
  <c r="Q79" i="18" a="1"/>
  <c r="Q79" i="18" s="1"/>
  <c r="R79" i="18" s="1"/>
  <c r="Q80" i="18" a="1"/>
  <c r="Q80" i="18" s="1"/>
  <c r="R80" i="18" s="1"/>
  <c r="Q81" i="18" a="1"/>
  <c r="Q81" i="18" s="1"/>
  <c r="R81" i="18" s="1"/>
  <c r="Q82" i="18" a="1"/>
  <c r="Q82" i="18" s="1"/>
  <c r="R82" i="18" s="1"/>
  <c r="Q83" i="18" a="1"/>
  <c r="Q83" i="18" s="1"/>
  <c r="Q84" i="18" a="1"/>
  <c r="Q84" i="18" s="1"/>
  <c r="R84" i="18" s="1"/>
  <c r="Q85" i="18" a="1"/>
  <c r="Q85" i="18" s="1"/>
  <c r="R85" i="18" s="1"/>
  <c r="Q86" i="18" a="1"/>
  <c r="Q86" i="18" s="1"/>
  <c r="R86" i="18" s="1"/>
  <c r="Q87" i="18" a="1"/>
  <c r="Q87" i="18" s="1"/>
  <c r="Q88" i="18" a="1"/>
  <c r="Q88" i="18" s="1"/>
  <c r="Q89" i="18" a="1"/>
  <c r="Q89" i="18" s="1"/>
  <c r="R89" i="18" s="1"/>
  <c r="Q90" i="18" a="1"/>
  <c r="Q90" i="18" s="1"/>
  <c r="R90" i="18" s="1"/>
  <c r="Q91" i="18" a="1"/>
  <c r="Q91" i="18" s="1"/>
  <c r="Q92" i="18" a="1"/>
  <c r="Q92" i="18" s="1"/>
  <c r="R92" i="18" s="1"/>
  <c r="Q93" i="18" a="1"/>
  <c r="Q93" i="18" s="1"/>
  <c r="R93" i="18" s="1"/>
  <c r="Q94" i="18" a="1"/>
  <c r="Q94" i="18"/>
  <c r="R94" i="18" s="1"/>
  <c r="Q95" i="18" a="1"/>
  <c r="Q95" i="18" s="1"/>
  <c r="R95" i="18" s="1"/>
  <c r="Q96" i="18" a="1"/>
  <c r="Q96" i="18" s="1"/>
  <c r="R96" i="18" s="1"/>
  <c r="Q97" i="18" a="1"/>
  <c r="Q97" i="18" s="1"/>
  <c r="R97" i="18" s="1"/>
  <c r="Q98" i="18" a="1"/>
  <c r="Q98" i="18" s="1"/>
  <c r="R98" i="18" s="1"/>
  <c r="Q99" i="18" a="1"/>
  <c r="Q99" i="18" s="1"/>
  <c r="Q100" i="18" a="1"/>
  <c r="Q100" i="18" s="1"/>
  <c r="R100" i="18" s="1"/>
  <c r="Q101" i="18" a="1"/>
  <c r="Q101" i="18" s="1"/>
  <c r="R101" i="18" s="1"/>
  <c r="Q102" i="18" a="1"/>
  <c r="Q102" i="18" s="1"/>
  <c r="R102" i="18" s="1"/>
  <c r="Q103" i="18" a="1"/>
  <c r="Q103" i="18" s="1"/>
  <c r="R103" i="18" s="1"/>
  <c r="Q104" i="18" a="1"/>
  <c r="Q104" i="18" s="1"/>
  <c r="Q105" i="18" a="1"/>
  <c r="Q105" i="18" s="1"/>
  <c r="R105" i="18" s="1"/>
  <c r="Q106" i="18" a="1"/>
  <c r="Q106" i="18" s="1"/>
  <c r="R106" i="18" s="1"/>
  <c r="Q107" i="18" a="1"/>
  <c r="Q107" i="18" s="1"/>
  <c r="R107" i="18" s="1"/>
  <c r="Q108" i="18" a="1"/>
  <c r="Q108" i="18" s="1"/>
  <c r="R108" i="18" s="1"/>
  <c r="Q109" i="18" a="1"/>
  <c r="Q109" i="18" s="1"/>
  <c r="R109" i="18" s="1"/>
  <c r="Q110" i="18" a="1"/>
  <c r="Q110" i="18"/>
  <c r="R110" i="18" s="1"/>
  <c r="Q111" i="18" a="1"/>
  <c r="Q111" i="18" s="1"/>
  <c r="R111" i="18" s="1"/>
  <c r="Q112" i="18" a="1"/>
  <c r="Q112" i="18" s="1"/>
  <c r="R112" i="18" s="1"/>
  <c r="Q113" i="18" a="1"/>
  <c r="Q113" i="18" s="1"/>
  <c r="R113" i="18" s="1"/>
  <c r="Q114" i="18" a="1"/>
  <c r="Q114" i="18" s="1"/>
  <c r="R114" i="18" s="1"/>
  <c r="Q115" i="18" a="1"/>
  <c r="Q115" i="18" s="1"/>
  <c r="Q116" i="18" a="1"/>
  <c r="Q116" i="18" s="1"/>
  <c r="R116" i="18" s="1"/>
  <c r="Q117" i="18" a="1"/>
  <c r="Q117" i="18" s="1"/>
  <c r="R117" i="18" s="1"/>
  <c r="Q118" i="18" a="1"/>
  <c r="Q118" i="18" s="1"/>
  <c r="R118" i="18" s="1"/>
  <c r="Q119" i="18" a="1"/>
  <c r="Q119" i="18" s="1"/>
  <c r="Q120" i="18" a="1"/>
  <c r="Q120" i="18" s="1"/>
  <c r="Q121" i="18" a="1"/>
  <c r="Q121" i="18" s="1"/>
  <c r="R121" i="18" s="1"/>
  <c r="Q122" i="18" a="1"/>
  <c r="Q122" i="18" s="1"/>
  <c r="R122" i="18" s="1"/>
  <c r="Q123" i="18" a="1"/>
  <c r="Q123" i="18" s="1"/>
  <c r="Q124" i="18" a="1"/>
  <c r="Q124" i="18" s="1"/>
  <c r="R124" i="18" s="1"/>
  <c r="Q125" i="18" a="1"/>
  <c r="Q125" i="18" s="1"/>
  <c r="R125" i="18" s="1"/>
  <c r="Q126" i="18" a="1"/>
  <c r="Q126" i="18"/>
  <c r="R126" i="18" s="1"/>
  <c r="Q127" i="18" a="1"/>
  <c r="Q127" i="18" s="1"/>
  <c r="R127" i="18" s="1"/>
  <c r="Q128" i="18" a="1"/>
  <c r="Q128" i="18" s="1"/>
  <c r="Q129" i="18" a="1"/>
  <c r="Q129" i="18" s="1"/>
  <c r="R129" i="18" s="1"/>
  <c r="Q130" i="18" a="1"/>
  <c r="Q130" i="18" s="1"/>
  <c r="R130" i="18" s="1"/>
  <c r="Q131" i="18" a="1"/>
  <c r="Q131" i="18" s="1"/>
  <c r="Q132" i="18" a="1"/>
  <c r="Q132" i="18" s="1"/>
  <c r="R132" i="18" s="1"/>
  <c r="Q133" i="18" a="1"/>
  <c r="Q133" i="18" s="1"/>
  <c r="R133" i="18" s="1"/>
  <c r="Q134" i="18" a="1"/>
  <c r="Q134" i="18" s="1"/>
  <c r="R134" i="18" s="1"/>
  <c r="Q135" i="18" a="1"/>
  <c r="Q135" i="18" s="1"/>
  <c r="Q136" i="18" a="1"/>
  <c r="Q136" i="18" s="1"/>
  <c r="Q137" i="18" a="1"/>
  <c r="Q137" i="18" s="1"/>
  <c r="R137" i="18" s="1"/>
  <c r="Q138" i="18" a="1"/>
  <c r="Q138" i="18" s="1"/>
  <c r="R138" i="18" s="1"/>
  <c r="Q139" i="18" a="1"/>
  <c r="Q139" i="18" s="1"/>
  <c r="R139" i="18" s="1"/>
  <c r="Q140" i="18" a="1"/>
  <c r="Q140" i="18" s="1"/>
  <c r="R140" i="18" s="1"/>
  <c r="Q141" i="18" a="1"/>
  <c r="Q141" i="18" s="1"/>
  <c r="R141" i="18" s="1"/>
  <c r="Q142" i="18" a="1"/>
  <c r="Q142" i="18"/>
  <c r="R142" i="18" s="1"/>
  <c r="Q143" i="18" a="1"/>
  <c r="Q143" i="18" s="1"/>
  <c r="R143" i="18" s="1"/>
  <c r="Q144" i="18" a="1"/>
  <c r="Q144" i="18" s="1"/>
  <c r="R144" i="18" s="1"/>
  <c r="Q145" i="18" a="1"/>
  <c r="Q145" i="18" s="1"/>
  <c r="R145" i="18" s="1"/>
  <c r="Q146" i="18" a="1"/>
  <c r="Q146" i="18" s="1"/>
  <c r="R146" i="18" s="1"/>
  <c r="Q147" i="18" a="1"/>
  <c r="Q147" i="18" s="1"/>
  <c r="Q148" i="18" a="1"/>
  <c r="Q148" i="18" s="1"/>
  <c r="R148" i="18" s="1"/>
  <c r="Q149" i="18" a="1"/>
  <c r="Q149" i="18" s="1"/>
  <c r="R149" i="18" s="1"/>
  <c r="Q150" i="18" a="1"/>
  <c r="Q150" i="18" s="1"/>
  <c r="R150" i="18" s="1"/>
  <c r="Q151" i="18" a="1"/>
  <c r="Q151" i="18" s="1"/>
  <c r="Q152" i="18" a="1"/>
  <c r="Q152" i="18" s="1"/>
  <c r="Q153" i="18" a="1"/>
  <c r="Q153" i="18" s="1"/>
  <c r="R153" i="18" s="1"/>
  <c r="Q154" i="18" a="1"/>
  <c r="Q154" i="18" s="1"/>
  <c r="R154" i="18" s="1"/>
  <c r="Q155" i="18" a="1"/>
  <c r="Q155" i="18" s="1"/>
  <c r="Q156" i="18" a="1"/>
  <c r="Q156" i="18" s="1"/>
  <c r="R156" i="18" s="1"/>
  <c r="Q157" i="18" a="1"/>
  <c r="Q157" i="18" s="1"/>
  <c r="R157" i="18" s="1"/>
  <c r="Q158" i="18" a="1"/>
  <c r="Q158" i="18"/>
  <c r="R158" i="18" s="1"/>
  <c r="Q159" i="18" a="1"/>
  <c r="Q159" i="18" s="1"/>
  <c r="R159" i="18" s="1"/>
  <c r="Q160" i="18" a="1"/>
  <c r="Q160" i="18" s="1"/>
  <c r="Q161" i="18" a="1"/>
  <c r="Q161" i="18" s="1"/>
  <c r="R161" i="18" s="1"/>
  <c r="Q162" i="18" a="1"/>
  <c r="Q162" i="18" s="1"/>
  <c r="R162" i="18" s="1"/>
  <c r="Q163" i="18" a="1"/>
  <c r="Q163" i="18" s="1"/>
  <c r="Q164" i="18" a="1"/>
  <c r="Q164" i="18" s="1"/>
  <c r="R164" i="18" s="1"/>
  <c r="Q165" i="18" a="1"/>
  <c r="Q165" i="18" s="1"/>
  <c r="R165" i="18" s="1"/>
  <c r="Q166" i="18" a="1"/>
  <c r="Q166" i="18" s="1"/>
  <c r="R166" i="18" s="1"/>
  <c r="Q167" i="18" a="1"/>
  <c r="Q167" i="18" s="1"/>
  <c r="R167" i="18" s="1"/>
  <c r="Q168" i="18" a="1"/>
  <c r="Q168" i="18" s="1"/>
  <c r="Q169" i="18" a="1"/>
  <c r="Q169" i="18" s="1"/>
  <c r="R169" i="18" s="1"/>
  <c r="Q170" i="18" a="1"/>
  <c r="Q170" i="18" s="1"/>
  <c r="R170" i="18" s="1"/>
  <c r="Q171" i="18" a="1"/>
  <c r="Q171" i="18" s="1"/>
  <c r="Q172" i="18" a="1"/>
  <c r="Q172" i="18" s="1"/>
  <c r="R172" i="18" s="1"/>
  <c r="Q173" i="18" a="1"/>
  <c r="Q173" i="18" s="1"/>
  <c r="R173" i="18" s="1"/>
  <c r="Q174" i="18" a="1"/>
  <c r="Q174" i="18"/>
  <c r="R174" i="18" s="1"/>
  <c r="Q175" i="18" a="1"/>
  <c r="Q175" i="18" s="1"/>
  <c r="R175" i="18" s="1"/>
  <c r="Q176" i="18" a="1"/>
  <c r="Q176" i="18" s="1"/>
  <c r="R176" i="18" s="1"/>
  <c r="Q177" i="18" a="1"/>
  <c r="Q177" i="18" s="1"/>
  <c r="R177" i="18" s="1"/>
  <c r="Q178" i="18" a="1"/>
  <c r="Q178" i="18" s="1"/>
  <c r="R178" i="18" s="1"/>
  <c r="Q179" i="18" a="1"/>
  <c r="Q179" i="18" s="1"/>
  <c r="Q180" i="18" a="1"/>
  <c r="Q180" i="18" s="1"/>
  <c r="R180" i="18" s="1"/>
  <c r="Q181" i="18" a="1"/>
  <c r="Q181" i="18" s="1"/>
  <c r="R181" i="18" s="1"/>
  <c r="Q182" i="18" a="1"/>
  <c r="Q182" i="18" s="1"/>
  <c r="R182" i="18" s="1"/>
  <c r="Q183" i="18" a="1"/>
  <c r="Q183" i="18" s="1"/>
  <c r="Q184" i="18" a="1"/>
  <c r="Q184" i="18" s="1"/>
  <c r="Q185" i="18" a="1"/>
  <c r="Q185" i="18" s="1"/>
  <c r="R185" i="18" s="1"/>
  <c r="Q186" i="18" a="1"/>
  <c r="Q186" i="18" s="1"/>
  <c r="R186" i="18" s="1"/>
  <c r="Q187" i="18" a="1"/>
  <c r="Q187" i="18" s="1"/>
  <c r="Q188" i="18" a="1"/>
  <c r="Q188" i="18" s="1"/>
  <c r="R188" i="18" s="1"/>
  <c r="Q189" i="18" a="1"/>
  <c r="Q189" i="18" s="1"/>
  <c r="R189" i="18" s="1"/>
  <c r="Q190" i="18" a="1"/>
  <c r="Q190" i="18"/>
  <c r="R190" i="18" s="1"/>
  <c r="Q191" i="18" a="1"/>
  <c r="Q191" i="18" s="1"/>
  <c r="R191" i="18" s="1"/>
  <c r="Q192" i="18" a="1"/>
  <c r="Q192" i="18" s="1"/>
  <c r="R192" i="18" s="1"/>
  <c r="Q193" i="18" a="1"/>
  <c r="Q193" i="18" s="1"/>
  <c r="R193" i="18" s="1"/>
  <c r="Q194" i="18" a="1"/>
  <c r="Q194" i="18" s="1"/>
  <c r="R194" i="18" s="1"/>
  <c r="Q195" i="18" a="1"/>
  <c r="Q195" i="18" s="1"/>
  <c r="Q196" i="18" a="1"/>
  <c r="Q196" i="18" s="1"/>
  <c r="R196" i="18" s="1"/>
  <c r="Q197" i="18" a="1"/>
  <c r="Q197" i="18" s="1"/>
  <c r="R197" i="18" s="1"/>
  <c r="Q198" i="18" a="1"/>
  <c r="Q198" i="18" s="1"/>
  <c r="R198" i="18" s="1"/>
  <c r="Q199" i="18" a="1"/>
  <c r="Q199" i="18" s="1"/>
  <c r="Q200" i="18" a="1"/>
  <c r="Q200" i="18" s="1"/>
  <c r="Q201" i="18" a="1"/>
  <c r="Q201" i="18" s="1"/>
  <c r="R201" i="18" s="1"/>
  <c r="Q202" i="18" a="1"/>
  <c r="Q202" i="18" s="1"/>
  <c r="R202" i="18" s="1"/>
  <c r="Q203" i="18" a="1"/>
  <c r="Q203" i="18" s="1"/>
  <c r="Q204" i="18" a="1"/>
  <c r="Q204" i="18" s="1"/>
  <c r="R204" i="18" s="1"/>
  <c r="Q205" i="18" a="1"/>
  <c r="Q205" i="18" s="1"/>
  <c r="R205" i="18" s="1"/>
  <c r="Q206" i="18" a="1"/>
  <c r="Q206" i="18"/>
  <c r="R206" i="18" s="1"/>
  <c r="Q207" i="18" a="1"/>
  <c r="Q207" i="18" s="1"/>
  <c r="R207" i="18" s="1"/>
  <c r="Q208" i="18" a="1"/>
  <c r="Q208" i="18" s="1"/>
  <c r="R208" i="18" s="1"/>
  <c r="Q209" i="18" a="1"/>
  <c r="Q209" i="18" s="1"/>
  <c r="R209" i="18" s="1"/>
  <c r="Q210" i="18" a="1"/>
  <c r="Q210" i="18" s="1"/>
  <c r="R210" i="18" s="1"/>
  <c r="Q211" i="18" a="1"/>
  <c r="Q211" i="18" s="1"/>
  <c r="Q212" i="18" a="1"/>
  <c r="Q212" i="18" s="1"/>
  <c r="R212" i="18" s="1"/>
  <c r="Q213" i="18" a="1"/>
  <c r="Q213" i="18" s="1"/>
  <c r="R213" i="18" s="1"/>
  <c r="Q214" i="18" a="1"/>
  <c r="Q214" i="18" s="1"/>
  <c r="R214" i="18" s="1"/>
  <c r="Q215" i="18" a="1"/>
  <c r="Q215" i="18" s="1"/>
  <c r="R215" i="18" s="1"/>
  <c r="Q216" i="18" a="1"/>
  <c r="Q216" i="18" s="1"/>
  <c r="Q217" i="18" a="1"/>
  <c r="Q217" i="18" s="1"/>
  <c r="R217" i="18" s="1"/>
  <c r="Q218" i="18" a="1"/>
  <c r="Q218" i="18" s="1"/>
  <c r="R218" i="18" s="1"/>
  <c r="Q219" i="18" a="1"/>
  <c r="Q219" i="18" s="1"/>
  <c r="Q220" i="18" a="1"/>
  <c r="Q220" i="18" s="1"/>
  <c r="R220" i="18" s="1"/>
  <c r="Q221" i="18" a="1"/>
  <c r="Q221" i="18" s="1"/>
  <c r="R221" i="18" s="1"/>
  <c r="Q222" i="18" a="1"/>
  <c r="Q222" i="18"/>
  <c r="R222" i="18" s="1"/>
  <c r="Q223" i="18" a="1"/>
  <c r="Q223" i="18" s="1"/>
  <c r="R223" i="18" s="1"/>
  <c r="Q224" i="18" a="1"/>
  <c r="Q224" i="18" s="1"/>
  <c r="R224" i="18" s="1"/>
  <c r="Q225" i="18" a="1"/>
  <c r="Q225" i="18" s="1"/>
  <c r="R225" i="18" s="1"/>
  <c r="Q226" i="18" a="1"/>
  <c r="Q226" i="18" s="1"/>
  <c r="R226" i="18" s="1"/>
  <c r="Q227" i="18" a="1"/>
  <c r="Q227" i="18" s="1"/>
  <c r="Q228" i="18" a="1"/>
  <c r="Q228" i="18" s="1"/>
  <c r="R228" i="18" s="1"/>
  <c r="Q229" i="18" a="1"/>
  <c r="Q229" i="18" s="1"/>
  <c r="R229" i="18" s="1"/>
  <c r="Q230" i="18" a="1"/>
  <c r="Q230" i="18" s="1"/>
  <c r="R230" i="18" s="1"/>
  <c r="Q231" i="18" a="1"/>
  <c r="Q231" i="18" s="1"/>
  <c r="R231" i="18" s="1"/>
  <c r="Q232" i="18" a="1"/>
  <c r="Q232" i="18" s="1"/>
  <c r="Q233" i="18" a="1"/>
  <c r="Q233" i="18" s="1"/>
  <c r="R233" i="18" s="1"/>
  <c r="Q234" i="18" a="1"/>
  <c r="Q234" i="18" s="1"/>
  <c r="R234" i="18" s="1"/>
  <c r="Q235" i="18" a="1"/>
  <c r="Q235" i="18" s="1"/>
  <c r="R235" i="18" s="1"/>
  <c r="Q236" i="18" a="1"/>
  <c r="Q236" i="18" s="1"/>
  <c r="R236" i="18" s="1"/>
  <c r="Q237" i="18" a="1"/>
  <c r="Q237" i="18" s="1"/>
  <c r="R237" i="18" s="1"/>
  <c r="Q238" i="18" a="1"/>
  <c r="Q238" i="18"/>
  <c r="R238" i="18" s="1"/>
  <c r="Q239" i="18" a="1"/>
  <c r="Q239" i="18" s="1"/>
  <c r="R239" i="18" s="1"/>
  <c r="Q240" i="18" a="1"/>
  <c r="Q240" i="18" s="1"/>
  <c r="R240" i="18" s="1"/>
  <c r="Q241" i="18" a="1"/>
  <c r="Q241" i="18" s="1"/>
  <c r="R241" i="18" s="1"/>
  <c r="Q242" i="18" a="1"/>
  <c r="Q242" i="18" s="1"/>
  <c r="R242" i="18" s="1"/>
  <c r="Q243" i="18" a="1"/>
  <c r="Q243" i="18" s="1"/>
  <c r="Q244" i="18" a="1"/>
  <c r="Q244" i="18" s="1"/>
  <c r="R244" i="18" s="1"/>
  <c r="Q245" i="18" a="1"/>
  <c r="Q245" i="18" s="1"/>
  <c r="R245" i="18" s="1"/>
  <c r="Q246" i="18" a="1"/>
  <c r="Q246" i="18" s="1"/>
  <c r="R246" i="18" s="1"/>
  <c r="Q247" i="18" a="1"/>
  <c r="Q247" i="18" s="1"/>
  <c r="Q248" i="18" a="1"/>
  <c r="Q248" i="18" s="1"/>
  <c r="Q249" i="18" a="1"/>
  <c r="Q249" i="18" s="1"/>
  <c r="R249" i="18" s="1"/>
  <c r="Q250" i="18" a="1"/>
  <c r="Q250" i="18" s="1"/>
  <c r="R250" i="18" s="1"/>
  <c r="Q251" i="18" a="1"/>
  <c r="Q251" i="18" s="1"/>
  <c r="Q252" i="18" a="1"/>
  <c r="Q252" i="18" s="1"/>
  <c r="R252" i="18" s="1"/>
  <c r="Q253" i="18" a="1"/>
  <c r="Q253" i="18" s="1"/>
  <c r="R253" i="18" s="1"/>
  <c r="Q254" i="18" a="1"/>
  <c r="Q254" i="18"/>
  <c r="R254" i="18" s="1"/>
  <c r="Q255" i="18" a="1"/>
  <c r="Q255" i="18" s="1"/>
  <c r="R255" i="18" s="1"/>
  <c r="Q256" i="18" a="1"/>
  <c r="Q256" i="18" s="1"/>
  <c r="R256" i="18" s="1"/>
  <c r="Q257" i="18" a="1"/>
  <c r="Q257" i="18" s="1"/>
  <c r="R257" i="18" s="1"/>
  <c r="Q258" i="18" a="1"/>
  <c r="Q258" i="18" s="1"/>
  <c r="R258" i="18" s="1"/>
  <c r="Q259" i="18" a="1"/>
  <c r="Q259" i="18" s="1"/>
  <c r="Q260" i="18" a="1"/>
  <c r="Q260" i="18" s="1"/>
  <c r="R260" i="18" s="1"/>
  <c r="Q261" i="18" a="1"/>
  <c r="Q261" i="18" s="1"/>
  <c r="R261" i="18" s="1"/>
  <c r="Q262" i="18" a="1"/>
  <c r="Q262" i="18" s="1"/>
  <c r="R262" i="18" s="1"/>
  <c r="Q263" i="18" a="1"/>
  <c r="Q263" i="18" s="1"/>
  <c r="Q264" i="18" a="1"/>
  <c r="Q264" i="18" s="1"/>
  <c r="Q265" i="18" a="1"/>
  <c r="Q265" i="18" s="1"/>
  <c r="R265" i="18" s="1"/>
  <c r="Q266" i="18" a="1"/>
  <c r="Q266" i="18" s="1"/>
  <c r="R266" i="18" s="1"/>
  <c r="Q267" i="18" a="1"/>
  <c r="Q267" i="18" s="1"/>
  <c r="R267" i="18" s="1"/>
  <c r="Q268" i="18" a="1"/>
  <c r="Q268" i="18" s="1"/>
  <c r="R268" i="18" s="1"/>
  <c r="Q269" i="18" a="1"/>
  <c r="Q269" i="18" s="1"/>
  <c r="R269" i="18" s="1"/>
  <c r="Q270" i="18" a="1"/>
  <c r="Q270" i="18"/>
  <c r="R270" i="18" s="1"/>
  <c r="Q271" i="18" a="1"/>
  <c r="Q271" i="18" s="1"/>
  <c r="R271" i="18" s="1"/>
  <c r="Q272" i="18" a="1"/>
  <c r="Q272" i="18" s="1"/>
  <c r="R272" i="18" s="1"/>
  <c r="Q273" i="18" a="1"/>
  <c r="Q273" i="18" s="1"/>
  <c r="R273" i="18" s="1"/>
  <c r="Q274" i="18" a="1"/>
  <c r="Q274" i="18" s="1"/>
  <c r="R274" i="18" s="1"/>
  <c r="Q275" i="18" a="1"/>
  <c r="Q275" i="18" s="1"/>
  <c r="Q276" i="18" a="1"/>
  <c r="Q276" i="18" s="1"/>
  <c r="R276" i="18" s="1"/>
  <c r="Q277" i="18" a="1"/>
  <c r="Q277" i="18" s="1"/>
  <c r="R277" i="18" s="1"/>
  <c r="Q278" i="18" a="1"/>
  <c r="Q278" i="18" s="1"/>
  <c r="R278" i="18" s="1"/>
  <c r="Q279" i="18" a="1"/>
  <c r="Q279" i="18" s="1"/>
  <c r="R279" i="18" s="1"/>
  <c r="Q280" i="18" a="1"/>
  <c r="Q280" i="18" s="1"/>
  <c r="Q281" i="18" a="1"/>
  <c r="Q281" i="18" s="1"/>
  <c r="R281" i="18" s="1"/>
  <c r="Q282" i="18" a="1"/>
  <c r="Q282" i="18" s="1"/>
  <c r="R282" i="18" s="1"/>
  <c r="Q283" i="18" a="1"/>
  <c r="Q283" i="18" s="1"/>
  <c r="R283" i="18" s="1"/>
  <c r="Q284" i="18" a="1"/>
  <c r="Q284" i="18" s="1"/>
  <c r="R284" i="18" s="1"/>
  <c r="Q285" i="18" a="1"/>
  <c r="Q285" i="18" s="1"/>
  <c r="R285" i="18" s="1"/>
  <c r="Q286" i="18" a="1"/>
  <c r="Q286" i="18"/>
  <c r="R286" i="18" s="1"/>
  <c r="Q287" i="18" a="1"/>
  <c r="Q287" i="18" s="1"/>
  <c r="R287" i="18" s="1"/>
  <c r="Q288" i="18" a="1"/>
  <c r="Q288" i="18" s="1"/>
  <c r="Q289" i="18" a="1"/>
  <c r="Q289" i="18" s="1"/>
  <c r="R289" i="18" s="1"/>
  <c r="Q290" i="18" a="1"/>
  <c r="Q290" i="18" s="1"/>
  <c r="R290" i="18" s="1"/>
  <c r="Q291" i="18" a="1"/>
  <c r="Q291" i="18" s="1"/>
  <c r="Q292" i="18" a="1"/>
  <c r="Q292" i="18" s="1"/>
  <c r="R292" i="18" s="1"/>
  <c r="Q293" i="18" a="1"/>
  <c r="Q293" i="18" s="1"/>
  <c r="R293" i="18" s="1"/>
  <c r="Q294" i="18" a="1"/>
  <c r="Q294" i="18" s="1"/>
  <c r="R294" i="18" s="1"/>
  <c r="Q295" i="18" a="1"/>
  <c r="Q295" i="18" s="1"/>
  <c r="R295" i="18" s="1"/>
  <c r="Q296" i="18" a="1"/>
  <c r="Q296" i="18" s="1"/>
  <c r="Q297" i="18" a="1"/>
  <c r="Q297" i="18" s="1"/>
  <c r="R297" i="18" s="1"/>
  <c r="Q298" i="18" a="1"/>
  <c r="Q298" i="18" s="1"/>
  <c r="R298" i="18" s="1"/>
  <c r="Q299" i="18" a="1"/>
  <c r="Q299" i="18" s="1"/>
  <c r="Q300" i="18" a="1"/>
  <c r="Q300" i="18" s="1"/>
  <c r="R300" i="18" s="1"/>
  <c r="Q301" i="18" a="1"/>
  <c r="Q301" i="18" s="1"/>
  <c r="R301" i="18" s="1"/>
  <c r="Q302" i="18" a="1"/>
  <c r="Q302" i="18"/>
  <c r="R302" i="18" s="1"/>
  <c r="Q303" i="18" a="1"/>
  <c r="Q303" i="18" s="1"/>
  <c r="R303" i="18" s="1"/>
  <c r="Q304" i="18" a="1"/>
  <c r="Q304" i="18" s="1"/>
  <c r="R304" i="18" s="1"/>
  <c r="Q305" i="18" a="1"/>
  <c r="Q305" i="18" s="1"/>
  <c r="R305" i="18" s="1"/>
  <c r="Q306" i="18" a="1"/>
  <c r="Q306" i="18" s="1"/>
  <c r="R306" i="18" s="1"/>
  <c r="Q307" i="18" a="1"/>
  <c r="Q307" i="18" s="1"/>
  <c r="Q308" i="18" a="1"/>
  <c r="Q308" i="18" s="1"/>
  <c r="R308" i="18" s="1"/>
  <c r="Q309" i="18" a="1"/>
  <c r="Q309" i="18" s="1"/>
  <c r="R309" i="18" s="1"/>
  <c r="Q310" i="18" a="1"/>
  <c r="Q310" i="18" s="1"/>
  <c r="R310" i="18" s="1"/>
  <c r="Q311" i="18" a="1"/>
  <c r="Q311" i="18" s="1"/>
  <c r="Q312" i="18" a="1"/>
  <c r="Q312" i="18" s="1"/>
  <c r="Q313" i="18" a="1"/>
  <c r="Q313" i="18" s="1"/>
  <c r="R313" i="18" s="1"/>
  <c r="Q314" i="18" a="1"/>
  <c r="Q314" i="18" s="1"/>
  <c r="R314" i="18" s="1"/>
  <c r="Q315" i="18" a="1"/>
  <c r="Q315" i="18" s="1"/>
  <c r="Q316" i="18" a="1"/>
  <c r="Q316" i="18" s="1"/>
  <c r="R316" i="18" s="1"/>
  <c r="Q317" i="18" a="1"/>
  <c r="Q317" i="18" s="1"/>
  <c r="R317" i="18" s="1"/>
  <c r="Q318" i="18" a="1"/>
  <c r="Q318" i="18"/>
  <c r="R318" i="18" s="1"/>
  <c r="Q319" i="18" a="1"/>
  <c r="Q319" i="18" s="1"/>
  <c r="R319" i="18" s="1"/>
  <c r="Q320" i="18" a="1"/>
  <c r="Q320" i="18" s="1"/>
  <c r="R320" i="18" s="1"/>
  <c r="Q321" i="18" a="1"/>
  <c r="Q321" i="18" s="1"/>
  <c r="R321" i="18" s="1"/>
  <c r="Q322" i="18" a="1"/>
  <c r="Q322" i="18" s="1"/>
  <c r="R322" i="18" s="1"/>
  <c r="Q323" i="18" a="1"/>
  <c r="Q323" i="18" s="1"/>
  <c r="Q324" i="18" a="1"/>
  <c r="Q324" i="18" s="1"/>
  <c r="R324" i="18" s="1"/>
  <c r="Q325" i="18" a="1"/>
  <c r="Q325" i="18" s="1"/>
  <c r="R325" i="18" s="1"/>
  <c r="Q326" i="18" a="1"/>
  <c r="Q326" i="18" s="1"/>
  <c r="R326" i="18" s="1"/>
  <c r="Q327" i="18" a="1"/>
  <c r="Q327" i="18" s="1"/>
  <c r="Q328" i="18" a="1"/>
  <c r="Q328" i="18" s="1"/>
  <c r="Q329" i="18" a="1"/>
  <c r="Q329" i="18" s="1"/>
  <c r="R329" i="18" s="1"/>
  <c r="Q330" i="18" a="1"/>
  <c r="Q330" i="18" s="1"/>
  <c r="R330" i="18" s="1"/>
  <c r="Q331" i="18" a="1"/>
  <c r="Q331" i="18" s="1"/>
  <c r="Q332" i="18" a="1"/>
  <c r="Q332" i="18" s="1"/>
  <c r="R332" i="18" s="1"/>
  <c r="Q333" i="18" a="1"/>
  <c r="Q333" i="18" s="1"/>
  <c r="R333" i="18" s="1"/>
  <c r="Q334" i="18" a="1"/>
  <c r="Q334" i="18"/>
  <c r="R334" i="18" s="1"/>
  <c r="Q335" i="18" a="1"/>
  <c r="Q335" i="18" s="1"/>
  <c r="R335" i="18" s="1"/>
  <c r="Q336" i="18" a="1"/>
  <c r="Q336" i="18" s="1"/>
  <c r="R336" i="18" s="1"/>
  <c r="Q337" i="18" a="1"/>
  <c r="Q337" i="18" s="1"/>
  <c r="Q338" i="18" a="1"/>
  <c r="Q338" i="18" s="1"/>
  <c r="R338" i="18" s="1"/>
  <c r="Q339" i="18" a="1"/>
  <c r="Q339" i="18" s="1"/>
  <c r="Q340" i="18" a="1"/>
  <c r="Q340" i="18" s="1"/>
  <c r="R340" i="18" s="1"/>
  <c r="Q341" i="18" a="1"/>
  <c r="Q341" i="18" s="1"/>
  <c r="R341" i="18" s="1"/>
  <c r="Q342" i="18" a="1"/>
  <c r="Q342" i="18" s="1"/>
  <c r="R342" i="18" s="1"/>
  <c r="Q343" i="18" a="1"/>
  <c r="Q343" i="18" s="1"/>
  <c r="R343" i="18" s="1"/>
  <c r="Q344" i="18" a="1"/>
  <c r="Q344" i="18" s="1"/>
  <c r="Q345" i="18" a="1"/>
  <c r="Q345" i="18" s="1"/>
  <c r="R345" i="18" s="1"/>
  <c r="Q346" i="18" a="1"/>
  <c r="Q346" i="18" s="1"/>
  <c r="R346" i="18" s="1"/>
  <c r="Q347" i="18" a="1"/>
  <c r="Q347" i="18" s="1"/>
  <c r="R347" i="18" s="1"/>
  <c r="Q348" i="18" a="1"/>
  <c r="Q348" i="18" s="1"/>
  <c r="R348" i="18" s="1"/>
  <c r="Q349" i="18" a="1"/>
  <c r="Q349" i="18" s="1"/>
  <c r="R349" i="18" s="1"/>
  <c r="Q350" i="18" a="1"/>
  <c r="Q350" i="18"/>
  <c r="R350" i="18" s="1"/>
  <c r="Q351" i="18" a="1"/>
  <c r="Q351" i="18" s="1"/>
  <c r="R351" i="18" s="1"/>
  <c r="Q352" i="18" a="1"/>
  <c r="Q352" i="18" s="1"/>
  <c r="R352" i="18" s="1"/>
  <c r="Q353" i="18" a="1"/>
  <c r="Q353" i="18" s="1"/>
  <c r="R353" i="18" s="1"/>
  <c r="Q354" i="18" a="1"/>
  <c r="Q354" i="18" s="1"/>
  <c r="R354" i="18" s="1"/>
  <c r="Q355" i="18" a="1"/>
  <c r="Q355" i="18" s="1"/>
  <c r="Q356" i="18" a="1"/>
  <c r="Q356" i="18" s="1"/>
  <c r="R356" i="18" s="1"/>
  <c r="Q357" i="18" a="1"/>
  <c r="Q357" i="18" s="1"/>
  <c r="R357" i="18" s="1"/>
  <c r="Q358" i="18" a="1"/>
  <c r="Q358" i="18" s="1"/>
  <c r="R358" i="18" s="1"/>
  <c r="Q359" i="18" a="1"/>
  <c r="Q359" i="18" s="1"/>
  <c r="R359" i="18" s="1"/>
  <c r="Q360" i="18" a="1"/>
  <c r="Q360" i="18" s="1"/>
  <c r="Q361" i="18" a="1"/>
  <c r="Q361" i="18" s="1"/>
  <c r="R361" i="18" s="1"/>
  <c r="Q362" i="18" a="1"/>
  <c r="Q362" i="18" s="1"/>
  <c r="Q363" i="18" a="1"/>
  <c r="Q363" i="18" s="1"/>
  <c r="R363" i="18" s="1"/>
  <c r="Q364" i="18" a="1"/>
  <c r="Q364" i="18" s="1"/>
  <c r="R364" i="18" s="1"/>
  <c r="Q365" i="18" a="1"/>
  <c r="Q365" i="18" s="1"/>
  <c r="R365" i="18" s="1"/>
  <c r="Q366" i="18" a="1"/>
  <c r="Q366" i="18"/>
  <c r="Q367" i="18" a="1"/>
  <c r="Q367" i="18" s="1"/>
  <c r="Q368" i="18" a="1"/>
  <c r="Q368" i="18" s="1"/>
  <c r="R368" i="18" s="1"/>
  <c r="Q369" i="18" a="1"/>
  <c r="Q369" i="18" s="1"/>
  <c r="R369" i="18" s="1"/>
  <c r="Q370" i="18" a="1"/>
  <c r="Q370" i="18" s="1"/>
  <c r="R370" i="18" s="1"/>
  <c r="Q371" i="18" a="1"/>
  <c r="Q371" i="18" s="1"/>
  <c r="Q372" i="18" a="1"/>
  <c r="Q372" i="18" s="1"/>
  <c r="R372" i="18" s="1"/>
  <c r="Q373" i="18" a="1"/>
  <c r="Q373" i="18" s="1"/>
  <c r="R373" i="18" s="1"/>
  <c r="Q374" i="18" a="1"/>
  <c r="Q374" i="18" s="1"/>
  <c r="R374" i="18" s="1"/>
  <c r="Q375" i="18" a="1"/>
  <c r="Q375" i="18" s="1"/>
  <c r="Q376" i="18" a="1"/>
  <c r="Q376" i="18" s="1"/>
  <c r="Q377" i="18" a="1"/>
  <c r="Q377" i="18" s="1"/>
  <c r="R377" i="18" s="1"/>
  <c r="Q378" i="18" a="1"/>
  <c r="Q378" i="18" s="1"/>
  <c r="Q379" i="18" a="1"/>
  <c r="Q379" i="18" s="1"/>
  <c r="R379" i="18" s="1"/>
  <c r="Q380" i="18" a="1"/>
  <c r="Q380" i="18" s="1"/>
  <c r="R380" i="18" s="1"/>
  <c r="Q381" i="18" a="1"/>
  <c r="Q381" i="18" s="1"/>
  <c r="R381" i="18" s="1"/>
  <c r="Q382" i="18" a="1"/>
  <c r="Q382" i="18"/>
  <c r="R382" i="18" s="1"/>
  <c r="Q383" i="18" a="1"/>
  <c r="Q383" i="18" s="1"/>
  <c r="Q384" i="18" a="1"/>
  <c r="Q384" i="18" s="1"/>
  <c r="R384" i="18" s="1"/>
  <c r="Q385" i="18" a="1"/>
  <c r="Q385" i="18" s="1"/>
  <c r="R385" i="18" s="1"/>
  <c r="Q386" i="18" a="1"/>
  <c r="Q386" i="18" s="1"/>
  <c r="R386" i="18" s="1"/>
  <c r="Q387" i="18" a="1"/>
  <c r="Q387" i="18" s="1"/>
  <c r="Q388" i="18" a="1"/>
  <c r="Q388" i="18" s="1"/>
  <c r="R388" i="18" s="1"/>
  <c r="Q389" i="18" a="1"/>
  <c r="Q389" i="18" s="1"/>
  <c r="R389" i="18" s="1"/>
  <c r="Q390" i="18" a="1"/>
  <c r="Q390" i="18" s="1"/>
  <c r="Q391" i="18" a="1"/>
  <c r="Q391" i="18" s="1"/>
  <c r="R391" i="18" s="1"/>
  <c r="Q392" i="18" a="1"/>
  <c r="Q392" i="18" s="1"/>
  <c r="Q393" i="18" a="1"/>
  <c r="Q393" i="18" s="1"/>
  <c r="R393" i="18" s="1"/>
  <c r="Q394" i="18" a="1"/>
  <c r="Q394" i="18"/>
  <c r="Q395" i="18" a="1"/>
  <c r="Q395" i="18" s="1"/>
  <c r="Q396" i="18" a="1"/>
  <c r="Q396" i="18" s="1"/>
  <c r="R396" i="18" s="1"/>
  <c r="Q397" i="18" a="1"/>
  <c r="Q397" i="18" s="1"/>
  <c r="R397" i="18" s="1"/>
  <c r="Q398" i="18" a="1"/>
  <c r="Q398" i="18" s="1"/>
  <c r="R398" i="18" s="1"/>
  <c r="Q399" i="18" a="1"/>
  <c r="Q399" i="18" s="1"/>
  <c r="R399" i="18" s="1"/>
  <c r="Q400" i="18" a="1"/>
  <c r="Q400" i="18" s="1"/>
  <c r="R400" i="18" s="1"/>
  <c r="Q401" i="18" a="1"/>
  <c r="Q401" i="18" s="1"/>
  <c r="Q402" i="18" a="1"/>
  <c r="Q402" i="18" s="1"/>
  <c r="R402" i="18" s="1"/>
  <c r="Q403" i="18" a="1"/>
  <c r="Q403" i="18" s="1"/>
  <c r="Q404" i="18" a="1"/>
  <c r="Q404" i="18"/>
  <c r="R404" i="18" s="1"/>
  <c r="Q405" i="18" a="1"/>
  <c r="Q405" i="18" s="1"/>
  <c r="R405" i="18" s="1"/>
  <c r="Q406" i="18" a="1"/>
  <c r="Q406" i="18" s="1"/>
  <c r="R406" i="18" s="1"/>
  <c r="Q407" i="18" a="1"/>
  <c r="Q407" i="18" s="1"/>
  <c r="R407" i="18" s="1"/>
  <c r="Q408" i="18" a="1"/>
  <c r="Q408" i="18" s="1"/>
  <c r="Q409" i="18" a="1"/>
  <c r="Q409" i="18" s="1"/>
  <c r="R409" i="18" s="1"/>
  <c r="Q410" i="18" a="1"/>
  <c r="Q410" i="18"/>
  <c r="Q411" i="18" a="1"/>
  <c r="Q411" i="18" s="1"/>
  <c r="Q412" i="18" a="1"/>
  <c r="Q412" i="18" s="1"/>
  <c r="R412" i="18" s="1"/>
  <c r="Q413" i="18" a="1"/>
  <c r="Q413" i="18" s="1"/>
  <c r="R413" i="18" s="1"/>
  <c r="Q414" i="18" a="1"/>
  <c r="Q414" i="18" s="1"/>
  <c r="R414" i="18" s="1"/>
  <c r="Q415" i="18" a="1"/>
  <c r="Q415" i="18" s="1"/>
  <c r="Q416" i="18" a="1"/>
  <c r="Q416" i="18" s="1"/>
  <c r="R416" i="18" s="1"/>
  <c r="Q417" i="18" a="1"/>
  <c r="Q417" i="18" s="1"/>
  <c r="R417" i="18" s="1"/>
  <c r="Q418" i="18" a="1"/>
  <c r="Q418" i="18" s="1"/>
  <c r="R418" i="18" s="1"/>
  <c r="Q419" i="18" a="1"/>
  <c r="Q419" i="18" s="1"/>
  <c r="R419" i="18" s="1"/>
  <c r="Q420" i="18" a="1"/>
  <c r="Q420" i="18"/>
  <c r="Q421" i="18" a="1"/>
  <c r="Q421" i="18" s="1"/>
  <c r="R421" i="18" s="1"/>
  <c r="Q422" i="18" a="1"/>
  <c r="Q422" i="18" s="1"/>
  <c r="Q423" i="18" a="1"/>
  <c r="Q423" i="18" s="1"/>
  <c r="R423" i="18" s="1"/>
  <c r="Q424" i="18" a="1"/>
  <c r="Q424" i="18" s="1"/>
  <c r="Q425" i="18" a="1"/>
  <c r="Q425" i="18" s="1"/>
  <c r="R425" i="18" s="1"/>
  <c r="Q426" i="18" a="1"/>
  <c r="Q426" i="18"/>
  <c r="R426" i="18" s="1"/>
  <c r="Q427" i="18" a="1"/>
  <c r="Q427" i="18" s="1"/>
  <c r="Q428" i="18" a="1"/>
  <c r="Q428" i="18" s="1"/>
  <c r="R428" i="18" s="1"/>
  <c r="Q429" i="18" a="1"/>
  <c r="Q429" i="18" s="1"/>
  <c r="R429" i="18" s="1"/>
  <c r="Q430" i="18" a="1"/>
  <c r="Q430" i="18" s="1"/>
  <c r="R430" i="18" s="1"/>
  <c r="Q431" i="18" a="1"/>
  <c r="Q431" i="18" s="1"/>
  <c r="R431" i="18" s="1"/>
  <c r="Q432" i="18" a="1"/>
  <c r="Q432" i="18" s="1"/>
  <c r="R432" i="18" s="1"/>
  <c r="Q433" i="18" a="1"/>
  <c r="Q433" i="18" s="1"/>
  <c r="Q434" i="18" a="1"/>
  <c r="Q434" i="18" s="1"/>
  <c r="R434" i="18" s="1"/>
  <c r="Q435" i="18" a="1"/>
  <c r="Q435" i="18" s="1"/>
  <c r="Q436" i="18" a="1"/>
  <c r="Q436" i="18"/>
  <c r="R436" i="18" s="1"/>
  <c r="Q437" i="18" a="1"/>
  <c r="Q437" i="18" s="1"/>
  <c r="R437" i="18" s="1"/>
  <c r="Q438" i="18" a="1"/>
  <c r="Q438" i="18" s="1"/>
  <c r="R438" i="18" s="1"/>
  <c r="Q439" i="18" a="1"/>
  <c r="Q439" i="18" s="1"/>
  <c r="R439" i="18" s="1"/>
  <c r="Q440" i="18" a="1"/>
  <c r="Q440" i="18" s="1"/>
  <c r="Q441" i="18" a="1"/>
  <c r="Q441" i="18" s="1"/>
  <c r="R441" i="18" s="1"/>
  <c r="Q442" i="18" a="1"/>
  <c r="Q442" i="18"/>
  <c r="R442" i="18" s="1"/>
  <c r="Q443" i="18" a="1"/>
  <c r="Q443" i="18" s="1"/>
  <c r="Q444" i="18" a="1"/>
  <c r="Q444" i="18" s="1"/>
  <c r="R444" i="18" s="1"/>
  <c r="Q445" i="18" a="1"/>
  <c r="Q445" i="18" s="1"/>
  <c r="R445" i="18" s="1"/>
  <c r="Q446" i="18" a="1"/>
  <c r="Q446" i="18" s="1"/>
  <c r="R446" i="18" s="1"/>
  <c r="Q447" i="18" a="1"/>
  <c r="Q447" i="18" s="1"/>
  <c r="Q448" i="18" a="1"/>
  <c r="Q448" i="18" s="1"/>
  <c r="R448" i="18" s="1"/>
  <c r="Q449" i="18" a="1"/>
  <c r="Q449" i="18" s="1"/>
  <c r="R449" i="18" s="1"/>
  <c r="Q450" i="18" a="1"/>
  <c r="Q450" i="18" s="1"/>
  <c r="R450" i="18" s="1"/>
  <c r="Q451" i="18" a="1"/>
  <c r="Q451" i="18" s="1"/>
  <c r="R451" i="18" s="1"/>
  <c r="Q452" i="18" a="1"/>
  <c r="Q452" i="18"/>
  <c r="R452" i="18" s="1"/>
  <c r="Q453" i="18" a="1"/>
  <c r="Q453" i="18" s="1"/>
  <c r="R453" i="18" s="1"/>
  <c r="Q454" i="18" a="1"/>
  <c r="Q454" i="18" s="1"/>
  <c r="Q455" i="18" a="1"/>
  <c r="Q455" i="18" s="1"/>
  <c r="R455" i="18" s="1"/>
  <c r="Q456" i="18" a="1"/>
  <c r="Q456" i="18" s="1"/>
  <c r="Q457" i="18" a="1"/>
  <c r="Q457" i="18" s="1"/>
  <c r="R457" i="18" s="1"/>
  <c r="Q458" i="18" a="1"/>
  <c r="Q458" i="18"/>
  <c r="Q459" i="18" a="1"/>
  <c r="Q459" i="18" s="1"/>
  <c r="Q460" i="18" a="1"/>
  <c r="Q460" i="18" s="1"/>
  <c r="R460" i="18" s="1"/>
  <c r="Q461" i="18" a="1"/>
  <c r="Q461" i="18" s="1"/>
  <c r="R461" i="18" s="1"/>
  <c r="Q462" i="18" a="1"/>
  <c r="Q462" i="18" s="1"/>
  <c r="R462" i="18" s="1"/>
  <c r="Q463" i="18" a="1"/>
  <c r="Q463" i="18" s="1"/>
  <c r="R463" i="18" s="1"/>
  <c r="Q464" i="18" a="1"/>
  <c r="Q464" i="18" s="1"/>
  <c r="R464" i="18" s="1"/>
  <c r="Q465" i="18" a="1"/>
  <c r="Q465" i="18" s="1"/>
  <c r="Q466" i="18" a="1"/>
  <c r="Q466" i="18" s="1"/>
  <c r="R466" i="18" s="1"/>
  <c r="Q467" i="18" a="1"/>
  <c r="Q467" i="18" s="1"/>
  <c r="Q468" i="18" a="1"/>
  <c r="Q468" i="18"/>
  <c r="R468" i="18" s="1"/>
  <c r="Q469" i="18" a="1"/>
  <c r="Q469" i="18" s="1"/>
  <c r="R469" i="18" s="1"/>
  <c r="Q470" i="18" a="1"/>
  <c r="Q470" i="18" s="1"/>
  <c r="R470" i="18" s="1"/>
  <c r="Q471" i="18" a="1"/>
  <c r="Q471" i="18" s="1"/>
  <c r="R471" i="18" s="1"/>
  <c r="Q472" i="18" a="1"/>
  <c r="Q472" i="18" s="1"/>
  <c r="Q473" i="18" a="1"/>
  <c r="Q473" i="18" s="1"/>
  <c r="R473" i="18" s="1"/>
  <c r="Q474" i="18" a="1"/>
  <c r="Q474" i="18"/>
  <c r="Q475" i="18" a="1"/>
  <c r="Q475" i="18" s="1"/>
  <c r="Q476" i="18" a="1"/>
  <c r="Q476" i="18" s="1"/>
  <c r="R476" i="18" s="1"/>
  <c r="Q477" i="18" a="1"/>
  <c r="Q477" i="18" s="1"/>
  <c r="R477" i="18" s="1"/>
  <c r="Q478" i="18" a="1"/>
  <c r="Q478" i="18" s="1"/>
  <c r="R478" i="18" s="1"/>
  <c r="Q479" i="18" a="1"/>
  <c r="Q479" i="18" s="1"/>
  <c r="Q480" i="18" a="1"/>
  <c r="Q480" i="18" s="1"/>
  <c r="R480" i="18" s="1"/>
  <c r="Q481" i="18" a="1"/>
  <c r="Q481" i="18" s="1"/>
  <c r="R481" i="18" s="1"/>
  <c r="Q482" i="18" a="1"/>
  <c r="Q482" i="18" s="1"/>
  <c r="R482" i="18" s="1"/>
  <c r="Q483" i="18" a="1"/>
  <c r="Q483" i="18" s="1"/>
  <c r="R483" i="18" s="1"/>
  <c r="Q484" i="18" a="1"/>
  <c r="Q484" i="18"/>
  <c r="Q485" i="18" a="1"/>
  <c r="Q485" i="18" s="1"/>
  <c r="R485" i="18" s="1"/>
  <c r="Q486" i="18" a="1"/>
  <c r="Q486" i="18" s="1"/>
  <c r="Q487" i="18" a="1"/>
  <c r="Q487" i="18" s="1"/>
  <c r="R487" i="18" s="1"/>
  <c r="Q488" i="18" a="1"/>
  <c r="Q488" i="18" s="1"/>
  <c r="Q489" i="18" a="1"/>
  <c r="Q489" i="18" s="1"/>
  <c r="R489" i="18" s="1"/>
  <c r="Q490" i="18" a="1"/>
  <c r="Q490" i="18"/>
  <c r="R490" i="18" s="1"/>
  <c r="Q491" i="18" a="1"/>
  <c r="Q491" i="18" s="1"/>
  <c r="Q492" i="18" a="1"/>
  <c r="Q492" i="18" s="1"/>
  <c r="R492" i="18" s="1"/>
  <c r="Q493" i="18" a="1"/>
  <c r="Q493" i="18" s="1"/>
  <c r="R493" i="18" s="1"/>
  <c r="Q494" i="18" a="1"/>
  <c r="Q494" i="18" s="1"/>
  <c r="R494" i="18" s="1"/>
  <c r="Q495" i="18" a="1"/>
  <c r="Q495" i="18" s="1"/>
  <c r="R495" i="18" s="1"/>
  <c r="Q496" i="18" a="1"/>
  <c r="Q496" i="18" s="1"/>
  <c r="R496" i="18" s="1"/>
  <c r="Q497" i="18" a="1"/>
  <c r="Q497" i="18" s="1"/>
  <c r="Q498" i="18" a="1"/>
  <c r="Q498" i="18" s="1"/>
  <c r="R498" i="18" s="1"/>
  <c r="Q499" i="18" a="1"/>
  <c r="Q499" i="18" s="1"/>
  <c r="Q500" i="18" a="1"/>
  <c r="Q500" i="18"/>
  <c r="R500" i="18" s="1"/>
  <c r="Q501" i="18" a="1"/>
  <c r="Q501" i="18" s="1"/>
  <c r="R501" i="18" s="1"/>
  <c r="Q502" i="18" a="1"/>
  <c r="Q502" i="18" s="1"/>
  <c r="R502" i="18" s="1"/>
  <c r="Q503" i="18" a="1"/>
  <c r="Q503" i="18" s="1"/>
  <c r="R503" i="18" s="1"/>
  <c r="Q504" i="18" a="1"/>
  <c r="Q504" i="18" s="1"/>
  <c r="Q505" i="18" a="1"/>
  <c r="Q505" i="18" s="1"/>
  <c r="R505" i="18" s="1"/>
  <c r="Q506" i="18" a="1"/>
  <c r="Q506" i="18"/>
  <c r="R506" i="18" s="1"/>
  <c r="Q507" i="18" a="1"/>
  <c r="Q507" i="18" s="1"/>
  <c r="Q508" i="18" a="1"/>
  <c r="Q508" i="18" s="1"/>
  <c r="R508" i="18" s="1"/>
  <c r="Q509" i="18" a="1"/>
  <c r="Q509" i="18" s="1"/>
  <c r="R509" i="18" s="1"/>
  <c r="Q510" i="18" a="1"/>
  <c r="Q510" i="18" s="1"/>
  <c r="R510" i="18" s="1"/>
  <c r="Q511" i="18" a="1"/>
  <c r="Q511" i="18" s="1"/>
  <c r="Q512" i="18" a="1"/>
  <c r="Q512" i="18" s="1"/>
  <c r="R512" i="18" s="1"/>
  <c r="Q513" i="18" a="1"/>
  <c r="Q513" i="18" s="1"/>
  <c r="R513" i="18" s="1"/>
  <c r="Q514" i="18" a="1"/>
  <c r="Q514" i="18" s="1"/>
  <c r="R514" i="18" s="1"/>
  <c r="Q515" i="18" a="1"/>
  <c r="Q515" i="18" s="1"/>
  <c r="R515" i="18" s="1"/>
  <c r="Q516" i="18" a="1"/>
  <c r="Q516" i="18"/>
  <c r="R516" i="18" s="1"/>
  <c r="Q517" i="18" a="1"/>
  <c r="Q517" i="18" s="1"/>
  <c r="R517" i="18" s="1"/>
  <c r="Q518" i="18" a="1"/>
  <c r="Q518" i="18" s="1"/>
  <c r="Q519" i="18" a="1"/>
  <c r="Q519" i="18" s="1"/>
  <c r="R519" i="18" s="1"/>
  <c r="Q520" i="18" a="1"/>
  <c r="Q520" i="18" s="1"/>
  <c r="Q521" i="18" a="1"/>
  <c r="Q521" i="18" s="1"/>
  <c r="R521" i="18" s="1"/>
  <c r="Q522" i="18" a="1"/>
  <c r="Q522" i="18"/>
  <c r="Q523" i="18" a="1"/>
  <c r="Q523" i="18" s="1"/>
  <c r="Q524" i="18" a="1"/>
  <c r="Q524" i="18" s="1"/>
  <c r="R524" i="18" s="1"/>
  <c r="Q525" i="18" a="1"/>
  <c r="Q525" i="18" s="1"/>
  <c r="R525" i="18" s="1"/>
  <c r="Q526" i="18" a="1"/>
  <c r="Q526" i="18" s="1"/>
  <c r="R526" i="18" s="1"/>
  <c r="Q527" i="18" a="1"/>
  <c r="Q527" i="18" s="1"/>
  <c r="R527" i="18" s="1"/>
  <c r="Q528" i="18" a="1"/>
  <c r="Q528" i="18" s="1"/>
  <c r="R528" i="18" s="1"/>
  <c r="Q529" i="18" a="1"/>
  <c r="Q529" i="18" s="1"/>
  <c r="Q530" i="18" a="1"/>
  <c r="Q530" i="18" s="1"/>
  <c r="R530" i="18" s="1"/>
  <c r="Q531" i="18" a="1"/>
  <c r="Q531" i="18" s="1"/>
  <c r="Q532" i="18" a="1"/>
  <c r="Q532" i="18"/>
  <c r="R532" i="18" s="1"/>
  <c r="Q533" i="18" a="1"/>
  <c r="Q533" i="18" s="1"/>
  <c r="R533" i="18" s="1"/>
  <c r="Q534" i="18" a="1"/>
  <c r="Q534" i="18" s="1"/>
  <c r="R534" i="18" s="1"/>
  <c r="Q535" i="18" a="1"/>
  <c r="Q535" i="18" s="1"/>
  <c r="R535" i="18" s="1"/>
  <c r="Q536" i="18" a="1"/>
  <c r="Q536" i="18" s="1"/>
  <c r="Q537" i="18" a="1"/>
  <c r="Q537" i="18" s="1"/>
  <c r="R537" i="18" s="1"/>
  <c r="Q538" i="18" a="1"/>
  <c r="Q538" i="18"/>
  <c r="R538" i="18" s="1"/>
  <c r="Q539" i="18" a="1"/>
  <c r="Q539" i="18" s="1"/>
  <c r="Q540" i="18" a="1"/>
  <c r="Q540" i="18" s="1"/>
  <c r="R540" i="18" s="1"/>
  <c r="Q541" i="18" a="1"/>
  <c r="Q541" i="18" s="1"/>
  <c r="R541" i="18" s="1"/>
  <c r="Q542" i="18" a="1"/>
  <c r="Q542" i="18" s="1"/>
  <c r="R542" i="18" s="1"/>
  <c r="Q543" i="18" a="1"/>
  <c r="Q543" i="18" s="1"/>
  <c r="R543" i="18" s="1"/>
  <c r="Q544" i="18" a="1"/>
  <c r="Q544" i="18" s="1"/>
  <c r="R544" i="18" s="1"/>
  <c r="Q545" i="18" a="1"/>
  <c r="Q545" i="18" s="1"/>
  <c r="Q546" i="18" a="1"/>
  <c r="Q546" i="18" s="1"/>
  <c r="R546" i="18" s="1"/>
  <c r="Q547" i="18" a="1"/>
  <c r="Q547" i="18" s="1"/>
  <c r="Q548" i="18" a="1"/>
  <c r="Q548" i="18"/>
  <c r="R548" i="18" s="1"/>
  <c r="Q549" i="18" a="1"/>
  <c r="Q549" i="18" s="1"/>
  <c r="R549" i="18" s="1"/>
  <c r="Q550" i="18" a="1"/>
  <c r="Q550" i="18" s="1"/>
  <c r="R550" i="18" s="1"/>
  <c r="Q551" i="18" a="1"/>
  <c r="Q551" i="18" s="1"/>
  <c r="R551" i="18" s="1"/>
  <c r="Q552" i="18" a="1"/>
  <c r="Q552" i="18" s="1"/>
  <c r="Q553" i="18" a="1"/>
  <c r="Q553" i="18" s="1"/>
  <c r="R553" i="18" s="1"/>
  <c r="Q554" i="18" a="1"/>
  <c r="Q554" i="18"/>
  <c r="Q555" i="18" a="1"/>
  <c r="Q555" i="18" s="1"/>
  <c r="Q556" i="18" a="1"/>
  <c r="Q556" i="18" s="1"/>
  <c r="R556" i="18" s="1"/>
  <c r="Q557" i="18" a="1"/>
  <c r="Q557" i="18" s="1"/>
  <c r="R557" i="18" s="1"/>
  <c r="Q558" i="18" a="1"/>
  <c r="Q558" i="18" s="1"/>
  <c r="R558" i="18" s="1"/>
  <c r="Q559" i="18" a="1"/>
  <c r="Q559" i="18" s="1"/>
  <c r="R559" i="18" s="1"/>
  <c r="Q560" i="18" a="1"/>
  <c r="Q560" i="18" s="1"/>
  <c r="R560" i="18" s="1"/>
  <c r="Q561" i="18" a="1"/>
  <c r="Q561" i="18" s="1"/>
  <c r="Q562" i="18" a="1"/>
  <c r="Q562" i="18" s="1"/>
  <c r="R562" i="18" s="1"/>
  <c r="Q563" i="18" a="1"/>
  <c r="Q563" i="18" s="1"/>
  <c r="Q564" i="18" a="1"/>
  <c r="Q564" i="18"/>
  <c r="Q565" i="18" a="1"/>
  <c r="Q565" i="18" s="1"/>
  <c r="Q566" i="18" a="1"/>
  <c r="Q566" i="18" s="1"/>
  <c r="Q567" i="18" a="1"/>
  <c r="Q567" i="18" s="1"/>
  <c r="R567" i="18" s="1"/>
  <c r="Q568" i="18" a="1"/>
  <c r="Q568" i="18" s="1"/>
  <c r="Q569" i="18" a="1"/>
  <c r="Q569" i="18" s="1"/>
  <c r="R569" i="18" s="1"/>
  <c r="Q570" i="18" a="1"/>
  <c r="Q570" i="18"/>
  <c r="Q571" i="18" a="1"/>
  <c r="Q571" i="18" s="1"/>
  <c r="Q572" i="18" a="1"/>
  <c r="Q572" i="18" s="1"/>
  <c r="R572" i="18" s="1"/>
  <c r="Q573" i="18" a="1"/>
  <c r="Q573" i="18" s="1"/>
  <c r="R573" i="18" s="1"/>
  <c r="Q574" i="18" a="1"/>
  <c r="Q574" i="18" s="1"/>
  <c r="R574" i="18" s="1"/>
  <c r="Q575" i="18" a="1"/>
  <c r="Q575" i="18" s="1"/>
  <c r="Q576" i="18" a="1"/>
  <c r="Q576" i="18" s="1"/>
  <c r="R576" i="18" s="1"/>
  <c r="Q577" i="18" a="1"/>
  <c r="Q577" i="18" s="1"/>
  <c r="R577" i="18" s="1"/>
  <c r="Q578" i="18" a="1"/>
  <c r="Q578" i="18" s="1"/>
  <c r="R578" i="18" s="1"/>
  <c r="Q579" i="18" a="1"/>
  <c r="Q579" i="18" s="1"/>
  <c r="R579" i="18" s="1"/>
  <c r="Q580" i="18" a="1"/>
  <c r="Q580" i="18"/>
  <c r="Q581" i="18" a="1"/>
  <c r="Q581" i="18" s="1"/>
  <c r="Q582" i="18" a="1"/>
  <c r="Q582" i="18" s="1"/>
  <c r="R582" i="18" s="1"/>
  <c r="Q583" i="18" a="1"/>
  <c r="Q583" i="18" s="1"/>
  <c r="R583" i="18" s="1"/>
  <c r="Q584" i="18" a="1"/>
  <c r="Q584" i="18" s="1"/>
  <c r="Q585" i="18" a="1"/>
  <c r="Q585" i="18" s="1"/>
  <c r="R585" i="18" s="1"/>
  <c r="Q586" i="18" a="1"/>
  <c r="Q586" i="18"/>
  <c r="Q587" i="18" a="1"/>
  <c r="Q587" i="18" s="1"/>
  <c r="Q588" i="18" a="1"/>
  <c r="Q588" i="18" s="1"/>
  <c r="R588" i="18" s="1"/>
  <c r="Q589" i="18" a="1"/>
  <c r="Q589" i="18" s="1"/>
  <c r="R589" i="18" s="1"/>
  <c r="Q590" i="18" a="1"/>
  <c r="Q590" i="18" s="1"/>
  <c r="R590" i="18" s="1"/>
  <c r="Q591" i="18" a="1"/>
  <c r="Q591" i="18" s="1"/>
  <c r="R591" i="18" s="1"/>
  <c r="Q592" i="18" a="1"/>
  <c r="Q592" i="18" s="1"/>
  <c r="R592" i="18" s="1"/>
  <c r="Q593" i="18" a="1"/>
  <c r="Q593" i="18" s="1"/>
  <c r="Q594" i="18" a="1"/>
  <c r="Q594" i="18" s="1"/>
  <c r="R594" i="18" s="1"/>
  <c r="Q595" i="18" a="1"/>
  <c r="Q595" i="18" s="1"/>
  <c r="Q596" i="18" a="1"/>
  <c r="Q596" i="18"/>
  <c r="Q597" i="18" a="1"/>
  <c r="Q597" i="18" s="1"/>
  <c r="Q598" i="18" a="1"/>
  <c r="Q598" i="18" s="1"/>
  <c r="Q599" i="18" a="1"/>
  <c r="Q599" i="18" s="1"/>
  <c r="R599" i="18" s="1"/>
  <c r="Q600" i="18" a="1"/>
  <c r="Q600" i="18" s="1"/>
  <c r="Q601" i="18" a="1"/>
  <c r="Q601" i="18" s="1"/>
  <c r="R601" i="18" s="1"/>
  <c r="R3" i="18"/>
  <c r="R7" i="18"/>
  <c r="R8" i="18"/>
  <c r="R14" i="18"/>
  <c r="R19" i="18"/>
  <c r="R23" i="18"/>
  <c r="R24" i="18"/>
  <c r="R27" i="18"/>
  <c r="R35" i="18"/>
  <c r="R40" i="18"/>
  <c r="R51" i="18"/>
  <c r="R55" i="18"/>
  <c r="R56" i="18"/>
  <c r="R59" i="18"/>
  <c r="R67" i="18"/>
  <c r="R71" i="18"/>
  <c r="R72" i="18"/>
  <c r="R83" i="18"/>
  <c r="R87" i="18"/>
  <c r="R88" i="18"/>
  <c r="R91" i="18"/>
  <c r="R99" i="18"/>
  <c r="R104" i="18"/>
  <c r="R115" i="18"/>
  <c r="R119" i="18"/>
  <c r="R120" i="18"/>
  <c r="R123" i="18"/>
  <c r="R128" i="18"/>
  <c r="R131" i="18"/>
  <c r="R135" i="18"/>
  <c r="R136" i="18"/>
  <c r="R147" i="18"/>
  <c r="R151" i="18"/>
  <c r="R152" i="18"/>
  <c r="R155" i="18"/>
  <c r="R160" i="18"/>
  <c r="R163" i="18"/>
  <c r="R168" i="18"/>
  <c r="R171" i="18"/>
  <c r="R179" i="18"/>
  <c r="R183" i="18"/>
  <c r="R184" i="18"/>
  <c r="R187" i="18"/>
  <c r="R195" i="18"/>
  <c r="R199" i="18"/>
  <c r="R200" i="18"/>
  <c r="R203" i="18"/>
  <c r="R211" i="18"/>
  <c r="R216" i="18"/>
  <c r="R219" i="18"/>
  <c r="R227" i="18"/>
  <c r="R232" i="18"/>
  <c r="R243" i="18"/>
  <c r="R247" i="18"/>
  <c r="R248" i="18"/>
  <c r="R251" i="18"/>
  <c r="R259" i="18"/>
  <c r="R263" i="18"/>
  <c r="R264" i="18"/>
  <c r="R275" i="18"/>
  <c r="R280" i="18"/>
  <c r="R288" i="18"/>
  <c r="R291" i="18"/>
  <c r="R296" i="18"/>
  <c r="R299" i="18"/>
  <c r="R307" i="18"/>
  <c r="R311" i="18"/>
  <c r="R312" i="18"/>
  <c r="R315" i="18"/>
  <c r="R323" i="18"/>
  <c r="R327" i="18"/>
  <c r="R328" i="18"/>
  <c r="R331" i="18"/>
  <c r="R339" i="18"/>
  <c r="R344" i="18"/>
  <c r="R355" i="18"/>
  <c r="R360" i="18"/>
  <c r="R362" i="18"/>
  <c r="R366" i="18"/>
  <c r="R367" i="18"/>
  <c r="R371" i="18"/>
  <c r="R375" i="18"/>
  <c r="R378" i="18"/>
  <c r="R383" i="18"/>
  <c r="R387" i="18"/>
  <c r="R392" i="18"/>
  <c r="R394" i="18"/>
  <c r="R395" i="18"/>
  <c r="R403" i="18"/>
  <c r="R410" i="18"/>
  <c r="R411" i="18"/>
  <c r="R415" i="18"/>
  <c r="R420" i="18"/>
  <c r="R424" i="18"/>
  <c r="R427" i="18"/>
  <c r="R435" i="18"/>
  <c r="R443" i="18"/>
  <c r="R447" i="18"/>
  <c r="R456" i="18"/>
  <c r="R458" i="18"/>
  <c r="R459" i="18"/>
  <c r="R467" i="18"/>
  <c r="R474" i="18"/>
  <c r="R475" i="18"/>
  <c r="R479" i="18"/>
  <c r="R484" i="18"/>
  <c r="R488" i="18"/>
  <c r="R491" i="18"/>
  <c r="R499" i="18"/>
  <c r="R507" i="18"/>
  <c r="R511" i="18"/>
  <c r="R520" i="18"/>
  <c r="R522" i="18"/>
  <c r="R523" i="18"/>
  <c r="R531" i="18"/>
  <c r="R536" i="18"/>
  <c r="R539" i="18"/>
  <c r="R547" i="18"/>
  <c r="R552" i="18"/>
  <c r="R554" i="18"/>
  <c r="R555" i="18"/>
  <c r="R563" i="18"/>
  <c r="R568" i="18"/>
  <c r="R571" i="18"/>
  <c r="R575" i="18"/>
  <c r="R587" i="18"/>
  <c r="R595" i="18"/>
  <c r="R600" i="18"/>
  <c r="S2" i="18" a="1"/>
  <c r="S2" i="18" s="1"/>
  <c r="S3" i="18" a="1"/>
  <c r="S3" i="18" s="1"/>
  <c r="S4" i="18" a="1"/>
  <c r="S4" i="18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/>
  <c r="S167" i="18" a="1"/>
  <c r="S167" i="18" s="1"/>
  <c r="S168" i="18" a="1"/>
  <c r="S168" i="18" s="1"/>
  <c r="S169" i="18" a="1"/>
  <c r="S169" i="18" s="1"/>
  <c r="S170" i="18" a="1"/>
  <c r="S170" i="18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/>
  <c r="S183" i="18" a="1"/>
  <c r="S183" i="18" s="1"/>
  <c r="S184" i="18" a="1"/>
  <c r="S184" i="18" s="1"/>
  <c r="S185" i="18" a="1"/>
  <c r="S185" i="18" s="1"/>
  <c r="S186" i="18" a="1"/>
  <c r="S186" i="18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/>
  <c r="S199" i="18" a="1"/>
  <c r="S199" i="18" s="1"/>
  <c r="S200" i="18" a="1"/>
  <c r="S200" i="18" s="1"/>
  <c r="S201" i="18" a="1"/>
  <c r="S201" i="18" s="1"/>
  <c r="S202" i="18" a="1"/>
  <c r="S202" i="18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/>
  <c r="S215" i="18" a="1"/>
  <c r="S215" i="18" s="1"/>
  <c r="S216" i="18" a="1"/>
  <c r="S216" i="18" s="1"/>
  <c r="S217" i="18" a="1"/>
  <c r="S217" i="18" s="1"/>
  <c r="S218" i="18" a="1"/>
  <c r="S218" i="18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/>
  <c r="S231" i="18" a="1"/>
  <c r="S231" i="18" s="1"/>
  <c r="S232" i="18" a="1"/>
  <c r="S232" i="18" s="1"/>
  <c r="S233" i="18" a="1"/>
  <c r="S233" i="18" s="1"/>
  <c r="S234" i="18" a="1"/>
  <c r="S234" i="18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/>
  <c r="S375" i="18" a="1"/>
  <c r="S375" i="18" s="1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 s="1"/>
  <c r="S398" i="18" a="1"/>
  <c r="S398" i="18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 s="1"/>
  <c r="S406" i="18" a="1"/>
  <c r="S406" i="18"/>
  <c r="S407" i="18" a="1"/>
  <c r="S407" i="18" s="1"/>
  <c r="S408" i="18" a="1"/>
  <c r="S408" i="18" s="1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 s="1"/>
  <c r="S428" i="18" a="1"/>
  <c r="S428" i="18" s="1"/>
  <c r="S429" i="18" a="1"/>
  <c r="S429" i="18" s="1"/>
  <c r="S430" i="18" a="1"/>
  <c r="S430" i="18"/>
  <c r="S431" i="18" a="1"/>
  <c r="S431" i="18" s="1"/>
  <c r="S432" i="18" a="1"/>
  <c r="S432" i="18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/>
  <c r="S439" i="18" a="1"/>
  <c r="S439" i="18" s="1"/>
  <c r="S440" i="18" a="1"/>
  <c r="S440" i="18" s="1"/>
  <c r="S441" i="18" a="1"/>
  <c r="S441" i="18" s="1"/>
  <c r="S442" i="18" a="1"/>
  <c r="S442" i="18" s="1"/>
  <c r="S443" i="18" a="1"/>
  <c r="S443" i="18" s="1"/>
  <c r="S444" i="18" a="1"/>
  <c r="S444" i="18" s="1"/>
  <c r="S445" i="18" a="1"/>
  <c r="S445" i="18" s="1"/>
  <c r="S446" i="18" a="1"/>
  <c r="S446" i="18"/>
  <c r="S447" i="18" a="1"/>
  <c r="S447" i="18" s="1"/>
  <c r="S448" i="18" a="1"/>
  <c r="S448" i="18"/>
  <c r="S449" i="18" a="1"/>
  <c r="S449" i="18" s="1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/>
  <c r="S455" i="18" a="1"/>
  <c r="S455" i="18" s="1"/>
  <c r="S456" i="18" a="1"/>
  <c r="S456" i="18" s="1"/>
  <c r="S457" i="18" a="1"/>
  <c r="S457" i="18" s="1"/>
  <c r="S458" i="18" a="1"/>
  <c r="S458" i="18" s="1"/>
  <c r="S459" i="18" a="1"/>
  <c r="S459" i="18" s="1"/>
  <c r="S460" i="18" a="1"/>
  <c r="S460" i="18" s="1"/>
  <c r="S461" i="18" a="1"/>
  <c r="S461" i="18" s="1"/>
  <c r="S462" i="18" a="1"/>
  <c r="S462" i="18"/>
  <c r="S463" i="18" a="1"/>
  <c r="S463" i="18" s="1"/>
  <c r="S464" i="18" a="1"/>
  <c r="S464" i="18"/>
  <c r="S465" i="18" a="1"/>
  <c r="S465" i="18" s="1"/>
  <c r="S466" i="18" a="1"/>
  <c r="S466" i="18" s="1"/>
  <c r="S467" i="18" a="1"/>
  <c r="S467" i="18" s="1"/>
  <c r="S468" i="18" a="1"/>
  <c r="S468" i="18" s="1"/>
  <c r="S469" i="18" a="1"/>
  <c r="S469" i="18" s="1"/>
  <c r="S470" i="18" a="1"/>
  <c r="S470" i="18"/>
  <c r="S471" i="18" a="1"/>
  <c r="S471" i="18" s="1"/>
  <c r="S472" i="18" a="1"/>
  <c r="S472" i="18" s="1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 s="1"/>
  <c r="S478" i="18" a="1"/>
  <c r="S478" i="18"/>
  <c r="S479" i="18" a="1"/>
  <c r="S479" i="18" s="1"/>
  <c r="S480" i="18" a="1"/>
  <c r="S480" i="18" s="1"/>
  <c r="S481" i="18" a="1"/>
  <c r="S481" i="18" s="1"/>
  <c r="S482" i="18" a="1"/>
  <c r="S482" i="18" s="1"/>
  <c r="S483" i="18" a="1"/>
  <c r="S483" i="18" s="1"/>
  <c r="S484" i="18" a="1"/>
  <c r="S484" i="18" s="1"/>
  <c r="S485" i="18" a="1"/>
  <c r="S485" i="18" s="1"/>
  <c r="S486" i="18" a="1"/>
  <c r="S486" i="18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 s="1"/>
  <c r="S492" i="18" a="1"/>
  <c r="S492" i="18" s="1"/>
  <c r="S493" i="18" a="1"/>
  <c r="S493" i="18" s="1"/>
  <c r="S494" i="18" a="1"/>
  <c r="S494" i="18"/>
  <c r="S495" i="18" a="1"/>
  <c r="S495" i="18" s="1"/>
  <c r="S496" i="18" a="1"/>
  <c r="S496" i="18" s="1"/>
  <c r="S497" i="18" a="1"/>
  <c r="S497" i="18" s="1"/>
  <c r="S498" i="18" a="1"/>
  <c r="S498" i="18" s="1"/>
  <c r="S499" i="18" a="1"/>
  <c r="S499" i="18" s="1"/>
  <c r="S500" i="18" a="1"/>
  <c r="S500" i="18" s="1"/>
  <c r="S501" i="18" a="1"/>
  <c r="S501" i="18" s="1"/>
  <c r="S502" i="18" a="1"/>
  <c r="S502" i="18"/>
  <c r="S503" i="18" a="1"/>
  <c r="S503" i="18" s="1"/>
  <c r="S504" i="18" a="1"/>
  <c r="S504" i="18" s="1"/>
  <c r="S505" i="18" a="1"/>
  <c r="S505" i="18" s="1"/>
  <c r="S506" i="18" a="1"/>
  <c r="S506" i="18" s="1"/>
  <c r="S507" i="18" a="1"/>
  <c r="S507" i="18" s="1"/>
  <c r="S508" i="18" a="1"/>
  <c r="S508" i="18" s="1"/>
  <c r="S509" i="18" a="1"/>
  <c r="S509" i="18" s="1"/>
  <c r="S510" i="18" a="1"/>
  <c r="S510" i="18"/>
  <c r="S511" i="18" a="1"/>
  <c r="S511" i="18" s="1"/>
  <c r="S512" i="18" a="1"/>
  <c r="S512" i="18" s="1"/>
  <c r="S513" i="18" a="1"/>
  <c r="S513" i="18" s="1"/>
  <c r="S514" i="18" a="1"/>
  <c r="S514" i="18" s="1"/>
  <c r="S515" i="18" a="1"/>
  <c r="S515" i="18" s="1"/>
  <c r="S516" i="18" a="1"/>
  <c r="S516" i="18" s="1"/>
  <c r="S517" i="18" a="1"/>
  <c r="S517" i="18" s="1"/>
  <c r="S518" i="18" a="1"/>
  <c r="S518" i="18"/>
  <c r="S519" i="18" a="1"/>
  <c r="S519" i="18" s="1"/>
  <c r="S520" i="18" a="1"/>
  <c r="S520" i="18" s="1"/>
  <c r="S521" i="18" a="1"/>
  <c r="S521" i="18" s="1"/>
  <c r="S522" i="18" a="1"/>
  <c r="S522" i="18" s="1"/>
  <c r="S523" i="18" a="1"/>
  <c r="S523" i="18" s="1"/>
  <c r="S524" i="18" a="1"/>
  <c r="S524" i="18" s="1"/>
  <c r="S525" i="18" a="1"/>
  <c r="S525" i="18" s="1"/>
  <c r="S526" i="18" a="1"/>
  <c r="S526" i="18"/>
  <c r="S527" i="18" a="1"/>
  <c r="S527" i="18" s="1"/>
  <c r="S528" i="18" a="1"/>
  <c r="S528" i="18" s="1"/>
  <c r="S529" i="18" a="1"/>
  <c r="S529" i="18" s="1"/>
  <c r="S530" i="18" a="1"/>
  <c r="S530" i="18" s="1"/>
  <c r="S531" i="18" a="1"/>
  <c r="S531" i="18" s="1"/>
  <c r="S532" i="18" a="1"/>
  <c r="S532" i="18" s="1"/>
  <c r="S533" i="18" a="1"/>
  <c r="S533" i="18" s="1"/>
  <c r="S534" i="18" a="1"/>
  <c r="S534" i="18"/>
  <c r="S535" i="18" a="1"/>
  <c r="S535" i="18" s="1"/>
  <c r="S536" i="18" a="1"/>
  <c r="S536" i="18" s="1"/>
  <c r="S537" i="18" a="1"/>
  <c r="S537" i="18" s="1"/>
  <c r="S538" i="18" a="1"/>
  <c r="S538" i="18" s="1"/>
  <c r="S539" i="18" a="1"/>
  <c r="S539" i="18" s="1"/>
  <c r="S540" i="18" a="1"/>
  <c r="S540" i="18" s="1"/>
  <c r="S541" i="18" a="1"/>
  <c r="S541" i="18" s="1"/>
  <c r="S542" i="18" a="1"/>
  <c r="S542" i="18"/>
  <c r="S543" i="18" a="1"/>
  <c r="S543" i="18" s="1"/>
  <c r="S544" i="18" a="1"/>
  <c r="S544" i="18" s="1"/>
  <c r="S545" i="18" a="1"/>
  <c r="S545" i="18" s="1"/>
  <c r="S546" i="18" a="1"/>
  <c r="S546" i="18" s="1"/>
  <c r="S547" i="18" a="1"/>
  <c r="S547" i="18" s="1"/>
  <c r="S548" i="18" a="1"/>
  <c r="S548" i="18" s="1"/>
  <c r="S549" i="18" a="1"/>
  <c r="S549" i="18" s="1"/>
  <c r="S550" i="18" a="1"/>
  <c r="S550" i="18"/>
  <c r="S551" i="18" a="1"/>
  <c r="S551" i="18" s="1"/>
  <c r="S552" i="18" a="1"/>
  <c r="S552" i="18" s="1"/>
  <c r="S553" i="18" a="1"/>
  <c r="S553" i="18" s="1"/>
  <c r="S554" i="18" a="1"/>
  <c r="S554" i="18" s="1"/>
  <c r="S555" i="18" a="1"/>
  <c r="S555" i="18" s="1"/>
  <c r="S556" i="18" a="1"/>
  <c r="S556" i="18" s="1"/>
  <c r="S557" i="18" a="1"/>
  <c r="S557" i="18" s="1"/>
  <c r="S558" i="18" a="1"/>
  <c r="S558" i="18"/>
  <c r="S559" i="18" a="1"/>
  <c r="S559" i="18" s="1"/>
  <c r="S560" i="18" a="1"/>
  <c r="S560" i="18" s="1"/>
  <c r="S561" i="18" a="1"/>
  <c r="S561" i="18" s="1"/>
  <c r="S562" i="18" a="1"/>
  <c r="S562" i="18" s="1"/>
  <c r="S563" i="18" a="1"/>
  <c r="S563" i="18" s="1"/>
  <c r="S564" i="18" a="1"/>
  <c r="S564" i="18" s="1"/>
  <c r="S565" i="18" a="1"/>
  <c r="S565" i="18" s="1"/>
  <c r="S566" i="18" a="1"/>
  <c r="S566" i="18"/>
  <c r="S567" i="18" a="1"/>
  <c r="S567" i="18" s="1"/>
  <c r="S568" i="18" a="1"/>
  <c r="S568" i="18" s="1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 s="1"/>
  <c r="S574" i="18" a="1"/>
  <c r="S574" i="18"/>
  <c r="S575" i="18" a="1"/>
  <c r="S575" i="18" s="1"/>
  <c r="S576" i="18" a="1"/>
  <c r="S576" i="18" s="1"/>
  <c r="S577" i="18" a="1"/>
  <c r="S577" i="18" s="1"/>
  <c r="S578" i="18" a="1"/>
  <c r="S578" i="18" s="1"/>
  <c r="S579" i="18" a="1"/>
  <c r="S579" i="18" s="1"/>
  <c r="S580" i="18" a="1"/>
  <c r="S580" i="18" s="1"/>
  <c r="S581" i="18" a="1"/>
  <c r="S581" i="18" s="1"/>
  <c r="S582" i="18" a="1"/>
  <c r="S582" i="18"/>
  <c r="S583" i="18" a="1"/>
  <c r="S583" i="18" s="1"/>
  <c r="S584" i="18" a="1"/>
  <c r="S584" i="18" s="1"/>
  <c r="S585" i="18" a="1"/>
  <c r="S585" i="18" s="1"/>
  <c r="S586" i="18" a="1"/>
  <c r="S586" i="18" s="1"/>
  <c r="S587" i="18" a="1"/>
  <c r="S587" i="18" s="1"/>
  <c r="S588" i="18" a="1"/>
  <c r="S588" i="18" s="1"/>
  <c r="S589" i="18" a="1"/>
  <c r="S589" i="18" s="1"/>
  <c r="S590" i="18" a="1"/>
  <c r="S590" i="18"/>
  <c r="S591" i="18" a="1"/>
  <c r="S591" i="18" s="1"/>
  <c r="S592" i="18" a="1"/>
  <c r="S592" i="18" s="1"/>
  <c r="S593" i="18" a="1"/>
  <c r="S593" i="18" s="1"/>
  <c r="S594" i="18" a="1"/>
  <c r="S594" i="18" s="1"/>
  <c r="S595" i="18" a="1"/>
  <c r="S595" i="18" s="1"/>
  <c r="S596" i="18" a="1"/>
  <c r="S596" i="18" s="1"/>
  <c r="S597" i="18" a="1"/>
  <c r="S597" i="18" s="1"/>
  <c r="S598" i="18" a="1"/>
  <c r="S598" i="18" s="1"/>
  <c r="S599" i="18" a="1"/>
  <c r="S599" i="18" s="1"/>
  <c r="S600" i="18" a="1"/>
  <c r="S600" i="18" s="1"/>
  <c r="S601" i="18" a="1"/>
  <c r="S601" i="18" s="1"/>
  <c r="T2" i="18" a="1"/>
  <c r="T2" i="18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/>
  <c r="T63" i="18" a="1"/>
  <c r="T63" i="18" s="1"/>
  <c r="T64" i="18" a="1"/>
  <c r="T64" i="18" s="1"/>
  <c r="T65" i="18" a="1"/>
  <c r="T65" i="18" s="1"/>
  <c r="T66" i="18" a="1"/>
  <c r="T66" i="18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/>
  <c r="T105" i="18" a="1"/>
  <c r="T105" i="18" s="1"/>
  <c r="T106" i="18" a="1"/>
  <c r="T106" i="18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/>
  <c r="T119" i="18" a="1"/>
  <c r="T119" i="18" s="1"/>
  <c r="T120" i="18" a="1"/>
  <c r="T120" i="18"/>
  <c r="T121" i="18" a="1"/>
  <c r="T121" i="18" s="1"/>
  <c r="T122" i="18" a="1"/>
  <c r="T122" i="18" s="1"/>
  <c r="T123" i="18" a="1"/>
  <c r="T123" i="18" s="1"/>
  <c r="T124" i="18" a="1"/>
  <c r="T124" i="18"/>
  <c r="T125" i="18" a="1"/>
  <c r="T125" i="18" s="1"/>
  <c r="T126" i="18" a="1"/>
  <c r="T126" i="18" s="1"/>
  <c r="T127" i="18" a="1"/>
  <c r="T127" i="18" s="1"/>
  <c r="T128" i="18" a="1"/>
  <c r="T128" i="18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/>
  <c r="T151" i="18" a="1"/>
  <c r="T151" i="18" s="1"/>
  <c r="T152" i="18" a="1"/>
  <c r="T152" i="18"/>
  <c r="T153" i="18" a="1"/>
  <c r="T153" i="18" s="1"/>
  <c r="T154" i="18" a="1"/>
  <c r="T154" i="18" s="1"/>
  <c r="T155" i="18" a="1"/>
  <c r="T155" i="18" s="1"/>
  <c r="T156" i="18" a="1"/>
  <c r="T156" i="18"/>
  <c r="T157" i="18" a="1"/>
  <c r="T157" i="18" s="1"/>
  <c r="T158" i="18" a="1"/>
  <c r="T158" i="18" s="1"/>
  <c r="T159" i="18" a="1"/>
  <c r="T159" i="18" s="1"/>
  <c r="T160" i="18" a="1"/>
  <c r="T160" i="18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/>
  <c r="T183" i="18" a="1"/>
  <c r="T183" i="18" s="1"/>
  <c r="T184" i="18" a="1"/>
  <c r="T184" i="18"/>
  <c r="T185" i="18" a="1"/>
  <c r="T185" i="18" s="1"/>
  <c r="T186" i="18" a="1"/>
  <c r="T186" i="18" s="1"/>
  <c r="T187" i="18" a="1"/>
  <c r="T187" i="18" s="1"/>
  <c r="T188" i="18" a="1"/>
  <c r="T188" i="18"/>
  <c r="T189" i="18" a="1"/>
  <c r="T189" i="18" s="1"/>
  <c r="T190" i="18" a="1"/>
  <c r="T190" i="18" s="1"/>
  <c r="T191" i="18" a="1"/>
  <c r="T191" i="18" s="1"/>
  <c r="T192" i="18" a="1"/>
  <c r="T192" i="18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/>
  <c r="T215" i="18" a="1"/>
  <c r="T215" i="18" s="1"/>
  <c r="T216" i="18" a="1"/>
  <c r="T216" i="18"/>
  <c r="T217" i="18" a="1"/>
  <c r="T217" i="18" s="1"/>
  <c r="T218" i="18" a="1"/>
  <c r="T218" i="18" s="1"/>
  <c r="T219" i="18" a="1"/>
  <c r="T219" i="18" s="1"/>
  <c r="T220" i="18" a="1"/>
  <c r="T220" i="18"/>
  <c r="T221" i="18" a="1"/>
  <c r="T221" i="18" s="1"/>
  <c r="T222" i="18" a="1"/>
  <c r="T222" i="18" s="1"/>
  <c r="T223" i="18" a="1"/>
  <c r="T223" i="18" s="1"/>
  <c r="T224" i="18" a="1"/>
  <c r="T224" i="18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/>
  <c r="T237" i="18" a="1"/>
  <c r="T237" i="18" s="1"/>
  <c r="T238" i="18" a="1"/>
  <c r="T238" i="18" s="1"/>
  <c r="T239" i="18" a="1"/>
  <c r="T239" i="18" s="1"/>
  <c r="T240" i="18" a="1"/>
  <c r="T240" i="18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/>
  <c r="T253" i="18" a="1"/>
  <c r="T253" i="18" s="1"/>
  <c r="T254" i="18" a="1"/>
  <c r="T254" i="18" s="1"/>
  <c r="T255" i="18" a="1"/>
  <c r="T255" i="18" s="1"/>
  <c r="T256" i="18" a="1"/>
  <c r="T256" i="18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/>
  <c r="T269" i="18" a="1"/>
  <c r="T269" i="18" s="1"/>
  <c r="T270" i="18" a="1"/>
  <c r="T270" i="18" s="1"/>
  <c r="T271" i="18" a="1"/>
  <c r="T271" i="18" s="1"/>
  <c r="T272" i="18" a="1"/>
  <c r="T272" i="18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/>
  <c r="T285" i="18" a="1"/>
  <c r="T285" i="18" s="1"/>
  <c r="T286" i="18" a="1"/>
  <c r="T286" i="18" s="1"/>
  <c r="T287" i="18" a="1"/>
  <c r="T287" i="18" s="1"/>
  <c r="T288" i="18" a="1"/>
  <c r="T288" i="18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/>
  <c r="T302" i="18" a="1"/>
  <c r="T302" i="18" s="1"/>
  <c r="T303" i="18" a="1"/>
  <c r="T303" i="18" s="1"/>
  <c r="T304" i="18" a="1"/>
  <c r="T304" i="18" s="1"/>
  <c r="T305" i="18" a="1"/>
  <c r="T305" i="18"/>
  <c r="T306" i="18" a="1"/>
  <c r="T306" i="18" s="1"/>
  <c r="T307" i="18" a="1"/>
  <c r="T307" i="18" s="1"/>
  <c r="T308" i="18" a="1"/>
  <c r="T308" i="18" s="1"/>
  <c r="T309" i="18" a="1"/>
  <c r="T309" i="18"/>
  <c r="T310" i="18" a="1"/>
  <c r="T310" i="18" s="1"/>
  <c r="T311" i="18" a="1"/>
  <c r="T311" i="18" s="1"/>
  <c r="T312" i="18" a="1"/>
  <c r="T312" i="18" s="1"/>
  <c r="T313" i="18" a="1"/>
  <c r="T313" i="18"/>
  <c r="T314" i="18" a="1"/>
  <c r="T314" i="18" s="1"/>
  <c r="T315" i="18" a="1"/>
  <c r="T315" i="18" s="1"/>
  <c r="T316" i="18" a="1"/>
  <c r="T316" i="18" s="1"/>
  <c r="T317" i="18" a="1"/>
  <c r="T317" i="18"/>
  <c r="T318" i="18" a="1"/>
  <c r="T318" i="18" s="1"/>
  <c r="T319" i="18" a="1"/>
  <c r="T319" i="18" s="1"/>
  <c r="T320" i="18" a="1"/>
  <c r="T320" i="18" s="1"/>
  <c r="T321" i="18" a="1"/>
  <c r="T321" i="18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 s="1"/>
  <c r="T458" i="18" a="1"/>
  <c r="T458" i="18" s="1"/>
  <c r="T459" i="18" a="1"/>
  <c r="T459" i="18" s="1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 s="1"/>
  <c r="T470" i="18" a="1"/>
  <c r="T470" i="18" s="1"/>
  <c r="T471" i="18" a="1"/>
  <c r="T471" i="18" s="1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 s="1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 s="1"/>
  <c r="T488" i="18" a="1"/>
  <c r="T488" i="18" s="1"/>
  <c r="T489" i="18" a="1"/>
  <c r="T489" i="18" s="1"/>
  <c r="T490" i="18" a="1"/>
  <c r="T490" i="18" s="1"/>
  <c r="T491" i="18" a="1"/>
  <c r="T491" i="18" s="1"/>
  <c r="T492" i="18" a="1"/>
  <c r="T492" i="18" s="1"/>
  <c r="T493" i="18" a="1"/>
  <c r="T493" i="18" s="1"/>
  <c r="T494" i="18" a="1"/>
  <c r="T494" i="18" s="1"/>
  <c r="T495" i="18" a="1"/>
  <c r="T495" i="18"/>
  <c r="T496" i="18" a="1"/>
  <c r="T496" i="18" s="1"/>
  <c r="T497" i="18" a="1"/>
  <c r="T497" i="18" s="1"/>
  <c r="T498" i="18" a="1"/>
  <c r="T498" i="18" s="1"/>
  <c r="T499" i="18" a="1"/>
  <c r="T499" i="18" s="1"/>
  <c r="T500" i="18" a="1"/>
  <c r="T500" i="18" s="1"/>
  <c r="T501" i="18" a="1"/>
  <c r="T501" i="18" s="1"/>
  <c r="T502" i="18" a="1"/>
  <c r="T502" i="18" s="1"/>
  <c r="T503" i="18" a="1"/>
  <c r="T503" i="18" s="1"/>
  <c r="T504" i="18" a="1"/>
  <c r="T504" i="18" s="1"/>
  <c r="T505" i="18" a="1"/>
  <c r="T505" i="18" s="1"/>
  <c r="T506" i="18" a="1"/>
  <c r="T506" i="18" s="1"/>
  <c r="T507" i="18" a="1"/>
  <c r="T507" i="18" s="1"/>
  <c r="T508" i="18" a="1"/>
  <c r="T508" i="18" s="1"/>
  <c r="T509" i="18" a="1"/>
  <c r="T509" i="18" s="1"/>
  <c r="T510" i="18" a="1"/>
  <c r="T510" i="18" s="1"/>
  <c r="T511" i="18" a="1"/>
  <c r="T511" i="18"/>
  <c r="T512" i="18" a="1"/>
  <c r="T512" i="18" s="1"/>
  <c r="T513" i="18" a="1"/>
  <c r="T513" i="18" s="1"/>
  <c r="T514" i="18" a="1"/>
  <c r="T514" i="18" s="1"/>
  <c r="T515" i="18" a="1"/>
  <c r="T515" i="18" s="1"/>
  <c r="T516" i="18" a="1"/>
  <c r="T516" i="18" s="1"/>
  <c r="T517" i="18" a="1"/>
  <c r="T517" i="18" s="1"/>
  <c r="T518" i="18" a="1"/>
  <c r="T518" i="18" s="1"/>
  <c r="T519" i="18" a="1"/>
  <c r="T519" i="18"/>
  <c r="T520" i="18" a="1"/>
  <c r="T520" i="18" s="1"/>
  <c r="T521" i="18" a="1"/>
  <c r="T521" i="18" s="1"/>
  <c r="T522" i="18" a="1"/>
  <c r="T522" i="18" s="1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/>
  <c r="T528" i="18" a="1"/>
  <c r="T528" i="18" s="1"/>
  <c r="T529" i="18" a="1"/>
  <c r="T529" i="18" s="1"/>
  <c r="T530" i="18" a="1"/>
  <c r="T530" i="18" s="1"/>
  <c r="T531" i="18" a="1"/>
  <c r="T531" i="18" s="1"/>
  <c r="T532" i="18" a="1"/>
  <c r="T532" i="18" s="1"/>
  <c r="T533" i="18" a="1"/>
  <c r="T533" i="18" s="1"/>
  <c r="T534" i="18" a="1"/>
  <c r="T534" i="18" s="1"/>
  <c r="T535" i="18" a="1"/>
  <c r="T535" i="18" s="1"/>
  <c r="T536" i="18" a="1"/>
  <c r="T536" i="18" s="1"/>
  <c r="T537" i="18" a="1"/>
  <c r="T537" i="18" s="1"/>
  <c r="T538" i="18" a="1"/>
  <c r="T538" i="18" s="1"/>
  <c r="T539" i="18" a="1"/>
  <c r="T539" i="18" s="1"/>
  <c r="T540" i="18" a="1"/>
  <c r="T540" i="18" s="1"/>
  <c r="T541" i="18" a="1"/>
  <c r="T541" i="18" s="1"/>
  <c r="T542" i="18" a="1"/>
  <c r="T542" i="18" s="1"/>
  <c r="T543" i="18" a="1"/>
  <c r="T543" i="18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/>
  <c r="T552" i="18" a="1"/>
  <c r="T552" i="18" s="1"/>
  <c r="T553" i="18" a="1"/>
  <c r="T553" i="18" s="1"/>
  <c r="T554" i="18" a="1"/>
  <c r="T554" i="18" s="1"/>
  <c r="T555" i="18" a="1"/>
  <c r="T555" i="18" s="1"/>
  <c r="T556" i="18" a="1"/>
  <c r="T556" i="18" s="1"/>
  <c r="T557" i="18" a="1"/>
  <c r="T557" i="18" s="1"/>
  <c r="T558" i="18" a="1"/>
  <c r="T558" i="18" s="1"/>
  <c r="T559" i="18" a="1"/>
  <c r="T559" i="18"/>
  <c r="T560" i="18" a="1"/>
  <c r="T560" i="18" s="1"/>
  <c r="T561" i="18" a="1"/>
  <c r="T561" i="18" s="1"/>
  <c r="T562" i="18" a="1"/>
  <c r="T562" i="18" s="1"/>
  <c r="T563" i="18" a="1"/>
  <c r="T563" i="18" s="1"/>
  <c r="T564" i="18" a="1"/>
  <c r="T564" i="18" s="1"/>
  <c r="T565" i="18" a="1"/>
  <c r="T565" i="18" s="1"/>
  <c r="T566" i="18" a="1"/>
  <c r="T566" i="18" s="1"/>
  <c r="T567" i="18" a="1"/>
  <c r="T567" i="18" s="1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/>
  <c r="T576" i="18" a="1"/>
  <c r="T576" i="18" s="1"/>
  <c r="T577" i="18" a="1"/>
  <c r="T577" i="18" s="1"/>
  <c r="T578" i="18" a="1"/>
  <c r="T578" i="18" s="1"/>
  <c r="T579" i="18" a="1"/>
  <c r="T579" i="18" s="1"/>
  <c r="T580" i="18" a="1"/>
  <c r="T580" i="18" s="1"/>
  <c r="T581" i="18" a="1"/>
  <c r="T581" i="18" s="1"/>
  <c r="T582" i="18" a="1"/>
  <c r="T582" i="18" s="1"/>
  <c r="T583" i="18" a="1"/>
  <c r="T583" i="18"/>
  <c r="T584" i="18" a="1"/>
  <c r="T584" i="18" s="1"/>
  <c r="T585" i="18" a="1"/>
  <c r="T585" i="18" s="1"/>
  <c r="T586" i="18" a="1"/>
  <c r="T586" i="18" s="1"/>
  <c r="T587" i="18" a="1"/>
  <c r="T587" i="18" s="1"/>
  <c r="T588" i="18" a="1"/>
  <c r="T588" i="18" s="1"/>
  <c r="T589" i="18" a="1"/>
  <c r="T589" i="18" s="1"/>
  <c r="T590" i="18" a="1"/>
  <c r="T590" i="18" s="1"/>
  <c r="T591" i="18" a="1"/>
  <c r="T591" i="18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 s="1"/>
  <c r="T601" i="18" a="1"/>
  <c r="T601" i="18" s="1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3" i="18"/>
  <c r="U54" i="18"/>
  <c r="U55" i="18"/>
  <c r="U56" i="18"/>
  <c r="U57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1" i="18"/>
  <c r="U392" i="18"/>
  <c r="U393" i="18"/>
  <c r="U394" i="18"/>
  <c r="U395" i="18"/>
  <c r="U396" i="18"/>
  <c r="U397" i="18"/>
  <c r="U398" i="18"/>
  <c r="U399" i="18"/>
  <c r="U400" i="18"/>
  <c r="U402" i="18"/>
  <c r="U403" i="18"/>
  <c r="U404" i="18"/>
  <c r="U405" i="18"/>
  <c r="U406" i="18"/>
  <c r="U407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3" i="18"/>
  <c r="U424" i="18"/>
  <c r="U425" i="18"/>
  <c r="U426" i="18"/>
  <c r="U427" i="18"/>
  <c r="U428" i="18"/>
  <c r="U429" i="18"/>
  <c r="U430" i="18"/>
  <c r="U431" i="18"/>
  <c r="U432" i="18"/>
  <c r="U434" i="18"/>
  <c r="U435" i="18"/>
  <c r="U436" i="18"/>
  <c r="U437" i="18"/>
  <c r="U438" i="18"/>
  <c r="U439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5" i="18"/>
  <c r="U456" i="18"/>
  <c r="U457" i="18"/>
  <c r="U458" i="18"/>
  <c r="U459" i="18"/>
  <c r="U460" i="18"/>
  <c r="U461" i="18"/>
  <c r="U462" i="18"/>
  <c r="U463" i="18"/>
  <c r="U464" i="18"/>
  <c r="U466" i="18"/>
  <c r="U467" i="18"/>
  <c r="U468" i="18"/>
  <c r="U469" i="18"/>
  <c r="U470" i="18"/>
  <c r="U471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7" i="18"/>
  <c r="U488" i="18"/>
  <c r="U489" i="18"/>
  <c r="U490" i="18"/>
  <c r="U491" i="18"/>
  <c r="U492" i="18"/>
  <c r="U493" i="18"/>
  <c r="U494" i="18"/>
  <c r="U495" i="18"/>
  <c r="U496" i="18"/>
  <c r="U498" i="18"/>
  <c r="U499" i="18"/>
  <c r="U500" i="18"/>
  <c r="U501" i="18"/>
  <c r="U502" i="18"/>
  <c r="U503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9" i="18"/>
  <c r="U520" i="18"/>
  <c r="U521" i="18"/>
  <c r="U522" i="18"/>
  <c r="U523" i="18"/>
  <c r="U524" i="18"/>
  <c r="U525" i="18"/>
  <c r="U526" i="18"/>
  <c r="U527" i="18"/>
  <c r="U528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2" i="18"/>
  <c r="U563" i="18"/>
  <c r="U567" i="18"/>
  <c r="U568" i="18"/>
  <c r="U569" i="18"/>
  <c r="U571" i="18"/>
  <c r="U572" i="18"/>
  <c r="U573" i="18"/>
  <c r="U574" i="18"/>
  <c r="U575" i="18"/>
  <c r="U576" i="18"/>
  <c r="U577" i="18"/>
  <c r="U578" i="18"/>
  <c r="U579" i="18"/>
  <c r="U582" i="18"/>
  <c r="U583" i="18"/>
  <c r="U585" i="18"/>
  <c r="U587" i="18"/>
  <c r="U588" i="18"/>
  <c r="U589" i="18"/>
  <c r="U590" i="18"/>
  <c r="U591" i="18"/>
  <c r="U592" i="18"/>
  <c r="U594" i="18"/>
  <c r="U595" i="18"/>
  <c r="U599" i="18"/>
  <c r="U600" i="18"/>
  <c r="U601" i="18"/>
  <c r="L2" i="17"/>
  <c r="L3" i="17"/>
  <c r="L4" i="17"/>
  <c r="L5" i="17"/>
  <c r="L6" i="17"/>
  <c r="L7" i="17"/>
  <c r="L302" i="17"/>
  <c r="L303" i="17"/>
  <c r="L304" i="17"/>
  <c r="L452" i="17"/>
  <c r="L502" i="17"/>
  <c r="L503" i="17"/>
  <c r="L504" i="17"/>
  <c r="L652" i="17"/>
  <c r="L702" i="17"/>
  <c r="L752" i="17"/>
  <c r="L802" i="17"/>
  <c r="L852" i="17"/>
  <c r="L902" i="17"/>
  <c r="L952" i="17"/>
  <c r="L8" i="17"/>
  <c r="L9" i="17"/>
  <c r="L10" i="17"/>
  <c r="L11" i="17"/>
  <c r="L12" i="17"/>
  <c r="L13" i="17"/>
  <c r="L305" i="17"/>
  <c r="L306" i="17"/>
  <c r="L307" i="17"/>
  <c r="L453" i="17"/>
  <c r="L505" i="17"/>
  <c r="L506" i="17"/>
  <c r="L507" i="17"/>
  <c r="L653" i="17"/>
  <c r="L703" i="17"/>
  <c r="L753" i="17"/>
  <c r="L803" i="17"/>
  <c r="L853" i="17"/>
  <c r="L903" i="17"/>
  <c r="L953" i="17"/>
  <c r="L14" i="17"/>
  <c r="L15" i="17"/>
  <c r="L16" i="17"/>
  <c r="L17" i="17"/>
  <c r="L18" i="17"/>
  <c r="L19" i="17"/>
  <c r="L308" i="17"/>
  <c r="L309" i="17"/>
  <c r="L310" i="17"/>
  <c r="L454" i="17"/>
  <c r="L508" i="17"/>
  <c r="L509" i="17"/>
  <c r="L510" i="17"/>
  <c r="L654" i="17"/>
  <c r="L704" i="17"/>
  <c r="L754" i="17"/>
  <c r="L804" i="17"/>
  <c r="L854" i="17"/>
  <c r="L904" i="17"/>
  <c r="L954" i="17"/>
  <c r="L20" i="17"/>
  <c r="L21" i="17"/>
  <c r="L22" i="17"/>
  <c r="L23" i="17"/>
  <c r="L24" i="17"/>
  <c r="L25" i="17"/>
  <c r="L311" i="17"/>
  <c r="L312" i="17"/>
  <c r="L313" i="17"/>
  <c r="L455" i="17"/>
  <c r="L511" i="17"/>
  <c r="L512" i="17"/>
  <c r="L513" i="17"/>
  <c r="L655" i="17"/>
  <c r="L705" i="17"/>
  <c r="L755" i="17"/>
  <c r="L805" i="17"/>
  <c r="L855" i="17"/>
  <c r="L905" i="17"/>
  <c r="L955" i="17"/>
  <c r="L26" i="17"/>
  <c r="L27" i="17"/>
  <c r="L28" i="17"/>
  <c r="L29" i="17"/>
  <c r="L30" i="17"/>
  <c r="L31" i="17"/>
  <c r="L314" i="17"/>
  <c r="L315" i="17"/>
  <c r="L316" i="17"/>
  <c r="L456" i="17"/>
  <c r="L514" i="17"/>
  <c r="L515" i="17"/>
  <c r="L516" i="17"/>
  <c r="L656" i="17"/>
  <c r="L706" i="17"/>
  <c r="L756" i="17"/>
  <c r="L806" i="17"/>
  <c r="L856" i="17"/>
  <c r="L906" i="17"/>
  <c r="L956" i="17"/>
  <c r="L32" i="17"/>
  <c r="L33" i="17"/>
  <c r="L34" i="17"/>
  <c r="L35" i="17"/>
  <c r="L36" i="17"/>
  <c r="L37" i="17"/>
  <c r="L317" i="17"/>
  <c r="L318" i="17"/>
  <c r="L319" i="17"/>
  <c r="L457" i="17"/>
  <c r="L517" i="17"/>
  <c r="L518" i="17"/>
  <c r="L519" i="17"/>
  <c r="L657" i="17"/>
  <c r="L707" i="17"/>
  <c r="L757" i="17"/>
  <c r="L807" i="17"/>
  <c r="L857" i="17"/>
  <c r="L907" i="17"/>
  <c r="L957" i="17"/>
  <c r="L38" i="17"/>
  <c r="L39" i="17"/>
  <c r="L40" i="17"/>
  <c r="L41" i="17"/>
  <c r="L42" i="17"/>
  <c r="L43" i="17"/>
  <c r="L320" i="17"/>
  <c r="L321" i="17"/>
  <c r="L322" i="17"/>
  <c r="L458" i="17"/>
  <c r="L520" i="17"/>
  <c r="L521" i="17"/>
  <c r="L522" i="17"/>
  <c r="L658" i="17"/>
  <c r="L708" i="17"/>
  <c r="L758" i="17"/>
  <c r="L808" i="17"/>
  <c r="L858" i="17"/>
  <c r="L908" i="17"/>
  <c r="L958" i="17"/>
  <c r="L44" i="17"/>
  <c r="L45" i="17"/>
  <c r="L46" i="17"/>
  <c r="L47" i="17"/>
  <c r="L48" i="17"/>
  <c r="L49" i="17"/>
  <c r="L323" i="17"/>
  <c r="L324" i="17"/>
  <c r="L325" i="17"/>
  <c r="L459" i="17"/>
  <c r="L523" i="17"/>
  <c r="L524" i="17"/>
  <c r="L525" i="17"/>
  <c r="L659" i="17"/>
  <c r="L709" i="17"/>
  <c r="L759" i="17"/>
  <c r="L809" i="17"/>
  <c r="L859" i="17"/>
  <c r="L909" i="17"/>
  <c r="L959" i="17"/>
  <c r="L50" i="17"/>
  <c r="L51" i="17"/>
  <c r="L52" i="17"/>
  <c r="L53" i="17"/>
  <c r="L54" i="17"/>
  <c r="L55" i="17"/>
  <c r="L326" i="17"/>
  <c r="L327" i="17"/>
  <c r="L328" i="17"/>
  <c r="L460" i="17"/>
  <c r="L526" i="17"/>
  <c r="L527" i="17"/>
  <c r="L528" i="17"/>
  <c r="L660" i="17"/>
  <c r="L710" i="17"/>
  <c r="L760" i="17"/>
  <c r="L810" i="17"/>
  <c r="L860" i="17"/>
  <c r="L910" i="17"/>
  <c r="L960" i="17"/>
  <c r="L56" i="17"/>
  <c r="L57" i="17"/>
  <c r="L58" i="17"/>
  <c r="L59" i="17"/>
  <c r="L60" i="17"/>
  <c r="L61" i="17"/>
  <c r="L329" i="17"/>
  <c r="L330" i="17"/>
  <c r="L331" i="17"/>
  <c r="L461" i="17"/>
  <c r="L529" i="17"/>
  <c r="L530" i="17"/>
  <c r="L531" i="17"/>
  <c r="L661" i="17"/>
  <c r="L711" i="17"/>
  <c r="L761" i="17"/>
  <c r="L811" i="17"/>
  <c r="L861" i="17"/>
  <c r="L911" i="17"/>
  <c r="L961" i="17"/>
  <c r="L62" i="17"/>
  <c r="L63" i="17"/>
  <c r="L64" i="17"/>
  <c r="L65" i="17"/>
  <c r="L66" i="17"/>
  <c r="L67" i="17"/>
  <c r="L332" i="17"/>
  <c r="L333" i="17"/>
  <c r="L334" i="17"/>
  <c r="L462" i="17"/>
  <c r="L532" i="17"/>
  <c r="L533" i="17"/>
  <c r="L534" i="17"/>
  <c r="L662" i="17"/>
  <c r="L712" i="17"/>
  <c r="L762" i="17"/>
  <c r="L812" i="17"/>
  <c r="L862" i="17"/>
  <c r="L912" i="17"/>
  <c r="L962" i="17"/>
  <c r="L68" i="17"/>
  <c r="L69" i="17"/>
  <c r="L70" i="17"/>
  <c r="L71" i="17"/>
  <c r="L72" i="17"/>
  <c r="L73" i="17"/>
  <c r="L335" i="17"/>
  <c r="L336" i="17"/>
  <c r="L337" i="17"/>
  <c r="L463" i="17"/>
  <c r="L535" i="17"/>
  <c r="L536" i="17"/>
  <c r="L537" i="17"/>
  <c r="L663" i="17"/>
  <c r="L713" i="17"/>
  <c r="L763" i="17"/>
  <c r="L813" i="17"/>
  <c r="L863" i="17"/>
  <c r="L913" i="17"/>
  <c r="L963" i="17"/>
  <c r="L74" i="17"/>
  <c r="L75" i="17"/>
  <c r="L76" i="17"/>
  <c r="L77" i="17"/>
  <c r="L78" i="17"/>
  <c r="L79" i="17"/>
  <c r="L338" i="17"/>
  <c r="L339" i="17"/>
  <c r="L340" i="17"/>
  <c r="L464" i="17"/>
  <c r="L538" i="17"/>
  <c r="L539" i="17"/>
  <c r="L540" i="17"/>
  <c r="L664" i="17"/>
  <c r="L714" i="17"/>
  <c r="L764" i="17"/>
  <c r="L814" i="17"/>
  <c r="L864" i="17"/>
  <c r="L914" i="17"/>
  <c r="L964" i="17"/>
  <c r="L80" i="17"/>
  <c r="L81" i="17"/>
  <c r="L82" i="17"/>
  <c r="L83" i="17"/>
  <c r="L84" i="17"/>
  <c r="L85" i="17"/>
  <c r="L341" i="17"/>
  <c r="L342" i="17"/>
  <c r="L343" i="17"/>
  <c r="L465" i="17"/>
  <c r="L541" i="17"/>
  <c r="L542" i="17"/>
  <c r="L543" i="17"/>
  <c r="L665" i="17"/>
  <c r="L715" i="17"/>
  <c r="L765" i="17"/>
  <c r="L815" i="17"/>
  <c r="L865" i="17"/>
  <c r="L915" i="17"/>
  <c r="L965" i="17"/>
  <c r="L86" i="17"/>
  <c r="L87" i="17"/>
  <c r="L88" i="17"/>
  <c r="L89" i="17"/>
  <c r="L90" i="17"/>
  <c r="L91" i="17"/>
  <c r="L344" i="17"/>
  <c r="L345" i="17"/>
  <c r="L346" i="17"/>
  <c r="L466" i="17"/>
  <c r="L544" i="17"/>
  <c r="L545" i="17"/>
  <c r="L546" i="17"/>
  <c r="L666" i="17"/>
  <c r="L716" i="17"/>
  <c r="L766" i="17"/>
  <c r="L816" i="17"/>
  <c r="L866" i="17"/>
  <c r="L916" i="17"/>
  <c r="L966" i="17"/>
  <c r="L92" i="17"/>
  <c r="L93" i="17"/>
  <c r="L94" i="17"/>
  <c r="L95" i="17"/>
  <c r="L96" i="17"/>
  <c r="L97" i="17"/>
  <c r="L347" i="17"/>
  <c r="L348" i="17"/>
  <c r="L349" i="17"/>
  <c r="L467" i="17"/>
  <c r="L547" i="17"/>
  <c r="L548" i="17"/>
  <c r="L549" i="17"/>
  <c r="L667" i="17"/>
  <c r="L717" i="17"/>
  <c r="L767" i="17"/>
  <c r="L817" i="17"/>
  <c r="L867" i="17"/>
  <c r="L917" i="17"/>
  <c r="L967" i="17"/>
  <c r="L98" i="17"/>
  <c r="L99" i="17"/>
  <c r="L100" i="17"/>
  <c r="L101" i="17"/>
  <c r="L102" i="17"/>
  <c r="L103" i="17"/>
  <c r="L350" i="17"/>
  <c r="L351" i="17"/>
  <c r="L352" i="17"/>
  <c r="L468" i="17"/>
  <c r="L550" i="17"/>
  <c r="L551" i="17"/>
  <c r="L552" i="17"/>
  <c r="L668" i="17"/>
  <c r="L718" i="17"/>
  <c r="L768" i="17"/>
  <c r="L818" i="17"/>
  <c r="L868" i="17"/>
  <c r="L918" i="17"/>
  <c r="L968" i="17"/>
  <c r="L104" i="17"/>
  <c r="L105" i="17"/>
  <c r="L106" i="17"/>
  <c r="L107" i="17"/>
  <c r="L108" i="17"/>
  <c r="L109" i="17"/>
  <c r="L353" i="17"/>
  <c r="L354" i="17"/>
  <c r="L355" i="17"/>
  <c r="L469" i="17"/>
  <c r="L553" i="17"/>
  <c r="L554" i="17"/>
  <c r="L555" i="17"/>
  <c r="L669" i="17"/>
  <c r="L719" i="17"/>
  <c r="L769" i="17"/>
  <c r="L819" i="17"/>
  <c r="L869" i="17"/>
  <c r="L919" i="17"/>
  <c r="L969" i="17"/>
  <c r="L110" i="17"/>
  <c r="L111" i="17"/>
  <c r="L112" i="17"/>
  <c r="L113" i="17"/>
  <c r="L114" i="17"/>
  <c r="L115" i="17"/>
  <c r="L356" i="17"/>
  <c r="L357" i="17"/>
  <c r="L358" i="17"/>
  <c r="L470" i="17"/>
  <c r="L556" i="17"/>
  <c r="L557" i="17"/>
  <c r="L558" i="17"/>
  <c r="L670" i="17"/>
  <c r="L720" i="17"/>
  <c r="L770" i="17"/>
  <c r="L820" i="17"/>
  <c r="L870" i="17"/>
  <c r="L920" i="17"/>
  <c r="L970" i="17"/>
  <c r="L116" i="17"/>
  <c r="L117" i="17"/>
  <c r="L118" i="17"/>
  <c r="L119" i="17"/>
  <c r="L120" i="17"/>
  <c r="L121" i="17"/>
  <c r="L359" i="17"/>
  <c r="L360" i="17"/>
  <c r="L361" i="17"/>
  <c r="L471" i="17"/>
  <c r="L559" i="17"/>
  <c r="L560" i="17"/>
  <c r="L561" i="17"/>
  <c r="L671" i="17"/>
  <c r="L721" i="17"/>
  <c r="L771" i="17"/>
  <c r="L821" i="17"/>
  <c r="L871" i="17"/>
  <c r="L921" i="17"/>
  <c r="L971" i="17"/>
  <c r="L122" i="17"/>
  <c r="L123" i="17"/>
  <c r="L124" i="17"/>
  <c r="L125" i="17"/>
  <c r="L126" i="17"/>
  <c r="L127" i="17"/>
  <c r="L362" i="17"/>
  <c r="L363" i="17"/>
  <c r="L364" i="17"/>
  <c r="L472" i="17"/>
  <c r="L562" i="17"/>
  <c r="L563" i="17"/>
  <c r="L564" i="17"/>
  <c r="L672" i="17"/>
  <c r="L722" i="17"/>
  <c r="L772" i="17"/>
  <c r="L822" i="17"/>
  <c r="L872" i="17"/>
  <c r="L922" i="17"/>
  <c r="L972" i="17"/>
  <c r="L128" i="17"/>
  <c r="L129" i="17"/>
  <c r="L130" i="17"/>
  <c r="L131" i="17"/>
  <c r="L132" i="17"/>
  <c r="L133" i="17"/>
  <c r="L365" i="17"/>
  <c r="L366" i="17"/>
  <c r="L367" i="17"/>
  <c r="L473" i="17"/>
  <c r="L565" i="17"/>
  <c r="L566" i="17"/>
  <c r="L567" i="17"/>
  <c r="L673" i="17"/>
  <c r="L723" i="17"/>
  <c r="L773" i="17"/>
  <c r="L823" i="17"/>
  <c r="L873" i="17"/>
  <c r="L923" i="17"/>
  <c r="L973" i="17"/>
  <c r="L134" i="17"/>
  <c r="L135" i="17"/>
  <c r="L136" i="17"/>
  <c r="L137" i="17"/>
  <c r="L138" i="17"/>
  <c r="L139" i="17"/>
  <c r="L368" i="17"/>
  <c r="L369" i="17"/>
  <c r="L370" i="17"/>
  <c r="L474" i="17"/>
  <c r="L568" i="17"/>
  <c r="L569" i="17"/>
  <c r="L570" i="17"/>
  <c r="L674" i="17"/>
  <c r="L724" i="17"/>
  <c r="L774" i="17"/>
  <c r="L824" i="17"/>
  <c r="L874" i="17"/>
  <c r="L924" i="17"/>
  <c r="L974" i="17"/>
  <c r="L140" i="17"/>
  <c r="L141" i="17"/>
  <c r="L142" i="17"/>
  <c r="L143" i="17"/>
  <c r="L144" i="17"/>
  <c r="L145" i="17"/>
  <c r="L371" i="17"/>
  <c r="L372" i="17"/>
  <c r="L373" i="17"/>
  <c r="L475" i="17"/>
  <c r="L571" i="17"/>
  <c r="L572" i="17"/>
  <c r="L573" i="17"/>
  <c r="L675" i="17"/>
  <c r="L725" i="17"/>
  <c r="L775" i="17"/>
  <c r="L825" i="17"/>
  <c r="L875" i="17"/>
  <c r="L925" i="17"/>
  <c r="L975" i="17"/>
  <c r="L146" i="17"/>
  <c r="L147" i="17"/>
  <c r="L148" i="17"/>
  <c r="L149" i="17"/>
  <c r="L150" i="17"/>
  <c r="L151" i="17"/>
  <c r="L374" i="17"/>
  <c r="L375" i="17"/>
  <c r="L376" i="17"/>
  <c r="L476" i="17"/>
  <c r="L574" i="17"/>
  <c r="L575" i="17"/>
  <c r="L576" i="17"/>
  <c r="L676" i="17"/>
  <c r="L726" i="17"/>
  <c r="L776" i="17"/>
  <c r="L826" i="17"/>
  <c r="L876" i="17"/>
  <c r="L926" i="17"/>
  <c r="L976" i="17"/>
  <c r="L152" i="17"/>
  <c r="L153" i="17"/>
  <c r="L154" i="17"/>
  <c r="L155" i="17"/>
  <c r="L156" i="17"/>
  <c r="L157" i="17"/>
  <c r="L377" i="17"/>
  <c r="L378" i="17"/>
  <c r="L379" i="17"/>
  <c r="L477" i="17"/>
  <c r="L577" i="17"/>
  <c r="L578" i="17"/>
  <c r="L579" i="17"/>
  <c r="L677" i="17"/>
  <c r="L727" i="17"/>
  <c r="L777" i="17"/>
  <c r="L827" i="17"/>
  <c r="L877" i="17"/>
  <c r="L927" i="17"/>
  <c r="L977" i="17"/>
  <c r="L158" i="17"/>
  <c r="L159" i="17"/>
  <c r="L160" i="17"/>
  <c r="L161" i="17"/>
  <c r="L162" i="17"/>
  <c r="L163" i="17"/>
  <c r="L380" i="17"/>
  <c r="L381" i="17"/>
  <c r="L382" i="17"/>
  <c r="L478" i="17"/>
  <c r="L580" i="17"/>
  <c r="L581" i="17"/>
  <c r="L582" i="17"/>
  <c r="L678" i="17"/>
  <c r="L728" i="17"/>
  <c r="L778" i="17"/>
  <c r="L828" i="17"/>
  <c r="L878" i="17"/>
  <c r="L928" i="17"/>
  <c r="L978" i="17"/>
  <c r="L164" i="17"/>
  <c r="L165" i="17"/>
  <c r="L166" i="17"/>
  <c r="L167" i="17"/>
  <c r="L168" i="17"/>
  <c r="L169" i="17"/>
  <c r="L383" i="17"/>
  <c r="L384" i="17"/>
  <c r="L385" i="17"/>
  <c r="L479" i="17"/>
  <c r="L583" i="17"/>
  <c r="L584" i="17"/>
  <c r="L585" i="17"/>
  <c r="L679" i="17"/>
  <c r="L729" i="17"/>
  <c r="L779" i="17"/>
  <c r="L829" i="17"/>
  <c r="L879" i="17"/>
  <c r="L929" i="17"/>
  <c r="L979" i="17"/>
  <c r="L170" i="17"/>
  <c r="L171" i="17"/>
  <c r="L172" i="17"/>
  <c r="L173" i="17"/>
  <c r="L174" i="17"/>
  <c r="L175" i="17"/>
  <c r="L386" i="17"/>
  <c r="L387" i="17"/>
  <c r="L388" i="17"/>
  <c r="L480" i="17"/>
  <c r="L586" i="17"/>
  <c r="L587" i="17"/>
  <c r="L588" i="17"/>
  <c r="L680" i="17"/>
  <c r="L730" i="17"/>
  <c r="L780" i="17"/>
  <c r="L830" i="17"/>
  <c r="L880" i="17"/>
  <c r="L930" i="17"/>
  <c r="L980" i="17"/>
  <c r="L176" i="17"/>
  <c r="L177" i="17"/>
  <c r="L178" i="17"/>
  <c r="L179" i="17"/>
  <c r="L180" i="17"/>
  <c r="L181" i="17"/>
  <c r="L389" i="17"/>
  <c r="L390" i="17"/>
  <c r="L391" i="17"/>
  <c r="L481" i="17"/>
  <c r="L589" i="17"/>
  <c r="L590" i="17"/>
  <c r="L591" i="17"/>
  <c r="L681" i="17"/>
  <c r="L731" i="17"/>
  <c r="L781" i="17"/>
  <c r="L831" i="17"/>
  <c r="L881" i="17"/>
  <c r="L931" i="17"/>
  <c r="L981" i="17"/>
  <c r="L182" i="17"/>
  <c r="L183" i="17"/>
  <c r="L184" i="17"/>
  <c r="L185" i="17"/>
  <c r="L186" i="17"/>
  <c r="L187" i="17"/>
  <c r="L392" i="17"/>
  <c r="L393" i="17"/>
  <c r="L394" i="17"/>
  <c r="L482" i="17"/>
  <c r="L592" i="17"/>
  <c r="L593" i="17"/>
  <c r="L594" i="17"/>
  <c r="L682" i="17"/>
  <c r="L732" i="17"/>
  <c r="L782" i="17"/>
  <c r="L832" i="17"/>
  <c r="L882" i="17"/>
  <c r="L932" i="17"/>
  <c r="L982" i="17"/>
  <c r="L188" i="17"/>
  <c r="L189" i="17"/>
  <c r="L190" i="17"/>
  <c r="L191" i="17"/>
  <c r="L192" i="17"/>
  <c r="L193" i="17"/>
  <c r="L395" i="17"/>
  <c r="L396" i="17"/>
  <c r="L397" i="17"/>
  <c r="L483" i="17"/>
  <c r="L595" i="17"/>
  <c r="L596" i="17"/>
  <c r="L597" i="17"/>
  <c r="L683" i="17"/>
  <c r="L733" i="17"/>
  <c r="L783" i="17"/>
  <c r="L833" i="17"/>
  <c r="L883" i="17"/>
  <c r="L933" i="17"/>
  <c r="L983" i="17"/>
  <c r="L194" i="17"/>
  <c r="L195" i="17"/>
  <c r="L196" i="17"/>
  <c r="L197" i="17"/>
  <c r="L198" i="17"/>
  <c r="L199" i="17"/>
  <c r="L398" i="17"/>
  <c r="L399" i="17"/>
  <c r="L400" i="17"/>
  <c r="L484" i="17"/>
  <c r="L598" i="17"/>
  <c r="L599" i="17"/>
  <c r="L600" i="17"/>
  <c r="L684" i="17"/>
  <c r="L734" i="17"/>
  <c r="L784" i="17"/>
  <c r="L834" i="17"/>
  <c r="L884" i="17"/>
  <c r="L934" i="17"/>
  <c r="L984" i="17"/>
  <c r="L200" i="17"/>
  <c r="L201" i="17"/>
  <c r="L202" i="17"/>
  <c r="L203" i="17"/>
  <c r="L204" i="17"/>
  <c r="L205" i="17"/>
  <c r="L401" i="17"/>
  <c r="L402" i="17"/>
  <c r="L403" i="17"/>
  <c r="L485" i="17"/>
  <c r="L601" i="17"/>
  <c r="L602" i="17"/>
  <c r="L603" i="17"/>
  <c r="L685" i="17"/>
  <c r="L735" i="17"/>
  <c r="L785" i="17"/>
  <c r="L835" i="17"/>
  <c r="L885" i="17"/>
  <c r="L935" i="17"/>
  <c r="L985" i="17"/>
  <c r="L206" i="17"/>
  <c r="L207" i="17"/>
  <c r="L208" i="17"/>
  <c r="L209" i="17"/>
  <c r="L210" i="17"/>
  <c r="L211" i="17"/>
  <c r="L404" i="17"/>
  <c r="L405" i="17"/>
  <c r="L406" i="17"/>
  <c r="L486" i="17"/>
  <c r="L604" i="17"/>
  <c r="L605" i="17"/>
  <c r="L606" i="17"/>
  <c r="L686" i="17"/>
  <c r="L736" i="17"/>
  <c r="L786" i="17"/>
  <c r="L836" i="17"/>
  <c r="L886" i="17"/>
  <c r="L936" i="17"/>
  <c r="L986" i="17"/>
  <c r="L212" i="17"/>
  <c r="L213" i="17"/>
  <c r="L214" i="17"/>
  <c r="L215" i="17"/>
  <c r="L216" i="17"/>
  <c r="L217" i="17"/>
  <c r="L407" i="17"/>
  <c r="L408" i="17"/>
  <c r="L409" i="17"/>
  <c r="L487" i="17"/>
  <c r="L607" i="17"/>
  <c r="L608" i="17"/>
  <c r="L609" i="17"/>
  <c r="L687" i="17"/>
  <c r="L737" i="17"/>
  <c r="L787" i="17"/>
  <c r="L837" i="17"/>
  <c r="L887" i="17"/>
  <c r="L937" i="17"/>
  <c r="L987" i="17"/>
  <c r="L218" i="17"/>
  <c r="L219" i="17"/>
  <c r="L220" i="17"/>
  <c r="L221" i="17"/>
  <c r="L222" i="17"/>
  <c r="L223" i="17"/>
  <c r="L410" i="17"/>
  <c r="L411" i="17"/>
  <c r="L412" i="17"/>
  <c r="L488" i="17"/>
  <c r="L610" i="17"/>
  <c r="L611" i="17"/>
  <c r="L612" i="17"/>
  <c r="L688" i="17"/>
  <c r="L738" i="17"/>
  <c r="L788" i="17"/>
  <c r="L838" i="17"/>
  <c r="L888" i="17"/>
  <c r="L938" i="17"/>
  <c r="L988" i="17"/>
  <c r="L224" i="17"/>
  <c r="L225" i="17"/>
  <c r="L226" i="17"/>
  <c r="L227" i="17"/>
  <c r="L228" i="17"/>
  <c r="L229" i="17"/>
  <c r="L413" i="17"/>
  <c r="L414" i="17"/>
  <c r="L415" i="17"/>
  <c r="L489" i="17"/>
  <c r="L613" i="17"/>
  <c r="L614" i="17"/>
  <c r="L615" i="17"/>
  <c r="L689" i="17"/>
  <c r="L739" i="17"/>
  <c r="L789" i="17"/>
  <c r="L839" i="17"/>
  <c r="L889" i="17"/>
  <c r="L939" i="17"/>
  <c r="L989" i="17"/>
  <c r="L230" i="17"/>
  <c r="L231" i="17"/>
  <c r="L232" i="17"/>
  <c r="L233" i="17"/>
  <c r="L234" i="17"/>
  <c r="L235" i="17"/>
  <c r="L416" i="17"/>
  <c r="L417" i="17"/>
  <c r="L418" i="17"/>
  <c r="L490" i="17"/>
  <c r="L616" i="17"/>
  <c r="L617" i="17"/>
  <c r="L618" i="17"/>
  <c r="L690" i="17"/>
  <c r="L740" i="17"/>
  <c r="L790" i="17"/>
  <c r="L840" i="17"/>
  <c r="L890" i="17"/>
  <c r="L940" i="17"/>
  <c r="L990" i="17"/>
  <c r="L236" i="17"/>
  <c r="L237" i="17"/>
  <c r="L238" i="17"/>
  <c r="L239" i="17"/>
  <c r="L240" i="17"/>
  <c r="L241" i="17"/>
  <c r="L419" i="17"/>
  <c r="L420" i="17"/>
  <c r="L421" i="17"/>
  <c r="L491" i="17"/>
  <c r="L619" i="17"/>
  <c r="L620" i="17"/>
  <c r="L621" i="17"/>
  <c r="L691" i="17"/>
  <c r="L741" i="17"/>
  <c r="L791" i="17"/>
  <c r="L841" i="17"/>
  <c r="L891" i="17"/>
  <c r="L941" i="17"/>
  <c r="L991" i="17"/>
  <c r="L242" i="17"/>
  <c r="L243" i="17"/>
  <c r="L244" i="17"/>
  <c r="L245" i="17"/>
  <c r="L246" i="17"/>
  <c r="L247" i="17"/>
  <c r="L422" i="17"/>
  <c r="L423" i="17"/>
  <c r="L424" i="17"/>
  <c r="L492" i="17"/>
  <c r="L622" i="17"/>
  <c r="L623" i="17"/>
  <c r="L624" i="17"/>
  <c r="L692" i="17"/>
  <c r="L742" i="17"/>
  <c r="L792" i="17"/>
  <c r="L842" i="17"/>
  <c r="L892" i="17"/>
  <c r="L942" i="17"/>
  <c r="L992" i="17"/>
  <c r="L248" i="17"/>
  <c r="L249" i="17"/>
  <c r="L250" i="17"/>
  <c r="L251" i="17"/>
  <c r="L252" i="17"/>
  <c r="L253" i="17"/>
  <c r="L425" i="17"/>
  <c r="L426" i="17"/>
  <c r="L427" i="17"/>
  <c r="L493" i="17"/>
  <c r="L625" i="17"/>
  <c r="L626" i="17"/>
  <c r="L627" i="17"/>
  <c r="L693" i="17"/>
  <c r="L743" i="17"/>
  <c r="L793" i="17"/>
  <c r="L843" i="17"/>
  <c r="L893" i="17"/>
  <c r="L943" i="17"/>
  <c r="L993" i="17"/>
  <c r="L254" i="17"/>
  <c r="L255" i="17"/>
  <c r="L256" i="17"/>
  <c r="L257" i="17"/>
  <c r="L258" i="17"/>
  <c r="L259" i="17"/>
  <c r="L428" i="17"/>
  <c r="L429" i="17"/>
  <c r="L430" i="17"/>
  <c r="L494" i="17"/>
  <c r="L628" i="17"/>
  <c r="L629" i="17"/>
  <c r="L630" i="17"/>
  <c r="L694" i="17"/>
  <c r="L744" i="17"/>
  <c r="L794" i="17"/>
  <c r="L844" i="17"/>
  <c r="L894" i="17"/>
  <c r="L944" i="17"/>
  <c r="L994" i="17"/>
  <c r="L260" i="17"/>
  <c r="L261" i="17"/>
  <c r="L262" i="17"/>
  <c r="L263" i="17"/>
  <c r="L264" i="17"/>
  <c r="L265" i="17"/>
  <c r="L431" i="17"/>
  <c r="L432" i="17"/>
  <c r="L433" i="17"/>
  <c r="L495" i="17"/>
  <c r="L631" i="17"/>
  <c r="L632" i="17"/>
  <c r="L633" i="17"/>
  <c r="L695" i="17"/>
  <c r="L745" i="17"/>
  <c r="L795" i="17"/>
  <c r="L845" i="17"/>
  <c r="L895" i="17"/>
  <c r="L945" i="17"/>
  <c r="L995" i="17"/>
  <c r="L266" i="17"/>
  <c r="L267" i="17"/>
  <c r="L268" i="17"/>
  <c r="L269" i="17"/>
  <c r="L270" i="17"/>
  <c r="L271" i="17"/>
  <c r="L434" i="17"/>
  <c r="L435" i="17"/>
  <c r="L436" i="17"/>
  <c r="L496" i="17"/>
  <c r="L634" i="17"/>
  <c r="L635" i="17"/>
  <c r="L636" i="17"/>
  <c r="L696" i="17"/>
  <c r="L746" i="17"/>
  <c r="L796" i="17"/>
  <c r="L846" i="17"/>
  <c r="L896" i="17"/>
  <c r="L946" i="17"/>
  <c r="L996" i="17"/>
  <c r="L272" i="17"/>
  <c r="L273" i="17"/>
  <c r="L274" i="17"/>
  <c r="L275" i="17"/>
  <c r="L276" i="17"/>
  <c r="L277" i="17"/>
  <c r="L437" i="17"/>
  <c r="L438" i="17"/>
  <c r="L439" i="17"/>
  <c r="L497" i="17"/>
  <c r="L637" i="17"/>
  <c r="L638" i="17"/>
  <c r="L639" i="17"/>
  <c r="L697" i="17"/>
  <c r="L747" i="17"/>
  <c r="L797" i="17"/>
  <c r="L847" i="17"/>
  <c r="L897" i="17"/>
  <c r="L947" i="17"/>
  <c r="L997" i="17"/>
  <c r="L278" i="17"/>
  <c r="L279" i="17"/>
  <c r="L280" i="17"/>
  <c r="L281" i="17"/>
  <c r="L282" i="17"/>
  <c r="L283" i="17"/>
  <c r="L440" i="17"/>
  <c r="L441" i="17"/>
  <c r="L442" i="17"/>
  <c r="L498" i="17"/>
  <c r="L640" i="17"/>
  <c r="L641" i="17"/>
  <c r="L642" i="17"/>
  <c r="L698" i="17"/>
  <c r="L748" i="17"/>
  <c r="L798" i="17"/>
  <c r="L848" i="17"/>
  <c r="L898" i="17"/>
  <c r="L948" i="17"/>
  <c r="L998" i="17"/>
  <c r="L284" i="17"/>
  <c r="L285" i="17"/>
  <c r="L286" i="17"/>
  <c r="L287" i="17"/>
  <c r="L288" i="17"/>
  <c r="L289" i="17"/>
  <c r="L443" i="17"/>
  <c r="L444" i="17"/>
  <c r="L445" i="17"/>
  <c r="L499" i="17"/>
  <c r="L643" i="17"/>
  <c r="L644" i="17"/>
  <c r="L645" i="17"/>
  <c r="L699" i="17"/>
  <c r="L749" i="17"/>
  <c r="L799" i="17"/>
  <c r="L849" i="17"/>
  <c r="L899" i="17"/>
  <c r="L949" i="17"/>
  <c r="L999" i="17"/>
  <c r="L290" i="17"/>
  <c r="L291" i="17"/>
  <c r="L292" i="17"/>
  <c r="L293" i="17"/>
  <c r="L294" i="17"/>
  <c r="L295" i="17"/>
  <c r="L446" i="17"/>
  <c r="L447" i="17"/>
  <c r="L448" i="17"/>
  <c r="L500" i="17"/>
  <c r="L646" i="17"/>
  <c r="L647" i="17"/>
  <c r="L648" i="17"/>
  <c r="L700" i="17"/>
  <c r="L750" i="17"/>
  <c r="L800" i="17"/>
  <c r="L850" i="17"/>
  <c r="L900" i="17"/>
  <c r="L950" i="17"/>
  <c r="L1000" i="17"/>
  <c r="L296" i="17"/>
  <c r="L297" i="17"/>
  <c r="L298" i="17"/>
  <c r="L299" i="17"/>
  <c r="L300" i="17"/>
  <c r="L301" i="17"/>
  <c r="L449" i="17"/>
  <c r="L450" i="17"/>
  <c r="L451" i="17"/>
  <c r="L501" i="17"/>
  <c r="L649" i="17"/>
  <c r="L650" i="17"/>
  <c r="L651" i="17"/>
  <c r="L701" i="17"/>
  <c r="L751" i="17"/>
  <c r="L801" i="17"/>
  <c r="L851" i="17"/>
  <c r="L901" i="17"/>
  <c r="L951" i="17"/>
  <c r="L100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02" i="17" a="1"/>
  <c r="M302" i="17" s="1"/>
  <c r="M303" i="17" a="1"/>
  <c r="M303" i="17" s="1"/>
  <c r="M304" i="17" a="1"/>
  <c r="M304" i="17" s="1"/>
  <c r="M452" i="17" a="1"/>
  <c r="M452" i="17" s="1"/>
  <c r="M502" i="17" a="1"/>
  <c r="M502" i="17" s="1"/>
  <c r="M503" i="17" a="1"/>
  <c r="M503" i="17" s="1"/>
  <c r="M504" i="17" a="1"/>
  <c r="M504" i="17" s="1"/>
  <c r="M652" i="17" a="1"/>
  <c r="M652" i="17" s="1"/>
  <c r="M702" i="17" a="1"/>
  <c r="M702" i="17" s="1"/>
  <c r="M752" i="17" a="1"/>
  <c r="M752" i="17" s="1"/>
  <c r="M802" i="17" a="1"/>
  <c r="M802" i="17" s="1"/>
  <c r="M852" i="17" a="1"/>
  <c r="M852" i="17" s="1"/>
  <c r="M902" i="17" a="1"/>
  <c r="M902" i="17" s="1"/>
  <c r="M952" i="17" a="1"/>
  <c r="M95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05" i="17" a="1"/>
  <c r="M305" i="17" s="1"/>
  <c r="M306" i="17" a="1"/>
  <c r="M306" i="17" s="1"/>
  <c r="M307" i="17" a="1"/>
  <c r="M307" i="17" s="1"/>
  <c r="M453" i="17" a="1"/>
  <c r="M453" i="17" s="1"/>
  <c r="M505" i="17" a="1"/>
  <c r="M505" i="17" s="1"/>
  <c r="M506" i="17" a="1"/>
  <c r="M506" i="17" s="1"/>
  <c r="M507" i="17" a="1"/>
  <c r="M507" i="17" s="1"/>
  <c r="M653" i="17" a="1"/>
  <c r="M653" i="17" s="1"/>
  <c r="M703" i="17" a="1"/>
  <c r="M703" i="17" s="1"/>
  <c r="M753" i="17" a="1"/>
  <c r="M753" i="17" s="1"/>
  <c r="M803" i="17" a="1"/>
  <c r="M803" i="17" s="1"/>
  <c r="M853" i="17" a="1"/>
  <c r="M853" i="17" s="1"/>
  <c r="M903" i="17" a="1"/>
  <c r="M903" i="17" s="1"/>
  <c r="M953" i="17" a="1"/>
  <c r="M95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08" i="17" a="1"/>
  <c r="M308" i="17" s="1"/>
  <c r="M309" i="17" a="1"/>
  <c r="M309" i="17" s="1"/>
  <c r="M310" i="17" a="1"/>
  <c r="M310" i="17" s="1"/>
  <c r="M454" i="17" a="1"/>
  <c r="M454" i="17" s="1"/>
  <c r="M508" i="17" a="1"/>
  <c r="M508" i="17" s="1"/>
  <c r="M509" i="17" a="1"/>
  <c r="M509" i="17" s="1"/>
  <c r="M510" i="17" a="1"/>
  <c r="M510" i="17" s="1"/>
  <c r="M654" i="17" a="1"/>
  <c r="M654" i="17" s="1"/>
  <c r="M704" i="17" a="1"/>
  <c r="M704" i="17" s="1"/>
  <c r="M754" i="17" a="1"/>
  <c r="M754" i="17" s="1"/>
  <c r="M804" i="17" a="1"/>
  <c r="M804" i="17" s="1"/>
  <c r="M854" i="17" a="1"/>
  <c r="M854" i="17" s="1"/>
  <c r="M904" i="17" a="1"/>
  <c r="M904" i="17" s="1"/>
  <c r="M954" i="17" a="1"/>
  <c r="M95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311" i="17" a="1"/>
  <c r="M311" i="17" s="1"/>
  <c r="M312" i="17" a="1"/>
  <c r="M312" i="17" s="1"/>
  <c r="M313" i="17" a="1"/>
  <c r="M313" i="17" s="1"/>
  <c r="M455" i="17" a="1"/>
  <c r="M455" i="17" s="1"/>
  <c r="M511" i="17" a="1"/>
  <c r="M511" i="17" s="1"/>
  <c r="M512" i="17" a="1"/>
  <c r="M512" i="17" s="1"/>
  <c r="M513" i="17" a="1"/>
  <c r="M513" i="17" s="1"/>
  <c r="M655" i="17" a="1"/>
  <c r="M655" i="17" s="1"/>
  <c r="M705" i="17" a="1"/>
  <c r="M705" i="17" s="1"/>
  <c r="M755" i="17" a="1"/>
  <c r="M755" i="17" s="1"/>
  <c r="M805" i="17" a="1"/>
  <c r="M805" i="17" s="1"/>
  <c r="M855" i="17" a="1"/>
  <c r="M855" i="17" s="1"/>
  <c r="M905" i="17" a="1"/>
  <c r="M905" i="17" s="1"/>
  <c r="M955" i="17" a="1"/>
  <c r="M95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14" i="17" a="1"/>
  <c r="M314" i="17" s="1"/>
  <c r="M315" i="17" a="1"/>
  <c r="M315" i="17" s="1"/>
  <c r="M316" i="17" a="1"/>
  <c r="M316" i="17" s="1"/>
  <c r="M456" i="17" a="1"/>
  <c r="M456" i="17" s="1"/>
  <c r="M514" i="17" a="1"/>
  <c r="M514" i="17" s="1"/>
  <c r="M515" i="17" a="1"/>
  <c r="M515" i="17" s="1"/>
  <c r="M516" i="17" a="1"/>
  <c r="M516" i="17" s="1"/>
  <c r="M656" i="17" a="1"/>
  <c r="M656" i="17" s="1"/>
  <c r="M706" i="17" a="1"/>
  <c r="M706" i="17" s="1"/>
  <c r="M756" i="17" a="1"/>
  <c r="M756" i="17" s="1"/>
  <c r="M806" i="17" a="1"/>
  <c r="M806" i="17" s="1"/>
  <c r="M856" i="17" a="1"/>
  <c r="M856" i="17" s="1"/>
  <c r="M906" i="17" a="1"/>
  <c r="M906" i="17" s="1"/>
  <c r="M956" i="17" a="1"/>
  <c r="M95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17" i="17" a="1"/>
  <c r="M317" i="17" s="1"/>
  <c r="M318" i="17" a="1"/>
  <c r="M318" i="17" s="1"/>
  <c r="M319" i="17" a="1"/>
  <c r="M319" i="17" s="1"/>
  <c r="M457" i="17" a="1"/>
  <c r="M457" i="17" s="1"/>
  <c r="M517" i="17" a="1"/>
  <c r="M517" i="17" s="1"/>
  <c r="M518" i="17" a="1"/>
  <c r="M518" i="17" s="1"/>
  <c r="M519" i="17" a="1"/>
  <c r="M519" i="17" s="1"/>
  <c r="M657" i="17" a="1"/>
  <c r="M657" i="17" s="1"/>
  <c r="M707" i="17" a="1"/>
  <c r="M707" i="17" s="1"/>
  <c r="M757" i="17" a="1"/>
  <c r="M757" i="17" s="1"/>
  <c r="M807" i="17" a="1"/>
  <c r="M807" i="17" s="1"/>
  <c r="M857" i="17" a="1"/>
  <c r="M857" i="17" s="1"/>
  <c r="M907" i="17" a="1"/>
  <c r="M907" i="17" s="1"/>
  <c r="M957" i="17" a="1"/>
  <c r="M95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20" i="17" a="1"/>
  <c r="M320" i="17" s="1"/>
  <c r="M321" i="17" a="1"/>
  <c r="M321" i="17" s="1"/>
  <c r="M322" i="17" a="1"/>
  <c r="M322" i="17" s="1"/>
  <c r="M458" i="17" a="1"/>
  <c r="M458" i="17" s="1"/>
  <c r="M520" i="17" a="1"/>
  <c r="M520" i="17" s="1"/>
  <c r="M521" i="17" a="1"/>
  <c r="M521" i="17" s="1"/>
  <c r="M522" i="17" a="1"/>
  <c r="M522" i="17" s="1"/>
  <c r="M658" i="17" a="1"/>
  <c r="M658" i="17" s="1"/>
  <c r="M708" i="17" a="1"/>
  <c r="M708" i="17" s="1"/>
  <c r="M758" i="17" a="1"/>
  <c r="M758" i="17" s="1"/>
  <c r="M808" i="17" a="1"/>
  <c r="M808" i="17" s="1"/>
  <c r="M858" i="17" a="1"/>
  <c r="M858" i="17" s="1"/>
  <c r="M908" i="17" a="1"/>
  <c r="M908" i="17" s="1"/>
  <c r="M958" i="17" a="1"/>
  <c r="M95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23" i="17" a="1"/>
  <c r="M323" i="17" s="1"/>
  <c r="M324" i="17" a="1"/>
  <c r="M324" i="17" s="1"/>
  <c r="M325" i="17" a="1"/>
  <c r="M325" i="17" s="1"/>
  <c r="M459" i="17" a="1"/>
  <c r="M459" i="17" s="1"/>
  <c r="M523" i="17" a="1"/>
  <c r="M523" i="17" s="1"/>
  <c r="M524" i="17" a="1"/>
  <c r="M524" i="17" s="1"/>
  <c r="M525" i="17" a="1"/>
  <c r="M525" i="17" s="1"/>
  <c r="M659" i="17" a="1"/>
  <c r="M659" i="17" s="1"/>
  <c r="M709" i="17" a="1"/>
  <c r="M709" i="17" s="1"/>
  <c r="M759" i="17" a="1"/>
  <c r="M759" i="17" s="1"/>
  <c r="M809" i="17" a="1"/>
  <c r="M809" i="17" s="1"/>
  <c r="M859" i="17" a="1"/>
  <c r="M859" i="17" s="1"/>
  <c r="M909" i="17" a="1"/>
  <c r="M909" i="17" s="1"/>
  <c r="M959" i="17" a="1"/>
  <c r="M95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26" i="17" a="1"/>
  <c r="M326" i="17" s="1"/>
  <c r="M327" i="17" a="1"/>
  <c r="M327" i="17" s="1"/>
  <c r="M328" i="17" a="1"/>
  <c r="M328" i="17" s="1"/>
  <c r="M460" i="17" a="1"/>
  <c r="M460" i="17" s="1"/>
  <c r="M526" i="17" a="1"/>
  <c r="M526" i="17" s="1"/>
  <c r="M527" i="17" a="1"/>
  <c r="M527" i="17" s="1"/>
  <c r="M528" i="17" a="1"/>
  <c r="M528" i="17" s="1"/>
  <c r="M660" i="17" a="1"/>
  <c r="M660" i="17"/>
  <c r="M710" i="17" a="1"/>
  <c r="M710" i="17" s="1"/>
  <c r="M760" i="17" a="1"/>
  <c r="M760" i="17" s="1"/>
  <c r="M810" i="17" a="1"/>
  <c r="M810" i="17" s="1"/>
  <c r="M860" i="17" a="1"/>
  <c r="M860" i="17" s="1"/>
  <c r="M910" i="17" a="1"/>
  <c r="M910" i="17" s="1"/>
  <c r="M960" i="17" a="1"/>
  <c r="M96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329" i="17" a="1"/>
  <c r="M329" i="17" s="1"/>
  <c r="M330" i="17" a="1"/>
  <c r="M330" i="17" s="1"/>
  <c r="M331" i="17" a="1"/>
  <c r="M331" i="17" s="1"/>
  <c r="M461" i="17" a="1"/>
  <c r="M461" i="17" s="1"/>
  <c r="M529" i="17" a="1"/>
  <c r="M529" i="17" s="1"/>
  <c r="M530" i="17" a="1"/>
  <c r="M530" i="17" s="1"/>
  <c r="M531" i="17" a="1"/>
  <c r="M531" i="17" s="1"/>
  <c r="M661" i="17" a="1"/>
  <c r="M661" i="17" s="1"/>
  <c r="M711" i="17" a="1"/>
  <c r="M711" i="17" s="1"/>
  <c r="M761" i="17" a="1"/>
  <c r="M761" i="17" s="1"/>
  <c r="M811" i="17" a="1"/>
  <c r="M811" i="17" s="1"/>
  <c r="M861" i="17" a="1"/>
  <c r="M861" i="17" s="1"/>
  <c r="M911" i="17" a="1"/>
  <c r="M911" i="17" s="1"/>
  <c r="M961" i="17" a="1"/>
  <c r="M96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332" i="17" a="1"/>
  <c r="M332" i="17" s="1"/>
  <c r="M333" i="17" a="1"/>
  <c r="M333" i="17" s="1"/>
  <c r="M334" i="17" a="1"/>
  <c r="M334" i="17" s="1"/>
  <c r="M462" i="17" a="1"/>
  <c r="M462" i="17" s="1"/>
  <c r="M532" i="17" a="1"/>
  <c r="M532" i="17" s="1"/>
  <c r="M533" i="17" a="1"/>
  <c r="M533" i="17" s="1"/>
  <c r="M534" i="17" a="1"/>
  <c r="M534" i="17" s="1"/>
  <c r="M662" i="17" a="1"/>
  <c r="M662" i="17" s="1"/>
  <c r="M712" i="17" a="1"/>
  <c r="M712" i="17" s="1"/>
  <c r="M762" i="17" a="1"/>
  <c r="M762" i="17" s="1"/>
  <c r="M812" i="17" a="1"/>
  <c r="M812" i="17" s="1"/>
  <c r="M862" i="17" a="1"/>
  <c r="M862" i="17" s="1"/>
  <c r="M912" i="17" a="1"/>
  <c r="M912" i="17" s="1"/>
  <c r="M962" i="17" a="1"/>
  <c r="M96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335" i="17" a="1"/>
  <c r="M335" i="17" s="1"/>
  <c r="M336" i="17" a="1"/>
  <c r="M336" i="17" s="1"/>
  <c r="M337" i="17" a="1"/>
  <c r="M337" i="17" s="1"/>
  <c r="M463" i="17" a="1"/>
  <c r="M463" i="17" s="1"/>
  <c r="M535" i="17" a="1"/>
  <c r="M535" i="17" s="1"/>
  <c r="M536" i="17" a="1"/>
  <c r="M536" i="17" s="1"/>
  <c r="M537" i="17" a="1"/>
  <c r="M537" i="17" s="1"/>
  <c r="M663" i="17" a="1"/>
  <c r="M663" i="17" s="1"/>
  <c r="M713" i="17" a="1"/>
  <c r="M713" i="17" s="1"/>
  <c r="M763" i="17" a="1"/>
  <c r="M763" i="17" s="1"/>
  <c r="M813" i="17" a="1"/>
  <c r="M813" i="17" s="1"/>
  <c r="M863" i="17" a="1"/>
  <c r="M863" i="17" s="1"/>
  <c r="M913" i="17" a="1"/>
  <c r="M913" i="17" s="1"/>
  <c r="M963" i="17" a="1"/>
  <c r="M96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338" i="17" a="1"/>
  <c r="M338" i="17" s="1"/>
  <c r="M339" i="17" a="1"/>
  <c r="M339" i="17" s="1"/>
  <c r="M340" i="17" a="1"/>
  <c r="M340" i="17" s="1"/>
  <c r="M464" i="17" a="1"/>
  <c r="M464" i="17" s="1"/>
  <c r="M538" i="17" a="1"/>
  <c r="M538" i="17" s="1"/>
  <c r="M539" i="17" a="1"/>
  <c r="M539" i="17" s="1"/>
  <c r="M540" i="17" a="1"/>
  <c r="M540" i="17" s="1"/>
  <c r="M664" i="17" a="1"/>
  <c r="M664" i="17" s="1"/>
  <c r="M714" i="17" a="1"/>
  <c r="M714" i="17" s="1"/>
  <c r="M764" i="17" a="1"/>
  <c r="M764" i="17" s="1"/>
  <c r="M814" i="17" a="1"/>
  <c r="M814" i="17" s="1"/>
  <c r="M864" i="17" a="1"/>
  <c r="M864" i="17" s="1"/>
  <c r="M914" i="17" a="1"/>
  <c r="M914" i="17" s="1"/>
  <c r="M964" i="17" a="1"/>
  <c r="M96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341" i="17" a="1"/>
  <c r="M341" i="17" s="1"/>
  <c r="M342" i="17" a="1"/>
  <c r="M342" i="17" s="1"/>
  <c r="M343" i="17" a="1"/>
  <c r="M343" i="17" s="1"/>
  <c r="M465" i="17" a="1"/>
  <c r="M465" i="17" s="1"/>
  <c r="M541" i="17" a="1"/>
  <c r="M541" i="17" s="1"/>
  <c r="M542" i="17" a="1"/>
  <c r="M542" i="17" s="1"/>
  <c r="M543" i="17" a="1"/>
  <c r="M543" i="17" s="1"/>
  <c r="M665" i="17" a="1"/>
  <c r="M665" i="17" s="1"/>
  <c r="M715" i="17" a="1"/>
  <c r="M715" i="17" s="1"/>
  <c r="M765" i="17" a="1"/>
  <c r="M765" i="17" s="1"/>
  <c r="M815" i="17" a="1"/>
  <c r="M815" i="17" s="1"/>
  <c r="M865" i="17" a="1"/>
  <c r="M865" i="17" s="1"/>
  <c r="M915" i="17" a="1"/>
  <c r="M915" i="17" s="1"/>
  <c r="M965" i="17" a="1"/>
  <c r="M965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344" i="17" a="1"/>
  <c r="M344" i="17" s="1"/>
  <c r="M345" i="17" a="1"/>
  <c r="M345" i="17" s="1"/>
  <c r="M346" i="17" a="1"/>
  <c r="M346" i="17" s="1"/>
  <c r="M466" i="17" a="1"/>
  <c r="M466" i="17" s="1"/>
  <c r="M544" i="17" a="1"/>
  <c r="M544" i="17" s="1"/>
  <c r="M545" i="17" a="1"/>
  <c r="M545" i="17" s="1"/>
  <c r="M546" i="17" a="1"/>
  <c r="M546" i="17" s="1"/>
  <c r="M666" i="17" a="1"/>
  <c r="M666" i="17" s="1"/>
  <c r="M716" i="17" a="1"/>
  <c r="M716" i="17" s="1"/>
  <c r="M766" i="17" a="1"/>
  <c r="M766" i="17" s="1"/>
  <c r="M816" i="17" a="1"/>
  <c r="M816" i="17" s="1"/>
  <c r="M866" i="17" a="1"/>
  <c r="M866" i="17" s="1"/>
  <c r="M916" i="17" a="1"/>
  <c r="M916" i="17" s="1"/>
  <c r="M966" i="17" a="1"/>
  <c r="M96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347" i="17" a="1"/>
  <c r="M347" i="17" s="1"/>
  <c r="M348" i="17" a="1"/>
  <c r="M348" i="17" s="1"/>
  <c r="M349" i="17" a="1"/>
  <c r="M349" i="17" s="1"/>
  <c r="M467" i="17" a="1"/>
  <c r="M467" i="17" s="1"/>
  <c r="M547" i="17" a="1"/>
  <c r="M547" i="17" s="1"/>
  <c r="M548" i="17" a="1"/>
  <c r="M548" i="17" s="1"/>
  <c r="M549" i="17" a="1"/>
  <c r="M549" i="17" s="1"/>
  <c r="M667" i="17" a="1"/>
  <c r="M667" i="17" s="1"/>
  <c r="M717" i="17" a="1"/>
  <c r="M717" i="17" s="1"/>
  <c r="M767" i="17" a="1"/>
  <c r="M767" i="17" s="1"/>
  <c r="M817" i="17" a="1"/>
  <c r="M817" i="17" s="1"/>
  <c r="M867" i="17" a="1"/>
  <c r="M867" i="17" s="1"/>
  <c r="M917" i="17" a="1"/>
  <c r="M917" i="17" s="1"/>
  <c r="M967" i="17" a="1"/>
  <c r="M96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350" i="17" a="1"/>
  <c r="M350" i="17" s="1"/>
  <c r="M351" i="17" a="1"/>
  <c r="M351" i="17" s="1"/>
  <c r="M352" i="17" a="1"/>
  <c r="M352" i="17" s="1"/>
  <c r="M468" i="17" a="1"/>
  <c r="M468" i="17" s="1"/>
  <c r="M550" i="17" a="1"/>
  <c r="M550" i="17" s="1"/>
  <c r="M551" i="17" a="1"/>
  <c r="M551" i="17" s="1"/>
  <c r="M552" i="17" a="1"/>
  <c r="M552" i="17" s="1"/>
  <c r="M668" i="17" a="1"/>
  <c r="M668" i="17" s="1"/>
  <c r="M718" i="17" a="1"/>
  <c r="M718" i="17" s="1"/>
  <c r="M768" i="17" a="1"/>
  <c r="M768" i="17" s="1"/>
  <c r="M818" i="17" a="1"/>
  <c r="M818" i="17" s="1"/>
  <c r="M868" i="17" a="1"/>
  <c r="M868" i="17" s="1"/>
  <c r="M918" i="17" a="1"/>
  <c r="M918" i="17" s="1"/>
  <c r="M968" i="17" a="1"/>
  <c r="M96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353" i="17" a="1"/>
  <c r="M353" i="17" s="1"/>
  <c r="M354" i="17" a="1"/>
  <c r="M354" i="17" s="1"/>
  <c r="M355" i="17" a="1"/>
  <c r="M355" i="17" s="1"/>
  <c r="M469" i="17" a="1"/>
  <c r="M469" i="17" s="1"/>
  <c r="M553" i="17" a="1"/>
  <c r="M553" i="17" s="1"/>
  <c r="M554" i="17" a="1"/>
  <c r="M554" i="17" s="1"/>
  <c r="M555" i="17" a="1"/>
  <c r="M555" i="17" s="1"/>
  <c r="M669" i="17" a="1"/>
  <c r="M669" i="17" s="1"/>
  <c r="M719" i="17" a="1"/>
  <c r="M719" i="17" s="1"/>
  <c r="M769" i="17" a="1"/>
  <c r="M769" i="17" s="1"/>
  <c r="M819" i="17" a="1"/>
  <c r="M819" i="17" s="1"/>
  <c r="M869" i="17" a="1"/>
  <c r="M869" i="17" s="1"/>
  <c r="M919" i="17" a="1"/>
  <c r="M919" i="17" s="1"/>
  <c r="M969" i="17" a="1"/>
  <c r="M96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356" i="17" a="1"/>
  <c r="M356" i="17" s="1"/>
  <c r="M357" i="17" a="1"/>
  <c r="M357" i="17" s="1"/>
  <c r="M358" i="17" a="1"/>
  <c r="M358" i="17" s="1"/>
  <c r="M470" i="17" a="1"/>
  <c r="M470" i="17" s="1"/>
  <c r="M556" i="17" a="1"/>
  <c r="M556" i="17" s="1"/>
  <c r="M557" i="17" a="1"/>
  <c r="M557" i="17" s="1"/>
  <c r="M558" i="17" a="1"/>
  <c r="M558" i="17" s="1"/>
  <c r="M670" i="17" a="1"/>
  <c r="M670" i="17" s="1"/>
  <c r="M720" i="17" a="1"/>
  <c r="M720" i="17" s="1"/>
  <c r="M770" i="17" a="1"/>
  <c r="M770" i="17" s="1"/>
  <c r="M820" i="17" a="1"/>
  <c r="M820" i="17" s="1"/>
  <c r="M870" i="17" a="1"/>
  <c r="M870" i="17" s="1"/>
  <c r="M920" i="17" a="1"/>
  <c r="M920" i="17" s="1"/>
  <c r="M970" i="17" a="1"/>
  <c r="M97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359" i="17" a="1"/>
  <c r="M359" i="17" s="1"/>
  <c r="M360" i="17" a="1"/>
  <c r="M360" i="17" s="1"/>
  <c r="M361" i="17" a="1"/>
  <c r="M361" i="17" s="1"/>
  <c r="M471" i="17" a="1"/>
  <c r="M471" i="17" s="1"/>
  <c r="M559" i="17" a="1"/>
  <c r="M559" i="17" s="1"/>
  <c r="M560" i="17" a="1"/>
  <c r="M560" i="17" s="1"/>
  <c r="M561" i="17" a="1"/>
  <c r="M561" i="17" s="1"/>
  <c r="M671" i="17" a="1"/>
  <c r="M671" i="17" s="1"/>
  <c r="M721" i="17" a="1"/>
  <c r="M721" i="17" s="1"/>
  <c r="M771" i="17" a="1"/>
  <c r="M771" i="17" s="1"/>
  <c r="M821" i="17" a="1"/>
  <c r="M821" i="17" s="1"/>
  <c r="M871" i="17" a="1"/>
  <c r="M871" i="17" s="1"/>
  <c r="M921" i="17" a="1"/>
  <c r="M921" i="17" s="1"/>
  <c r="M971" i="17" a="1"/>
  <c r="M97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362" i="17" a="1"/>
  <c r="M362" i="17" s="1"/>
  <c r="M363" i="17" a="1"/>
  <c r="M363" i="17" s="1"/>
  <c r="M364" i="17" a="1"/>
  <c r="M364" i="17" s="1"/>
  <c r="M472" i="17" a="1"/>
  <c r="M472" i="17" s="1"/>
  <c r="M562" i="17" a="1"/>
  <c r="M562" i="17" s="1"/>
  <c r="M563" i="17" a="1"/>
  <c r="M563" i="17"/>
  <c r="M564" i="17" a="1"/>
  <c r="M564" i="17" s="1"/>
  <c r="M672" i="17" a="1"/>
  <c r="M672" i="17" s="1"/>
  <c r="M722" i="17" a="1"/>
  <c r="M722" i="17" s="1"/>
  <c r="M772" i="17" a="1"/>
  <c r="M772" i="17" s="1"/>
  <c r="M822" i="17" a="1"/>
  <c r="M822" i="17" s="1"/>
  <c r="M872" i="17" a="1"/>
  <c r="M872" i="17" s="1"/>
  <c r="M922" i="17" a="1"/>
  <c r="M922" i="17" s="1"/>
  <c r="M972" i="17" a="1"/>
  <c r="M97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365" i="17" a="1"/>
  <c r="M365" i="17" s="1"/>
  <c r="M366" i="17" a="1"/>
  <c r="M366" i="17" s="1"/>
  <c r="M367" i="17" a="1"/>
  <c r="M367" i="17" s="1"/>
  <c r="M473" i="17" a="1"/>
  <c r="M473" i="17" s="1"/>
  <c r="M565" i="17" a="1"/>
  <c r="M565" i="17" s="1"/>
  <c r="M566" i="17" a="1"/>
  <c r="M566" i="17" s="1"/>
  <c r="M567" i="17" a="1"/>
  <c r="M567" i="17" s="1"/>
  <c r="M673" i="17" a="1"/>
  <c r="M673" i="17" s="1"/>
  <c r="M723" i="17" a="1"/>
  <c r="M723" i="17" s="1"/>
  <c r="M773" i="17" a="1"/>
  <c r="M773" i="17" s="1"/>
  <c r="M823" i="17" a="1"/>
  <c r="M823" i="17" s="1"/>
  <c r="M873" i="17" a="1"/>
  <c r="M873" i="17" s="1"/>
  <c r="M923" i="17" a="1"/>
  <c r="M923" i="17" s="1"/>
  <c r="M973" i="17" a="1"/>
  <c r="M973" i="17" s="1"/>
  <c r="M134" i="17" a="1"/>
  <c r="M134" i="17" s="1"/>
  <c r="M135" i="17" a="1"/>
  <c r="M135" i="17" s="1"/>
  <c r="M136" i="17" a="1"/>
  <c r="M136" i="17" s="1"/>
  <c r="M137" i="17" a="1"/>
  <c r="M137" i="17"/>
  <c r="M138" i="17" a="1"/>
  <c r="M138" i="17" s="1"/>
  <c r="M139" i="17" a="1"/>
  <c r="M139" i="17" s="1"/>
  <c r="M368" i="17" a="1"/>
  <c r="M368" i="17" s="1"/>
  <c r="M369" i="17" a="1"/>
  <c r="M369" i="17" s="1"/>
  <c r="M370" i="17" a="1"/>
  <c r="M370" i="17" s="1"/>
  <c r="M474" i="17" a="1"/>
  <c r="M474" i="17" s="1"/>
  <c r="M568" i="17" a="1"/>
  <c r="M568" i="17" s="1"/>
  <c r="M569" i="17" a="1"/>
  <c r="M569" i="17" s="1"/>
  <c r="M570" i="17" a="1"/>
  <c r="M570" i="17" s="1"/>
  <c r="M674" i="17" a="1"/>
  <c r="M674" i="17" s="1"/>
  <c r="M724" i="17" a="1"/>
  <c r="M724" i="17" s="1"/>
  <c r="M774" i="17" a="1"/>
  <c r="M774" i="17" s="1"/>
  <c r="M824" i="17" a="1"/>
  <c r="M824" i="17" s="1"/>
  <c r="M874" i="17" a="1"/>
  <c r="M874" i="17" s="1"/>
  <c r="M924" i="17" a="1"/>
  <c r="M924" i="17" s="1"/>
  <c r="M974" i="17" a="1"/>
  <c r="M974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371" i="17" a="1"/>
  <c r="M371" i="17" s="1"/>
  <c r="M372" i="17" a="1"/>
  <c r="M372" i="17" s="1"/>
  <c r="M373" i="17" a="1"/>
  <c r="M373" i="17" s="1"/>
  <c r="M475" i="17" a="1"/>
  <c r="M475" i="17" s="1"/>
  <c r="M571" i="17" a="1"/>
  <c r="M571" i="17" s="1"/>
  <c r="M572" i="17" a="1"/>
  <c r="M572" i="17" s="1"/>
  <c r="M573" i="17" a="1"/>
  <c r="M573" i="17" s="1"/>
  <c r="M675" i="17" a="1"/>
  <c r="M675" i="17" s="1"/>
  <c r="M725" i="17" a="1"/>
  <c r="M725" i="17" s="1"/>
  <c r="M775" i="17" a="1"/>
  <c r="M775" i="17"/>
  <c r="M825" i="17" a="1"/>
  <c r="M825" i="17" s="1"/>
  <c r="M875" i="17" a="1"/>
  <c r="M875" i="17" s="1"/>
  <c r="M925" i="17" a="1"/>
  <c r="M925" i="17" s="1"/>
  <c r="M975" i="17" a="1"/>
  <c r="M97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374" i="17" a="1"/>
  <c r="M374" i="17" s="1"/>
  <c r="M375" i="17" a="1"/>
  <c r="M375" i="17" s="1"/>
  <c r="M376" i="17" a="1"/>
  <c r="M376" i="17" s="1"/>
  <c r="M476" i="17" a="1"/>
  <c r="M476" i="17" s="1"/>
  <c r="M574" i="17" a="1"/>
  <c r="M574" i="17" s="1"/>
  <c r="M575" i="17" a="1"/>
  <c r="M575" i="17" s="1"/>
  <c r="M576" i="17" a="1"/>
  <c r="M576" i="17" s="1"/>
  <c r="M676" i="17" a="1"/>
  <c r="M676" i="17" s="1"/>
  <c r="M726" i="17" a="1"/>
  <c r="M726" i="17" s="1"/>
  <c r="M776" i="17" a="1"/>
  <c r="M776" i="17" s="1"/>
  <c r="M826" i="17" a="1"/>
  <c r="M826" i="17" s="1"/>
  <c r="M876" i="17" a="1"/>
  <c r="M876" i="17" s="1"/>
  <c r="M926" i="17" a="1"/>
  <c r="M926" i="17" s="1"/>
  <c r="M976" i="17" a="1"/>
  <c r="M976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377" i="17" a="1"/>
  <c r="M377" i="17" s="1"/>
  <c r="M378" i="17" a="1"/>
  <c r="M378" i="17" s="1"/>
  <c r="M379" i="17" a="1"/>
  <c r="M379" i="17" s="1"/>
  <c r="M477" i="17" a="1"/>
  <c r="M477" i="17" s="1"/>
  <c r="M577" i="17" a="1"/>
  <c r="M577" i="17" s="1"/>
  <c r="M578" i="17" a="1"/>
  <c r="M578" i="17" s="1"/>
  <c r="M579" i="17" a="1"/>
  <c r="M579" i="17" s="1"/>
  <c r="M677" i="17" a="1"/>
  <c r="M677" i="17" s="1"/>
  <c r="M727" i="17" a="1"/>
  <c r="M727" i="17" s="1"/>
  <c r="M777" i="17" a="1"/>
  <c r="M777" i="17" s="1"/>
  <c r="M827" i="17" a="1"/>
  <c r="M827" i="17" s="1"/>
  <c r="M877" i="17" a="1"/>
  <c r="M877" i="17" s="1"/>
  <c r="M927" i="17" a="1"/>
  <c r="M927" i="17" s="1"/>
  <c r="M977" i="17" a="1"/>
  <c r="M97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380" i="17" a="1"/>
  <c r="M380" i="17" s="1"/>
  <c r="M381" i="17" a="1"/>
  <c r="M381" i="17" s="1"/>
  <c r="M382" i="17" a="1"/>
  <c r="M382" i="17" s="1"/>
  <c r="M478" i="17" a="1"/>
  <c r="M478" i="17" s="1"/>
  <c r="M580" i="17" a="1"/>
  <c r="M580" i="17" s="1"/>
  <c r="M581" i="17" a="1"/>
  <c r="M581" i="17" s="1"/>
  <c r="M582" i="17" a="1"/>
  <c r="M582" i="17" s="1"/>
  <c r="M678" i="17" a="1"/>
  <c r="M678" i="17" s="1"/>
  <c r="M728" i="17" a="1"/>
  <c r="M728" i="17" s="1"/>
  <c r="M778" i="17" a="1"/>
  <c r="M778" i="17" s="1"/>
  <c r="M828" i="17" a="1"/>
  <c r="M828" i="17" s="1"/>
  <c r="M878" i="17" a="1"/>
  <c r="M878" i="17" s="1"/>
  <c r="M928" i="17" a="1"/>
  <c r="M928" i="17" s="1"/>
  <c r="M978" i="17" a="1"/>
  <c r="M97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383" i="17" a="1"/>
  <c r="M383" i="17" s="1"/>
  <c r="M384" i="17" a="1"/>
  <c r="M384" i="17" s="1"/>
  <c r="M385" i="17" a="1"/>
  <c r="M385" i="17" s="1"/>
  <c r="M479" i="17" a="1"/>
  <c r="M479" i="17" s="1"/>
  <c r="M583" i="17" a="1"/>
  <c r="M583" i="17" s="1"/>
  <c r="M584" i="17" a="1"/>
  <c r="M584" i="17" s="1"/>
  <c r="M585" i="17" a="1"/>
  <c r="M585" i="17" s="1"/>
  <c r="M679" i="17" a="1"/>
  <c r="M679" i="17" s="1"/>
  <c r="M729" i="17" a="1"/>
  <c r="M729" i="17" s="1"/>
  <c r="M779" i="17" a="1"/>
  <c r="M779" i="17" s="1"/>
  <c r="M829" i="17" a="1"/>
  <c r="M829" i="17" s="1"/>
  <c r="M879" i="17" a="1"/>
  <c r="M879" i="17" s="1"/>
  <c r="M929" i="17" a="1"/>
  <c r="M929" i="17" s="1"/>
  <c r="M979" i="17" a="1"/>
  <c r="M97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386" i="17" a="1"/>
  <c r="M386" i="17" s="1"/>
  <c r="M387" i="17" a="1"/>
  <c r="M387" i="17" s="1"/>
  <c r="M388" i="17" a="1"/>
  <c r="M388" i="17" s="1"/>
  <c r="M480" i="17" a="1"/>
  <c r="M480" i="17" s="1"/>
  <c r="M586" i="17" a="1"/>
  <c r="M586" i="17" s="1"/>
  <c r="M587" i="17" a="1"/>
  <c r="M587" i="17" s="1"/>
  <c r="M588" i="17" a="1"/>
  <c r="M588" i="17" s="1"/>
  <c r="M680" i="17" a="1"/>
  <c r="M680" i="17" s="1"/>
  <c r="M730" i="17" a="1"/>
  <c r="M730" i="17" s="1"/>
  <c r="M780" i="17" a="1"/>
  <c r="M780" i="17" s="1"/>
  <c r="M830" i="17" a="1"/>
  <c r="M830" i="17" s="1"/>
  <c r="M880" i="17" a="1"/>
  <c r="M880" i="17" s="1"/>
  <c r="M930" i="17" a="1"/>
  <c r="M930" i="17" s="1"/>
  <c r="M980" i="17" a="1"/>
  <c r="M980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389" i="17" a="1"/>
  <c r="M389" i="17" s="1"/>
  <c r="M390" i="17" a="1"/>
  <c r="M390" i="17" s="1"/>
  <c r="M391" i="17" a="1"/>
  <c r="M391" i="17" s="1"/>
  <c r="M481" i="17" a="1"/>
  <c r="M481" i="17" s="1"/>
  <c r="M589" i="17" a="1"/>
  <c r="M589" i="17" s="1"/>
  <c r="M590" i="17" a="1"/>
  <c r="M590" i="17" s="1"/>
  <c r="M591" i="17" a="1"/>
  <c r="M591" i="17" s="1"/>
  <c r="M681" i="17" a="1"/>
  <c r="M681" i="17" s="1"/>
  <c r="M731" i="17" a="1"/>
  <c r="M731" i="17" s="1"/>
  <c r="M781" i="17" a="1"/>
  <c r="M781" i="17" s="1"/>
  <c r="M831" i="17" a="1"/>
  <c r="M831" i="17" s="1"/>
  <c r="M881" i="17" a="1"/>
  <c r="M881" i="17" s="1"/>
  <c r="M931" i="17" a="1"/>
  <c r="M931" i="17" s="1"/>
  <c r="M981" i="17" a="1"/>
  <c r="M981" i="17" s="1"/>
  <c r="M182" i="17" a="1"/>
  <c r="M182" i="17" s="1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 s="1"/>
  <c r="M392" i="17" a="1"/>
  <c r="M392" i="17" s="1"/>
  <c r="M393" i="17" a="1"/>
  <c r="M393" i="17" s="1"/>
  <c r="M394" i="17" a="1"/>
  <c r="M394" i="17" s="1"/>
  <c r="M482" i="17" a="1"/>
  <c r="M482" i="17" s="1"/>
  <c r="M592" i="17" a="1"/>
  <c r="M592" i="17" s="1"/>
  <c r="M593" i="17" a="1"/>
  <c r="M593" i="17" s="1"/>
  <c r="M594" i="17" a="1"/>
  <c r="M594" i="17" s="1"/>
  <c r="M682" i="17" a="1"/>
  <c r="M682" i="17" s="1"/>
  <c r="M732" i="17" a="1"/>
  <c r="M732" i="17" s="1"/>
  <c r="M782" i="17" a="1"/>
  <c r="M782" i="17" s="1"/>
  <c r="M832" i="17" a="1"/>
  <c r="M832" i="17" s="1"/>
  <c r="M882" i="17" a="1"/>
  <c r="M882" i="17" s="1"/>
  <c r="M932" i="17" a="1"/>
  <c r="M932" i="17" s="1"/>
  <c r="M982" i="17" a="1"/>
  <c r="M982" i="17" s="1"/>
  <c r="M188" i="17" a="1"/>
  <c r="M188" i="17" s="1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 s="1"/>
  <c r="M395" i="17" a="1"/>
  <c r="M395" i="17" s="1"/>
  <c r="M396" i="17" a="1"/>
  <c r="M396" i="17" s="1"/>
  <c r="M397" i="17" a="1"/>
  <c r="M397" i="17" s="1"/>
  <c r="M483" i="17" a="1"/>
  <c r="M483" i="17" s="1"/>
  <c r="M595" i="17" a="1"/>
  <c r="M595" i="17" s="1"/>
  <c r="M596" i="17" a="1"/>
  <c r="M596" i="17" s="1"/>
  <c r="M597" i="17" a="1"/>
  <c r="M597" i="17" s="1"/>
  <c r="M683" i="17" a="1"/>
  <c r="M683" i="17" s="1"/>
  <c r="M733" i="17" a="1"/>
  <c r="M733" i="17" s="1"/>
  <c r="M783" i="17" a="1"/>
  <c r="M783" i="17" s="1"/>
  <c r="M833" i="17" a="1"/>
  <c r="M833" i="17" s="1"/>
  <c r="M883" i="17" a="1"/>
  <c r="M883" i="17" s="1"/>
  <c r="M933" i="17" a="1"/>
  <c r="M933" i="17" s="1"/>
  <c r="M983" i="17" a="1"/>
  <c r="M983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 s="1"/>
  <c r="M398" i="17" a="1"/>
  <c r="M398" i="17" s="1"/>
  <c r="M399" i="17" a="1"/>
  <c r="M399" i="17" s="1"/>
  <c r="M400" i="17" a="1"/>
  <c r="M400" i="17" s="1"/>
  <c r="M484" i="17" a="1"/>
  <c r="M484" i="17" s="1"/>
  <c r="M598" i="17" a="1"/>
  <c r="M598" i="17" s="1"/>
  <c r="M599" i="17" a="1"/>
  <c r="M599" i="17" s="1"/>
  <c r="M600" i="17" a="1"/>
  <c r="M600" i="17" s="1"/>
  <c r="M684" i="17" a="1"/>
  <c r="M684" i="17" s="1"/>
  <c r="M734" i="17" a="1"/>
  <c r="M734" i="17" s="1"/>
  <c r="M784" i="17" a="1"/>
  <c r="M784" i="17" s="1"/>
  <c r="M834" i="17" a="1"/>
  <c r="M834" i="17" s="1"/>
  <c r="M884" i="17" a="1"/>
  <c r="M884" i="17" s="1"/>
  <c r="M934" i="17" a="1"/>
  <c r="M934" i="17" s="1"/>
  <c r="M984" i="17" a="1"/>
  <c r="M984" i="17" s="1"/>
  <c r="M200" i="17" a="1"/>
  <c r="M200" i="17" s="1"/>
  <c r="M201" i="17" a="1"/>
  <c r="M201" i="17" s="1"/>
  <c r="M202" i="17" a="1"/>
  <c r="M202" i="17" s="1"/>
  <c r="M203" i="17" a="1"/>
  <c r="M203" i="17" s="1"/>
  <c r="M204" i="17" a="1"/>
  <c r="M204" i="17" s="1"/>
  <c r="M205" i="17" a="1"/>
  <c r="M205" i="17" s="1"/>
  <c r="M401" i="17" a="1"/>
  <c r="M401" i="17" s="1"/>
  <c r="M402" i="17" a="1"/>
  <c r="M402" i="17" s="1"/>
  <c r="M403" i="17" a="1"/>
  <c r="M403" i="17" s="1"/>
  <c r="M485" i="17" a="1"/>
  <c r="M485" i="17" s="1"/>
  <c r="M601" i="17" a="1"/>
  <c r="M601" i="17" s="1"/>
  <c r="M602" i="17" a="1"/>
  <c r="M602" i="17" s="1"/>
  <c r="M603" i="17" a="1"/>
  <c r="M603" i="17" s="1"/>
  <c r="M685" i="17" a="1"/>
  <c r="M685" i="17" s="1"/>
  <c r="M735" i="17" a="1"/>
  <c r="M735" i="17" s="1"/>
  <c r="M785" i="17" a="1"/>
  <c r="M785" i="17" s="1"/>
  <c r="M835" i="17" a="1"/>
  <c r="M835" i="17" s="1"/>
  <c r="M885" i="17" a="1"/>
  <c r="M885" i="17" s="1"/>
  <c r="M935" i="17" a="1"/>
  <c r="M935" i="17" s="1"/>
  <c r="M985" i="17" a="1"/>
  <c r="M985" i="17" s="1"/>
  <c r="M206" i="17" a="1"/>
  <c r="M206" i="17" s="1"/>
  <c r="M207" i="17" a="1"/>
  <c r="M207" i="17" s="1"/>
  <c r="M208" i="17" a="1"/>
  <c r="M208" i="17" s="1"/>
  <c r="M209" i="17" a="1"/>
  <c r="M209" i="17" s="1"/>
  <c r="M210" i="17" a="1"/>
  <c r="M210" i="17" s="1"/>
  <c r="M211" i="17" a="1"/>
  <c r="M211" i="17" s="1"/>
  <c r="M404" i="17" a="1"/>
  <c r="M404" i="17" s="1"/>
  <c r="M405" i="17" a="1"/>
  <c r="M405" i="17" s="1"/>
  <c r="M406" i="17" a="1"/>
  <c r="M406" i="17" s="1"/>
  <c r="M486" i="17" a="1"/>
  <c r="M486" i="17" s="1"/>
  <c r="M604" i="17" a="1"/>
  <c r="M604" i="17" s="1"/>
  <c r="M605" i="17" a="1"/>
  <c r="M605" i="17" s="1"/>
  <c r="M606" i="17" a="1"/>
  <c r="M606" i="17" s="1"/>
  <c r="M686" i="17" a="1"/>
  <c r="M686" i="17" s="1"/>
  <c r="M736" i="17" a="1"/>
  <c r="M736" i="17" s="1"/>
  <c r="M786" i="17" a="1"/>
  <c r="M786" i="17" s="1"/>
  <c r="M836" i="17" a="1"/>
  <c r="M836" i="17" s="1"/>
  <c r="M886" i="17" a="1"/>
  <c r="M886" i="17" s="1"/>
  <c r="M936" i="17" a="1"/>
  <c r="M936" i="17" s="1"/>
  <c r="M986" i="17" a="1"/>
  <c r="M986" i="17" s="1"/>
  <c r="M212" i="17" a="1"/>
  <c r="M212" i="17" s="1"/>
  <c r="M213" i="17" a="1"/>
  <c r="M213" i="17" s="1"/>
  <c r="M214" i="17" a="1"/>
  <c r="M214" i="17" s="1"/>
  <c r="M215" i="17" a="1"/>
  <c r="M215" i="17" s="1"/>
  <c r="M216" i="17" a="1"/>
  <c r="M216" i="17" s="1"/>
  <c r="M217" i="17" a="1"/>
  <c r="M217" i="17" s="1"/>
  <c r="M407" i="17" a="1"/>
  <c r="M407" i="17" s="1"/>
  <c r="M408" i="17" a="1"/>
  <c r="M408" i="17" s="1"/>
  <c r="M409" i="17" a="1"/>
  <c r="M409" i="17" s="1"/>
  <c r="M487" i="17" a="1"/>
  <c r="M487" i="17" s="1"/>
  <c r="M607" i="17" a="1"/>
  <c r="M607" i="17" s="1"/>
  <c r="M608" i="17" a="1"/>
  <c r="M608" i="17" s="1"/>
  <c r="M609" i="17" a="1"/>
  <c r="M609" i="17" s="1"/>
  <c r="M687" i="17" a="1"/>
  <c r="M687" i="17" s="1"/>
  <c r="M737" i="17" a="1"/>
  <c r="M737" i="17" s="1"/>
  <c r="M787" i="17" a="1"/>
  <c r="M787" i="17" s="1"/>
  <c r="M837" i="17" a="1"/>
  <c r="M837" i="17" s="1"/>
  <c r="M887" i="17" a="1"/>
  <c r="M887" i="17" s="1"/>
  <c r="M937" i="17" a="1"/>
  <c r="M937" i="17" s="1"/>
  <c r="M987" i="17" a="1"/>
  <c r="M987" i="17" s="1"/>
  <c r="M218" i="17" a="1"/>
  <c r="M218" i="17" s="1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410" i="17" a="1"/>
  <c r="M410" i="17" s="1"/>
  <c r="M411" i="17" a="1"/>
  <c r="M411" i="17" s="1"/>
  <c r="M412" i="17" a="1"/>
  <c r="M412" i="17" s="1"/>
  <c r="M488" i="17" a="1"/>
  <c r="M488" i="17" s="1"/>
  <c r="M610" i="17" a="1"/>
  <c r="M610" i="17" s="1"/>
  <c r="M611" i="17" a="1"/>
  <c r="M611" i="17" s="1"/>
  <c r="M612" i="17" a="1"/>
  <c r="M612" i="17" s="1"/>
  <c r="M688" i="17" a="1"/>
  <c r="M688" i="17" s="1"/>
  <c r="M738" i="17" a="1"/>
  <c r="M738" i="17" s="1"/>
  <c r="M788" i="17" a="1"/>
  <c r="M788" i="17" s="1"/>
  <c r="M838" i="17" a="1"/>
  <c r="M838" i="17" s="1"/>
  <c r="M888" i="17" a="1"/>
  <c r="M888" i="17" s="1"/>
  <c r="M938" i="17" a="1"/>
  <c r="M938" i="17" s="1"/>
  <c r="M988" i="17" a="1"/>
  <c r="M988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413" i="17" a="1"/>
  <c r="M413" i="17" s="1"/>
  <c r="M414" i="17" a="1"/>
  <c r="M414" i="17" s="1"/>
  <c r="M415" i="17" a="1"/>
  <c r="M415" i="17" s="1"/>
  <c r="M489" i="17" a="1"/>
  <c r="M489" i="17" s="1"/>
  <c r="M613" i="17" a="1"/>
  <c r="M613" i="17" s="1"/>
  <c r="M614" i="17" a="1"/>
  <c r="M614" i="17" s="1"/>
  <c r="M615" i="17" a="1"/>
  <c r="M615" i="17" s="1"/>
  <c r="M689" i="17" a="1"/>
  <c r="M689" i="17" s="1"/>
  <c r="M739" i="17" a="1"/>
  <c r="M739" i="17" s="1"/>
  <c r="M789" i="17" a="1"/>
  <c r="M789" i="17" s="1"/>
  <c r="M839" i="17" a="1"/>
  <c r="M839" i="17" s="1"/>
  <c r="M889" i="17" a="1"/>
  <c r="M889" i="17" s="1"/>
  <c r="M939" i="17" a="1"/>
  <c r="M939" i="17" s="1"/>
  <c r="M989" i="17" a="1"/>
  <c r="M989" i="17" s="1"/>
  <c r="M230" i="17" a="1"/>
  <c r="M230" i="17" s="1"/>
  <c r="M231" i="17" a="1"/>
  <c r="M231" i="17" s="1"/>
  <c r="M232" i="17" a="1"/>
  <c r="M232" i="17" s="1"/>
  <c r="M233" i="17" a="1"/>
  <c r="M233" i="17" s="1"/>
  <c r="M234" i="17" a="1"/>
  <c r="M234" i="17" s="1"/>
  <c r="M235" i="17" a="1"/>
  <c r="M235" i="17" s="1"/>
  <c r="M416" i="17" a="1"/>
  <c r="M416" i="17" s="1"/>
  <c r="M417" i="17" a="1"/>
  <c r="M417" i="17" s="1"/>
  <c r="M418" i="17" a="1"/>
  <c r="M418" i="17" s="1"/>
  <c r="M490" i="17" a="1"/>
  <c r="M490" i="17" s="1"/>
  <c r="M616" i="17" a="1"/>
  <c r="M616" i="17" s="1"/>
  <c r="M617" i="17" a="1"/>
  <c r="M617" i="17" s="1"/>
  <c r="M618" i="17" a="1"/>
  <c r="M618" i="17" s="1"/>
  <c r="M690" i="17" a="1"/>
  <c r="M690" i="17" s="1"/>
  <c r="M740" i="17" a="1"/>
  <c r="M740" i="17" s="1"/>
  <c r="M790" i="17" a="1"/>
  <c r="M790" i="17" s="1"/>
  <c r="M840" i="17" a="1"/>
  <c r="M840" i="17" s="1"/>
  <c r="M890" i="17" a="1"/>
  <c r="M890" i="17" s="1"/>
  <c r="M940" i="17" a="1"/>
  <c r="M940" i="17" s="1"/>
  <c r="M990" i="17" a="1"/>
  <c r="M990" i="17" s="1"/>
  <c r="M236" i="17" a="1"/>
  <c r="M236" i="17" s="1"/>
  <c r="M237" i="17" a="1"/>
  <c r="M237" i="17" s="1"/>
  <c r="M238" i="17" a="1"/>
  <c r="M238" i="17" s="1"/>
  <c r="M239" i="17" a="1"/>
  <c r="M239" i="17" s="1"/>
  <c r="M240" i="17" a="1"/>
  <c r="M240" i="17" s="1"/>
  <c r="M241" i="17" a="1"/>
  <c r="M241" i="17" s="1"/>
  <c r="M419" i="17" a="1"/>
  <c r="M419" i="17" s="1"/>
  <c r="M420" i="17" a="1"/>
  <c r="M420" i="17" s="1"/>
  <c r="M421" i="17" a="1"/>
  <c r="M421" i="17" s="1"/>
  <c r="M491" i="17" a="1"/>
  <c r="M491" i="17" s="1"/>
  <c r="M619" i="17" a="1"/>
  <c r="M619" i="17" s="1"/>
  <c r="M620" i="17" a="1"/>
  <c r="M620" i="17" s="1"/>
  <c r="M621" i="17" a="1"/>
  <c r="M621" i="17" s="1"/>
  <c r="M691" i="17" a="1"/>
  <c r="M691" i="17" s="1"/>
  <c r="M741" i="17" a="1"/>
  <c r="M741" i="17" s="1"/>
  <c r="M791" i="17" a="1"/>
  <c r="M791" i="17" s="1"/>
  <c r="M841" i="17" a="1"/>
  <c r="M841" i="17" s="1"/>
  <c r="M891" i="17" a="1"/>
  <c r="M891" i="17" s="1"/>
  <c r="M941" i="17" a="1"/>
  <c r="M941" i="17" s="1"/>
  <c r="M991" i="17" a="1"/>
  <c r="M991" i="17" s="1"/>
  <c r="M242" i="17" a="1"/>
  <c r="M242" i="17" s="1"/>
  <c r="M243" i="17" a="1"/>
  <c r="M243" i="17" s="1"/>
  <c r="M244" i="17" a="1"/>
  <c r="M244" i="17" s="1"/>
  <c r="M245" i="17" a="1"/>
  <c r="M245" i="17" s="1"/>
  <c r="M246" i="17" a="1"/>
  <c r="M246" i="17" s="1"/>
  <c r="M247" i="17" a="1"/>
  <c r="M247" i="17" s="1"/>
  <c r="M422" i="17" a="1"/>
  <c r="M422" i="17" s="1"/>
  <c r="M423" i="17" a="1"/>
  <c r="M423" i="17" s="1"/>
  <c r="M424" i="17" a="1"/>
  <c r="M424" i="17" s="1"/>
  <c r="M492" i="17" a="1"/>
  <c r="M492" i="17" s="1"/>
  <c r="M622" i="17" a="1"/>
  <c r="M622" i="17" s="1"/>
  <c r="M623" i="17" a="1"/>
  <c r="M623" i="17" s="1"/>
  <c r="M624" i="17" a="1"/>
  <c r="M624" i="17" s="1"/>
  <c r="M692" i="17" a="1"/>
  <c r="M692" i="17" s="1"/>
  <c r="M742" i="17" a="1"/>
  <c r="M742" i="17" s="1"/>
  <c r="M792" i="17" a="1"/>
  <c r="M792" i="17" s="1"/>
  <c r="M842" i="17" a="1"/>
  <c r="M842" i="17" s="1"/>
  <c r="M892" i="17" a="1"/>
  <c r="M892" i="17" s="1"/>
  <c r="M942" i="17" a="1"/>
  <c r="M942" i="17" s="1"/>
  <c r="M992" i="17" a="1"/>
  <c r="M992" i="17" s="1"/>
  <c r="M248" i="17" a="1"/>
  <c r="M248" i="17" s="1"/>
  <c r="M249" i="17" a="1"/>
  <c r="M249" i="17" s="1"/>
  <c r="M250" i="17" a="1"/>
  <c r="M250" i="17" s="1"/>
  <c r="M251" i="17" a="1"/>
  <c r="M251" i="17" s="1"/>
  <c r="M252" i="17" a="1"/>
  <c r="M252" i="17" s="1"/>
  <c r="M253" i="17" a="1"/>
  <c r="M253" i="17" s="1"/>
  <c r="M425" i="17" a="1"/>
  <c r="M425" i="17" s="1"/>
  <c r="M426" i="17" a="1"/>
  <c r="M426" i="17" s="1"/>
  <c r="M427" i="17" a="1"/>
  <c r="M427" i="17" s="1"/>
  <c r="M493" i="17" a="1"/>
  <c r="M493" i="17" s="1"/>
  <c r="M625" i="17" a="1"/>
  <c r="M625" i="17" s="1"/>
  <c r="M626" i="17" a="1"/>
  <c r="M626" i="17" s="1"/>
  <c r="M627" i="17" a="1"/>
  <c r="M627" i="17"/>
  <c r="M693" i="17" a="1"/>
  <c r="M693" i="17" s="1"/>
  <c r="M743" i="17" a="1"/>
  <c r="M743" i="17" s="1"/>
  <c r="M793" i="17" a="1"/>
  <c r="M793" i="17" s="1"/>
  <c r="M843" i="17" a="1"/>
  <c r="M843" i="17" s="1"/>
  <c r="M893" i="17" a="1"/>
  <c r="M893" i="17" s="1"/>
  <c r="M943" i="17" a="1"/>
  <c r="M943" i="17" s="1"/>
  <c r="M993" i="17" a="1"/>
  <c r="M993" i="17" s="1"/>
  <c r="M254" i="17" a="1"/>
  <c r="M254" i="17" s="1"/>
  <c r="M255" i="17" a="1"/>
  <c r="M255" i="17" s="1"/>
  <c r="M256" i="17" a="1"/>
  <c r="M256" i="17" s="1"/>
  <c r="M257" i="17" a="1"/>
  <c r="M257" i="17" s="1"/>
  <c r="M258" i="17" a="1"/>
  <c r="M258" i="17" s="1"/>
  <c r="M259" i="17" a="1"/>
  <c r="M259" i="17" s="1"/>
  <c r="M428" i="17" a="1"/>
  <c r="M428" i="17" s="1"/>
  <c r="M429" i="17" a="1"/>
  <c r="M429" i="17" s="1"/>
  <c r="M430" i="17" a="1"/>
  <c r="M430" i="17" s="1"/>
  <c r="M494" i="17" a="1"/>
  <c r="M494" i="17" s="1"/>
  <c r="M628" i="17" a="1"/>
  <c r="M628" i="17" s="1"/>
  <c r="M629" i="17" a="1"/>
  <c r="M629" i="17" s="1"/>
  <c r="M630" i="17" a="1"/>
  <c r="M630" i="17" s="1"/>
  <c r="M694" i="17" a="1"/>
  <c r="M694" i="17" s="1"/>
  <c r="M744" i="17" a="1"/>
  <c r="M744" i="17" s="1"/>
  <c r="M794" i="17" a="1"/>
  <c r="M794" i="17" s="1"/>
  <c r="M844" i="17" a="1"/>
  <c r="M844" i="17" s="1"/>
  <c r="M894" i="17" a="1"/>
  <c r="M894" i="17" s="1"/>
  <c r="M944" i="17" a="1"/>
  <c r="M944" i="17" s="1"/>
  <c r="M994" i="17" a="1"/>
  <c r="M994" i="17" s="1"/>
  <c r="M260" i="17" a="1"/>
  <c r="M260" i="17" s="1"/>
  <c r="M261" i="17" a="1"/>
  <c r="M261" i="17" s="1"/>
  <c r="M262" i="17" a="1"/>
  <c r="M262" i="17" s="1"/>
  <c r="M263" i="17" a="1"/>
  <c r="M263" i="17" s="1"/>
  <c r="M264" i="17" a="1"/>
  <c r="M264" i="17"/>
  <c r="M265" i="17" a="1"/>
  <c r="M265" i="17" s="1"/>
  <c r="M431" i="17" a="1"/>
  <c r="M431" i="17" s="1"/>
  <c r="M432" i="17" a="1"/>
  <c r="M432" i="17" s="1"/>
  <c r="M433" i="17" a="1"/>
  <c r="M433" i="17" s="1"/>
  <c r="M495" i="17" a="1"/>
  <c r="M495" i="17" s="1"/>
  <c r="M631" i="17" a="1"/>
  <c r="M631" i="17" s="1"/>
  <c r="M632" i="17" a="1"/>
  <c r="M632" i="17" s="1"/>
  <c r="M633" i="17" a="1"/>
  <c r="M633" i="17" s="1"/>
  <c r="M695" i="17" a="1"/>
  <c r="M695" i="17" s="1"/>
  <c r="M745" i="17" a="1"/>
  <c r="M745" i="17" s="1"/>
  <c r="M795" i="17" a="1"/>
  <c r="M795" i="17" s="1"/>
  <c r="M845" i="17" a="1"/>
  <c r="M845" i="17" s="1"/>
  <c r="M895" i="17" a="1"/>
  <c r="M895" i="17" s="1"/>
  <c r="M945" i="17" a="1"/>
  <c r="M945" i="17" s="1"/>
  <c r="M995" i="17" a="1"/>
  <c r="M995" i="17" s="1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 s="1"/>
  <c r="M271" i="17" a="1"/>
  <c r="M271" i="17" s="1"/>
  <c r="M434" i="17" a="1"/>
  <c r="M434" i="17" s="1"/>
  <c r="M435" i="17" a="1"/>
  <c r="M435" i="17" s="1"/>
  <c r="M436" i="17" a="1"/>
  <c r="M436" i="17" s="1"/>
  <c r="M496" i="17" a="1"/>
  <c r="M496" i="17" s="1"/>
  <c r="M634" i="17" a="1"/>
  <c r="M634" i="17" s="1"/>
  <c r="M635" i="17" a="1"/>
  <c r="M635" i="17" s="1"/>
  <c r="M636" i="17" a="1"/>
  <c r="M636" i="17" s="1"/>
  <c r="M696" i="17" a="1"/>
  <c r="M696" i="17" s="1"/>
  <c r="M746" i="17" a="1"/>
  <c r="M746" i="17" s="1"/>
  <c r="M796" i="17" a="1"/>
  <c r="M796" i="17" s="1"/>
  <c r="M846" i="17" a="1"/>
  <c r="M846" i="17"/>
  <c r="M896" i="17" a="1"/>
  <c r="M896" i="17" s="1"/>
  <c r="M946" i="17" a="1"/>
  <c r="M946" i="17" s="1"/>
  <c r="M996" i="17" a="1"/>
  <c r="M996" i="17" s="1"/>
  <c r="M272" i="17" a="1"/>
  <c r="M272" i="17" s="1"/>
  <c r="M273" i="17" a="1"/>
  <c r="M273" i="17" s="1"/>
  <c r="M274" i="17" a="1"/>
  <c r="M274" i="17" s="1"/>
  <c r="M275" i="17" a="1"/>
  <c r="M275" i="17" s="1"/>
  <c r="M276" i="17" a="1"/>
  <c r="M276" i="17" s="1"/>
  <c r="M277" i="17" a="1"/>
  <c r="M277" i="17" s="1"/>
  <c r="M437" i="17" a="1"/>
  <c r="M437" i="17" s="1"/>
  <c r="M438" i="17" a="1"/>
  <c r="M438" i="17" s="1"/>
  <c r="M439" i="17" a="1"/>
  <c r="M439" i="17" s="1"/>
  <c r="M497" i="17" a="1"/>
  <c r="M497" i="17" s="1"/>
  <c r="M637" i="17" a="1"/>
  <c r="M637" i="17" s="1"/>
  <c r="M638" i="17" a="1"/>
  <c r="M638" i="17" s="1"/>
  <c r="M639" i="17" a="1"/>
  <c r="M639" i="17" s="1"/>
  <c r="M697" i="17" a="1"/>
  <c r="M697" i="17" s="1"/>
  <c r="M747" i="17" a="1"/>
  <c r="M747" i="17" s="1"/>
  <c r="M797" i="17" a="1"/>
  <c r="M797" i="17" s="1"/>
  <c r="M847" i="17" a="1"/>
  <c r="M847" i="17" s="1"/>
  <c r="M897" i="17" a="1"/>
  <c r="M897" i="17" s="1"/>
  <c r="M947" i="17" a="1"/>
  <c r="M947" i="17" s="1"/>
  <c r="M997" i="17" a="1"/>
  <c r="M997" i="17" s="1"/>
  <c r="M278" i="17" a="1"/>
  <c r="M278" i="17" s="1"/>
  <c r="M279" i="17" a="1"/>
  <c r="M279" i="17" s="1"/>
  <c r="M280" i="17" a="1"/>
  <c r="M280" i="17" s="1"/>
  <c r="M281" i="17" a="1"/>
  <c r="M281" i="17" s="1"/>
  <c r="M282" i="17" a="1"/>
  <c r="M282" i="17" s="1"/>
  <c r="M283" i="17" a="1"/>
  <c r="M283" i="17" s="1"/>
  <c r="M440" i="17" a="1"/>
  <c r="M440" i="17" s="1"/>
  <c r="M441" i="17" a="1"/>
  <c r="M441" i="17" s="1"/>
  <c r="M442" i="17" a="1"/>
  <c r="M442" i="17" s="1"/>
  <c r="M498" i="17" a="1"/>
  <c r="M498" i="17" s="1"/>
  <c r="M640" i="17" a="1"/>
  <c r="M640" i="17" s="1"/>
  <c r="M641" i="17" a="1"/>
  <c r="M641" i="17" s="1"/>
  <c r="M642" i="17" a="1"/>
  <c r="M642" i="17"/>
  <c r="M698" i="17" a="1"/>
  <c r="M698" i="17" s="1"/>
  <c r="M748" i="17" a="1"/>
  <c r="M748" i="17" s="1"/>
  <c r="M798" i="17" a="1"/>
  <c r="M798" i="17" s="1"/>
  <c r="M848" i="17" a="1"/>
  <c r="M848" i="17" s="1"/>
  <c r="M898" i="17" a="1"/>
  <c r="M898" i="17" s="1"/>
  <c r="M948" i="17" a="1"/>
  <c r="M948" i="17" s="1"/>
  <c r="M998" i="17" a="1"/>
  <c r="M998" i="17" s="1"/>
  <c r="M284" i="17" a="1"/>
  <c r="M284" i="17" s="1"/>
  <c r="M285" i="17" a="1"/>
  <c r="M285" i="17" s="1"/>
  <c r="M286" i="17" a="1"/>
  <c r="M286" i="17" s="1"/>
  <c r="M287" i="17" a="1"/>
  <c r="M287" i="17" s="1"/>
  <c r="M288" i="17" a="1"/>
  <c r="M288" i="17" s="1"/>
  <c r="M289" i="17" a="1"/>
  <c r="M289" i="17" s="1"/>
  <c r="M443" i="17" a="1"/>
  <c r="M443" i="17" s="1"/>
  <c r="M444" i="17" a="1"/>
  <c r="M444" i="17" s="1"/>
  <c r="M445" i="17" a="1"/>
  <c r="M445" i="17" s="1"/>
  <c r="M499" i="17" a="1"/>
  <c r="M499" i="17" s="1"/>
  <c r="M643" i="17" a="1"/>
  <c r="M643" i="17" s="1"/>
  <c r="M644" i="17" a="1"/>
  <c r="M644" i="17" s="1"/>
  <c r="M645" i="17" a="1"/>
  <c r="M645" i="17" s="1"/>
  <c r="M699" i="17" a="1"/>
  <c r="M699" i="17" s="1"/>
  <c r="M749" i="17" a="1"/>
  <c r="M749" i="17" s="1"/>
  <c r="M799" i="17" a="1"/>
  <c r="M799" i="17" s="1"/>
  <c r="M849" i="17" a="1"/>
  <c r="M849" i="17" s="1"/>
  <c r="M899" i="17" a="1"/>
  <c r="M899" i="17" s="1"/>
  <c r="M949" i="17" a="1"/>
  <c r="M949" i="17" s="1"/>
  <c r="M999" i="17" a="1"/>
  <c r="M999" i="17" s="1"/>
  <c r="M290" i="17" a="1"/>
  <c r="M290" i="17" s="1"/>
  <c r="M291" i="17" a="1"/>
  <c r="M291" i="17" s="1"/>
  <c r="M292" i="17" a="1"/>
  <c r="M292" i="17" s="1"/>
  <c r="M293" i="17" a="1"/>
  <c r="M293" i="17" s="1"/>
  <c r="M294" i="17" a="1"/>
  <c r="M294" i="17" s="1"/>
  <c r="M295" i="17" a="1"/>
  <c r="M295" i="17" s="1"/>
  <c r="M446" i="17" a="1"/>
  <c r="M446" i="17"/>
  <c r="M447" i="17" a="1"/>
  <c r="M447" i="17" s="1"/>
  <c r="M448" i="17" a="1"/>
  <c r="M448" i="17" s="1"/>
  <c r="M500" i="17" a="1"/>
  <c r="M500" i="17" s="1"/>
  <c r="M646" i="17" a="1"/>
  <c r="M646" i="17" s="1"/>
  <c r="M647" i="17" a="1"/>
  <c r="M647" i="17" s="1"/>
  <c r="M648" i="17" a="1"/>
  <c r="M648" i="17" s="1"/>
  <c r="M700" i="17" a="1"/>
  <c r="M700" i="17" s="1"/>
  <c r="M750" i="17" a="1"/>
  <c r="M750" i="17" s="1"/>
  <c r="M800" i="17" a="1"/>
  <c r="M800" i="17" s="1"/>
  <c r="M850" i="17" a="1"/>
  <c r="M850" i="17" s="1"/>
  <c r="M900" i="17" a="1"/>
  <c r="M900" i="17" s="1"/>
  <c r="M950" i="17" a="1"/>
  <c r="M950" i="17" s="1"/>
  <c r="M1000" i="17" a="1"/>
  <c r="M1000" i="17" s="1"/>
  <c r="M296" i="17" a="1"/>
  <c r="M296" i="17" s="1"/>
  <c r="M297" i="17" a="1"/>
  <c r="M297" i="17" s="1"/>
  <c r="M298" i="17" a="1"/>
  <c r="M298" i="17" s="1"/>
  <c r="M299" i="17" a="1"/>
  <c r="M299" i="17" s="1"/>
  <c r="M300" i="17" a="1"/>
  <c r="M300" i="17"/>
  <c r="M301" i="17" a="1"/>
  <c r="M301" i="17" s="1"/>
  <c r="M449" i="17" a="1"/>
  <c r="M449" i="17" s="1"/>
  <c r="M450" i="17" a="1"/>
  <c r="M450" i="17" s="1"/>
  <c r="M451" i="17" a="1"/>
  <c r="M451" i="17" s="1"/>
  <c r="M501" i="17" a="1"/>
  <c r="M501" i="17" s="1"/>
  <c r="M649" i="17" a="1"/>
  <c r="M649" i="17" s="1"/>
  <c r="M650" i="17" a="1"/>
  <c r="M650" i="17" s="1"/>
  <c r="M651" i="17" a="1"/>
  <c r="M651" i="17" s="1"/>
  <c r="M701" i="17" a="1"/>
  <c r="M701" i="17" s="1"/>
  <c r="M751" i="17" a="1"/>
  <c r="M751" i="17" s="1"/>
  <c r="M801" i="17" a="1"/>
  <c r="M801" i="17" s="1"/>
  <c r="M851" i="17" a="1"/>
  <c r="M851" i="17" s="1"/>
  <c r="M901" i="17" a="1"/>
  <c r="M901" i="17" s="1"/>
  <c r="M951" i="17" a="1"/>
  <c r="M951" i="17" s="1"/>
  <c r="M1001" i="17" a="1"/>
  <c r="M1001" i="17" s="1"/>
  <c r="N2" i="17" a="1"/>
  <c r="N2" i="17" s="1"/>
  <c r="N3" i="17" a="1"/>
  <c r="N3" i="17" s="1"/>
  <c r="N4" i="17" a="1"/>
  <c r="N4" i="17" s="1"/>
  <c r="N5" i="17" a="1"/>
  <c r="N5" i="17" s="1"/>
  <c r="N6" i="17" a="1"/>
  <c r="N6" i="17" s="1"/>
  <c r="N7" i="17" a="1"/>
  <c r="N7" i="17" s="1"/>
  <c r="N302" i="17" a="1"/>
  <c r="N302" i="17" s="1"/>
  <c r="N303" i="17" a="1"/>
  <c r="N303" i="17" s="1"/>
  <c r="N304" i="17" a="1"/>
  <c r="N304" i="17" s="1"/>
  <c r="N452" i="17" a="1"/>
  <c r="N452" i="17" s="1"/>
  <c r="N502" i="17" a="1"/>
  <c r="N502" i="17" s="1"/>
  <c r="N503" i="17" a="1"/>
  <c r="N503" i="17" s="1"/>
  <c r="N504" i="17" a="1"/>
  <c r="N504" i="17" s="1"/>
  <c r="N652" i="17" a="1"/>
  <c r="N652" i="17" s="1"/>
  <c r="N702" i="17" a="1"/>
  <c r="N702" i="17" s="1"/>
  <c r="N752" i="17" a="1"/>
  <c r="N752" i="17" s="1"/>
  <c r="N802" i="17" a="1"/>
  <c r="N802" i="17" s="1"/>
  <c r="N852" i="17" a="1"/>
  <c r="N852" i="17" s="1"/>
  <c r="N902" i="17" a="1"/>
  <c r="N902" i="17" s="1"/>
  <c r="N952" i="17" a="1"/>
  <c r="N952" i="17" s="1"/>
  <c r="N8" i="17" a="1"/>
  <c r="N8" i="17" s="1"/>
  <c r="N9" i="17" a="1"/>
  <c r="N9" i="17" s="1"/>
  <c r="N10" i="17" a="1"/>
  <c r="N10" i="17"/>
  <c r="N11" i="17" a="1"/>
  <c r="N11" i="17" s="1"/>
  <c r="N12" i="17" a="1"/>
  <c r="N12" i="17" s="1"/>
  <c r="N13" i="17" a="1"/>
  <c r="N13" i="17" s="1"/>
  <c r="N305" i="17" a="1"/>
  <c r="N305" i="17" s="1"/>
  <c r="N306" i="17" a="1"/>
  <c r="N306" i="17" s="1"/>
  <c r="N307" i="17" a="1"/>
  <c r="N307" i="17" s="1"/>
  <c r="N453" i="17" a="1"/>
  <c r="N453" i="17" s="1"/>
  <c r="N505" i="17" a="1"/>
  <c r="N505" i="17" s="1"/>
  <c r="N506" i="17" a="1"/>
  <c r="N506" i="17" s="1"/>
  <c r="N507" i="17" a="1"/>
  <c r="N507" i="17" s="1"/>
  <c r="N653" i="17" a="1"/>
  <c r="N653" i="17" s="1"/>
  <c r="N703" i="17" a="1"/>
  <c r="N703" i="17" s="1"/>
  <c r="N753" i="17" a="1"/>
  <c r="N753" i="17" s="1"/>
  <c r="N803" i="17" a="1"/>
  <c r="N803" i="17" s="1"/>
  <c r="N853" i="17" a="1"/>
  <c r="N853" i="17" s="1"/>
  <c r="N903" i="17" a="1"/>
  <c r="N903" i="17" s="1"/>
  <c r="N953" i="17" a="1"/>
  <c r="N953" i="17" s="1"/>
  <c r="N14" i="17" a="1"/>
  <c r="N14" i="17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308" i="17" a="1"/>
  <c r="N308" i="17" s="1"/>
  <c r="N309" i="17" a="1"/>
  <c r="N309" i="17" s="1"/>
  <c r="N310" i="17" a="1"/>
  <c r="N310" i="17"/>
  <c r="N454" i="17" a="1"/>
  <c r="N454" i="17" s="1"/>
  <c r="N508" i="17" a="1"/>
  <c r="N508" i="17" s="1"/>
  <c r="N509" i="17" a="1"/>
  <c r="N509" i="17" s="1"/>
  <c r="N510" i="17" a="1"/>
  <c r="N510" i="17" s="1"/>
  <c r="N654" i="17" a="1"/>
  <c r="N654" i="17" s="1"/>
  <c r="N704" i="17" a="1"/>
  <c r="N704" i="17" s="1"/>
  <c r="N754" i="17" a="1"/>
  <c r="N754" i="17" s="1"/>
  <c r="N804" i="17" a="1"/>
  <c r="N804" i="17" s="1"/>
  <c r="N854" i="17" a="1"/>
  <c r="N854" i="17" s="1"/>
  <c r="N904" i="17" a="1"/>
  <c r="N904" i="17" s="1"/>
  <c r="N954" i="17" a="1"/>
  <c r="N954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311" i="17" a="1"/>
  <c r="N311" i="17" s="1"/>
  <c r="N312" i="17" a="1"/>
  <c r="N312" i="17" s="1"/>
  <c r="N313" i="17" a="1"/>
  <c r="N313" i="17" s="1"/>
  <c r="N455" i="17" a="1"/>
  <c r="N455" i="17" s="1"/>
  <c r="N511" i="17" a="1"/>
  <c r="N511" i="17" s="1"/>
  <c r="N512" i="17" a="1"/>
  <c r="N512" i="17" s="1"/>
  <c r="N513" i="17" a="1"/>
  <c r="N513" i="17" s="1"/>
  <c r="N655" i="17" a="1"/>
  <c r="N655" i="17" s="1"/>
  <c r="N705" i="17" a="1"/>
  <c r="N705" i="17" s="1"/>
  <c r="N755" i="17" a="1"/>
  <c r="N755" i="17" s="1"/>
  <c r="N805" i="17" a="1"/>
  <c r="N805" i="17" s="1"/>
  <c r="N855" i="17" a="1"/>
  <c r="N855" i="17" s="1"/>
  <c r="N905" i="17" a="1"/>
  <c r="N905" i="17" s="1"/>
  <c r="N955" i="17" a="1"/>
  <c r="N955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314" i="17" a="1"/>
  <c r="N314" i="17" s="1"/>
  <c r="N315" i="17" a="1"/>
  <c r="N315" i="17" s="1"/>
  <c r="N316" i="17" a="1"/>
  <c r="N316" i="17" s="1"/>
  <c r="N456" i="17" a="1"/>
  <c r="N456" i="17" s="1"/>
  <c r="N514" i="17" a="1"/>
  <c r="N514" i="17" s="1"/>
  <c r="N515" i="17" a="1"/>
  <c r="N515" i="17" s="1"/>
  <c r="N516" i="17" a="1"/>
  <c r="N516" i="17" s="1"/>
  <c r="N656" i="17" a="1"/>
  <c r="N656" i="17" s="1"/>
  <c r="N706" i="17" a="1"/>
  <c r="N706" i="17" s="1"/>
  <c r="N756" i="17" a="1"/>
  <c r="N756" i="17" s="1"/>
  <c r="N806" i="17" a="1"/>
  <c r="N806" i="17" s="1"/>
  <c r="N856" i="17" a="1"/>
  <c r="N856" i="17" s="1"/>
  <c r="N906" i="17" a="1"/>
  <c r="N906" i="17" s="1"/>
  <c r="N956" i="17" a="1"/>
  <c r="N956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317" i="17" a="1"/>
  <c r="N317" i="17" s="1"/>
  <c r="N318" i="17" a="1"/>
  <c r="N318" i="17" s="1"/>
  <c r="N319" i="17" a="1"/>
  <c r="N319" i="17" s="1"/>
  <c r="N457" i="17" a="1"/>
  <c r="N457" i="17" s="1"/>
  <c r="N517" i="17" a="1"/>
  <c r="N517" i="17" s="1"/>
  <c r="N518" i="17" a="1"/>
  <c r="N518" i="17" s="1"/>
  <c r="N519" i="17" a="1"/>
  <c r="N519" i="17"/>
  <c r="N657" i="17" a="1"/>
  <c r="N657" i="17" s="1"/>
  <c r="N707" i="17" a="1"/>
  <c r="N707" i="17" s="1"/>
  <c r="N757" i="17" a="1"/>
  <c r="N757" i="17" s="1"/>
  <c r="N807" i="17" a="1"/>
  <c r="N807" i="17" s="1"/>
  <c r="N857" i="17" a="1"/>
  <c r="N857" i="17" s="1"/>
  <c r="N907" i="17" a="1"/>
  <c r="N907" i="17" s="1"/>
  <c r="N957" i="17" a="1"/>
  <c r="N957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320" i="17" a="1"/>
  <c r="N320" i="17" s="1"/>
  <c r="N321" i="17" a="1"/>
  <c r="N321" i="17" s="1"/>
  <c r="N322" i="17" a="1"/>
  <c r="N322" i="17" s="1"/>
  <c r="N458" i="17" a="1"/>
  <c r="N458" i="17" s="1"/>
  <c r="N520" i="17" a="1"/>
  <c r="N520" i="17" s="1"/>
  <c r="N521" i="17" a="1"/>
  <c r="N521" i="17" s="1"/>
  <c r="N522" i="17" a="1"/>
  <c r="N522" i="17" s="1"/>
  <c r="N658" i="17" a="1"/>
  <c r="N658" i="17" s="1"/>
  <c r="N708" i="17" a="1"/>
  <c r="N708" i="17" s="1"/>
  <c r="N758" i="17" a="1"/>
  <c r="N758" i="17" s="1"/>
  <c r="N808" i="17" a="1"/>
  <c r="N808" i="17" s="1"/>
  <c r="N858" i="17" a="1"/>
  <c r="N858" i="17" s="1"/>
  <c r="N908" i="17" a="1"/>
  <c r="N908" i="17"/>
  <c r="N958" i="17" a="1"/>
  <c r="N958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323" i="17" a="1"/>
  <c r="N323" i="17" s="1"/>
  <c r="N324" i="17" a="1"/>
  <c r="N324" i="17" s="1"/>
  <c r="N325" i="17" a="1"/>
  <c r="N325" i="17" s="1"/>
  <c r="N459" i="17" a="1"/>
  <c r="N459" i="17" s="1"/>
  <c r="N523" i="17" a="1"/>
  <c r="N523" i="17" s="1"/>
  <c r="N524" i="17" a="1"/>
  <c r="N524" i="17" s="1"/>
  <c r="N525" i="17" a="1"/>
  <c r="N525" i="17" s="1"/>
  <c r="N659" i="17" a="1"/>
  <c r="N659" i="17" s="1"/>
  <c r="N709" i="17" a="1"/>
  <c r="N709" i="17" s="1"/>
  <c r="N759" i="17" a="1"/>
  <c r="N759" i="17" s="1"/>
  <c r="N809" i="17" a="1"/>
  <c r="N809" i="17" s="1"/>
  <c r="N859" i="17" a="1"/>
  <c r="N859" i="17" s="1"/>
  <c r="N909" i="17" a="1"/>
  <c r="N909" i="17" s="1"/>
  <c r="N959" i="17" a="1"/>
  <c r="N959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326" i="17" a="1"/>
  <c r="N326" i="17" s="1"/>
  <c r="N327" i="17" a="1"/>
  <c r="N327" i="17" s="1"/>
  <c r="N328" i="17" a="1"/>
  <c r="N328" i="17" s="1"/>
  <c r="N460" i="17" a="1"/>
  <c r="N460" i="17" s="1"/>
  <c r="N526" i="17" a="1"/>
  <c r="N526" i="17" s="1"/>
  <c r="N527" i="17" a="1"/>
  <c r="N527" i="17" s="1"/>
  <c r="N528" i="17" a="1"/>
  <c r="N528" i="17"/>
  <c r="N660" i="17" a="1"/>
  <c r="N660" i="17" s="1"/>
  <c r="N710" i="17" a="1"/>
  <c r="N710" i="17" s="1"/>
  <c r="N760" i="17" a="1"/>
  <c r="N760" i="17" s="1"/>
  <c r="N810" i="17" a="1"/>
  <c r="N810" i="17" s="1"/>
  <c r="N860" i="17" a="1"/>
  <c r="N860" i="17" s="1"/>
  <c r="N910" i="17" a="1"/>
  <c r="N910" i="17" s="1"/>
  <c r="N960" i="17" a="1"/>
  <c r="N960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329" i="17" a="1"/>
  <c r="N329" i="17" s="1"/>
  <c r="N330" i="17" a="1"/>
  <c r="N330" i="17" s="1"/>
  <c r="N331" i="17" a="1"/>
  <c r="N331" i="17" s="1"/>
  <c r="N461" i="17" a="1"/>
  <c r="N461" i="17" s="1"/>
  <c r="N529" i="17" a="1"/>
  <c r="N529" i="17" s="1"/>
  <c r="N530" i="17" a="1"/>
  <c r="N530" i="17" s="1"/>
  <c r="N531" i="17" a="1"/>
  <c r="N531" i="17" s="1"/>
  <c r="N661" i="17" a="1"/>
  <c r="N661" i="17" s="1"/>
  <c r="N711" i="17" a="1"/>
  <c r="N711" i="17" s="1"/>
  <c r="N761" i="17" a="1"/>
  <c r="N761" i="17" s="1"/>
  <c r="N811" i="17" a="1"/>
  <c r="N811" i="17"/>
  <c r="N861" i="17" a="1"/>
  <c r="N861" i="17" s="1"/>
  <c r="N911" i="17" a="1"/>
  <c r="N911" i="17" s="1"/>
  <c r="N961" i="17" a="1"/>
  <c r="N96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332" i="17" a="1"/>
  <c r="N332" i="17" s="1"/>
  <c r="N333" i="17" a="1"/>
  <c r="N333" i="17" s="1"/>
  <c r="N334" i="17" a="1"/>
  <c r="N334" i="17" s="1"/>
  <c r="N462" i="17" a="1"/>
  <c r="N462" i="17" s="1"/>
  <c r="N532" i="17" a="1"/>
  <c r="N532" i="17" s="1"/>
  <c r="N533" i="17" a="1"/>
  <c r="N533" i="17" s="1"/>
  <c r="N534" i="17" a="1"/>
  <c r="N534" i="17" s="1"/>
  <c r="N662" i="17" a="1"/>
  <c r="N662" i="17" s="1"/>
  <c r="N712" i="17" a="1"/>
  <c r="N712" i="17" s="1"/>
  <c r="N762" i="17" a="1"/>
  <c r="N762" i="17" s="1"/>
  <c r="N812" i="17" a="1"/>
  <c r="N812" i="17" s="1"/>
  <c r="N862" i="17" a="1"/>
  <c r="N862" i="17" s="1"/>
  <c r="N912" i="17" a="1"/>
  <c r="N912" i="17" s="1"/>
  <c r="N962" i="17" a="1"/>
  <c r="N962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335" i="17" a="1"/>
  <c r="N335" i="17" s="1"/>
  <c r="N336" i="17" a="1"/>
  <c r="N336" i="17" s="1"/>
  <c r="N337" i="17" a="1"/>
  <c r="N337" i="17"/>
  <c r="N463" i="17" a="1"/>
  <c r="N463" i="17" s="1"/>
  <c r="N535" i="17" a="1"/>
  <c r="N535" i="17" s="1"/>
  <c r="N536" i="17" a="1"/>
  <c r="N536" i="17" s="1"/>
  <c r="N537" i="17" a="1"/>
  <c r="N537" i="17" s="1"/>
  <c r="N663" i="17" a="1"/>
  <c r="N663" i="17" s="1"/>
  <c r="N713" i="17" a="1"/>
  <c r="N713" i="17" s="1"/>
  <c r="N763" i="17" a="1"/>
  <c r="N763" i="17" s="1"/>
  <c r="N813" i="17" a="1"/>
  <c r="N813" i="17" s="1"/>
  <c r="N863" i="17" a="1"/>
  <c r="N863" i="17" s="1"/>
  <c r="N913" i="17" a="1"/>
  <c r="N913" i="17" s="1"/>
  <c r="N963" i="17" a="1"/>
  <c r="N963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338" i="17" a="1"/>
  <c r="N338" i="17" s="1"/>
  <c r="N339" i="17" a="1"/>
  <c r="N339" i="17" s="1"/>
  <c r="N340" i="17" a="1"/>
  <c r="N340" i="17" s="1"/>
  <c r="N464" i="17" a="1"/>
  <c r="N464" i="17" s="1"/>
  <c r="N538" i="17" a="1"/>
  <c r="N538" i="17" s="1"/>
  <c r="N539" i="17" a="1"/>
  <c r="N539" i="17" s="1"/>
  <c r="N540" i="17" a="1"/>
  <c r="N540" i="17" s="1"/>
  <c r="N664" i="17" a="1"/>
  <c r="N664" i="17" s="1"/>
  <c r="N714" i="17" a="1"/>
  <c r="N714" i="17" s="1"/>
  <c r="N764" i="17" a="1"/>
  <c r="N764" i="17" s="1"/>
  <c r="N814" i="17" a="1"/>
  <c r="N814" i="17" s="1"/>
  <c r="N864" i="17" a="1"/>
  <c r="N864" i="17" s="1"/>
  <c r="N914" i="17" a="1"/>
  <c r="N914" i="17" s="1"/>
  <c r="N964" i="17" a="1"/>
  <c r="N964" i="17" s="1"/>
  <c r="N80" i="17" a="1"/>
  <c r="N80" i="17" s="1"/>
  <c r="N81" i="17" a="1"/>
  <c r="N81" i="17" s="1"/>
  <c r="N82" i="17" a="1"/>
  <c r="N82" i="17"/>
  <c r="N83" i="17" a="1"/>
  <c r="N83" i="17" s="1"/>
  <c r="N84" i="17" a="1"/>
  <c r="N84" i="17" s="1"/>
  <c r="N85" i="17" a="1"/>
  <c r="N85" i="17" s="1"/>
  <c r="N341" i="17" a="1"/>
  <c r="N341" i="17" s="1"/>
  <c r="N342" i="17" a="1"/>
  <c r="N342" i="17" s="1"/>
  <c r="N343" i="17" a="1"/>
  <c r="N343" i="17" s="1"/>
  <c r="N465" i="17" a="1"/>
  <c r="N465" i="17" s="1"/>
  <c r="N541" i="17" a="1"/>
  <c r="N541" i="17" s="1"/>
  <c r="N542" i="17" a="1"/>
  <c r="N542" i="17" s="1"/>
  <c r="N543" i="17" a="1"/>
  <c r="N543" i="17" s="1"/>
  <c r="N665" i="17" a="1"/>
  <c r="N665" i="17" s="1"/>
  <c r="N715" i="17" a="1"/>
  <c r="N715" i="17" s="1"/>
  <c r="N765" i="17" a="1"/>
  <c r="N765" i="17" s="1"/>
  <c r="N815" i="17" a="1"/>
  <c r="N815" i="17" s="1"/>
  <c r="N865" i="17" a="1"/>
  <c r="N865" i="17" s="1"/>
  <c r="N915" i="17" a="1"/>
  <c r="N915" i="17" s="1"/>
  <c r="N965" i="17" a="1"/>
  <c r="N965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344" i="17" a="1"/>
  <c r="N344" i="17" s="1"/>
  <c r="N345" i="17" a="1"/>
  <c r="N345" i="17" s="1"/>
  <c r="N346" i="17" a="1"/>
  <c r="N346" i="17" s="1"/>
  <c r="N466" i="17" a="1"/>
  <c r="N466" i="17" s="1"/>
  <c r="N544" i="17" a="1"/>
  <c r="N544" i="17" s="1"/>
  <c r="N545" i="17" a="1"/>
  <c r="N545" i="17" s="1"/>
  <c r="N546" i="17" a="1"/>
  <c r="N546" i="17" s="1"/>
  <c r="N666" i="17" a="1"/>
  <c r="N666" i="17" s="1"/>
  <c r="N716" i="17" a="1"/>
  <c r="N716" i="17" s="1"/>
  <c r="N766" i="17" a="1"/>
  <c r="N766" i="17" s="1"/>
  <c r="N816" i="17" a="1"/>
  <c r="N816" i="17" s="1"/>
  <c r="N866" i="17" a="1"/>
  <c r="N866" i="17" s="1"/>
  <c r="N916" i="17" a="1"/>
  <c r="N916" i="17" s="1"/>
  <c r="N966" i="17" a="1"/>
  <c r="N966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/>
  <c r="N97" i="17" a="1"/>
  <c r="N97" i="17" s="1"/>
  <c r="N347" i="17" a="1"/>
  <c r="N347" i="17" s="1"/>
  <c r="N348" i="17" a="1"/>
  <c r="N348" i="17" s="1"/>
  <c r="N349" i="17" a="1"/>
  <c r="N349" i="17" s="1"/>
  <c r="N467" i="17" a="1"/>
  <c r="N467" i="17" s="1"/>
  <c r="N547" i="17" a="1"/>
  <c r="N547" i="17" s="1"/>
  <c r="N548" i="17" a="1"/>
  <c r="N548" i="17" s="1"/>
  <c r="N549" i="17" a="1"/>
  <c r="N549" i="17" s="1"/>
  <c r="N667" i="17" a="1"/>
  <c r="N667" i="17" s="1"/>
  <c r="N717" i="17" a="1"/>
  <c r="N717" i="17" s="1"/>
  <c r="N767" i="17" a="1"/>
  <c r="N767" i="17" s="1"/>
  <c r="N817" i="17" a="1"/>
  <c r="N817" i="17" s="1"/>
  <c r="N867" i="17" a="1"/>
  <c r="N867" i="17" s="1"/>
  <c r="N917" i="17" a="1"/>
  <c r="N917" i="17" s="1"/>
  <c r="N967" i="17" a="1"/>
  <c r="N967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350" i="17" a="1"/>
  <c r="N350" i="17" s="1"/>
  <c r="N351" i="17" a="1"/>
  <c r="N351" i="17" s="1"/>
  <c r="N352" i="17" a="1"/>
  <c r="N352" i="17" s="1"/>
  <c r="N468" i="17" a="1"/>
  <c r="N468" i="17" s="1"/>
  <c r="N550" i="17" a="1"/>
  <c r="N550" i="17" s="1"/>
  <c r="N551" i="17" a="1"/>
  <c r="N551" i="17" s="1"/>
  <c r="N552" i="17" a="1"/>
  <c r="N552" i="17" s="1"/>
  <c r="N668" i="17" a="1"/>
  <c r="N668" i="17" s="1"/>
  <c r="N718" i="17" a="1"/>
  <c r="N718" i="17" s="1"/>
  <c r="N768" i="17" a="1"/>
  <c r="N768" i="17" s="1"/>
  <c r="N818" i="17" a="1"/>
  <c r="N818" i="17"/>
  <c r="N868" i="17" a="1"/>
  <c r="N868" i="17" s="1"/>
  <c r="N918" i="17" a="1"/>
  <c r="N918" i="17" s="1"/>
  <c r="N968" i="17" a="1"/>
  <c r="N968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353" i="17" a="1"/>
  <c r="N353" i="17" s="1"/>
  <c r="N354" i="17" a="1"/>
  <c r="N354" i="17" s="1"/>
  <c r="N355" i="17" a="1"/>
  <c r="N355" i="17" s="1"/>
  <c r="N469" i="17" a="1"/>
  <c r="N469" i="17" s="1"/>
  <c r="N553" i="17" a="1"/>
  <c r="N553" i="17" s="1"/>
  <c r="N554" i="17" a="1"/>
  <c r="N554" i="17" s="1"/>
  <c r="N555" i="17" a="1"/>
  <c r="N555" i="17" s="1"/>
  <c r="N669" i="17" a="1"/>
  <c r="N669" i="17" s="1"/>
  <c r="N719" i="17" a="1"/>
  <c r="N719" i="17" s="1"/>
  <c r="N769" i="17" a="1"/>
  <c r="N769" i="17" s="1"/>
  <c r="N819" i="17" a="1"/>
  <c r="N819" i="17" s="1"/>
  <c r="N869" i="17" a="1"/>
  <c r="N869" i="17" s="1"/>
  <c r="N919" i="17" a="1"/>
  <c r="N919" i="17" s="1"/>
  <c r="N969" i="17" a="1"/>
  <c r="N969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356" i="17" a="1"/>
  <c r="N356" i="17" s="1"/>
  <c r="N357" i="17" a="1"/>
  <c r="N357" i="17" s="1"/>
  <c r="N358" i="17" a="1"/>
  <c r="N358" i="17"/>
  <c r="N470" i="17" a="1"/>
  <c r="N470" i="17" s="1"/>
  <c r="N556" i="17" a="1"/>
  <c r="N556" i="17" s="1"/>
  <c r="N557" i="17" a="1"/>
  <c r="N557" i="17" s="1"/>
  <c r="N558" i="17" a="1"/>
  <c r="N558" i="17" s="1"/>
  <c r="N670" i="17" a="1"/>
  <c r="N670" i="17" s="1"/>
  <c r="N720" i="17" a="1"/>
  <c r="N720" i="17" s="1"/>
  <c r="N770" i="17" a="1"/>
  <c r="N770" i="17" s="1"/>
  <c r="N820" i="17" a="1"/>
  <c r="N820" i="17" s="1"/>
  <c r="N870" i="17" a="1"/>
  <c r="N870" i="17" s="1"/>
  <c r="N920" i="17" a="1"/>
  <c r="N920" i="17" s="1"/>
  <c r="N970" i="17" a="1"/>
  <c r="N970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359" i="17" a="1"/>
  <c r="N359" i="17" s="1"/>
  <c r="N360" i="17" a="1"/>
  <c r="N360" i="17" s="1"/>
  <c r="N361" i="17" a="1"/>
  <c r="N361" i="17" s="1"/>
  <c r="N471" i="17" a="1"/>
  <c r="N471" i="17" s="1"/>
  <c r="N559" i="17" a="1"/>
  <c r="N559" i="17" s="1"/>
  <c r="N560" i="17" a="1"/>
  <c r="N560" i="17" s="1"/>
  <c r="N561" i="17" a="1"/>
  <c r="N561" i="17" s="1"/>
  <c r="N671" i="17" a="1"/>
  <c r="N671" i="17" s="1"/>
  <c r="N721" i="17" a="1"/>
  <c r="N721" i="17" s="1"/>
  <c r="N771" i="17" a="1"/>
  <c r="N771" i="17" s="1"/>
  <c r="N821" i="17" a="1"/>
  <c r="N821" i="17" s="1"/>
  <c r="N871" i="17" a="1"/>
  <c r="N871" i="17" s="1"/>
  <c r="N921" i="17" a="1"/>
  <c r="N921" i="17" s="1"/>
  <c r="N971" i="17" a="1"/>
  <c r="N97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 s="1"/>
  <c r="N362" i="17" a="1"/>
  <c r="N362" i="17" s="1"/>
  <c r="N363" i="17" a="1"/>
  <c r="N363" i="17" s="1"/>
  <c r="N364" i="17" a="1"/>
  <c r="N364" i="17" s="1"/>
  <c r="N472" i="17" a="1"/>
  <c r="N472" i="17" s="1"/>
  <c r="N562" i="17" a="1"/>
  <c r="N562" i="17" s="1"/>
  <c r="N563" i="17" a="1"/>
  <c r="N563" i="17" s="1"/>
  <c r="N564" i="17" a="1"/>
  <c r="N564" i="17" s="1"/>
  <c r="N672" i="17" a="1"/>
  <c r="N672" i="17" s="1"/>
  <c r="N722" i="17" a="1"/>
  <c r="N722" i="17" s="1"/>
  <c r="N772" i="17" a="1"/>
  <c r="N772" i="17" s="1"/>
  <c r="N822" i="17" a="1"/>
  <c r="N822" i="17" s="1"/>
  <c r="N872" i="17" a="1"/>
  <c r="N872" i="17" s="1"/>
  <c r="N922" i="17" a="1"/>
  <c r="N922" i="17" s="1"/>
  <c r="N972" i="17" a="1"/>
  <c r="N972" i="17" s="1"/>
  <c r="N128" i="17" a="1"/>
  <c r="N128" i="17" s="1"/>
  <c r="N129" i="17" a="1"/>
  <c r="N129" i="17" s="1"/>
  <c r="N130" i="17" a="1"/>
  <c r="N130" i="17" s="1"/>
  <c r="N131" i="17" a="1"/>
  <c r="N131" i="17" s="1"/>
  <c r="N132" i="17" a="1"/>
  <c r="N132" i="17"/>
  <c r="N133" i="17" a="1"/>
  <c r="N133" i="17" s="1"/>
  <c r="N365" i="17" a="1"/>
  <c r="N365" i="17" s="1"/>
  <c r="N366" i="17" a="1"/>
  <c r="N366" i="17" s="1"/>
  <c r="N367" i="17" a="1"/>
  <c r="N367" i="17" s="1"/>
  <c r="N473" i="17" a="1"/>
  <c r="N473" i="17" s="1"/>
  <c r="N565" i="17" a="1"/>
  <c r="N565" i="17" s="1"/>
  <c r="N566" i="17" a="1"/>
  <c r="N566" i="17" s="1"/>
  <c r="N567" i="17" a="1"/>
  <c r="N567" i="17" s="1"/>
  <c r="N673" i="17" a="1"/>
  <c r="N673" i="17" s="1"/>
  <c r="N723" i="17" a="1"/>
  <c r="N723" i="17"/>
  <c r="N773" i="17" a="1"/>
  <c r="N773" i="17" s="1"/>
  <c r="N823" i="17" a="1"/>
  <c r="N823" i="17" s="1"/>
  <c r="N873" i="17" a="1"/>
  <c r="N873" i="17" s="1"/>
  <c r="N923" i="17" a="1"/>
  <c r="N923" i="17" s="1"/>
  <c r="N973" i="17" a="1"/>
  <c r="N973" i="17" s="1"/>
  <c r="N134" i="17" a="1"/>
  <c r="N134" i="17"/>
  <c r="N135" i="17" a="1"/>
  <c r="N135" i="17" s="1"/>
  <c r="N136" i="17" a="1"/>
  <c r="N136" i="17" s="1"/>
  <c r="N137" i="17" a="1"/>
  <c r="N137" i="17" s="1"/>
  <c r="N138" i="17" a="1"/>
  <c r="N138" i="17" s="1"/>
  <c r="N139" i="17" a="1"/>
  <c r="N139" i="17" s="1"/>
  <c r="N368" i="17" a="1"/>
  <c r="N368" i="17" s="1"/>
  <c r="N369" i="17" a="1"/>
  <c r="N369" i="17" s="1"/>
  <c r="N370" i="17" a="1"/>
  <c r="N370" i="17"/>
  <c r="N474" i="17" a="1"/>
  <c r="N474" i="17" s="1"/>
  <c r="N568" i="17" a="1"/>
  <c r="N568" i="17"/>
  <c r="N569" i="17" a="1"/>
  <c r="N569" i="17" s="1"/>
  <c r="N570" i="17" a="1"/>
  <c r="N570" i="17" s="1"/>
  <c r="N674" i="17" a="1"/>
  <c r="N674" i="17" s="1"/>
  <c r="N724" i="17" a="1"/>
  <c r="N724" i="17" s="1"/>
  <c r="N774" i="17" a="1"/>
  <c r="N774" i="17" s="1"/>
  <c r="N824" i="17" a="1"/>
  <c r="N824" i="17" s="1"/>
  <c r="N874" i="17" a="1"/>
  <c r="N874" i="17" s="1"/>
  <c r="N924" i="17" a="1"/>
  <c r="N924" i="17" s="1"/>
  <c r="N974" i="17" a="1"/>
  <c r="N974" i="17" s="1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N371" i="17" a="1"/>
  <c r="N371" i="17"/>
  <c r="N372" i="17" a="1"/>
  <c r="N372" i="17" s="1"/>
  <c r="N373" i="17" a="1"/>
  <c r="N373" i="17" s="1"/>
  <c r="N475" i="17" a="1"/>
  <c r="N475" i="17" s="1"/>
  <c r="N571" i="17" a="1"/>
  <c r="N571" i="17" s="1"/>
  <c r="N572" i="17" a="1"/>
  <c r="N572" i="17" s="1"/>
  <c r="N573" i="17" a="1"/>
  <c r="N573" i="17" s="1"/>
  <c r="N675" i="17" a="1"/>
  <c r="N675" i="17" s="1"/>
  <c r="N725" i="17" a="1"/>
  <c r="N725" i="17" s="1"/>
  <c r="N775" i="17" a="1"/>
  <c r="N775" i="17" s="1"/>
  <c r="N825" i="17" a="1"/>
  <c r="N825" i="17" s="1"/>
  <c r="N875" i="17" a="1"/>
  <c r="N875" i="17" s="1"/>
  <c r="N925" i="17" a="1"/>
  <c r="N925" i="17" s="1"/>
  <c r="N975" i="17" a="1"/>
  <c r="N975" i="17" s="1"/>
  <c r="N146" i="17" a="1"/>
  <c r="N146" i="17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374" i="17" a="1"/>
  <c r="N374" i="17" s="1"/>
  <c r="N375" i="17" a="1"/>
  <c r="N375" i="17" s="1"/>
  <c r="N376" i="17" a="1"/>
  <c r="N376" i="17"/>
  <c r="N476" i="17" a="1"/>
  <c r="N476" i="17" s="1"/>
  <c r="N574" i="17" a="1"/>
  <c r="N574" i="17" s="1"/>
  <c r="N575" i="17" a="1"/>
  <c r="N575" i="17" s="1"/>
  <c r="N576" i="17" a="1"/>
  <c r="N576" i="17" s="1"/>
  <c r="N676" i="17" a="1"/>
  <c r="N676" i="17" s="1"/>
  <c r="N726" i="17" a="1"/>
  <c r="N726" i="17" s="1"/>
  <c r="N776" i="17" a="1"/>
  <c r="N776" i="17" s="1"/>
  <c r="N826" i="17" a="1"/>
  <c r="N826" i="17" s="1"/>
  <c r="N876" i="17" a="1"/>
  <c r="N876" i="17" s="1"/>
  <c r="N926" i="17" a="1"/>
  <c r="N926" i="17" s="1"/>
  <c r="N976" i="17" a="1"/>
  <c r="N976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/>
  <c r="N157" i="17" a="1"/>
  <c r="N157" i="17" s="1"/>
  <c r="N377" i="17" a="1"/>
  <c r="N377" i="17" s="1"/>
  <c r="N378" i="17" a="1"/>
  <c r="N378" i="17" s="1"/>
  <c r="N379" i="17" a="1"/>
  <c r="N379" i="17" s="1"/>
  <c r="N477" i="17" a="1"/>
  <c r="N477" i="17" s="1"/>
  <c r="N577" i="17" a="1"/>
  <c r="N577" i="17" s="1"/>
  <c r="N578" i="17" a="1"/>
  <c r="N578" i="17" s="1"/>
  <c r="N579" i="17" a="1"/>
  <c r="N579" i="17" s="1"/>
  <c r="N677" i="17" a="1"/>
  <c r="N677" i="17" s="1"/>
  <c r="N727" i="17" a="1"/>
  <c r="N727" i="17"/>
  <c r="N777" i="17" a="1"/>
  <c r="N777" i="17" s="1"/>
  <c r="N827" i="17" a="1"/>
  <c r="N827" i="17" s="1"/>
  <c r="N877" i="17" a="1"/>
  <c r="N877" i="17" s="1"/>
  <c r="N927" i="17" a="1"/>
  <c r="N927" i="17" s="1"/>
  <c r="N977" i="17" a="1"/>
  <c r="N977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380" i="17" a="1"/>
  <c r="N380" i="17" s="1"/>
  <c r="N381" i="17" a="1"/>
  <c r="N381" i="17" s="1"/>
  <c r="N382" i="17" a="1"/>
  <c r="N382" i="17" s="1"/>
  <c r="N478" i="17" a="1"/>
  <c r="N478" i="17" s="1"/>
  <c r="N580" i="17" a="1"/>
  <c r="N580" i="17"/>
  <c r="N581" i="17" a="1"/>
  <c r="N581" i="17" s="1"/>
  <c r="N582" i="17" a="1"/>
  <c r="N582" i="17" s="1"/>
  <c r="N678" i="17" a="1"/>
  <c r="N678" i="17" s="1"/>
  <c r="N728" i="17" a="1"/>
  <c r="N728" i="17" s="1"/>
  <c r="N778" i="17" a="1"/>
  <c r="N778" i="17" s="1"/>
  <c r="N828" i="17" a="1"/>
  <c r="N828" i="17" s="1"/>
  <c r="N878" i="17" a="1"/>
  <c r="N878" i="17" s="1"/>
  <c r="N928" i="17" a="1"/>
  <c r="N928" i="17" s="1"/>
  <c r="N978" i="17" a="1"/>
  <c r="N978" i="17" s="1"/>
  <c r="N164" i="17" a="1"/>
  <c r="N164" i="17" s="1"/>
  <c r="N165" i="17" a="1"/>
  <c r="N165" i="17" s="1"/>
  <c r="N166" i="17" a="1"/>
  <c r="N166" i="17" s="1"/>
  <c r="N167" i="17" a="1"/>
  <c r="N167" i="17" s="1"/>
  <c r="N168" i="17" a="1"/>
  <c r="N168" i="17" s="1"/>
  <c r="N169" i="17" a="1"/>
  <c r="N169" i="17" s="1"/>
  <c r="N383" i="17" a="1"/>
  <c r="N383" i="17"/>
  <c r="N384" i="17" a="1"/>
  <c r="N384" i="17" s="1"/>
  <c r="N385" i="17" a="1"/>
  <c r="N385" i="17" s="1"/>
  <c r="N479" i="17" a="1"/>
  <c r="N479" i="17" s="1"/>
  <c r="N583" i="17" a="1"/>
  <c r="N583" i="17" s="1"/>
  <c r="N584" i="17" a="1"/>
  <c r="N584" i="17" s="1"/>
  <c r="N585" i="17" a="1"/>
  <c r="N585" i="17" s="1"/>
  <c r="N679" i="17" a="1"/>
  <c r="N679" i="17" s="1"/>
  <c r="N729" i="17" a="1"/>
  <c r="N729" i="17" s="1"/>
  <c r="N779" i="17" a="1"/>
  <c r="N779" i="17" s="1"/>
  <c r="N829" i="17" a="1"/>
  <c r="N829" i="17" s="1"/>
  <c r="N879" i="17" a="1"/>
  <c r="N879" i="17" s="1"/>
  <c r="N929" i="17" a="1"/>
  <c r="N929" i="17" s="1"/>
  <c r="N979" i="17" a="1"/>
  <c r="N979" i="17" s="1"/>
  <c r="N170" i="17" a="1"/>
  <c r="N170" i="17" s="1"/>
  <c r="N171" i="17" a="1"/>
  <c r="N171" i="17" s="1"/>
  <c r="N172" i="17" a="1"/>
  <c r="N172" i="17"/>
  <c r="N173" i="17" a="1"/>
  <c r="N173" i="17" s="1"/>
  <c r="N174" i="17" a="1"/>
  <c r="N174" i="17" s="1"/>
  <c r="N175" i="17" a="1"/>
  <c r="N175" i="17" s="1"/>
  <c r="N386" i="17" a="1"/>
  <c r="N386" i="17" s="1"/>
  <c r="N387" i="17" a="1"/>
  <c r="N387" i="17" s="1"/>
  <c r="N388" i="17" a="1"/>
  <c r="N388" i="17" s="1"/>
  <c r="N480" i="17" a="1"/>
  <c r="N480" i="17" s="1"/>
  <c r="N586" i="17" a="1"/>
  <c r="N586" i="17" s="1"/>
  <c r="N587" i="17" a="1"/>
  <c r="N587" i="17" s="1"/>
  <c r="N588" i="17" a="1"/>
  <c r="N588" i="17" s="1"/>
  <c r="N680" i="17" a="1"/>
  <c r="N680" i="17" s="1"/>
  <c r="N730" i="17" a="1"/>
  <c r="N730" i="17" s="1"/>
  <c r="N780" i="17" a="1"/>
  <c r="N780" i="17" s="1"/>
  <c r="N830" i="17" a="1"/>
  <c r="N830" i="17" s="1"/>
  <c r="N880" i="17" a="1"/>
  <c r="N880" i="17" s="1"/>
  <c r="N930" i="17" a="1"/>
  <c r="N930" i="17"/>
  <c r="N980" i="17" a="1"/>
  <c r="N980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389" i="17" a="1"/>
  <c r="N389" i="17" s="1"/>
  <c r="N390" i="17" a="1"/>
  <c r="N390" i="17" s="1"/>
  <c r="N391" i="17" a="1"/>
  <c r="N391" i="17" s="1"/>
  <c r="N481" i="17" a="1"/>
  <c r="N481" i="17" s="1"/>
  <c r="N589" i="17" a="1"/>
  <c r="N589" i="17" s="1"/>
  <c r="N590" i="17" a="1"/>
  <c r="N590" i="17" s="1"/>
  <c r="N591" i="17" a="1"/>
  <c r="N591" i="17" s="1"/>
  <c r="N681" i="17" a="1"/>
  <c r="N681" i="17" s="1"/>
  <c r="N731" i="17" a="1"/>
  <c r="N731" i="17"/>
  <c r="N781" i="17" a="1"/>
  <c r="N781" i="17" s="1"/>
  <c r="N831" i="17" a="1"/>
  <c r="N831" i="17" s="1"/>
  <c r="N881" i="17" a="1"/>
  <c r="N881" i="17" s="1"/>
  <c r="N931" i="17" a="1"/>
  <c r="N931" i="17" s="1"/>
  <c r="N981" i="17" a="1"/>
  <c r="N981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 s="1"/>
  <c r="N187" i="17" a="1"/>
  <c r="N187" i="17" s="1"/>
  <c r="N392" i="17" a="1"/>
  <c r="N392" i="17" s="1"/>
  <c r="N393" i="17" a="1"/>
  <c r="N393" i="17" s="1"/>
  <c r="N394" i="17" a="1"/>
  <c r="N394" i="17" s="1"/>
  <c r="N482" i="17" a="1"/>
  <c r="N482" i="17" s="1"/>
  <c r="N592" i="17" a="1"/>
  <c r="N592" i="17" s="1"/>
  <c r="N593" i="17" a="1"/>
  <c r="N593" i="17" s="1"/>
  <c r="N594" i="17" a="1"/>
  <c r="N594" i="17" s="1"/>
  <c r="N682" i="17" a="1"/>
  <c r="N682" i="17" s="1"/>
  <c r="N732" i="17" a="1"/>
  <c r="N732" i="17" s="1"/>
  <c r="N782" i="17" a="1"/>
  <c r="N782" i="17" s="1"/>
  <c r="N832" i="17" a="1"/>
  <c r="N832" i="17" s="1"/>
  <c r="N882" i="17" a="1"/>
  <c r="N882" i="17" s="1"/>
  <c r="N932" i="17" a="1"/>
  <c r="N932" i="17" s="1"/>
  <c r="N982" i="17" a="1"/>
  <c r="N982" i="17" s="1"/>
  <c r="N188" i="17" a="1"/>
  <c r="N188" i="17" s="1"/>
  <c r="N189" i="17" a="1"/>
  <c r="N189" i="17" s="1"/>
  <c r="N190" i="17" a="1"/>
  <c r="N190" i="17" s="1"/>
  <c r="N191" i="17" a="1"/>
  <c r="N191" i="17" s="1"/>
  <c r="N192" i="17" a="1"/>
  <c r="N192" i="17" s="1"/>
  <c r="N193" i="17" a="1"/>
  <c r="N193" i="17" s="1"/>
  <c r="N395" i="17" a="1"/>
  <c r="N395" i="17"/>
  <c r="N396" i="17" a="1"/>
  <c r="N396" i="17" s="1"/>
  <c r="N397" i="17" a="1"/>
  <c r="N397" i="17" s="1"/>
  <c r="N483" i="17" a="1"/>
  <c r="N483" i="17" s="1"/>
  <c r="N595" i="17" a="1"/>
  <c r="N595" i="17" s="1"/>
  <c r="N596" i="17" a="1"/>
  <c r="N596" i="17" s="1"/>
  <c r="N597" i="17" a="1"/>
  <c r="N597" i="17" s="1"/>
  <c r="N683" i="17" a="1"/>
  <c r="N683" i="17" s="1"/>
  <c r="N733" i="17" a="1"/>
  <c r="N733" i="17" s="1"/>
  <c r="N783" i="17" a="1"/>
  <c r="N783" i="17" s="1"/>
  <c r="N833" i="17" a="1"/>
  <c r="N833" i="17" s="1"/>
  <c r="N883" i="17" a="1"/>
  <c r="N883" i="17" s="1"/>
  <c r="N933" i="17" a="1"/>
  <c r="N933" i="17" s="1"/>
  <c r="N983" i="17" a="1"/>
  <c r="N983" i="17" s="1"/>
  <c r="N194" i="17" a="1"/>
  <c r="N194" i="17" s="1"/>
  <c r="N195" i="17" a="1"/>
  <c r="N195" i="17" s="1"/>
  <c r="N196" i="17" a="1"/>
  <c r="N196" i="17" s="1"/>
  <c r="N197" i="17" a="1"/>
  <c r="N197" i="17" s="1"/>
  <c r="N198" i="17" a="1"/>
  <c r="N198" i="17" s="1"/>
  <c r="N199" i="17" a="1"/>
  <c r="N199" i="17" s="1"/>
  <c r="N398" i="17" a="1"/>
  <c r="N398" i="17" s="1"/>
  <c r="N399" i="17" a="1"/>
  <c r="N399" i="17" s="1"/>
  <c r="N400" i="17" a="1"/>
  <c r="N400" i="17" s="1"/>
  <c r="N484" i="17" a="1"/>
  <c r="N484" i="17" s="1"/>
  <c r="N598" i="17" a="1"/>
  <c r="N598" i="17" s="1"/>
  <c r="N599" i="17" a="1"/>
  <c r="N599" i="17" s="1"/>
  <c r="N600" i="17" a="1"/>
  <c r="N600" i="17" s="1"/>
  <c r="N684" i="17" a="1"/>
  <c r="N684" i="17" s="1"/>
  <c r="N734" i="17" a="1"/>
  <c r="N734" i="17"/>
  <c r="N784" i="17" a="1"/>
  <c r="N784" i="17" s="1"/>
  <c r="N834" i="17" a="1"/>
  <c r="N834" i="17" s="1"/>
  <c r="N884" i="17" a="1"/>
  <c r="N884" i="17" s="1"/>
  <c r="N934" i="17" a="1"/>
  <c r="N934" i="17" s="1"/>
  <c r="N984" i="17" a="1"/>
  <c r="N984" i="17" s="1"/>
  <c r="N200" i="17" a="1"/>
  <c r="N200" i="17" s="1"/>
  <c r="N201" i="17" a="1"/>
  <c r="N201" i="17" s="1"/>
  <c r="N202" i="17" a="1"/>
  <c r="N202" i="17" s="1"/>
  <c r="N203" i="17" a="1"/>
  <c r="N203" i="17" s="1"/>
  <c r="N204" i="17" a="1"/>
  <c r="N204" i="17" s="1"/>
  <c r="N205" i="17" a="1"/>
  <c r="N205" i="17" s="1"/>
  <c r="N401" i="17" a="1"/>
  <c r="N401" i="17" s="1"/>
  <c r="N402" i="17" a="1"/>
  <c r="N402" i="17" s="1"/>
  <c r="N403" i="17" a="1"/>
  <c r="N403" i="17" s="1"/>
  <c r="N485" i="17" a="1"/>
  <c r="N485" i="17" s="1"/>
  <c r="N601" i="17" a="1"/>
  <c r="N601" i="17" s="1"/>
  <c r="N602" i="17" a="1"/>
  <c r="N602" i="17" s="1"/>
  <c r="N603" i="17" a="1"/>
  <c r="N603" i="17"/>
  <c r="N685" i="17" a="1"/>
  <c r="N685" i="17" s="1"/>
  <c r="N735" i="17" a="1"/>
  <c r="N735" i="17"/>
  <c r="N785" i="17" a="1"/>
  <c r="N785" i="17" s="1"/>
  <c r="N835" i="17" a="1"/>
  <c r="N835" i="17" s="1"/>
  <c r="N885" i="17" a="1"/>
  <c r="N885" i="17" s="1"/>
  <c r="N935" i="17" a="1"/>
  <c r="N935" i="17"/>
  <c r="N985" i="17" a="1"/>
  <c r="N985" i="17" s="1"/>
  <c r="N206" i="17" a="1"/>
  <c r="N206" i="17"/>
  <c r="N207" i="17" a="1"/>
  <c r="N207" i="17" s="1"/>
  <c r="N208" i="17" a="1"/>
  <c r="N208" i="17" s="1"/>
  <c r="N209" i="17" a="1"/>
  <c r="N209" i="17" s="1"/>
  <c r="N210" i="17" a="1"/>
  <c r="N210" i="17" s="1"/>
  <c r="N211" i="17" a="1"/>
  <c r="N211" i="17" s="1"/>
  <c r="N404" i="17" a="1"/>
  <c r="N404" i="17" s="1"/>
  <c r="N405" i="17" a="1"/>
  <c r="N405" i="17" s="1"/>
  <c r="N406" i="17" a="1"/>
  <c r="N406" i="17" s="1"/>
  <c r="N486" i="17" a="1"/>
  <c r="N486" i="17" s="1"/>
  <c r="N604" i="17" a="1"/>
  <c r="N604" i="17" s="1"/>
  <c r="N605" i="17" a="1"/>
  <c r="N605" i="17" s="1"/>
  <c r="N606" i="17" a="1"/>
  <c r="N606" i="17" s="1"/>
  <c r="N686" i="17" a="1"/>
  <c r="N686" i="17" s="1"/>
  <c r="N736" i="17" a="1"/>
  <c r="N736" i="17" s="1"/>
  <c r="N786" i="17" a="1"/>
  <c r="N786" i="17" s="1"/>
  <c r="N836" i="17" a="1"/>
  <c r="N836" i="17" s="1"/>
  <c r="N886" i="17" a="1"/>
  <c r="N886" i="17" s="1"/>
  <c r="N936" i="17" a="1"/>
  <c r="N936" i="17"/>
  <c r="N986" i="17" a="1"/>
  <c r="N986" i="17" s="1"/>
  <c r="N212" i="17" a="1"/>
  <c r="N212" i="17" s="1"/>
  <c r="N213" i="17" a="1"/>
  <c r="N213" i="17" s="1"/>
  <c r="N214" i="17" a="1"/>
  <c r="N214" i="17" s="1"/>
  <c r="N215" i="17" a="1"/>
  <c r="N215" i="17" s="1"/>
  <c r="N216" i="17" a="1"/>
  <c r="N216" i="17" s="1"/>
  <c r="N217" i="17" a="1"/>
  <c r="N217" i="17" s="1"/>
  <c r="N407" i="17" a="1"/>
  <c r="N407" i="17" s="1"/>
  <c r="N408" i="17" a="1"/>
  <c r="N408" i="17" s="1"/>
  <c r="N409" i="17" a="1"/>
  <c r="N409" i="17" s="1"/>
  <c r="N487" i="17" a="1"/>
  <c r="N487" i="17" s="1"/>
  <c r="N607" i="17" a="1"/>
  <c r="N607" i="17" s="1"/>
  <c r="N608" i="17" a="1"/>
  <c r="N608" i="17" s="1"/>
  <c r="N609" i="17" a="1"/>
  <c r="N609" i="17" s="1"/>
  <c r="N687" i="17" a="1"/>
  <c r="N687" i="17" s="1"/>
  <c r="N737" i="17" a="1"/>
  <c r="N737" i="17" s="1"/>
  <c r="N787" i="17" a="1"/>
  <c r="N787" i="17" s="1"/>
  <c r="N837" i="17" a="1"/>
  <c r="N837" i="17" s="1"/>
  <c r="N887" i="17" a="1"/>
  <c r="N887" i="17" s="1"/>
  <c r="N937" i="17" a="1"/>
  <c r="N937" i="17"/>
  <c r="N987" i="17" a="1"/>
  <c r="N987" i="17" s="1"/>
  <c r="N218" i="17" a="1"/>
  <c r="N218" i="17" s="1"/>
  <c r="N219" i="17" a="1"/>
  <c r="N219" i="17" s="1"/>
  <c r="N220" i="17" a="1"/>
  <c r="N220" i="17" s="1"/>
  <c r="N221" i="17" a="1"/>
  <c r="N221" i="17" s="1"/>
  <c r="N222" i="17" a="1"/>
  <c r="N222" i="17" s="1"/>
  <c r="N223" i="17" a="1"/>
  <c r="N223" i="17" s="1"/>
  <c r="N410" i="17" a="1"/>
  <c r="N410" i="17" s="1"/>
  <c r="N411" i="17" a="1"/>
  <c r="N411" i="17" s="1"/>
  <c r="N412" i="17" a="1"/>
  <c r="N412" i="17" s="1"/>
  <c r="N488" i="17" a="1"/>
  <c r="N488" i="17" s="1"/>
  <c r="N610" i="17" a="1"/>
  <c r="N610" i="17" s="1"/>
  <c r="N611" i="17" a="1"/>
  <c r="N611" i="17" s="1"/>
  <c r="N612" i="17" a="1"/>
  <c r="N612" i="17" s="1"/>
  <c r="N688" i="17" a="1"/>
  <c r="N688" i="17" s="1"/>
  <c r="N738" i="17" a="1"/>
  <c r="N738" i="17" s="1"/>
  <c r="N788" i="17" a="1"/>
  <c r="N788" i="17" s="1"/>
  <c r="N838" i="17" a="1"/>
  <c r="N838" i="17"/>
  <c r="N888" i="17" a="1"/>
  <c r="N888" i="17" s="1"/>
  <c r="N938" i="17" a="1"/>
  <c r="N938" i="17"/>
  <c r="N988" i="17" a="1"/>
  <c r="N988" i="17" s="1"/>
  <c r="N224" i="17" a="1"/>
  <c r="N224" i="17" s="1"/>
  <c r="N225" i="17" a="1"/>
  <c r="N225" i="17" s="1"/>
  <c r="N226" i="17" a="1"/>
  <c r="N226" i="17"/>
  <c r="N227" i="17" a="1"/>
  <c r="N227" i="17" s="1"/>
  <c r="N228" i="17" a="1"/>
  <c r="N228" i="17"/>
  <c r="N229" i="17" a="1"/>
  <c r="N229" i="17" s="1"/>
  <c r="N413" i="17" a="1"/>
  <c r="N413" i="17" s="1"/>
  <c r="N414" i="17" a="1"/>
  <c r="N414" i="17" s="1"/>
  <c r="N415" i="17" a="1"/>
  <c r="N415" i="17" s="1"/>
  <c r="N489" i="17" a="1"/>
  <c r="N489" i="17" s="1"/>
  <c r="N613" i="17" a="1"/>
  <c r="N613" i="17" s="1"/>
  <c r="N614" i="17" a="1"/>
  <c r="N614" i="17" s="1"/>
  <c r="N615" i="17" a="1"/>
  <c r="N615" i="17" s="1"/>
  <c r="N689" i="17" a="1"/>
  <c r="N689" i="17" s="1"/>
  <c r="N739" i="17" a="1"/>
  <c r="N739" i="17"/>
  <c r="N789" i="17" a="1"/>
  <c r="N789" i="17" s="1"/>
  <c r="N839" i="17" a="1"/>
  <c r="N839" i="17" s="1"/>
  <c r="N889" i="17" a="1"/>
  <c r="N889" i="17" s="1"/>
  <c r="N939" i="17" a="1"/>
  <c r="N939" i="17" s="1"/>
  <c r="N989" i="17" a="1"/>
  <c r="N989" i="17" s="1"/>
  <c r="N230" i="17" a="1"/>
  <c r="N230" i="17" s="1"/>
  <c r="N231" i="17" a="1"/>
  <c r="N231" i="17" s="1"/>
  <c r="N232" i="17" a="1"/>
  <c r="N232" i="17" s="1"/>
  <c r="N233" i="17" a="1"/>
  <c r="N233" i="17" s="1"/>
  <c r="N234" i="17" a="1"/>
  <c r="N234" i="17" s="1"/>
  <c r="N235" i="17" a="1"/>
  <c r="N235" i="17" s="1"/>
  <c r="N416" i="17" a="1"/>
  <c r="N416" i="17" s="1"/>
  <c r="N417" i="17" a="1"/>
  <c r="N417" i="17" s="1"/>
  <c r="N418" i="17" a="1"/>
  <c r="N418" i="17" s="1"/>
  <c r="N490" i="17" a="1"/>
  <c r="N490" i="17" s="1"/>
  <c r="N616" i="17" a="1"/>
  <c r="N616" i="17" s="1"/>
  <c r="N617" i="17" a="1"/>
  <c r="N617" i="17" s="1"/>
  <c r="N618" i="17" a="1"/>
  <c r="N618" i="17" s="1"/>
  <c r="N690" i="17" a="1"/>
  <c r="N690" i="17" s="1"/>
  <c r="N740" i="17" a="1"/>
  <c r="N740" i="17" s="1"/>
  <c r="N790" i="17" a="1"/>
  <c r="N790" i="17" s="1"/>
  <c r="N840" i="17" a="1"/>
  <c r="N840" i="17" s="1"/>
  <c r="N890" i="17" a="1"/>
  <c r="N890" i="17" s="1"/>
  <c r="N940" i="17" a="1"/>
  <c r="N940" i="17" s="1"/>
  <c r="N990" i="17" a="1"/>
  <c r="N990" i="17" s="1"/>
  <c r="N236" i="17" a="1"/>
  <c r="N236" i="17" s="1"/>
  <c r="N237" i="17" a="1"/>
  <c r="N237" i="17" s="1"/>
  <c r="N238" i="17" a="1"/>
  <c r="N238" i="17" s="1"/>
  <c r="N239" i="17" a="1"/>
  <c r="N239" i="17" s="1"/>
  <c r="N240" i="17" a="1"/>
  <c r="N240" i="17" s="1"/>
  <c r="N241" i="17" a="1"/>
  <c r="N241" i="17" s="1"/>
  <c r="N419" i="17" a="1"/>
  <c r="N419" i="17" s="1"/>
  <c r="N420" i="17" a="1"/>
  <c r="N420" i="17" s="1"/>
  <c r="N421" i="17" a="1"/>
  <c r="N421" i="17" s="1"/>
  <c r="N491" i="17" a="1"/>
  <c r="N491" i="17" s="1"/>
  <c r="N619" i="17" a="1"/>
  <c r="N619" i="17" s="1"/>
  <c r="N620" i="17" a="1"/>
  <c r="N620" i="17" s="1"/>
  <c r="N621" i="17" a="1"/>
  <c r="N621" i="17" s="1"/>
  <c r="N691" i="17" a="1"/>
  <c r="N691" i="17" s="1"/>
  <c r="N741" i="17" a="1"/>
  <c r="N741" i="17"/>
  <c r="N791" i="17" a="1"/>
  <c r="N791" i="17" s="1"/>
  <c r="N841" i="17" a="1"/>
  <c r="N841" i="17" s="1"/>
  <c r="N891" i="17" a="1"/>
  <c r="N891" i="17" s="1"/>
  <c r="N941" i="17" a="1"/>
  <c r="N941" i="17"/>
  <c r="N991" i="17" a="1"/>
  <c r="N991" i="17" s="1"/>
  <c r="N242" i="17" a="1"/>
  <c r="N242" i="17" s="1"/>
  <c r="N243" i="17" a="1"/>
  <c r="N243" i="17" s="1"/>
  <c r="N244" i="17" a="1"/>
  <c r="N244" i="17" s="1"/>
  <c r="N245" i="17" a="1"/>
  <c r="N245" i="17" s="1"/>
  <c r="N246" i="17" a="1"/>
  <c r="N246" i="17" s="1"/>
  <c r="N247" i="17" a="1"/>
  <c r="N247" i="17" s="1"/>
  <c r="N422" i="17" a="1"/>
  <c r="N422" i="17" s="1"/>
  <c r="N423" i="17" a="1"/>
  <c r="N423" i="17" s="1"/>
  <c r="N424" i="17" a="1"/>
  <c r="N424" i="17" s="1"/>
  <c r="N492" i="17" a="1"/>
  <c r="N492" i="17" s="1"/>
  <c r="N622" i="17" a="1"/>
  <c r="N622" i="17" s="1"/>
  <c r="N623" i="17" a="1"/>
  <c r="N623" i="17" s="1"/>
  <c r="N624" i="17" a="1"/>
  <c r="N624" i="17" s="1"/>
  <c r="N692" i="17" a="1"/>
  <c r="N692" i="17" s="1"/>
  <c r="N742" i="17" a="1"/>
  <c r="N742" i="17" s="1"/>
  <c r="N792" i="17" a="1"/>
  <c r="N792" i="17" s="1"/>
  <c r="N842" i="17" a="1"/>
  <c r="N842" i="17" s="1"/>
  <c r="N892" i="17" a="1"/>
  <c r="N892" i="17" s="1"/>
  <c r="N942" i="17" a="1"/>
  <c r="N942" i="17" s="1"/>
  <c r="N992" i="17" a="1"/>
  <c r="N992" i="17"/>
  <c r="N248" i="17" a="1"/>
  <c r="N248" i="17" s="1"/>
  <c r="N249" i="17" a="1"/>
  <c r="N249" i="17" s="1"/>
  <c r="N250" i="17" a="1"/>
  <c r="N250" i="17"/>
  <c r="N251" i="17" a="1"/>
  <c r="N251" i="17" s="1"/>
  <c r="N252" i="17" a="1"/>
  <c r="N252" i="17" s="1"/>
  <c r="N253" i="17" a="1"/>
  <c r="N253" i="17" s="1"/>
  <c r="N425" i="17" a="1"/>
  <c r="N425" i="17" s="1"/>
  <c r="N426" i="17" a="1"/>
  <c r="N426" i="17" s="1"/>
  <c r="N427" i="17" a="1"/>
  <c r="N427" i="17" s="1"/>
  <c r="N493" i="17" a="1"/>
  <c r="N493" i="17" s="1"/>
  <c r="N625" i="17" a="1"/>
  <c r="N625" i="17" s="1"/>
  <c r="N626" i="17" a="1"/>
  <c r="N626" i="17" s="1"/>
  <c r="N627" i="17" a="1"/>
  <c r="N627" i="17" s="1"/>
  <c r="N693" i="17" a="1"/>
  <c r="N693" i="17" s="1"/>
  <c r="N743" i="17" a="1"/>
  <c r="N743" i="17" s="1"/>
  <c r="N793" i="17" a="1"/>
  <c r="N793" i="17" s="1"/>
  <c r="N843" i="17" a="1"/>
  <c r="N843" i="17" s="1"/>
  <c r="N893" i="17" a="1"/>
  <c r="N893" i="17" s="1"/>
  <c r="N943" i="17" a="1"/>
  <c r="N943" i="17" s="1"/>
  <c r="N993" i="17" a="1"/>
  <c r="N993" i="17" s="1"/>
  <c r="N254" i="17" a="1"/>
  <c r="N254" i="17" s="1"/>
  <c r="N255" i="17" a="1"/>
  <c r="N255" i="17" s="1"/>
  <c r="N256" i="17" a="1"/>
  <c r="N256" i="17" s="1"/>
  <c r="N257" i="17" a="1"/>
  <c r="N257" i="17" s="1"/>
  <c r="N258" i="17" a="1"/>
  <c r="N258" i="17" s="1"/>
  <c r="N259" i="17" a="1"/>
  <c r="N259" i="17" s="1"/>
  <c r="N428" i="17" a="1"/>
  <c r="N428" i="17" s="1"/>
  <c r="N429" i="17" a="1"/>
  <c r="N429" i="17" s="1"/>
  <c r="N430" i="17" a="1"/>
  <c r="N430" i="17" s="1"/>
  <c r="N494" i="17" a="1"/>
  <c r="N494" i="17" s="1"/>
  <c r="N628" i="17" a="1"/>
  <c r="N628" i="17"/>
  <c r="N629" i="17" a="1"/>
  <c r="N629" i="17" s="1"/>
  <c r="N630" i="17" a="1"/>
  <c r="N630" i="17" s="1"/>
  <c r="N694" i="17" a="1"/>
  <c r="N694" i="17" s="1"/>
  <c r="N744" i="17" a="1"/>
  <c r="N744" i="17"/>
  <c r="N794" i="17" a="1"/>
  <c r="N794" i="17" s="1"/>
  <c r="N844" i="17" a="1"/>
  <c r="N844" i="17" s="1"/>
  <c r="N894" i="17" a="1"/>
  <c r="N894" i="17" s="1"/>
  <c r="N944" i="17" a="1"/>
  <c r="N944" i="17" s="1"/>
  <c r="N994" i="17" a="1"/>
  <c r="N994" i="17" s="1"/>
  <c r="N260" i="17" a="1"/>
  <c r="N260" i="17" s="1"/>
  <c r="N261" i="17" a="1"/>
  <c r="N261" i="17" s="1"/>
  <c r="N262" i="17" a="1"/>
  <c r="N262" i="17" s="1"/>
  <c r="N263" i="17" a="1"/>
  <c r="N263" i="17" s="1"/>
  <c r="N264" i="17" a="1"/>
  <c r="N264" i="17" s="1"/>
  <c r="N265" i="17" a="1"/>
  <c r="N265" i="17" s="1"/>
  <c r="N431" i="17" a="1"/>
  <c r="N431" i="17" s="1"/>
  <c r="N432" i="17" a="1"/>
  <c r="N432" i="17" s="1"/>
  <c r="N433" i="17" a="1"/>
  <c r="N433" i="17" s="1"/>
  <c r="N495" i="17" a="1"/>
  <c r="N495" i="17" s="1"/>
  <c r="N631" i="17" a="1"/>
  <c r="N631" i="17" s="1"/>
  <c r="N632" i="17" a="1"/>
  <c r="N632" i="17" s="1"/>
  <c r="N633" i="17" a="1"/>
  <c r="N633" i="17" s="1"/>
  <c r="N695" i="17" a="1"/>
  <c r="N695" i="17" s="1"/>
  <c r="N745" i="17" a="1"/>
  <c r="N745" i="17" s="1"/>
  <c r="N795" i="17" a="1"/>
  <c r="N795" i="17" s="1"/>
  <c r="N845" i="17" a="1"/>
  <c r="N845" i="17" s="1"/>
  <c r="N895" i="17" a="1"/>
  <c r="N895" i="17" s="1"/>
  <c r="N945" i="17" a="1"/>
  <c r="N945" i="17" s="1"/>
  <c r="N995" i="17" a="1"/>
  <c r="N995" i="17" s="1"/>
  <c r="N266" i="17" a="1"/>
  <c r="N266" i="17" s="1"/>
  <c r="N267" i="17" a="1"/>
  <c r="N267" i="17" s="1"/>
  <c r="N268" i="17" a="1"/>
  <c r="N268" i="17"/>
  <c r="N269" i="17" a="1"/>
  <c r="N269" i="17" s="1"/>
  <c r="N270" i="17" a="1"/>
  <c r="N270" i="17" s="1"/>
  <c r="N271" i="17" a="1"/>
  <c r="N271" i="17" s="1"/>
  <c r="N434" i="17" a="1"/>
  <c r="N434" i="17"/>
  <c r="N435" i="17" a="1"/>
  <c r="N435" i="17" s="1"/>
  <c r="N436" i="17" a="1"/>
  <c r="N436" i="17" s="1"/>
  <c r="N496" i="17" a="1"/>
  <c r="N496" i="17" s="1"/>
  <c r="N634" i="17" a="1"/>
  <c r="N634" i="17" s="1"/>
  <c r="N635" i="17" a="1"/>
  <c r="N635" i="17" s="1"/>
  <c r="N636" i="17" a="1"/>
  <c r="N636" i="17" s="1"/>
  <c r="N696" i="17" a="1"/>
  <c r="N696" i="17" s="1"/>
  <c r="N746" i="17" a="1"/>
  <c r="N746" i="17" s="1"/>
  <c r="N796" i="17" a="1"/>
  <c r="N796" i="17" s="1"/>
  <c r="N846" i="17" a="1"/>
  <c r="N846" i="17" s="1"/>
  <c r="N896" i="17" a="1"/>
  <c r="N896" i="17" s="1"/>
  <c r="N946" i="17" a="1"/>
  <c r="N946" i="17" s="1"/>
  <c r="N996" i="17" a="1"/>
  <c r="N996" i="17" s="1"/>
  <c r="N272" i="17" a="1"/>
  <c r="N272" i="17" s="1"/>
  <c r="N273" i="17" a="1"/>
  <c r="N273" i="17" s="1"/>
  <c r="N274" i="17" a="1"/>
  <c r="N274" i="17" s="1"/>
  <c r="N275" i="17" a="1"/>
  <c r="N275" i="17" s="1"/>
  <c r="N276" i="17" a="1"/>
  <c r="N276" i="17" s="1"/>
  <c r="N277" i="17" a="1"/>
  <c r="N277" i="17" s="1"/>
  <c r="N437" i="17" a="1"/>
  <c r="N437" i="17" s="1"/>
  <c r="N438" i="17" a="1"/>
  <c r="N438" i="17" s="1"/>
  <c r="N439" i="17" a="1"/>
  <c r="N439" i="17" s="1"/>
  <c r="N497" i="17" a="1"/>
  <c r="N497" i="17" s="1"/>
  <c r="N637" i="17" a="1"/>
  <c r="N637" i="17" s="1"/>
  <c r="N638" i="17" a="1"/>
  <c r="N638" i="17" s="1"/>
  <c r="N639" i="17" a="1"/>
  <c r="N639" i="17" s="1"/>
  <c r="N697" i="17" a="1"/>
  <c r="N697" i="17" s="1"/>
  <c r="N747" i="17" a="1"/>
  <c r="N747" i="17"/>
  <c r="N797" i="17" a="1"/>
  <c r="N797" i="17" s="1"/>
  <c r="N847" i="17" a="1"/>
  <c r="N847" i="17" s="1"/>
  <c r="N897" i="17" a="1"/>
  <c r="N897" i="17" s="1"/>
  <c r="N947" i="17" a="1"/>
  <c r="N947" i="17"/>
  <c r="N997" i="17" a="1"/>
  <c r="N997" i="17" s="1"/>
  <c r="N278" i="17" a="1"/>
  <c r="N278" i="17" s="1"/>
  <c r="N279" i="17" a="1"/>
  <c r="N279" i="17" s="1"/>
  <c r="N280" i="17" a="1"/>
  <c r="N280" i="17" s="1"/>
  <c r="N281" i="17" a="1"/>
  <c r="N281" i="17" s="1"/>
  <c r="N282" i="17" a="1"/>
  <c r="N282" i="17" s="1"/>
  <c r="N283" i="17" a="1"/>
  <c r="N283" i="17" s="1"/>
  <c r="N440" i="17" a="1"/>
  <c r="N440" i="17" s="1"/>
  <c r="N441" i="17" a="1"/>
  <c r="N441" i="17" s="1"/>
  <c r="N442" i="17" a="1"/>
  <c r="N442" i="17" s="1"/>
  <c r="N498" i="17" a="1"/>
  <c r="N498" i="17" s="1"/>
  <c r="N640" i="17" a="1"/>
  <c r="N640" i="17" s="1"/>
  <c r="N641" i="17" a="1"/>
  <c r="N641" i="17" s="1"/>
  <c r="N642" i="17" a="1"/>
  <c r="N642" i="17" s="1"/>
  <c r="N698" i="17" a="1"/>
  <c r="N698" i="17" s="1"/>
  <c r="N748" i="17" a="1"/>
  <c r="N748" i="17" s="1"/>
  <c r="N798" i="17" a="1"/>
  <c r="N798" i="17" s="1"/>
  <c r="N848" i="17" a="1"/>
  <c r="N848" i="17" s="1"/>
  <c r="N898" i="17" a="1"/>
  <c r="N898" i="17" s="1"/>
  <c r="N948" i="17" a="1"/>
  <c r="N948" i="17" s="1"/>
  <c r="N998" i="17" a="1"/>
  <c r="N998" i="17" s="1"/>
  <c r="N284" i="17" a="1"/>
  <c r="N284" i="17" s="1"/>
  <c r="N285" i="17" a="1"/>
  <c r="N285" i="17" s="1"/>
  <c r="N286" i="17" a="1"/>
  <c r="N286" i="17" s="1"/>
  <c r="N287" i="17" a="1"/>
  <c r="N287" i="17" s="1"/>
  <c r="N288" i="17" a="1"/>
  <c r="N288" i="17" s="1"/>
  <c r="N289" i="17" a="1"/>
  <c r="N289" i="17" s="1"/>
  <c r="N443" i="17" a="1"/>
  <c r="N443" i="17"/>
  <c r="N444" i="17" a="1"/>
  <c r="N444" i="17" s="1"/>
  <c r="N445" i="17" a="1"/>
  <c r="N445" i="17" s="1"/>
  <c r="N499" i="17" a="1"/>
  <c r="N499" i="17" s="1"/>
  <c r="N643" i="17" a="1"/>
  <c r="N643" i="17" s="1"/>
  <c r="N644" i="17" a="1"/>
  <c r="N644" i="17" s="1"/>
  <c r="N645" i="17" a="1"/>
  <c r="N645" i="17" s="1"/>
  <c r="N699" i="17" a="1"/>
  <c r="N699" i="17" s="1"/>
  <c r="N749" i="17" a="1"/>
  <c r="N749" i="17" s="1"/>
  <c r="N799" i="17" a="1"/>
  <c r="N799" i="17" s="1"/>
  <c r="N849" i="17" a="1"/>
  <c r="N849" i="17" s="1"/>
  <c r="N899" i="17" a="1"/>
  <c r="N899" i="17" s="1"/>
  <c r="N949" i="17" a="1"/>
  <c r="N949" i="17" s="1"/>
  <c r="N999" i="17" a="1"/>
  <c r="N999" i="17" s="1"/>
  <c r="N290" i="17" a="1"/>
  <c r="N290" i="17" s="1"/>
  <c r="N291" i="17" a="1"/>
  <c r="N291" i="17" s="1"/>
  <c r="N292" i="17" a="1"/>
  <c r="N292" i="17" s="1"/>
  <c r="N293" i="17" a="1"/>
  <c r="N293" i="17" s="1"/>
  <c r="N294" i="17" a="1"/>
  <c r="N294" i="17" s="1"/>
  <c r="N295" i="17" a="1"/>
  <c r="N295" i="17" s="1"/>
  <c r="N446" i="17" a="1"/>
  <c r="N446" i="17" s="1"/>
  <c r="N447" i="17" a="1"/>
  <c r="N447" i="17" s="1"/>
  <c r="N448" i="17" a="1"/>
  <c r="N448" i="17" s="1"/>
  <c r="N500" i="17" a="1"/>
  <c r="N500" i="17" s="1"/>
  <c r="N646" i="17" a="1"/>
  <c r="N646" i="17" s="1"/>
  <c r="N647" i="17" a="1"/>
  <c r="N647" i="17" s="1"/>
  <c r="N648" i="17" a="1"/>
  <c r="N648" i="17" s="1"/>
  <c r="N700" i="17" a="1"/>
  <c r="N700" i="17" s="1"/>
  <c r="N750" i="17" a="1"/>
  <c r="N750" i="17" s="1"/>
  <c r="N800" i="17" a="1"/>
  <c r="N800" i="17" s="1"/>
  <c r="N850" i="17" a="1"/>
  <c r="N850" i="17" s="1"/>
  <c r="N900" i="17" a="1"/>
  <c r="N900" i="17" s="1"/>
  <c r="N950" i="17" a="1"/>
  <c r="N950" i="17" s="1"/>
  <c r="N1000" i="17" a="1"/>
  <c r="N1000" i="17" s="1"/>
  <c r="N296" i="17" a="1"/>
  <c r="N296" i="17" s="1"/>
  <c r="N297" i="17" a="1"/>
  <c r="N297" i="17" s="1"/>
  <c r="N298" i="17" a="1"/>
  <c r="N298" i="17" s="1"/>
  <c r="N299" i="17" a="1"/>
  <c r="N299" i="17" s="1"/>
  <c r="N300" i="17" a="1"/>
  <c r="N300" i="17" s="1"/>
  <c r="N301" i="17" a="1"/>
  <c r="N301" i="17" s="1"/>
  <c r="N449" i="17" a="1"/>
  <c r="N449" i="17" s="1"/>
  <c r="N450" i="17" a="1"/>
  <c r="N450" i="17" s="1"/>
  <c r="N451" i="17" a="1"/>
  <c r="N451" i="17" s="1"/>
  <c r="N501" i="17" a="1"/>
  <c r="N501" i="17" s="1"/>
  <c r="N649" i="17" a="1"/>
  <c r="N649" i="17" s="1"/>
  <c r="N650" i="17" a="1"/>
  <c r="N650" i="17" s="1"/>
  <c r="N651" i="17" a="1"/>
  <c r="N651" i="17" s="1"/>
  <c r="N701" i="17" a="1"/>
  <c r="N701" i="17" s="1"/>
  <c r="N751" i="17" a="1"/>
  <c r="N751" i="17" s="1"/>
  <c r="N801" i="17" a="1"/>
  <c r="N801" i="17" s="1"/>
  <c r="N851" i="17" a="1"/>
  <c r="N851" i="17" s="1"/>
  <c r="N901" i="17" a="1"/>
  <c r="N901" i="17" s="1"/>
  <c r="N951" i="17" a="1"/>
  <c r="N951" i="17" s="1"/>
  <c r="N1001" i="17" a="1"/>
  <c r="N100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302" i="17" a="1"/>
  <c r="O302" i="17" s="1"/>
  <c r="O303" i="17" a="1"/>
  <c r="O303" i="17" s="1"/>
  <c r="O304" i="17" a="1"/>
  <c r="O304" i="17" s="1"/>
  <c r="O452" i="17" a="1"/>
  <c r="O452" i="17" s="1"/>
  <c r="O502" i="17" a="1"/>
  <c r="O502" i="17" s="1"/>
  <c r="O503" i="17" a="1"/>
  <c r="O503" i="17" s="1"/>
  <c r="O504" i="17" a="1"/>
  <c r="O504" i="17" s="1"/>
  <c r="O652" i="17" a="1"/>
  <c r="O652" i="17" s="1"/>
  <c r="O702" i="17" a="1"/>
  <c r="O702" i="17" s="1"/>
  <c r="O752" i="17" a="1"/>
  <c r="O752" i="17" s="1"/>
  <c r="O802" i="17" a="1"/>
  <c r="O802" i="17" s="1"/>
  <c r="O852" i="17" a="1"/>
  <c r="O852" i="17" s="1"/>
  <c r="O902" i="17" a="1"/>
  <c r="O902" i="17" s="1"/>
  <c r="O952" i="17" a="1"/>
  <c r="O952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305" i="17" a="1"/>
  <c r="O305" i="17" s="1"/>
  <c r="O306" i="17" a="1"/>
  <c r="O306" i="17" s="1"/>
  <c r="O307" i="17" a="1"/>
  <c r="O307" i="17" s="1"/>
  <c r="O453" i="17" a="1"/>
  <c r="O453" i="17" s="1"/>
  <c r="O505" i="17" a="1"/>
  <c r="O505" i="17" s="1"/>
  <c r="O506" i="17" a="1"/>
  <c r="O506" i="17" s="1"/>
  <c r="O507" i="17" a="1"/>
  <c r="O507" i="17" s="1"/>
  <c r="O653" i="17" a="1"/>
  <c r="O653" i="17" s="1"/>
  <c r="O703" i="17" a="1"/>
  <c r="O703" i="17" s="1"/>
  <c r="O753" i="17" a="1"/>
  <c r="O753" i="17" s="1"/>
  <c r="O803" i="17" a="1"/>
  <c r="O803" i="17" s="1"/>
  <c r="O853" i="17" a="1"/>
  <c r="O853" i="17" s="1"/>
  <c r="O903" i="17" a="1"/>
  <c r="O903" i="17" s="1"/>
  <c r="O953" i="17" a="1"/>
  <c r="O95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308" i="17" a="1"/>
  <c r="O308" i="17" s="1"/>
  <c r="O309" i="17" a="1"/>
  <c r="O309" i="17" s="1"/>
  <c r="O310" i="17" a="1"/>
  <c r="O310" i="17" s="1"/>
  <c r="O454" i="17" a="1"/>
  <c r="O454" i="17" s="1"/>
  <c r="O508" i="17" a="1"/>
  <c r="O508" i="17" s="1"/>
  <c r="O509" i="17" a="1"/>
  <c r="O509" i="17" s="1"/>
  <c r="O510" i="17" a="1"/>
  <c r="O510" i="17" s="1"/>
  <c r="O654" i="17" a="1"/>
  <c r="O654" i="17" s="1"/>
  <c r="O704" i="17" a="1"/>
  <c r="O704" i="17" s="1"/>
  <c r="O754" i="17" a="1"/>
  <c r="O754" i="17" s="1"/>
  <c r="O804" i="17" a="1"/>
  <c r="O804" i="17" s="1"/>
  <c r="O854" i="17" a="1"/>
  <c r="O854" i="17" s="1"/>
  <c r="O904" i="17" a="1"/>
  <c r="O904" i="17" s="1"/>
  <c r="O954" i="17" a="1"/>
  <c r="O954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311" i="17" a="1"/>
  <c r="O311" i="17" s="1"/>
  <c r="O312" i="17" a="1"/>
  <c r="O312" i="17" s="1"/>
  <c r="O313" i="17" a="1"/>
  <c r="O313" i="17" s="1"/>
  <c r="O455" i="17" a="1"/>
  <c r="O455" i="17" s="1"/>
  <c r="O511" i="17" a="1"/>
  <c r="O511" i="17" s="1"/>
  <c r="O512" i="17" a="1"/>
  <c r="O512" i="17" s="1"/>
  <c r="O513" i="17" a="1"/>
  <c r="O513" i="17" s="1"/>
  <c r="O655" i="17" a="1"/>
  <c r="O655" i="17" s="1"/>
  <c r="O705" i="17" a="1"/>
  <c r="O705" i="17" s="1"/>
  <c r="O755" i="17" a="1"/>
  <c r="O755" i="17" s="1"/>
  <c r="O805" i="17" a="1"/>
  <c r="O805" i="17" s="1"/>
  <c r="O855" i="17" a="1"/>
  <c r="O855" i="17" s="1"/>
  <c r="O905" i="17" a="1"/>
  <c r="O905" i="17" s="1"/>
  <c r="O955" i="17" a="1"/>
  <c r="O955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14" i="17" a="1"/>
  <c r="O314" i="17" s="1"/>
  <c r="O315" i="17" a="1"/>
  <c r="O315" i="17" s="1"/>
  <c r="O316" i="17" a="1"/>
  <c r="O316" i="17" s="1"/>
  <c r="O456" i="17" a="1"/>
  <c r="O456" i="17" s="1"/>
  <c r="O514" i="17" a="1"/>
  <c r="O514" i="17" s="1"/>
  <c r="O515" i="17" a="1"/>
  <c r="O515" i="17" s="1"/>
  <c r="O516" i="17" a="1"/>
  <c r="O516" i="17" s="1"/>
  <c r="O656" i="17" a="1"/>
  <c r="O656" i="17" s="1"/>
  <c r="O706" i="17" a="1"/>
  <c r="O706" i="17" s="1"/>
  <c r="O756" i="17" a="1"/>
  <c r="O756" i="17" s="1"/>
  <c r="O806" i="17" a="1"/>
  <c r="O806" i="17" s="1"/>
  <c r="O856" i="17" a="1"/>
  <c r="O856" i="17" s="1"/>
  <c r="O906" i="17" a="1"/>
  <c r="O906" i="17" s="1"/>
  <c r="O956" i="17" a="1"/>
  <c r="O956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317" i="17" a="1"/>
  <c r="O317" i="17" s="1"/>
  <c r="O318" i="17" a="1"/>
  <c r="O318" i="17" s="1"/>
  <c r="O319" i="17" a="1"/>
  <c r="O319" i="17" s="1"/>
  <c r="O457" i="17" a="1"/>
  <c r="O457" i="17" s="1"/>
  <c r="O517" i="17" a="1"/>
  <c r="O517" i="17" s="1"/>
  <c r="O518" i="17" a="1"/>
  <c r="O518" i="17" s="1"/>
  <c r="O519" i="17" a="1"/>
  <c r="O519" i="17" s="1"/>
  <c r="O657" i="17" a="1"/>
  <c r="O657" i="17" s="1"/>
  <c r="O707" i="17" a="1"/>
  <c r="O707" i="17" s="1"/>
  <c r="O757" i="17" a="1"/>
  <c r="O757" i="17" s="1"/>
  <c r="O807" i="17" a="1"/>
  <c r="O807" i="17" s="1"/>
  <c r="O857" i="17" a="1"/>
  <c r="O857" i="17" s="1"/>
  <c r="O907" i="17" a="1"/>
  <c r="O907" i="17" s="1"/>
  <c r="O957" i="17" a="1"/>
  <c r="O957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320" i="17" a="1"/>
  <c r="O320" i="17" s="1"/>
  <c r="O321" i="17" a="1"/>
  <c r="O321" i="17" s="1"/>
  <c r="O322" i="17" a="1"/>
  <c r="O322" i="17" s="1"/>
  <c r="O458" i="17" a="1"/>
  <c r="O458" i="17" s="1"/>
  <c r="O520" i="17" a="1"/>
  <c r="O520" i="17" s="1"/>
  <c r="O521" i="17" a="1"/>
  <c r="O521" i="17" s="1"/>
  <c r="O522" i="17" a="1"/>
  <c r="O522" i="17" s="1"/>
  <c r="O658" i="17" a="1"/>
  <c r="O658" i="17" s="1"/>
  <c r="O708" i="17" a="1"/>
  <c r="O708" i="17" s="1"/>
  <c r="O758" i="17" a="1"/>
  <c r="O758" i="17" s="1"/>
  <c r="O808" i="17" a="1"/>
  <c r="O808" i="17" s="1"/>
  <c r="O858" i="17" a="1"/>
  <c r="O858" i="17" s="1"/>
  <c r="O908" i="17" a="1"/>
  <c r="O908" i="17" s="1"/>
  <c r="O958" i="17" a="1"/>
  <c r="O958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323" i="17" a="1"/>
  <c r="O323" i="17" s="1"/>
  <c r="O324" i="17" a="1"/>
  <c r="O324" i="17" s="1"/>
  <c r="O325" i="17" a="1"/>
  <c r="O325" i="17" s="1"/>
  <c r="O459" i="17" a="1"/>
  <c r="O459" i="17" s="1"/>
  <c r="O523" i="17" a="1"/>
  <c r="O523" i="17" s="1"/>
  <c r="O524" i="17" a="1"/>
  <c r="O524" i="17" s="1"/>
  <c r="O525" i="17" a="1"/>
  <c r="O525" i="17" s="1"/>
  <c r="O659" i="17" a="1"/>
  <c r="O659" i="17" s="1"/>
  <c r="O709" i="17" a="1"/>
  <c r="O709" i="17" s="1"/>
  <c r="O759" i="17" a="1"/>
  <c r="O759" i="17" s="1"/>
  <c r="O809" i="17" a="1"/>
  <c r="O809" i="17" s="1"/>
  <c r="O859" i="17" a="1"/>
  <c r="O859" i="17" s="1"/>
  <c r="O909" i="17" a="1"/>
  <c r="O909" i="17" s="1"/>
  <c r="O959" i="17" a="1"/>
  <c r="O959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326" i="17" a="1"/>
  <c r="O326" i="17" s="1"/>
  <c r="O327" i="17" a="1"/>
  <c r="O327" i="17" s="1"/>
  <c r="O328" i="17" a="1"/>
  <c r="O328" i="17" s="1"/>
  <c r="O460" i="17" a="1"/>
  <c r="O460" i="17" s="1"/>
  <c r="O526" i="17" a="1"/>
  <c r="O526" i="17" s="1"/>
  <c r="O527" i="17" a="1"/>
  <c r="O527" i="17" s="1"/>
  <c r="O528" i="17" a="1"/>
  <c r="O528" i="17" s="1"/>
  <c r="O660" i="17" a="1"/>
  <c r="O660" i="17" s="1"/>
  <c r="O710" i="17" a="1"/>
  <c r="O710" i="17" s="1"/>
  <c r="O760" i="17" a="1"/>
  <c r="O760" i="17" s="1"/>
  <c r="O810" i="17" a="1"/>
  <c r="O810" i="17" s="1"/>
  <c r="O860" i="17" a="1"/>
  <c r="O860" i="17" s="1"/>
  <c r="O910" i="17" a="1"/>
  <c r="O910" i="17" s="1"/>
  <c r="O960" i="17" a="1"/>
  <c r="O96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329" i="17" a="1"/>
  <c r="O329" i="17" s="1"/>
  <c r="O330" i="17" a="1"/>
  <c r="O330" i="17" s="1"/>
  <c r="O331" i="17" a="1"/>
  <c r="O331" i="17" s="1"/>
  <c r="O461" i="17" a="1"/>
  <c r="O461" i="17" s="1"/>
  <c r="O529" i="17" a="1"/>
  <c r="O529" i="17" s="1"/>
  <c r="O530" i="17" a="1"/>
  <c r="O530" i="17" s="1"/>
  <c r="O531" i="17" a="1"/>
  <c r="O531" i="17" s="1"/>
  <c r="O661" i="17" a="1"/>
  <c r="O661" i="17" s="1"/>
  <c r="O711" i="17" a="1"/>
  <c r="O711" i="17" s="1"/>
  <c r="O761" i="17" a="1"/>
  <c r="O761" i="17" s="1"/>
  <c r="O811" i="17" a="1"/>
  <c r="O811" i="17" s="1"/>
  <c r="O861" i="17" a="1"/>
  <c r="O861" i="17" s="1"/>
  <c r="O911" i="17" a="1"/>
  <c r="O911" i="17" s="1"/>
  <c r="O961" i="17" a="1"/>
  <c r="O96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332" i="17" a="1"/>
  <c r="O332" i="17" s="1"/>
  <c r="O333" i="17" a="1"/>
  <c r="O333" i="17" s="1"/>
  <c r="O334" i="17" a="1"/>
  <c r="O334" i="17" s="1"/>
  <c r="O462" i="17" a="1"/>
  <c r="O462" i="17" s="1"/>
  <c r="O532" i="17" a="1"/>
  <c r="O532" i="17" s="1"/>
  <c r="O533" i="17" a="1"/>
  <c r="O533" i="17" s="1"/>
  <c r="O534" i="17" a="1"/>
  <c r="O534" i="17" s="1"/>
  <c r="O662" i="17" a="1"/>
  <c r="O662" i="17" s="1"/>
  <c r="O712" i="17" a="1"/>
  <c r="O712" i="17" s="1"/>
  <c r="O762" i="17" a="1"/>
  <c r="O762" i="17" s="1"/>
  <c r="O812" i="17" a="1"/>
  <c r="O812" i="17" s="1"/>
  <c r="O862" i="17" a="1"/>
  <c r="O862" i="17" s="1"/>
  <c r="O912" i="17" a="1"/>
  <c r="O912" i="17" s="1"/>
  <c r="O962" i="17" a="1"/>
  <c r="O962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335" i="17" a="1"/>
  <c r="O335" i="17" s="1"/>
  <c r="O336" i="17" a="1"/>
  <c r="O336" i="17" s="1"/>
  <c r="O337" i="17" a="1"/>
  <c r="O337" i="17" s="1"/>
  <c r="O463" i="17" a="1"/>
  <c r="O463" i="17" s="1"/>
  <c r="O535" i="17" a="1"/>
  <c r="O535" i="17" s="1"/>
  <c r="O536" i="17" a="1"/>
  <c r="O536" i="17" s="1"/>
  <c r="O537" i="17" a="1"/>
  <c r="O537" i="17" s="1"/>
  <c r="O663" i="17" a="1"/>
  <c r="O663" i="17" s="1"/>
  <c r="O713" i="17" a="1"/>
  <c r="O713" i="17" s="1"/>
  <c r="O763" i="17" a="1"/>
  <c r="O763" i="17" s="1"/>
  <c r="O813" i="17" a="1"/>
  <c r="O813" i="17" s="1"/>
  <c r="O863" i="17" a="1"/>
  <c r="O863" i="17" s="1"/>
  <c r="O913" i="17" a="1"/>
  <c r="O913" i="17" s="1"/>
  <c r="O963" i="17" a="1"/>
  <c r="O963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338" i="17" a="1"/>
  <c r="O338" i="17" s="1"/>
  <c r="O339" i="17" a="1"/>
  <c r="O339" i="17" s="1"/>
  <c r="O340" i="17" a="1"/>
  <c r="O340" i="17" s="1"/>
  <c r="O464" i="17" a="1"/>
  <c r="O464" i="17" s="1"/>
  <c r="O538" i="17" a="1"/>
  <c r="O538" i="17" s="1"/>
  <c r="O539" i="17" a="1"/>
  <c r="O539" i="17" s="1"/>
  <c r="O540" i="17" a="1"/>
  <c r="O540" i="17" s="1"/>
  <c r="O664" i="17" a="1"/>
  <c r="O664" i="17" s="1"/>
  <c r="O714" i="17" a="1"/>
  <c r="O714" i="17" s="1"/>
  <c r="O764" i="17" a="1"/>
  <c r="O764" i="17" s="1"/>
  <c r="O814" i="17" a="1"/>
  <c r="O814" i="17" s="1"/>
  <c r="O864" i="17" a="1"/>
  <c r="O864" i="17" s="1"/>
  <c r="O914" i="17" a="1"/>
  <c r="O914" i="17" s="1"/>
  <c r="O964" i="17" a="1"/>
  <c r="O964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341" i="17" a="1"/>
  <c r="O341" i="17" s="1"/>
  <c r="O342" i="17" a="1"/>
  <c r="O342" i="17" s="1"/>
  <c r="O343" i="17" a="1"/>
  <c r="O343" i="17" s="1"/>
  <c r="O465" i="17" a="1"/>
  <c r="O465" i="17" s="1"/>
  <c r="O541" i="17" a="1"/>
  <c r="O541" i="17" s="1"/>
  <c r="O542" i="17" a="1"/>
  <c r="O542" i="17" s="1"/>
  <c r="O543" i="17" a="1"/>
  <c r="O543" i="17" s="1"/>
  <c r="O665" i="17" a="1"/>
  <c r="O665" i="17" s="1"/>
  <c r="O715" i="17" a="1"/>
  <c r="O715" i="17" s="1"/>
  <c r="O765" i="17" a="1"/>
  <c r="O765" i="17" s="1"/>
  <c r="O815" i="17" a="1"/>
  <c r="O815" i="17" s="1"/>
  <c r="O865" i="17" a="1"/>
  <c r="O865" i="17" s="1"/>
  <c r="O915" i="17" a="1"/>
  <c r="O915" i="17" s="1"/>
  <c r="O965" i="17" a="1"/>
  <c r="O965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344" i="17" a="1"/>
  <c r="O344" i="17" s="1"/>
  <c r="O345" i="17" a="1"/>
  <c r="O345" i="17" s="1"/>
  <c r="O346" i="17" a="1"/>
  <c r="O346" i="17" s="1"/>
  <c r="O466" i="17" a="1"/>
  <c r="O466" i="17" s="1"/>
  <c r="O544" i="17" a="1"/>
  <c r="O544" i="17" s="1"/>
  <c r="O545" i="17" a="1"/>
  <c r="O545" i="17" s="1"/>
  <c r="O546" i="17" a="1"/>
  <c r="O546" i="17" s="1"/>
  <c r="O666" i="17" a="1"/>
  <c r="O666" i="17" s="1"/>
  <c r="O716" i="17" a="1"/>
  <c r="O716" i="17" s="1"/>
  <c r="O766" i="17" a="1"/>
  <c r="O766" i="17" s="1"/>
  <c r="O816" i="17" a="1"/>
  <c r="O816" i="17" s="1"/>
  <c r="O866" i="17" a="1"/>
  <c r="O866" i="17" s="1"/>
  <c r="O916" i="17" a="1"/>
  <c r="O916" i="17" s="1"/>
  <c r="O966" i="17" a="1"/>
  <c r="O966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347" i="17" a="1"/>
  <c r="O347" i="17" s="1"/>
  <c r="O348" i="17" a="1"/>
  <c r="O348" i="17" s="1"/>
  <c r="O349" i="17" a="1"/>
  <c r="O349" i="17" s="1"/>
  <c r="O467" i="17" a="1"/>
  <c r="O467" i="17" s="1"/>
  <c r="O547" i="17" a="1"/>
  <c r="O547" i="17" s="1"/>
  <c r="O548" i="17" a="1"/>
  <c r="O548" i="17" s="1"/>
  <c r="O549" i="17" a="1"/>
  <c r="O549" i="17" s="1"/>
  <c r="O667" i="17" a="1"/>
  <c r="O667" i="17" s="1"/>
  <c r="O717" i="17" a="1"/>
  <c r="O717" i="17" s="1"/>
  <c r="O767" i="17" a="1"/>
  <c r="O767" i="17" s="1"/>
  <c r="O817" i="17" a="1"/>
  <c r="O817" i="17" s="1"/>
  <c r="O867" i="17" a="1"/>
  <c r="O867" i="17" s="1"/>
  <c r="O917" i="17" a="1"/>
  <c r="O917" i="17" s="1"/>
  <c r="O967" i="17" a="1"/>
  <c r="O967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350" i="17" a="1"/>
  <c r="O350" i="17" s="1"/>
  <c r="O351" i="17" a="1"/>
  <c r="O351" i="17" s="1"/>
  <c r="O352" i="17" a="1"/>
  <c r="O352" i="17" s="1"/>
  <c r="O468" i="17" a="1"/>
  <c r="O468" i="17" s="1"/>
  <c r="O550" i="17" a="1"/>
  <c r="O550" i="17" s="1"/>
  <c r="O551" i="17" a="1"/>
  <c r="O551" i="17" s="1"/>
  <c r="O552" i="17" a="1"/>
  <c r="O552" i="17" s="1"/>
  <c r="O668" i="17" a="1"/>
  <c r="O668" i="17" s="1"/>
  <c r="O718" i="17" a="1"/>
  <c r="O718" i="17" s="1"/>
  <c r="O768" i="17" a="1"/>
  <c r="O768" i="17" s="1"/>
  <c r="O818" i="17" a="1"/>
  <c r="O818" i="17" s="1"/>
  <c r="O868" i="17" a="1"/>
  <c r="O868" i="17" s="1"/>
  <c r="O918" i="17" a="1"/>
  <c r="O918" i="17" s="1"/>
  <c r="O968" i="17" a="1"/>
  <c r="O96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353" i="17" a="1"/>
  <c r="O353" i="17" s="1"/>
  <c r="O354" i="17" a="1"/>
  <c r="O354" i="17" s="1"/>
  <c r="O355" i="17" a="1"/>
  <c r="O355" i="17" s="1"/>
  <c r="O469" i="17" a="1"/>
  <c r="O469" i="17" s="1"/>
  <c r="O553" i="17" a="1"/>
  <c r="O553" i="17" s="1"/>
  <c r="O554" i="17" a="1"/>
  <c r="O554" i="17" s="1"/>
  <c r="O555" i="17" a="1"/>
  <c r="O555" i="17" s="1"/>
  <c r="O669" i="17" a="1"/>
  <c r="O669" i="17" s="1"/>
  <c r="O719" i="17" a="1"/>
  <c r="O719" i="17" s="1"/>
  <c r="O769" i="17" a="1"/>
  <c r="O769" i="17" s="1"/>
  <c r="O819" i="17" a="1"/>
  <c r="O819" i="17" s="1"/>
  <c r="O869" i="17" a="1"/>
  <c r="O869" i="17" s="1"/>
  <c r="O919" i="17" a="1"/>
  <c r="O919" i="17" s="1"/>
  <c r="O969" i="17" a="1"/>
  <c r="O969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356" i="17" a="1"/>
  <c r="O356" i="17" s="1"/>
  <c r="O357" i="17" a="1"/>
  <c r="O357" i="17" s="1"/>
  <c r="O358" i="17" a="1"/>
  <c r="O358" i="17" s="1"/>
  <c r="O470" i="17" a="1"/>
  <c r="O470" i="17" s="1"/>
  <c r="O556" i="17" a="1"/>
  <c r="O556" i="17" s="1"/>
  <c r="O557" i="17" a="1"/>
  <c r="O557" i="17" s="1"/>
  <c r="O558" i="17" a="1"/>
  <c r="O558" i="17" s="1"/>
  <c r="O670" i="17" a="1"/>
  <c r="O670" i="17" s="1"/>
  <c r="O720" i="17" a="1"/>
  <c r="O720" i="17" s="1"/>
  <c r="O770" i="17" a="1"/>
  <c r="O770" i="17" s="1"/>
  <c r="O820" i="17" a="1"/>
  <c r="O820" i="17" s="1"/>
  <c r="O870" i="17" a="1"/>
  <c r="O870" i="17" s="1"/>
  <c r="O920" i="17" a="1"/>
  <c r="O920" i="17" s="1"/>
  <c r="O970" i="17" a="1"/>
  <c r="O970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359" i="17" a="1"/>
  <c r="O359" i="17" s="1"/>
  <c r="O360" i="17" a="1"/>
  <c r="O360" i="17" s="1"/>
  <c r="O361" i="17" a="1"/>
  <c r="O361" i="17" s="1"/>
  <c r="O471" i="17" a="1"/>
  <c r="O471" i="17" s="1"/>
  <c r="O559" i="17" a="1"/>
  <c r="O559" i="17" s="1"/>
  <c r="O560" i="17" a="1"/>
  <c r="O560" i="17" s="1"/>
  <c r="O561" i="17" a="1"/>
  <c r="O561" i="17" s="1"/>
  <c r="O671" i="17" a="1"/>
  <c r="O671" i="17" s="1"/>
  <c r="O721" i="17" a="1"/>
  <c r="O721" i="17" s="1"/>
  <c r="O771" i="17" a="1"/>
  <c r="O771" i="17" s="1"/>
  <c r="O821" i="17" a="1"/>
  <c r="O821" i="17" s="1"/>
  <c r="O871" i="17" a="1"/>
  <c r="O871" i="17" s="1"/>
  <c r="O921" i="17" a="1"/>
  <c r="O921" i="17" s="1"/>
  <c r="O971" i="17" a="1"/>
  <c r="O97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362" i="17" a="1"/>
  <c r="O362" i="17" s="1"/>
  <c r="O363" i="17" a="1"/>
  <c r="O363" i="17" s="1"/>
  <c r="O364" i="17" a="1"/>
  <c r="O364" i="17" s="1"/>
  <c r="O472" i="17" a="1"/>
  <c r="O472" i="17" s="1"/>
  <c r="O562" i="17" a="1"/>
  <c r="O562" i="17" s="1"/>
  <c r="O563" i="17" a="1"/>
  <c r="O563" i="17" s="1"/>
  <c r="O564" i="17" a="1"/>
  <c r="O564" i="17" s="1"/>
  <c r="O672" i="17" a="1"/>
  <c r="O672" i="17" s="1"/>
  <c r="O722" i="17" a="1"/>
  <c r="O722" i="17" s="1"/>
  <c r="O772" i="17" a="1"/>
  <c r="O772" i="17" s="1"/>
  <c r="O822" i="17" a="1"/>
  <c r="O822" i="17" s="1"/>
  <c r="O872" i="17" a="1"/>
  <c r="O872" i="17" s="1"/>
  <c r="O922" i="17" a="1"/>
  <c r="O922" i="17" s="1"/>
  <c r="O972" i="17" a="1"/>
  <c r="O972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365" i="17" a="1"/>
  <c r="O365" i="17" s="1"/>
  <c r="O366" i="17" a="1"/>
  <c r="O366" i="17" s="1"/>
  <c r="O367" i="17" a="1"/>
  <c r="O367" i="17" s="1"/>
  <c r="O473" i="17" a="1"/>
  <c r="O473" i="17" s="1"/>
  <c r="O565" i="17" a="1"/>
  <c r="O565" i="17" s="1"/>
  <c r="O566" i="17" a="1"/>
  <c r="O566" i="17" s="1"/>
  <c r="O567" i="17" a="1"/>
  <c r="O567" i="17" s="1"/>
  <c r="O673" i="17" a="1"/>
  <c r="O673" i="17" s="1"/>
  <c r="O723" i="17" a="1"/>
  <c r="O723" i="17" s="1"/>
  <c r="O773" i="17" a="1"/>
  <c r="O773" i="17" s="1"/>
  <c r="O823" i="17" a="1"/>
  <c r="O823" i="17" s="1"/>
  <c r="O873" i="17" a="1"/>
  <c r="O873" i="17" s="1"/>
  <c r="O923" i="17" a="1"/>
  <c r="O923" i="17" s="1"/>
  <c r="O973" i="17" a="1"/>
  <c r="O973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68" i="17" a="1"/>
  <c r="O368" i="17" s="1"/>
  <c r="O369" i="17" a="1"/>
  <c r="O369" i="17" s="1"/>
  <c r="O370" i="17" a="1"/>
  <c r="O370" i="17" s="1"/>
  <c r="O474" i="17" a="1"/>
  <c r="O474" i="17" s="1"/>
  <c r="O568" i="17" a="1"/>
  <c r="O568" i="17" s="1"/>
  <c r="O569" i="17" a="1"/>
  <c r="O569" i="17" s="1"/>
  <c r="O570" i="17" a="1"/>
  <c r="O570" i="17" s="1"/>
  <c r="O674" i="17" a="1"/>
  <c r="O674" i="17" s="1"/>
  <c r="O724" i="17" a="1"/>
  <c r="O724" i="17" s="1"/>
  <c r="O774" i="17" a="1"/>
  <c r="O774" i="17" s="1"/>
  <c r="O824" i="17" a="1"/>
  <c r="O824" i="17" s="1"/>
  <c r="O874" i="17" a="1"/>
  <c r="O874" i="17" s="1"/>
  <c r="O924" i="17" a="1"/>
  <c r="O924" i="17" s="1"/>
  <c r="O974" i="17" a="1"/>
  <c r="O97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371" i="17" a="1"/>
  <c r="O371" i="17" s="1"/>
  <c r="O372" i="17" a="1"/>
  <c r="O372" i="17" s="1"/>
  <c r="O373" i="17" a="1"/>
  <c r="O373" i="17" s="1"/>
  <c r="O475" i="17" a="1"/>
  <c r="O475" i="17" s="1"/>
  <c r="O571" i="17" a="1"/>
  <c r="O571" i="17" s="1"/>
  <c r="O572" i="17" a="1"/>
  <c r="O572" i="17" s="1"/>
  <c r="O573" i="17" a="1"/>
  <c r="O573" i="17" s="1"/>
  <c r="O675" i="17" a="1"/>
  <c r="O675" i="17" s="1"/>
  <c r="O725" i="17" a="1"/>
  <c r="O725" i="17" s="1"/>
  <c r="O775" i="17" a="1"/>
  <c r="O775" i="17" s="1"/>
  <c r="O825" i="17" a="1"/>
  <c r="O825" i="17" s="1"/>
  <c r="O875" i="17" a="1"/>
  <c r="O875" i="17" s="1"/>
  <c r="O925" i="17" a="1"/>
  <c r="O925" i="17" s="1"/>
  <c r="O975" i="17" a="1"/>
  <c r="O975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374" i="17" a="1"/>
  <c r="O374" i="17" s="1"/>
  <c r="O375" i="17" a="1"/>
  <c r="O375" i="17" s="1"/>
  <c r="O376" i="17" a="1"/>
  <c r="O376" i="17" s="1"/>
  <c r="O476" i="17" a="1"/>
  <c r="O476" i="17" s="1"/>
  <c r="O574" i="17" a="1"/>
  <c r="O574" i="17" s="1"/>
  <c r="O575" i="17" a="1"/>
  <c r="O575" i="17" s="1"/>
  <c r="O576" i="17" a="1"/>
  <c r="O576" i="17" s="1"/>
  <c r="O676" i="17" a="1"/>
  <c r="O676" i="17" s="1"/>
  <c r="O726" i="17" a="1"/>
  <c r="O726" i="17" s="1"/>
  <c r="O776" i="17" a="1"/>
  <c r="O776" i="17" s="1"/>
  <c r="O826" i="17" a="1"/>
  <c r="O826" i="17" s="1"/>
  <c r="O876" i="17" a="1"/>
  <c r="O876" i="17" s="1"/>
  <c r="O926" i="17" a="1"/>
  <c r="O926" i="17" s="1"/>
  <c r="O976" i="17" a="1"/>
  <c r="O976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377" i="17" a="1"/>
  <c r="O377" i="17" s="1"/>
  <c r="O378" i="17" a="1"/>
  <c r="O378" i="17" s="1"/>
  <c r="O379" i="17" a="1"/>
  <c r="O379" i="17" s="1"/>
  <c r="O477" i="17" a="1"/>
  <c r="O477" i="17" s="1"/>
  <c r="O577" i="17" a="1"/>
  <c r="O577" i="17" s="1"/>
  <c r="O578" i="17" a="1"/>
  <c r="O578" i="17" s="1"/>
  <c r="O579" i="17" a="1"/>
  <c r="O579" i="17" s="1"/>
  <c r="O677" i="17" a="1"/>
  <c r="O677" i="17" s="1"/>
  <c r="O727" i="17" a="1"/>
  <c r="O727" i="17" s="1"/>
  <c r="O777" i="17" a="1"/>
  <c r="O777" i="17" s="1"/>
  <c r="O827" i="17" a="1"/>
  <c r="O827" i="17" s="1"/>
  <c r="O877" i="17" a="1"/>
  <c r="O877" i="17" s="1"/>
  <c r="O927" i="17" a="1"/>
  <c r="O927" i="17" s="1"/>
  <c r="O977" i="17" a="1"/>
  <c r="O977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380" i="17" a="1"/>
  <c r="O380" i="17" s="1"/>
  <c r="O381" i="17" a="1"/>
  <c r="O381" i="17" s="1"/>
  <c r="O382" i="17" a="1"/>
  <c r="O382" i="17" s="1"/>
  <c r="O478" i="17" a="1"/>
  <c r="O478" i="17" s="1"/>
  <c r="O580" i="17" a="1"/>
  <c r="O580" i="17" s="1"/>
  <c r="O581" i="17" a="1"/>
  <c r="O581" i="17" s="1"/>
  <c r="O582" i="17" a="1"/>
  <c r="O582" i="17" s="1"/>
  <c r="O678" i="17" a="1"/>
  <c r="O678" i="17" s="1"/>
  <c r="O728" i="17" a="1"/>
  <c r="O728" i="17" s="1"/>
  <c r="O778" i="17" a="1"/>
  <c r="O778" i="17" s="1"/>
  <c r="O828" i="17" a="1"/>
  <c r="O828" i="17" s="1"/>
  <c r="O878" i="17" a="1"/>
  <c r="O878" i="17" s="1"/>
  <c r="O928" i="17" a="1"/>
  <c r="O928" i="17" s="1"/>
  <c r="O978" i="17" a="1"/>
  <c r="O978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383" i="17" a="1"/>
  <c r="O383" i="17" s="1"/>
  <c r="O384" i="17" a="1"/>
  <c r="O384" i="17" s="1"/>
  <c r="O385" i="17" a="1"/>
  <c r="O385" i="17" s="1"/>
  <c r="O479" i="17" a="1"/>
  <c r="O479" i="17" s="1"/>
  <c r="O583" i="17" a="1"/>
  <c r="O583" i="17" s="1"/>
  <c r="O584" i="17" a="1"/>
  <c r="O584" i="17" s="1"/>
  <c r="O585" i="17" a="1"/>
  <c r="O585" i="17" s="1"/>
  <c r="O679" i="17" a="1"/>
  <c r="O679" i="17" s="1"/>
  <c r="O729" i="17" a="1"/>
  <c r="O729" i="17" s="1"/>
  <c r="O779" i="17" a="1"/>
  <c r="O779" i="17" s="1"/>
  <c r="O829" i="17" a="1"/>
  <c r="O829" i="17" s="1"/>
  <c r="O879" i="17" a="1"/>
  <c r="O879" i="17" s="1"/>
  <c r="O929" i="17" a="1"/>
  <c r="O929" i="17" s="1"/>
  <c r="O979" i="17" a="1"/>
  <c r="O979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386" i="17" a="1"/>
  <c r="O386" i="17" s="1"/>
  <c r="O387" i="17" a="1"/>
  <c r="O387" i="17" s="1"/>
  <c r="O388" i="17" a="1"/>
  <c r="O388" i="17" s="1"/>
  <c r="O480" i="17" a="1"/>
  <c r="O480" i="17" s="1"/>
  <c r="O586" i="17" a="1"/>
  <c r="O586" i="17" s="1"/>
  <c r="O587" i="17" a="1"/>
  <c r="O587" i="17" s="1"/>
  <c r="O588" i="17" a="1"/>
  <c r="O588" i="17" s="1"/>
  <c r="O680" i="17" a="1"/>
  <c r="O680" i="17" s="1"/>
  <c r="O730" i="17" a="1"/>
  <c r="O730" i="17" s="1"/>
  <c r="O780" i="17" a="1"/>
  <c r="O780" i="17" s="1"/>
  <c r="O830" i="17" a="1"/>
  <c r="O830" i="17" s="1"/>
  <c r="O880" i="17" a="1"/>
  <c r="O880" i="17" s="1"/>
  <c r="O930" i="17" a="1"/>
  <c r="O930" i="17" s="1"/>
  <c r="O980" i="17" a="1"/>
  <c r="O98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389" i="17" a="1"/>
  <c r="O389" i="17" s="1"/>
  <c r="O390" i="17" a="1"/>
  <c r="O390" i="17" s="1"/>
  <c r="O391" i="17" a="1"/>
  <c r="O391" i="17" s="1"/>
  <c r="O481" i="17" a="1"/>
  <c r="O481" i="17" s="1"/>
  <c r="O589" i="17" a="1"/>
  <c r="O589" i="17" s="1"/>
  <c r="O590" i="17" a="1"/>
  <c r="O590" i="17" s="1"/>
  <c r="O591" i="17" a="1"/>
  <c r="O591" i="17" s="1"/>
  <c r="O681" i="17" a="1"/>
  <c r="O681" i="17" s="1"/>
  <c r="O731" i="17" a="1"/>
  <c r="O731" i="17" s="1"/>
  <c r="O781" i="17" a="1"/>
  <c r="O781" i="17" s="1"/>
  <c r="O831" i="17" a="1"/>
  <c r="O831" i="17" s="1"/>
  <c r="O881" i="17" a="1"/>
  <c r="O881" i="17" s="1"/>
  <c r="O931" i="17" a="1"/>
  <c r="O931" i="17" s="1"/>
  <c r="O981" i="17" a="1"/>
  <c r="O981" i="17" s="1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392" i="17" a="1"/>
  <c r="O392" i="17" s="1"/>
  <c r="O393" i="17" a="1"/>
  <c r="O393" i="17" s="1"/>
  <c r="O394" i="17" a="1"/>
  <c r="O394" i="17" s="1"/>
  <c r="O482" i="17" a="1"/>
  <c r="O482" i="17" s="1"/>
  <c r="O592" i="17" a="1"/>
  <c r="O592" i="17" s="1"/>
  <c r="O593" i="17" a="1"/>
  <c r="O593" i="17" s="1"/>
  <c r="O594" i="17" a="1"/>
  <c r="O594" i="17" s="1"/>
  <c r="O682" i="17" a="1"/>
  <c r="O682" i="17"/>
  <c r="O732" i="17" a="1"/>
  <c r="O732" i="17" s="1"/>
  <c r="O782" i="17" a="1"/>
  <c r="O782" i="17" s="1"/>
  <c r="O832" i="17" a="1"/>
  <c r="O832" i="17" s="1"/>
  <c r="O882" i="17" a="1"/>
  <c r="O882" i="17" s="1"/>
  <c r="O932" i="17" a="1"/>
  <c r="O932" i="17" s="1"/>
  <c r="O982" i="17" a="1"/>
  <c r="O982" i="17" s="1"/>
  <c r="O188" i="17" a="1"/>
  <c r="O188" i="17" s="1"/>
  <c r="O189" i="17" a="1"/>
  <c r="O189" i="17"/>
  <c r="O190" i="17" a="1"/>
  <c r="O190" i="17" s="1"/>
  <c r="O191" i="17" a="1"/>
  <c r="O191" i="17" s="1"/>
  <c r="O192" i="17" a="1"/>
  <c r="O192" i="17" s="1"/>
  <c r="O193" i="17" a="1"/>
  <c r="O193" i="17" s="1"/>
  <c r="O395" i="17" a="1"/>
  <c r="O395" i="17" s="1"/>
  <c r="O396" i="17" a="1"/>
  <c r="O396" i="17" s="1"/>
  <c r="O397" i="17" a="1"/>
  <c r="O397" i="17" s="1"/>
  <c r="O483" i="17" a="1"/>
  <c r="O483" i="17" s="1"/>
  <c r="O595" i="17" a="1"/>
  <c r="O595" i="17" s="1"/>
  <c r="O596" i="17" a="1"/>
  <c r="O596" i="17" s="1"/>
  <c r="O597" i="17" a="1"/>
  <c r="O597" i="17" s="1"/>
  <c r="O683" i="17" a="1"/>
  <c r="O683" i="17" s="1"/>
  <c r="O733" i="17" a="1"/>
  <c r="O733" i="17" s="1"/>
  <c r="O783" i="17" a="1"/>
  <c r="O783" i="17" s="1"/>
  <c r="O833" i="17" a="1"/>
  <c r="O833" i="17" s="1"/>
  <c r="O883" i="17" a="1"/>
  <c r="O883" i="17"/>
  <c r="O933" i="17" a="1"/>
  <c r="O933" i="17" s="1"/>
  <c r="O983" i="17" a="1"/>
  <c r="O983" i="17" s="1"/>
  <c r="O194" i="17" a="1"/>
  <c r="O194" i="17" s="1"/>
  <c r="O195" i="17" a="1"/>
  <c r="O195" i="17" s="1"/>
  <c r="O196" i="17" a="1"/>
  <c r="O196" i="17" s="1"/>
  <c r="O197" i="17" a="1"/>
  <c r="O197" i="17" s="1"/>
  <c r="O198" i="17" a="1"/>
  <c r="O198" i="17" s="1"/>
  <c r="O199" i="17" a="1"/>
  <c r="O199" i="17"/>
  <c r="O398" i="17" a="1"/>
  <c r="O398" i="17" s="1"/>
  <c r="O399" i="17" a="1"/>
  <c r="O399" i="17" s="1"/>
  <c r="O400" i="17" a="1"/>
  <c r="O400" i="17" s="1"/>
  <c r="O484" i="17" a="1"/>
  <c r="O484" i="17" s="1"/>
  <c r="O598" i="17" a="1"/>
  <c r="O598" i="17" s="1"/>
  <c r="O599" i="17" a="1"/>
  <c r="O599" i="17" s="1"/>
  <c r="O600" i="17" a="1"/>
  <c r="O600" i="17" s="1"/>
  <c r="O684" i="17" a="1"/>
  <c r="O684" i="17" s="1"/>
  <c r="O734" i="17" a="1"/>
  <c r="O734" i="17" s="1"/>
  <c r="O784" i="17" a="1"/>
  <c r="O784" i="17" s="1"/>
  <c r="O834" i="17" a="1"/>
  <c r="O834" i="17" s="1"/>
  <c r="O884" i="17" a="1"/>
  <c r="O884" i="17" s="1"/>
  <c r="O934" i="17" a="1"/>
  <c r="O934" i="17" s="1"/>
  <c r="O984" i="17" a="1"/>
  <c r="O984" i="17" s="1"/>
  <c r="O200" i="17" a="1"/>
  <c r="O200" i="17" s="1"/>
  <c r="O201" i="17" a="1"/>
  <c r="O201" i="17" s="1"/>
  <c r="O202" i="17" a="1"/>
  <c r="O202" i="17" s="1"/>
  <c r="O203" i="17" a="1"/>
  <c r="O203" i="17" s="1"/>
  <c r="O204" i="17" a="1"/>
  <c r="O204" i="17" s="1"/>
  <c r="O205" i="17" a="1"/>
  <c r="O205" i="17" s="1"/>
  <c r="O401" i="17" a="1"/>
  <c r="O401" i="17" s="1"/>
  <c r="O402" i="17" a="1"/>
  <c r="O402" i="17" s="1"/>
  <c r="O403" i="17" a="1"/>
  <c r="O403" i="17" s="1"/>
  <c r="O485" i="17" a="1"/>
  <c r="O485" i="17"/>
  <c r="O601" i="17" a="1"/>
  <c r="O601" i="17" s="1"/>
  <c r="O602" i="17" a="1"/>
  <c r="O602" i="17" s="1"/>
  <c r="O603" i="17" a="1"/>
  <c r="O603" i="17" s="1"/>
  <c r="O685" i="17" a="1"/>
  <c r="O685" i="17" s="1"/>
  <c r="O735" i="17" a="1"/>
  <c r="O735" i="17" s="1"/>
  <c r="O785" i="17" a="1"/>
  <c r="O785" i="17" s="1"/>
  <c r="O835" i="17" a="1"/>
  <c r="O835" i="17" s="1"/>
  <c r="O885" i="17" a="1"/>
  <c r="O885" i="17"/>
  <c r="O935" i="17" a="1"/>
  <c r="O935" i="17" s="1"/>
  <c r="O985" i="17" a="1"/>
  <c r="O985" i="17" s="1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404" i="17" a="1"/>
  <c r="O404" i="17" s="1"/>
  <c r="O405" i="17" a="1"/>
  <c r="O405" i="17" s="1"/>
  <c r="O406" i="17" a="1"/>
  <c r="O406" i="17" s="1"/>
  <c r="O486" i="17" a="1"/>
  <c r="O486" i="17" s="1"/>
  <c r="O604" i="17" a="1"/>
  <c r="O604" i="17" s="1"/>
  <c r="O605" i="17" a="1"/>
  <c r="O605" i="17" s="1"/>
  <c r="O606" i="17" a="1"/>
  <c r="O606" i="17" s="1"/>
  <c r="O686" i="17" a="1"/>
  <c r="O686" i="17" s="1"/>
  <c r="O736" i="17" a="1"/>
  <c r="O736" i="17" s="1"/>
  <c r="O786" i="17" a="1"/>
  <c r="O786" i="17" s="1"/>
  <c r="O836" i="17" a="1"/>
  <c r="O836" i="17" s="1"/>
  <c r="O886" i="17" a="1"/>
  <c r="O886" i="17" s="1"/>
  <c r="O936" i="17" a="1"/>
  <c r="O936" i="17" s="1"/>
  <c r="O986" i="17" a="1"/>
  <c r="O986" i="17" s="1"/>
  <c r="O212" i="17" a="1"/>
  <c r="O212" i="17" s="1"/>
  <c r="O213" i="17" a="1"/>
  <c r="O213" i="17"/>
  <c r="O214" i="17" a="1"/>
  <c r="O214" i="17" s="1"/>
  <c r="O215" i="17" a="1"/>
  <c r="O215" i="17" s="1"/>
  <c r="O216" i="17" a="1"/>
  <c r="O216" i="17" s="1"/>
  <c r="O217" i="17" a="1"/>
  <c r="O217" i="17" s="1"/>
  <c r="O407" i="17" a="1"/>
  <c r="O407" i="17" s="1"/>
  <c r="O408" i="17" a="1"/>
  <c r="O408" i="17" s="1"/>
  <c r="O409" i="17" a="1"/>
  <c r="O409" i="17" s="1"/>
  <c r="O487" i="17" a="1"/>
  <c r="O487" i="17"/>
  <c r="O607" i="17" a="1"/>
  <c r="O607" i="17" s="1"/>
  <c r="O608" i="17" a="1"/>
  <c r="O608" i="17" s="1"/>
  <c r="O609" i="17" a="1"/>
  <c r="O609" i="17" s="1"/>
  <c r="O687" i="17" a="1"/>
  <c r="O687" i="17" s="1"/>
  <c r="O737" i="17" a="1"/>
  <c r="O737" i="17" s="1"/>
  <c r="O787" i="17" a="1"/>
  <c r="O787" i="17" s="1"/>
  <c r="O837" i="17" a="1"/>
  <c r="O837" i="17" s="1"/>
  <c r="O887" i="17" a="1"/>
  <c r="O887" i="17" s="1"/>
  <c r="O937" i="17" a="1"/>
  <c r="O937" i="17" s="1"/>
  <c r="O987" i="17" a="1"/>
  <c r="O987" i="17" s="1"/>
  <c r="O218" i="17" a="1"/>
  <c r="O218" i="17" s="1"/>
  <c r="O219" i="17" a="1"/>
  <c r="O219" i="17" s="1"/>
  <c r="O220" i="17" a="1"/>
  <c r="O220" i="17" s="1"/>
  <c r="O221" i="17" a="1"/>
  <c r="O221" i="17" s="1"/>
  <c r="O222" i="17" a="1"/>
  <c r="O222" i="17" s="1"/>
  <c r="O223" i="17" a="1"/>
  <c r="O223" i="17" s="1"/>
  <c r="O410" i="17" a="1"/>
  <c r="O410" i="17" s="1"/>
  <c r="O411" i="17" a="1"/>
  <c r="O411" i="17" s="1"/>
  <c r="O412" i="17" a="1"/>
  <c r="O412" i="17" s="1"/>
  <c r="O488" i="17" a="1"/>
  <c r="O488" i="17" s="1"/>
  <c r="O610" i="17" a="1"/>
  <c r="O610" i="17" s="1"/>
  <c r="O611" i="17" a="1"/>
  <c r="O611" i="17" s="1"/>
  <c r="O612" i="17" a="1"/>
  <c r="O612" i="17" s="1"/>
  <c r="O688" i="17" a="1"/>
  <c r="O688" i="17"/>
  <c r="O738" i="17" a="1"/>
  <c r="O738" i="17" s="1"/>
  <c r="O788" i="17" a="1"/>
  <c r="O788" i="17" s="1"/>
  <c r="O838" i="17" a="1"/>
  <c r="O838" i="17" s="1"/>
  <c r="O888" i="17" a="1"/>
  <c r="O888" i="17" s="1"/>
  <c r="O938" i="17" a="1"/>
  <c r="O938" i="17" s="1"/>
  <c r="O988" i="17" a="1"/>
  <c r="O988" i="17" s="1"/>
  <c r="O224" i="17" a="1"/>
  <c r="O224" i="17" s="1"/>
  <c r="O225" i="17" a="1"/>
  <c r="O225" i="17"/>
  <c r="O226" i="17" a="1"/>
  <c r="O226" i="17" s="1"/>
  <c r="O227" i="17" a="1"/>
  <c r="O227" i="17" s="1"/>
  <c r="O228" i="17" a="1"/>
  <c r="O228" i="17" s="1"/>
  <c r="O229" i="17" a="1"/>
  <c r="O229" i="17" s="1"/>
  <c r="O413" i="17" a="1"/>
  <c r="O413" i="17" s="1"/>
  <c r="O414" i="17" a="1"/>
  <c r="O414" i="17" s="1"/>
  <c r="O415" i="17" a="1"/>
  <c r="O415" i="17" s="1"/>
  <c r="O489" i="17" a="1"/>
  <c r="O489" i="17" s="1"/>
  <c r="O613" i="17" a="1"/>
  <c r="O613" i="17" s="1"/>
  <c r="O614" i="17" a="1"/>
  <c r="O614" i="17" s="1"/>
  <c r="O615" i="17" a="1"/>
  <c r="O615" i="17" s="1"/>
  <c r="O689" i="17" a="1"/>
  <c r="O689" i="17" s="1"/>
  <c r="O739" i="17" a="1"/>
  <c r="O739" i="17" s="1"/>
  <c r="O789" i="17" a="1"/>
  <c r="O789" i="17" s="1"/>
  <c r="O839" i="17" a="1"/>
  <c r="O839" i="17" s="1"/>
  <c r="O889" i="17" a="1"/>
  <c r="O889" i="17" s="1"/>
  <c r="O939" i="17" a="1"/>
  <c r="O939" i="17" s="1"/>
  <c r="O989" i="17" a="1"/>
  <c r="O989" i="17" s="1"/>
  <c r="O230" i="17" a="1"/>
  <c r="O230" i="17" s="1"/>
  <c r="O231" i="17" a="1"/>
  <c r="O231" i="17" s="1"/>
  <c r="O232" i="17" a="1"/>
  <c r="O232" i="17" s="1"/>
  <c r="O233" i="17" a="1"/>
  <c r="O233" i="17" s="1"/>
  <c r="O234" i="17" a="1"/>
  <c r="O234" i="17" s="1"/>
  <c r="O235" i="17" a="1"/>
  <c r="O235" i="17"/>
  <c r="O416" i="17" a="1"/>
  <c r="O416" i="17" s="1"/>
  <c r="O417" i="17" a="1"/>
  <c r="O417" i="17" s="1"/>
  <c r="O418" i="17" a="1"/>
  <c r="O418" i="17" s="1"/>
  <c r="O490" i="17" a="1"/>
  <c r="O490" i="17" s="1"/>
  <c r="O616" i="17" a="1"/>
  <c r="O616" i="17" s="1"/>
  <c r="O617" i="17" a="1"/>
  <c r="O617" i="17" s="1"/>
  <c r="O618" i="17" a="1"/>
  <c r="O618" i="17" s="1"/>
  <c r="O690" i="17" a="1"/>
  <c r="O690" i="17"/>
  <c r="O740" i="17" a="1"/>
  <c r="O740" i="17" s="1"/>
  <c r="O790" i="17" a="1"/>
  <c r="O790" i="17" s="1"/>
  <c r="O840" i="17" a="1"/>
  <c r="O840" i="17" s="1"/>
  <c r="O890" i="17" a="1"/>
  <c r="O890" i="17" s="1"/>
  <c r="O940" i="17" a="1"/>
  <c r="O940" i="17" s="1"/>
  <c r="O990" i="17" a="1"/>
  <c r="O990" i="17" s="1"/>
  <c r="O236" i="17" a="1"/>
  <c r="O236" i="17" s="1"/>
  <c r="O237" i="17" a="1"/>
  <c r="O237" i="17" s="1"/>
  <c r="O238" i="17" a="1"/>
  <c r="O238" i="17" s="1"/>
  <c r="O239" i="17" a="1"/>
  <c r="O239" i="17" s="1"/>
  <c r="O240" i="17" a="1"/>
  <c r="O240" i="17" s="1"/>
  <c r="O241" i="17" a="1"/>
  <c r="O241" i="17" s="1"/>
  <c r="O419" i="17" a="1"/>
  <c r="O419" i="17" s="1"/>
  <c r="O420" i="17" a="1"/>
  <c r="O420" i="17" s="1"/>
  <c r="O421" i="17" a="1"/>
  <c r="O421" i="17" s="1"/>
  <c r="O491" i="17" a="1"/>
  <c r="O491" i="17" s="1"/>
  <c r="O619" i="17" a="1"/>
  <c r="O619" i="17" s="1"/>
  <c r="O620" i="17" a="1"/>
  <c r="O620" i="17" s="1"/>
  <c r="O621" i="17" a="1"/>
  <c r="O621" i="17" s="1"/>
  <c r="O691" i="17" a="1"/>
  <c r="O691" i="17" s="1"/>
  <c r="O741" i="17" a="1"/>
  <c r="O741" i="17" s="1"/>
  <c r="O791" i="17" a="1"/>
  <c r="O791" i="17" s="1"/>
  <c r="O841" i="17" a="1"/>
  <c r="O841" i="17" s="1"/>
  <c r="O891" i="17" a="1"/>
  <c r="O891" i="17"/>
  <c r="O941" i="17" a="1"/>
  <c r="O941" i="17" s="1"/>
  <c r="O991" i="17" a="1"/>
  <c r="O991" i="17" s="1"/>
  <c r="O242" i="17" a="1"/>
  <c r="O242" i="17" s="1"/>
  <c r="O243" i="17" a="1"/>
  <c r="O243" i="17" s="1"/>
  <c r="O244" i="17" a="1"/>
  <c r="O244" i="17" s="1"/>
  <c r="O245" i="17" a="1"/>
  <c r="O245" i="17" s="1"/>
  <c r="O246" i="17" a="1"/>
  <c r="O246" i="17" s="1"/>
  <c r="O247" i="17" a="1"/>
  <c r="O247" i="17"/>
  <c r="O422" i="17" a="1"/>
  <c r="O422" i="17" s="1"/>
  <c r="O423" i="17" a="1"/>
  <c r="O423" i="17" s="1"/>
  <c r="O424" i="17" a="1"/>
  <c r="O424" i="17" s="1"/>
  <c r="O492" i="17" a="1"/>
  <c r="O492" i="17" s="1"/>
  <c r="O622" i="17" a="1"/>
  <c r="O622" i="17" s="1"/>
  <c r="O623" i="17" a="1"/>
  <c r="O623" i="17" s="1"/>
  <c r="O624" i="17" a="1"/>
  <c r="O624" i="17" s="1"/>
  <c r="O692" i="17" a="1"/>
  <c r="O692" i="17" s="1"/>
  <c r="O742" i="17" a="1"/>
  <c r="O742" i="17" s="1"/>
  <c r="O792" i="17" a="1"/>
  <c r="O792" i="17" s="1"/>
  <c r="O842" i="17" a="1"/>
  <c r="O842" i="17" s="1"/>
  <c r="O892" i="17" a="1"/>
  <c r="O892" i="17" s="1"/>
  <c r="O942" i="17" a="1"/>
  <c r="O942" i="17" s="1"/>
  <c r="O992" i="17" a="1"/>
  <c r="O992" i="17" s="1"/>
  <c r="O248" i="17" a="1"/>
  <c r="O248" i="17" s="1"/>
  <c r="O249" i="17" a="1"/>
  <c r="O249" i="17" s="1"/>
  <c r="O250" i="17" a="1"/>
  <c r="O250" i="17" s="1"/>
  <c r="O251" i="17" a="1"/>
  <c r="O251" i="17" s="1"/>
  <c r="O252" i="17" a="1"/>
  <c r="O252" i="17" s="1"/>
  <c r="O253" i="17" a="1"/>
  <c r="O253" i="17" s="1"/>
  <c r="O425" i="17" a="1"/>
  <c r="O425" i="17" s="1"/>
  <c r="O426" i="17" a="1"/>
  <c r="O426" i="17" s="1"/>
  <c r="O427" i="17" a="1"/>
  <c r="O427" i="17" s="1"/>
  <c r="O493" i="17" a="1"/>
  <c r="O493" i="17"/>
  <c r="O625" i="17" a="1"/>
  <c r="O625" i="17" s="1"/>
  <c r="O626" i="17" a="1"/>
  <c r="O626" i="17" s="1"/>
  <c r="O627" i="17" a="1"/>
  <c r="O627" i="17" s="1"/>
  <c r="O693" i="17" a="1"/>
  <c r="O693" i="17" s="1"/>
  <c r="O743" i="17" a="1"/>
  <c r="O743" i="17" s="1"/>
  <c r="O793" i="17" a="1"/>
  <c r="O793" i="17" s="1"/>
  <c r="O843" i="17" a="1"/>
  <c r="O843" i="17" s="1"/>
  <c r="O893" i="17" a="1"/>
  <c r="O893" i="17"/>
  <c r="O943" i="17" a="1"/>
  <c r="O943" i="17" s="1"/>
  <c r="O993" i="17" a="1"/>
  <c r="O993" i="17" s="1"/>
  <c r="O254" i="17" a="1"/>
  <c r="O254" i="17" s="1"/>
  <c r="O255" i="17" a="1"/>
  <c r="O255" i="17" s="1"/>
  <c r="O256" i="17" a="1"/>
  <c r="O256" i="17" s="1"/>
  <c r="O257" i="17" a="1"/>
  <c r="O257" i="17" s="1"/>
  <c r="O258" i="17" a="1"/>
  <c r="O258" i="17" s="1"/>
  <c r="O259" i="17" a="1"/>
  <c r="O259" i="17" s="1"/>
  <c r="O428" i="17" a="1"/>
  <c r="O428" i="17" s="1"/>
  <c r="O429" i="17" a="1"/>
  <c r="O429" i="17" s="1"/>
  <c r="O430" i="17" a="1"/>
  <c r="O430" i="17" s="1"/>
  <c r="O494" i="17" a="1"/>
  <c r="O494" i="17" s="1"/>
  <c r="O628" i="17" a="1"/>
  <c r="O628" i="17" s="1"/>
  <c r="O629" i="17" a="1"/>
  <c r="O629" i="17" s="1"/>
  <c r="O630" i="17" a="1"/>
  <c r="O630" i="17" s="1"/>
  <c r="O694" i="17" a="1"/>
  <c r="O694" i="17" s="1"/>
  <c r="O744" i="17" a="1"/>
  <c r="O744" i="17" s="1"/>
  <c r="O794" i="17" a="1"/>
  <c r="O794" i="17" s="1"/>
  <c r="O844" i="17" a="1"/>
  <c r="O844" i="17" s="1"/>
  <c r="O894" i="17" a="1"/>
  <c r="O894" i="17" s="1"/>
  <c r="O944" i="17" a="1"/>
  <c r="O944" i="17" s="1"/>
  <c r="O994" i="17" a="1"/>
  <c r="O994" i="17" s="1"/>
  <c r="O260" i="17" a="1"/>
  <c r="O260" i="17" s="1"/>
  <c r="O261" i="17" a="1"/>
  <c r="O261" i="17"/>
  <c r="O262" i="17" a="1"/>
  <c r="O262" i="17" s="1"/>
  <c r="O263" i="17" a="1"/>
  <c r="O263" i="17" s="1"/>
  <c r="O264" i="17" a="1"/>
  <c r="O264" i="17" s="1"/>
  <c r="O265" i="17" a="1"/>
  <c r="O265" i="17" s="1"/>
  <c r="O431" i="17" a="1"/>
  <c r="O431" i="17" s="1"/>
  <c r="O432" i="17" a="1"/>
  <c r="O432" i="17" s="1"/>
  <c r="O433" i="17" a="1"/>
  <c r="O433" i="17" s="1"/>
  <c r="O495" i="17" a="1"/>
  <c r="O495" i="17"/>
  <c r="O631" i="17" a="1"/>
  <c r="O631" i="17" s="1"/>
  <c r="O632" i="17" a="1"/>
  <c r="O632" i="17" s="1"/>
  <c r="O633" i="17" a="1"/>
  <c r="O633" i="17" s="1"/>
  <c r="O695" i="17" a="1"/>
  <c r="O695" i="17" s="1"/>
  <c r="O745" i="17" a="1"/>
  <c r="O745" i="17" s="1"/>
  <c r="O795" i="17" a="1"/>
  <c r="O795" i="17" s="1"/>
  <c r="O845" i="17" a="1"/>
  <c r="O845" i="17" s="1"/>
  <c r="O895" i="17" a="1"/>
  <c r="O895" i="17" s="1"/>
  <c r="O945" i="17" a="1"/>
  <c r="O945" i="17" s="1"/>
  <c r="O995" i="17" a="1"/>
  <c r="O995" i="17" s="1"/>
  <c r="O266" i="17" a="1"/>
  <c r="O266" i="17" s="1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 s="1"/>
  <c r="O434" i="17" a="1"/>
  <c r="O434" i="17" s="1"/>
  <c r="O435" i="17" a="1"/>
  <c r="O435" i="17" s="1"/>
  <c r="O436" i="17" a="1"/>
  <c r="O436" i="17" s="1"/>
  <c r="O496" i="17" a="1"/>
  <c r="O496" i="17" s="1"/>
  <c r="O634" i="17" a="1"/>
  <c r="O634" i="17" s="1"/>
  <c r="O635" i="17" a="1"/>
  <c r="O635" i="17" s="1"/>
  <c r="O636" i="17" a="1"/>
  <c r="O636" i="17" s="1"/>
  <c r="O696" i="17" a="1"/>
  <c r="O696" i="17" s="1"/>
  <c r="O746" i="17" a="1"/>
  <c r="O746" i="17" s="1"/>
  <c r="O796" i="17" a="1"/>
  <c r="O796" i="17" s="1"/>
  <c r="O846" i="17" a="1"/>
  <c r="O846" i="17" s="1"/>
  <c r="O896" i="17" a="1"/>
  <c r="O896" i="17" s="1"/>
  <c r="O946" i="17" a="1"/>
  <c r="O946" i="17" s="1"/>
  <c r="O996" i="17" a="1"/>
  <c r="O996" i="17" s="1"/>
  <c r="O272" i="17" a="1"/>
  <c r="O272" i="17" s="1"/>
  <c r="O273" i="17" a="1"/>
  <c r="O273" i="17" s="1"/>
  <c r="O274" i="17" a="1"/>
  <c r="O274" i="17" s="1"/>
  <c r="O275" i="17" a="1"/>
  <c r="O275" i="17" s="1"/>
  <c r="O276" i="17" a="1"/>
  <c r="O276" i="17" s="1"/>
  <c r="O277" i="17" a="1"/>
  <c r="O277" i="17" s="1"/>
  <c r="O437" i="17" a="1"/>
  <c r="O437" i="17" s="1"/>
  <c r="O438" i="17" a="1"/>
  <c r="O438" i="17" s="1"/>
  <c r="O439" i="17" a="1"/>
  <c r="O439" i="17" s="1"/>
  <c r="O497" i="17" a="1"/>
  <c r="O497" i="17" s="1"/>
  <c r="O637" i="17" a="1"/>
  <c r="O637" i="17" s="1"/>
  <c r="O638" i="17" a="1"/>
  <c r="O638" i="17" s="1"/>
  <c r="O639" i="17" a="1"/>
  <c r="O639" i="17" s="1"/>
  <c r="O697" i="17" a="1"/>
  <c r="O697" i="17" s="1"/>
  <c r="O747" i="17" a="1"/>
  <c r="O747" i="17" s="1"/>
  <c r="O797" i="17" a="1"/>
  <c r="O797" i="17" s="1"/>
  <c r="O847" i="17" a="1"/>
  <c r="O847" i="17" s="1"/>
  <c r="O897" i="17" a="1"/>
  <c r="O897" i="17" s="1"/>
  <c r="O947" i="17" a="1"/>
  <c r="O947" i="17" s="1"/>
  <c r="O997" i="17" a="1"/>
  <c r="O997" i="17" s="1"/>
  <c r="O278" i="17" a="1"/>
  <c r="O278" i="17" s="1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440" i="17" a="1"/>
  <c r="O440" i="17" s="1"/>
  <c r="O441" i="17" a="1"/>
  <c r="O441" i="17" s="1"/>
  <c r="O442" i="17" a="1"/>
  <c r="O442" i="17" s="1"/>
  <c r="O498" i="17" a="1"/>
  <c r="O498" i="17" s="1"/>
  <c r="O640" i="17" a="1"/>
  <c r="O640" i="17" s="1"/>
  <c r="O641" i="17" a="1"/>
  <c r="O641" i="17" s="1"/>
  <c r="O642" i="17" a="1"/>
  <c r="O642" i="17" s="1"/>
  <c r="O698" i="17" a="1"/>
  <c r="O698" i="17" s="1"/>
  <c r="O748" i="17" a="1"/>
  <c r="O748" i="17" s="1"/>
  <c r="O798" i="17" a="1"/>
  <c r="O798" i="17"/>
  <c r="O848" i="17" a="1"/>
  <c r="O848" i="17" s="1"/>
  <c r="O898" i="17" a="1"/>
  <c r="O898" i="17" s="1"/>
  <c r="O948" i="17" a="1"/>
  <c r="O948" i="17" s="1"/>
  <c r="O998" i="17" a="1"/>
  <c r="O998" i="17" s="1"/>
  <c r="O284" i="17" a="1"/>
  <c r="O284" i="17" s="1"/>
  <c r="O285" i="17" a="1"/>
  <c r="O285" i="17" s="1"/>
  <c r="O286" i="17" a="1"/>
  <c r="O286" i="17" s="1"/>
  <c r="O287" i="17" a="1"/>
  <c r="O287" i="17" s="1"/>
  <c r="O288" i="17" a="1"/>
  <c r="O288" i="17" s="1"/>
  <c r="O289" i="17" a="1"/>
  <c r="O289" i="17" s="1"/>
  <c r="O443" i="17" a="1"/>
  <c r="O443" i="17" s="1"/>
  <c r="O444" i="17" a="1"/>
  <c r="O444" i="17" s="1"/>
  <c r="O445" i="17" a="1"/>
  <c r="O445" i="17" s="1"/>
  <c r="O499" i="17" a="1"/>
  <c r="O499" i="17" s="1"/>
  <c r="O643" i="17" a="1"/>
  <c r="O643" i="17" s="1"/>
  <c r="O644" i="17" a="1"/>
  <c r="O644" i="17" s="1"/>
  <c r="O645" i="17" a="1"/>
  <c r="O645" i="17" s="1"/>
  <c r="O699" i="17" a="1"/>
  <c r="O699" i="17" s="1"/>
  <c r="O749" i="17" a="1"/>
  <c r="O749" i="17" s="1"/>
  <c r="O799" i="17" a="1"/>
  <c r="O799" i="17" s="1"/>
  <c r="O849" i="17" a="1"/>
  <c r="O849" i="17" s="1"/>
  <c r="O899" i="17" a="1"/>
  <c r="O899" i="17" s="1"/>
  <c r="O949" i="17" a="1"/>
  <c r="O949" i="17" s="1"/>
  <c r="O999" i="17" a="1"/>
  <c r="O999" i="17" s="1"/>
  <c r="O290" i="17" a="1"/>
  <c r="O290" i="17" s="1"/>
  <c r="O291" i="17" a="1"/>
  <c r="O291" i="17" s="1"/>
  <c r="O292" i="17" a="1"/>
  <c r="O292" i="17" s="1"/>
  <c r="O293" i="17" a="1"/>
  <c r="O293" i="17" s="1"/>
  <c r="O294" i="17" a="1"/>
  <c r="O294" i="17" s="1"/>
  <c r="O295" i="17" a="1"/>
  <c r="O295" i="17" s="1"/>
  <c r="O446" i="17" a="1"/>
  <c r="O446" i="17" s="1"/>
  <c r="O447" i="17" a="1"/>
  <c r="O447" i="17" s="1"/>
  <c r="O448" i="17" a="1"/>
  <c r="O448" i="17" s="1"/>
  <c r="O500" i="17" a="1"/>
  <c r="O500" i="17" s="1"/>
  <c r="O646" i="17" a="1"/>
  <c r="O646" i="17" s="1"/>
  <c r="O647" i="17" a="1"/>
  <c r="O647" i="17" s="1"/>
  <c r="O648" i="17" a="1"/>
  <c r="O648" i="17" s="1"/>
  <c r="O700" i="17" a="1"/>
  <c r="O700" i="17" s="1"/>
  <c r="O750" i="17" a="1"/>
  <c r="O750" i="17" s="1"/>
  <c r="O800" i="17" a="1"/>
  <c r="O800" i="17" s="1"/>
  <c r="O850" i="17" a="1"/>
  <c r="O850" i="17" s="1"/>
  <c r="O900" i="17" a="1"/>
  <c r="O900" i="17" s="1"/>
  <c r="O950" i="17" a="1"/>
  <c r="O950" i="17" s="1"/>
  <c r="O1000" i="17" a="1"/>
  <c r="O1000" i="17" s="1"/>
  <c r="O296" i="17" a="1"/>
  <c r="O296" i="17" s="1"/>
  <c r="O297" i="17" a="1"/>
  <c r="O297" i="17" s="1"/>
  <c r="O298" i="17" a="1"/>
  <c r="O298" i="17" s="1"/>
  <c r="O299" i="17" a="1"/>
  <c r="O299" i="17"/>
  <c r="O300" i="17" a="1"/>
  <c r="O300" i="17" s="1"/>
  <c r="O301" i="17" a="1"/>
  <c r="O301" i="17" s="1"/>
  <c r="O449" i="17" a="1"/>
  <c r="O449" i="17" s="1"/>
  <c r="O450" i="17" a="1"/>
  <c r="O450" i="17" s="1"/>
  <c r="O451" i="17" a="1"/>
  <c r="O451" i="17" s="1"/>
  <c r="O501" i="17" a="1"/>
  <c r="O501" i="17" s="1"/>
  <c r="O649" i="17" a="1"/>
  <c r="O649" i="17" s="1"/>
  <c r="O650" i="17" a="1"/>
  <c r="O650" i="17" s="1"/>
  <c r="O651" i="17" a="1"/>
  <c r="O651" i="17" s="1"/>
  <c r="O701" i="17" a="1"/>
  <c r="O701" i="17" s="1"/>
  <c r="O751" i="17" a="1"/>
  <c r="O751" i="17" s="1"/>
  <c r="O801" i="17" a="1"/>
  <c r="O801" i="17" s="1"/>
  <c r="O851" i="17" a="1"/>
  <c r="O851" i="17" s="1"/>
  <c r="O901" i="17" a="1"/>
  <c r="O901" i="17" s="1"/>
  <c r="O951" i="17" a="1"/>
  <c r="O951" i="17" s="1"/>
  <c r="O1001" i="17" a="1"/>
  <c r="O100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302" i="17" a="1"/>
  <c r="P302" i="17" s="1"/>
  <c r="P303" i="17" a="1"/>
  <c r="P303" i="17"/>
  <c r="P304" i="17" a="1"/>
  <c r="P304" i="17" s="1"/>
  <c r="P452" i="17" a="1"/>
  <c r="P452" i="17" s="1"/>
  <c r="P502" i="17" a="1"/>
  <c r="P502" i="17" s="1"/>
  <c r="P503" i="17" a="1"/>
  <c r="P503" i="17" s="1"/>
  <c r="P504" i="17" a="1"/>
  <c r="P504" i="17" s="1"/>
  <c r="P652" i="17" a="1"/>
  <c r="P652" i="17" s="1"/>
  <c r="P702" i="17" a="1"/>
  <c r="P702" i="17" s="1"/>
  <c r="P752" i="17" a="1"/>
  <c r="P752" i="17" s="1"/>
  <c r="P802" i="17" a="1"/>
  <c r="P802" i="17" s="1"/>
  <c r="P852" i="17" a="1"/>
  <c r="P852" i="17" s="1"/>
  <c r="P902" i="17" a="1"/>
  <c r="P902" i="17" s="1"/>
  <c r="P952" i="17" a="1"/>
  <c r="P95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305" i="17" a="1"/>
  <c r="P305" i="17" s="1"/>
  <c r="P306" i="17" a="1"/>
  <c r="P306" i="17" s="1"/>
  <c r="P307" i="17" a="1"/>
  <c r="P307" i="17" s="1"/>
  <c r="P453" i="17" a="1"/>
  <c r="P453" i="17" s="1"/>
  <c r="P505" i="17" a="1"/>
  <c r="P505" i="17" s="1"/>
  <c r="P506" i="17" a="1"/>
  <c r="P506" i="17" s="1"/>
  <c r="P507" i="17" a="1"/>
  <c r="P507" i="17" s="1"/>
  <c r="P653" i="17" a="1"/>
  <c r="P653" i="17" s="1"/>
  <c r="P703" i="17" a="1"/>
  <c r="P703" i="17" s="1"/>
  <c r="P753" i="17" a="1"/>
  <c r="P753" i="17" s="1"/>
  <c r="P803" i="17" a="1"/>
  <c r="P803" i="17" s="1"/>
  <c r="P853" i="17" a="1"/>
  <c r="P853" i="17" s="1"/>
  <c r="P903" i="17" a="1"/>
  <c r="P903" i="17" s="1"/>
  <c r="P953" i="17" a="1"/>
  <c r="P95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308" i="17" a="1"/>
  <c r="P308" i="17" s="1"/>
  <c r="P309" i="17" a="1"/>
  <c r="P309" i="17" s="1"/>
  <c r="P310" i="17" a="1"/>
  <c r="P310" i="17" s="1"/>
  <c r="P454" i="17" a="1"/>
  <c r="P454" i="17" s="1"/>
  <c r="P508" i="17" a="1"/>
  <c r="P508" i="17" s="1"/>
  <c r="P509" i="17" a="1"/>
  <c r="P509" i="17" s="1"/>
  <c r="P510" i="17" a="1"/>
  <c r="P510" i="17" s="1"/>
  <c r="P654" i="17" a="1"/>
  <c r="P654" i="17" s="1"/>
  <c r="P704" i="17" a="1"/>
  <c r="P704" i="17" s="1"/>
  <c r="P754" i="17" a="1"/>
  <c r="P754" i="17"/>
  <c r="P804" i="17" a="1"/>
  <c r="P804" i="17" s="1"/>
  <c r="P854" i="17" a="1"/>
  <c r="P854" i="17" s="1"/>
  <c r="P904" i="17" a="1"/>
  <c r="P904" i="17" s="1"/>
  <c r="P954" i="17" a="1"/>
  <c r="P95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311" i="17" a="1"/>
  <c r="P311" i="17" s="1"/>
  <c r="P312" i="17" a="1"/>
  <c r="P312" i="17" s="1"/>
  <c r="P313" i="17" a="1"/>
  <c r="P313" i="17" s="1"/>
  <c r="P455" i="17" a="1"/>
  <c r="P455" i="17" s="1"/>
  <c r="P511" i="17" a="1"/>
  <c r="P511" i="17" s="1"/>
  <c r="P512" i="17" a="1"/>
  <c r="P512" i="17"/>
  <c r="P513" i="17" a="1"/>
  <c r="P513" i="17" s="1"/>
  <c r="P655" i="17" a="1"/>
  <c r="P655" i="17" s="1"/>
  <c r="P705" i="17" a="1"/>
  <c r="P705" i="17" s="1"/>
  <c r="P755" i="17" a="1"/>
  <c r="P755" i="17" s="1"/>
  <c r="P805" i="17" a="1"/>
  <c r="P805" i="17" s="1"/>
  <c r="P855" i="17" a="1"/>
  <c r="P855" i="17" s="1"/>
  <c r="P905" i="17" a="1"/>
  <c r="P905" i="17" s="1"/>
  <c r="P955" i="17" a="1"/>
  <c r="P95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14" i="17" a="1"/>
  <c r="P314" i="17" s="1"/>
  <c r="P315" i="17" a="1"/>
  <c r="P315" i="17" s="1"/>
  <c r="P316" i="17" a="1"/>
  <c r="P316" i="17" s="1"/>
  <c r="P456" i="17" a="1"/>
  <c r="P456" i="17" s="1"/>
  <c r="P514" i="17" a="1"/>
  <c r="P514" i="17" s="1"/>
  <c r="P515" i="17" a="1"/>
  <c r="P515" i="17" s="1"/>
  <c r="P516" i="17" a="1"/>
  <c r="P516" i="17" s="1"/>
  <c r="P656" i="17" a="1"/>
  <c r="P656" i="17" s="1"/>
  <c r="P706" i="17" a="1"/>
  <c r="P706" i="17" s="1"/>
  <c r="P756" i="17" a="1"/>
  <c r="P756" i="17" s="1"/>
  <c r="P806" i="17" a="1"/>
  <c r="P806" i="17" s="1"/>
  <c r="P856" i="17" a="1"/>
  <c r="P856" i="17" s="1"/>
  <c r="P906" i="17" a="1"/>
  <c r="P906" i="17" s="1"/>
  <c r="P956" i="17" a="1"/>
  <c r="P95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17" i="17" a="1"/>
  <c r="P317" i="17" s="1"/>
  <c r="P318" i="17" a="1"/>
  <c r="P318" i="17" s="1"/>
  <c r="P319" i="17" a="1"/>
  <c r="P319" i="17" s="1"/>
  <c r="P457" i="17" a="1"/>
  <c r="P457" i="17" s="1"/>
  <c r="P517" i="17" a="1"/>
  <c r="P517" i="17" s="1"/>
  <c r="P518" i="17" a="1"/>
  <c r="P518" i="17" s="1"/>
  <c r="P519" i="17" a="1"/>
  <c r="P519" i="17" s="1"/>
  <c r="P657" i="17" a="1"/>
  <c r="P657" i="17" s="1"/>
  <c r="P707" i="17" a="1"/>
  <c r="P707" i="17" s="1"/>
  <c r="P757" i="17" a="1"/>
  <c r="P757" i="17" s="1"/>
  <c r="P807" i="17" a="1"/>
  <c r="P807" i="17" s="1"/>
  <c r="P857" i="17" a="1"/>
  <c r="P857" i="17" s="1"/>
  <c r="P907" i="17" a="1"/>
  <c r="P907" i="17" s="1"/>
  <c r="P957" i="17" a="1"/>
  <c r="P957" i="17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320" i="17" a="1"/>
  <c r="P320" i="17" s="1"/>
  <c r="P321" i="17" a="1"/>
  <c r="P321" i="17" s="1"/>
  <c r="P322" i="17" a="1"/>
  <c r="P322" i="17" s="1"/>
  <c r="P458" i="17" a="1"/>
  <c r="P458" i="17" s="1"/>
  <c r="P520" i="17" a="1"/>
  <c r="P520" i="17" s="1"/>
  <c r="P521" i="17" a="1"/>
  <c r="P521" i="17" s="1"/>
  <c r="P522" i="17" a="1"/>
  <c r="P522" i="17" s="1"/>
  <c r="P658" i="17" a="1"/>
  <c r="P658" i="17" s="1"/>
  <c r="P708" i="17" a="1"/>
  <c r="P708" i="17" s="1"/>
  <c r="P758" i="17" a="1"/>
  <c r="P758" i="17"/>
  <c r="P808" i="17" a="1"/>
  <c r="P808" i="17" s="1"/>
  <c r="P858" i="17" a="1"/>
  <c r="P858" i="17" s="1"/>
  <c r="P908" i="17" a="1"/>
  <c r="P908" i="17" s="1"/>
  <c r="P958" i="17" a="1"/>
  <c r="P95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323" i="17" a="1"/>
  <c r="P323" i="17" s="1"/>
  <c r="P324" i="17" a="1"/>
  <c r="P324" i="17" s="1"/>
  <c r="P325" i="17" a="1"/>
  <c r="P325" i="17" s="1"/>
  <c r="P459" i="17" a="1"/>
  <c r="P459" i="17" s="1"/>
  <c r="P523" i="17" a="1"/>
  <c r="P523" i="17" s="1"/>
  <c r="P524" i="17" a="1"/>
  <c r="P524" i="17" s="1"/>
  <c r="P525" i="17" a="1"/>
  <c r="P525" i="17" s="1"/>
  <c r="P659" i="17" a="1"/>
  <c r="P659" i="17" s="1"/>
  <c r="P709" i="17" a="1"/>
  <c r="P709" i="17" s="1"/>
  <c r="P759" i="17" a="1"/>
  <c r="P759" i="17" s="1"/>
  <c r="P809" i="17" a="1"/>
  <c r="P809" i="17" s="1"/>
  <c r="P859" i="17" a="1"/>
  <c r="P859" i="17" s="1"/>
  <c r="P909" i="17" a="1"/>
  <c r="P909" i="17" s="1"/>
  <c r="P959" i="17" a="1"/>
  <c r="P95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326" i="17" a="1"/>
  <c r="P326" i="17" s="1"/>
  <c r="P327" i="17" a="1"/>
  <c r="P327" i="17" s="1"/>
  <c r="P328" i="17" a="1"/>
  <c r="P328" i="17" s="1"/>
  <c r="P460" i="17" a="1"/>
  <c r="P460" i="17" s="1"/>
  <c r="P526" i="17" a="1"/>
  <c r="P526" i="17" s="1"/>
  <c r="P527" i="17" a="1"/>
  <c r="P527" i="17" s="1"/>
  <c r="P528" i="17" a="1"/>
  <c r="P528" i="17" s="1"/>
  <c r="P660" i="17" a="1"/>
  <c r="P660" i="17" s="1"/>
  <c r="P710" i="17" a="1"/>
  <c r="P710" i="17" s="1"/>
  <c r="P760" i="17" a="1"/>
  <c r="P760" i="17" s="1"/>
  <c r="P810" i="17" a="1"/>
  <c r="P810" i="17" s="1"/>
  <c r="P860" i="17" a="1"/>
  <c r="P860" i="17" s="1"/>
  <c r="P910" i="17" a="1"/>
  <c r="P910" i="17" s="1"/>
  <c r="P960" i="17" a="1"/>
  <c r="P960" i="17" s="1"/>
  <c r="P56" i="17" a="1"/>
  <c r="P56" i="17" s="1"/>
  <c r="P57" i="17" a="1"/>
  <c r="P57" i="17" s="1"/>
  <c r="P58" i="17" a="1"/>
  <c r="P58" i="17" s="1"/>
  <c r="P59" i="17" a="1"/>
  <c r="P59" i="17"/>
  <c r="P60" i="17" a="1"/>
  <c r="P60" i="17" s="1"/>
  <c r="P61" i="17" a="1"/>
  <c r="P61" i="17" s="1"/>
  <c r="P329" i="17" a="1"/>
  <c r="P329" i="17" s="1"/>
  <c r="P330" i="17" a="1"/>
  <c r="P330" i="17" s="1"/>
  <c r="P331" i="17" a="1"/>
  <c r="P331" i="17" s="1"/>
  <c r="P461" i="17" a="1"/>
  <c r="P461" i="17" s="1"/>
  <c r="P529" i="17" a="1"/>
  <c r="P529" i="17" s="1"/>
  <c r="P530" i="17" a="1"/>
  <c r="P530" i="17" s="1"/>
  <c r="P531" i="17" a="1"/>
  <c r="P531" i="17" s="1"/>
  <c r="P661" i="17" a="1"/>
  <c r="P661" i="17" s="1"/>
  <c r="P711" i="17" a="1"/>
  <c r="P711" i="17" s="1"/>
  <c r="P761" i="17" a="1"/>
  <c r="P761" i="17" s="1"/>
  <c r="P811" i="17" a="1"/>
  <c r="P811" i="17" s="1"/>
  <c r="P861" i="17" a="1"/>
  <c r="P861" i="17" s="1"/>
  <c r="P911" i="17" a="1"/>
  <c r="P911" i="17" s="1"/>
  <c r="P961" i="17" a="1"/>
  <c r="P961" i="17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332" i="17" a="1"/>
  <c r="P332" i="17" s="1"/>
  <c r="P333" i="17" a="1"/>
  <c r="P333" i="17" s="1"/>
  <c r="P334" i="17" a="1"/>
  <c r="P334" i="17" s="1"/>
  <c r="P462" i="17" a="1"/>
  <c r="P462" i="17" s="1"/>
  <c r="P532" i="17" a="1"/>
  <c r="P532" i="17" s="1"/>
  <c r="P533" i="17" a="1"/>
  <c r="P533" i="17" s="1"/>
  <c r="P534" i="17" a="1"/>
  <c r="P534" i="17" s="1"/>
  <c r="P662" i="17" a="1"/>
  <c r="P662" i="17" s="1"/>
  <c r="P712" i="17" a="1"/>
  <c r="P712" i="17" s="1"/>
  <c r="P762" i="17" a="1"/>
  <c r="P762" i="17" s="1"/>
  <c r="P812" i="17" a="1"/>
  <c r="P812" i="17" s="1"/>
  <c r="P862" i="17" a="1"/>
  <c r="P862" i="17" s="1"/>
  <c r="P912" i="17" a="1"/>
  <c r="P912" i="17" s="1"/>
  <c r="P962" i="17" a="1"/>
  <c r="P96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335" i="17" a="1"/>
  <c r="P335" i="17" s="1"/>
  <c r="P336" i="17" a="1"/>
  <c r="P336" i="17" s="1"/>
  <c r="P337" i="17" a="1"/>
  <c r="P337" i="17" s="1"/>
  <c r="P463" i="17" a="1"/>
  <c r="P463" i="17" s="1"/>
  <c r="P535" i="17" a="1"/>
  <c r="P535" i="17" s="1"/>
  <c r="P536" i="17" a="1"/>
  <c r="P536" i="17" s="1"/>
  <c r="P537" i="17" a="1"/>
  <c r="P537" i="17" s="1"/>
  <c r="P663" i="17" a="1"/>
  <c r="P663" i="17" s="1"/>
  <c r="P713" i="17" a="1"/>
  <c r="P713" i="17" s="1"/>
  <c r="P763" i="17" a="1"/>
  <c r="P763" i="17" s="1"/>
  <c r="P813" i="17" a="1"/>
  <c r="P813" i="17" s="1"/>
  <c r="P863" i="17" a="1"/>
  <c r="P863" i="17" s="1"/>
  <c r="P913" i="17" a="1"/>
  <c r="P913" i="17" s="1"/>
  <c r="P963" i="17" a="1"/>
  <c r="P96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338" i="17" a="1"/>
  <c r="P338" i="17" s="1"/>
  <c r="P339" i="17" a="1"/>
  <c r="P339" i="17"/>
  <c r="P340" i="17" a="1"/>
  <c r="P340" i="17" s="1"/>
  <c r="P464" i="17" a="1"/>
  <c r="P464" i="17" s="1"/>
  <c r="P538" i="17" a="1"/>
  <c r="P538" i="17" s="1"/>
  <c r="P539" i="17" a="1"/>
  <c r="P539" i="17" s="1"/>
  <c r="P540" i="17" a="1"/>
  <c r="P540" i="17" s="1"/>
  <c r="P664" i="17" a="1"/>
  <c r="P664" i="17" s="1"/>
  <c r="P714" i="17" a="1"/>
  <c r="P714" i="17" s="1"/>
  <c r="P764" i="17" a="1"/>
  <c r="P764" i="17" s="1"/>
  <c r="P814" i="17" a="1"/>
  <c r="P814" i="17" s="1"/>
  <c r="P864" i="17" a="1"/>
  <c r="P864" i="17" s="1"/>
  <c r="P914" i="17" a="1"/>
  <c r="P914" i="17" s="1"/>
  <c r="P964" i="17" a="1"/>
  <c r="P964" i="17" s="1"/>
  <c r="P80" i="17" a="1"/>
  <c r="P80" i="17" s="1"/>
  <c r="P81" i="17" a="1"/>
  <c r="P81" i="17" s="1"/>
  <c r="P82" i="17" a="1"/>
  <c r="P82" i="17" s="1"/>
  <c r="P83" i="17" a="1"/>
  <c r="P83" i="17"/>
  <c r="P84" i="17" a="1"/>
  <c r="P84" i="17" s="1"/>
  <c r="P85" i="17" a="1"/>
  <c r="P85" i="17" s="1"/>
  <c r="P341" i="17" a="1"/>
  <c r="P341" i="17" s="1"/>
  <c r="P342" i="17" a="1"/>
  <c r="P342" i="17" s="1"/>
  <c r="P343" i="17" a="1"/>
  <c r="P343" i="17" s="1"/>
  <c r="P465" i="17" a="1"/>
  <c r="P465" i="17" s="1"/>
  <c r="P541" i="17" a="1"/>
  <c r="P541" i="17" s="1"/>
  <c r="P542" i="17" a="1"/>
  <c r="P542" i="17" s="1"/>
  <c r="P543" i="17" a="1"/>
  <c r="P543" i="17" s="1"/>
  <c r="P665" i="17" a="1"/>
  <c r="P665" i="17" s="1"/>
  <c r="P715" i="17" a="1"/>
  <c r="P715" i="17" s="1"/>
  <c r="P765" i="17" a="1"/>
  <c r="P765" i="17" s="1"/>
  <c r="P815" i="17" a="1"/>
  <c r="P815" i="17" s="1"/>
  <c r="P865" i="17" a="1"/>
  <c r="P865" i="17" s="1"/>
  <c r="P915" i="17" a="1"/>
  <c r="P915" i="17" s="1"/>
  <c r="P965" i="17" a="1"/>
  <c r="P96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344" i="17" a="1"/>
  <c r="P344" i="17" s="1"/>
  <c r="P345" i="17" a="1"/>
  <c r="P345" i="17" s="1"/>
  <c r="P346" i="17" a="1"/>
  <c r="P346" i="17" s="1"/>
  <c r="P466" i="17" a="1"/>
  <c r="P466" i="17" s="1"/>
  <c r="P544" i="17" a="1"/>
  <c r="P544" i="17" s="1"/>
  <c r="P545" i="17" a="1"/>
  <c r="P545" i="17" s="1"/>
  <c r="P546" i="17" a="1"/>
  <c r="P546" i="17" s="1"/>
  <c r="P666" i="17" a="1"/>
  <c r="P666" i="17" s="1"/>
  <c r="P716" i="17" a="1"/>
  <c r="P716" i="17" s="1"/>
  <c r="P766" i="17" a="1"/>
  <c r="P766" i="17" s="1"/>
  <c r="P816" i="17" a="1"/>
  <c r="P816" i="17" s="1"/>
  <c r="P866" i="17" a="1"/>
  <c r="P866" i="17" s="1"/>
  <c r="P916" i="17" a="1"/>
  <c r="P916" i="17" s="1"/>
  <c r="P966" i="17" a="1"/>
  <c r="P96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347" i="17" a="1"/>
  <c r="P347" i="17" s="1"/>
  <c r="P348" i="17" a="1"/>
  <c r="P348" i="17" s="1"/>
  <c r="P349" i="17" a="1"/>
  <c r="P349" i="17" s="1"/>
  <c r="P467" i="17" a="1"/>
  <c r="P467" i="17" s="1"/>
  <c r="P547" i="17" a="1"/>
  <c r="P547" i="17" s="1"/>
  <c r="P548" i="17" a="1"/>
  <c r="P548" i="17"/>
  <c r="P549" i="17" a="1"/>
  <c r="P549" i="17" s="1"/>
  <c r="P667" i="17" a="1"/>
  <c r="P667" i="17" s="1"/>
  <c r="P717" i="17" a="1"/>
  <c r="P717" i="17" s="1"/>
  <c r="P767" i="17" a="1"/>
  <c r="P767" i="17" s="1"/>
  <c r="P817" i="17" a="1"/>
  <c r="P817" i="17" s="1"/>
  <c r="P867" i="17" a="1"/>
  <c r="P867" i="17" s="1"/>
  <c r="P917" i="17" a="1"/>
  <c r="P917" i="17" s="1"/>
  <c r="P967" i="17" a="1"/>
  <c r="P96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350" i="17" a="1"/>
  <c r="P350" i="17" s="1"/>
  <c r="P351" i="17" a="1"/>
  <c r="P351" i="17"/>
  <c r="P352" i="17" a="1"/>
  <c r="P352" i="17" s="1"/>
  <c r="P468" i="17" a="1"/>
  <c r="P468" i="17" s="1"/>
  <c r="P550" i="17" a="1"/>
  <c r="P550" i="17" s="1"/>
  <c r="P551" i="17" a="1"/>
  <c r="P551" i="17" s="1"/>
  <c r="P552" i="17" a="1"/>
  <c r="P552" i="17" s="1"/>
  <c r="P668" i="17" a="1"/>
  <c r="P668" i="17" s="1"/>
  <c r="P718" i="17" a="1"/>
  <c r="P718" i="17" s="1"/>
  <c r="P768" i="17" a="1"/>
  <c r="P768" i="17" s="1"/>
  <c r="P818" i="17" a="1"/>
  <c r="P818" i="17" s="1"/>
  <c r="P868" i="17" a="1"/>
  <c r="P868" i="17" s="1"/>
  <c r="P918" i="17" a="1"/>
  <c r="P918" i="17" s="1"/>
  <c r="P968" i="17" a="1"/>
  <c r="P96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353" i="17" a="1"/>
  <c r="P353" i="17" s="1"/>
  <c r="P354" i="17" a="1"/>
  <c r="P354" i="17" s="1"/>
  <c r="P355" i="17" a="1"/>
  <c r="P355" i="17" s="1"/>
  <c r="P469" i="17" a="1"/>
  <c r="P469" i="17" s="1"/>
  <c r="P553" i="17" a="1"/>
  <c r="P553" i="17" s="1"/>
  <c r="P554" i="17" a="1"/>
  <c r="P554" i="17" s="1"/>
  <c r="P555" i="17" a="1"/>
  <c r="P555" i="17" s="1"/>
  <c r="P669" i="17" a="1"/>
  <c r="P669" i="17" s="1"/>
  <c r="P719" i="17" a="1"/>
  <c r="P719" i="17" s="1"/>
  <c r="P769" i="17" a="1"/>
  <c r="P769" i="17" s="1"/>
  <c r="P819" i="17" a="1"/>
  <c r="P819" i="17" s="1"/>
  <c r="P869" i="17" a="1"/>
  <c r="P869" i="17" s="1"/>
  <c r="P919" i="17" a="1"/>
  <c r="P919" i="17" s="1"/>
  <c r="P969" i="17" a="1"/>
  <c r="P96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/>
  <c r="P356" i="17" a="1"/>
  <c r="P356" i="17" s="1"/>
  <c r="P357" i="17" a="1"/>
  <c r="P357" i="17"/>
  <c r="P358" i="17" a="1"/>
  <c r="P358" i="17" s="1"/>
  <c r="P470" i="17" a="1"/>
  <c r="P470" i="17" s="1"/>
  <c r="P556" i="17" a="1"/>
  <c r="P556" i="17" s="1"/>
  <c r="P557" i="17" a="1"/>
  <c r="P557" i="17"/>
  <c r="P558" i="17" a="1"/>
  <c r="P558" i="17" s="1"/>
  <c r="P670" i="17" a="1"/>
  <c r="P670" i="17"/>
  <c r="P720" i="17" a="1"/>
  <c r="P720" i="17" s="1"/>
  <c r="P770" i="17" a="1"/>
  <c r="P770" i="17" s="1"/>
  <c r="P820" i="17" a="1"/>
  <c r="P820" i="17" s="1"/>
  <c r="P870" i="17" a="1"/>
  <c r="P870" i="17" s="1"/>
  <c r="P920" i="17" a="1"/>
  <c r="P920" i="17" s="1"/>
  <c r="P970" i="17" a="1"/>
  <c r="P97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359" i="17" a="1"/>
  <c r="P359" i="17" s="1"/>
  <c r="P360" i="17" a="1"/>
  <c r="P360" i="17" s="1"/>
  <c r="P361" i="17" a="1"/>
  <c r="P361" i="17" s="1"/>
  <c r="P471" i="17" a="1"/>
  <c r="P471" i="17" s="1"/>
  <c r="P559" i="17" a="1"/>
  <c r="P559" i="17" s="1"/>
  <c r="P560" i="17" a="1"/>
  <c r="P560" i="17" s="1"/>
  <c r="P561" i="17" a="1"/>
  <c r="P561" i="17" s="1"/>
  <c r="P671" i="17" a="1"/>
  <c r="P671" i="17" s="1"/>
  <c r="P721" i="17" a="1"/>
  <c r="P721" i="17" s="1"/>
  <c r="P771" i="17" a="1"/>
  <c r="P771" i="17" s="1"/>
  <c r="P821" i="17" a="1"/>
  <c r="P821" i="17" s="1"/>
  <c r="P871" i="17" a="1"/>
  <c r="P871" i="17" s="1"/>
  <c r="P921" i="17" a="1"/>
  <c r="P921" i="17" s="1"/>
  <c r="P971" i="17" a="1"/>
  <c r="P971" i="17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/>
  <c r="P362" i="17" a="1"/>
  <c r="P362" i="17" s="1"/>
  <c r="P363" i="17" a="1"/>
  <c r="P363" i="17" s="1"/>
  <c r="P364" i="17" a="1"/>
  <c r="P364" i="17" s="1"/>
  <c r="P472" i="17" a="1"/>
  <c r="P472" i="17" s="1"/>
  <c r="P562" i="17" a="1"/>
  <c r="P562" i="17" s="1"/>
  <c r="P563" i="17" a="1"/>
  <c r="P563" i="17"/>
  <c r="P564" i="17" a="1"/>
  <c r="P564" i="17" s="1"/>
  <c r="P672" i="17" a="1"/>
  <c r="P672" i="17" s="1"/>
  <c r="P722" i="17" a="1"/>
  <c r="P722" i="17" s="1"/>
  <c r="P772" i="17" a="1"/>
  <c r="P772" i="17" s="1"/>
  <c r="P822" i="17" a="1"/>
  <c r="P822" i="17" s="1"/>
  <c r="P872" i="17" a="1"/>
  <c r="P872" i="17" s="1"/>
  <c r="P922" i="17" a="1"/>
  <c r="P922" i="17" s="1"/>
  <c r="P972" i="17" a="1"/>
  <c r="P97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365" i="17" a="1"/>
  <c r="P365" i="17" s="1"/>
  <c r="P366" i="17" a="1"/>
  <c r="P366" i="17" s="1"/>
  <c r="P367" i="17" a="1"/>
  <c r="P367" i="17" s="1"/>
  <c r="P473" i="17" a="1"/>
  <c r="P473" i="17" s="1"/>
  <c r="P565" i="17" a="1"/>
  <c r="P565" i="17" s="1"/>
  <c r="P566" i="17" a="1"/>
  <c r="P566" i="17"/>
  <c r="P567" i="17" a="1"/>
  <c r="P567" i="17" s="1"/>
  <c r="P673" i="17" a="1"/>
  <c r="P673" i="17" s="1"/>
  <c r="P723" i="17" a="1"/>
  <c r="P723" i="17" s="1"/>
  <c r="P773" i="17" a="1"/>
  <c r="P773" i="17" s="1"/>
  <c r="P823" i="17" a="1"/>
  <c r="P823" i="17" s="1"/>
  <c r="P873" i="17" a="1"/>
  <c r="P873" i="17" s="1"/>
  <c r="P923" i="17" a="1"/>
  <c r="P923" i="17" s="1"/>
  <c r="P973" i="17" a="1"/>
  <c r="P973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368" i="17" a="1"/>
  <c r="P368" i="17" s="1"/>
  <c r="P369" i="17" a="1"/>
  <c r="P369" i="17" s="1"/>
  <c r="P370" i="17" a="1"/>
  <c r="P370" i="17" s="1"/>
  <c r="P474" i="17" a="1"/>
  <c r="P474" i="17" s="1"/>
  <c r="P568" i="17" a="1"/>
  <c r="P568" i="17" s="1"/>
  <c r="P569" i="17" a="1"/>
  <c r="P569" i="17" s="1"/>
  <c r="P570" i="17" a="1"/>
  <c r="P570" i="17" s="1"/>
  <c r="P674" i="17" a="1"/>
  <c r="P674" i="17" s="1"/>
  <c r="P724" i="17" a="1"/>
  <c r="P724" i="17" s="1"/>
  <c r="P774" i="17" a="1"/>
  <c r="P774" i="17" s="1"/>
  <c r="P824" i="17" a="1"/>
  <c r="P824" i="17" s="1"/>
  <c r="P874" i="17" a="1"/>
  <c r="P874" i="17" s="1"/>
  <c r="P924" i="17" a="1"/>
  <c r="P924" i="17" s="1"/>
  <c r="P974" i="17" a="1"/>
  <c r="P97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371" i="17" a="1"/>
  <c r="P371" i="17" s="1"/>
  <c r="P372" i="17" a="1"/>
  <c r="P372" i="17" s="1"/>
  <c r="P373" i="17" a="1"/>
  <c r="P373" i="17" s="1"/>
  <c r="P475" i="17" a="1"/>
  <c r="P475" i="17" s="1"/>
  <c r="P571" i="17" a="1"/>
  <c r="P571" i="17" s="1"/>
  <c r="P572" i="17" a="1"/>
  <c r="P572" i="17"/>
  <c r="P573" i="17" a="1"/>
  <c r="P573" i="17" s="1"/>
  <c r="P675" i="17" a="1"/>
  <c r="P675" i="17" s="1"/>
  <c r="P725" i="17" a="1"/>
  <c r="P725" i="17" s="1"/>
  <c r="P775" i="17" a="1"/>
  <c r="P775" i="17" s="1"/>
  <c r="P825" i="17" a="1"/>
  <c r="P825" i="17" s="1"/>
  <c r="P875" i="17" a="1"/>
  <c r="P875" i="17" s="1"/>
  <c r="P925" i="17" a="1"/>
  <c r="P925" i="17" s="1"/>
  <c r="P975" i="17" a="1"/>
  <c r="P97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374" i="17" a="1"/>
  <c r="P374" i="17" s="1"/>
  <c r="P375" i="17" a="1"/>
  <c r="P375" i="17" s="1"/>
  <c r="P376" i="17" a="1"/>
  <c r="P376" i="17" s="1"/>
  <c r="P476" i="17" a="1"/>
  <c r="P476" i="17" s="1"/>
  <c r="P574" i="17" a="1"/>
  <c r="P574" i="17" s="1"/>
  <c r="P575" i="17" a="1"/>
  <c r="P575" i="17"/>
  <c r="P576" i="17" a="1"/>
  <c r="P576" i="17" s="1"/>
  <c r="P676" i="17" a="1"/>
  <c r="P676" i="17" s="1"/>
  <c r="P726" i="17" a="1"/>
  <c r="P726" i="17" s="1"/>
  <c r="P776" i="17" a="1"/>
  <c r="P776" i="17" s="1"/>
  <c r="P826" i="17" a="1"/>
  <c r="P826" i="17" s="1"/>
  <c r="P876" i="17" a="1"/>
  <c r="P876" i="17" s="1"/>
  <c r="P926" i="17" a="1"/>
  <c r="P926" i="17" s="1"/>
  <c r="P976" i="17" a="1"/>
  <c r="P97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377" i="17" a="1"/>
  <c r="P377" i="17" s="1"/>
  <c r="P378" i="17" a="1"/>
  <c r="P378" i="17" s="1"/>
  <c r="P379" i="17" a="1"/>
  <c r="P379" i="17" s="1"/>
  <c r="P477" i="17" a="1"/>
  <c r="P477" i="17" s="1"/>
  <c r="P577" i="17" a="1"/>
  <c r="P577" i="17" s="1"/>
  <c r="P578" i="17" a="1"/>
  <c r="P578" i="17" s="1"/>
  <c r="P579" i="17" a="1"/>
  <c r="P579" i="17" s="1"/>
  <c r="P677" i="17" a="1"/>
  <c r="P677" i="17" s="1"/>
  <c r="P727" i="17" a="1"/>
  <c r="P727" i="17" s="1"/>
  <c r="P777" i="17" a="1"/>
  <c r="P777" i="17" s="1"/>
  <c r="P827" i="17" a="1"/>
  <c r="P827" i="17" s="1"/>
  <c r="P877" i="17" a="1"/>
  <c r="P877" i="17" s="1"/>
  <c r="P927" i="17" a="1"/>
  <c r="P927" i="17" s="1"/>
  <c r="P977" i="17" a="1"/>
  <c r="P97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380" i="17" a="1"/>
  <c r="P380" i="17" s="1"/>
  <c r="P381" i="17" a="1"/>
  <c r="P381" i="17" s="1"/>
  <c r="P382" i="17" a="1"/>
  <c r="P382" i="17" s="1"/>
  <c r="P478" i="17" a="1"/>
  <c r="P478" i="17" s="1"/>
  <c r="P580" i="17" a="1"/>
  <c r="P580" i="17" s="1"/>
  <c r="P581" i="17" a="1"/>
  <c r="P581" i="17" s="1"/>
  <c r="P582" i="17" a="1"/>
  <c r="P582" i="17" s="1"/>
  <c r="P678" i="17" a="1"/>
  <c r="P678" i="17" s="1"/>
  <c r="P728" i="17" a="1"/>
  <c r="P728" i="17" s="1"/>
  <c r="P778" i="17" a="1"/>
  <c r="P778" i="17" s="1"/>
  <c r="P828" i="17" a="1"/>
  <c r="P828" i="17" s="1"/>
  <c r="P878" i="17" a="1"/>
  <c r="P878" i="17" s="1"/>
  <c r="P928" i="17" a="1"/>
  <c r="P928" i="17" s="1"/>
  <c r="P978" i="17" a="1"/>
  <c r="P978" i="17" s="1"/>
  <c r="P164" i="17" a="1"/>
  <c r="P164" i="17" s="1"/>
  <c r="P165" i="17" a="1"/>
  <c r="P165" i="17" s="1"/>
  <c r="P166" i="17" a="1"/>
  <c r="P166" i="17" s="1"/>
  <c r="P167" i="17" a="1"/>
  <c r="P167" i="17"/>
  <c r="P168" i="17" a="1"/>
  <c r="P168" i="17" s="1"/>
  <c r="P169" i="17" a="1"/>
  <c r="P169" i="17" s="1"/>
  <c r="P383" i="17" a="1"/>
  <c r="P383" i="17" s="1"/>
  <c r="P384" i="17" a="1"/>
  <c r="P384" i="17" s="1"/>
  <c r="P385" i="17" a="1"/>
  <c r="P385" i="17" s="1"/>
  <c r="P479" i="17" a="1"/>
  <c r="P479" i="17" s="1"/>
  <c r="P583" i="17" a="1"/>
  <c r="P583" i="17" s="1"/>
  <c r="P584" i="17" a="1"/>
  <c r="P584" i="17" s="1"/>
  <c r="P585" i="17" a="1"/>
  <c r="P585" i="17" s="1"/>
  <c r="P679" i="17" a="1"/>
  <c r="P679" i="17" s="1"/>
  <c r="P729" i="17" a="1"/>
  <c r="P729" i="17" s="1"/>
  <c r="P779" i="17" a="1"/>
  <c r="P779" i="17" s="1"/>
  <c r="P829" i="17" a="1"/>
  <c r="P829" i="17" s="1"/>
  <c r="P879" i="17" a="1"/>
  <c r="P879" i="17" s="1"/>
  <c r="P929" i="17" a="1"/>
  <c r="P929" i="17" s="1"/>
  <c r="P979" i="17" a="1"/>
  <c r="P979" i="17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386" i="17" a="1"/>
  <c r="P386" i="17" s="1"/>
  <c r="P387" i="17" a="1"/>
  <c r="P387" i="17" s="1"/>
  <c r="P388" i="17" a="1"/>
  <c r="P388" i="17" s="1"/>
  <c r="P480" i="17" a="1"/>
  <c r="P480" i="17" s="1"/>
  <c r="P586" i="17" a="1"/>
  <c r="P586" i="17" s="1"/>
  <c r="P587" i="17" a="1"/>
  <c r="P587" i="17" s="1"/>
  <c r="P588" i="17" a="1"/>
  <c r="P588" i="17" s="1"/>
  <c r="P680" i="17" a="1"/>
  <c r="P680" i="17" s="1"/>
  <c r="P730" i="17" a="1"/>
  <c r="P730" i="17" s="1"/>
  <c r="P780" i="17" a="1"/>
  <c r="P780" i="17" s="1"/>
  <c r="P830" i="17" a="1"/>
  <c r="P830" i="17" s="1"/>
  <c r="P880" i="17" a="1"/>
  <c r="P880" i="17" s="1"/>
  <c r="P930" i="17" a="1"/>
  <c r="P930" i="17" s="1"/>
  <c r="P980" i="17" a="1"/>
  <c r="P980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389" i="17" a="1"/>
  <c r="P389" i="17" s="1"/>
  <c r="P390" i="17" a="1"/>
  <c r="P390" i="17" s="1"/>
  <c r="P391" i="17" a="1"/>
  <c r="P391" i="17" s="1"/>
  <c r="P481" i="17" a="1"/>
  <c r="P481" i="17" s="1"/>
  <c r="P589" i="17" a="1"/>
  <c r="P589" i="17" s="1"/>
  <c r="P590" i="17" a="1"/>
  <c r="P590" i="17" s="1"/>
  <c r="P591" i="17" a="1"/>
  <c r="P591" i="17" s="1"/>
  <c r="P681" i="17" a="1"/>
  <c r="P681" i="17" s="1"/>
  <c r="P731" i="17" a="1"/>
  <c r="P731" i="17" s="1"/>
  <c r="P781" i="17" a="1"/>
  <c r="P781" i="17" s="1"/>
  <c r="P831" i="17" a="1"/>
  <c r="P831" i="17" s="1"/>
  <c r="P881" i="17" a="1"/>
  <c r="P881" i="17" s="1"/>
  <c r="P931" i="17" a="1"/>
  <c r="P931" i="17" s="1"/>
  <c r="P981" i="17" a="1"/>
  <c r="P981" i="17" s="1"/>
  <c r="P182" i="17" a="1"/>
  <c r="P182" i="17" s="1"/>
  <c r="P183" i="17" a="1"/>
  <c r="P183" i="17" s="1"/>
  <c r="P184" i="17" a="1"/>
  <c r="P184" i="17" s="1"/>
  <c r="P185" i="17" a="1"/>
  <c r="P185" i="17" s="1"/>
  <c r="P186" i="17" a="1"/>
  <c r="P186" i="17" s="1"/>
  <c r="P187" i="17" a="1"/>
  <c r="P187" i="17" s="1"/>
  <c r="P392" i="17" a="1"/>
  <c r="P392" i="17" s="1"/>
  <c r="P393" i="17" a="1"/>
  <c r="P393" i="17"/>
  <c r="P394" i="17" a="1"/>
  <c r="P394" i="17" s="1"/>
  <c r="P482" i="17" a="1"/>
  <c r="P482" i="17" s="1"/>
  <c r="P592" i="17" a="1"/>
  <c r="P592" i="17" s="1"/>
  <c r="P593" i="17" a="1"/>
  <c r="P593" i="17" s="1"/>
  <c r="P594" i="17" a="1"/>
  <c r="P594" i="17" s="1"/>
  <c r="P682" i="17" a="1"/>
  <c r="P682" i="17" s="1"/>
  <c r="P732" i="17" a="1"/>
  <c r="P732" i="17" s="1"/>
  <c r="P782" i="17" a="1"/>
  <c r="P782" i="17" s="1"/>
  <c r="P832" i="17" a="1"/>
  <c r="P832" i="17" s="1"/>
  <c r="P882" i="17" a="1"/>
  <c r="P882" i="17" s="1"/>
  <c r="P932" i="17" a="1"/>
  <c r="P932" i="17" s="1"/>
  <c r="P982" i="17" a="1"/>
  <c r="P982" i="17" s="1"/>
  <c r="P188" i="17" a="1"/>
  <c r="P188" i="17" s="1"/>
  <c r="P189" i="17" a="1"/>
  <c r="P189" i="17" s="1"/>
  <c r="P190" i="17" a="1"/>
  <c r="P190" i="17" s="1"/>
  <c r="P191" i="17" a="1"/>
  <c r="P191" i="17"/>
  <c r="P192" i="17" a="1"/>
  <c r="P192" i="17" s="1"/>
  <c r="P193" i="17" a="1"/>
  <c r="P193" i="17" s="1"/>
  <c r="P395" i="17" a="1"/>
  <c r="P395" i="17" s="1"/>
  <c r="P396" i="17" a="1"/>
  <c r="P396" i="17" s="1"/>
  <c r="P397" i="17" a="1"/>
  <c r="P397" i="17" s="1"/>
  <c r="P483" i="17" a="1"/>
  <c r="P483" i="17" s="1"/>
  <c r="P595" i="17" a="1"/>
  <c r="P595" i="17" s="1"/>
  <c r="P596" i="17" a="1"/>
  <c r="P596" i="17" s="1"/>
  <c r="P597" i="17" a="1"/>
  <c r="P597" i="17" s="1"/>
  <c r="P683" i="17" a="1"/>
  <c r="P683" i="17" s="1"/>
  <c r="P733" i="17" a="1"/>
  <c r="P733" i="17" s="1"/>
  <c r="P783" i="17" a="1"/>
  <c r="P783" i="17" s="1"/>
  <c r="P833" i="17" a="1"/>
  <c r="P833" i="17" s="1"/>
  <c r="P883" i="17" a="1"/>
  <c r="P883" i="17" s="1"/>
  <c r="P933" i="17" a="1"/>
  <c r="P933" i="17" s="1"/>
  <c r="P983" i="17" a="1"/>
  <c r="P983" i="17" s="1"/>
  <c r="P194" i="17" a="1"/>
  <c r="P194" i="17" s="1"/>
  <c r="P195" i="17" a="1"/>
  <c r="P195" i="17" s="1"/>
  <c r="P196" i="17" a="1"/>
  <c r="P196" i="17" s="1"/>
  <c r="P197" i="17" a="1"/>
  <c r="P197" i="17" s="1"/>
  <c r="P198" i="17" a="1"/>
  <c r="P198" i="17" s="1"/>
  <c r="P199" i="17" a="1"/>
  <c r="P199" i="17" s="1"/>
  <c r="P398" i="17" a="1"/>
  <c r="P398" i="17" s="1"/>
  <c r="P399" i="17" a="1"/>
  <c r="P399" i="17" s="1"/>
  <c r="P400" i="17" a="1"/>
  <c r="P400" i="17" s="1"/>
  <c r="P484" i="17" a="1"/>
  <c r="P484" i="17" s="1"/>
  <c r="P598" i="17" a="1"/>
  <c r="P598" i="17" s="1"/>
  <c r="P599" i="17" a="1"/>
  <c r="P599" i="17" s="1"/>
  <c r="P600" i="17" a="1"/>
  <c r="P600" i="17" s="1"/>
  <c r="P684" i="17" a="1"/>
  <c r="P684" i="17" s="1"/>
  <c r="P734" i="17" a="1"/>
  <c r="P734" i="17" s="1"/>
  <c r="P784" i="17" a="1"/>
  <c r="P784" i="17" s="1"/>
  <c r="P834" i="17" a="1"/>
  <c r="P834" i="17" s="1"/>
  <c r="P884" i="17" a="1"/>
  <c r="P884" i="17" s="1"/>
  <c r="P934" i="17" a="1"/>
  <c r="P934" i="17" s="1"/>
  <c r="P984" i="17" a="1"/>
  <c r="P984" i="17" s="1"/>
  <c r="P200" i="17" a="1"/>
  <c r="P200" i="17" s="1"/>
  <c r="P201" i="17" a="1"/>
  <c r="P201" i="17" s="1"/>
  <c r="P202" i="17" a="1"/>
  <c r="P202" i="17" s="1"/>
  <c r="P203" i="17" a="1"/>
  <c r="P203" i="17" s="1"/>
  <c r="P204" i="17" a="1"/>
  <c r="P204" i="17" s="1"/>
  <c r="P205" i="17" a="1"/>
  <c r="P205" i="17" s="1"/>
  <c r="P401" i="17" a="1"/>
  <c r="P401" i="17" s="1"/>
  <c r="P402" i="17" a="1"/>
  <c r="P402" i="17" s="1"/>
  <c r="P403" i="17" a="1"/>
  <c r="P403" i="17" s="1"/>
  <c r="P485" i="17" a="1"/>
  <c r="P485" i="17" s="1"/>
  <c r="P601" i="17" a="1"/>
  <c r="P601" i="17" s="1"/>
  <c r="P602" i="17" a="1"/>
  <c r="P602" i="17"/>
  <c r="P603" i="17" a="1"/>
  <c r="P603" i="17" s="1"/>
  <c r="P685" i="17" a="1"/>
  <c r="P685" i="17" s="1"/>
  <c r="P735" i="17" a="1"/>
  <c r="P735" i="17" s="1"/>
  <c r="P785" i="17" a="1"/>
  <c r="P785" i="17" s="1"/>
  <c r="P835" i="17" a="1"/>
  <c r="P835" i="17" s="1"/>
  <c r="P885" i="17" a="1"/>
  <c r="P885" i="17" s="1"/>
  <c r="P935" i="17" a="1"/>
  <c r="P935" i="17" s="1"/>
  <c r="P985" i="17" a="1"/>
  <c r="P985" i="17" s="1"/>
  <c r="P206" i="17" a="1"/>
  <c r="P206" i="17" s="1"/>
  <c r="P207" i="17" a="1"/>
  <c r="P207" i="17" s="1"/>
  <c r="P208" i="17" a="1"/>
  <c r="P208" i="17" s="1"/>
  <c r="P209" i="17" a="1"/>
  <c r="P209" i="17" s="1"/>
  <c r="P210" i="17" a="1"/>
  <c r="P210" i="17" s="1"/>
  <c r="P211" i="17" a="1"/>
  <c r="P211" i="17" s="1"/>
  <c r="P404" i="17" a="1"/>
  <c r="P404" i="17" s="1"/>
  <c r="P405" i="17" a="1"/>
  <c r="P405" i="17"/>
  <c r="P406" i="17" a="1"/>
  <c r="P406" i="17" s="1"/>
  <c r="P486" i="17" a="1"/>
  <c r="P486" i="17" s="1"/>
  <c r="P604" i="17" a="1"/>
  <c r="P604" i="17" s="1"/>
  <c r="P605" i="17" a="1"/>
  <c r="P605" i="17" s="1"/>
  <c r="P606" i="17" a="1"/>
  <c r="P606" i="17" s="1"/>
  <c r="P686" i="17" a="1"/>
  <c r="P686" i="17" s="1"/>
  <c r="P736" i="17" a="1"/>
  <c r="P736" i="17" s="1"/>
  <c r="P786" i="17" a="1"/>
  <c r="P786" i="17" s="1"/>
  <c r="P836" i="17" a="1"/>
  <c r="P836" i="17" s="1"/>
  <c r="P886" i="17" a="1"/>
  <c r="P886" i="17" s="1"/>
  <c r="P936" i="17" a="1"/>
  <c r="P936" i="17" s="1"/>
  <c r="P986" i="17" a="1"/>
  <c r="P986" i="17" s="1"/>
  <c r="P212" i="17" a="1"/>
  <c r="P212" i="17" s="1"/>
  <c r="P213" i="17" a="1"/>
  <c r="P213" i="17" s="1"/>
  <c r="P214" i="17" a="1"/>
  <c r="P214" i="17" s="1"/>
  <c r="P215" i="17" a="1"/>
  <c r="P215" i="17" s="1"/>
  <c r="P216" i="17" a="1"/>
  <c r="P216" i="17" s="1"/>
  <c r="P217" i="17" a="1"/>
  <c r="P217" i="17" s="1"/>
  <c r="P407" i="17" a="1"/>
  <c r="P407" i="17" s="1"/>
  <c r="P408" i="17" a="1"/>
  <c r="P408" i="17" s="1"/>
  <c r="P409" i="17" a="1"/>
  <c r="P409" i="17" s="1"/>
  <c r="P487" i="17" a="1"/>
  <c r="P487" i="17" s="1"/>
  <c r="P607" i="17" a="1"/>
  <c r="P607" i="17" s="1"/>
  <c r="P608" i="17" a="1"/>
  <c r="P608" i="17" s="1"/>
  <c r="P609" i="17" a="1"/>
  <c r="P609" i="17" s="1"/>
  <c r="P687" i="17" a="1"/>
  <c r="P687" i="17" s="1"/>
  <c r="P737" i="17" a="1"/>
  <c r="P737" i="17" s="1"/>
  <c r="P787" i="17" a="1"/>
  <c r="P787" i="17" s="1"/>
  <c r="P837" i="17" a="1"/>
  <c r="P837" i="17" s="1"/>
  <c r="P887" i="17" a="1"/>
  <c r="P887" i="17" s="1"/>
  <c r="P937" i="17" a="1"/>
  <c r="P937" i="17" s="1"/>
  <c r="P987" i="17" a="1"/>
  <c r="P987" i="17" s="1"/>
  <c r="P218" i="17" a="1"/>
  <c r="P218" i="17" s="1"/>
  <c r="P219" i="17" a="1"/>
  <c r="P219" i="17" s="1"/>
  <c r="P220" i="17" a="1"/>
  <c r="P220" i="17" s="1"/>
  <c r="P221" i="17" a="1"/>
  <c r="P221" i="17" s="1"/>
  <c r="P222" i="17" a="1"/>
  <c r="P222" i="17" s="1"/>
  <c r="P223" i="17" a="1"/>
  <c r="P223" i="17" s="1"/>
  <c r="P410" i="17" a="1"/>
  <c r="P410" i="17" s="1"/>
  <c r="P411" i="17" a="1"/>
  <c r="P411" i="17" s="1"/>
  <c r="P412" i="17" a="1"/>
  <c r="P412" i="17" s="1"/>
  <c r="P488" i="17" a="1"/>
  <c r="P488" i="17" s="1"/>
  <c r="P610" i="17" a="1"/>
  <c r="P610" i="17" s="1"/>
  <c r="P611" i="17" a="1"/>
  <c r="P611" i="17" s="1"/>
  <c r="P612" i="17" a="1"/>
  <c r="P612" i="17" s="1"/>
  <c r="P688" i="17" a="1"/>
  <c r="P688" i="17" s="1"/>
  <c r="P738" i="17" a="1"/>
  <c r="P738" i="17" s="1"/>
  <c r="P788" i="17" a="1"/>
  <c r="P788" i="17"/>
  <c r="P838" i="17" a="1"/>
  <c r="P838" i="17" s="1"/>
  <c r="P888" i="17" a="1"/>
  <c r="P888" i="17" s="1"/>
  <c r="P938" i="17" a="1"/>
  <c r="P938" i="17" s="1"/>
  <c r="P988" i="17" a="1"/>
  <c r="P988" i="17" s="1"/>
  <c r="P224" i="17" a="1"/>
  <c r="P224" i="17" s="1"/>
  <c r="P225" i="17" a="1"/>
  <c r="P225" i="17" s="1"/>
  <c r="P226" i="17" a="1"/>
  <c r="P226" i="17" s="1"/>
  <c r="P227" i="17" a="1"/>
  <c r="P227" i="17" s="1"/>
  <c r="P228" i="17" a="1"/>
  <c r="P228" i="17" s="1"/>
  <c r="P229" i="17" a="1"/>
  <c r="P229" i="17" s="1"/>
  <c r="P413" i="17" a="1"/>
  <c r="P413" i="17" s="1"/>
  <c r="P414" i="17" a="1"/>
  <c r="P414" i="17" s="1"/>
  <c r="P415" i="17" a="1"/>
  <c r="P415" i="17" s="1"/>
  <c r="P489" i="17" a="1"/>
  <c r="P489" i="17" s="1"/>
  <c r="P613" i="17" a="1"/>
  <c r="P613" i="17" s="1"/>
  <c r="P614" i="17" a="1"/>
  <c r="P614" i="17"/>
  <c r="P615" i="17" a="1"/>
  <c r="P615" i="17" s="1"/>
  <c r="P689" i="17" a="1"/>
  <c r="P689" i="17" s="1"/>
  <c r="P739" i="17" a="1"/>
  <c r="P739" i="17" s="1"/>
  <c r="P789" i="17" a="1"/>
  <c r="P789" i="17" s="1"/>
  <c r="P839" i="17" a="1"/>
  <c r="P839" i="17" s="1"/>
  <c r="P889" i="17" a="1"/>
  <c r="P889" i="17" s="1"/>
  <c r="P939" i="17" a="1"/>
  <c r="P939" i="17" s="1"/>
  <c r="P989" i="17" a="1"/>
  <c r="P989" i="17" s="1"/>
  <c r="P230" i="17" a="1"/>
  <c r="P230" i="17" s="1"/>
  <c r="P231" i="17" a="1"/>
  <c r="P231" i="17" s="1"/>
  <c r="P232" i="17" a="1"/>
  <c r="P232" i="17" s="1"/>
  <c r="P233" i="17" a="1"/>
  <c r="P233" i="17" s="1"/>
  <c r="P234" i="17" a="1"/>
  <c r="P234" i="17" s="1"/>
  <c r="P235" i="17" a="1"/>
  <c r="P235" i="17" s="1"/>
  <c r="P416" i="17" a="1"/>
  <c r="P416" i="17" s="1"/>
  <c r="P417" i="17" a="1"/>
  <c r="P417" i="17" s="1"/>
  <c r="P418" i="17" a="1"/>
  <c r="P418" i="17" s="1"/>
  <c r="P490" i="17" a="1"/>
  <c r="P490" i="17" s="1"/>
  <c r="P616" i="17" a="1"/>
  <c r="P616" i="17" s="1"/>
  <c r="P617" i="17" a="1"/>
  <c r="P617" i="17" s="1"/>
  <c r="P618" i="17" a="1"/>
  <c r="P618" i="17" s="1"/>
  <c r="P690" i="17" a="1"/>
  <c r="P690" i="17" s="1"/>
  <c r="P740" i="17" a="1"/>
  <c r="P740" i="17" s="1"/>
  <c r="P790" i="17" a="1"/>
  <c r="P790" i="17" s="1"/>
  <c r="P840" i="17" a="1"/>
  <c r="P840" i="17" s="1"/>
  <c r="P890" i="17" a="1"/>
  <c r="P890" i="17" s="1"/>
  <c r="P940" i="17" a="1"/>
  <c r="P940" i="17" s="1"/>
  <c r="P990" i="17" a="1"/>
  <c r="P990" i="17" s="1"/>
  <c r="P236" i="17" a="1"/>
  <c r="P236" i="17" s="1"/>
  <c r="P237" i="17" a="1"/>
  <c r="P237" i="17" s="1"/>
  <c r="P238" i="17" a="1"/>
  <c r="P238" i="17" s="1"/>
  <c r="P239" i="17" a="1"/>
  <c r="P239" i="17" s="1"/>
  <c r="P240" i="17" a="1"/>
  <c r="P240" i="17" s="1"/>
  <c r="P241" i="17" a="1"/>
  <c r="P241" i="17" s="1"/>
  <c r="P419" i="17" a="1"/>
  <c r="P419" i="17" s="1"/>
  <c r="P420" i="17" a="1"/>
  <c r="P420" i="17" s="1"/>
  <c r="P421" i="17" a="1"/>
  <c r="P421" i="17" s="1"/>
  <c r="P491" i="17" a="1"/>
  <c r="P491" i="17" s="1"/>
  <c r="P619" i="17" a="1"/>
  <c r="P619" i="17" s="1"/>
  <c r="P620" i="17" a="1"/>
  <c r="P620" i="17" s="1"/>
  <c r="P621" i="17" a="1"/>
  <c r="P621" i="17" s="1"/>
  <c r="P691" i="17" a="1"/>
  <c r="P691" i="17" s="1"/>
  <c r="P741" i="17" a="1"/>
  <c r="P741" i="17" s="1"/>
  <c r="P791" i="17" a="1"/>
  <c r="P791" i="17" s="1"/>
  <c r="P841" i="17" a="1"/>
  <c r="P841" i="17" s="1"/>
  <c r="P891" i="17" a="1"/>
  <c r="P891" i="17" s="1"/>
  <c r="P941" i="17" a="1"/>
  <c r="P941" i="17" s="1"/>
  <c r="P991" i="17" a="1"/>
  <c r="P991" i="17"/>
  <c r="P242" i="17" a="1"/>
  <c r="P242" i="17" s="1"/>
  <c r="P243" i="17" a="1"/>
  <c r="P243" i="17" s="1"/>
  <c r="P244" i="17" a="1"/>
  <c r="P244" i="17" s="1"/>
  <c r="P245" i="17" a="1"/>
  <c r="P245" i="17" s="1"/>
  <c r="P246" i="17" a="1"/>
  <c r="P246" i="17" s="1"/>
  <c r="P247" i="17" a="1"/>
  <c r="P247" i="17" s="1"/>
  <c r="P422" i="17" a="1"/>
  <c r="P422" i="17" s="1"/>
  <c r="P423" i="17" a="1"/>
  <c r="P423" i="17" s="1"/>
  <c r="P424" i="17" a="1"/>
  <c r="P424" i="17" s="1"/>
  <c r="P492" i="17" a="1"/>
  <c r="P492" i="17" s="1"/>
  <c r="P622" i="17" a="1"/>
  <c r="P622" i="17" s="1"/>
  <c r="P623" i="17" a="1"/>
  <c r="P623" i="17" s="1"/>
  <c r="P624" i="17" a="1"/>
  <c r="P624" i="17" s="1"/>
  <c r="P692" i="17" a="1"/>
  <c r="P692" i="17" s="1"/>
  <c r="P742" i="17" a="1"/>
  <c r="P742" i="17" s="1"/>
  <c r="P792" i="17" a="1"/>
  <c r="P792" i="17"/>
  <c r="P842" i="17" a="1"/>
  <c r="P842" i="17" s="1"/>
  <c r="P892" i="17" a="1"/>
  <c r="P892" i="17" s="1"/>
  <c r="P942" i="17" a="1"/>
  <c r="P942" i="17" s="1"/>
  <c r="P992" i="17" a="1"/>
  <c r="P992" i="17" s="1"/>
  <c r="P248" i="17" a="1"/>
  <c r="P248" i="17" s="1"/>
  <c r="P249" i="17" a="1"/>
  <c r="P249" i="17" s="1"/>
  <c r="P250" i="17" a="1"/>
  <c r="P250" i="17" s="1"/>
  <c r="P251" i="17" a="1"/>
  <c r="P251" i="17" s="1"/>
  <c r="P252" i="17" a="1"/>
  <c r="P252" i="17" s="1"/>
  <c r="P253" i="17" a="1"/>
  <c r="P253" i="17" s="1"/>
  <c r="P425" i="17" a="1"/>
  <c r="P425" i="17" s="1"/>
  <c r="P426" i="17" a="1"/>
  <c r="P426" i="17" s="1"/>
  <c r="P427" i="17" a="1"/>
  <c r="P427" i="17" s="1"/>
  <c r="P493" i="17" a="1"/>
  <c r="P493" i="17" s="1"/>
  <c r="P625" i="17" a="1"/>
  <c r="P625" i="17" s="1"/>
  <c r="P626" i="17" a="1"/>
  <c r="P626" i="17" s="1"/>
  <c r="P627" i="17" a="1"/>
  <c r="P627" i="17" s="1"/>
  <c r="P693" i="17" a="1"/>
  <c r="P693" i="17" s="1"/>
  <c r="P743" i="17" a="1"/>
  <c r="P743" i="17" s="1"/>
  <c r="P793" i="17" a="1"/>
  <c r="P793" i="17" s="1"/>
  <c r="P843" i="17" a="1"/>
  <c r="P843" i="17" s="1"/>
  <c r="P893" i="17" a="1"/>
  <c r="P893" i="17" s="1"/>
  <c r="P943" i="17" a="1"/>
  <c r="P943" i="17" s="1"/>
  <c r="P993" i="17" a="1"/>
  <c r="P993" i="17" s="1"/>
  <c r="P254" i="17" a="1"/>
  <c r="P254" i="17" s="1"/>
  <c r="P255" i="17" a="1"/>
  <c r="P255" i="17" s="1"/>
  <c r="P256" i="17" a="1"/>
  <c r="P256" i="17" s="1"/>
  <c r="P257" i="17" a="1"/>
  <c r="P257" i="17" s="1"/>
  <c r="P258" i="17" a="1"/>
  <c r="P258" i="17" s="1"/>
  <c r="P259" i="17" a="1"/>
  <c r="P259" i="17" s="1"/>
  <c r="P428" i="17" a="1"/>
  <c r="P428" i="17" s="1"/>
  <c r="P429" i="17" a="1"/>
  <c r="P429" i="17"/>
  <c r="P430" i="17" a="1"/>
  <c r="P430" i="17" s="1"/>
  <c r="P494" i="17" a="1"/>
  <c r="P494" i="17" s="1"/>
  <c r="P628" i="17" a="1"/>
  <c r="P628" i="17" s="1"/>
  <c r="P629" i="17" a="1"/>
  <c r="P629" i="17" s="1"/>
  <c r="P630" i="17" a="1"/>
  <c r="P630" i="17" s="1"/>
  <c r="P694" i="17" a="1"/>
  <c r="P694" i="17" s="1"/>
  <c r="P744" i="17" a="1"/>
  <c r="P744" i="17" s="1"/>
  <c r="P794" i="17" a="1"/>
  <c r="P794" i="17"/>
  <c r="P844" i="17" a="1"/>
  <c r="P844" i="17" s="1"/>
  <c r="P894" i="17" a="1"/>
  <c r="P894" i="17" s="1"/>
  <c r="P944" i="17" a="1"/>
  <c r="P944" i="17" s="1"/>
  <c r="P994" i="17" a="1"/>
  <c r="P994" i="17" s="1"/>
  <c r="P260" i="17" a="1"/>
  <c r="P260" i="17" s="1"/>
  <c r="P261" i="17" a="1"/>
  <c r="P261" i="17" s="1"/>
  <c r="P262" i="17" a="1"/>
  <c r="P262" i="17" s="1"/>
  <c r="P263" i="17" a="1"/>
  <c r="P263" i="17" s="1"/>
  <c r="P264" i="17" a="1"/>
  <c r="P264" i="17" s="1"/>
  <c r="P265" i="17" a="1"/>
  <c r="P265" i="17" s="1"/>
  <c r="P431" i="17" a="1"/>
  <c r="P431" i="17" s="1"/>
  <c r="P432" i="17" a="1"/>
  <c r="P432" i="17" s="1"/>
  <c r="P433" i="17" a="1"/>
  <c r="P433" i="17" s="1"/>
  <c r="P495" i="17" a="1"/>
  <c r="P495" i="17" s="1"/>
  <c r="P631" i="17" a="1"/>
  <c r="P631" i="17" s="1"/>
  <c r="P632" i="17" a="1"/>
  <c r="P632" i="17" s="1"/>
  <c r="P633" i="17" a="1"/>
  <c r="P633" i="17" s="1"/>
  <c r="P695" i="17" a="1"/>
  <c r="P695" i="17" s="1"/>
  <c r="P745" i="17" a="1"/>
  <c r="P745" i="17" s="1"/>
  <c r="P795" i="17" a="1"/>
  <c r="P795" i="17" s="1"/>
  <c r="P845" i="17" a="1"/>
  <c r="P845" i="17" s="1"/>
  <c r="P895" i="17" a="1"/>
  <c r="P895" i="17" s="1"/>
  <c r="P945" i="17" a="1"/>
  <c r="P945" i="17" s="1"/>
  <c r="P995" i="17" a="1"/>
  <c r="P995" i="17"/>
  <c r="P266" i="17" a="1"/>
  <c r="P266" i="17" s="1"/>
  <c r="P267" i="17" a="1"/>
  <c r="P267" i="17" s="1"/>
  <c r="P268" i="17" a="1"/>
  <c r="P268" i="17" s="1"/>
  <c r="P269" i="17" a="1"/>
  <c r="P269" i="17" s="1"/>
  <c r="P270" i="17" a="1"/>
  <c r="P270" i="17" s="1"/>
  <c r="P271" i="17" a="1"/>
  <c r="P271" i="17" s="1"/>
  <c r="P434" i="17" a="1"/>
  <c r="P434" i="17" s="1"/>
  <c r="P435" i="17" a="1"/>
  <c r="P435" i="17"/>
  <c r="P436" i="17" a="1"/>
  <c r="P436" i="17" s="1"/>
  <c r="P496" i="17" a="1"/>
  <c r="P496" i="17" s="1"/>
  <c r="P634" i="17" a="1"/>
  <c r="P634" i="17" s="1"/>
  <c r="P635" i="17" a="1"/>
  <c r="P635" i="17" s="1"/>
  <c r="P636" i="17" a="1"/>
  <c r="P636" i="17" s="1"/>
  <c r="P696" i="17" a="1"/>
  <c r="P696" i="17" s="1"/>
  <c r="P746" i="17" a="1"/>
  <c r="P746" i="17" s="1"/>
  <c r="P796" i="17" a="1"/>
  <c r="P796" i="17" s="1"/>
  <c r="P846" i="17" a="1"/>
  <c r="P846" i="17" s="1"/>
  <c r="P896" i="17" a="1"/>
  <c r="P896" i="17" s="1"/>
  <c r="P946" i="17" a="1"/>
  <c r="P946" i="17" s="1"/>
  <c r="P996" i="17" a="1"/>
  <c r="P996" i="17" s="1"/>
  <c r="P272" i="17" a="1"/>
  <c r="P272" i="17" s="1"/>
  <c r="P273" i="17" a="1"/>
  <c r="P273" i="17" s="1"/>
  <c r="P274" i="17" a="1"/>
  <c r="P274" i="17" s="1"/>
  <c r="P275" i="17" a="1"/>
  <c r="P275" i="17" s="1"/>
  <c r="P276" i="17" a="1"/>
  <c r="P276" i="17" s="1"/>
  <c r="P277" i="17" a="1"/>
  <c r="P277" i="17" s="1"/>
  <c r="P437" i="17" a="1"/>
  <c r="P437" i="17" s="1"/>
  <c r="P438" i="17" a="1"/>
  <c r="P438" i="17" s="1"/>
  <c r="P439" i="17" a="1"/>
  <c r="P439" i="17" s="1"/>
  <c r="P497" i="17" a="1"/>
  <c r="P497" i="17" s="1"/>
  <c r="P637" i="17" a="1"/>
  <c r="P637" i="17" s="1"/>
  <c r="P638" i="17" a="1"/>
  <c r="P638" i="17"/>
  <c r="P639" i="17" a="1"/>
  <c r="P639" i="17" s="1"/>
  <c r="P697" i="17" a="1"/>
  <c r="P697" i="17" s="1"/>
  <c r="P747" i="17" a="1"/>
  <c r="P747" i="17" s="1"/>
  <c r="P797" i="17" a="1"/>
  <c r="P797" i="17" s="1"/>
  <c r="P847" i="17" a="1"/>
  <c r="P847" i="17" s="1"/>
  <c r="P897" i="17" a="1"/>
  <c r="P897" i="17" s="1"/>
  <c r="P947" i="17" a="1"/>
  <c r="P947" i="17" s="1"/>
  <c r="P997" i="17" a="1"/>
  <c r="P997" i="17"/>
  <c r="P278" i="17" a="1"/>
  <c r="P278" i="17" s="1"/>
  <c r="P279" i="17" a="1"/>
  <c r="P279" i="17" s="1"/>
  <c r="P280" i="17" a="1"/>
  <c r="P280" i="17" s="1"/>
  <c r="P281" i="17" a="1"/>
  <c r="P281" i="17" s="1"/>
  <c r="P282" i="17" a="1"/>
  <c r="P282" i="17" s="1"/>
  <c r="P283" i="17" a="1"/>
  <c r="P283" i="17" s="1"/>
  <c r="P440" i="17" a="1"/>
  <c r="P440" i="17" s="1"/>
  <c r="P441" i="17" a="1"/>
  <c r="P441" i="17" s="1"/>
  <c r="P442" i="17" a="1"/>
  <c r="P442" i="17" s="1"/>
  <c r="P498" i="17" a="1"/>
  <c r="P498" i="17" s="1"/>
  <c r="P640" i="17" a="1"/>
  <c r="P640" i="17" s="1"/>
  <c r="P641" i="17" a="1"/>
  <c r="P641" i="17" s="1"/>
  <c r="P642" i="17" a="1"/>
  <c r="P642" i="17" s="1"/>
  <c r="P698" i="17" a="1"/>
  <c r="P698" i="17" s="1"/>
  <c r="P748" i="17" a="1"/>
  <c r="P748" i="17" s="1"/>
  <c r="P798" i="17" a="1"/>
  <c r="P798" i="17" s="1"/>
  <c r="P848" i="17" a="1"/>
  <c r="P848" i="17" s="1"/>
  <c r="P898" i="17" a="1"/>
  <c r="P898" i="17" s="1"/>
  <c r="P948" i="17" a="1"/>
  <c r="P948" i="17" s="1"/>
  <c r="P998" i="17" a="1"/>
  <c r="P998" i="17" s="1"/>
  <c r="P284" i="17" a="1"/>
  <c r="P284" i="17" s="1"/>
  <c r="P285" i="17" a="1"/>
  <c r="P285" i="17" s="1"/>
  <c r="P286" i="17" a="1"/>
  <c r="P286" i="17" s="1"/>
  <c r="P287" i="17" a="1"/>
  <c r="P287" i="17"/>
  <c r="P288" i="17" a="1"/>
  <c r="P288" i="17" s="1"/>
  <c r="P289" i="17" a="1"/>
  <c r="P289" i="17" s="1"/>
  <c r="P443" i="17" a="1"/>
  <c r="P443" i="17" s="1"/>
  <c r="P444" i="17" a="1"/>
  <c r="P444" i="17" s="1"/>
  <c r="P445" i="17" a="1"/>
  <c r="P445" i="17" s="1"/>
  <c r="P499" i="17" a="1"/>
  <c r="P499" i="17" s="1"/>
  <c r="P643" i="17" a="1"/>
  <c r="P643" i="17" s="1"/>
  <c r="P644" i="17" a="1"/>
  <c r="P644" i="17"/>
  <c r="P645" i="17" a="1"/>
  <c r="P645" i="17" s="1"/>
  <c r="P699" i="17" a="1"/>
  <c r="P699" i="17" s="1"/>
  <c r="P749" i="17" a="1"/>
  <c r="P749" i="17" s="1"/>
  <c r="P799" i="17" a="1"/>
  <c r="P799" i="17" s="1"/>
  <c r="P849" i="17" a="1"/>
  <c r="P849" i="17" s="1"/>
  <c r="P899" i="17" a="1"/>
  <c r="P899" i="17" s="1"/>
  <c r="P949" i="17" a="1"/>
  <c r="P949" i="17" s="1"/>
  <c r="P999" i="17" a="1"/>
  <c r="P999" i="17" s="1"/>
  <c r="P290" i="17" a="1"/>
  <c r="P290" i="17" s="1"/>
  <c r="P291" i="17" a="1"/>
  <c r="P291" i="17" s="1"/>
  <c r="P292" i="17" a="1"/>
  <c r="P292" i="17" s="1"/>
  <c r="P293" i="17" a="1"/>
  <c r="P293" i="17" s="1"/>
  <c r="P294" i="17" a="1"/>
  <c r="P294" i="17" s="1"/>
  <c r="P295" i="17" a="1"/>
  <c r="P295" i="17" s="1"/>
  <c r="P446" i="17" a="1"/>
  <c r="P446" i="17" s="1"/>
  <c r="P447" i="17" a="1"/>
  <c r="P447" i="17" s="1"/>
  <c r="P448" i="17" a="1"/>
  <c r="P448" i="17" s="1"/>
  <c r="P500" i="17" a="1"/>
  <c r="P500" i="17" s="1"/>
  <c r="P646" i="17" a="1"/>
  <c r="P646" i="17" s="1"/>
  <c r="P647" i="17" a="1"/>
  <c r="P647" i="17" s="1"/>
  <c r="P648" i="17" a="1"/>
  <c r="P648" i="17" s="1"/>
  <c r="P700" i="17" a="1"/>
  <c r="P700" i="17" s="1"/>
  <c r="P750" i="17" a="1"/>
  <c r="P750" i="17" s="1"/>
  <c r="P800" i="17" a="1"/>
  <c r="P800" i="17"/>
  <c r="P850" i="17" a="1"/>
  <c r="P850" i="17" s="1"/>
  <c r="P900" i="17" a="1"/>
  <c r="P900" i="17" s="1"/>
  <c r="P950" i="17" a="1"/>
  <c r="P950" i="17" s="1"/>
  <c r="P1000" i="17" a="1"/>
  <c r="P1000" i="17" s="1"/>
  <c r="P296" i="17" a="1"/>
  <c r="P296" i="17" s="1"/>
  <c r="P297" i="17" a="1"/>
  <c r="P297" i="17" s="1"/>
  <c r="P298" i="17" a="1"/>
  <c r="P298" i="17" s="1"/>
  <c r="P299" i="17" a="1"/>
  <c r="P299" i="17"/>
  <c r="P300" i="17" a="1"/>
  <c r="P300" i="17" s="1"/>
  <c r="P301" i="17" a="1"/>
  <c r="P301" i="17" s="1"/>
  <c r="P449" i="17" a="1"/>
  <c r="P449" i="17" s="1"/>
  <c r="P450" i="17" a="1"/>
  <c r="P450" i="17" s="1"/>
  <c r="P451" i="17" a="1"/>
  <c r="P451" i="17" s="1"/>
  <c r="P501" i="17" a="1"/>
  <c r="P501" i="17" s="1"/>
  <c r="P649" i="17" a="1"/>
  <c r="P649" i="17" s="1"/>
  <c r="P650" i="17" a="1"/>
  <c r="P650" i="17" s="1"/>
  <c r="P651" i="17" a="1"/>
  <c r="P651" i="17" s="1"/>
  <c r="P701" i="17" a="1"/>
  <c r="P701" i="17" s="1"/>
  <c r="P751" i="17" a="1"/>
  <c r="P751" i="17" s="1"/>
  <c r="P801" i="17" a="1"/>
  <c r="P801" i="17" s="1"/>
  <c r="P851" i="17" a="1"/>
  <c r="P851" i="17" s="1"/>
  <c r="P901" i="17" a="1"/>
  <c r="P901" i="17" s="1"/>
  <c r="P951" i="17" a="1"/>
  <c r="P951" i="17" s="1"/>
  <c r="P1001" i="17" a="1"/>
  <c r="P100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302" i="17" a="1"/>
  <c r="R302" i="17"/>
  <c r="R303" i="17" a="1"/>
  <c r="R303" i="17" s="1"/>
  <c r="R304" i="17" a="1"/>
  <c r="R304" i="17" s="1"/>
  <c r="R452" i="17" a="1"/>
  <c r="R452" i="17" s="1"/>
  <c r="R502" i="17" a="1"/>
  <c r="R502" i="17" s="1"/>
  <c r="R503" i="17" a="1"/>
  <c r="R503" i="17" s="1"/>
  <c r="R504" i="17" a="1"/>
  <c r="R504" i="17" s="1"/>
  <c r="R652" i="17" a="1"/>
  <c r="R652" i="17" s="1"/>
  <c r="R702" i="17" a="1"/>
  <c r="R702" i="17" s="1"/>
  <c r="R752" i="17" a="1"/>
  <c r="R752" i="17" s="1"/>
  <c r="R802" i="17" a="1"/>
  <c r="R802" i="17" s="1"/>
  <c r="R852" i="17" a="1"/>
  <c r="R852" i="17" s="1"/>
  <c r="R902" i="17" a="1"/>
  <c r="R902" i="17" s="1"/>
  <c r="R952" i="17" a="1"/>
  <c r="R952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305" i="17" a="1"/>
  <c r="R305" i="17" s="1"/>
  <c r="R306" i="17" a="1"/>
  <c r="R306" i="17" s="1"/>
  <c r="R307" i="17" a="1"/>
  <c r="R307" i="17" s="1"/>
  <c r="R453" i="17" a="1"/>
  <c r="R453" i="17" s="1"/>
  <c r="R505" i="17" a="1"/>
  <c r="R505" i="17" s="1"/>
  <c r="R506" i="17" a="1"/>
  <c r="R506" i="17" s="1"/>
  <c r="R507" i="17" a="1"/>
  <c r="R507" i="17" s="1"/>
  <c r="R653" i="17" a="1"/>
  <c r="R653" i="17" s="1"/>
  <c r="R703" i="17" a="1"/>
  <c r="R703" i="17" s="1"/>
  <c r="R753" i="17" a="1"/>
  <c r="R753" i="17" s="1"/>
  <c r="R803" i="17" a="1"/>
  <c r="R803" i="17" s="1"/>
  <c r="R853" i="17" a="1"/>
  <c r="R853" i="17" s="1"/>
  <c r="R903" i="17" a="1"/>
  <c r="R903" i="17"/>
  <c r="R953" i="17" a="1"/>
  <c r="R953" i="17" s="1"/>
  <c r="R14" i="17" a="1"/>
  <c r="R14" i="17" s="1"/>
  <c r="R15" i="17" a="1"/>
  <c r="R15" i="17" s="1"/>
  <c r="R16" i="17" a="1"/>
  <c r="R16" i="17"/>
  <c r="R17" i="17" a="1"/>
  <c r="R17" i="17" s="1"/>
  <c r="R18" i="17" a="1"/>
  <c r="R18" i="17" s="1"/>
  <c r="R19" i="17" a="1"/>
  <c r="R19" i="17" s="1"/>
  <c r="R308" i="17" a="1"/>
  <c r="R308" i="17" s="1"/>
  <c r="R309" i="17" a="1"/>
  <c r="R309" i="17" s="1"/>
  <c r="R310" i="17" a="1"/>
  <c r="R310" i="17" s="1"/>
  <c r="R454" i="17" a="1"/>
  <c r="R454" i="17" s="1"/>
  <c r="R508" i="17" a="1"/>
  <c r="R508" i="17" s="1"/>
  <c r="R509" i="17" a="1"/>
  <c r="R509" i="17" s="1"/>
  <c r="R510" i="17" a="1"/>
  <c r="R510" i="17" s="1"/>
  <c r="R654" i="17" a="1"/>
  <c r="R654" i="17" s="1"/>
  <c r="R704" i="17" a="1"/>
  <c r="R704" i="17" s="1"/>
  <c r="R754" i="17" a="1"/>
  <c r="R754" i="17" s="1"/>
  <c r="R804" i="17" a="1"/>
  <c r="R804" i="17" s="1"/>
  <c r="R854" i="17" a="1"/>
  <c r="R854" i="17" s="1"/>
  <c r="R904" i="17" a="1"/>
  <c r="R904" i="17" s="1"/>
  <c r="R954" i="17" a="1"/>
  <c r="R954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311" i="17" a="1"/>
  <c r="R311" i="17" s="1"/>
  <c r="R312" i="17" a="1"/>
  <c r="R312" i="17" s="1"/>
  <c r="R313" i="17" a="1"/>
  <c r="R313" i="17" s="1"/>
  <c r="R455" i="17" a="1"/>
  <c r="R455" i="17" s="1"/>
  <c r="R511" i="17" a="1"/>
  <c r="R511" i="17" s="1"/>
  <c r="R512" i="17" a="1"/>
  <c r="R512" i="17" s="1"/>
  <c r="R513" i="17" a="1"/>
  <c r="R513" i="17" s="1"/>
  <c r="R655" i="17" a="1"/>
  <c r="R655" i="17" s="1"/>
  <c r="R705" i="17" a="1"/>
  <c r="R705" i="17" s="1"/>
  <c r="R755" i="17" a="1"/>
  <c r="R755" i="17" s="1"/>
  <c r="R805" i="17" a="1"/>
  <c r="R805" i="17" s="1"/>
  <c r="R855" i="17" a="1"/>
  <c r="R855" i="17" s="1"/>
  <c r="R905" i="17" a="1"/>
  <c r="R905" i="17" s="1"/>
  <c r="R955" i="17" a="1"/>
  <c r="R95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14" i="17" a="1"/>
  <c r="R314" i="17" s="1"/>
  <c r="R315" i="17" a="1"/>
  <c r="R315" i="17" s="1"/>
  <c r="R316" i="17" a="1"/>
  <c r="R316" i="17" s="1"/>
  <c r="R456" i="17" a="1"/>
  <c r="R456" i="17" s="1"/>
  <c r="R514" i="17" a="1"/>
  <c r="R514" i="17" s="1"/>
  <c r="R515" i="17" a="1"/>
  <c r="R515" i="17" s="1"/>
  <c r="R516" i="17" a="1"/>
  <c r="R516" i="17" s="1"/>
  <c r="R656" i="17" a="1"/>
  <c r="R656" i="17" s="1"/>
  <c r="R706" i="17" a="1"/>
  <c r="R706" i="17" s="1"/>
  <c r="R756" i="17" a="1"/>
  <c r="R756" i="17" s="1"/>
  <c r="R806" i="17" a="1"/>
  <c r="R806" i="17" s="1"/>
  <c r="R856" i="17" a="1"/>
  <c r="R856" i="17" s="1"/>
  <c r="R906" i="17" a="1"/>
  <c r="R906" i="17" s="1"/>
  <c r="R956" i="17" a="1"/>
  <c r="R95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17" i="17" a="1"/>
  <c r="R317" i="17" s="1"/>
  <c r="R318" i="17" a="1"/>
  <c r="R318" i="17" s="1"/>
  <c r="R319" i="17" a="1"/>
  <c r="R319" i="17" s="1"/>
  <c r="R457" i="17" a="1"/>
  <c r="R457" i="17" s="1"/>
  <c r="R517" i="17" a="1"/>
  <c r="R517" i="17" s="1"/>
  <c r="R518" i="17" a="1"/>
  <c r="R518" i="17" s="1"/>
  <c r="R519" i="17" a="1"/>
  <c r="R519" i="17" s="1"/>
  <c r="R657" i="17" a="1"/>
  <c r="R657" i="17" s="1"/>
  <c r="R707" i="17" a="1"/>
  <c r="R707" i="17" s="1"/>
  <c r="R757" i="17" a="1"/>
  <c r="R757" i="17"/>
  <c r="R807" i="17" a="1"/>
  <c r="R807" i="17" s="1"/>
  <c r="R857" i="17" a="1"/>
  <c r="R857" i="17" s="1"/>
  <c r="R907" i="17" a="1"/>
  <c r="R907" i="17" s="1"/>
  <c r="R957" i="17" a="1"/>
  <c r="R95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320" i="17" a="1"/>
  <c r="R320" i="17" s="1"/>
  <c r="R321" i="17" a="1"/>
  <c r="R321" i="17" s="1"/>
  <c r="R322" i="17" a="1"/>
  <c r="R322" i="17" s="1"/>
  <c r="R458" i="17" a="1"/>
  <c r="R458" i="17" s="1"/>
  <c r="R520" i="17" a="1"/>
  <c r="R520" i="17" s="1"/>
  <c r="R521" i="17" a="1"/>
  <c r="R521" i="17"/>
  <c r="R522" i="17" a="1"/>
  <c r="R522" i="17" s="1"/>
  <c r="R658" i="17" a="1"/>
  <c r="R658" i="17" s="1"/>
  <c r="R708" i="17" a="1"/>
  <c r="R708" i="17" s="1"/>
  <c r="R758" i="17" a="1"/>
  <c r="R758" i="17" s="1"/>
  <c r="R808" i="17" a="1"/>
  <c r="R808" i="17" s="1"/>
  <c r="R858" i="17" a="1"/>
  <c r="R858" i="17" s="1"/>
  <c r="R908" i="17" a="1"/>
  <c r="R908" i="17" s="1"/>
  <c r="R958" i="17" a="1"/>
  <c r="R958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323" i="17" a="1"/>
  <c r="R323" i="17" s="1"/>
  <c r="R324" i="17" a="1"/>
  <c r="R324" i="17" s="1"/>
  <c r="R325" i="17" a="1"/>
  <c r="R325" i="17" s="1"/>
  <c r="R459" i="17" a="1"/>
  <c r="R459" i="17" s="1"/>
  <c r="R523" i="17" a="1"/>
  <c r="R523" i="17" s="1"/>
  <c r="R524" i="17" a="1"/>
  <c r="R524" i="17" s="1"/>
  <c r="R525" i="17" a="1"/>
  <c r="R525" i="17" s="1"/>
  <c r="R659" i="17" a="1"/>
  <c r="R659" i="17" s="1"/>
  <c r="R709" i="17" a="1"/>
  <c r="R709" i="17" s="1"/>
  <c r="R759" i="17" a="1"/>
  <c r="R759" i="17" s="1"/>
  <c r="R809" i="17" a="1"/>
  <c r="R809" i="17" s="1"/>
  <c r="R859" i="17" a="1"/>
  <c r="R859" i="17" s="1"/>
  <c r="R909" i="17" a="1"/>
  <c r="R909" i="17" s="1"/>
  <c r="R959" i="17" a="1"/>
  <c r="R959" i="17" s="1"/>
  <c r="R50" i="17" a="1"/>
  <c r="R50" i="17" s="1"/>
  <c r="R51" i="17" a="1"/>
  <c r="R51" i="17"/>
  <c r="R52" i="17" a="1"/>
  <c r="R52" i="17" s="1"/>
  <c r="R53" i="17" a="1"/>
  <c r="R53" i="17" s="1"/>
  <c r="R54" i="17" a="1"/>
  <c r="R54" i="17" s="1"/>
  <c r="R55" i="17" a="1"/>
  <c r="R55" i="17" s="1"/>
  <c r="R326" i="17" a="1"/>
  <c r="R326" i="17" s="1"/>
  <c r="R327" i="17" a="1"/>
  <c r="R327" i="17" s="1"/>
  <c r="R328" i="17" a="1"/>
  <c r="R328" i="17" s="1"/>
  <c r="R460" i="17" a="1"/>
  <c r="R460" i="17" s="1"/>
  <c r="R526" i="17" a="1"/>
  <c r="R526" i="17" s="1"/>
  <c r="R527" i="17" a="1"/>
  <c r="R527" i="17" s="1"/>
  <c r="R528" i="17" a="1"/>
  <c r="R528" i="17" s="1"/>
  <c r="R660" i="17" a="1"/>
  <c r="R660" i="17" s="1"/>
  <c r="R710" i="17" a="1"/>
  <c r="R710" i="17" s="1"/>
  <c r="R760" i="17" a="1"/>
  <c r="R760" i="17" s="1"/>
  <c r="R810" i="17" a="1"/>
  <c r="R810" i="17" s="1"/>
  <c r="R860" i="17" a="1"/>
  <c r="R860" i="17" s="1"/>
  <c r="R910" i="17" a="1"/>
  <c r="R910" i="17" s="1"/>
  <c r="R960" i="17" a="1"/>
  <c r="R960" i="17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329" i="17" a="1"/>
  <c r="R329" i="17" s="1"/>
  <c r="R330" i="17" a="1"/>
  <c r="R330" i="17" s="1"/>
  <c r="R331" i="17" a="1"/>
  <c r="R331" i="17" s="1"/>
  <c r="R461" i="17" a="1"/>
  <c r="R461" i="17" s="1"/>
  <c r="R529" i="17" a="1"/>
  <c r="R529" i="17" s="1"/>
  <c r="R530" i="17" a="1"/>
  <c r="R530" i="17" s="1"/>
  <c r="R531" i="17" a="1"/>
  <c r="R531" i="17" s="1"/>
  <c r="R661" i="17" a="1"/>
  <c r="R661" i="17"/>
  <c r="R711" i="17" a="1"/>
  <c r="R711" i="17" s="1"/>
  <c r="R761" i="17" a="1"/>
  <c r="R761" i="17" s="1"/>
  <c r="R811" i="17" a="1"/>
  <c r="R811" i="17" s="1"/>
  <c r="R861" i="17" a="1"/>
  <c r="R861" i="17" s="1"/>
  <c r="R911" i="17" a="1"/>
  <c r="R911" i="17" s="1"/>
  <c r="R961" i="17" a="1"/>
  <c r="R96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332" i="17" a="1"/>
  <c r="R332" i="17" s="1"/>
  <c r="R333" i="17" a="1"/>
  <c r="R333" i="17" s="1"/>
  <c r="R334" i="17" a="1"/>
  <c r="R334" i="17" s="1"/>
  <c r="R462" i="17" a="1"/>
  <c r="R462" i="17" s="1"/>
  <c r="R532" i="17" a="1"/>
  <c r="R532" i="17" s="1"/>
  <c r="R533" i="17" a="1"/>
  <c r="R533" i="17"/>
  <c r="R534" i="17" a="1"/>
  <c r="R534" i="17" s="1"/>
  <c r="R662" i="17" a="1"/>
  <c r="R662" i="17" s="1"/>
  <c r="R712" i="17" a="1"/>
  <c r="R712" i="17" s="1"/>
  <c r="R762" i="17" a="1"/>
  <c r="R762" i="17" s="1"/>
  <c r="R812" i="17" a="1"/>
  <c r="R812" i="17" s="1"/>
  <c r="R862" i="17" a="1"/>
  <c r="R862" i="17" s="1"/>
  <c r="R912" i="17" a="1"/>
  <c r="R912" i="17" s="1"/>
  <c r="R962" i="17" a="1"/>
  <c r="R962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/>
  <c r="R335" i="17" a="1"/>
  <c r="R335" i="17" s="1"/>
  <c r="R336" i="17" a="1"/>
  <c r="R336" i="17" s="1"/>
  <c r="R337" i="17" a="1"/>
  <c r="R337" i="17" s="1"/>
  <c r="R463" i="17" a="1"/>
  <c r="R463" i="17" s="1"/>
  <c r="R535" i="17" a="1"/>
  <c r="R535" i="17" s="1"/>
  <c r="R536" i="17" a="1"/>
  <c r="R536" i="17" s="1"/>
  <c r="R537" i="17" a="1"/>
  <c r="R537" i="17" s="1"/>
  <c r="R663" i="17" a="1"/>
  <c r="R663" i="17" s="1"/>
  <c r="R713" i="17" a="1"/>
  <c r="R713" i="17" s="1"/>
  <c r="R763" i="17" a="1"/>
  <c r="R763" i="17" s="1"/>
  <c r="R813" i="17" a="1"/>
  <c r="R813" i="17" s="1"/>
  <c r="R863" i="17" a="1"/>
  <c r="R863" i="17" s="1"/>
  <c r="R913" i="17" a="1"/>
  <c r="R913" i="17" s="1"/>
  <c r="R963" i="17" a="1"/>
  <c r="R963" i="17" s="1"/>
  <c r="R74" i="17" a="1"/>
  <c r="R74" i="17" s="1"/>
  <c r="R75" i="17" a="1"/>
  <c r="R75" i="17" s="1"/>
  <c r="R76" i="17" a="1"/>
  <c r="R76" i="17" s="1"/>
  <c r="R77" i="17" a="1"/>
  <c r="R77" i="17"/>
  <c r="R78" i="17" a="1"/>
  <c r="R78" i="17" s="1"/>
  <c r="R79" i="17" a="1"/>
  <c r="R79" i="17" s="1"/>
  <c r="R338" i="17" a="1"/>
  <c r="R338" i="17" s="1"/>
  <c r="R339" i="17" a="1"/>
  <c r="R339" i="17" s="1"/>
  <c r="R340" i="17" a="1"/>
  <c r="R340" i="17" s="1"/>
  <c r="R464" i="17" a="1"/>
  <c r="R464" i="17" s="1"/>
  <c r="R538" i="17" a="1"/>
  <c r="R538" i="17" s="1"/>
  <c r="R539" i="17" a="1"/>
  <c r="R539" i="17" s="1"/>
  <c r="R540" i="17" a="1"/>
  <c r="R540" i="17" s="1"/>
  <c r="R664" i="17" a="1"/>
  <c r="R664" i="17" s="1"/>
  <c r="R714" i="17" a="1"/>
  <c r="R714" i="17" s="1"/>
  <c r="R764" i="17" a="1"/>
  <c r="R764" i="17" s="1"/>
  <c r="R814" i="17" a="1"/>
  <c r="R814" i="17" s="1"/>
  <c r="R864" i="17" a="1"/>
  <c r="R864" i="17"/>
  <c r="R914" i="17" a="1"/>
  <c r="R914" i="17" s="1"/>
  <c r="R964" i="17" a="1"/>
  <c r="R964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341" i="17" a="1"/>
  <c r="R341" i="17" s="1"/>
  <c r="R342" i="17" a="1"/>
  <c r="R342" i="17" s="1"/>
  <c r="R343" i="17" a="1"/>
  <c r="R343" i="17" s="1"/>
  <c r="R465" i="17" a="1"/>
  <c r="R465" i="17" s="1"/>
  <c r="R541" i="17" a="1"/>
  <c r="R541" i="17" s="1"/>
  <c r="R542" i="17" a="1"/>
  <c r="R542" i="17" s="1"/>
  <c r="R543" i="17" a="1"/>
  <c r="R543" i="17" s="1"/>
  <c r="R665" i="17" a="1"/>
  <c r="R665" i="17" s="1"/>
  <c r="R715" i="17" a="1"/>
  <c r="R715" i="17" s="1"/>
  <c r="R765" i="17" a="1"/>
  <c r="R765" i="17"/>
  <c r="R815" i="17" a="1"/>
  <c r="R815" i="17" s="1"/>
  <c r="R865" i="17" a="1"/>
  <c r="R865" i="17" s="1"/>
  <c r="R915" i="17" a="1"/>
  <c r="R915" i="17" s="1"/>
  <c r="R965" i="17" a="1"/>
  <c r="R96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344" i="17" a="1"/>
  <c r="R344" i="17" s="1"/>
  <c r="R345" i="17" a="1"/>
  <c r="R345" i="17" s="1"/>
  <c r="R346" i="17" a="1"/>
  <c r="R346" i="17" s="1"/>
  <c r="R466" i="17" a="1"/>
  <c r="R466" i="17"/>
  <c r="R544" i="17" a="1"/>
  <c r="R544" i="17" s="1"/>
  <c r="R545" i="17" a="1"/>
  <c r="R545" i="17" s="1"/>
  <c r="R546" i="17" a="1"/>
  <c r="R546" i="17" s="1"/>
  <c r="R666" i="17" a="1"/>
  <c r="R666" i="17" s="1"/>
  <c r="R716" i="17" a="1"/>
  <c r="R716" i="17" s="1"/>
  <c r="R766" i="17" a="1"/>
  <c r="R766" i="17" s="1"/>
  <c r="R816" i="17" a="1"/>
  <c r="R816" i="17" s="1"/>
  <c r="R866" i="17" a="1"/>
  <c r="R866" i="17" s="1"/>
  <c r="R916" i="17" a="1"/>
  <c r="R916" i="17" s="1"/>
  <c r="R966" i="17" a="1"/>
  <c r="R966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347" i="17" a="1"/>
  <c r="R347" i="17" s="1"/>
  <c r="R348" i="17" a="1"/>
  <c r="R348" i="17"/>
  <c r="R349" i="17" a="1"/>
  <c r="R349" i="17" s="1"/>
  <c r="R467" i="17" a="1"/>
  <c r="R467" i="17" s="1"/>
  <c r="R547" i="17" a="1"/>
  <c r="R547" i="17" s="1"/>
  <c r="R548" i="17" a="1"/>
  <c r="R548" i="17" s="1"/>
  <c r="R549" i="17" a="1"/>
  <c r="R549" i="17" s="1"/>
  <c r="R667" i="17" a="1"/>
  <c r="R667" i="17" s="1"/>
  <c r="R717" i="17" a="1"/>
  <c r="R717" i="17" s="1"/>
  <c r="R767" i="17" a="1"/>
  <c r="R767" i="17" s="1"/>
  <c r="R817" i="17" a="1"/>
  <c r="R817" i="17" s="1"/>
  <c r="R867" i="17" a="1"/>
  <c r="R867" i="17" s="1"/>
  <c r="R917" i="17" a="1"/>
  <c r="R917" i="17" s="1"/>
  <c r="R967" i="17" a="1"/>
  <c r="R967" i="17" s="1"/>
  <c r="R98" i="17" a="1"/>
  <c r="R98" i="17" s="1"/>
  <c r="R99" i="17" a="1"/>
  <c r="R99" i="17"/>
  <c r="R100" i="17" a="1"/>
  <c r="R100" i="17" s="1"/>
  <c r="R101" i="17" a="1"/>
  <c r="R101" i="17" s="1"/>
  <c r="R102" i="17" a="1"/>
  <c r="R102" i="17" s="1"/>
  <c r="R103" i="17" a="1"/>
  <c r="R103" i="17" s="1"/>
  <c r="R350" i="17" a="1"/>
  <c r="R350" i="17" s="1"/>
  <c r="R351" i="17" a="1"/>
  <c r="R351" i="17" s="1"/>
  <c r="R352" i="17" a="1"/>
  <c r="R352" i="17" s="1"/>
  <c r="R468" i="17" a="1"/>
  <c r="R468" i="17" s="1"/>
  <c r="R550" i="17" a="1"/>
  <c r="R550" i="17" s="1"/>
  <c r="R551" i="17" a="1"/>
  <c r="R551" i="17" s="1"/>
  <c r="R552" i="17" a="1"/>
  <c r="R552" i="17" s="1"/>
  <c r="R668" i="17" a="1"/>
  <c r="R668" i="17" s="1"/>
  <c r="R718" i="17" a="1"/>
  <c r="R718" i="17" s="1"/>
  <c r="R768" i="17" a="1"/>
  <c r="R768" i="17" s="1"/>
  <c r="R818" i="17" a="1"/>
  <c r="R818" i="17" s="1"/>
  <c r="R868" i="17" a="1"/>
  <c r="R868" i="17" s="1"/>
  <c r="R918" i="17" a="1"/>
  <c r="R918" i="17" s="1"/>
  <c r="R968" i="17" a="1"/>
  <c r="R968" i="17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353" i="17" a="1"/>
  <c r="R353" i="17" s="1"/>
  <c r="R354" i="17" a="1"/>
  <c r="R354" i="17" s="1"/>
  <c r="R355" i="17" a="1"/>
  <c r="R355" i="17" s="1"/>
  <c r="R469" i="17" a="1"/>
  <c r="R469" i="17" s="1"/>
  <c r="R553" i="17" a="1"/>
  <c r="R553" i="17" s="1"/>
  <c r="R554" i="17" a="1"/>
  <c r="R554" i="17" s="1"/>
  <c r="R555" i="17" a="1"/>
  <c r="R555" i="17" s="1"/>
  <c r="R669" i="17" a="1"/>
  <c r="R669" i="17" s="1"/>
  <c r="R719" i="17" a="1"/>
  <c r="R719" i="17" s="1"/>
  <c r="R769" i="17" a="1"/>
  <c r="R769" i="17" s="1"/>
  <c r="R819" i="17" a="1"/>
  <c r="R819" i="17" s="1"/>
  <c r="R869" i="17" a="1"/>
  <c r="R869" i="17" s="1"/>
  <c r="R919" i="17" a="1"/>
  <c r="R919" i="17" s="1"/>
  <c r="R969" i="17" a="1"/>
  <c r="R969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356" i="17" a="1"/>
  <c r="R356" i="17" s="1"/>
  <c r="R357" i="17" a="1"/>
  <c r="R357" i="17" s="1"/>
  <c r="R358" i="17" a="1"/>
  <c r="R358" i="17" s="1"/>
  <c r="R470" i="17" a="1"/>
  <c r="R470" i="17" s="1"/>
  <c r="R556" i="17" a="1"/>
  <c r="R556" i="17" s="1"/>
  <c r="R557" i="17" a="1"/>
  <c r="R557" i="17" s="1"/>
  <c r="R558" i="17" a="1"/>
  <c r="R558" i="17" s="1"/>
  <c r="R670" i="17" a="1"/>
  <c r="R670" i="17" s="1"/>
  <c r="R720" i="17" a="1"/>
  <c r="R720" i="17" s="1"/>
  <c r="R770" i="17" a="1"/>
  <c r="R770" i="17" s="1"/>
  <c r="R820" i="17" a="1"/>
  <c r="R820" i="17" s="1"/>
  <c r="R870" i="17" a="1"/>
  <c r="R870" i="17" s="1"/>
  <c r="R920" i="17" a="1"/>
  <c r="R920" i="17" s="1"/>
  <c r="R970" i="17" a="1"/>
  <c r="R97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359" i="17" a="1"/>
  <c r="R359" i="17" s="1"/>
  <c r="R360" i="17" a="1"/>
  <c r="R360" i="17" s="1"/>
  <c r="R361" i="17" a="1"/>
  <c r="R361" i="17" s="1"/>
  <c r="R471" i="17" a="1"/>
  <c r="R471" i="17" s="1"/>
  <c r="R559" i="17" a="1"/>
  <c r="R559" i="17" s="1"/>
  <c r="R560" i="17" a="1"/>
  <c r="R560" i="17" s="1"/>
  <c r="R561" i="17" a="1"/>
  <c r="R561" i="17" s="1"/>
  <c r="R671" i="17" a="1"/>
  <c r="R671" i="17" s="1"/>
  <c r="R721" i="17" a="1"/>
  <c r="R721" i="17" s="1"/>
  <c r="R771" i="17" a="1"/>
  <c r="R771" i="17" s="1"/>
  <c r="R821" i="17" a="1"/>
  <c r="R821" i="17" s="1"/>
  <c r="R871" i="17" a="1"/>
  <c r="R871" i="17" s="1"/>
  <c r="R921" i="17" a="1"/>
  <c r="R921" i="17" s="1"/>
  <c r="R971" i="17" a="1"/>
  <c r="R971" i="17" s="1"/>
  <c r="R122" i="17" a="1"/>
  <c r="R122" i="17" s="1"/>
  <c r="R123" i="17" a="1"/>
  <c r="R123" i="17" s="1"/>
  <c r="R124" i="17" a="1"/>
  <c r="R124" i="17" s="1"/>
  <c r="R125" i="17" a="1"/>
  <c r="R125" i="17"/>
  <c r="R126" i="17" a="1"/>
  <c r="R126" i="17" s="1"/>
  <c r="R127" i="17" a="1"/>
  <c r="R127" i="17" s="1"/>
  <c r="R362" i="17" a="1"/>
  <c r="R362" i="17" s="1"/>
  <c r="R363" i="17" a="1"/>
  <c r="R363" i="17" s="1"/>
  <c r="R364" i="17" a="1"/>
  <c r="R364" i="17" s="1"/>
  <c r="R472" i="17" a="1"/>
  <c r="R472" i="17" s="1"/>
  <c r="R562" i="17" a="1"/>
  <c r="R562" i="17" s="1"/>
  <c r="R563" i="17" a="1"/>
  <c r="R563" i="17" s="1"/>
  <c r="R564" i="17" a="1"/>
  <c r="R564" i="17" s="1"/>
  <c r="R672" i="17" a="1"/>
  <c r="R672" i="17" s="1"/>
  <c r="R722" i="17" a="1"/>
  <c r="R722" i="17" s="1"/>
  <c r="R772" i="17" a="1"/>
  <c r="R772" i="17" s="1"/>
  <c r="R822" i="17" a="1"/>
  <c r="R822" i="17" s="1"/>
  <c r="R872" i="17" a="1"/>
  <c r="R872" i="17" s="1"/>
  <c r="R922" i="17" a="1"/>
  <c r="R922" i="17" s="1"/>
  <c r="R972" i="17" a="1"/>
  <c r="R972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365" i="17" a="1"/>
  <c r="R365" i="17" s="1"/>
  <c r="R366" i="17" a="1"/>
  <c r="R366" i="17" s="1"/>
  <c r="R367" i="17" a="1"/>
  <c r="R367" i="17" s="1"/>
  <c r="R473" i="17" a="1"/>
  <c r="R473" i="17" s="1"/>
  <c r="R565" i="17" a="1"/>
  <c r="R565" i="17" s="1"/>
  <c r="R566" i="17" a="1"/>
  <c r="R566" i="17" s="1"/>
  <c r="R567" i="17" a="1"/>
  <c r="R567" i="17" s="1"/>
  <c r="R673" i="17" a="1"/>
  <c r="R673" i="17" s="1"/>
  <c r="R723" i="17" a="1"/>
  <c r="R723" i="17" s="1"/>
  <c r="R773" i="17" a="1"/>
  <c r="R773" i="17"/>
  <c r="R823" i="17" a="1"/>
  <c r="R823" i="17" s="1"/>
  <c r="R873" i="17" a="1"/>
  <c r="R873" i="17" s="1"/>
  <c r="R923" i="17" a="1"/>
  <c r="R923" i="17" s="1"/>
  <c r="R973" i="17" a="1"/>
  <c r="R973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368" i="17" a="1"/>
  <c r="R368" i="17" s="1"/>
  <c r="R369" i="17" a="1"/>
  <c r="R369" i="17" s="1"/>
  <c r="R370" i="17" a="1"/>
  <c r="R370" i="17" s="1"/>
  <c r="R474" i="17" a="1"/>
  <c r="R474" i="17" s="1"/>
  <c r="R568" i="17" a="1"/>
  <c r="R568" i="17" s="1"/>
  <c r="R569" i="17" a="1"/>
  <c r="R569" i="17" s="1"/>
  <c r="R570" i="17" a="1"/>
  <c r="R570" i="17" s="1"/>
  <c r="R674" i="17" a="1"/>
  <c r="R674" i="17" s="1"/>
  <c r="R724" i="17" a="1"/>
  <c r="R724" i="17" s="1"/>
  <c r="R774" i="17" a="1"/>
  <c r="R774" i="17" s="1"/>
  <c r="R824" i="17" a="1"/>
  <c r="R824" i="17" s="1"/>
  <c r="R874" i="17" a="1"/>
  <c r="R874" i="17" s="1"/>
  <c r="R924" i="17" a="1"/>
  <c r="R924" i="17" s="1"/>
  <c r="R974" i="17" a="1"/>
  <c r="R974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371" i="17" a="1"/>
  <c r="R371" i="17" s="1"/>
  <c r="R372" i="17" a="1"/>
  <c r="R372" i="17" s="1"/>
  <c r="R373" i="17" a="1"/>
  <c r="R373" i="17" s="1"/>
  <c r="R475" i="17" a="1"/>
  <c r="R475" i="17" s="1"/>
  <c r="R571" i="17" a="1"/>
  <c r="R571" i="17" s="1"/>
  <c r="R572" i="17" a="1"/>
  <c r="R572" i="17" s="1"/>
  <c r="R573" i="17" a="1"/>
  <c r="R573" i="17" s="1"/>
  <c r="R675" i="17" a="1"/>
  <c r="R675" i="17" s="1"/>
  <c r="R725" i="17" a="1"/>
  <c r="R725" i="17" s="1"/>
  <c r="R775" i="17" a="1"/>
  <c r="R775" i="17" s="1"/>
  <c r="R825" i="17" a="1"/>
  <c r="R825" i="17" s="1"/>
  <c r="R875" i="17" a="1"/>
  <c r="R875" i="17" s="1"/>
  <c r="R925" i="17" a="1"/>
  <c r="R925" i="17" s="1"/>
  <c r="R975" i="17" a="1"/>
  <c r="R975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374" i="17" a="1"/>
  <c r="R374" i="17" s="1"/>
  <c r="R375" i="17" a="1"/>
  <c r="R375" i="17" s="1"/>
  <c r="R376" i="17" a="1"/>
  <c r="R376" i="17" s="1"/>
  <c r="R476" i="17" a="1"/>
  <c r="R476" i="17" s="1"/>
  <c r="R574" i="17" a="1"/>
  <c r="R574" i="17" s="1"/>
  <c r="R575" i="17" a="1"/>
  <c r="R575" i="17"/>
  <c r="R576" i="17" a="1"/>
  <c r="R576" i="17" s="1"/>
  <c r="R676" i="17" a="1"/>
  <c r="R676" i="17" s="1"/>
  <c r="R726" i="17" a="1"/>
  <c r="R726" i="17" s="1"/>
  <c r="R776" i="17" a="1"/>
  <c r="R776" i="17" s="1"/>
  <c r="R826" i="17" a="1"/>
  <c r="R826" i="17" s="1"/>
  <c r="R876" i="17" a="1"/>
  <c r="R876" i="17" s="1"/>
  <c r="R926" i="17" a="1"/>
  <c r="R926" i="17" s="1"/>
  <c r="R976" i="17" a="1"/>
  <c r="R976" i="17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377" i="17" a="1"/>
  <c r="R377" i="17" s="1"/>
  <c r="R378" i="17" a="1"/>
  <c r="R378" i="17" s="1"/>
  <c r="R379" i="17" a="1"/>
  <c r="R379" i="17" s="1"/>
  <c r="R477" i="17" a="1"/>
  <c r="R477" i="17" s="1"/>
  <c r="R577" i="17" a="1"/>
  <c r="R577" i="17" s="1"/>
  <c r="R578" i="17" a="1"/>
  <c r="R578" i="17" s="1"/>
  <c r="R579" i="17" a="1"/>
  <c r="R579" i="17" s="1"/>
  <c r="R677" i="17" a="1"/>
  <c r="R677" i="17" s="1"/>
  <c r="R727" i="17" a="1"/>
  <c r="R727" i="17" s="1"/>
  <c r="R777" i="17" a="1"/>
  <c r="R777" i="17" s="1"/>
  <c r="R827" i="17" a="1"/>
  <c r="R827" i="17" s="1"/>
  <c r="R877" i="17" a="1"/>
  <c r="R877" i="17" s="1"/>
  <c r="R927" i="17" a="1"/>
  <c r="R927" i="17" s="1"/>
  <c r="R977" i="17" a="1"/>
  <c r="R97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380" i="17" a="1"/>
  <c r="R380" i="17" s="1"/>
  <c r="R381" i="17" a="1"/>
  <c r="R381" i="17" s="1"/>
  <c r="R382" i="17" a="1"/>
  <c r="R382" i="17" s="1"/>
  <c r="R478" i="17" a="1"/>
  <c r="R478" i="17" s="1"/>
  <c r="R580" i="17" a="1"/>
  <c r="R580" i="17" s="1"/>
  <c r="R581" i="17" a="1"/>
  <c r="R581" i="17" s="1"/>
  <c r="R582" i="17" a="1"/>
  <c r="R582" i="17" s="1"/>
  <c r="R678" i="17" a="1"/>
  <c r="R678" i="17" s="1"/>
  <c r="R728" i="17" a="1"/>
  <c r="R728" i="17" s="1"/>
  <c r="R778" i="17" a="1"/>
  <c r="R778" i="17" s="1"/>
  <c r="R828" i="17" a="1"/>
  <c r="R828" i="17" s="1"/>
  <c r="R878" i="17" a="1"/>
  <c r="R878" i="17" s="1"/>
  <c r="R928" i="17" a="1"/>
  <c r="R928" i="17" s="1"/>
  <c r="R978" i="17" a="1"/>
  <c r="R978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383" i="17" a="1"/>
  <c r="R383" i="17" s="1"/>
  <c r="R384" i="17" a="1"/>
  <c r="R384" i="17" s="1"/>
  <c r="R385" i="17" a="1"/>
  <c r="R385" i="17" s="1"/>
  <c r="R479" i="17" a="1"/>
  <c r="R479" i="17" s="1"/>
  <c r="R583" i="17" a="1"/>
  <c r="R583" i="17" s="1"/>
  <c r="R584" i="17" a="1"/>
  <c r="R584" i="17" s="1"/>
  <c r="R585" i="17" a="1"/>
  <c r="R585" i="17" s="1"/>
  <c r="R679" i="17" a="1"/>
  <c r="R679" i="17" s="1"/>
  <c r="R729" i="17" a="1"/>
  <c r="R729" i="17" s="1"/>
  <c r="R779" i="17" a="1"/>
  <c r="R779" i="17"/>
  <c r="R829" i="17" a="1"/>
  <c r="R829" i="17" s="1"/>
  <c r="R879" i="17" a="1"/>
  <c r="R879" i="17" s="1"/>
  <c r="R929" i="17" a="1"/>
  <c r="R929" i="17" s="1"/>
  <c r="R979" i="17" a="1"/>
  <c r="R979" i="17" s="1"/>
  <c r="R170" i="17" a="1"/>
  <c r="R170" i="17" s="1"/>
  <c r="R171" i="17" a="1"/>
  <c r="R171" i="17" s="1"/>
  <c r="R172" i="17" a="1"/>
  <c r="R172" i="17" s="1"/>
  <c r="R173" i="17" a="1"/>
  <c r="R173" i="17"/>
  <c r="R174" i="17" a="1"/>
  <c r="R174" i="17" s="1"/>
  <c r="R175" i="17" a="1"/>
  <c r="R175" i="17" s="1"/>
  <c r="R386" i="17" a="1"/>
  <c r="R386" i="17" s="1"/>
  <c r="R387" i="17" a="1"/>
  <c r="R387" i="17" s="1"/>
  <c r="R388" i="17" a="1"/>
  <c r="R388" i="17" s="1"/>
  <c r="R480" i="17" a="1"/>
  <c r="R480" i="17" s="1"/>
  <c r="R586" i="17" a="1"/>
  <c r="R586" i="17" s="1"/>
  <c r="R587" i="17" a="1"/>
  <c r="R587" i="17" s="1"/>
  <c r="R588" i="17" a="1"/>
  <c r="R588" i="17" s="1"/>
  <c r="R680" i="17" a="1"/>
  <c r="R680" i="17" s="1"/>
  <c r="R730" i="17" a="1"/>
  <c r="R730" i="17" s="1"/>
  <c r="R780" i="17" a="1"/>
  <c r="R780" i="17" s="1"/>
  <c r="R830" i="17" a="1"/>
  <c r="R830" i="17" s="1"/>
  <c r="R880" i="17" a="1"/>
  <c r="R880" i="17" s="1"/>
  <c r="R930" i="17" a="1"/>
  <c r="R930" i="17" s="1"/>
  <c r="R980" i="17" a="1"/>
  <c r="R98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389" i="17" a="1"/>
  <c r="R389" i="17" s="1"/>
  <c r="R390" i="17" a="1"/>
  <c r="R390" i="17" s="1"/>
  <c r="R391" i="17" a="1"/>
  <c r="R391" i="17" s="1"/>
  <c r="R481" i="17" a="1"/>
  <c r="R481" i="17" s="1"/>
  <c r="R589" i="17" a="1"/>
  <c r="R589" i="17" s="1"/>
  <c r="R590" i="17" a="1"/>
  <c r="R590" i="17" s="1"/>
  <c r="R591" i="17" a="1"/>
  <c r="R591" i="17" s="1"/>
  <c r="R681" i="17" a="1"/>
  <c r="R681" i="17" s="1"/>
  <c r="R731" i="17" a="1"/>
  <c r="R731" i="17" s="1"/>
  <c r="R781" i="17" a="1"/>
  <c r="R781" i="17" s="1"/>
  <c r="R831" i="17" a="1"/>
  <c r="R831" i="17" s="1"/>
  <c r="R881" i="17" a="1"/>
  <c r="R881" i="17" s="1"/>
  <c r="R931" i="17" a="1"/>
  <c r="R931" i="17" s="1"/>
  <c r="R981" i="17" a="1"/>
  <c r="R981" i="17" s="1"/>
  <c r="R182" i="17" a="1"/>
  <c r="R182" i="17" s="1"/>
  <c r="R183" i="17" a="1"/>
  <c r="R183" i="17" s="1"/>
  <c r="R184" i="17" a="1"/>
  <c r="R184" i="17" s="1"/>
  <c r="R185" i="17" a="1"/>
  <c r="R185" i="17" s="1"/>
  <c r="R186" i="17" a="1"/>
  <c r="R186" i="17" s="1"/>
  <c r="R187" i="17" a="1"/>
  <c r="R187" i="17" s="1"/>
  <c r="R392" i="17" a="1"/>
  <c r="R392" i="17" s="1"/>
  <c r="R393" i="17" a="1"/>
  <c r="R393" i="17" s="1"/>
  <c r="R394" i="17" a="1"/>
  <c r="R394" i="17" s="1"/>
  <c r="R482" i="17" a="1"/>
  <c r="R482" i="17" s="1"/>
  <c r="R592" i="17" a="1"/>
  <c r="R592" i="17" s="1"/>
  <c r="R593" i="17" a="1"/>
  <c r="R593" i="17" s="1"/>
  <c r="R594" i="17" a="1"/>
  <c r="R594" i="17" s="1"/>
  <c r="R682" i="17" a="1"/>
  <c r="R682" i="17" s="1"/>
  <c r="R732" i="17" a="1"/>
  <c r="R732" i="17" s="1"/>
  <c r="R782" i="17" a="1"/>
  <c r="R782" i="17" s="1"/>
  <c r="R832" i="17" a="1"/>
  <c r="R832" i="17" s="1"/>
  <c r="R882" i="17" a="1"/>
  <c r="R882" i="17" s="1"/>
  <c r="R932" i="17" a="1"/>
  <c r="R932" i="17" s="1"/>
  <c r="R982" i="17" a="1"/>
  <c r="R982" i="17"/>
  <c r="R188" i="17" a="1"/>
  <c r="R188" i="17" s="1"/>
  <c r="R189" i="17" a="1"/>
  <c r="R189" i="17" s="1"/>
  <c r="R190" i="17" a="1"/>
  <c r="R190" i="17" s="1"/>
  <c r="R191" i="17" a="1"/>
  <c r="R191" i="17" s="1"/>
  <c r="R192" i="17" a="1"/>
  <c r="R192" i="17" s="1"/>
  <c r="R193" i="17" a="1"/>
  <c r="R193" i="17" s="1"/>
  <c r="R395" i="17" a="1"/>
  <c r="R395" i="17" s="1"/>
  <c r="R396" i="17" a="1"/>
  <c r="R396" i="17"/>
  <c r="R397" i="17" a="1"/>
  <c r="R397" i="17" s="1"/>
  <c r="R483" i="17" a="1"/>
  <c r="R483" i="17" s="1"/>
  <c r="R595" i="17" a="1"/>
  <c r="R595" i="17" s="1"/>
  <c r="R596" i="17" a="1"/>
  <c r="R596" i="17" s="1"/>
  <c r="R597" i="17" a="1"/>
  <c r="R597" i="17" s="1"/>
  <c r="R683" i="17" a="1"/>
  <c r="R683" i="17" s="1"/>
  <c r="R733" i="17" a="1"/>
  <c r="R733" i="17" s="1"/>
  <c r="R783" i="17" a="1"/>
  <c r="R783" i="17" s="1"/>
  <c r="R833" i="17" a="1"/>
  <c r="R833" i="17" s="1"/>
  <c r="R883" i="17" a="1"/>
  <c r="R883" i="17" s="1"/>
  <c r="R933" i="17" a="1"/>
  <c r="R933" i="17" s="1"/>
  <c r="R983" i="17" a="1"/>
  <c r="R983" i="17" s="1"/>
  <c r="R194" i="17" a="1"/>
  <c r="R194" i="17" s="1"/>
  <c r="R195" i="17" a="1"/>
  <c r="R195" i="17" s="1"/>
  <c r="R196" i="17" a="1"/>
  <c r="R196" i="17" s="1"/>
  <c r="R197" i="17" a="1"/>
  <c r="R197" i="17" s="1"/>
  <c r="R198" i="17" a="1"/>
  <c r="R198" i="17" s="1"/>
  <c r="R199" i="17" a="1"/>
  <c r="R199" i="17" s="1"/>
  <c r="R398" i="17" a="1"/>
  <c r="R398" i="17" s="1"/>
  <c r="R399" i="17" a="1"/>
  <c r="R399" i="17" s="1"/>
  <c r="R400" i="17" a="1"/>
  <c r="R400" i="17" s="1"/>
  <c r="R484" i="17" a="1"/>
  <c r="R484" i="17" s="1"/>
  <c r="R598" i="17" a="1"/>
  <c r="R598" i="17" s="1"/>
  <c r="R599" i="17" a="1"/>
  <c r="R599" i="17" s="1"/>
  <c r="R600" i="17" a="1"/>
  <c r="R600" i="17" s="1"/>
  <c r="R684" i="17" a="1"/>
  <c r="R684" i="17" s="1"/>
  <c r="R734" i="17" a="1"/>
  <c r="R734" i="17" s="1"/>
  <c r="R784" i="17" a="1"/>
  <c r="R784" i="17" s="1"/>
  <c r="R834" i="17" a="1"/>
  <c r="R834" i="17" s="1"/>
  <c r="R884" i="17" a="1"/>
  <c r="R884" i="17" s="1"/>
  <c r="R934" i="17" a="1"/>
  <c r="R934" i="17" s="1"/>
  <c r="R984" i="17" a="1"/>
  <c r="R984" i="17" s="1"/>
  <c r="R200" i="17" a="1"/>
  <c r="R200" i="17" s="1"/>
  <c r="R201" i="17" a="1"/>
  <c r="R201" i="17" s="1"/>
  <c r="R202" i="17" a="1"/>
  <c r="R202" i="17" s="1"/>
  <c r="R203" i="17" a="1"/>
  <c r="R203" i="17" s="1"/>
  <c r="R204" i="17" a="1"/>
  <c r="R204" i="17" s="1"/>
  <c r="R205" i="17" a="1"/>
  <c r="R205" i="17" s="1"/>
  <c r="R401" i="17" a="1"/>
  <c r="R401" i="17" s="1"/>
  <c r="R402" i="17" a="1"/>
  <c r="R402" i="17" s="1"/>
  <c r="R403" i="17" a="1"/>
  <c r="R403" i="17" s="1"/>
  <c r="R485" i="17" a="1"/>
  <c r="R485" i="17" s="1"/>
  <c r="R601" i="17" a="1"/>
  <c r="R601" i="17" s="1"/>
  <c r="R602" i="17" a="1"/>
  <c r="R602" i="17" s="1"/>
  <c r="R603" i="17" a="1"/>
  <c r="R603" i="17" s="1"/>
  <c r="R685" i="17" a="1"/>
  <c r="R685" i="17" s="1"/>
  <c r="R735" i="17" a="1"/>
  <c r="R735" i="17" s="1"/>
  <c r="R785" i="17" a="1"/>
  <c r="R785" i="17" s="1"/>
  <c r="R835" i="17" a="1"/>
  <c r="R835" i="17" s="1"/>
  <c r="R885" i="17" a="1"/>
  <c r="R885" i="17" s="1"/>
  <c r="R935" i="17" a="1"/>
  <c r="R935" i="17" s="1"/>
  <c r="R985" i="17" a="1"/>
  <c r="R985" i="17" s="1"/>
  <c r="R206" i="17" a="1"/>
  <c r="R206" i="17" s="1"/>
  <c r="R207" i="17" a="1"/>
  <c r="R207" i="17" s="1"/>
  <c r="R208" i="17" a="1"/>
  <c r="R208" i="17" s="1"/>
  <c r="R209" i="17" a="1"/>
  <c r="R209" i="17"/>
  <c r="R210" i="17" a="1"/>
  <c r="R210" i="17" s="1"/>
  <c r="R211" i="17" a="1"/>
  <c r="R211" i="17" s="1"/>
  <c r="R404" i="17" a="1"/>
  <c r="R404" i="17" s="1"/>
  <c r="R405" i="17" a="1"/>
  <c r="R405" i="17" s="1"/>
  <c r="R406" i="17" a="1"/>
  <c r="R406" i="17" s="1"/>
  <c r="R486" i="17" a="1"/>
  <c r="R486" i="17" s="1"/>
  <c r="R604" i="17" a="1"/>
  <c r="R604" i="17" s="1"/>
  <c r="R605" i="17" a="1"/>
  <c r="R605" i="17" s="1"/>
  <c r="R606" i="17" a="1"/>
  <c r="R606" i="17" s="1"/>
  <c r="R686" i="17" a="1"/>
  <c r="R686" i="17" s="1"/>
  <c r="R736" i="17" a="1"/>
  <c r="R736" i="17" s="1"/>
  <c r="R786" i="17" a="1"/>
  <c r="R786" i="17" s="1"/>
  <c r="R836" i="17" a="1"/>
  <c r="R836" i="17" s="1"/>
  <c r="R886" i="17" a="1"/>
  <c r="R886" i="17" s="1"/>
  <c r="R936" i="17" a="1"/>
  <c r="R936" i="17" s="1"/>
  <c r="R986" i="17" a="1"/>
  <c r="R986" i="17" s="1"/>
  <c r="R212" i="17" a="1"/>
  <c r="R212" i="17" s="1"/>
  <c r="R213" i="17" a="1"/>
  <c r="R213" i="17" s="1"/>
  <c r="R214" i="17" a="1"/>
  <c r="R214" i="17" s="1"/>
  <c r="R215" i="17" a="1"/>
  <c r="R215" i="17" s="1"/>
  <c r="R216" i="17" a="1"/>
  <c r="R216" i="17" s="1"/>
  <c r="R217" i="17" a="1"/>
  <c r="R217" i="17" s="1"/>
  <c r="R407" i="17" a="1"/>
  <c r="R407" i="17" s="1"/>
  <c r="R408" i="17" a="1"/>
  <c r="R408" i="17" s="1"/>
  <c r="R409" i="17" a="1"/>
  <c r="R409" i="17" s="1"/>
  <c r="R487" i="17" a="1"/>
  <c r="R487" i="17" s="1"/>
  <c r="R607" i="17" a="1"/>
  <c r="R607" i="17" s="1"/>
  <c r="R608" i="17" a="1"/>
  <c r="R608" i="17" s="1"/>
  <c r="R609" i="17" a="1"/>
  <c r="R609" i="17" s="1"/>
  <c r="R687" i="17" a="1"/>
  <c r="R687" i="17" s="1"/>
  <c r="R737" i="17" a="1"/>
  <c r="R737" i="17" s="1"/>
  <c r="R787" i="17" a="1"/>
  <c r="R787" i="17"/>
  <c r="R837" i="17" a="1"/>
  <c r="R837" i="17" s="1"/>
  <c r="R887" i="17" a="1"/>
  <c r="R887" i="17" s="1"/>
  <c r="R937" i="17" a="1"/>
  <c r="R937" i="17" s="1"/>
  <c r="R987" i="17" a="1"/>
  <c r="R987" i="17" s="1"/>
  <c r="R218" i="17" a="1"/>
  <c r="R218" i="17" s="1"/>
  <c r="R219" i="17" a="1"/>
  <c r="R219" i="17" s="1"/>
  <c r="R220" i="17" a="1"/>
  <c r="R220" i="17" s="1"/>
  <c r="R221" i="17" a="1"/>
  <c r="R221" i="17" s="1"/>
  <c r="R222" i="17" a="1"/>
  <c r="R222" i="17" s="1"/>
  <c r="R223" i="17" a="1"/>
  <c r="R223" i="17" s="1"/>
  <c r="R410" i="17" a="1"/>
  <c r="R410" i="17" s="1"/>
  <c r="R411" i="17" a="1"/>
  <c r="R411" i="17" s="1"/>
  <c r="R412" i="17" a="1"/>
  <c r="R412" i="17" s="1"/>
  <c r="R488" i="17" a="1"/>
  <c r="R488" i="17" s="1"/>
  <c r="R610" i="17" a="1"/>
  <c r="R610" i="17" s="1"/>
  <c r="R611" i="17" a="1"/>
  <c r="R611" i="17" s="1"/>
  <c r="R612" i="17" a="1"/>
  <c r="R612" i="17" s="1"/>
  <c r="R688" i="17" a="1"/>
  <c r="R688" i="17" s="1"/>
  <c r="R738" i="17" a="1"/>
  <c r="R738" i="17" s="1"/>
  <c r="R788" i="17" a="1"/>
  <c r="R788" i="17" s="1"/>
  <c r="R838" i="17" a="1"/>
  <c r="R838" i="17" s="1"/>
  <c r="R888" i="17" a="1"/>
  <c r="R888" i="17" s="1"/>
  <c r="R938" i="17" a="1"/>
  <c r="R938" i="17" s="1"/>
  <c r="R988" i="17" a="1"/>
  <c r="R988" i="17" s="1"/>
  <c r="R224" i="17" a="1"/>
  <c r="R224" i="17" s="1"/>
  <c r="R225" i="17" a="1"/>
  <c r="R225" i="17" s="1"/>
  <c r="R226" i="17" a="1"/>
  <c r="R226" i="17" s="1"/>
  <c r="R227" i="17" a="1"/>
  <c r="R227" i="17" s="1"/>
  <c r="R228" i="17" a="1"/>
  <c r="R228" i="17" s="1"/>
  <c r="R229" i="17" a="1"/>
  <c r="R229" i="17" s="1"/>
  <c r="R413" i="17" a="1"/>
  <c r="R413" i="17" s="1"/>
  <c r="R414" i="17" a="1"/>
  <c r="R414" i="17" s="1"/>
  <c r="R415" i="17" a="1"/>
  <c r="R415" i="17" s="1"/>
  <c r="R489" i="17" a="1"/>
  <c r="R489" i="17" s="1"/>
  <c r="R613" i="17" a="1"/>
  <c r="R613" i="17" s="1"/>
  <c r="R614" i="17" a="1"/>
  <c r="R614" i="17" s="1"/>
  <c r="R615" i="17" a="1"/>
  <c r="R615" i="17" s="1"/>
  <c r="R689" i="17" a="1"/>
  <c r="R689" i="17" s="1"/>
  <c r="R739" i="17" a="1"/>
  <c r="R739" i="17" s="1"/>
  <c r="R789" i="17" a="1"/>
  <c r="R789" i="17" s="1"/>
  <c r="R839" i="17" a="1"/>
  <c r="R839" i="17" s="1"/>
  <c r="R889" i="17" a="1"/>
  <c r="R889" i="17" s="1"/>
  <c r="R939" i="17" a="1"/>
  <c r="R939" i="17" s="1"/>
  <c r="R989" i="17" a="1"/>
  <c r="R989" i="17" s="1"/>
  <c r="R230" i="17" a="1"/>
  <c r="R230" i="17" s="1"/>
  <c r="R231" i="17" a="1"/>
  <c r="R231" i="17" s="1"/>
  <c r="R232" i="17" a="1"/>
  <c r="R232" i="17" s="1"/>
  <c r="R233" i="17" a="1"/>
  <c r="R233" i="17" s="1"/>
  <c r="R234" i="17" a="1"/>
  <c r="R234" i="17" s="1"/>
  <c r="R235" i="17" a="1"/>
  <c r="R235" i="17" s="1"/>
  <c r="R416" i="17" a="1"/>
  <c r="R416" i="17" s="1"/>
  <c r="R417" i="17" a="1"/>
  <c r="R417" i="17" s="1"/>
  <c r="R418" i="17" a="1"/>
  <c r="R418" i="17" s="1"/>
  <c r="R490" i="17" a="1"/>
  <c r="R490" i="17" s="1"/>
  <c r="R616" i="17" a="1"/>
  <c r="R616" i="17" s="1"/>
  <c r="R617" i="17" a="1"/>
  <c r="R617" i="17" s="1"/>
  <c r="R618" i="17" a="1"/>
  <c r="R618" i="17" s="1"/>
  <c r="R690" i="17" a="1"/>
  <c r="R690" i="17" s="1"/>
  <c r="R740" i="17" a="1"/>
  <c r="R740" i="17" s="1"/>
  <c r="R790" i="17" a="1"/>
  <c r="R790" i="17" s="1"/>
  <c r="R840" i="17" a="1"/>
  <c r="R840" i="17" s="1"/>
  <c r="R890" i="17" a="1"/>
  <c r="R890" i="17" s="1"/>
  <c r="R940" i="17" a="1"/>
  <c r="R940" i="17" s="1"/>
  <c r="R990" i="17" a="1"/>
  <c r="R990" i="17"/>
  <c r="R236" i="17" a="1"/>
  <c r="R236" i="17" s="1"/>
  <c r="R237" i="17" a="1"/>
  <c r="R237" i="17" s="1"/>
  <c r="R238" i="17" a="1"/>
  <c r="R238" i="17" s="1"/>
  <c r="R239" i="17" a="1"/>
  <c r="R239" i="17" s="1"/>
  <c r="R240" i="17" a="1"/>
  <c r="R240" i="17" s="1"/>
  <c r="R241" i="17" a="1"/>
  <c r="R241" i="17" s="1"/>
  <c r="R419" i="17" a="1"/>
  <c r="R419" i="17" s="1"/>
  <c r="R420" i="17" a="1"/>
  <c r="R420" i="17"/>
  <c r="R421" i="17" a="1"/>
  <c r="R421" i="17" s="1"/>
  <c r="R491" i="17" a="1"/>
  <c r="R491" i="17" s="1"/>
  <c r="R619" i="17" a="1"/>
  <c r="R619" i="17" s="1"/>
  <c r="R620" i="17" a="1"/>
  <c r="R620" i="17" s="1"/>
  <c r="R621" i="17" a="1"/>
  <c r="R621" i="17" s="1"/>
  <c r="R691" i="17" a="1"/>
  <c r="R691" i="17" s="1"/>
  <c r="R741" i="17" a="1"/>
  <c r="R741" i="17" s="1"/>
  <c r="R791" i="17" a="1"/>
  <c r="R791" i="17" s="1"/>
  <c r="R841" i="17" a="1"/>
  <c r="R841" i="17" s="1"/>
  <c r="R891" i="17" a="1"/>
  <c r="R891" i="17" s="1"/>
  <c r="R941" i="17" a="1"/>
  <c r="R941" i="17" s="1"/>
  <c r="R991" i="17" a="1"/>
  <c r="R991" i="17" s="1"/>
  <c r="R242" i="17" a="1"/>
  <c r="R242" i="17" s="1"/>
  <c r="R243" i="17" a="1"/>
  <c r="R243" i="17" s="1"/>
  <c r="R244" i="17" a="1"/>
  <c r="R244" i="17" s="1"/>
  <c r="R245" i="17" a="1"/>
  <c r="R245" i="17" s="1"/>
  <c r="R246" i="17" a="1"/>
  <c r="R246" i="17" s="1"/>
  <c r="R247" i="17" a="1"/>
  <c r="R247" i="17" s="1"/>
  <c r="R422" i="17" a="1"/>
  <c r="R422" i="17" s="1"/>
  <c r="R423" i="17" a="1"/>
  <c r="R423" i="17" s="1"/>
  <c r="R424" i="17" a="1"/>
  <c r="R424" i="17" s="1"/>
  <c r="R492" i="17" a="1"/>
  <c r="R492" i="17" s="1"/>
  <c r="R622" i="17" a="1"/>
  <c r="R622" i="17" s="1"/>
  <c r="R623" i="17" a="1"/>
  <c r="R623" i="17" s="1"/>
  <c r="R624" i="17" a="1"/>
  <c r="R624" i="17" s="1"/>
  <c r="R692" i="17" a="1"/>
  <c r="R692" i="17" s="1"/>
  <c r="R742" i="17" a="1"/>
  <c r="R742" i="17" s="1"/>
  <c r="R792" i="17" a="1"/>
  <c r="R792" i="17" s="1"/>
  <c r="R842" i="17" a="1"/>
  <c r="R842" i="17" s="1"/>
  <c r="R892" i="17" a="1"/>
  <c r="R892" i="17" s="1"/>
  <c r="R942" i="17" a="1"/>
  <c r="R942" i="17" s="1"/>
  <c r="R992" i="17" a="1"/>
  <c r="R992" i="17"/>
  <c r="R248" i="17" a="1"/>
  <c r="R248" i="17" s="1"/>
  <c r="R249" i="17" a="1"/>
  <c r="R249" i="17" s="1"/>
  <c r="R250" i="17" a="1"/>
  <c r="R250" i="17" s="1"/>
  <c r="R251" i="17" a="1"/>
  <c r="R251" i="17" s="1"/>
  <c r="R252" i="17" a="1"/>
  <c r="R252" i="17" s="1"/>
  <c r="R253" i="17" a="1"/>
  <c r="R253" i="17" s="1"/>
  <c r="R425" i="17" a="1"/>
  <c r="R425" i="17" s="1"/>
  <c r="R426" i="17" a="1"/>
  <c r="R426" i="17"/>
  <c r="R427" i="17" a="1"/>
  <c r="R427" i="17" s="1"/>
  <c r="R493" i="17" a="1"/>
  <c r="R493" i="17" s="1"/>
  <c r="R625" i="17" a="1"/>
  <c r="R625" i="17" s="1"/>
  <c r="R626" i="17" a="1"/>
  <c r="R626" i="17" s="1"/>
  <c r="R627" i="17" a="1"/>
  <c r="R627" i="17" s="1"/>
  <c r="R693" i="17" a="1"/>
  <c r="R693" i="17" s="1"/>
  <c r="R743" i="17" a="1"/>
  <c r="R743" i="17" s="1"/>
  <c r="R793" i="17" a="1"/>
  <c r="R793" i="17" s="1"/>
  <c r="R843" i="17" a="1"/>
  <c r="R843" i="17" s="1"/>
  <c r="R893" i="17" a="1"/>
  <c r="R893" i="17" s="1"/>
  <c r="R943" i="17" a="1"/>
  <c r="R943" i="17" s="1"/>
  <c r="R993" i="17" a="1"/>
  <c r="R993" i="17" s="1"/>
  <c r="R254" i="17" a="1"/>
  <c r="R254" i="17" s="1"/>
  <c r="R255" i="17" a="1"/>
  <c r="R255" i="17" s="1"/>
  <c r="R256" i="17" a="1"/>
  <c r="R256" i="17" s="1"/>
  <c r="R257" i="17" a="1"/>
  <c r="R257" i="17" s="1"/>
  <c r="R258" i="17" a="1"/>
  <c r="R258" i="17" s="1"/>
  <c r="R259" i="17" a="1"/>
  <c r="R259" i="17" s="1"/>
  <c r="R428" i="17" a="1"/>
  <c r="R428" i="17" s="1"/>
  <c r="R429" i="17" a="1"/>
  <c r="R429" i="17" s="1"/>
  <c r="R430" i="17" a="1"/>
  <c r="R430" i="17" s="1"/>
  <c r="R494" i="17" a="1"/>
  <c r="R494" i="17" s="1"/>
  <c r="R628" i="17" a="1"/>
  <c r="R628" i="17" s="1"/>
  <c r="R629" i="17" a="1"/>
  <c r="R629" i="17" s="1"/>
  <c r="R630" i="17" a="1"/>
  <c r="R630" i="17" s="1"/>
  <c r="R694" i="17" a="1"/>
  <c r="R694" i="17" s="1"/>
  <c r="R744" i="17" a="1"/>
  <c r="R744" i="17" s="1"/>
  <c r="R794" i="17" a="1"/>
  <c r="R794" i="17" s="1"/>
  <c r="R844" i="17" a="1"/>
  <c r="R844" i="17" s="1"/>
  <c r="R894" i="17" a="1"/>
  <c r="R894" i="17" s="1"/>
  <c r="R944" i="17" a="1"/>
  <c r="R944" i="17" s="1"/>
  <c r="R994" i="17" a="1"/>
  <c r="R994" i="17"/>
  <c r="R260" i="17" a="1"/>
  <c r="R260" i="17" s="1"/>
  <c r="R261" i="17" a="1"/>
  <c r="R261" i="17" s="1"/>
  <c r="R262" i="17" a="1"/>
  <c r="R262" i="17" s="1"/>
  <c r="R263" i="17" a="1"/>
  <c r="R263" i="17" s="1"/>
  <c r="R264" i="17" a="1"/>
  <c r="R264" i="17" s="1"/>
  <c r="R265" i="17" a="1"/>
  <c r="R265" i="17" s="1"/>
  <c r="R431" i="17" a="1"/>
  <c r="R431" i="17" s="1"/>
  <c r="R432" i="17" a="1"/>
  <c r="R432" i="17" s="1"/>
  <c r="R433" i="17" a="1"/>
  <c r="R433" i="17" s="1"/>
  <c r="R495" i="17" a="1"/>
  <c r="R495" i="17" s="1"/>
  <c r="R631" i="17" a="1"/>
  <c r="R631" i="17" s="1"/>
  <c r="R632" i="17" a="1"/>
  <c r="R632" i="17" s="1"/>
  <c r="R633" i="17" a="1"/>
  <c r="R633" i="17" s="1"/>
  <c r="R695" i="17" a="1"/>
  <c r="R695" i="17" s="1"/>
  <c r="R745" i="17" a="1"/>
  <c r="R745" i="17" s="1"/>
  <c r="R795" i="17" a="1"/>
  <c r="R795" i="17"/>
  <c r="R845" i="17" a="1"/>
  <c r="R845" i="17" s="1"/>
  <c r="R895" i="17" a="1"/>
  <c r="R895" i="17" s="1"/>
  <c r="R945" i="17" a="1"/>
  <c r="R945" i="17" s="1"/>
  <c r="R995" i="17" a="1"/>
  <c r="R995" i="17" s="1"/>
  <c r="R266" i="17" a="1"/>
  <c r="R266" i="17" s="1"/>
  <c r="R267" i="17" a="1"/>
  <c r="R267" i="17" s="1"/>
  <c r="R268" i="17" a="1"/>
  <c r="R268" i="17" s="1"/>
  <c r="R269" i="17" a="1"/>
  <c r="R269" i="17" s="1"/>
  <c r="R270" i="17" a="1"/>
  <c r="R270" i="17" s="1"/>
  <c r="R271" i="17" a="1"/>
  <c r="R271" i="17" s="1"/>
  <c r="R434" i="17" a="1"/>
  <c r="R434" i="17" s="1"/>
  <c r="R435" i="17" a="1"/>
  <c r="R435" i="17" s="1"/>
  <c r="R436" i="17" a="1"/>
  <c r="R436" i="17" s="1"/>
  <c r="R496" i="17" a="1"/>
  <c r="R496" i="17" s="1"/>
  <c r="R634" i="17" a="1"/>
  <c r="R634" i="17" s="1"/>
  <c r="R635" i="17" a="1"/>
  <c r="R635" i="17" s="1"/>
  <c r="R636" i="17" a="1"/>
  <c r="R636" i="17" s="1"/>
  <c r="R696" i="17" a="1"/>
  <c r="R696" i="17" s="1"/>
  <c r="R746" i="17" a="1"/>
  <c r="R746" i="17" s="1"/>
  <c r="R796" i="17" a="1"/>
  <c r="R796" i="17" s="1"/>
  <c r="R846" i="17" a="1"/>
  <c r="R846" i="17" s="1"/>
  <c r="R896" i="17" a="1"/>
  <c r="R896" i="17" s="1"/>
  <c r="R946" i="17" a="1"/>
  <c r="R946" i="17" s="1"/>
  <c r="R996" i="17" a="1"/>
  <c r="R996" i="17" s="1"/>
  <c r="R272" i="17" a="1"/>
  <c r="R272" i="17" s="1"/>
  <c r="R273" i="17" a="1"/>
  <c r="R273" i="17" s="1"/>
  <c r="R274" i="17" a="1"/>
  <c r="R274" i="17" s="1"/>
  <c r="R275" i="17" a="1"/>
  <c r="R275" i="17" s="1"/>
  <c r="R276" i="17" a="1"/>
  <c r="R276" i="17" s="1"/>
  <c r="R277" i="17" a="1"/>
  <c r="R277" i="17" s="1"/>
  <c r="R437" i="17" a="1"/>
  <c r="R437" i="17" s="1"/>
  <c r="R438" i="17" a="1"/>
  <c r="R438" i="17"/>
  <c r="R439" i="17" a="1"/>
  <c r="R439" i="17" s="1"/>
  <c r="R497" i="17" a="1"/>
  <c r="R497" i="17" s="1"/>
  <c r="R637" i="17" a="1"/>
  <c r="R637" i="17" s="1"/>
  <c r="R638" i="17" a="1"/>
  <c r="R638" i="17" s="1"/>
  <c r="R639" i="17" a="1"/>
  <c r="R639" i="17" s="1"/>
  <c r="R697" i="17" a="1"/>
  <c r="R697" i="17" s="1"/>
  <c r="R747" i="17" a="1"/>
  <c r="R747" i="17" s="1"/>
  <c r="R797" i="17" a="1"/>
  <c r="R797" i="17"/>
  <c r="R847" i="17" a="1"/>
  <c r="R847" i="17" s="1"/>
  <c r="R897" i="17" a="1"/>
  <c r="R897" i="17" s="1"/>
  <c r="R947" i="17" a="1"/>
  <c r="R947" i="17" s="1"/>
  <c r="R997" i="17" a="1"/>
  <c r="R997" i="17" s="1"/>
  <c r="R278" i="17" a="1"/>
  <c r="R278" i="17" s="1"/>
  <c r="R279" i="17" a="1"/>
  <c r="R279" i="17" s="1"/>
  <c r="R280" i="17" a="1"/>
  <c r="R280" i="17" s="1"/>
  <c r="R281" i="17" a="1"/>
  <c r="R281" i="17" s="1"/>
  <c r="R282" i="17" a="1"/>
  <c r="R282" i="17" s="1"/>
  <c r="R283" i="17" a="1"/>
  <c r="R283" i="17" s="1"/>
  <c r="R440" i="17" a="1"/>
  <c r="R440" i="17" s="1"/>
  <c r="R441" i="17" a="1"/>
  <c r="R441" i="17" s="1"/>
  <c r="R442" i="17" a="1"/>
  <c r="R442" i="17" s="1"/>
  <c r="R498" i="17" a="1"/>
  <c r="R498" i="17" s="1"/>
  <c r="R640" i="17" a="1"/>
  <c r="R640" i="17" s="1"/>
  <c r="R641" i="17" a="1"/>
  <c r="R641" i="17" s="1"/>
  <c r="R642" i="17" a="1"/>
  <c r="R642" i="17" s="1"/>
  <c r="R698" i="17" a="1"/>
  <c r="R698" i="17" s="1"/>
  <c r="R748" i="17" a="1"/>
  <c r="R748" i="17" s="1"/>
  <c r="R798" i="17" a="1"/>
  <c r="R798" i="17" s="1"/>
  <c r="R848" i="17" a="1"/>
  <c r="R848" i="17" s="1"/>
  <c r="R898" i="17" a="1"/>
  <c r="R898" i="17" s="1"/>
  <c r="R948" i="17" a="1"/>
  <c r="R948" i="17" s="1"/>
  <c r="R998" i="17" a="1"/>
  <c r="R998" i="17" s="1"/>
  <c r="R284" i="17" a="1"/>
  <c r="R284" i="17" s="1"/>
  <c r="R285" i="17" a="1"/>
  <c r="R285" i="17" s="1"/>
  <c r="R286" i="17" a="1"/>
  <c r="R286" i="17" s="1"/>
  <c r="R287" i="17" a="1"/>
  <c r="R287" i="17" s="1"/>
  <c r="R288" i="17" a="1"/>
  <c r="R288" i="17" s="1"/>
  <c r="R289" i="17" a="1"/>
  <c r="R289" i="17" s="1"/>
  <c r="R443" i="17" a="1"/>
  <c r="R443" i="17" s="1"/>
  <c r="R444" i="17" a="1"/>
  <c r="R444" i="17"/>
  <c r="R445" i="17" a="1"/>
  <c r="R445" i="17" s="1"/>
  <c r="R499" i="17" a="1"/>
  <c r="R499" i="17" s="1"/>
  <c r="R643" i="17" a="1"/>
  <c r="R643" i="17" s="1"/>
  <c r="R644" i="17" a="1"/>
  <c r="R644" i="17" s="1"/>
  <c r="R645" i="17" a="1"/>
  <c r="R645" i="17" s="1"/>
  <c r="R699" i="17" a="1"/>
  <c r="R699" i="17" s="1"/>
  <c r="R749" i="17" a="1"/>
  <c r="R749" i="17" s="1"/>
  <c r="R799" i="17" a="1"/>
  <c r="R799" i="17" s="1"/>
  <c r="R849" i="17" a="1"/>
  <c r="R849" i="17" s="1"/>
  <c r="R899" i="17" a="1"/>
  <c r="R899" i="17" s="1"/>
  <c r="R949" i="17" a="1"/>
  <c r="R949" i="17" s="1"/>
  <c r="R999" i="17" a="1"/>
  <c r="R999" i="17" s="1"/>
  <c r="R290" i="17" a="1"/>
  <c r="R290" i="17" s="1"/>
  <c r="R291" i="17" a="1"/>
  <c r="R291" i="17" s="1"/>
  <c r="R292" i="17" a="1"/>
  <c r="R292" i="17" s="1"/>
  <c r="R293" i="17" a="1"/>
  <c r="R293" i="17" s="1"/>
  <c r="R294" i="17" a="1"/>
  <c r="R294" i="17" s="1"/>
  <c r="R295" i="17" a="1"/>
  <c r="R295" i="17" s="1"/>
  <c r="R446" i="17" a="1"/>
  <c r="R446" i="17" s="1"/>
  <c r="R447" i="17" a="1"/>
  <c r="R447" i="17" s="1"/>
  <c r="R448" i="17" a="1"/>
  <c r="R448" i="17" s="1"/>
  <c r="R500" i="17" a="1"/>
  <c r="R500" i="17" s="1"/>
  <c r="R646" i="17" a="1"/>
  <c r="R646" i="17" s="1"/>
  <c r="R647" i="17" a="1"/>
  <c r="R647" i="17"/>
  <c r="R648" i="17" a="1"/>
  <c r="R648" i="17" s="1"/>
  <c r="R700" i="17" a="1"/>
  <c r="R700" i="17" s="1"/>
  <c r="R750" i="17" a="1"/>
  <c r="R750" i="17" s="1"/>
  <c r="R800" i="17" a="1"/>
  <c r="R800" i="17" s="1"/>
  <c r="R850" i="17" a="1"/>
  <c r="R850" i="17" s="1"/>
  <c r="R900" i="17" a="1"/>
  <c r="R900" i="17" s="1"/>
  <c r="R950" i="17" a="1"/>
  <c r="R950" i="17" s="1"/>
  <c r="R1000" i="17" a="1"/>
  <c r="R1000" i="17" s="1"/>
  <c r="R296" i="17" a="1"/>
  <c r="R296" i="17" s="1"/>
  <c r="R297" i="17" a="1"/>
  <c r="R297" i="17" s="1"/>
  <c r="R298" i="17" a="1"/>
  <c r="R298" i="17" s="1"/>
  <c r="R299" i="17" a="1"/>
  <c r="R299" i="17" s="1"/>
  <c r="R300" i="17" a="1"/>
  <c r="R300" i="17" s="1"/>
  <c r="R301" i="17" a="1"/>
  <c r="R301" i="17" s="1"/>
  <c r="R449" i="17" a="1"/>
  <c r="R449" i="17" s="1"/>
  <c r="R450" i="17" a="1"/>
  <c r="R450" i="17"/>
  <c r="R451" i="17" a="1"/>
  <c r="R451" i="17" s="1"/>
  <c r="R501" i="17" a="1"/>
  <c r="R501" i="17" s="1"/>
  <c r="R649" i="17" a="1"/>
  <c r="R649" i="17" s="1"/>
  <c r="R650" i="17" a="1"/>
  <c r="R650" i="17" s="1"/>
  <c r="R651" i="17" a="1"/>
  <c r="R651" i="17" s="1"/>
  <c r="R701" i="17" a="1"/>
  <c r="R701" i="17" s="1"/>
  <c r="R751" i="17" a="1"/>
  <c r="R751" i="17" s="1"/>
  <c r="R801" i="17" a="1"/>
  <c r="R801" i="17" s="1"/>
  <c r="R851" i="17" a="1"/>
  <c r="R851" i="17" s="1"/>
  <c r="R901" i="17" a="1"/>
  <c r="R901" i="17" s="1"/>
  <c r="R951" i="17" a="1"/>
  <c r="R951" i="17" s="1"/>
  <c r="R1001" i="17" a="1"/>
  <c r="R1001" i="17" s="1"/>
  <c r="S2" i="17" a="1"/>
  <c r="S2" i="17" s="1"/>
  <c r="S3" i="17" a="1"/>
  <c r="S3" i="17" s="1"/>
  <c r="S4" i="17" a="1"/>
  <c r="S4" i="17" s="1"/>
  <c r="S5" i="17" a="1"/>
  <c r="S5" i="17"/>
  <c r="S6" i="17" a="1"/>
  <c r="S6" i="17" s="1"/>
  <c r="S7" i="17" a="1"/>
  <c r="S7" i="17" s="1"/>
  <c r="S302" i="17" a="1"/>
  <c r="S302" i="17" s="1"/>
  <c r="S303" i="17" a="1"/>
  <c r="S303" i="17" s="1"/>
  <c r="S304" i="17" a="1"/>
  <c r="S304" i="17" s="1"/>
  <c r="S452" i="17" a="1"/>
  <c r="S452" i="17" s="1"/>
  <c r="S502" i="17" a="1"/>
  <c r="S502" i="17" s="1"/>
  <c r="S503" i="17" a="1"/>
  <c r="S503" i="17" s="1"/>
  <c r="S504" i="17" a="1"/>
  <c r="S504" i="17" s="1"/>
  <c r="S652" i="17" a="1"/>
  <c r="S652" i="17" s="1"/>
  <c r="S702" i="17" a="1"/>
  <c r="S702" i="17" s="1"/>
  <c r="S752" i="17" a="1"/>
  <c r="S752" i="17" s="1"/>
  <c r="S802" i="17" a="1"/>
  <c r="S802" i="17" s="1"/>
  <c r="S852" i="17" a="1"/>
  <c r="S852" i="17" s="1"/>
  <c r="S902" i="17" a="1"/>
  <c r="S902" i="17" s="1"/>
  <c r="S952" i="17" a="1"/>
  <c r="S95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305" i="17" a="1"/>
  <c r="S305" i="17" s="1"/>
  <c r="S306" i="17" a="1"/>
  <c r="S306" i="17" s="1"/>
  <c r="S307" i="17" a="1"/>
  <c r="S307" i="17" s="1"/>
  <c r="S453" i="17" a="1"/>
  <c r="S453" i="17" s="1"/>
  <c r="S505" i="17" a="1"/>
  <c r="S505" i="17" s="1"/>
  <c r="S506" i="17" a="1"/>
  <c r="S506" i="17" s="1"/>
  <c r="S507" i="17" a="1"/>
  <c r="S507" i="17" s="1"/>
  <c r="S653" i="17" a="1"/>
  <c r="S653" i="17" s="1"/>
  <c r="S703" i="17" a="1"/>
  <c r="S703" i="17" s="1"/>
  <c r="S753" i="17" a="1"/>
  <c r="S753" i="17"/>
  <c r="S803" i="17" a="1"/>
  <c r="S803" i="17" s="1"/>
  <c r="S853" i="17" a="1"/>
  <c r="S853" i="17" s="1"/>
  <c r="S903" i="17" a="1"/>
  <c r="S903" i="17" s="1"/>
  <c r="S953" i="17" a="1"/>
  <c r="S95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308" i="17" a="1"/>
  <c r="S308" i="17" s="1"/>
  <c r="S309" i="17" a="1"/>
  <c r="S309" i="17" s="1"/>
  <c r="S310" i="17" a="1"/>
  <c r="S310" i="17" s="1"/>
  <c r="S454" i="17" a="1"/>
  <c r="S454" i="17" s="1"/>
  <c r="S508" i="17" a="1"/>
  <c r="S508" i="17" s="1"/>
  <c r="S509" i="17" a="1"/>
  <c r="S509" i="17"/>
  <c r="S510" i="17" a="1"/>
  <c r="S510" i="17" s="1"/>
  <c r="S654" i="17" a="1"/>
  <c r="S654" i="17" s="1"/>
  <c r="S704" i="17" a="1"/>
  <c r="S704" i="17" s="1"/>
  <c r="S754" i="17" a="1"/>
  <c r="S754" i="17" s="1"/>
  <c r="S804" i="17" a="1"/>
  <c r="S804" i="17" s="1"/>
  <c r="S854" i="17" a="1"/>
  <c r="S854" i="17" s="1"/>
  <c r="S904" i="17" a="1"/>
  <c r="S904" i="17" s="1"/>
  <c r="S954" i="17" a="1"/>
  <c r="S95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311" i="17" a="1"/>
  <c r="S311" i="17" s="1"/>
  <c r="S312" i="17" a="1"/>
  <c r="S312" i="17" s="1"/>
  <c r="S313" i="17" a="1"/>
  <c r="S313" i="17" s="1"/>
  <c r="S455" i="17" a="1"/>
  <c r="S455" i="17" s="1"/>
  <c r="S511" i="17" a="1"/>
  <c r="S511" i="17" s="1"/>
  <c r="S512" i="17" a="1"/>
  <c r="S512" i="17" s="1"/>
  <c r="S513" i="17" a="1"/>
  <c r="S513" i="17" s="1"/>
  <c r="S655" i="17" a="1"/>
  <c r="S655" i="17" s="1"/>
  <c r="S705" i="17" a="1"/>
  <c r="S705" i="17" s="1"/>
  <c r="S755" i="17" a="1"/>
  <c r="S755" i="17"/>
  <c r="S805" i="17" a="1"/>
  <c r="S805" i="17" s="1"/>
  <c r="S855" i="17" a="1"/>
  <c r="S855" i="17" s="1"/>
  <c r="S905" i="17" a="1"/>
  <c r="S905" i="17" s="1"/>
  <c r="S955" i="17" a="1"/>
  <c r="S95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14" i="17" a="1"/>
  <c r="S314" i="17" s="1"/>
  <c r="S315" i="17" a="1"/>
  <c r="S315" i="17" s="1"/>
  <c r="S316" i="17" a="1"/>
  <c r="S316" i="17" s="1"/>
  <c r="S456" i="17" a="1"/>
  <c r="S456" i="17" s="1"/>
  <c r="S514" i="17" a="1"/>
  <c r="S514" i="17" s="1"/>
  <c r="S515" i="17" a="1"/>
  <c r="S515" i="17" s="1"/>
  <c r="S516" i="17" a="1"/>
  <c r="S516" i="17" s="1"/>
  <c r="S656" i="17" a="1"/>
  <c r="S656" i="17" s="1"/>
  <c r="S706" i="17" a="1"/>
  <c r="S706" i="17" s="1"/>
  <c r="S756" i="17" a="1"/>
  <c r="S756" i="17" s="1"/>
  <c r="S806" i="17" a="1"/>
  <c r="S806" i="17" s="1"/>
  <c r="S856" i="17" a="1"/>
  <c r="S856" i="17" s="1"/>
  <c r="S906" i="17" a="1"/>
  <c r="S906" i="17" s="1"/>
  <c r="S956" i="17" a="1"/>
  <c r="S956" i="17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17" i="17" a="1"/>
  <c r="S317" i="17" s="1"/>
  <c r="S318" i="17" a="1"/>
  <c r="S318" i="17" s="1"/>
  <c r="S319" i="17" a="1"/>
  <c r="S319" i="17" s="1"/>
  <c r="S457" i="17" a="1"/>
  <c r="S457" i="17" s="1"/>
  <c r="S517" i="17" a="1"/>
  <c r="S517" i="17" s="1"/>
  <c r="S518" i="17" a="1"/>
  <c r="S518" i="17" s="1"/>
  <c r="S519" i="17" a="1"/>
  <c r="S519" i="17" s="1"/>
  <c r="S657" i="17" a="1"/>
  <c r="S657" i="17" s="1"/>
  <c r="S707" i="17" a="1"/>
  <c r="S707" i="17" s="1"/>
  <c r="S757" i="17" a="1"/>
  <c r="S757" i="17"/>
  <c r="S807" i="17" a="1"/>
  <c r="S807" i="17" s="1"/>
  <c r="S857" i="17" a="1"/>
  <c r="S857" i="17" s="1"/>
  <c r="S907" i="17" a="1"/>
  <c r="S907" i="17" s="1"/>
  <c r="S957" i="17" a="1"/>
  <c r="S95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320" i="17" a="1"/>
  <c r="S320" i="17" s="1"/>
  <c r="S321" i="17" a="1"/>
  <c r="S321" i="17" s="1"/>
  <c r="S322" i="17" a="1"/>
  <c r="S322" i="17" s="1"/>
  <c r="S458" i="17" a="1"/>
  <c r="S458" i="17" s="1"/>
  <c r="S520" i="17" a="1"/>
  <c r="S520" i="17" s="1"/>
  <c r="S521" i="17" a="1"/>
  <c r="S521" i="17" s="1"/>
  <c r="S522" i="17" a="1"/>
  <c r="S522" i="17" s="1"/>
  <c r="S658" i="17" a="1"/>
  <c r="S658" i="17" s="1"/>
  <c r="S708" i="17" a="1"/>
  <c r="S708" i="17" s="1"/>
  <c r="S758" i="17" a="1"/>
  <c r="S758" i="17" s="1"/>
  <c r="S808" i="17" a="1"/>
  <c r="S808" i="17" s="1"/>
  <c r="S858" i="17" a="1"/>
  <c r="S858" i="17" s="1"/>
  <c r="S908" i="17" a="1"/>
  <c r="S908" i="17" s="1"/>
  <c r="S958" i="17" a="1"/>
  <c r="S958" i="17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323" i="17" a="1"/>
  <c r="S323" i="17" s="1"/>
  <c r="S324" i="17" a="1"/>
  <c r="S324" i="17" s="1"/>
  <c r="S325" i="17" a="1"/>
  <c r="S325" i="17" s="1"/>
  <c r="S459" i="17" a="1"/>
  <c r="S459" i="17" s="1"/>
  <c r="S523" i="17" a="1"/>
  <c r="S523" i="17" s="1"/>
  <c r="S524" i="17" a="1"/>
  <c r="S524" i="17"/>
  <c r="S525" i="17" a="1"/>
  <c r="S525" i="17" s="1"/>
  <c r="S659" i="17" a="1"/>
  <c r="S659" i="17" s="1"/>
  <c r="S709" i="17" a="1"/>
  <c r="S709" i="17" s="1"/>
  <c r="S759" i="17" a="1"/>
  <c r="S759" i="17" s="1"/>
  <c r="S809" i="17" a="1"/>
  <c r="S809" i="17" s="1"/>
  <c r="S859" i="17" a="1"/>
  <c r="S859" i="17" s="1"/>
  <c r="S909" i="17" a="1"/>
  <c r="S909" i="17" s="1"/>
  <c r="S959" i="17" a="1"/>
  <c r="S959" i="17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326" i="17" a="1"/>
  <c r="S326" i="17" s="1"/>
  <c r="S327" i="17" a="1"/>
  <c r="S327" i="17" s="1"/>
  <c r="S328" i="17" a="1"/>
  <c r="S328" i="17" s="1"/>
  <c r="S460" i="17" a="1"/>
  <c r="S460" i="17" s="1"/>
  <c r="S526" i="17" a="1"/>
  <c r="S526" i="17" s="1"/>
  <c r="S527" i="17" a="1"/>
  <c r="S527" i="17"/>
  <c r="S528" i="17" a="1"/>
  <c r="S528" i="17" s="1"/>
  <c r="S660" i="17" a="1"/>
  <c r="S660" i="17" s="1"/>
  <c r="S710" i="17" a="1"/>
  <c r="S710" i="17" s="1"/>
  <c r="S760" i="17" a="1"/>
  <c r="S760" i="17" s="1"/>
  <c r="S810" i="17" a="1"/>
  <c r="S810" i="17" s="1"/>
  <c r="S860" i="17" a="1"/>
  <c r="S860" i="17" s="1"/>
  <c r="S910" i="17" a="1"/>
  <c r="S910" i="17" s="1"/>
  <c r="S960" i="17" a="1"/>
  <c r="S960" i="17" s="1"/>
  <c r="S56" i="17" a="1"/>
  <c r="S56" i="17" s="1"/>
  <c r="S57" i="17" a="1"/>
  <c r="S57" i="17" s="1"/>
  <c r="S58" i="17" a="1"/>
  <c r="S58" i="17" s="1"/>
  <c r="S59" i="17" a="1"/>
  <c r="S59" i="17"/>
  <c r="S60" i="17" a="1"/>
  <c r="S60" i="17" s="1"/>
  <c r="S61" i="17" a="1"/>
  <c r="S61" i="17" s="1"/>
  <c r="S329" i="17" a="1"/>
  <c r="S329" i="17" s="1"/>
  <c r="S330" i="17" a="1"/>
  <c r="S330" i="17" s="1"/>
  <c r="S331" i="17" a="1"/>
  <c r="S331" i="17" s="1"/>
  <c r="S461" i="17" a="1"/>
  <c r="S461" i="17" s="1"/>
  <c r="S529" i="17" a="1"/>
  <c r="S529" i="17" s="1"/>
  <c r="S530" i="17" a="1"/>
  <c r="S530" i="17"/>
  <c r="S531" i="17" a="1"/>
  <c r="S531" i="17" s="1"/>
  <c r="S661" i="17" a="1"/>
  <c r="S661" i="17" s="1"/>
  <c r="S711" i="17" a="1"/>
  <c r="S711" i="17" s="1"/>
  <c r="S761" i="17" a="1"/>
  <c r="S761" i="17" s="1"/>
  <c r="S811" i="17" a="1"/>
  <c r="S811" i="17" s="1"/>
  <c r="S861" i="17" a="1"/>
  <c r="S861" i="17" s="1"/>
  <c r="S911" i="17" a="1"/>
  <c r="S911" i="17" s="1"/>
  <c r="S961" i="17" a="1"/>
  <c r="S961" i="17" s="1"/>
  <c r="S62" i="17" a="1"/>
  <c r="S62" i="17" s="1"/>
  <c r="S63" i="17" a="1"/>
  <c r="S63" i="17" s="1"/>
  <c r="S64" i="17" a="1"/>
  <c r="S64" i="17" s="1"/>
  <c r="S65" i="17" a="1"/>
  <c r="S65" i="17"/>
  <c r="S66" i="17" a="1"/>
  <c r="S66" i="17" s="1"/>
  <c r="S67" i="17" a="1"/>
  <c r="S67" i="17" s="1"/>
  <c r="S332" i="17" a="1"/>
  <c r="S332" i="17" s="1"/>
  <c r="S333" i="17" a="1"/>
  <c r="S333" i="17" s="1"/>
  <c r="S334" i="17" a="1"/>
  <c r="S334" i="17" s="1"/>
  <c r="S462" i="17" a="1"/>
  <c r="S462" i="17" s="1"/>
  <c r="S532" i="17" a="1"/>
  <c r="S532" i="17" s="1"/>
  <c r="S533" i="17" a="1"/>
  <c r="S533" i="17" s="1"/>
  <c r="S534" i="17" a="1"/>
  <c r="S534" i="17" s="1"/>
  <c r="S662" i="17" a="1"/>
  <c r="S662" i="17" s="1"/>
  <c r="S712" i="17" a="1"/>
  <c r="S712" i="17" s="1"/>
  <c r="S762" i="17" a="1"/>
  <c r="S762" i="17"/>
  <c r="S812" i="17" a="1"/>
  <c r="S812" i="17" s="1"/>
  <c r="S862" i="17" a="1"/>
  <c r="S862" i="17" s="1"/>
  <c r="S912" i="17" a="1"/>
  <c r="S912" i="17" s="1"/>
  <c r="S962" i="17" a="1"/>
  <c r="S962" i="17" s="1"/>
  <c r="S68" i="17" a="1"/>
  <c r="S68" i="17" s="1"/>
  <c r="S69" i="17" a="1"/>
  <c r="S69" i="17" s="1"/>
  <c r="S70" i="17" a="1"/>
  <c r="S70" i="17" s="1"/>
  <c r="S71" i="17" a="1"/>
  <c r="S71" i="17"/>
  <c r="S72" i="17" a="1"/>
  <c r="S72" i="17" s="1"/>
  <c r="S73" i="17" a="1"/>
  <c r="S73" i="17" s="1"/>
  <c r="S335" i="17" a="1"/>
  <c r="S335" i="17" s="1"/>
  <c r="S336" i="17" a="1"/>
  <c r="S336" i="17" s="1"/>
  <c r="S337" i="17" a="1"/>
  <c r="S337" i="17" s="1"/>
  <c r="S463" i="17" a="1"/>
  <c r="S463" i="17" s="1"/>
  <c r="S535" i="17" a="1"/>
  <c r="S535" i="17" s="1"/>
  <c r="S536" i="17" a="1"/>
  <c r="S536" i="17" s="1"/>
  <c r="S537" i="17" a="1"/>
  <c r="S537" i="17" s="1"/>
  <c r="S663" i="17" a="1"/>
  <c r="S663" i="17" s="1"/>
  <c r="S713" i="17" a="1"/>
  <c r="S713" i="17" s="1"/>
  <c r="S763" i="17" a="1"/>
  <c r="S763" i="17"/>
  <c r="S813" i="17" a="1"/>
  <c r="S813" i="17" s="1"/>
  <c r="S863" i="17" a="1"/>
  <c r="S863" i="17" s="1"/>
  <c r="S913" i="17" a="1"/>
  <c r="S913" i="17" s="1"/>
  <c r="S963" i="17" a="1"/>
  <c r="S96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338" i="17" a="1"/>
  <c r="S338" i="17" s="1"/>
  <c r="S339" i="17" a="1"/>
  <c r="S339" i="17"/>
  <c r="S340" i="17" a="1"/>
  <c r="S340" i="17" s="1"/>
  <c r="S464" i="17" a="1"/>
  <c r="S464" i="17" s="1"/>
  <c r="S538" i="17" a="1"/>
  <c r="S538" i="17" s="1"/>
  <c r="S539" i="17" a="1"/>
  <c r="S539" i="17" s="1"/>
  <c r="S540" i="17" a="1"/>
  <c r="S540" i="17" s="1"/>
  <c r="S664" i="17" a="1"/>
  <c r="S664" i="17" s="1"/>
  <c r="S714" i="17" a="1"/>
  <c r="S714" i="17" s="1"/>
  <c r="S764" i="17" a="1"/>
  <c r="S764" i="17"/>
  <c r="S814" i="17" a="1"/>
  <c r="S814" i="17" s="1"/>
  <c r="S864" i="17" a="1"/>
  <c r="S864" i="17" s="1"/>
  <c r="S914" i="17" a="1"/>
  <c r="S914" i="17" s="1"/>
  <c r="S964" i="17" a="1"/>
  <c r="S96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341" i="17" a="1"/>
  <c r="S341" i="17" s="1"/>
  <c r="S342" i="17" a="1"/>
  <c r="S342" i="17"/>
  <c r="S343" i="17" a="1"/>
  <c r="S343" i="17" s="1"/>
  <c r="S465" i="17" a="1"/>
  <c r="S465" i="17" s="1"/>
  <c r="S541" i="17" a="1"/>
  <c r="S541" i="17" s="1"/>
  <c r="S542" i="17" a="1"/>
  <c r="S542" i="17" s="1"/>
  <c r="S543" i="17" a="1"/>
  <c r="S543" i="17" s="1"/>
  <c r="S665" i="17" a="1"/>
  <c r="S665" i="17" s="1"/>
  <c r="S715" i="17" a="1"/>
  <c r="S715" i="17" s="1"/>
  <c r="S765" i="17" a="1"/>
  <c r="S765" i="17" s="1"/>
  <c r="S815" i="17" a="1"/>
  <c r="S815" i="17" s="1"/>
  <c r="S865" i="17" a="1"/>
  <c r="S865" i="17" s="1"/>
  <c r="S915" i="17" a="1"/>
  <c r="S915" i="17" s="1"/>
  <c r="S965" i="17" a="1"/>
  <c r="S965" i="17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344" i="17" a="1"/>
  <c r="S344" i="17" s="1"/>
  <c r="S345" i="17" a="1"/>
  <c r="S345" i="17"/>
  <c r="S346" i="17" a="1"/>
  <c r="S346" i="17" s="1"/>
  <c r="S466" i="17" a="1"/>
  <c r="S466" i="17" s="1"/>
  <c r="S544" i="17" a="1"/>
  <c r="S544" i="17" s="1"/>
  <c r="S545" i="17" a="1"/>
  <c r="S545" i="17" s="1"/>
  <c r="S546" i="17" a="1"/>
  <c r="S546" i="17" s="1"/>
  <c r="S666" i="17" a="1"/>
  <c r="S666" i="17" s="1"/>
  <c r="S716" i="17" a="1"/>
  <c r="S716" i="17" s="1"/>
  <c r="S766" i="17" a="1"/>
  <c r="S766" i="17" s="1"/>
  <c r="S816" i="17" a="1"/>
  <c r="S816" i="17" s="1"/>
  <c r="S866" i="17" a="1"/>
  <c r="S866" i="17" s="1"/>
  <c r="S916" i="17" a="1"/>
  <c r="S916" i="17" s="1"/>
  <c r="S966" i="17" a="1"/>
  <c r="S966" i="17" s="1"/>
  <c r="S92" i="17" a="1"/>
  <c r="S92" i="17" s="1"/>
  <c r="S93" i="17" a="1"/>
  <c r="S93" i="17" s="1"/>
  <c r="S94" i="17" a="1"/>
  <c r="S94" i="17" s="1"/>
  <c r="S95" i="17" a="1"/>
  <c r="S95" i="17"/>
  <c r="S96" i="17" a="1"/>
  <c r="S96" i="17" s="1"/>
  <c r="S97" i="17" a="1"/>
  <c r="S97" i="17" s="1"/>
  <c r="S347" i="17" a="1"/>
  <c r="S347" i="17" s="1"/>
  <c r="S348" i="17" a="1"/>
  <c r="S348" i="17" s="1"/>
  <c r="S349" i="17" a="1"/>
  <c r="S349" i="17" s="1"/>
  <c r="S467" i="17" a="1"/>
  <c r="S467" i="17" s="1"/>
  <c r="S547" i="17" a="1"/>
  <c r="S547" i="17" s="1"/>
  <c r="S548" i="17" a="1"/>
  <c r="S548" i="17" s="1"/>
  <c r="S549" i="17" a="1"/>
  <c r="S549" i="17" s="1"/>
  <c r="S667" i="17" a="1"/>
  <c r="S667" i="17" s="1"/>
  <c r="S717" i="17" a="1"/>
  <c r="S717" i="17"/>
  <c r="S767" i="17" a="1"/>
  <c r="S767" i="17" s="1"/>
  <c r="S817" i="17" a="1"/>
  <c r="S817" i="17" s="1"/>
  <c r="S867" i="17" a="1"/>
  <c r="S867" i="17" s="1"/>
  <c r="S917" i="17" a="1"/>
  <c r="S917" i="17" s="1"/>
  <c r="S967" i="17" a="1"/>
  <c r="S967" i="17" s="1"/>
  <c r="S98" i="17" a="1"/>
  <c r="S98" i="17" s="1"/>
  <c r="S99" i="17" a="1"/>
  <c r="S99" i="17" s="1"/>
  <c r="S100" i="17" a="1"/>
  <c r="S100" i="17"/>
  <c r="S101" i="17" a="1"/>
  <c r="S101" i="17" s="1"/>
  <c r="S102" i="17" a="1"/>
  <c r="S102" i="17" s="1"/>
  <c r="S103" i="17" a="1"/>
  <c r="S103" i="17" s="1"/>
  <c r="S350" i="17" a="1"/>
  <c r="S350" i="17" s="1"/>
  <c r="S351" i="17" a="1"/>
  <c r="S351" i="17" s="1"/>
  <c r="S352" i="17" a="1"/>
  <c r="S352" i="17" s="1"/>
  <c r="S468" i="17" a="1"/>
  <c r="S468" i="17" s="1"/>
  <c r="S550" i="17" a="1"/>
  <c r="S550" i="17"/>
  <c r="S551" i="17" a="1"/>
  <c r="S551" i="17" s="1"/>
  <c r="S552" i="17" a="1"/>
  <c r="S552" i="17" s="1"/>
  <c r="S668" i="17" a="1"/>
  <c r="S668" i="17" s="1"/>
  <c r="S718" i="17" a="1"/>
  <c r="S718" i="17" s="1"/>
  <c r="S768" i="17" a="1"/>
  <c r="S768" i="17" s="1"/>
  <c r="S818" i="17" a="1"/>
  <c r="S818" i="17" s="1"/>
  <c r="S868" i="17" a="1"/>
  <c r="S868" i="17" s="1"/>
  <c r="S918" i="17" a="1"/>
  <c r="S918" i="17" s="1"/>
  <c r="S968" i="17" a="1"/>
  <c r="S96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353" i="17" a="1"/>
  <c r="S353" i="17"/>
  <c r="S354" i="17" a="1"/>
  <c r="S354" i="17" s="1"/>
  <c r="S355" i="17" a="1"/>
  <c r="S355" i="17" s="1"/>
  <c r="S469" i="17" a="1"/>
  <c r="S469" i="17" s="1"/>
  <c r="S553" i="17" a="1"/>
  <c r="S553" i="17" s="1"/>
  <c r="S554" i="17" a="1"/>
  <c r="S554" i="17" s="1"/>
  <c r="S555" i="17" a="1"/>
  <c r="S555" i="17" s="1"/>
  <c r="S669" i="17" a="1"/>
  <c r="S669" i="17" s="1"/>
  <c r="S719" i="17" a="1"/>
  <c r="S719" i="17"/>
  <c r="S769" i="17" a="1"/>
  <c r="S769" i="17" s="1"/>
  <c r="S819" i="17" a="1"/>
  <c r="S819" i="17" s="1"/>
  <c r="S869" i="17" a="1"/>
  <c r="S869" i="17" s="1"/>
  <c r="S919" i="17" a="1"/>
  <c r="S919" i="17" s="1"/>
  <c r="S969" i="17" a="1"/>
  <c r="S969" i="17" s="1"/>
  <c r="S110" i="17" a="1"/>
  <c r="S110" i="17" s="1"/>
  <c r="S111" i="17" a="1"/>
  <c r="S111" i="17" s="1"/>
  <c r="S112" i="17" a="1"/>
  <c r="S112" i="17"/>
  <c r="S113" i="17" a="1"/>
  <c r="S113" i="17" s="1"/>
  <c r="S114" i="17" a="1"/>
  <c r="S114" i="17" s="1"/>
  <c r="S115" i="17" a="1"/>
  <c r="S115" i="17" s="1"/>
  <c r="S356" i="17" a="1"/>
  <c r="S356" i="17" s="1"/>
  <c r="S357" i="17" a="1"/>
  <c r="S357" i="17" s="1"/>
  <c r="S358" i="17" a="1"/>
  <c r="S358" i="17" s="1"/>
  <c r="S470" i="17" a="1"/>
  <c r="S470" i="17" s="1"/>
  <c r="S556" i="17" a="1"/>
  <c r="S556" i="17" s="1"/>
  <c r="S557" i="17" a="1"/>
  <c r="S557" i="17" s="1"/>
  <c r="S558" i="17" a="1"/>
  <c r="S558" i="17" s="1"/>
  <c r="S670" i="17" a="1"/>
  <c r="S670" i="17" s="1"/>
  <c r="S720" i="17" a="1"/>
  <c r="S720" i="17" s="1"/>
  <c r="S770" i="17" a="1"/>
  <c r="S770" i="17" s="1"/>
  <c r="S820" i="17" a="1"/>
  <c r="S820" i="17" s="1"/>
  <c r="S870" i="17" a="1"/>
  <c r="S870" i="17" s="1"/>
  <c r="S920" i="17" a="1"/>
  <c r="S920" i="17"/>
  <c r="S970" i="17" a="1"/>
  <c r="S970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359" i="17" a="1"/>
  <c r="S359" i="17"/>
  <c r="S360" i="17" a="1"/>
  <c r="S360" i="17" s="1"/>
  <c r="S361" i="17" a="1"/>
  <c r="S361" i="17" s="1"/>
  <c r="S471" i="17" a="1"/>
  <c r="S471" i="17" s="1"/>
  <c r="S559" i="17" a="1"/>
  <c r="S559" i="17" s="1"/>
  <c r="S560" i="17" a="1"/>
  <c r="S560" i="17" s="1"/>
  <c r="S561" i="17" a="1"/>
  <c r="S561" i="17" s="1"/>
  <c r="S671" i="17" a="1"/>
  <c r="S671" i="17" s="1"/>
  <c r="S721" i="17" a="1"/>
  <c r="S721" i="17"/>
  <c r="S771" i="17" a="1"/>
  <c r="S771" i="17" s="1"/>
  <c r="S821" i="17" a="1"/>
  <c r="S821" i="17" s="1"/>
  <c r="S871" i="17" a="1"/>
  <c r="S871" i="17" s="1"/>
  <c r="S921" i="17" a="1"/>
  <c r="S921" i="17" s="1"/>
  <c r="S971" i="17" a="1"/>
  <c r="S97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362" i="17" a="1"/>
  <c r="S362" i="17" s="1"/>
  <c r="S363" i="17" a="1"/>
  <c r="S363" i="17" s="1"/>
  <c r="S364" i="17" a="1"/>
  <c r="S364" i="17" s="1"/>
  <c r="S472" i="17" a="1"/>
  <c r="S472" i="17" s="1"/>
  <c r="S562" i="17" a="1"/>
  <c r="S562" i="17"/>
  <c r="S563" i="17" a="1"/>
  <c r="S563" i="17" s="1"/>
  <c r="S564" i="17" a="1"/>
  <c r="S564" i="17" s="1"/>
  <c r="S672" i="17" a="1"/>
  <c r="S672" i="17" s="1"/>
  <c r="S722" i="17" a="1"/>
  <c r="S722" i="17" s="1"/>
  <c r="S772" i="17" a="1"/>
  <c r="S772" i="17" s="1"/>
  <c r="S822" i="17" a="1"/>
  <c r="S822" i="17" s="1"/>
  <c r="S872" i="17" a="1"/>
  <c r="S872" i="17" s="1"/>
  <c r="S922" i="17" a="1"/>
  <c r="S922" i="17"/>
  <c r="S972" i="17" a="1"/>
  <c r="S972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365" i="17" a="1"/>
  <c r="S365" i="17"/>
  <c r="S366" i="17" a="1"/>
  <c r="S366" i="17" s="1"/>
  <c r="S367" i="17" a="1"/>
  <c r="S367" i="17" s="1"/>
  <c r="S473" i="17" a="1"/>
  <c r="S473" i="17" s="1"/>
  <c r="S565" i="17" a="1"/>
  <c r="S565" i="17" s="1"/>
  <c r="S566" i="17" a="1"/>
  <c r="S566" i="17" s="1"/>
  <c r="S567" i="17" a="1"/>
  <c r="S567" i="17" s="1"/>
  <c r="S673" i="17" a="1"/>
  <c r="S673" i="17" s="1"/>
  <c r="S723" i="17" a="1"/>
  <c r="S723" i="17" s="1"/>
  <c r="S773" i="17" a="1"/>
  <c r="S773" i="17" s="1"/>
  <c r="S823" i="17" a="1"/>
  <c r="S823" i="17" s="1"/>
  <c r="S873" i="17" a="1"/>
  <c r="S873" i="17" s="1"/>
  <c r="S923" i="17" a="1"/>
  <c r="S923" i="17" s="1"/>
  <c r="S973" i="17" a="1"/>
  <c r="S973" i="17" s="1"/>
  <c r="S134" i="17" a="1"/>
  <c r="S134" i="17" s="1"/>
  <c r="S135" i="17" a="1"/>
  <c r="S135" i="17" s="1"/>
  <c r="S136" i="17" a="1"/>
  <c r="S136" i="17"/>
  <c r="S137" i="17" a="1"/>
  <c r="S137" i="17" s="1"/>
  <c r="S138" i="17" a="1"/>
  <c r="S138" i="17" s="1"/>
  <c r="S139" i="17" a="1"/>
  <c r="S139" i="17" s="1"/>
  <c r="S368" i="17" a="1"/>
  <c r="S368" i="17"/>
  <c r="S369" i="17" a="1"/>
  <c r="S369" i="17" s="1"/>
  <c r="S370" i="17" a="1"/>
  <c r="S370" i="17" s="1"/>
  <c r="S474" i="17" a="1"/>
  <c r="S474" i="17" s="1"/>
  <c r="S568" i="17" a="1"/>
  <c r="S568" i="17" s="1"/>
  <c r="S569" i="17" a="1"/>
  <c r="S569" i="17" s="1"/>
  <c r="S570" i="17" a="1"/>
  <c r="S570" i="17" s="1"/>
  <c r="S674" i="17" a="1"/>
  <c r="S674" i="17" s="1"/>
  <c r="S724" i="17" a="1"/>
  <c r="S724" i="17" s="1"/>
  <c r="S774" i="17" a="1"/>
  <c r="S774" i="17" s="1"/>
  <c r="S824" i="17" a="1"/>
  <c r="S824" i="17" s="1"/>
  <c r="S874" i="17" a="1"/>
  <c r="S874" i="17" s="1"/>
  <c r="S924" i="17" a="1"/>
  <c r="S924" i="17"/>
  <c r="S974" i="17" a="1"/>
  <c r="S97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371" i="17" a="1"/>
  <c r="S371" i="17" s="1"/>
  <c r="S372" i="17" a="1"/>
  <c r="S372" i="17" s="1"/>
  <c r="S373" i="17" a="1"/>
  <c r="S373" i="17" s="1"/>
  <c r="S475" i="17" a="1"/>
  <c r="S475" i="17" s="1"/>
  <c r="S571" i="17" a="1"/>
  <c r="S571" i="17" s="1"/>
  <c r="S572" i="17" a="1"/>
  <c r="S572" i="17" s="1"/>
  <c r="S573" i="17" a="1"/>
  <c r="S573" i="17" s="1"/>
  <c r="S675" i="17" a="1"/>
  <c r="S675" i="17" s="1"/>
  <c r="S725" i="17" a="1"/>
  <c r="S725" i="17" s="1"/>
  <c r="S775" i="17" a="1"/>
  <c r="S775" i="17" s="1"/>
  <c r="S825" i="17" a="1"/>
  <c r="S825" i="17" s="1"/>
  <c r="S875" i="17" a="1"/>
  <c r="S875" i="17" s="1"/>
  <c r="S925" i="17" a="1"/>
  <c r="S925" i="17" s="1"/>
  <c r="S975" i="17" a="1"/>
  <c r="S975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374" i="17" a="1"/>
  <c r="S374" i="17" s="1"/>
  <c r="S375" i="17" a="1"/>
  <c r="S375" i="17" s="1"/>
  <c r="S376" i="17" a="1"/>
  <c r="S376" i="17" s="1"/>
  <c r="S476" i="17" a="1"/>
  <c r="S476" i="17" s="1"/>
  <c r="S574" i="17" a="1"/>
  <c r="S574" i="17"/>
  <c r="S575" i="17" a="1"/>
  <c r="S575" i="17" s="1"/>
  <c r="S576" i="17" a="1"/>
  <c r="S576" i="17" s="1"/>
  <c r="S676" i="17" a="1"/>
  <c r="S676" i="17" s="1"/>
  <c r="S726" i="17" a="1"/>
  <c r="S726" i="17" s="1"/>
  <c r="S776" i="17" a="1"/>
  <c r="S776" i="17" s="1"/>
  <c r="S826" i="17" a="1"/>
  <c r="S826" i="17" s="1"/>
  <c r="S876" i="17" a="1"/>
  <c r="S876" i="17" s="1"/>
  <c r="S926" i="17" a="1"/>
  <c r="S926" i="17" s="1"/>
  <c r="S976" i="17" a="1"/>
  <c r="S976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377" i="17" a="1"/>
  <c r="S377" i="17"/>
  <c r="S378" i="17" a="1"/>
  <c r="S378" i="17" s="1"/>
  <c r="S379" i="17" a="1"/>
  <c r="S379" i="17" s="1"/>
  <c r="S477" i="17" a="1"/>
  <c r="S477" i="17" s="1"/>
  <c r="S577" i="17" a="1"/>
  <c r="S577" i="17" s="1"/>
  <c r="S578" i="17" a="1"/>
  <c r="S578" i="17" s="1"/>
  <c r="S579" i="17" a="1"/>
  <c r="S579" i="17" s="1"/>
  <c r="S677" i="17" a="1"/>
  <c r="S677" i="17" s="1"/>
  <c r="S727" i="17" a="1"/>
  <c r="S727" i="17" s="1"/>
  <c r="S777" i="17" a="1"/>
  <c r="S777" i="17" s="1"/>
  <c r="S827" i="17" a="1"/>
  <c r="S827" i="17" s="1"/>
  <c r="S877" i="17" a="1"/>
  <c r="S877" i="17" s="1"/>
  <c r="S927" i="17" a="1"/>
  <c r="S927" i="17" s="1"/>
  <c r="S977" i="17" a="1"/>
  <c r="S977" i="17" s="1"/>
  <c r="S158" i="17" a="1"/>
  <c r="S158" i="17" s="1"/>
  <c r="S159" i="17" a="1"/>
  <c r="S159" i="17" s="1"/>
  <c r="S160" i="17" a="1"/>
  <c r="S160" i="17"/>
  <c r="S161" i="17" a="1"/>
  <c r="S161" i="17" s="1"/>
  <c r="S162" i="17" a="1"/>
  <c r="S162" i="17" s="1"/>
  <c r="S163" i="17" a="1"/>
  <c r="S163" i="17" s="1"/>
  <c r="S380" i="17" a="1"/>
  <c r="S380" i="17" s="1"/>
  <c r="S381" i="17" a="1"/>
  <c r="S381" i="17" s="1"/>
  <c r="S382" i="17" a="1"/>
  <c r="S382" i="17" s="1"/>
  <c r="S478" i="17" a="1"/>
  <c r="S478" i="17" s="1"/>
  <c r="S580" i="17" a="1"/>
  <c r="S580" i="17" s="1"/>
  <c r="S581" i="17" a="1"/>
  <c r="S581" i="17" s="1"/>
  <c r="S582" i="17" a="1"/>
  <c r="S582" i="17" s="1"/>
  <c r="S678" i="17" a="1"/>
  <c r="S678" i="17" s="1"/>
  <c r="S728" i="17" a="1"/>
  <c r="S728" i="17" s="1"/>
  <c r="S778" i="17" a="1"/>
  <c r="S778" i="17" s="1"/>
  <c r="S828" i="17" a="1"/>
  <c r="S828" i="17" s="1"/>
  <c r="S878" i="17" a="1"/>
  <c r="S878" i="17" s="1"/>
  <c r="S928" i="17" a="1"/>
  <c r="S928" i="17" s="1"/>
  <c r="S978" i="17" a="1"/>
  <c r="S978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383" i="17" a="1"/>
  <c r="S383" i="17" s="1"/>
  <c r="S384" i="17" a="1"/>
  <c r="S384" i="17" s="1"/>
  <c r="S385" i="17" a="1"/>
  <c r="S385" i="17" s="1"/>
  <c r="S479" i="17" a="1"/>
  <c r="S479" i="17" s="1"/>
  <c r="S583" i="17" a="1"/>
  <c r="S583" i="17" s="1"/>
  <c r="S584" i="17" a="1"/>
  <c r="S584" i="17" s="1"/>
  <c r="S585" i="17" a="1"/>
  <c r="S585" i="17" s="1"/>
  <c r="S679" i="17" a="1"/>
  <c r="S679" i="17" s="1"/>
  <c r="S729" i="17" a="1"/>
  <c r="S729" i="17"/>
  <c r="S779" i="17" a="1"/>
  <c r="S779" i="17" s="1"/>
  <c r="S829" i="17" a="1"/>
  <c r="S829" i="17" s="1"/>
  <c r="S879" i="17" a="1"/>
  <c r="S879" i="17" s="1"/>
  <c r="S929" i="17" a="1"/>
  <c r="S929" i="17" s="1"/>
  <c r="S979" i="17" a="1"/>
  <c r="S979" i="17" s="1"/>
  <c r="S170" i="17" a="1"/>
  <c r="S170" i="17" s="1"/>
  <c r="S171" i="17" a="1"/>
  <c r="S171" i="17" s="1"/>
  <c r="S172" i="17" a="1"/>
  <c r="S172" i="17"/>
  <c r="S173" i="17" a="1"/>
  <c r="S173" i="17" s="1"/>
  <c r="S174" i="17" a="1"/>
  <c r="S174" i="17" s="1"/>
  <c r="S175" i="17" a="1"/>
  <c r="S175" i="17" s="1"/>
  <c r="S386" i="17" a="1"/>
  <c r="S386" i="17" s="1"/>
  <c r="S387" i="17" a="1"/>
  <c r="S387" i="17" s="1"/>
  <c r="S388" i="17" a="1"/>
  <c r="S388" i="17" s="1"/>
  <c r="S480" i="17" a="1"/>
  <c r="S480" i="17" s="1"/>
  <c r="S586" i="17" a="1"/>
  <c r="S586" i="17"/>
  <c r="S587" i="17" a="1"/>
  <c r="S587" i="17" s="1"/>
  <c r="S588" i="17" a="1"/>
  <c r="S588" i="17" s="1"/>
  <c r="S680" i="17" a="1"/>
  <c r="S680" i="17" s="1"/>
  <c r="S730" i="17" a="1"/>
  <c r="S730" i="17" s="1"/>
  <c r="S780" i="17" a="1"/>
  <c r="S780" i="17" s="1"/>
  <c r="S830" i="17" a="1"/>
  <c r="S830" i="17" s="1"/>
  <c r="S880" i="17" a="1"/>
  <c r="S880" i="17" s="1"/>
  <c r="S930" i="17" a="1"/>
  <c r="S930" i="17" s="1"/>
  <c r="S980" i="17" a="1"/>
  <c r="S980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389" i="17" a="1"/>
  <c r="S389" i="17"/>
  <c r="S390" i="17" a="1"/>
  <c r="S390" i="17" s="1"/>
  <c r="S391" i="17" a="1"/>
  <c r="S391" i="17" s="1"/>
  <c r="S481" i="17" a="1"/>
  <c r="S481" i="17" s="1"/>
  <c r="S589" i="17" a="1"/>
  <c r="S589" i="17" s="1"/>
  <c r="S590" i="17" a="1"/>
  <c r="S590" i="17" s="1"/>
  <c r="S591" i="17" a="1"/>
  <c r="S591" i="17" s="1"/>
  <c r="S681" i="17" a="1"/>
  <c r="S681" i="17" s="1"/>
  <c r="S731" i="17" a="1"/>
  <c r="S731" i="17"/>
  <c r="S781" i="17" a="1"/>
  <c r="S781" i="17" s="1"/>
  <c r="S831" i="17" a="1"/>
  <c r="S831" i="17" s="1"/>
  <c r="S881" i="17" a="1"/>
  <c r="S881" i="17" s="1"/>
  <c r="S931" i="17" a="1"/>
  <c r="S931" i="17" s="1"/>
  <c r="S981" i="17" a="1"/>
  <c r="S981" i="17" s="1"/>
  <c r="S182" i="17" a="1"/>
  <c r="S182" i="17" s="1"/>
  <c r="S183" i="17" a="1"/>
  <c r="S183" i="17" s="1"/>
  <c r="S184" i="17" a="1"/>
  <c r="S184" i="17"/>
  <c r="S185" i="17" a="1"/>
  <c r="S185" i="17" s="1"/>
  <c r="S186" i="17" a="1"/>
  <c r="S186" i="17" s="1"/>
  <c r="S187" i="17" a="1"/>
  <c r="S187" i="17" s="1"/>
  <c r="S392" i="17" a="1"/>
  <c r="S392" i="17" s="1"/>
  <c r="S393" i="17" a="1"/>
  <c r="S393" i="17" s="1"/>
  <c r="S394" i="17" a="1"/>
  <c r="S394" i="17" s="1"/>
  <c r="S482" i="17" a="1"/>
  <c r="S482" i="17" s="1"/>
  <c r="S592" i="17" a="1"/>
  <c r="S592" i="17" s="1"/>
  <c r="S593" i="17" a="1"/>
  <c r="S593" i="17" s="1"/>
  <c r="S594" i="17" a="1"/>
  <c r="S594" i="17" s="1"/>
  <c r="S682" i="17" a="1"/>
  <c r="S682" i="17" s="1"/>
  <c r="S732" i="17" a="1"/>
  <c r="S732" i="17" s="1"/>
  <c r="S782" i="17" a="1"/>
  <c r="S782" i="17" s="1"/>
  <c r="S832" i="17" a="1"/>
  <c r="S832" i="17" s="1"/>
  <c r="S882" i="17" a="1"/>
  <c r="S882" i="17" s="1"/>
  <c r="S932" i="17" a="1"/>
  <c r="S932" i="17"/>
  <c r="S982" i="17" a="1"/>
  <c r="S982" i="17" s="1"/>
  <c r="S188" i="17" a="1"/>
  <c r="S188" i="17" s="1"/>
  <c r="S189" i="17" a="1"/>
  <c r="S189" i="17" s="1"/>
  <c r="S190" i="17" a="1"/>
  <c r="S190" i="17" s="1"/>
  <c r="S191" i="17" a="1"/>
  <c r="S191" i="17" s="1"/>
  <c r="S192" i="17" a="1"/>
  <c r="S192" i="17" s="1"/>
  <c r="S193" i="17" a="1"/>
  <c r="S193" i="17" s="1"/>
  <c r="S395" i="17" a="1"/>
  <c r="S395" i="17"/>
  <c r="S396" i="17" a="1"/>
  <c r="S396" i="17" s="1"/>
  <c r="S397" i="17" a="1"/>
  <c r="S397" i="17" s="1"/>
  <c r="S483" i="17" a="1"/>
  <c r="S483" i="17" s="1"/>
  <c r="S595" i="17" a="1"/>
  <c r="S595" i="17" s="1"/>
  <c r="S596" i="17" a="1"/>
  <c r="S596" i="17" s="1"/>
  <c r="S597" i="17" a="1"/>
  <c r="S597" i="17"/>
  <c r="S683" i="17" a="1"/>
  <c r="S683" i="17" s="1"/>
  <c r="S733" i="17" a="1"/>
  <c r="S733" i="17" s="1"/>
  <c r="S783" i="17" a="1"/>
  <c r="S783" i="17" s="1"/>
  <c r="S833" i="17" a="1"/>
  <c r="S833" i="17" s="1"/>
  <c r="S883" i="17" a="1"/>
  <c r="S883" i="17" s="1"/>
  <c r="S933" i="17" a="1"/>
  <c r="S933" i="17" s="1"/>
  <c r="S983" i="17" a="1"/>
  <c r="S983" i="17" s="1"/>
  <c r="S194" i="17" a="1"/>
  <c r="S194" i="17" s="1"/>
  <c r="S195" i="17" a="1"/>
  <c r="S195" i="17" s="1"/>
  <c r="S196" i="17" a="1"/>
  <c r="S196" i="17"/>
  <c r="S197" i="17" a="1"/>
  <c r="S197" i="17" s="1"/>
  <c r="S198" i="17" a="1"/>
  <c r="S198" i="17" s="1"/>
  <c r="S199" i="17" a="1"/>
  <c r="S199" i="17" s="1"/>
  <c r="S398" i="17" a="1"/>
  <c r="S398" i="17" s="1"/>
  <c r="S399" i="17" a="1"/>
  <c r="S399" i="17" s="1"/>
  <c r="S400" i="17" a="1"/>
  <c r="S400" i="17" s="1"/>
  <c r="S484" i="17" a="1"/>
  <c r="S484" i="17" s="1"/>
  <c r="S598" i="17" a="1"/>
  <c r="S598" i="17" s="1"/>
  <c r="S599" i="17" a="1"/>
  <c r="S599" i="17" s="1"/>
  <c r="S600" i="17" a="1"/>
  <c r="S600" i="17" s="1"/>
  <c r="S684" i="17" a="1"/>
  <c r="S684" i="17" s="1"/>
  <c r="S734" i="17" a="1"/>
  <c r="S734" i="17"/>
  <c r="S784" i="17" a="1"/>
  <c r="S784" i="17" s="1"/>
  <c r="S834" i="17" a="1"/>
  <c r="S834" i="17" s="1"/>
  <c r="S884" i="17" a="1"/>
  <c r="S884" i="17" s="1"/>
  <c r="S934" i="17" a="1"/>
  <c r="S934" i="17" s="1"/>
  <c r="S984" i="17" a="1"/>
  <c r="S984" i="17" s="1"/>
  <c r="S200" i="17" a="1"/>
  <c r="S200" i="17" s="1"/>
  <c r="S201" i="17" a="1"/>
  <c r="S201" i="17" s="1"/>
  <c r="S202" i="17" a="1"/>
  <c r="S202" i="17" s="1"/>
  <c r="S203" i="17" a="1"/>
  <c r="S203" i="17" s="1"/>
  <c r="S204" i="17" a="1"/>
  <c r="S204" i="17"/>
  <c r="S205" i="17" a="1"/>
  <c r="S205" i="17" s="1"/>
  <c r="S401" i="17" a="1"/>
  <c r="S401" i="17" s="1"/>
  <c r="S402" i="17" a="1"/>
  <c r="S402" i="17" s="1"/>
  <c r="S403" i="17" a="1"/>
  <c r="S403" i="17" s="1"/>
  <c r="S485" i="17" a="1"/>
  <c r="S485" i="17" s="1"/>
  <c r="S601" i="17" a="1"/>
  <c r="S601" i="17"/>
  <c r="S602" i="17" a="1"/>
  <c r="S602" i="17" s="1"/>
  <c r="S603" i="17" a="1"/>
  <c r="S603" i="17" s="1"/>
  <c r="S685" i="17" a="1"/>
  <c r="S685" i="17" s="1"/>
  <c r="S735" i="17" a="1"/>
  <c r="S735" i="17"/>
  <c r="S785" i="17" a="1"/>
  <c r="S785" i="17" s="1"/>
  <c r="S835" i="17" a="1"/>
  <c r="S835" i="17" s="1"/>
  <c r="S885" i="17" a="1"/>
  <c r="S885" i="17" s="1"/>
  <c r="S935" i="17" a="1"/>
  <c r="S935" i="17" s="1"/>
  <c r="S985" i="17" a="1"/>
  <c r="S985" i="17" s="1"/>
  <c r="S206" i="17" a="1"/>
  <c r="S206" i="17"/>
  <c r="S207" i="17" a="1"/>
  <c r="S207" i="17" s="1"/>
  <c r="S208" i="17" a="1"/>
  <c r="S208" i="17" s="1"/>
  <c r="S209" i="17" a="1"/>
  <c r="S209" i="17" s="1"/>
  <c r="S210" i="17" a="1"/>
  <c r="S210" i="17" s="1"/>
  <c r="S211" i="17" a="1"/>
  <c r="S211" i="17" s="1"/>
  <c r="S404" i="17" a="1"/>
  <c r="S404" i="17"/>
  <c r="S405" i="17" a="1"/>
  <c r="S405" i="17" s="1"/>
  <c r="S406" i="17" a="1"/>
  <c r="S406" i="17" s="1"/>
  <c r="S486" i="17" a="1"/>
  <c r="S486" i="17" s="1"/>
  <c r="S604" i="17" a="1"/>
  <c r="S604" i="17" s="1"/>
  <c r="S605" i="17" a="1"/>
  <c r="S605" i="17" s="1"/>
  <c r="S606" i="17" a="1"/>
  <c r="S606" i="17" s="1"/>
  <c r="S686" i="17" a="1"/>
  <c r="S686" i="17" s="1"/>
  <c r="S736" i="17" a="1"/>
  <c r="S736" i="17" s="1"/>
  <c r="S786" i="17" a="1"/>
  <c r="S786" i="17" s="1"/>
  <c r="S836" i="17" a="1"/>
  <c r="S836" i="17" s="1"/>
  <c r="S886" i="17" a="1"/>
  <c r="S886" i="17" s="1"/>
  <c r="S936" i="17" a="1"/>
  <c r="S936" i="17" s="1"/>
  <c r="S986" i="17" a="1"/>
  <c r="S986" i="17" s="1"/>
  <c r="S212" i="17" a="1"/>
  <c r="S212" i="17" s="1"/>
  <c r="S213" i="17" a="1"/>
  <c r="S213" i="17" s="1"/>
  <c r="S214" i="17" a="1"/>
  <c r="S214" i="17" s="1"/>
  <c r="S215" i="17" a="1"/>
  <c r="S215" i="17" s="1"/>
  <c r="S216" i="17" a="1"/>
  <c r="S216" i="17"/>
  <c r="S217" i="17" a="1"/>
  <c r="S217" i="17" s="1"/>
  <c r="S407" i="17" a="1"/>
  <c r="S407" i="17" s="1"/>
  <c r="S408" i="17" a="1"/>
  <c r="S408" i="17" s="1"/>
  <c r="S409" i="17" a="1"/>
  <c r="S409" i="17" s="1"/>
  <c r="S487" i="17" a="1"/>
  <c r="S487" i="17" s="1"/>
  <c r="S607" i="17" a="1"/>
  <c r="S607" i="17" s="1"/>
  <c r="S608" i="17" a="1"/>
  <c r="S608" i="17" s="1"/>
  <c r="S609" i="17" a="1"/>
  <c r="S609" i="17" s="1"/>
  <c r="S687" i="17" a="1"/>
  <c r="S687" i="17" s="1"/>
  <c r="S737" i="17" a="1"/>
  <c r="S737" i="17" s="1"/>
  <c r="S787" i="17" a="1"/>
  <c r="S787" i="17" s="1"/>
  <c r="S837" i="17" a="1"/>
  <c r="S837" i="17" s="1"/>
  <c r="S887" i="17" a="1"/>
  <c r="S887" i="17" s="1"/>
  <c r="S937" i="17" a="1"/>
  <c r="S937" i="17" s="1"/>
  <c r="S987" i="17" a="1"/>
  <c r="S987" i="17" s="1"/>
  <c r="S218" i="17" a="1"/>
  <c r="S218" i="17"/>
  <c r="S219" i="17" a="1"/>
  <c r="S219" i="17" s="1"/>
  <c r="S220" i="17" a="1"/>
  <c r="S220" i="17" s="1"/>
  <c r="S221" i="17" a="1"/>
  <c r="S221" i="17" s="1"/>
  <c r="S222" i="17" a="1"/>
  <c r="S222" i="17" s="1"/>
  <c r="S223" i="17" a="1"/>
  <c r="S223" i="17" s="1"/>
  <c r="S410" i="17" a="1"/>
  <c r="S410" i="17" s="1"/>
  <c r="S411" i="17" a="1"/>
  <c r="S411" i="17" s="1"/>
  <c r="S412" i="17" a="1"/>
  <c r="S412" i="17" s="1"/>
  <c r="S488" i="17" a="1"/>
  <c r="S488" i="17" s="1"/>
  <c r="S610" i="17" a="1"/>
  <c r="S610" i="17" s="1"/>
  <c r="S611" i="17" a="1"/>
  <c r="S611" i="17" s="1"/>
  <c r="S612" i="17" a="1"/>
  <c r="S612" i="17" s="1"/>
  <c r="S688" i="17" a="1"/>
  <c r="S688" i="17" s="1"/>
  <c r="S738" i="17" a="1"/>
  <c r="S738" i="17" s="1"/>
  <c r="S788" i="17" a="1"/>
  <c r="S788" i="17" s="1"/>
  <c r="S838" i="17" a="1"/>
  <c r="S838" i="17"/>
  <c r="S888" i="17" a="1"/>
  <c r="S888" i="17" s="1"/>
  <c r="S938" i="17" a="1"/>
  <c r="S938" i="17" s="1"/>
  <c r="S988" i="17" a="1"/>
  <c r="S988" i="17" s="1"/>
  <c r="S224" i="17" a="1"/>
  <c r="S224" i="17" s="1"/>
  <c r="S225" i="17" a="1"/>
  <c r="S225" i="17" s="1"/>
  <c r="S226" i="17" a="1"/>
  <c r="S226" i="17" s="1"/>
  <c r="S227" i="17" a="1"/>
  <c r="S227" i="17" s="1"/>
  <c r="S228" i="17" a="1"/>
  <c r="S228" i="17" s="1"/>
  <c r="S229" i="17" a="1"/>
  <c r="S229" i="17" s="1"/>
  <c r="S413" i="17" a="1"/>
  <c r="S413" i="17"/>
  <c r="S414" i="17" a="1"/>
  <c r="S414" i="17" s="1"/>
  <c r="S415" i="17" a="1"/>
  <c r="S415" i="17" s="1"/>
  <c r="S489" i="17" a="1"/>
  <c r="S489" i="17" s="1"/>
  <c r="S613" i="17" a="1"/>
  <c r="S613" i="17" s="1"/>
  <c r="S614" i="17" a="1"/>
  <c r="S614" i="17" s="1"/>
  <c r="S615" i="17" a="1"/>
  <c r="S615" i="17" s="1"/>
  <c r="S689" i="17" a="1"/>
  <c r="S689" i="17" s="1"/>
  <c r="S739" i="17" a="1"/>
  <c r="S739" i="17" s="1"/>
  <c r="S789" i="17" a="1"/>
  <c r="S789" i="17" s="1"/>
  <c r="S839" i="17" a="1"/>
  <c r="S839" i="17" s="1"/>
  <c r="S889" i="17" a="1"/>
  <c r="S889" i="17" s="1"/>
  <c r="S939" i="17" a="1"/>
  <c r="S939" i="17" s="1"/>
  <c r="S989" i="17" a="1"/>
  <c r="S989" i="17" s="1"/>
  <c r="S230" i="17" a="1"/>
  <c r="S230" i="17" s="1"/>
  <c r="S231" i="17" a="1"/>
  <c r="S231" i="17" s="1"/>
  <c r="S232" i="17" a="1"/>
  <c r="S232" i="17"/>
  <c r="S233" i="17" a="1"/>
  <c r="S233" i="17" s="1"/>
  <c r="S234" i="17" a="1"/>
  <c r="S234" i="17" s="1"/>
  <c r="S235" i="17" a="1"/>
  <c r="S235" i="17" s="1"/>
  <c r="S416" i="17" a="1"/>
  <c r="S416" i="17" s="1"/>
  <c r="S417" i="17" a="1"/>
  <c r="S417" i="17" s="1"/>
  <c r="S418" i="17" a="1"/>
  <c r="S418" i="17" s="1"/>
  <c r="S490" i="17" a="1"/>
  <c r="S490" i="17" s="1"/>
  <c r="S616" i="17" a="1"/>
  <c r="S616" i="17" s="1"/>
  <c r="S617" i="17" a="1"/>
  <c r="S617" i="17" s="1"/>
  <c r="S618" i="17" a="1"/>
  <c r="S618" i="17" s="1"/>
  <c r="S690" i="17" a="1"/>
  <c r="S690" i="17" s="1"/>
  <c r="S740" i="17" a="1"/>
  <c r="S740" i="17" s="1"/>
  <c r="S790" i="17" a="1"/>
  <c r="S790" i="17" s="1"/>
  <c r="S840" i="17" a="1"/>
  <c r="S840" i="17" s="1"/>
  <c r="S890" i="17" a="1"/>
  <c r="S890" i="17" s="1"/>
  <c r="S940" i="17" a="1"/>
  <c r="S940" i="17"/>
  <c r="S990" i="17" a="1"/>
  <c r="S990" i="17" s="1"/>
  <c r="S236" i="17" a="1"/>
  <c r="S236" i="17" s="1"/>
  <c r="S237" i="17" a="1"/>
  <c r="S237" i="17" s="1"/>
  <c r="S238" i="17" a="1"/>
  <c r="S238" i="17" s="1"/>
  <c r="S239" i="17" a="1"/>
  <c r="S239" i="17" s="1"/>
  <c r="S240" i="17" a="1"/>
  <c r="S240" i="17" s="1"/>
  <c r="S241" i="17" a="1"/>
  <c r="S241" i="17" s="1"/>
  <c r="S419" i="17" a="1"/>
  <c r="S419" i="17" s="1"/>
  <c r="S420" i="17" a="1"/>
  <c r="S420" i="17" s="1"/>
  <c r="S421" i="17" a="1"/>
  <c r="S421" i="17" s="1"/>
  <c r="S491" i="17" a="1"/>
  <c r="S491" i="17" s="1"/>
  <c r="S619" i="17" a="1"/>
  <c r="S619" i="17" s="1"/>
  <c r="S620" i="17" a="1"/>
  <c r="S620" i="17" s="1"/>
  <c r="S621" i="17" a="1"/>
  <c r="S621" i="17" s="1"/>
  <c r="S691" i="17" a="1"/>
  <c r="S691" i="17" s="1"/>
  <c r="S741" i="17" a="1"/>
  <c r="S741" i="17"/>
  <c r="S791" i="17" a="1"/>
  <c r="S791" i="17" s="1"/>
  <c r="S841" i="17" a="1"/>
  <c r="S841" i="17" s="1"/>
  <c r="S891" i="17" a="1"/>
  <c r="S891" i="17" s="1"/>
  <c r="S941" i="17" a="1"/>
  <c r="S941" i="17" s="1"/>
  <c r="S991" i="17" a="1"/>
  <c r="S991" i="17" s="1"/>
  <c r="S242" i="17" a="1"/>
  <c r="S242" i="17" s="1"/>
  <c r="S243" i="17" a="1"/>
  <c r="S243" i="17" s="1"/>
  <c r="S244" i="17" a="1"/>
  <c r="S244" i="17" s="1"/>
  <c r="S245" i="17" a="1"/>
  <c r="S245" i="17" s="1"/>
  <c r="S246" i="17" a="1"/>
  <c r="S246" i="17" s="1"/>
  <c r="S247" i="17" a="1"/>
  <c r="S247" i="17" s="1"/>
  <c r="S422" i="17" a="1"/>
  <c r="S422" i="17" s="1"/>
  <c r="S423" i="17" a="1"/>
  <c r="S423" i="17" s="1"/>
  <c r="S424" i="17" a="1"/>
  <c r="S424" i="17" s="1"/>
  <c r="S492" i="17" a="1"/>
  <c r="S492" i="17" s="1"/>
  <c r="S622" i="17" a="1"/>
  <c r="S622" i="17"/>
  <c r="S623" i="17" a="1"/>
  <c r="S623" i="17" s="1"/>
  <c r="S624" i="17" a="1"/>
  <c r="S624" i="17" s="1"/>
  <c r="S692" i="17" a="1"/>
  <c r="S692" i="17" s="1"/>
  <c r="S742" i="17" a="1"/>
  <c r="S742" i="17" s="1"/>
  <c r="S792" i="17" a="1"/>
  <c r="S792" i="17" s="1"/>
  <c r="S842" i="17" a="1"/>
  <c r="S842" i="17" s="1"/>
  <c r="S892" i="17" a="1"/>
  <c r="S892" i="17" s="1"/>
  <c r="S942" i="17" a="1"/>
  <c r="S942" i="17" s="1"/>
  <c r="S992" i="17" a="1"/>
  <c r="S992" i="17" s="1"/>
  <c r="S248" i="17" a="1"/>
  <c r="S248" i="17" s="1"/>
  <c r="S249" i="17" a="1"/>
  <c r="S249" i="17" s="1"/>
  <c r="S250" i="17" a="1"/>
  <c r="S250" i="17"/>
  <c r="S251" i="17" a="1"/>
  <c r="S251" i="17" s="1"/>
  <c r="S252" i="17" a="1"/>
  <c r="S252" i="17" s="1"/>
  <c r="S253" i="17" a="1"/>
  <c r="S253" i="17" s="1"/>
  <c r="S425" i="17" a="1"/>
  <c r="S425" i="17" s="1"/>
  <c r="S426" i="17" a="1"/>
  <c r="S426" i="17" s="1"/>
  <c r="S427" i="17" a="1"/>
  <c r="S427" i="17" s="1"/>
  <c r="S493" i="17" a="1"/>
  <c r="S493" i="17" s="1"/>
  <c r="S625" i="17" a="1"/>
  <c r="S625" i="17"/>
  <c r="S626" i="17" a="1"/>
  <c r="S626" i="17" s="1"/>
  <c r="S627" i="17" a="1"/>
  <c r="S627" i="17" s="1"/>
  <c r="S693" i="17" a="1"/>
  <c r="S693" i="17" s="1"/>
  <c r="S743" i="17" a="1"/>
  <c r="S743" i="17" s="1"/>
  <c r="S793" i="17" a="1"/>
  <c r="S793" i="17" s="1"/>
  <c r="S843" i="17" a="1"/>
  <c r="S843" i="17" s="1"/>
  <c r="S893" i="17" a="1"/>
  <c r="S893" i="17" s="1"/>
  <c r="S943" i="17" a="1"/>
  <c r="S943" i="17" s="1"/>
  <c r="S993" i="17" a="1"/>
  <c r="S993" i="17" s="1"/>
  <c r="S254" i="17" a="1"/>
  <c r="S254" i="17" s="1"/>
  <c r="S255" i="17" a="1"/>
  <c r="S255" i="17" s="1"/>
  <c r="S256" i="17" a="1"/>
  <c r="S256" i="17"/>
  <c r="S257" i="17" a="1"/>
  <c r="S257" i="17" s="1"/>
  <c r="S258" i="17" a="1"/>
  <c r="S258" i="17" s="1"/>
  <c r="S259" i="17" a="1"/>
  <c r="S259" i="17" s="1"/>
  <c r="S428" i="17" a="1"/>
  <c r="S428" i="17" s="1"/>
  <c r="S429" i="17" a="1"/>
  <c r="S429" i="17" s="1"/>
  <c r="S430" i="17" a="1"/>
  <c r="S430" i="17" s="1"/>
  <c r="S494" i="17" a="1"/>
  <c r="S494" i="17" s="1"/>
  <c r="S628" i="17" a="1"/>
  <c r="S628" i="17" s="1"/>
  <c r="S629" i="17" a="1"/>
  <c r="S629" i="17" s="1"/>
  <c r="S630" i="17" a="1"/>
  <c r="S630" i="17" s="1"/>
  <c r="S694" i="17" a="1"/>
  <c r="S694" i="17" s="1"/>
  <c r="S744" i="17" a="1"/>
  <c r="S744" i="17"/>
  <c r="S794" i="17" a="1"/>
  <c r="S794" i="17" s="1"/>
  <c r="S844" i="17" a="1"/>
  <c r="S844" i="17" s="1"/>
  <c r="S894" i="17" a="1"/>
  <c r="S894" i="17" s="1"/>
  <c r="S944" i="17" a="1"/>
  <c r="S944" i="17" s="1"/>
  <c r="S994" i="17" a="1"/>
  <c r="S994" i="17" s="1"/>
  <c r="S260" i="17" a="1"/>
  <c r="S260" i="17" s="1"/>
  <c r="S261" i="17" a="1"/>
  <c r="S261" i="17" s="1"/>
  <c r="S262" i="17" a="1"/>
  <c r="S262" i="17"/>
  <c r="S263" i="17" a="1"/>
  <c r="S263" i="17" s="1"/>
  <c r="S264" i="17" a="1"/>
  <c r="S264" i="17" s="1"/>
  <c r="S265" i="17" a="1"/>
  <c r="S265" i="17" s="1"/>
  <c r="S431" i="17" a="1"/>
  <c r="S431" i="17" s="1"/>
  <c r="S432" i="17" a="1"/>
  <c r="S432" i="17" s="1"/>
  <c r="S433" i="17" a="1"/>
  <c r="S433" i="17" s="1"/>
  <c r="S495" i="17" a="1"/>
  <c r="S495" i="17" s="1"/>
  <c r="S631" i="17" a="1"/>
  <c r="S631" i="17" s="1"/>
  <c r="S632" i="17" a="1"/>
  <c r="S632" i="17" s="1"/>
  <c r="S633" i="17" a="1"/>
  <c r="S633" i="17" s="1"/>
  <c r="S695" i="17" a="1"/>
  <c r="S695" i="17" s="1"/>
  <c r="S745" i="17" a="1"/>
  <c r="S745" i="17"/>
  <c r="S795" i="17" a="1"/>
  <c r="S795" i="17" s="1"/>
  <c r="S845" i="17" a="1"/>
  <c r="S845" i="17" s="1"/>
  <c r="S895" i="17" a="1"/>
  <c r="S895" i="17" s="1"/>
  <c r="S945" i="17" a="1"/>
  <c r="S945" i="17" s="1"/>
  <c r="S995" i="17" a="1"/>
  <c r="S995" i="17" s="1"/>
  <c r="S266" i="17" a="1"/>
  <c r="S266" i="17" s="1"/>
  <c r="S267" i="17" a="1"/>
  <c r="S267" i="17" s="1"/>
  <c r="S268" i="17" a="1"/>
  <c r="S268" i="17" s="1"/>
  <c r="S269" i="17" a="1"/>
  <c r="S269" i="17" s="1"/>
  <c r="S270" i="17" a="1"/>
  <c r="S270" i="17" s="1"/>
  <c r="S271" i="17" a="1"/>
  <c r="S271" i="17" s="1"/>
  <c r="S434" i="17" a="1"/>
  <c r="S434" i="17"/>
  <c r="S435" i="17" a="1"/>
  <c r="S435" i="17" s="1"/>
  <c r="S436" i="17" a="1"/>
  <c r="S436" i="17" s="1"/>
  <c r="S496" i="17" a="1"/>
  <c r="S496" i="17" s="1"/>
  <c r="S634" i="17" a="1"/>
  <c r="S634" i="17" s="1"/>
  <c r="S635" i="17" a="1"/>
  <c r="S635" i="17" s="1"/>
  <c r="S636" i="17" a="1"/>
  <c r="S636" i="17" s="1"/>
  <c r="S696" i="17" a="1"/>
  <c r="S696" i="17" s="1"/>
  <c r="S746" i="17" a="1"/>
  <c r="S746" i="17"/>
  <c r="S796" i="17" a="1"/>
  <c r="S796" i="17" s="1"/>
  <c r="S846" i="17" a="1"/>
  <c r="S846" i="17" s="1"/>
  <c r="S896" i="17" a="1"/>
  <c r="S896" i="17" s="1"/>
  <c r="S946" i="17" a="1"/>
  <c r="S946" i="17" s="1"/>
  <c r="S996" i="17" a="1"/>
  <c r="S996" i="17" s="1"/>
  <c r="S272" i="17" a="1"/>
  <c r="S272" i="17" s="1"/>
  <c r="S273" i="17" a="1"/>
  <c r="S273" i="17" s="1"/>
  <c r="S274" i="17" a="1"/>
  <c r="S274" i="17" s="1"/>
  <c r="S275" i="17" a="1"/>
  <c r="S275" i="17" s="1"/>
  <c r="S276" i="17" a="1"/>
  <c r="S276" i="17" s="1"/>
  <c r="S277" i="17" a="1"/>
  <c r="S277" i="17" s="1"/>
  <c r="S437" i="17" a="1"/>
  <c r="S437" i="17"/>
  <c r="S438" i="17" a="1"/>
  <c r="S438" i="17" s="1"/>
  <c r="S439" i="17" a="1"/>
  <c r="S439" i="17" s="1"/>
  <c r="S497" i="17" a="1"/>
  <c r="S497" i="17" s="1"/>
  <c r="S637" i="17" a="1"/>
  <c r="S637" i="17" s="1"/>
  <c r="S638" i="17" a="1"/>
  <c r="S638" i="17" s="1"/>
  <c r="S639" i="17" a="1"/>
  <c r="S639" i="17" s="1"/>
  <c r="S697" i="17" a="1"/>
  <c r="S697" i="17" s="1"/>
  <c r="S747" i="17" a="1"/>
  <c r="S747" i="17" s="1"/>
  <c r="S797" i="17" a="1"/>
  <c r="S797" i="17" s="1"/>
  <c r="S847" i="17" a="1"/>
  <c r="S847" i="17" s="1"/>
  <c r="S897" i="17" a="1"/>
  <c r="S897" i="17" s="1"/>
  <c r="S947" i="17" a="1"/>
  <c r="S947" i="17"/>
  <c r="S997" i="17" a="1"/>
  <c r="S997" i="17" s="1"/>
  <c r="S278" i="17" a="1"/>
  <c r="S278" i="17" s="1"/>
  <c r="S279" i="17" a="1"/>
  <c r="S279" i="17" s="1"/>
  <c r="S280" i="17" a="1"/>
  <c r="S280" i="17" s="1"/>
  <c r="S281" i="17" a="1"/>
  <c r="S281" i="17" s="1"/>
  <c r="S282" i="17" a="1"/>
  <c r="S282" i="17" s="1"/>
  <c r="S283" i="17" a="1"/>
  <c r="S283" i="17" s="1"/>
  <c r="S440" i="17" a="1"/>
  <c r="S440" i="17"/>
  <c r="S441" i="17" a="1"/>
  <c r="S441" i="17" s="1"/>
  <c r="S442" i="17" a="1"/>
  <c r="S442" i="17" s="1"/>
  <c r="S498" i="17" a="1"/>
  <c r="S498" i="17" s="1"/>
  <c r="S640" i="17" a="1"/>
  <c r="S640" i="17"/>
  <c r="S641" i="17" a="1"/>
  <c r="S641" i="17" s="1"/>
  <c r="S642" i="17" a="1"/>
  <c r="S642" i="17" s="1"/>
  <c r="S698" i="17" a="1"/>
  <c r="S698" i="17" s="1"/>
  <c r="S748" i="17" a="1"/>
  <c r="S748" i="17" s="1"/>
  <c r="S798" i="17" a="1"/>
  <c r="S798" i="17" s="1"/>
  <c r="S848" i="17" a="1"/>
  <c r="S848" i="17" s="1"/>
  <c r="S898" i="17" a="1"/>
  <c r="S898" i="17" s="1"/>
  <c r="S948" i="17" a="1"/>
  <c r="S948" i="17" s="1"/>
  <c r="S998" i="17" a="1"/>
  <c r="S998" i="17" s="1"/>
  <c r="S284" i="17" a="1"/>
  <c r="S284" i="17" s="1"/>
  <c r="S285" i="17" a="1"/>
  <c r="S285" i="17" s="1"/>
  <c r="S286" i="17" a="1"/>
  <c r="S286" i="17" s="1"/>
  <c r="S287" i="17" a="1"/>
  <c r="S287" i="17" s="1"/>
  <c r="S288" i="17" a="1"/>
  <c r="S288" i="17" s="1"/>
  <c r="S289" i="17" a="1"/>
  <c r="S289" i="17" s="1"/>
  <c r="S443" i="17" a="1"/>
  <c r="S443" i="17"/>
  <c r="S444" i="17" a="1"/>
  <c r="S444" i="17" s="1"/>
  <c r="S445" i="17" a="1"/>
  <c r="S445" i="17" s="1"/>
  <c r="S499" i="17" a="1"/>
  <c r="S499" i="17" s="1"/>
  <c r="S643" i="17" a="1"/>
  <c r="S643" i="17" s="1"/>
  <c r="S644" i="17" a="1"/>
  <c r="S644" i="17" s="1"/>
  <c r="S645" i="17" a="1"/>
  <c r="S645" i="17" s="1"/>
  <c r="S699" i="17" a="1"/>
  <c r="S699" i="17" s="1"/>
  <c r="S749" i="17" a="1"/>
  <c r="S749" i="17"/>
  <c r="S799" i="17" a="1"/>
  <c r="S799" i="17" s="1"/>
  <c r="S849" i="17" a="1"/>
  <c r="S849" i="17" s="1"/>
  <c r="S899" i="17" a="1"/>
  <c r="S899" i="17" s="1"/>
  <c r="S949" i="17" a="1"/>
  <c r="S949" i="17" s="1"/>
  <c r="S999" i="17" a="1"/>
  <c r="S999" i="17" s="1"/>
  <c r="S290" i="17" a="1"/>
  <c r="S290" i="17"/>
  <c r="S291" i="17" a="1"/>
  <c r="S291" i="17" s="1"/>
  <c r="S292" i="17" a="1"/>
  <c r="S292" i="17" s="1"/>
  <c r="S293" i="17" a="1"/>
  <c r="S293" i="17" s="1"/>
  <c r="S294" i="17" a="1"/>
  <c r="S294" i="17" s="1"/>
  <c r="S295" i="17" a="1"/>
  <c r="S295" i="17" s="1"/>
  <c r="S446" i="17" a="1"/>
  <c r="S446" i="17" s="1"/>
  <c r="S447" i="17" a="1"/>
  <c r="S447" i="17" s="1"/>
  <c r="S448" i="17" a="1"/>
  <c r="S448" i="17" s="1"/>
  <c r="S500" i="17" a="1"/>
  <c r="S500" i="17" s="1"/>
  <c r="S646" i="17" a="1"/>
  <c r="S646" i="17" s="1"/>
  <c r="S647" i="17" a="1"/>
  <c r="S647" i="17" s="1"/>
  <c r="S648" i="17" a="1"/>
  <c r="S648" i="17" s="1"/>
  <c r="S700" i="17" a="1"/>
  <c r="S700" i="17" s="1"/>
  <c r="S750" i="17" a="1"/>
  <c r="S750" i="17"/>
  <c r="S800" i="17" a="1"/>
  <c r="S800" i="17" s="1"/>
  <c r="S850" i="17" a="1"/>
  <c r="S850" i="17" s="1"/>
  <c r="S900" i="17" a="1"/>
  <c r="S900" i="17" s="1"/>
  <c r="S950" i="17" a="1"/>
  <c r="S950" i="17" s="1"/>
  <c r="S1000" i="17" a="1"/>
  <c r="S1000" i="17" s="1"/>
  <c r="S296" i="17" a="1"/>
  <c r="S296" i="17" s="1"/>
  <c r="S297" i="17" a="1"/>
  <c r="S297" i="17" s="1"/>
  <c r="S298" i="17" a="1"/>
  <c r="S298" i="17" s="1"/>
  <c r="S299" i="17" a="1"/>
  <c r="S299" i="17" s="1"/>
  <c r="S300" i="17" a="1"/>
  <c r="S300" i="17" s="1"/>
  <c r="S301" i="17" a="1"/>
  <c r="S301" i="17" s="1"/>
  <c r="S449" i="17" a="1"/>
  <c r="S449" i="17"/>
  <c r="S450" i="17" a="1"/>
  <c r="S450" i="17" s="1"/>
  <c r="S451" i="17" a="1"/>
  <c r="S451" i="17" s="1"/>
  <c r="S501" i="17" a="1"/>
  <c r="S501" i="17" s="1"/>
  <c r="S649" i="17" a="1"/>
  <c r="S649" i="17"/>
  <c r="S650" i="17" a="1"/>
  <c r="S650" i="17" s="1"/>
  <c r="S651" i="17" a="1"/>
  <c r="S651" i="17" s="1"/>
  <c r="S701" i="17" a="1"/>
  <c r="S701" i="17" s="1"/>
  <c r="S751" i="17" a="1"/>
  <c r="S751" i="17" s="1"/>
  <c r="S801" i="17" a="1"/>
  <c r="S801" i="17" s="1"/>
  <c r="S851" i="17" a="1"/>
  <c r="S851" i="17" s="1"/>
  <c r="S901" i="17" a="1"/>
  <c r="S901" i="17" s="1"/>
  <c r="S951" i="17" a="1"/>
  <c r="S951" i="17" s="1"/>
  <c r="S1001" i="17" a="1"/>
  <c r="S1001" i="17" s="1"/>
  <c r="T2" i="17" a="1"/>
  <c r="T2" i="17" s="1"/>
  <c r="T3" i="17" a="1"/>
  <c r="T3" i="17" s="1"/>
  <c r="T4" i="17" a="1"/>
  <c r="T4" i="17"/>
  <c r="T5" i="17" a="1"/>
  <c r="T5" i="17" s="1"/>
  <c r="T6" i="17" a="1"/>
  <c r="T6" i="17" s="1"/>
  <c r="T7" i="17" a="1"/>
  <c r="T7" i="17" s="1"/>
  <c r="T302" i="17" a="1"/>
  <c r="T302" i="17" s="1"/>
  <c r="T303" i="17" a="1"/>
  <c r="T303" i="17" s="1"/>
  <c r="T304" i="17" a="1"/>
  <c r="T304" i="17" s="1"/>
  <c r="T452" i="17" a="1"/>
  <c r="T452" i="17" s="1"/>
  <c r="T502" i="17" a="1"/>
  <c r="T502" i="17" s="1"/>
  <c r="T503" i="17" a="1"/>
  <c r="T503" i="17" s="1"/>
  <c r="T504" i="17" a="1"/>
  <c r="T504" i="17" s="1"/>
  <c r="T652" i="17" a="1"/>
  <c r="T652" i="17" s="1"/>
  <c r="T702" i="17" a="1"/>
  <c r="T702" i="17"/>
  <c r="T752" i="17" a="1"/>
  <c r="T752" i="17" s="1"/>
  <c r="T802" i="17" a="1"/>
  <c r="T802" i="17" s="1"/>
  <c r="T852" i="17" a="1"/>
  <c r="T852" i="17" s="1"/>
  <c r="T902" i="17" a="1"/>
  <c r="T902" i="17" s="1"/>
  <c r="T952" i="17" a="1"/>
  <c r="T952" i="17" s="1"/>
  <c r="T8" i="17" a="1"/>
  <c r="T8" i="17" s="1"/>
  <c r="T9" i="17" a="1"/>
  <c r="T9" i="17" s="1"/>
  <c r="T10" i="17" a="1"/>
  <c r="T10" i="17"/>
  <c r="T11" i="17" a="1"/>
  <c r="T11" i="17" s="1"/>
  <c r="T12" i="17" a="1"/>
  <c r="T12" i="17" s="1"/>
  <c r="T13" i="17" a="1"/>
  <c r="T13" i="17" s="1"/>
  <c r="T305" i="17" a="1"/>
  <c r="T305" i="17" s="1"/>
  <c r="T306" i="17" a="1"/>
  <c r="T306" i="17" s="1"/>
  <c r="T307" i="17" a="1"/>
  <c r="T307" i="17" s="1"/>
  <c r="T453" i="17" a="1"/>
  <c r="T453" i="17" s="1"/>
  <c r="T505" i="17" a="1"/>
  <c r="T505" i="17" s="1"/>
  <c r="T506" i="17" a="1"/>
  <c r="T506" i="17" s="1"/>
  <c r="T507" i="17" a="1"/>
  <c r="T507" i="17" s="1"/>
  <c r="T653" i="17" a="1"/>
  <c r="T653" i="17" s="1"/>
  <c r="T703" i="17" a="1"/>
  <c r="T703" i="17"/>
  <c r="T753" i="17" a="1"/>
  <c r="T753" i="17" s="1"/>
  <c r="T803" i="17" a="1"/>
  <c r="T803" i="17" s="1"/>
  <c r="T853" i="17" a="1"/>
  <c r="T853" i="17" s="1"/>
  <c r="T903" i="17" a="1"/>
  <c r="T903" i="17" s="1"/>
  <c r="T953" i="17" a="1"/>
  <c r="T95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308" i="17" a="1"/>
  <c r="T308" i="17"/>
  <c r="T309" i="17" a="1"/>
  <c r="T309" i="17" s="1"/>
  <c r="T310" i="17" a="1"/>
  <c r="T310" i="17" s="1"/>
  <c r="T454" i="17" a="1"/>
  <c r="T454" i="17" s="1"/>
  <c r="T508" i="17" a="1"/>
  <c r="T508" i="17" s="1"/>
  <c r="T509" i="17" a="1"/>
  <c r="T509" i="17" s="1"/>
  <c r="T510" i="17" a="1"/>
  <c r="T510" i="17" s="1"/>
  <c r="T654" i="17" a="1"/>
  <c r="T654" i="17" s="1"/>
  <c r="T704" i="17" a="1"/>
  <c r="T704" i="17"/>
  <c r="T754" i="17" a="1"/>
  <c r="T754" i="17" s="1"/>
  <c r="T804" i="17" a="1"/>
  <c r="T804" i="17" s="1"/>
  <c r="T854" i="17" a="1"/>
  <c r="T854" i="17" s="1"/>
  <c r="T904" i="17" a="1"/>
  <c r="T904" i="17" s="1"/>
  <c r="T954" i="17" a="1"/>
  <c r="T954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311" i="17" a="1"/>
  <c r="T311" i="17"/>
  <c r="T312" i="17" a="1"/>
  <c r="T312" i="17" s="1"/>
  <c r="T313" i="17" a="1"/>
  <c r="T313" i="17" s="1"/>
  <c r="T455" i="17" a="1"/>
  <c r="T455" i="17" s="1"/>
  <c r="T511" i="17" a="1"/>
  <c r="T511" i="17" s="1"/>
  <c r="T512" i="17" a="1"/>
  <c r="T512" i="17" s="1"/>
  <c r="T513" i="17" a="1"/>
  <c r="T513" i="17" s="1"/>
  <c r="T655" i="17" a="1"/>
  <c r="T655" i="17" s="1"/>
  <c r="T705" i="17" a="1"/>
  <c r="T705" i="17" s="1"/>
  <c r="T755" i="17" a="1"/>
  <c r="T755" i="17" s="1"/>
  <c r="T805" i="17" a="1"/>
  <c r="T805" i="17" s="1"/>
  <c r="T855" i="17" a="1"/>
  <c r="T855" i="17" s="1"/>
  <c r="T905" i="17" a="1"/>
  <c r="T905" i="17"/>
  <c r="T955" i="17" a="1"/>
  <c r="T95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314" i="17" a="1"/>
  <c r="T314" i="17"/>
  <c r="T315" i="17" a="1"/>
  <c r="T315" i="17" s="1"/>
  <c r="T316" i="17" a="1"/>
  <c r="T316" i="17" s="1"/>
  <c r="T456" i="17" a="1"/>
  <c r="T456" i="17" s="1"/>
  <c r="T514" i="17" a="1"/>
  <c r="T514" i="17" s="1"/>
  <c r="T515" i="17" a="1"/>
  <c r="T515" i="17" s="1"/>
  <c r="T516" i="17" a="1"/>
  <c r="T516" i="17" s="1"/>
  <c r="T656" i="17" a="1"/>
  <c r="T656" i="17" s="1"/>
  <c r="T706" i="17" a="1"/>
  <c r="T706" i="17" s="1"/>
  <c r="T756" i="17" a="1"/>
  <c r="T756" i="17" s="1"/>
  <c r="T806" i="17" a="1"/>
  <c r="T806" i="17" s="1"/>
  <c r="T856" i="17" a="1"/>
  <c r="T856" i="17" s="1"/>
  <c r="T906" i="17" a="1"/>
  <c r="T906" i="17"/>
  <c r="T956" i="17" a="1"/>
  <c r="T95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317" i="17" a="1"/>
  <c r="T317" i="17" s="1"/>
  <c r="T318" i="17" a="1"/>
  <c r="T318" i="17" s="1"/>
  <c r="T319" i="17" a="1"/>
  <c r="T319" i="17" s="1"/>
  <c r="T457" i="17" a="1"/>
  <c r="T457" i="17" s="1"/>
  <c r="T517" i="17" a="1"/>
  <c r="T517" i="17"/>
  <c r="T518" i="17" a="1"/>
  <c r="T518" i="17" s="1"/>
  <c r="T519" i="17" a="1"/>
  <c r="T519" i="17" s="1"/>
  <c r="T657" i="17" a="1"/>
  <c r="T657" i="17" s="1"/>
  <c r="T707" i="17" a="1"/>
  <c r="T707" i="17" s="1"/>
  <c r="T757" i="17" a="1"/>
  <c r="T757" i="17" s="1"/>
  <c r="T807" i="17" a="1"/>
  <c r="T807" i="17" s="1"/>
  <c r="T857" i="17" a="1"/>
  <c r="T857" i="17" s="1"/>
  <c r="T907" i="17" a="1"/>
  <c r="T907" i="17"/>
  <c r="T957" i="17" a="1"/>
  <c r="T95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320" i="17" a="1"/>
  <c r="T320" i="17" s="1"/>
  <c r="T321" i="17" a="1"/>
  <c r="T321" i="17" s="1"/>
  <c r="T322" i="17" a="1"/>
  <c r="T322" i="17" s="1"/>
  <c r="T458" i="17" a="1"/>
  <c r="T458" i="17" s="1"/>
  <c r="T520" i="17" a="1"/>
  <c r="T520" i="17"/>
  <c r="T521" i="17" a="1"/>
  <c r="T521" i="17" s="1"/>
  <c r="T522" i="17" a="1"/>
  <c r="T522" i="17" s="1"/>
  <c r="T658" i="17" a="1"/>
  <c r="T658" i="17" s="1"/>
  <c r="T708" i="17" a="1"/>
  <c r="T708" i="17" s="1"/>
  <c r="T758" i="17" a="1"/>
  <c r="T758" i="17" s="1"/>
  <c r="T808" i="17" a="1"/>
  <c r="T808" i="17" s="1"/>
  <c r="T858" i="17" a="1"/>
  <c r="T858" i="17" s="1"/>
  <c r="T908" i="17" a="1"/>
  <c r="T908" i="17" s="1"/>
  <c r="T958" i="17" a="1"/>
  <c r="T958" i="17" s="1"/>
  <c r="T44" i="17" a="1"/>
  <c r="T44" i="17" s="1"/>
  <c r="T45" i="17" a="1"/>
  <c r="T45" i="17" s="1"/>
  <c r="T46" i="17" a="1"/>
  <c r="T46" i="17"/>
  <c r="T47" i="17" a="1"/>
  <c r="T47" i="17" s="1"/>
  <c r="T48" i="17" a="1"/>
  <c r="T48" i="17" s="1"/>
  <c r="T49" i="17" a="1"/>
  <c r="T49" i="17" s="1"/>
  <c r="T323" i="17" a="1"/>
  <c r="T323" i="17" s="1"/>
  <c r="T324" i="17" a="1"/>
  <c r="T324" i="17" s="1"/>
  <c r="T325" i="17" a="1"/>
  <c r="T325" i="17" s="1"/>
  <c r="T459" i="17" a="1"/>
  <c r="T459" i="17" s="1"/>
  <c r="T523" i="17" a="1"/>
  <c r="T523" i="17"/>
  <c r="T524" i="17" a="1"/>
  <c r="T524" i="17" s="1"/>
  <c r="T525" i="17" a="1"/>
  <c r="T525" i="17" s="1"/>
  <c r="T659" i="17" a="1"/>
  <c r="T659" i="17" s="1"/>
  <c r="T709" i="17" a="1"/>
  <c r="T709" i="17" s="1"/>
  <c r="T759" i="17" a="1"/>
  <c r="T759" i="17" s="1"/>
  <c r="T809" i="17" a="1"/>
  <c r="T809" i="17" s="1"/>
  <c r="T859" i="17" a="1"/>
  <c r="T859" i="17" s="1"/>
  <c r="T909" i="17" a="1"/>
  <c r="T909" i="17" s="1"/>
  <c r="T959" i="17" a="1"/>
  <c r="T959" i="17" s="1"/>
  <c r="T50" i="17" a="1"/>
  <c r="T50" i="17" s="1"/>
  <c r="T51" i="17" a="1"/>
  <c r="T51" i="17" s="1"/>
  <c r="T52" i="17" a="1"/>
  <c r="T52" i="17"/>
  <c r="T53" i="17" a="1"/>
  <c r="T53" i="17" s="1"/>
  <c r="T54" i="17" a="1"/>
  <c r="T54" i="17" s="1"/>
  <c r="T55" i="17" a="1"/>
  <c r="T55" i="17" s="1"/>
  <c r="T326" i="17" a="1"/>
  <c r="T326" i="17" s="1"/>
  <c r="T327" i="17" a="1"/>
  <c r="T327" i="17" s="1"/>
  <c r="T328" i="17" a="1"/>
  <c r="T328" i="17" s="1"/>
  <c r="T460" i="17" a="1"/>
  <c r="T460" i="17" s="1"/>
  <c r="T526" i="17" a="1"/>
  <c r="T526" i="17" s="1"/>
  <c r="T527" i="17" a="1"/>
  <c r="T527" i="17" s="1"/>
  <c r="T528" i="17" a="1"/>
  <c r="T528" i="17" s="1"/>
  <c r="T660" i="17" a="1"/>
  <c r="T660" i="17" s="1"/>
  <c r="T710" i="17" a="1"/>
  <c r="T710" i="17"/>
  <c r="T760" i="17" a="1"/>
  <c r="T760" i="17" s="1"/>
  <c r="T810" i="17" a="1"/>
  <c r="T810" i="17" s="1"/>
  <c r="T860" i="17" a="1"/>
  <c r="T860" i="17" s="1"/>
  <c r="T910" i="17" a="1"/>
  <c r="T910" i="17" s="1"/>
  <c r="T960" i="17" a="1"/>
  <c r="T960" i="17" s="1"/>
  <c r="T56" i="17" a="1"/>
  <c r="T56" i="17" s="1"/>
  <c r="T57" i="17" a="1"/>
  <c r="T57" i="17" s="1"/>
  <c r="T58" i="17" a="1"/>
  <c r="T58" i="17"/>
  <c r="T59" i="17" a="1"/>
  <c r="T59" i="17" s="1"/>
  <c r="T60" i="17" a="1"/>
  <c r="T60" i="17" s="1"/>
  <c r="T61" i="17" a="1"/>
  <c r="T61" i="17" s="1"/>
  <c r="T329" i="17" a="1"/>
  <c r="T329" i="17" s="1"/>
  <c r="T330" i="17" a="1"/>
  <c r="T330" i="17" s="1"/>
  <c r="T331" i="17" a="1"/>
  <c r="T331" i="17" s="1"/>
  <c r="T461" i="17" a="1"/>
  <c r="T461" i="17" s="1"/>
  <c r="T529" i="17" a="1"/>
  <c r="T529" i="17"/>
  <c r="T530" i="17" a="1"/>
  <c r="T530" i="17" s="1"/>
  <c r="T531" i="17" a="1"/>
  <c r="T531" i="17" s="1"/>
  <c r="T661" i="17" a="1"/>
  <c r="T661" i="17" s="1"/>
  <c r="T711" i="17" a="1"/>
  <c r="T711" i="17" s="1"/>
  <c r="T761" i="17" a="1"/>
  <c r="T761" i="17" s="1"/>
  <c r="T811" i="17" a="1"/>
  <c r="T811" i="17" s="1"/>
  <c r="T861" i="17" a="1"/>
  <c r="T861" i="17" s="1"/>
  <c r="T911" i="17" a="1"/>
  <c r="T911" i="17" s="1"/>
  <c r="T961" i="17" a="1"/>
  <c r="T96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332" i="17" a="1"/>
  <c r="T332" i="17" s="1"/>
  <c r="T333" i="17" a="1"/>
  <c r="T333" i="17" s="1"/>
  <c r="T334" i="17" a="1"/>
  <c r="T334" i="17"/>
  <c r="T462" i="17" a="1"/>
  <c r="T462" i="17" s="1"/>
  <c r="T532" i="17" a="1"/>
  <c r="T532" i="17" s="1"/>
  <c r="T533" i="17" a="1"/>
  <c r="T533" i="17" s="1"/>
  <c r="T534" i="17" a="1"/>
  <c r="T534" i="17" s="1"/>
  <c r="T662" i="17" a="1"/>
  <c r="T662" i="17" s="1"/>
  <c r="T712" i="17" a="1"/>
  <c r="T712" i="17" s="1"/>
  <c r="T762" i="17" a="1"/>
  <c r="T762" i="17" s="1"/>
  <c r="T812" i="17" a="1"/>
  <c r="T812" i="17" s="1"/>
  <c r="T862" i="17" a="1"/>
  <c r="T862" i="17" s="1"/>
  <c r="T912" i="17" a="1"/>
  <c r="T912" i="17" s="1"/>
  <c r="T962" i="17" a="1"/>
  <c r="T962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/>
  <c r="T73" i="17" a="1"/>
  <c r="T73" i="17" s="1"/>
  <c r="T335" i="17" a="1"/>
  <c r="T335" i="17" s="1"/>
  <c r="T336" i="17" a="1"/>
  <c r="T336" i="17" s="1"/>
  <c r="T337" i="17" a="1"/>
  <c r="T337" i="17" s="1"/>
  <c r="T463" i="17" a="1"/>
  <c r="T463" i="17" s="1"/>
  <c r="T535" i="17" a="1"/>
  <c r="T535" i="17" s="1"/>
  <c r="T536" i="17" a="1"/>
  <c r="T536" i="17" s="1"/>
  <c r="T537" i="17" a="1"/>
  <c r="T537" i="17" s="1"/>
  <c r="T663" i="17" a="1"/>
  <c r="T663" i="17" s="1"/>
  <c r="T713" i="17" a="1"/>
  <c r="T713" i="17" s="1"/>
  <c r="T763" i="17" a="1"/>
  <c r="T763" i="17" s="1"/>
  <c r="T813" i="17" a="1"/>
  <c r="T813" i="17" s="1"/>
  <c r="T863" i="17" a="1"/>
  <c r="T863" i="17" s="1"/>
  <c r="T913" i="17" a="1"/>
  <c r="T913" i="17" s="1"/>
  <c r="T963" i="17" a="1"/>
  <c r="T963" i="17" s="1"/>
  <c r="T74" i="17" a="1"/>
  <c r="T74" i="17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338" i="17" a="1"/>
  <c r="T338" i="17" s="1"/>
  <c r="T339" i="17" a="1"/>
  <c r="T339" i="17" s="1"/>
  <c r="T340" i="17" a="1"/>
  <c r="T340" i="17" s="1"/>
  <c r="T464" i="17" a="1"/>
  <c r="T464" i="17" s="1"/>
  <c r="T538" i="17" a="1"/>
  <c r="T538" i="17" s="1"/>
  <c r="T539" i="17" a="1"/>
  <c r="T539" i="17" s="1"/>
  <c r="T540" i="17" a="1"/>
  <c r="T540" i="17" s="1"/>
  <c r="T664" i="17" a="1"/>
  <c r="T664" i="17" s="1"/>
  <c r="T714" i="17" a="1"/>
  <c r="T714" i="17"/>
  <c r="T764" i="17" a="1"/>
  <c r="T764" i="17" s="1"/>
  <c r="T814" i="17" a="1"/>
  <c r="T814" i="17" s="1"/>
  <c r="T864" i="17" a="1"/>
  <c r="T864" i="17" s="1"/>
  <c r="T914" i="17" a="1"/>
  <c r="T914" i="17" s="1"/>
  <c r="T964" i="17" a="1"/>
  <c r="T96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341" i="17" a="1"/>
  <c r="T341" i="17" s="1"/>
  <c r="T342" i="17" a="1"/>
  <c r="T342" i="17" s="1"/>
  <c r="T343" i="17" a="1"/>
  <c r="T343" i="17" s="1"/>
  <c r="T465" i="17" a="1"/>
  <c r="T465" i="17" s="1"/>
  <c r="T541" i="17" a="1"/>
  <c r="T541" i="17"/>
  <c r="T542" i="17" a="1"/>
  <c r="T542" i="17" s="1"/>
  <c r="T543" i="17" a="1"/>
  <c r="T543" i="17" s="1"/>
  <c r="T665" i="17" a="1"/>
  <c r="T665" i="17" s="1"/>
  <c r="T715" i="17" a="1"/>
  <c r="T715" i="17" s="1"/>
  <c r="T765" i="17" a="1"/>
  <c r="T765" i="17" s="1"/>
  <c r="T815" i="17" a="1"/>
  <c r="T815" i="17" s="1"/>
  <c r="T865" i="17" a="1"/>
  <c r="T865" i="17" s="1"/>
  <c r="T915" i="17" a="1"/>
  <c r="T915" i="17" s="1"/>
  <c r="T965" i="17" a="1"/>
  <c r="T96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344" i="17" a="1"/>
  <c r="T344" i="17"/>
  <c r="T345" i="17" a="1"/>
  <c r="T345" i="17" s="1"/>
  <c r="T346" i="17" a="1"/>
  <c r="T346" i="17" s="1"/>
  <c r="T466" i="17" a="1"/>
  <c r="T466" i="17" s="1"/>
  <c r="T544" i="17" a="1"/>
  <c r="T544" i="17" s="1"/>
  <c r="T545" i="17" a="1"/>
  <c r="T545" i="17" s="1"/>
  <c r="T546" i="17" a="1"/>
  <c r="T546" i="17" s="1"/>
  <c r="T666" i="17" a="1"/>
  <c r="T666" i="17" s="1"/>
  <c r="T716" i="17" a="1"/>
  <c r="T716" i="17" s="1"/>
  <c r="T766" i="17" a="1"/>
  <c r="T766" i="17" s="1"/>
  <c r="T816" i="17" a="1"/>
  <c r="T816" i="17" s="1"/>
  <c r="T866" i="17" a="1"/>
  <c r="T866" i="17" s="1"/>
  <c r="T916" i="17" a="1"/>
  <c r="T916" i="17" s="1"/>
  <c r="T966" i="17" a="1"/>
  <c r="T966" i="17" s="1"/>
  <c r="T92" i="17" a="1"/>
  <c r="T92" i="17" s="1"/>
  <c r="T93" i="17" a="1"/>
  <c r="T93" i="17" s="1"/>
  <c r="T94" i="17" a="1"/>
  <c r="T94" i="17"/>
  <c r="T95" i="17" a="1"/>
  <c r="T95" i="17" s="1"/>
  <c r="T96" i="17" a="1"/>
  <c r="T96" i="17" s="1"/>
  <c r="T97" i="17" a="1"/>
  <c r="T97" i="17" s="1"/>
  <c r="T347" i="17" a="1"/>
  <c r="T347" i="17" s="1"/>
  <c r="T348" i="17" a="1"/>
  <c r="T348" i="17" s="1"/>
  <c r="T349" i="17" a="1"/>
  <c r="T349" i="17" s="1"/>
  <c r="T467" i="17" a="1"/>
  <c r="T467" i="17" s="1"/>
  <c r="T547" i="17" a="1"/>
  <c r="T547" i="17" s="1"/>
  <c r="T548" i="17" a="1"/>
  <c r="T548" i="17" s="1"/>
  <c r="T549" i="17" a="1"/>
  <c r="T549" i="17" s="1"/>
  <c r="T667" i="17" a="1"/>
  <c r="T667" i="17" s="1"/>
  <c r="T717" i="17" a="1"/>
  <c r="T717" i="17" s="1"/>
  <c r="T767" i="17" a="1"/>
  <c r="T767" i="17" s="1"/>
  <c r="T817" i="17" a="1"/>
  <c r="T817" i="17" s="1"/>
  <c r="T867" i="17" a="1"/>
  <c r="T867" i="17" s="1"/>
  <c r="T917" i="17" a="1"/>
  <c r="T917" i="17"/>
  <c r="T967" i="17" a="1"/>
  <c r="T96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350" i="17" a="1"/>
  <c r="T350" i="17" s="1"/>
  <c r="T351" i="17" a="1"/>
  <c r="T351" i="17" s="1"/>
  <c r="T352" i="17" a="1"/>
  <c r="T352" i="17" s="1"/>
  <c r="T468" i="17" a="1"/>
  <c r="T468" i="17" s="1"/>
  <c r="T550" i="17" a="1"/>
  <c r="T550" i="17" s="1"/>
  <c r="T551" i="17" a="1"/>
  <c r="T551" i="17" s="1"/>
  <c r="T552" i="17" a="1"/>
  <c r="T552" i="17" s="1"/>
  <c r="T668" i="17" a="1"/>
  <c r="T668" i="17" s="1"/>
  <c r="T718" i="17" a="1"/>
  <c r="T718" i="17"/>
  <c r="T768" i="17" a="1"/>
  <c r="T768" i="17" s="1"/>
  <c r="T818" i="17" a="1"/>
  <c r="T818" i="17" s="1"/>
  <c r="T868" i="17" a="1"/>
  <c r="T868" i="17" s="1"/>
  <c r="T918" i="17" a="1"/>
  <c r="T918" i="17" s="1"/>
  <c r="T968" i="17" a="1"/>
  <c r="T96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353" i="17" a="1"/>
  <c r="T353" i="17" s="1"/>
  <c r="T354" i="17" a="1"/>
  <c r="T354" i="17" s="1"/>
  <c r="T355" i="17" a="1"/>
  <c r="T355" i="17" s="1"/>
  <c r="T469" i="17" a="1"/>
  <c r="T469" i="17" s="1"/>
  <c r="T553" i="17" a="1"/>
  <c r="T553" i="17"/>
  <c r="T554" i="17" a="1"/>
  <c r="T554" i="17" s="1"/>
  <c r="T555" i="17" a="1"/>
  <c r="T555" i="17" s="1"/>
  <c r="T669" i="17" a="1"/>
  <c r="T669" i="17" s="1"/>
  <c r="T719" i="17" a="1"/>
  <c r="T719" i="17" s="1"/>
  <c r="T769" i="17" a="1"/>
  <c r="T769" i="17" s="1"/>
  <c r="T819" i="17" a="1"/>
  <c r="T819" i="17" s="1"/>
  <c r="T869" i="17" a="1"/>
  <c r="T869" i="17" s="1"/>
  <c r="T919" i="17" a="1"/>
  <c r="T919" i="17" s="1"/>
  <c r="T969" i="17" a="1"/>
  <c r="T969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356" i="17" a="1"/>
  <c r="T356" i="17"/>
  <c r="T357" i="17" a="1"/>
  <c r="T357" i="17" s="1"/>
  <c r="T358" i="17" a="1"/>
  <c r="T358" i="17" s="1"/>
  <c r="T470" i="17" a="1"/>
  <c r="T470" i="17" s="1"/>
  <c r="T556" i="17" a="1"/>
  <c r="T556" i="17" s="1"/>
  <c r="T557" i="17" a="1"/>
  <c r="T557" i="17" s="1"/>
  <c r="T558" i="17" a="1"/>
  <c r="T558" i="17" s="1"/>
  <c r="T670" i="17" a="1"/>
  <c r="T670" i="17" s="1"/>
  <c r="T720" i="17" a="1"/>
  <c r="T720" i="17" s="1"/>
  <c r="T770" i="17" a="1"/>
  <c r="T770" i="17" s="1"/>
  <c r="T820" i="17" a="1"/>
  <c r="T820" i="17" s="1"/>
  <c r="T870" i="17" a="1"/>
  <c r="T870" i="17" s="1"/>
  <c r="T920" i="17" a="1"/>
  <c r="T920" i="17" s="1"/>
  <c r="T970" i="17" a="1"/>
  <c r="T970" i="17" s="1"/>
  <c r="T116" i="17" a="1"/>
  <c r="T116" i="17" s="1"/>
  <c r="T117" i="17" a="1"/>
  <c r="T117" i="17" s="1"/>
  <c r="T118" i="17" a="1"/>
  <c r="T118" i="17"/>
  <c r="T119" i="17" a="1"/>
  <c r="T119" i="17" s="1"/>
  <c r="T120" i="17" a="1"/>
  <c r="T120" i="17" s="1"/>
  <c r="T121" i="17" a="1"/>
  <c r="T121" i="17" s="1"/>
  <c r="T359" i="17" a="1"/>
  <c r="T359" i="17" s="1"/>
  <c r="T360" i="17" a="1"/>
  <c r="T360" i="17" s="1"/>
  <c r="T361" i="17" a="1"/>
  <c r="T361" i="17" s="1"/>
  <c r="T471" i="17" a="1"/>
  <c r="T471" i="17" s="1"/>
  <c r="T559" i="17" a="1"/>
  <c r="T559" i="17" s="1"/>
  <c r="T560" i="17" a="1"/>
  <c r="T560" i="17" s="1"/>
  <c r="T561" i="17" a="1"/>
  <c r="T561" i="17" s="1"/>
  <c r="T671" i="17" a="1"/>
  <c r="T671" i="17" s="1"/>
  <c r="T721" i="17" a="1"/>
  <c r="T721" i="17" s="1"/>
  <c r="T771" i="17" a="1"/>
  <c r="T771" i="17" s="1"/>
  <c r="T821" i="17" a="1"/>
  <c r="T821" i="17" s="1"/>
  <c r="T871" i="17" a="1"/>
  <c r="T871" i="17" s="1"/>
  <c r="T921" i="17" a="1"/>
  <c r="T921" i="17"/>
  <c r="T971" i="17" a="1"/>
  <c r="T97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362" i="17" a="1"/>
  <c r="T362" i="17" s="1"/>
  <c r="T363" i="17" a="1"/>
  <c r="T363" i="17" s="1"/>
  <c r="T364" i="17" a="1"/>
  <c r="T364" i="17" s="1"/>
  <c r="T472" i="17" a="1"/>
  <c r="T472" i="17" s="1"/>
  <c r="T562" i="17" a="1"/>
  <c r="T562" i="17" s="1"/>
  <c r="T563" i="17" a="1"/>
  <c r="T563" i="17" s="1"/>
  <c r="T564" i="17" a="1"/>
  <c r="T564" i="17" s="1"/>
  <c r="T672" i="17" a="1"/>
  <c r="T672" i="17" s="1"/>
  <c r="T722" i="17" a="1"/>
  <c r="T722" i="17"/>
  <c r="T772" i="17" a="1"/>
  <c r="T772" i="17" s="1"/>
  <c r="T822" i="17" a="1"/>
  <c r="T822" i="17" s="1"/>
  <c r="T872" i="17" a="1"/>
  <c r="T872" i="17" s="1"/>
  <c r="T922" i="17" a="1"/>
  <c r="T922" i="17" s="1"/>
  <c r="T972" i="17" a="1"/>
  <c r="T97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365" i="17" a="1"/>
  <c r="T365" i="17" s="1"/>
  <c r="T366" i="17" a="1"/>
  <c r="T366" i="17" s="1"/>
  <c r="T367" i="17" a="1"/>
  <c r="T367" i="17" s="1"/>
  <c r="T473" i="17" a="1"/>
  <c r="T473" i="17" s="1"/>
  <c r="T565" i="17" a="1"/>
  <c r="T565" i="17"/>
  <c r="T566" i="17" a="1"/>
  <c r="T566" i="17" s="1"/>
  <c r="T567" i="17" a="1"/>
  <c r="T567" i="17" s="1"/>
  <c r="T673" i="17" a="1"/>
  <c r="T673" i="17" s="1"/>
  <c r="T723" i="17" a="1"/>
  <c r="T723" i="17" s="1"/>
  <c r="T773" i="17" a="1"/>
  <c r="T773" i="17" s="1"/>
  <c r="T823" i="17" a="1"/>
  <c r="T823" i="17" s="1"/>
  <c r="T873" i="17" a="1"/>
  <c r="T873" i="17" s="1"/>
  <c r="T923" i="17" a="1"/>
  <c r="T923" i="17" s="1"/>
  <c r="T973" i="17" a="1"/>
  <c r="T97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368" i="17" a="1"/>
  <c r="T368" i="17"/>
  <c r="T369" i="17" a="1"/>
  <c r="T369" i="17" s="1"/>
  <c r="T370" i="17" a="1"/>
  <c r="T370" i="17" s="1"/>
  <c r="T474" i="17" a="1"/>
  <c r="T474" i="17" s="1"/>
  <c r="T568" i="17" a="1"/>
  <c r="T568" i="17" s="1"/>
  <c r="T569" i="17" a="1"/>
  <c r="T569" i="17" s="1"/>
  <c r="T570" i="17" a="1"/>
  <c r="T570" i="17" s="1"/>
  <c r="T674" i="17" a="1"/>
  <c r="T674" i="17" s="1"/>
  <c r="T724" i="17" a="1"/>
  <c r="T724" i="17" s="1"/>
  <c r="T774" i="17" a="1"/>
  <c r="T774" i="17" s="1"/>
  <c r="T824" i="17" a="1"/>
  <c r="T824" i="17" s="1"/>
  <c r="T874" i="17" a="1"/>
  <c r="T874" i="17" s="1"/>
  <c r="T924" i="17" a="1"/>
  <c r="T924" i="17"/>
  <c r="T974" i="17" a="1"/>
  <c r="T974" i="17" s="1"/>
  <c r="T140" i="17" a="1"/>
  <c r="T140" i="17" s="1"/>
  <c r="T141" i="17" a="1"/>
  <c r="T141" i="17" s="1"/>
  <c r="T142" i="17" a="1"/>
  <c r="T142" i="17"/>
  <c r="T143" i="17" a="1"/>
  <c r="T143" i="17" s="1"/>
  <c r="T144" i="17" a="1"/>
  <c r="T144" i="17" s="1"/>
  <c r="T145" i="17" a="1"/>
  <c r="T145" i="17" s="1"/>
  <c r="T371" i="17" a="1"/>
  <c r="T371" i="17" s="1"/>
  <c r="T372" i="17" a="1"/>
  <c r="T372" i="17" s="1"/>
  <c r="T373" i="17" a="1"/>
  <c r="T373" i="17" s="1"/>
  <c r="T475" i="17" a="1"/>
  <c r="T475" i="17" s="1"/>
  <c r="T571" i="17" a="1"/>
  <c r="T571" i="17" s="1"/>
  <c r="T572" i="17" a="1"/>
  <c r="T572" i="17" s="1"/>
  <c r="T573" i="17" a="1"/>
  <c r="T573" i="17" s="1"/>
  <c r="T675" i="17" a="1"/>
  <c r="T675" i="17" s="1"/>
  <c r="T725" i="17" a="1"/>
  <c r="T725" i="17" s="1"/>
  <c r="T775" i="17" a="1"/>
  <c r="T775" i="17" s="1"/>
  <c r="T825" i="17" a="1"/>
  <c r="T825" i="17" s="1"/>
  <c r="T875" i="17" a="1"/>
  <c r="T875" i="17" s="1"/>
  <c r="T925" i="17" a="1"/>
  <c r="T925" i="17"/>
  <c r="T975" i="17" a="1"/>
  <c r="T97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374" i="17" a="1"/>
  <c r="T374" i="17" s="1"/>
  <c r="T375" i="17" a="1"/>
  <c r="T375" i="17" s="1"/>
  <c r="T376" i="17" a="1"/>
  <c r="T376" i="17" s="1"/>
  <c r="T476" i="17" a="1"/>
  <c r="T476" i="17" s="1"/>
  <c r="T574" i="17" a="1"/>
  <c r="T574" i="17"/>
  <c r="T575" i="17" a="1"/>
  <c r="T575" i="17" s="1"/>
  <c r="T576" i="17" a="1"/>
  <c r="T576" i="17" s="1"/>
  <c r="T676" i="17" a="1"/>
  <c r="T676" i="17" s="1"/>
  <c r="T726" i="17" a="1"/>
  <c r="T726" i="17"/>
  <c r="T776" i="17" a="1"/>
  <c r="T776" i="17" s="1"/>
  <c r="T826" i="17" a="1"/>
  <c r="T826" i="17" s="1"/>
  <c r="T876" i="17" a="1"/>
  <c r="T876" i="17" s="1"/>
  <c r="T926" i="17" a="1"/>
  <c r="T926" i="17" s="1"/>
  <c r="T976" i="17" a="1"/>
  <c r="T97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377" i="17" a="1"/>
  <c r="T377" i="17" s="1"/>
  <c r="T378" i="17" a="1"/>
  <c r="T378" i="17" s="1"/>
  <c r="T379" i="17" a="1"/>
  <c r="T379" i="17" s="1"/>
  <c r="T477" i="17" a="1"/>
  <c r="T477" i="17" s="1"/>
  <c r="T577" i="17" a="1"/>
  <c r="T577" i="17"/>
  <c r="T578" i="17" a="1"/>
  <c r="T578" i="17" s="1"/>
  <c r="T579" i="17" a="1"/>
  <c r="T579" i="17" s="1"/>
  <c r="T677" i="17" a="1"/>
  <c r="T677" i="17" s="1"/>
  <c r="T727" i="17" a="1"/>
  <c r="T727" i="17" s="1"/>
  <c r="T777" i="17" a="1"/>
  <c r="T777" i="17" s="1"/>
  <c r="T827" i="17" a="1"/>
  <c r="T827" i="17" s="1"/>
  <c r="T877" i="17" a="1"/>
  <c r="T877" i="17" s="1"/>
  <c r="T927" i="17" a="1"/>
  <c r="T927" i="17" s="1"/>
  <c r="T977" i="17" a="1"/>
  <c r="T977" i="17" s="1"/>
  <c r="T158" i="17" a="1"/>
  <c r="T158" i="17" s="1"/>
  <c r="T159" i="17" a="1"/>
  <c r="T159" i="17" s="1"/>
  <c r="T160" i="17" a="1"/>
  <c r="T160" i="17"/>
  <c r="T161" i="17" a="1"/>
  <c r="T161" i="17" s="1"/>
  <c r="T162" i="17" a="1"/>
  <c r="T162" i="17" s="1"/>
  <c r="T163" i="17" a="1"/>
  <c r="T163" i="17" s="1"/>
  <c r="T380" i="17" a="1"/>
  <c r="T380" i="17"/>
  <c r="T381" i="17" a="1"/>
  <c r="T381" i="17" s="1"/>
  <c r="T382" i="17" a="1"/>
  <c r="T382" i="17" s="1"/>
  <c r="T478" i="17" a="1"/>
  <c r="T478" i="17" s="1"/>
  <c r="T580" i="17" a="1"/>
  <c r="T580" i="17" s="1"/>
  <c r="T581" i="17" a="1"/>
  <c r="T581" i="17" s="1"/>
  <c r="T582" i="17" a="1"/>
  <c r="T582" i="17" s="1"/>
  <c r="T678" i="17" a="1"/>
  <c r="T678" i="17" s="1"/>
  <c r="T728" i="17" a="1"/>
  <c r="T728" i="17" s="1"/>
  <c r="T778" i="17" a="1"/>
  <c r="T778" i="17" s="1"/>
  <c r="T828" i="17" a="1"/>
  <c r="T828" i="17" s="1"/>
  <c r="T878" i="17" a="1"/>
  <c r="T878" i="17" s="1"/>
  <c r="T928" i="17" a="1"/>
  <c r="T928" i="17" s="1"/>
  <c r="T978" i="17" a="1"/>
  <c r="T978" i="17" s="1"/>
  <c r="T164" i="17" a="1"/>
  <c r="T164" i="17" s="1"/>
  <c r="T165" i="17" a="1"/>
  <c r="T165" i="17" s="1"/>
  <c r="T166" i="17" a="1"/>
  <c r="T166" i="17"/>
  <c r="T167" i="17" a="1"/>
  <c r="T167" i="17" s="1"/>
  <c r="T168" i="17" a="1"/>
  <c r="T168" i="17" s="1"/>
  <c r="T169" i="17" a="1"/>
  <c r="T169" i="17" s="1"/>
  <c r="T383" i="17" a="1"/>
  <c r="T383" i="17" s="1"/>
  <c r="T384" i="17" a="1"/>
  <c r="T384" i="17" s="1"/>
  <c r="T385" i="17" a="1"/>
  <c r="T385" i="17" s="1"/>
  <c r="T479" i="17" a="1"/>
  <c r="T479" i="17" s="1"/>
  <c r="T583" i="17" a="1"/>
  <c r="T583" i="17" s="1"/>
  <c r="T584" i="17" a="1"/>
  <c r="T584" i="17" s="1"/>
  <c r="T585" i="17" a="1"/>
  <c r="T585" i="17" s="1"/>
  <c r="T679" i="17" a="1"/>
  <c r="T679" i="17" s="1"/>
  <c r="T729" i="17" a="1"/>
  <c r="T729" i="17"/>
  <c r="T779" i="17" a="1"/>
  <c r="T779" i="17" s="1"/>
  <c r="T829" i="17" a="1"/>
  <c r="T829" i="17" s="1"/>
  <c r="T879" i="17" a="1"/>
  <c r="T879" i="17" s="1"/>
  <c r="T929" i="17" a="1"/>
  <c r="T929" i="17"/>
  <c r="T979" i="17" a="1"/>
  <c r="T97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386" i="17" a="1"/>
  <c r="T386" i="17" s="1"/>
  <c r="T387" i="17" a="1"/>
  <c r="T387" i="17" s="1"/>
  <c r="T388" i="17" a="1"/>
  <c r="T388" i="17" s="1"/>
  <c r="T480" i="17" a="1"/>
  <c r="T480" i="17" s="1"/>
  <c r="T586" i="17" a="1"/>
  <c r="T586" i="17" s="1"/>
  <c r="T587" i="17" a="1"/>
  <c r="T587" i="17" s="1"/>
  <c r="T588" i="17" a="1"/>
  <c r="T588" i="17" s="1"/>
  <c r="T680" i="17" a="1"/>
  <c r="T680" i="17" s="1"/>
  <c r="T730" i="17" a="1"/>
  <c r="T730" i="17"/>
  <c r="T780" i="17" a="1"/>
  <c r="T780" i="17" s="1"/>
  <c r="T830" i="17" a="1"/>
  <c r="T830" i="17" s="1"/>
  <c r="T880" i="17" a="1"/>
  <c r="T880" i="17" s="1"/>
  <c r="T930" i="17" a="1"/>
  <c r="T930" i="17" s="1"/>
  <c r="T980" i="17" a="1"/>
  <c r="T980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389" i="17" a="1"/>
  <c r="T389" i="17"/>
  <c r="T390" i="17" a="1"/>
  <c r="T390" i="17" s="1"/>
  <c r="T391" i="17" a="1"/>
  <c r="T391" i="17" s="1"/>
  <c r="T481" i="17" a="1"/>
  <c r="T481" i="17" s="1"/>
  <c r="T589" i="17" a="1"/>
  <c r="T589" i="17"/>
  <c r="T590" i="17" a="1"/>
  <c r="T590" i="17" s="1"/>
  <c r="T591" i="17" a="1"/>
  <c r="T591" i="17" s="1"/>
  <c r="T681" i="17" a="1"/>
  <c r="T681" i="17" s="1"/>
  <c r="T731" i="17" a="1"/>
  <c r="T731" i="17" s="1"/>
  <c r="T781" i="17" a="1"/>
  <c r="T781" i="17" s="1"/>
  <c r="T831" i="17" a="1"/>
  <c r="T831" i="17" s="1"/>
  <c r="T881" i="17" a="1"/>
  <c r="T881" i="17" s="1"/>
  <c r="T931" i="17" a="1"/>
  <c r="T931" i="17" s="1"/>
  <c r="T981" i="17" a="1"/>
  <c r="T981" i="17" s="1"/>
  <c r="T182" i="17" a="1"/>
  <c r="T182" i="17" s="1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392" i="17" a="1"/>
  <c r="T392" i="17"/>
  <c r="T393" i="17" a="1"/>
  <c r="T393" i="17" s="1"/>
  <c r="T394" i="17" a="1"/>
  <c r="T394" i="17" s="1"/>
  <c r="T482" i="17" a="1"/>
  <c r="T482" i="17" s="1"/>
  <c r="T592" i="17" a="1"/>
  <c r="T592" i="17" s="1"/>
  <c r="T593" i="17" a="1"/>
  <c r="T593" i="17" s="1"/>
  <c r="T594" i="17" a="1"/>
  <c r="T594" i="17" s="1"/>
  <c r="T682" i="17" a="1"/>
  <c r="T682" i="17" s="1"/>
  <c r="T732" i="17" a="1"/>
  <c r="T732" i="17" s="1"/>
  <c r="T782" i="17" a="1"/>
  <c r="T782" i="17" s="1"/>
  <c r="T832" i="17" a="1"/>
  <c r="T832" i="17" s="1"/>
  <c r="T882" i="17" a="1"/>
  <c r="T882" i="17" s="1"/>
  <c r="T932" i="17" a="1"/>
  <c r="T932" i="17" s="1"/>
  <c r="T982" i="17" a="1"/>
  <c r="T982" i="17" s="1"/>
  <c r="T188" i="17" a="1"/>
  <c r="T188" i="17" s="1"/>
  <c r="T189" i="17" a="1"/>
  <c r="T189" i="17" s="1"/>
  <c r="T190" i="17" a="1"/>
  <c r="T190" i="17"/>
  <c r="T191" i="17" a="1"/>
  <c r="T191" i="17" s="1"/>
  <c r="T192" i="17" a="1"/>
  <c r="T192" i="17" s="1"/>
  <c r="T193" i="17" a="1"/>
  <c r="T193" i="17" s="1"/>
  <c r="T395" i="17" a="1"/>
  <c r="T395" i="17" s="1"/>
  <c r="T396" i="17" a="1"/>
  <c r="T396" i="17" s="1"/>
  <c r="T397" i="17" a="1"/>
  <c r="T397" i="17" s="1"/>
  <c r="T483" i="17" a="1"/>
  <c r="T483" i="17" s="1"/>
  <c r="T595" i="17" a="1"/>
  <c r="T595" i="17" s="1"/>
  <c r="T596" i="17" a="1"/>
  <c r="T596" i="17" s="1"/>
  <c r="T597" i="17" a="1"/>
  <c r="T597" i="17" s="1"/>
  <c r="T683" i="17" a="1"/>
  <c r="T683" i="17" s="1"/>
  <c r="T733" i="17" a="1"/>
  <c r="T733" i="17" s="1"/>
  <c r="T783" i="17" a="1"/>
  <c r="T783" i="17" s="1"/>
  <c r="T833" i="17" a="1"/>
  <c r="T833" i="17" s="1"/>
  <c r="T883" i="17" a="1"/>
  <c r="T883" i="17" s="1"/>
  <c r="T933" i="17" a="1"/>
  <c r="T933" i="17"/>
  <c r="T983" i="17" a="1"/>
  <c r="T983" i="17" s="1"/>
  <c r="T194" i="17" a="1"/>
  <c r="T194" i="17" s="1"/>
  <c r="T195" i="17" a="1"/>
  <c r="T195" i="17" s="1"/>
  <c r="T196" i="17" a="1"/>
  <c r="T196" i="17" s="1"/>
  <c r="T197" i="17" a="1"/>
  <c r="T197" i="17" s="1"/>
  <c r="T198" i="17" a="1"/>
  <c r="T198" i="17" s="1"/>
  <c r="T199" i="17" a="1"/>
  <c r="T199" i="17" s="1"/>
  <c r="T398" i="17" a="1"/>
  <c r="T398" i="17" s="1"/>
  <c r="T399" i="17" a="1"/>
  <c r="T399" i="17" s="1"/>
  <c r="T400" i="17" a="1"/>
  <c r="T400" i="17" s="1"/>
  <c r="T484" i="17" a="1"/>
  <c r="T484" i="17" s="1"/>
  <c r="T598" i="17" a="1"/>
  <c r="T598" i="17"/>
  <c r="T599" i="17" a="1"/>
  <c r="T599" i="17" s="1"/>
  <c r="T600" i="17" a="1"/>
  <c r="T600" i="17" s="1"/>
  <c r="T684" i="17" a="1"/>
  <c r="T684" i="17" s="1"/>
  <c r="T734" i="17" a="1"/>
  <c r="T734" i="17"/>
  <c r="T784" i="17" a="1"/>
  <c r="T784" i="17" s="1"/>
  <c r="T834" i="17" a="1"/>
  <c r="T834" i="17" s="1"/>
  <c r="T884" i="17" a="1"/>
  <c r="T884" i="17" s="1"/>
  <c r="T934" i="17" a="1"/>
  <c r="T934" i="17" s="1"/>
  <c r="T984" i="17" a="1"/>
  <c r="T984" i="17" s="1"/>
  <c r="T200" i="17" a="1"/>
  <c r="T200" i="17" s="1"/>
  <c r="T201" i="17" a="1"/>
  <c r="T201" i="17" s="1"/>
  <c r="T202" i="17" a="1"/>
  <c r="T202" i="17" s="1"/>
  <c r="T203" i="17" a="1"/>
  <c r="T203" i="17" s="1"/>
  <c r="T204" i="17" a="1"/>
  <c r="T204" i="17" s="1"/>
  <c r="T205" i="17" a="1"/>
  <c r="T205" i="17" s="1"/>
  <c r="T401" i="17" a="1"/>
  <c r="T401" i="17" s="1"/>
  <c r="T402" i="17" a="1"/>
  <c r="T402" i="17" s="1"/>
  <c r="T403" i="17" a="1"/>
  <c r="T403" i="17" s="1"/>
  <c r="T485" i="17" a="1"/>
  <c r="T485" i="17" s="1"/>
  <c r="T601" i="17" a="1"/>
  <c r="T601" i="17"/>
  <c r="T602" i="17" a="1"/>
  <c r="T602" i="17" s="1"/>
  <c r="T603" i="17" a="1"/>
  <c r="T603" i="17" s="1"/>
  <c r="T685" i="17" a="1"/>
  <c r="T685" i="17" s="1"/>
  <c r="T735" i="17" a="1"/>
  <c r="T735" i="17" s="1"/>
  <c r="T785" i="17" a="1"/>
  <c r="T785" i="17" s="1"/>
  <c r="T835" i="17" a="1"/>
  <c r="T835" i="17" s="1"/>
  <c r="T885" i="17" a="1"/>
  <c r="T885" i="17" s="1"/>
  <c r="T935" i="17" a="1"/>
  <c r="T935" i="17"/>
  <c r="T985" i="17" a="1"/>
  <c r="T985" i="17" s="1"/>
  <c r="T206" i="17" a="1"/>
  <c r="T206" i="17" s="1"/>
  <c r="T207" i="17" a="1"/>
  <c r="T207" i="17" s="1"/>
  <c r="T208" i="17" a="1"/>
  <c r="T208" i="17"/>
  <c r="T209" i="17" a="1"/>
  <c r="T209" i="17" s="1"/>
  <c r="T210" i="17" a="1"/>
  <c r="T210" i="17" s="1"/>
  <c r="T211" i="17" a="1"/>
  <c r="T211" i="17" s="1"/>
  <c r="T404" i="17" a="1"/>
  <c r="T404" i="17" s="1"/>
  <c r="T405" i="17" a="1"/>
  <c r="T405" i="17" s="1"/>
  <c r="T406" i="17" a="1"/>
  <c r="T406" i="17" s="1"/>
  <c r="T486" i="17" a="1"/>
  <c r="T486" i="17" s="1"/>
  <c r="T604" i="17" a="1"/>
  <c r="T604" i="17" s="1"/>
  <c r="T605" i="17" a="1"/>
  <c r="T605" i="17" s="1"/>
  <c r="T606" i="17" a="1"/>
  <c r="T606" i="17" s="1"/>
  <c r="T686" i="17" a="1"/>
  <c r="T686" i="17" s="1"/>
  <c r="T736" i="17" a="1"/>
  <c r="T736" i="17"/>
  <c r="T786" i="17" a="1"/>
  <c r="T786" i="17" s="1"/>
  <c r="T836" i="17" a="1"/>
  <c r="T836" i="17" s="1"/>
  <c r="T886" i="17" a="1"/>
  <c r="T886" i="17" s="1"/>
  <c r="T936" i="17" a="1"/>
  <c r="T936" i="17"/>
  <c r="T986" i="17" a="1"/>
  <c r="T986" i="17" s="1"/>
  <c r="T212" i="17" a="1"/>
  <c r="T212" i="17" s="1"/>
  <c r="T213" i="17" a="1"/>
  <c r="T213" i="17" s="1"/>
  <c r="T214" i="17" a="1"/>
  <c r="T214" i="17"/>
  <c r="T215" i="17" a="1"/>
  <c r="T215" i="17" s="1"/>
  <c r="T216" i="17" a="1"/>
  <c r="T216" i="17" s="1"/>
  <c r="T217" i="17" a="1"/>
  <c r="T217" i="17" s="1"/>
  <c r="T407" i="17" a="1"/>
  <c r="T407" i="17" s="1"/>
  <c r="T408" i="17" a="1"/>
  <c r="T408" i="17" s="1"/>
  <c r="T409" i="17" a="1"/>
  <c r="T409" i="17" s="1"/>
  <c r="T487" i="17" a="1"/>
  <c r="T487" i="17" s="1"/>
  <c r="T607" i="17" a="1"/>
  <c r="T607" i="17" s="1"/>
  <c r="T608" i="17" a="1"/>
  <c r="T608" i="17" s="1"/>
  <c r="T609" i="17" a="1"/>
  <c r="T609" i="17" s="1"/>
  <c r="T687" i="17" a="1"/>
  <c r="T687" i="17" s="1"/>
  <c r="T737" i="17" a="1"/>
  <c r="T737" i="17"/>
  <c r="T787" i="17" a="1"/>
  <c r="T787" i="17" s="1"/>
  <c r="T837" i="17" a="1"/>
  <c r="T837" i="17" s="1"/>
  <c r="T887" i="17" a="1"/>
  <c r="T887" i="17" s="1"/>
  <c r="T937" i="17" a="1"/>
  <c r="T937" i="17"/>
  <c r="T987" i="17" a="1"/>
  <c r="T987" i="17" s="1"/>
  <c r="T218" i="17" a="1"/>
  <c r="T218" i="17" s="1"/>
  <c r="T219" i="17" a="1"/>
  <c r="T219" i="17" s="1"/>
  <c r="T220" i="17" a="1"/>
  <c r="T220" i="17" s="1"/>
  <c r="T221" i="17" a="1"/>
  <c r="T221" i="17" s="1"/>
  <c r="T222" i="17" a="1"/>
  <c r="T222" i="17" s="1"/>
  <c r="T223" i="17" a="1"/>
  <c r="T223" i="17" s="1"/>
  <c r="T410" i="17" a="1"/>
  <c r="T410" i="17"/>
  <c r="T411" i="17" a="1"/>
  <c r="T411" i="17" s="1"/>
  <c r="T412" i="17" a="1"/>
  <c r="T412" i="17" s="1"/>
  <c r="T488" i="17" a="1"/>
  <c r="T488" i="17" s="1"/>
  <c r="T610" i="17" a="1"/>
  <c r="T610" i="17" s="1"/>
  <c r="T611" i="17" a="1"/>
  <c r="T611" i="17" s="1"/>
  <c r="T612" i="17" a="1"/>
  <c r="T612" i="17" s="1"/>
  <c r="T688" i="17" a="1"/>
  <c r="T688" i="17" s="1"/>
  <c r="T738" i="17" a="1"/>
  <c r="T738" i="17"/>
  <c r="T788" i="17" a="1"/>
  <c r="T788" i="17" s="1"/>
  <c r="T838" i="17" a="1"/>
  <c r="T838" i="17" s="1"/>
  <c r="T888" i="17" a="1"/>
  <c r="T888" i="17" s="1"/>
  <c r="T938" i="17" a="1"/>
  <c r="T938" i="17" s="1"/>
  <c r="T988" i="17" a="1"/>
  <c r="T988" i="17" s="1"/>
  <c r="T224" i="17" a="1"/>
  <c r="T224" i="17" s="1"/>
  <c r="T225" i="17" a="1"/>
  <c r="T225" i="17" s="1"/>
  <c r="T226" i="17" a="1"/>
  <c r="T226" i="17"/>
  <c r="T227" i="17" a="1"/>
  <c r="T227" i="17" s="1"/>
  <c r="T228" i="17" a="1"/>
  <c r="T228" i="17" s="1"/>
  <c r="T229" i="17" a="1"/>
  <c r="T229" i="17" s="1"/>
  <c r="T413" i="17" a="1"/>
  <c r="T413" i="17"/>
  <c r="T414" i="17" a="1"/>
  <c r="T414" i="17" s="1"/>
  <c r="T415" i="17" a="1"/>
  <c r="T415" i="17" s="1"/>
  <c r="T489" i="17" a="1"/>
  <c r="T489" i="17" s="1"/>
  <c r="T613" i="17" a="1"/>
  <c r="T613" i="17" s="1"/>
  <c r="T614" i="17" a="1"/>
  <c r="T614" i="17" s="1"/>
  <c r="T615" i="17" a="1"/>
  <c r="T615" i="17" s="1"/>
  <c r="T689" i="17" a="1"/>
  <c r="T689" i="17" s="1"/>
  <c r="T739" i="17" a="1"/>
  <c r="T739" i="17" s="1"/>
  <c r="T789" i="17" a="1"/>
  <c r="T789" i="17" s="1"/>
  <c r="T839" i="17" a="1"/>
  <c r="T839" i="17" s="1"/>
  <c r="T889" i="17" a="1"/>
  <c r="T889" i="17" s="1"/>
  <c r="T939" i="17" a="1"/>
  <c r="T939" i="17"/>
  <c r="T989" i="17" a="1"/>
  <c r="T989" i="17" s="1"/>
  <c r="T230" i="17" a="1"/>
  <c r="T230" i="17" s="1"/>
  <c r="T231" i="17" a="1"/>
  <c r="T231" i="17" s="1"/>
  <c r="T232" i="17" a="1"/>
  <c r="T232" i="17"/>
  <c r="T233" i="17" a="1"/>
  <c r="T233" i="17" s="1"/>
  <c r="T234" i="17" a="1"/>
  <c r="T234" i="17" s="1"/>
  <c r="T235" i="17" a="1"/>
  <c r="T235" i="17" s="1"/>
  <c r="T416" i="17" a="1"/>
  <c r="T416" i="17"/>
  <c r="T417" i="17" a="1"/>
  <c r="T417" i="17" s="1"/>
  <c r="T418" i="17" a="1"/>
  <c r="T418" i="17" s="1"/>
  <c r="T490" i="17" a="1"/>
  <c r="T490" i="17" s="1"/>
  <c r="T616" i="17" a="1"/>
  <c r="T616" i="17" s="1"/>
  <c r="T617" i="17" a="1"/>
  <c r="T617" i="17" s="1"/>
  <c r="T618" i="17" a="1"/>
  <c r="T618" i="17" s="1"/>
  <c r="T690" i="17" a="1"/>
  <c r="T690" i="17" s="1"/>
  <c r="T740" i="17" a="1"/>
  <c r="T740" i="17" s="1"/>
  <c r="T790" i="17" a="1"/>
  <c r="T790" i="17" s="1"/>
  <c r="T840" i="17" a="1"/>
  <c r="T840" i="17" s="1"/>
  <c r="T890" i="17" a="1"/>
  <c r="T890" i="17" s="1"/>
  <c r="T940" i="17" a="1"/>
  <c r="T940" i="17"/>
  <c r="T990" i="17" a="1"/>
  <c r="T990" i="17" s="1"/>
  <c r="T236" i="17" a="1"/>
  <c r="T236" i="17" s="1"/>
  <c r="T237" i="17" a="1"/>
  <c r="T237" i="17" s="1"/>
  <c r="T238" i="17" a="1"/>
  <c r="T238" i="17"/>
  <c r="T239" i="17" a="1"/>
  <c r="T239" i="17" s="1"/>
  <c r="T240" i="17" a="1"/>
  <c r="T240" i="17" s="1"/>
  <c r="T241" i="17" a="1"/>
  <c r="T241" i="17" s="1"/>
  <c r="T419" i="17" a="1"/>
  <c r="T419" i="17" s="1"/>
  <c r="T420" i="17" a="1"/>
  <c r="T420" i="17" s="1"/>
  <c r="T421" i="17" a="1"/>
  <c r="T421" i="17" s="1"/>
  <c r="T491" i="17" a="1"/>
  <c r="T491" i="17" s="1"/>
  <c r="T619" i="17" a="1"/>
  <c r="T619" i="17"/>
  <c r="T620" i="17" a="1"/>
  <c r="T620" i="17" s="1"/>
  <c r="T621" i="17" a="1"/>
  <c r="T621" i="17" s="1"/>
  <c r="T691" i="17" a="1"/>
  <c r="T691" i="17" s="1"/>
  <c r="T741" i="17" a="1"/>
  <c r="T741" i="17" s="1"/>
  <c r="T791" i="17" a="1"/>
  <c r="T791" i="17" s="1"/>
  <c r="T841" i="17" a="1"/>
  <c r="T841" i="17" s="1"/>
  <c r="T891" i="17" a="1"/>
  <c r="T891" i="17" s="1"/>
  <c r="T941" i="17" a="1"/>
  <c r="T941" i="17"/>
  <c r="T991" i="17" a="1"/>
  <c r="T991" i="17" s="1"/>
  <c r="T242" i="17" a="1"/>
  <c r="T242" i="17" s="1"/>
  <c r="T243" i="17" a="1"/>
  <c r="T243" i="17" s="1"/>
  <c r="T244" i="17" a="1"/>
  <c r="T244" i="17" s="1"/>
  <c r="T245" i="17" a="1"/>
  <c r="T245" i="17" s="1"/>
  <c r="T246" i="17" a="1"/>
  <c r="T246" i="17" s="1"/>
  <c r="T247" i="17" a="1"/>
  <c r="T247" i="17" s="1"/>
  <c r="T422" i="17" a="1"/>
  <c r="T422" i="17"/>
  <c r="T423" i="17" a="1"/>
  <c r="T423" i="17" s="1"/>
  <c r="T424" i="17" a="1"/>
  <c r="T424" i="17" s="1"/>
  <c r="T492" i="17" a="1"/>
  <c r="T492" i="17" s="1"/>
  <c r="T622" i="17" a="1"/>
  <c r="T622" i="17"/>
  <c r="T623" i="17" a="1"/>
  <c r="T623" i="17" s="1"/>
  <c r="T624" i="17" a="1"/>
  <c r="T624" i="17" s="1"/>
  <c r="T692" i="17" a="1"/>
  <c r="T692" i="17" s="1"/>
  <c r="T742" i="17" a="1"/>
  <c r="T742" i="17" s="1"/>
  <c r="T792" i="17" a="1"/>
  <c r="T792" i="17" s="1"/>
  <c r="T842" i="17" a="1"/>
  <c r="T842" i="17" s="1"/>
  <c r="T892" i="17" a="1"/>
  <c r="T892" i="17" s="1"/>
  <c r="T942" i="17" a="1"/>
  <c r="T942" i="17" s="1"/>
  <c r="T992" i="17" a="1"/>
  <c r="T992" i="17" s="1"/>
  <c r="T248" i="17" a="1"/>
  <c r="T248" i="17" s="1"/>
  <c r="T249" i="17" a="1"/>
  <c r="T249" i="17" s="1"/>
  <c r="T250" i="17" a="1"/>
  <c r="T250" i="17"/>
  <c r="T251" i="17" a="1"/>
  <c r="T251" i="17" s="1"/>
  <c r="T252" i="17" a="1"/>
  <c r="T252" i="17" s="1"/>
  <c r="T253" i="17" a="1"/>
  <c r="T253" i="17" s="1"/>
  <c r="T425" i="17" a="1"/>
  <c r="T425" i="17"/>
  <c r="T426" i="17" a="1"/>
  <c r="T426" i="17" s="1"/>
  <c r="T427" i="17" a="1"/>
  <c r="T427" i="17" s="1"/>
  <c r="T493" i="17" a="1"/>
  <c r="T493" i="17" s="1"/>
  <c r="T625" i="17" a="1"/>
  <c r="T625" i="17"/>
  <c r="T626" i="17" a="1"/>
  <c r="T626" i="17" s="1"/>
  <c r="T627" i="17" a="1"/>
  <c r="T627" i="17" s="1"/>
  <c r="T693" i="17" a="1"/>
  <c r="T693" i="17" s="1"/>
  <c r="T743" i="17" a="1"/>
  <c r="T743" i="17" s="1"/>
  <c r="T793" i="17" a="1"/>
  <c r="T793" i="17" s="1"/>
  <c r="T843" i="17" a="1"/>
  <c r="T843" i="17" s="1"/>
  <c r="T893" i="17" a="1"/>
  <c r="T893" i="17" s="1"/>
  <c r="T943" i="17" a="1"/>
  <c r="T943" i="17" s="1"/>
  <c r="T993" i="17" a="1"/>
  <c r="T993" i="17" s="1"/>
  <c r="T254" i="17" a="1"/>
  <c r="T254" i="17" s="1"/>
  <c r="T255" i="17" a="1"/>
  <c r="T255" i="17" s="1"/>
  <c r="T256" i="17" a="1"/>
  <c r="T256" i="17"/>
  <c r="T257" i="17" a="1"/>
  <c r="T257" i="17" s="1"/>
  <c r="T258" i="17" a="1"/>
  <c r="T258" i="17" s="1"/>
  <c r="T259" i="17" a="1"/>
  <c r="T259" i="17" s="1"/>
  <c r="T428" i="17" a="1"/>
  <c r="T428" i="17"/>
  <c r="T429" i="17" a="1"/>
  <c r="T429" i="17" s="1"/>
  <c r="T430" i="17" a="1"/>
  <c r="T430" i="17" s="1"/>
  <c r="T494" i="17" a="1"/>
  <c r="T494" i="17" s="1"/>
  <c r="T628" i="17" a="1"/>
  <c r="T628" i="17" s="1"/>
  <c r="T629" i="17" a="1"/>
  <c r="T629" i="17" s="1"/>
  <c r="T630" i="17" a="1"/>
  <c r="T630" i="17" s="1"/>
  <c r="T694" i="17" a="1"/>
  <c r="T694" i="17" s="1"/>
  <c r="T744" i="17" a="1"/>
  <c r="T744" i="17"/>
  <c r="T794" i="17" a="1"/>
  <c r="T794" i="17" s="1"/>
  <c r="T844" i="17" a="1"/>
  <c r="T844" i="17" s="1"/>
  <c r="T894" i="17" a="1"/>
  <c r="T894" i="17" s="1"/>
  <c r="T944" i="17" a="1"/>
  <c r="T944" i="17" s="1"/>
  <c r="T994" i="17" a="1"/>
  <c r="T994" i="17" s="1"/>
  <c r="T260" i="17" a="1"/>
  <c r="T260" i="17" s="1"/>
  <c r="T261" i="17" a="1"/>
  <c r="T261" i="17" s="1"/>
  <c r="T262" i="17" a="1"/>
  <c r="T262" i="17"/>
  <c r="T263" i="17" a="1"/>
  <c r="T263" i="17" s="1"/>
  <c r="T264" i="17" a="1"/>
  <c r="T264" i="17" s="1"/>
  <c r="T265" i="17" a="1"/>
  <c r="T265" i="17" s="1"/>
  <c r="T431" i="17" a="1"/>
  <c r="T431" i="17" s="1"/>
  <c r="T432" i="17" a="1"/>
  <c r="T432" i="17" s="1"/>
  <c r="T433" i="17" a="1"/>
  <c r="T433" i="17" s="1"/>
  <c r="T495" i="17" a="1"/>
  <c r="T495" i="17" s="1"/>
  <c r="T631" i="17" a="1"/>
  <c r="T631" i="17"/>
  <c r="T632" i="17" a="1"/>
  <c r="T632" i="17" s="1"/>
  <c r="T633" i="17" a="1"/>
  <c r="T633" i="17" s="1"/>
  <c r="T695" i="17" a="1"/>
  <c r="T695" i="17" s="1"/>
  <c r="T745" i="17" a="1"/>
  <c r="T745" i="17"/>
  <c r="T795" i="17" a="1"/>
  <c r="T795" i="17" s="1"/>
  <c r="T845" i="17" a="1"/>
  <c r="T845" i="17" s="1"/>
  <c r="T895" i="17" a="1"/>
  <c r="T895" i="17" s="1"/>
  <c r="T945" i="17" a="1"/>
  <c r="T945" i="17" s="1"/>
  <c r="T995" i="17" a="1"/>
  <c r="T995" i="17" s="1"/>
  <c r="T266" i="17" a="1"/>
  <c r="T266" i="17" s="1"/>
  <c r="T267" i="17" a="1"/>
  <c r="T267" i="17" s="1"/>
  <c r="T268" i="17" a="1"/>
  <c r="T268" i="17" s="1"/>
  <c r="T269" i="17" a="1"/>
  <c r="T269" i="17" s="1"/>
  <c r="T270" i="17" a="1"/>
  <c r="T270" i="17" s="1"/>
  <c r="T271" i="17" a="1"/>
  <c r="T271" i="17" s="1"/>
  <c r="T434" i="17" a="1"/>
  <c r="T434" i="17"/>
  <c r="T435" i="17" a="1"/>
  <c r="T435" i="17" s="1"/>
  <c r="T436" i="17" a="1"/>
  <c r="T436" i="17" s="1"/>
  <c r="T496" i="17" a="1"/>
  <c r="T496" i="17" s="1"/>
  <c r="T634" i="17" a="1"/>
  <c r="T634" i="17"/>
  <c r="T635" i="17" a="1"/>
  <c r="T635" i="17" s="1"/>
  <c r="T636" i="17" a="1"/>
  <c r="T636" i="17" s="1"/>
  <c r="T696" i="17" a="1"/>
  <c r="T696" i="17" s="1"/>
  <c r="T746" i="17" a="1"/>
  <c r="T746" i="17"/>
  <c r="T796" i="17" a="1"/>
  <c r="T796" i="17" s="1"/>
  <c r="T846" i="17" a="1"/>
  <c r="T846" i="17" s="1"/>
  <c r="T896" i="17" a="1"/>
  <c r="T896" i="17" s="1"/>
  <c r="T946" i="17" a="1"/>
  <c r="T946" i="17" s="1"/>
  <c r="T996" i="17" a="1"/>
  <c r="T996" i="17" s="1"/>
  <c r="T272" i="17" a="1"/>
  <c r="T272" i="17" s="1"/>
  <c r="T273" i="17" a="1"/>
  <c r="T273" i="17" s="1"/>
  <c r="T274" i="17" a="1"/>
  <c r="T274" i="17" s="1"/>
  <c r="T275" i="17" a="1"/>
  <c r="T275" i="17" s="1"/>
  <c r="T276" i="17" a="1"/>
  <c r="T276" i="17" s="1"/>
  <c r="T277" i="17" a="1"/>
  <c r="T277" i="17" s="1"/>
  <c r="T437" i="17" a="1"/>
  <c r="T437" i="17"/>
  <c r="T438" i="17" a="1"/>
  <c r="T438" i="17" s="1"/>
  <c r="T439" i="17" a="1"/>
  <c r="T439" i="17" s="1"/>
  <c r="T497" i="17" a="1"/>
  <c r="T497" i="17" s="1"/>
  <c r="T637" i="17" a="1"/>
  <c r="T637" i="17"/>
  <c r="T638" i="17" a="1"/>
  <c r="T638" i="17" s="1"/>
  <c r="T639" i="17" a="1"/>
  <c r="T639" i="17" s="1"/>
  <c r="T697" i="17" a="1"/>
  <c r="T697" i="17" s="1"/>
  <c r="T747" i="17" a="1"/>
  <c r="T747" i="17" s="1"/>
  <c r="T797" i="17" a="1"/>
  <c r="T797" i="17" s="1"/>
  <c r="T847" i="17" a="1"/>
  <c r="T847" i="17" s="1"/>
  <c r="T897" i="17" a="1"/>
  <c r="T897" i="17" s="1"/>
  <c r="T947" i="17" a="1"/>
  <c r="T947" i="17"/>
  <c r="T997" i="17" a="1"/>
  <c r="T997" i="17" s="1"/>
  <c r="T278" i="17" a="1"/>
  <c r="T278" i="17" s="1"/>
  <c r="T279" i="17" a="1"/>
  <c r="T279" i="17" s="1"/>
  <c r="T280" i="17" a="1"/>
  <c r="T280" i="17" s="1"/>
  <c r="T281" i="17" a="1"/>
  <c r="T281" i="17" s="1"/>
  <c r="T282" i="17" a="1"/>
  <c r="T282" i="17" s="1"/>
  <c r="T283" i="17" a="1"/>
  <c r="T283" i="17" s="1"/>
  <c r="T440" i="17" a="1"/>
  <c r="T440" i="17"/>
  <c r="T441" i="17" a="1"/>
  <c r="T441" i="17" s="1"/>
  <c r="T442" i="17" a="1"/>
  <c r="T442" i="17" s="1"/>
  <c r="T498" i="17" a="1"/>
  <c r="T498" i="17" s="1"/>
  <c r="T640" i="17" a="1"/>
  <c r="T640" i="17" s="1"/>
  <c r="T641" i="17" a="1"/>
  <c r="T641" i="17" s="1"/>
  <c r="T642" i="17" a="1"/>
  <c r="T642" i="17" s="1"/>
  <c r="T698" i="17" a="1"/>
  <c r="T698" i="17" s="1"/>
  <c r="T748" i="17" a="1"/>
  <c r="T748" i="17"/>
  <c r="T798" i="17" a="1"/>
  <c r="T798" i="17" s="1"/>
  <c r="T848" i="17" a="1"/>
  <c r="T848" i="17" s="1"/>
  <c r="T898" i="17" a="1"/>
  <c r="T898" i="17" s="1"/>
  <c r="T948" i="17" a="1"/>
  <c r="T948" i="17"/>
  <c r="T998" i="17" a="1"/>
  <c r="T998" i="17" s="1"/>
  <c r="T284" i="17" a="1"/>
  <c r="T284" i="17" s="1"/>
  <c r="T285" i="17" a="1"/>
  <c r="T285" i="17" s="1"/>
  <c r="T286" i="17" a="1"/>
  <c r="T286" i="17" s="1"/>
  <c r="T287" i="17" a="1"/>
  <c r="T287" i="17" s="1"/>
  <c r="T288" i="17" a="1"/>
  <c r="T288" i="17" s="1"/>
  <c r="T289" i="17" a="1"/>
  <c r="T289" i="17" s="1"/>
  <c r="T443" i="17" a="1"/>
  <c r="T443" i="17" s="1"/>
  <c r="T444" i="17" a="1"/>
  <c r="T444" i="17" s="1"/>
  <c r="T445" i="17" a="1"/>
  <c r="T445" i="17" s="1"/>
  <c r="T499" i="17" a="1"/>
  <c r="T499" i="17" s="1"/>
  <c r="T643" i="17" a="1"/>
  <c r="T643" i="17" s="1"/>
  <c r="T644" i="17" a="1"/>
  <c r="T644" i="17" s="1"/>
  <c r="T645" i="17" a="1"/>
  <c r="T645" i="17" s="1"/>
  <c r="T699" i="17" a="1"/>
  <c r="T699" i="17" s="1"/>
  <c r="T749" i="17" a="1"/>
  <c r="T749" i="17"/>
  <c r="T799" i="17" a="1"/>
  <c r="T799" i="17" s="1"/>
  <c r="T849" i="17" a="1"/>
  <c r="T849" i="17" s="1"/>
  <c r="T899" i="17" a="1"/>
  <c r="T899" i="17" s="1"/>
  <c r="T949" i="17" a="1"/>
  <c r="T949" i="17"/>
  <c r="T999" i="17" a="1"/>
  <c r="T999" i="17" s="1"/>
  <c r="T290" i="17" a="1"/>
  <c r="T290" i="17" s="1"/>
  <c r="T291" i="17" a="1"/>
  <c r="T291" i="17" s="1"/>
  <c r="T292" i="17" a="1"/>
  <c r="T292" i="17" s="1"/>
  <c r="T293" i="17" a="1"/>
  <c r="T293" i="17" s="1"/>
  <c r="T294" i="17" a="1"/>
  <c r="T294" i="17" s="1"/>
  <c r="T295" i="17" a="1"/>
  <c r="T295" i="17" s="1"/>
  <c r="T446" i="17" a="1"/>
  <c r="T446" i="17" s="1"/>
  <c r="T447" i="17" a="1"/>
  <c r="T447" i="17" s="1"/>
  <c r="T448" i="17" a="1"/>
  <c r="T448" i="17" s="1"/>
  <c r="T500" i="17" a="1"/>
  <c r="T500" i="17" s="1"/>
  <c r="T646" i="17" a="1"/>
  <c r="T646" i="17" s="1"/>
  <c r="T647" i="17" a="1"/>
  <c r="T647" i="17" s="1"/>
  <c r="T648" i="17" a="1"/>
  <c r="T648" i="17" s="1"/>
  <c r="T700" i="17" a="1"/>
  <c r="T700" i="17" s="1"/>
  <c r="T750" i="17" a="1"/>
  <c r="T750" i="17" s="1"/>
  <c r="T800" i="17" a="1"/>
  <c r="T800" i="17" s="1"/>
  <c r="T850" i="17" a="1"/>
  <c r="T850" i="17" s="1"/>
  <c r="T900" i="17" a="1"/>
  <c r="T900" i="17" s="1"/>
  <c r="T950" i="17" a="1"/>
  <c r="T950" i="17" s="1"/>
  <c r="T1000" i="17" a="1"/>
  <c r="T1000" i="17" s="1"/>
  <c r="T296" i="17" a="1"/>
  <c r="T296" i="17" s="1"/>
  <c r="T297" i="17" a="1"/>
  <c r="T297" i="17" s="1"/>
  <c r="T298" i="17" a="1"/>
  <c r="T298" i="17" s="1"/>
  <c r="T299" i="17" a="1"/>
  <c r="T299" i="17" s="1"/>
  <c r="T300" i="17" a="1"/>
  <c r="T300" i="17" s="1"/>
  <c r="T301" i="17" a="1"/>
  <c r="T301" i="17" s="1"/>
  <c r="T449" i="17" a="1"/>
  <c r="T449" i="17"/>
  <c r="T450" i="17" a="1"/>
  <c r="T450" i="17" s="1"/>
  <c r="T451" i="17" a="1"/>
  <c r="T451" i="17" s="1"/>
  <c r="T501" i="17" a="1"/>
  <c r="T501" i="17" s="1"/>
  <c r="T649" i="17" a="1"/>
  <c r="T649" i="17"/>
  <c r="T650" i="17" a="1"/>
  <c r="T650" i="17" s="1"/>
  <c r="T651" i="17" a="1"/>
  <c r="T651" i="17" s="1"/>
  <c r="T701" i="17" a="1"/>
  <c r="T701" i="17" s="1"/>
  <c r="T751" i="17" a="1"/>
  <c r="T751" i="17" s="1"/>
  <c r="T801" i="17" a="1"/>
  <c r="T801" i="17" s="1"/>
  <c r="T851" i="17" a="1"/>
  <c r="T851" i="17" s="1"/>
  <c r="T901" i="17" a="1"/>
  <c r="T901" i="17" s="1"/>
  <c r="T951" i="17" a="1"/>
  <c r="T951" i="17" s="1"/>
  <c r="T1001" i="17" a="1"/>
  <c r="T100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302" i="17" a="1"/>
  <c r="U302" i="17" s="1"/>
  <c r="U303" i="17" a="1"/>
  <c r="U303" i="17" s="1"/>
  <c r="U304" i="17" a="1"/>
  <c r="U304" i="17" s="1"/>
  <c r="U452" i="17" a="1"/>
  <c r="U452" i="17" s="1"/>
  <c r="U502" i="17" a="1"/>
  <c r="U502" i="17" s="1"/>
  <c r="U503" i="17" a="1"/>
  <c r="U503" i="17" s="1"/>
  <c r="U504" i="17" a="1"/>
  <c r="U504" i="17" s="1"/>
  <c r="U652" i="17" a="1"/>
  <c r="U652" i="17" s="1"/>
  <c r="U702" i="17" a="1"/>
  <c r="U702" i="17"/>
  <c r="U752" i="17" a="1"/>
  <c r="U752" i="17" s="1"/>
  <c r="U802" i="17" a="1"/>
  <c r="U802" i="17" s="1"/>
  <c r="U852" i="17" a="1"/>
  <c r="U852" i="17" s="1"/>
  <c r="U902" i="17" a="1"/>
  <c r="U902" i="17"/>
  <c r="U952" i="17" a="1"/>
  <c r="U952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305" i="17" a="1"/>
  <c r="U305" i="17" s="1"/>
  <c r="U306" i="17" a="1"/>
  <c r="U306" i="17" s="1"/>
  <c r="U307" i="17" a="1"/>
  <c r="U307" i="17" s="1"/>
  <c r="U453" i="17" a="1"/>
  <c r="U453" i="17" s="1"/>
  <c r="U505" i="17" a="1"/>
  <c r="U505" i="17" s="1"/>
  <c r="U506" i="17" a="1"/>
  <c r="U506" i="17" s="1"/>
  <c r="U507" i="17" a="1"/>
  <c r="U507" i="17" s="1"/>
  <c r="U653" i="17" a="1"/>
  <c r="U653" i="17" s="1"/>
  <c r="U703" i="17" a="1"/>
  <c r="U703" i="17"/>
  <c r="U753" i="17" a="1"/>
  <c r="U753" i="17" s="1"/>
  <c r="U803" i="17" a="1"/>
  <c r="U803" i="17" s="1"/>
  <c r="U853" i="17" a="1"/>
  <c r="U853" i="17" s="1"/>
  <c r="U903" i="17" a="1"/>
  <c r="U903" i="17"/>
  <c r="U953" i="17" a="1"/>
  <c r="U95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308" i="17" a="1"/>
  <c r="U308" i="17" s="1"/>
  <c r="U309" i="17" a="1"/>
  <c r="U309" i="17" s="1"/>
  <c r="U310" i="17" a="1"/>
  <c r="U310" i="17" s="1"/>
  <c r="U454" i="17" a="1"/>
  <c r="U454" i="17" s="1"/>
  <c r="U508" i="17" a="1"/>
  <c r="U508" i="17" s="1"/>
  <c r="U509" i="17" a="1"/>
  <c r="U509" i="17" s="1"/>
  <c r="U510" i="17" a="1"/>
  <c r="U510" i="17" s="1"/>
  <c r="U654" i="17" a="1"/>
  <c r="U654" i="17" s="1"/>
  <c r="U704" i="17" a="1"/>
  <c r="U704" i="17"/>
  <c r="U754" i="17" a="1"/>
  <c r="U754" i="17" s="1"/>
  <c r="U804" i="17" a="1"/>
  <c r="U804" i="17" s="1"/>
  <c r="U854" i="17" a="1"/>
  <c r="U854" i="17" s="1"/>
  <c r="U904" i="17" a="1"/>
  <c r="U904" i="17" s="1"/>
  <c r="U954" i="17" a="1"/>
  <c r="U954" i="17" s="1"/>
  <c r="U20" i="17" a="1"/>
  <c r="U20" i="17" s="1"/>
  <c r="U21" i="17" a="1"/>
  <c r="U21" i="17" s="1"/>
  <c r="U22" i="17" a="1"/>
  <c r="U22" i="17"/>
  <c r="U23" i="17" a="1"/>
  <c r="U23" i="17" s="1"/>
  <c r="U24" i="17" a="1"/>
  <c r="U24" i="17" s="1"/>
  <c r="U25" i="17" a="1"/>
  <c r="U25" i="17" s="1"/>
  <c r="U311" i="17" a="1"/>
  <c r="U311" i="17" s="1"/>
  <c r="U312" i="17" a="1"/>
  <c r="U312" i="17" s="1"/>
  <c r="U313" i="17" a="1"/>
  <c r="U313" i="17" s="1"/>
  <c r="U455" i="17" a="1"/>
  <c r="U455" i="17" s="1"/>
  <c r="U511" i="17" a="1"/>
  <c r="U511" i="17" s="1"/>
  <c r="U512" i="17" a="1"/>
  <c r="U512" i="17" s="1"/>
  <c r="U513" i="17" a="1"/>
  <c r="U513" i="17" s="1"/>
  <c r="U655" i="17" a="1"/>
  <c r="U655" i="17" s="1"/>
  <c r="U705" i="17" a="1"/>
  <c r="U705" i="17" s="1"/>
  <c r="U755" i="17" a="1"/>
  <c r="U755" i="17" s="1"/>
  <c r="U805" i="17" a="1"/>
  <c r="U805" i="17" s="1"/>
  <c r="U855" i="17" a="1"/>
  <c r="U855" i="17" s="1"/>
  <c r="U905" i="17" a="1"/>
  <c r="U905" i="17"/>
  <c r="U955" i="17" a="1"/>
  <c r="U955" i="17" s="1"/>
  <c r="U26" i="17" a="1"/>
  <c r="U26" i="17" s="1"/>
  <c r="U27" i="17" a="1"/>
  <c r="U27" i="17" s="1"/>
  <c r="U28" i="17" a="1"/>
  <c r="U28" i="17"/>
  <c r="U29" i="17" a="1"/>
  <c r="U29" i="17" s="1"/>
  <c r="U30" i="17" a="1"/>
  <c r="U30" i="17" s="1"/>
  <c r="U31" i="17" a="1"/>
  <c r="U31" i="17" s="1"/>
  <c r="U314" i="17" a="1"/>
  <c r="U314" i="17"/>
  <c r="U315" i="17" a="1"/>
  <c r="U315" i="17" s="1"/>
  <c r="U316" i="17" a="1"/>
  <c r="U316" i="17" s="1"/>
  <c r="U456" i="17" a="1"/>
  <c r="U456" i="17" s="1"/>
  <c r="U514" i="17" a="1"/>
  <c r="U514" i="17" s="1"/>
  <c r="U515" i="17" a="1"/>
  <c r="U515" i="17" s="1"/>
  <c r="U516" i="17" a="1"/>
  <c r="U516" i="17" s="1"/>
  <c r="U656" i="17" a="1"/>
  <c r="U656" i="17" s="1"/>
  <c r="U706" i="17" a="1"/>
  <c r="U706" i="17" s="1"/>
  <c r="U756" i="17" a="1"/>
  <c r="U756" i="17" s="1"/>
  <c r="U806" i="17" a="1"/>
  <c r="U806" i="17" s="1"/>
  <c r="U856" i="17" a="1"/>
  <c r="U856" i="17" s="1"/>
  <c r="U906" i="17" a="1"/>
  <c r="U906" i="17"/>
  <c r="U956" i="17" a="1"/>
  <c r="U956" i="17" s="1"/>
  <c r="U32" i="17" a="1"/>
  <c r="U32" i="17" s="1"/>
  <c r="U33" i="17" a="1"/>
  <c r="U33" i="17" s="1"/>
  <c r="U34" i="17" a="1"/>
  <c r="U34" i="17"/>
  <c r="U35" i="17" a="1"/>
  <c r="U35" i="17" s="1"/>
  <c r="U36" i="17" a="1"/>
  <c r="U36" i="17" s="1"/>
  <c r="U37" i="17" a="1"/>
  <c r="U37" i="17" s="1"/>
  <c r="U317" i="17" a="1"/>
  <c r="U317" i="17" s="1"/>
  <c r="U318" i="17" a="1"/>
  <c r="U318" i="17" s="1"/>
  <c r="U319" i="17" a="1"/>
  <c r="U319" i="17" s="1"/>
  <c r="U457" i="17" a="1"/>
  <c r="U457" i="17" s="1"/>
  <c r="U517" i="17" a="1"/>
  <c r="U517" i="17"/>
  <c r="U518" i="17" a="1"/>
  <c r="U518" i="17" s="1"/>
  <c r="U519" i="17" a="1"/>
  <c r="U519" i="17" s="1"/>
  <c r="U657" i="17" a="1"/>
  <c r="U657" i="17" s="1"/>
  <c r="U707" i="17" a="1"/>
  <c r="U707" i="17" s="1"/>
  <c r="U757" i="17" a="1"/>
  <c r="U757" i="17" s="1"/>
  <c r="U807" i="17" a="1"/>
  <c r="U807" i="17" s="1"/>
  <c r="U857" i="17" a="1"/>
  <c r="U857" i="17" s="1"/>
  <c r="U907" i="17" a="1"/>
  <c r="U907" i="17"/>
  <c r="U957" i="17" a="1"/>
  <c r="U95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320" i="17" a="1"/>
  <c r="U320" i="17" s="1"/>
  <c r="U321" i="17" a="1"/>
  <c r="U321" i="17" s="1"/>
  <c r="U322" i="17" a="1"/>
  <c r="U322" i="17" s="1"/>
  <c r="U458" i="17" a="1"/>
  <c r="U458" i="17" s="1"/>
  <c r="U520" i="17" a="1"/>
  <c r="U520" i="17"/>
  <c r="U521" i="17" a="1"/>
  <c r="U521" i="17" s="1"/>
  <c r="U522" i="17" a="1"/>
  <c r="U522" i="17" s="1"/>
  <c r="U658" i="17" a="1"/>
  <c r="U658" i="17" s="1"/>
  <c r="U708" i="17" a="1"/>
  <c r="U708" i="17" s="1"/>
  <c r="U758" i="17" a="1"/>
  <c r="U758" i="17" s="1"/>
  <c r="U808" i="17" a="1"/>
  <c r="U808" i="17" s="1"/>
  <c r="U858" i="17" a="1"/>
  <c r="U858" i="17" s="1"/>
  <c r="U908" i="17" a="1"/>
  <c r="U908" i="17" s="1"/>
  <c r="U958" i="17" a="1"/>
  <c r="U958" i="17" s="1"/>
  <c r="U44" i="17" a="1"/>
  <c r="U44" i="17" s="1"/>
  <c r="U45" i="17" a="1"/>
  <c r="U45" i="17" s="1"/>
  <c r="U46" i="17" a="1"/>
  <c r="U46" i="17"/>
  <c r="U47" i="17" a="1"/>
  <c r="U47" i="17" s="1"/>
  <c r="U48" i="17" a="1"/>
  <c r="U48" i="17" s="1"/>
  <c r="U49" i="17" a="1"/>
  <c r="U49" i="17" s="1"/>
  <c r="U323" i="17" a="1"/>
  <c r="U323" i="17" s="1"/>
  <c r="U324" i="17" a="1"/>
  <c r="U324" i="17" s="1"/>
  <c r="U325" i="17" a="1"/>
  <c r="U325" i="17" s="1"/>
  <c r="U459" i="17" a="1"/>
  <c r="U459" i="17" s="1"/>
  <c r="U523" i="17" a="1"/>
  <c r="U523" i="17"/>
  <c r="U524" i="17" a="1"/>
  <c r="U524" i="17" s="1"/>
  <c r="U525" i="17" a="1"/>
  <c r="U525" i="17" s="1"/>
  <c r="U659" i="17" a="1"/>
  <c r="U659" i="17" s="1"/>
  <c r="U709" i="17" a="1"/>
  <c r="U709" i="17" s="1"/>
  <c r="U759" i="17" a="1"/>
  <c r="U759" i="17" s="1"/>
  <c r="U809" i="17" a="1"/>
  <c r="U809" i="17" s="1"/>
  <c r="U859" i="17" a="1"/>
  <c r="U859" i="17" s="1"/>
  <c r="U909" i="17" a="1"/>
  <c r="U909" i="17" s="1"/>
  <c r="U959" i="17" a="1"/>
  <c r="U959" i="17" s="1"/>
  <c r="U50" i="17" a="1"/>
  <c r="U50" i="17" s="1"/>
  <c r="U51" i="17" a="1"/>
  <c r="U51" i="17" s="1"/>
  <c r="U52" i="17" a="1"/>
  <c r="U52" i="17"/>
  <c r="U53" i="17" a="1"/>
  <c r="U53" i="17" s="1"/>
  <c r="U54" i="17" a="1"/>
  <c r="U54" i="17" s="1"/>
  <c r="U55" i="17" a="1"/>
  <c r="U55" i="17" s="1"/>
  <c r="U326" i="17" a="1"/>
  <c r="U326" i="17" s="1"/>
  <c r="U327" i="17" a="1"/>
  <c r="U327" i="17" s="1"/>
  <c r="U328" i="17" a="1"/>
  <c r="U328" i="17" s="1"/>
  <c r="U460" i="17" a="1"/>
  <c r="U460" i="17" s="1"/>
  <c r="U526" i="17" a="1"/>
  <c r="U526" i="17" s="1"/>
  <c r="U527" i="17" a="1"/>
  <c r="U527" i="17" s="1"/>
  <c r="U528" i="17" a="1"/>
  <c r="U528" i="17" s="1"/>
  <c r="U660" i="17" a="1"/>
  <c r="U660" i="17" s="1"/>
  <c r="U710" i="17" a="1"/>
  <c r="U710" i="17" s="1"/>
  <c r="U760" i="17" a="1"/>
  <c r="U760" i="17" s="1"/>
  <c r="U810" i="17" a="1"/>
  <c r="U810" i="17" s="1"/>
  <c r="U860" i="17" a="1"/>
  <c r="U860" i="17" s="1"/>
  <c r="U910" i="17" a="1"/>
  <c r="U910" i="17"/>
  <c r="U960" i="17" a="1"/>
  <c r="U96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329" i="17" a="1"/>
  <c r="U329" i="17" s="1"/>
  <c r="U330" i="17" a="1"/>
  <c r="U330" i="17" s="1"/>
  <c r="U331" i="17" a="1"/>
  <c r="U331" i="17" s="1"/>
  <c r="U461" i="17" a="1"/>
  <c r="U461" i="17" s="1"/>
  <c r="U529" i="17" a="1"/>
  <c r="U529" i="17"/>
  <c r="U530" i="17" a="1"/>
  <c r="U530" i="17" s="1"/>
  <c r="U531" i="17" a="1"/>
  <c r="U531" i="17" s="1"/>
  <c r="U661" i="17" a="1"/>
  <c r="U661" i="17" s="1"/>
  <c r="U711" i="17" a="1"/>
  <c r="U711" i="17" s="1"/>
  <c r="U761" i="17" a="1"/>
  <c r="U761" i="17" s="1"/>
  <c r="U811" i="17" a="1"/>
  <c r="U811" i="17" s="1"/>
  <c r="U861" i="17" a="1"/>
  <c r="U861" i="17" s="1"/>
  <c r="U911" i="17" a="1"/>
  <c r="U911" i="17"/>
  <c r="U961" i="17" a="1"/>
  <c r="U96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332" i="17" a="1"/>
  <c r="U332" i="17" s="1"/>
  <c r="U333" i="17" a="1"/>
  <c r="U333" i="17" s="1"/>
  <c r="U334" i="17" a="1"/>
  <c r="U334" i="17" s="1"/>
  <c r="U462" i="17" a="1"/>
  <c r="U462" i="17" s="1"/>
  <c r="U532" i="17" a="1"/>
  <c r="U532" i="17" s="1"/>
  <c r="U533" i="17" a="1"/>
  <c r="U533" i="17" s="1"/>
  <c r="U534" i="17" a="1"/>
  <c r="U534" i="17" s="1"/>
  <c r="U662" i="17" a="1"/>
  <c r="U662" i="17" s="1"/>
  <c r="U712" i="17" a="1"/>
  <c r="U712" i="17"/>
  <c r="U762" i="17" a="1"/>
  <c r="U762" i="17" s="1"/>
  <c r="U812" i="17" a="1"/>
  <c r="U812" i="17" s="1"/>
  <c r="U862" i="17" a="1"/>
  <c r="U862" i="17" s="1"/>
  <c r="U912" i="17" a="1"/>
  <c r="U912" i="17" s="1"/>
  <c r="U962" i="17" a="1"/>
  <c r="U96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335" i="17" a="1"/>
  <c r="U335" i="17" s="1"/>
  <c r="U336" i="17" a="1"/>
  <c r="U336" i="17" s="1"/>
  <c r="U337" i="17" a="1"/>
  <c r="U337" i="17" s="1"/>
  <c r="U463" i="17" a="1"/>
  <c r="U463" i="17" s="1"/>
  <c r="U535" i="17" a="1"/>
  <c r="U535" i="17" s="1"/>
  <c r="U536" i="17" a="1"/>
  <c r="U536" i="17" s="1"/>
  <c r="U537" i="17" a="1"/>
  <c r="U537" i="17" s="1"/>
  <c r="U663" i="17" a="1"/>
  <c r="U663" i="17" s="1"/>
  <c r="U713" i="17" a="1"/>
  <c r="U713" i="17" s="1"/>
  <c r="U763" i="17" a="1"/>
  <c r="U763" i="17" s="1"/>
  <c r="U813" i="17" a="1"/>
  <c r="U813" i="17" s="1"/>
  <c r="U863" i="17" a="1"/>
  <c r="U863" i="17" s="1"/>
  <c r="U913" i="17" a="1"/>
  <c r="U913" i="17"/>
  <c r="U963" i="17" a="1"/>
  <c r="U963" i="17" s="1"/>
  <c r="U74" i="17" a="1"/>
  <c r="U74" i="17" s="1"/>
  <c r="U75" i="17" a="1"/>
  <c r="U75" i="17" s="1"/>
  <c r="U76" i="17" a="1"/>
  <c r="U76" i="17"/>
  <c r="U77" i="17" a="1"/>
  <c r="U77" i="17" s="1"/>
  <c r="U78" i="17" a="1"/>
  <c r="U78" i="17" s="1"/>
  <c r="U79" i="17" a="1"/>
  <c r="U79" i="17" s="1"/>
  <c r="U338" i="17" a="1"/>
  <c r="U338" i="17" s="1"/>
  <c r="U339" i="17" a="1"/>
  <c r="U339" i="17" s="1"/>
  <c r="U340" i="17" a="1"/>
  <c r="U340" i="17" s="1"/>
  <c r="U464" i="17" a="1"/>
  <c r="U464" i="17" s="1"/>
  <c r="U538" i="17" a="1"/>
  <c r="U538" i="17"/>
  <c r="U539" i="17" a="1"/>
  <c r="U539" i="17" s="1"/>
  <c r="U540" i="17" a="1"/>
  <c r="U540" i="17" s="1"/>
  <c r="U664" i="17" a="1"/>
  <c r="U664" i="17" s="1"/>
  <c r="U714" i="17" a="1"/>
  <c r="U714" i="17" s="1"/>
  <c r="U764" i="17" a="1"/>
  <c r="U764" i="17" s="1"/>
  <c r="U814" i="17" a="1"/>
  <c r="U814" i="17" s="1"/>
  <c r="U864" i="17" a="1"/>
  <c r="U864" i="17" s="1"/>
  <c r="U914" i="17" a="1"/>
  <c r="U914" i="17" s="1"/>
  <c r="U964" i="17" a="1"/>
  <c r="U964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341" i="17" a="1"/>
  <c r="U341" i="17"/>
  <c r="U342" i="17" a="1"/>
  <c r="U342" i="17" s="1"/>
  <c r="U343" i="17" a="1"/>
  <c r="U343" i="17" s="1"/>
  <c r="U465" i="17" a="1"/>
  <c r="U465" i="17" s="1"/>
  <c r="U541" i="17" a="1"/>
  <c r="U541" i="17"/>
  <c r="U542" i="17" a="1"/>
  <c r="U542" i="17" s="1"/>
  <c r="U543" i="17" a="1"/>
  <c r="U543" i="17" s="1"/>
  <c r="U665" i="17" a="1"/>
  <c r="U665" i="17" s="1"/>
  <c r="U715" i="17" a="1"/>
  <c r="U715" i="17" s="1"/>
  <c r="U765" i="17" a="1"/>
  <c r="U765" i="17" s="1"/>
  <c r="U815" i="17" a="1"/>
  <c r="U815" i="17" s="1"/>
  <c r="U865" i="17" a="1"/>
  <c r="U865" i="17" s="1"/>
  <c r="U915" i="17" a="1"/>
  <c r="U915" i="17" s="1"/>
  <c r="U965" i="17" a="1"/>
  <c r="U96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344" i="17" a="1"/>
  <c r="U344" i="17"/>
  <c r="U345" i="17" a="1"/>
  <c r="U345" i="17" s="1"/>
  <c r="U346" i="17" a="1"/>
  <c r="U346" i="17" s="1"/>
  <c r="U466" i="17" a="1"/>
  <c r="U466" i="17" s="1"/>
  <c r="U544" i="17" a="1"/>
  <c r="U544" i="17" s="1"/>
  <c r="U545" i="17" a="1"/>
  <c r="U545" i="17" s="1"/>
  <c r="U546" i="17" a="1"/>
  <c r="U546" i="17" s="1"/>
  <c r="U666" i="17" a="1"/>
  <c r="U666" i="17" s="1"/>
  <c r="U716" i="17" a="1"/>
  <c r="U716" i="17" s="1"/>
  <c r="U766" i="17" a="1"/>
  <c r="U766" i="17" s="1"/>
  <c r="U816" i="17" a="1"/>
  <c r="U816" i="17" s="1"/>
  <c r="U866" i="17" a="1"/>
  <c r="U866" i="17" s="1"/>
  <c r="U916" i="17" a="1"/>
  <c r="U916" i="17"/>
  <c r="U966" i="17" a="1"/>
  <c r="U966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347" i="17" a="1"/>
  <c r="U347" i="17" s="1"/>
  <c r="U348" i="17" a="1"/>
  <c r="U348" i="17" s="1"/>
  <c r="U349" i="17" a="1"/>
  <c r="U349" i="17" s="1"/>
  <c r="U467" i="17" a="1"/>
  <c r="U467" i="17" s="1"/>
  <c r="U547" i="17" a="1"/>
  <c r="U547" i="17" s="1"/>
  <c r="U548" i="17" a="1"/>
  <c r="U548" i="17" s="1"/>
  <c r="U549" i="17" a="1"/>
  <c r="U549" i="17" s="1"/>
  <c r="U667" i="17" a="1"/>
  <c r="U667" i="17" s="1"/>
  <c r="U717" i="17" a="1"/>
  <c r="U717" i="17"/>
  <c r="U767" i="17" a="1"/>
  <c r="U767" i="17" s="1"/>
  <c r="U817" i="17" a="1"/>
  <c r="U817" i="17" s="1"/>
  <c r="U867" i="17" a="1"/>
  <c r="U867" i="17" s="1"/>
  <c r="U917" i="17" a="1"/>
  <c r="U917" i="17" s="1"/>
  <c r="U967" i="17" a="1"/>
  <c r="U967" i="17" s="1"/>
  <c r="U98" i="17" a="1"/>
  <c r="U98" i="17" s="1"/>
  <c r="U99" i="17" a="1"/>
  <c r="U99" i="17" s="1"/>
  <c r="U100" i="17" a="1"/>
  <c r="U100" i="17"/>
  <c r="U101" i="17" a="1"/>
  <c r="U101" i="17" s="1"/>
  <c r="U102" i="17" a="1"/>
  <c r="U102" i="17" s="1"/>
  <c r="U103" i="17" a="1"/>
  <c r="U103" i="17" s="1"/>
  <c r="U350" i="17" a="1"/>
  <c r="U350" i="17" s="1"/>
  <c r="U351" i="17" a="1"/>
  <c r="U351" i="17" s="1"/>
  <c r="U352" i="17" a="1"/>
  <c r="U352" i="17" s="1"/>
  <c r="U468" i="17" a="1"/>
  <c r="U468" i="17" s="1"/>
  <c r="U550" i="17" a="1"/>
  <c r="U550" i="17" s="1"/>
  <c r="U551" i="17" a="1"/>
  <c r="U551" i="17" s="1"/>
  <c r="U552" i="17" a="1"/>
  <c r="U552" i="17" s="1"/>
  <c r="U668" i="17" a="1"/>
  <c r="U668" i="17" s="1"/>
  <c r="U718" i="17" a="1"/>
  <c r="U718" i="17"/>
  <c r="U768" i="17" a="1"/>
  <c r="U768" i="17" s="1"/>
  <c r="U818" i="17" a="1"/>
  <c r="U818" i="17" s="1"/>
  <c r="U868" i="17" a="1"/>
  <c r="U868" i="17" s="1"/>
  <c r="U918" i="17" a="1"/>
  <c r="U918" i="17" s="1"/>
  <c r="U968" i="17" a="1"/>
  <c r="U96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353" i="17" a="1"/>
  <c r="U353" i="17"/>
  <c r="U354" i="17" a="1"/>
  <c r="U354" i="17" s="1"/>
  <c r="U355" i="17" a="1"/>
  <c r="U355" i="17" s="1"/>
  <c r="U469" i="17" a="1"/>
  <c r="U469" i="17" s="1"/>
  <c r="U553" i="17" a="1"/>
  <c r="U553" i="17" s="1"/>
  <c r="U554" i="17" a="1"/>
  <c r="U554" i="17" s="1"/>
  <c r="U555" i="17" a="1"/>
  <c r="U555" i="17" s="1"/>
  <c r="U669" i="17" a="1"/>
  <c r="U669" i="17" s="1"/>
  <c r="U719" i="17" a="1"/>
  <c r="U719" i="17"/>
  <c r="U769" i="17" a="1"/>
  <c r="U769" i="17" s="1"/>
  <c r="U819" i="17" a="1"/>
  <c r="U819" i="17" s="1"/>
  <c r="U869" i="17" a="1"/>
  <c r="U869" i="17" s="1"/>
  <c r="U919" i="17" a="1"/>
  <c r="U919" i="17" s="1"/>
  <c r="U969" i="17" a="1"/>
  <c r="U969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356" i="17" a="1"/>
  <c r="U356" i="17"/>
  <c r="U357" i="17" a="1"/>
  <c r="U357" i="17" s="1"/>
  <c r="U358" i="17" a="1"/>
  <c r="U358" i="17" s="1"/>
  <c r="U470" i="17" a="1"/>
  <c r="U470" i="17" s="1"/>
  <c r="U556" i="17" a="1"/>
  <c r="U556" i="17" s="1"/>
  <c r="U557" i="17" a="1"/>
  <c r="U557" i="17" s="1"/>
  <c r="U558" i="17" a="1"/>
  <c r="U558" i="17" s="1"/>
  <c r="U670" i="17" a="1"/>
  <c r="U670" i="17" s="1"/>
  <c r="U720" i="17" a="1"/>
  <c r="U720" i="17" s="1"/>
  <c r="U770" i="17" a="1"/>
  <c r="U770" i="17" s="1"/>
  <c r="U820" i="17" a="1"/>
  <c r="U820" i="17" s="1"/>
  <c r="U870" i="17" a="1"/>
  <c r="U870" i="17" s="1"/>
  <c r="U920" i="17" a="1"/>
  <c r="U920" i="17"/>
  <c r="U970" i="17" a="1"/>
  <c r="U970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359" i="17" a="1"/>
  <c r="U359" i="17"/>
  <c r="U360" i="17" a="1"/>
  <c r="U360" i="17" s="1"/>
  <c r="U361" i="17" a="1"/>
  <c r="U361" i="17" s="1"/>
  <c r="U471" i="17" a="1"/>
  <c r="U471" i="17" s="1"/>
  <c r="U559" i="17" a="1"/>
  <c r="U559" i="17" s="1"/>
  <c r="U560" i="17" a="1"/>
  <c r="U560" i="17" s="1"/>
  <c r="U561" i="17" a="1"/>
  <c r="U561" i="17" s="1"/>
  <c r="U671" i="17" a="1"/>
  <c r="U671" i="17" s="1"/>
  <c r="U721" i="17" a="1"/>
  <c r="U721" i="17"/>
  <c r="U771" i="17" a="1"/>
  <c r="U771" i="17" s="1"/>
  <c r="U821" i="17" a="1"/>
  <c r="U821" i="17" s="1"/>
  <c r="U871" i="17" a="1"/>
  <c r="U871" i="17" s="1"/>
  <c r="U921" i="17" a="1"/>
  <c r="U921" i="17" s="1"/>
  <c r="U971" i="17" a="1"/>
  <c r="U97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362" i="17" a="1"/>
  <c r="U362" i="17" s="1"/>
  <c r="U363" i="17" a="1"/>
  <c r="U363" i="17" s="1"/>
  <c r="U364" i="17" a="1"/>
  <c r="U364" i="17" s="1"/>
  <c r="U472" i="17" a="1"/>
  <c r="U472" i="17" s="1"/>
  <c r="U562" i="17" a="1"/>
  <c r="U562" i="17"/>
  <c r="U563" i="17" a="1"/>
  <c r="U563" i="17" s="1"/>
  <c r="U564" i="17" a="1"/>
  <c r="U564" i="17" s="1"/>
  <c r="U672" i="17" a="1"/>
  <c r="U672" i="17" s="1"/>
  <c r="U722" i="17" a="1"/>
  <c r="U722" i="17"/>
  <c r="U772" i="17" a="1"/>
  <c r="U772" i="17" s="1"/>
  <c r="U822" i="17" a="1"/>
  <c r="U822" i="17" s="1"/>
  <c r="U872" i="17" a="1"/>
  <c r="U872" i="17" s="1"/>
  <c r="U922" i="17" a="1"/>
  <c r="U922" i="17" s="1"/>
  <c r="U972" i="17" a="1"/>
  <c r="U972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365" i="17" a="1"/>
  <c r="U365" i="17" s="1"/>
  <c r="U366" i="17" a="1"/>
  <c r="U366" i="17" s="1"/>
  <c r="U367" i="17" a="1"/>
  <c r="U367" i="17" s="1"/>
  <c r="U473" i="17" a="1"/>
  <c r="U473" i="17" s="1"/>
  <c r="U565" i="17" a="1"/>
  <c r="U565" i="17"/>
  <c r="U566" i="17" a="1"/>
  <c r="U566" i="17" s="1"/>
  <c r="U567" i="17" a="1"/>
  <c r="U567" i="17" s="1"/>
  <c r="U673" i="17" a="1"/>
  <c r="U673" i="17" s="1"/>
  <c r="U723" i="17" a="1"/>
  <c r="U723" i="17"/>
  <c r="U773" i="17" a="1"/>
  <c r="U773" i="17" s="1"/>
  <c r="U823" i="17" a="1"/>
  <c r="U823" i="17" s="1"/>
  <c r="U873" i="17" a="1"/>
  <c r="U873" i="17" s="1"/>
  <c r="U923" i="17" a="1"/>
  <c r="U923" i="17" s="1"/>
  <c r="U973" i="17" a="1"/>
  <c r="U97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368" i="17" a="1"/>
  <c r="U368" i="17" s="1"/>
  <c r="U369" i="17" a="1"/>
  <c r="U369" i="17" s="1"/>
  <c r="U370" i="17" a="1"/>
  <c r="U370" i="17" s="1"/>
  <c r="U474" i="17" a="1"/>
  <c r="U474" i="17" s="1"/>
  <c r="U568" i="17" a="1"/>
  <c r="U568" i="17"/>
  <c r="U569" i="17" a="1"/>
  <c r="U569" i="17" s="1"/>
  <c r="U570" i="17" a="1"/>
  <c r="U570" i="17" s="1"/>
  <c r="U674" i="17" a="1"/>
  <c r="U674" i="17" s="1"/>
  <c r="U724" i="17" a="1"/>
  <c r="U724" i="17" s="1"/>
  <c r="U774" i="17" a="1"/>
  <c r="U774" i="17" s="1"/>
  <c r="U824" i="17" a="1"/>
  <c r="U824" i="17" s="1"/>
  <c r="U874" i="17" a="1"/>
  <c r="U874" i="17" s="1"/>
  <c r="U924" i="17" a="1"/>
  <c r="U924" i="17"/>
  <c r="U974" i="17" a="1"/>
  <c r="U974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371" i="17" a="1"/>
  <c r="U371" i="17" s="1"/>
  <c r="U372" i="17" a="1"/>
  <c r="U372" i="17" s="1"/>
  <c r="U373" i="17" a="1"/>
  <c r="U373" i="17" s="1"/>
  <c r="U475" i="17" a="1"/>
  <c r="U475" i="17" s="1"/>
  <c r="U571" i="17" a="1"/>
  <c r="U571" i="17" s="1"/>
  <c r="U572" i="17" a="1"/>
  <c r="U572" i="17" s="1"/>
  <c r="U573" i="17" a="1"/>
  <c r="U573" i="17" s="1"/>
  <c r="U675" i="17" a="1"/>
  <c r="U675" i="17" s="1"/>
  <c r="U725" i="17" a="1"/>
  <c r="U725" i="17"/>
  <c r="U775" i="17" a="1"/>
  <c r="U775" i="17" s="1"/>
  <c r="U825" i="17" a="1"/>
  <c r="U825" i="17" s="1"/>
  <c r="U875" i="17" a="1"/>
  <c r="U875" i="17" s="1"/>
  <c r="U925" i="17" a="1"/>
  <c r="U925" i="17"/>
  <c r="U975" i="17" a="1"/>
  <c r="U97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374" i="17" a="1"/>
  <c r="U374" i="17" s="1"/>
  <c r="U375" i="17" a="1"/>
  <c r="U375" i="17" s="1"/>
  <c r="U376" i="17" a="1"/>
  <c r="U376" i="17" s="1"/>
  <c r="U476" i="17" a="1"/>
  <c r="U476" i="17" s="1"/>
  <c r="U574" i="17" a="1"/>
  <c r="U574" i="17" s="1"/>
  <c r="U575" i="17" a="1"/>
  <c r="U575" i="17" s="1"/>
  <c r="U576" i="17" a="1"/>
  <c r="U576" i="17" s="1"/>
  <c r="U676" i="17" a="1"/>
  <c r="U676" i="17" s="1"/>
  <c r="U726" i="17" a="1"/>
  <c r="U726" i="17"/>
  <c r="U776" i="17" a="1"/>
  <c r="U776" i="17" s="1"/>
  <c r="U826" i="17" a="1"/>
  <c r="U826" i="17" s="1"/>
  <c r="U876" i="17" a="1"/>
  <c r="U876" i="17" s="1"/>
  <c r="U926" i="17" a="1"/>
  <c r="U926" i="17" s="1"/>
  <c r="U976" i="17" a="1"/>
  <c r="U97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377" i="17" a="1"/>
  <c r="U377" i="17" s="1"/>
  <c r="U378" i="17" a="1"/>
  <c r="U378" i="17" s="1"/>
  <c r="U379" i="17" a="1"/>
  <c r="U379" i="17" s="1"/>
  <c r="U477" i="17" a="1"/>
  <c r="U477" i="17" s="1"/>
  <c r="U577" i="17" a="1"/>
  <c r="U577" i="17" s="1"/>
  <c r="U578" i="17" a="1"/>
  <c r="U578" i="17" s="1"/>
  <c r="U579" i="17" a="1"/>
  <c r="U579" i="17" s="1"/>
  <c r="U677" i="17" a="1"/>
  <c r="U677" i="17" s="1"/>
  <c r="U727" i="17" a="1"/>
  <c r="U727" i="17"/>
  <c r="U777" i="17" a="1"/>
  <c r="U777" i="17" s="1"/>
  <c r="U827" i="17" a="1"/>
  <c r="U827" i="17" s="1"/>
  <c r="U877" i="17" a="1"/>
  <c r="U877" i="17" s="1"/>
  <c r="U927" i="17" a="1"/>
  <c r="U927" i="17" s="1"/>
  <c r="U977" i="17" a="1"/>
  <c r="U977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380" i="17" a="1"/>
  <c r="U380" i="17"/>
  <c r="U381" i="17" a="1"/>
  <c r="U381" i="17" s="1"/>
  <c r="U382" i="17" a="1"/>
  <c r="U382" i="17" s="1"/>
  <c r="U478" i="17" a="1"/>
  <c r="U478" i="17" s="1"/>
  <c r="U580" i="17" a="1"/>
  <c r="U580" i="17" s="1"/>
  <c r="U581" i="17" a="1"/>
  <c r="U581" i="17" s="1"/>
  <c r="U582" i="17" a="1"/>
  <c r="U582" i="17" s="1"/>
  <c r="U678" i="17" a="1"/>
  <c r="U678" i="17" s="1"/>
  <c r="U728" i="17" a="1"/>
  <c r="U728" i="17" s="1"/>
  <c r="U778" i="17" a="1"/>
  <c r="U778" i="17" s="1"/>
  <c r="U828" i="17" a="1"/>
  <c r="U828" i="17" s="1"/>
  <c r="U878" i="17" a="1"/>
  <c r="U878" i="17" s="1"/>
  <c r="U928" i="17" a="1"/>
  <c r="U928" i="17"/>
  <c r="U978" i="17" a="1"/>
  <c r="U978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383" i="17" a="1"/>
  <c r="U383" i="17"/>
  <c r="U384" i="17" a="1"/>
  <c r="U384" i="17" s="1"/>
  <c r="U385" i="17" a="1"/>
  <c r="U385" i="17" s="1"/>
  <c r="U479" i="17" a="1"/>
  <c r="U479" i="17" s="1"/>
  <c r="U583" i="17" a="1"/>
  <c r="U583" i="17" s="1"/>
  <c r="U584" i="17" a="1"/>
  <c r="U584" i="17" s="1"/>
  <c r="U585" i="17" a="1"/>
  <c r="U585" i="17" s="1"/>
  <c r="U679" i="17" a="1"/>
  <c r="U679" i="17" s="1"/>
  <c r="U729" i="17" a="1"/>
  <c r="U729" i="17" s="1"/>
  <c r="U779" i="17" a="1"/>
  <c r="U779" i="17" s="1"/>
  <c r="U829" i="17" a="1"/>
  <c r="U829" i="17" s="1"/>
  <c r="U879" i="17" a="1"/>
  <c r="U879" i="17" s="1"/>
  <c r="U929" i="17" a="1"/>
  <c r="U929" i="17"/>
  <c r="U979" i="17" a="1"/>
  <c r="U97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386" i="17" a="1"/>
  <c r="U386" i="17" s="1"/>
  <c r="U387" i="17" a="1"/>
  <c r="U387" i="17" s="1"/>
  <c r="U388" i="17" a="1"/>
  <c r="U388" i="17" s="1"/>
  <c r="U480" i="17" a="1"/>
  <c r="U480" i="17" s="1"/>
  <c r="U586" i="17" a="1"/>
  <c r="U586" i="17"/>
  <c r="U587" i="17" a="1"/>
  <c r="U587" i="17" s="1"/>
  <c r="U588" i="17" a="1"/>
  <c r="U588" i="17" s="1"/>
  <c r="U680" i="17" a="1"/>
  <c r="U680" i="17" s="1"/>
  <c r="U730" i="17" a="1"/>
  <c r="U730" i="17" s="1"/>
  <c r="U780" i="17" a="1"/>
  <c r="U780" i="17" s="1"/>
  <c r="U830" i="17" a="1"/>
  <c r="U830" i="17" s="1"/>
  <c r="U880" i="17" a="1"/>
  <c r="U880" i="17" s="1"/>
  <c r="U930" i="17" a="1"/>
  <c r="U930" i="17"/>
  <c r="U980" i="17" a="1"/>
  <c r="U980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389" i="17" a="1"/>
  <c r="U389" i="17" s="1"/>
  <c r="U390" i="17" a="1"/>
  <c r="U390" i="17" s="1"/>
  <c r="U391" i="17" a="1"/>
  <c r="U391" i="17" s="1"/>
  <c r="U481" i="17" a="1"/>
  <c r="U481" i="17" s="1"/>
  <c r="U589" i="17" a="1"/>
  <c r="U589" i="17"/>
  <c r="U590" i="17" a="1"/>
  <c r="U590" i="17" s="1"/>
  <c r="U591" i="17" a="1"/>
  <c r="U591" i="17" s="1"/>
  <c r="U681" i="17" a="1"/>
  <c r="U681" i="17" s="1"/>
  <c r="U731" i="17" a="1"/>
  <c r="U731" i="17" s="1"/>
  <c r="U781" i="17" a="1"/>
  <c r="U781" i="17" s="1"/>
  <c r="U831" i="17" a="1"/>
  <c r="U831" i="17" s="1"/>
  <c r="U881" i="17" a="1"/>
  <c r="U881" i="17" s="1"/>
  <c r="U931" i="17" a="1"/>
  <c r="U931" i="17" s="1"/>
  <c r="U981" i="17" a="1"/>
  <c r="U981" i="17" s="1"/>
  <c r="U182" i="17" a="1"/>
  <c r="U182" i="17" s="1"/>
  <c r="U183" i="17" a="1"/>
  <c r="U183" i="17" s="1"/>
  <c r="U184" i="17" a="1"/>
  <c r="U184" i="17"/>
  <c r="U185" i="17" a="1"/>
  <c r="U185" i="17" s="1"/>
  <c r="U186" i="17" a="1"/>
  <c r="U186" i="17" s="1"/>
  <c r="U187" i="17" a="1"/>
  <c r="U187" i="17" s="1"/>
  <c r="U392" i="17" a="1"/>
  <c r="U392" i="17" s="1"/>
  <c r="U393" i="17" a="1"/>
  <c r="U393" i="17" s="1"/>
  <c r="U394" i="17" a="1"/>
  <c r="U394" i="17" s="1"/>
  <c r="U482" i="17" a="1"/>
  <c r="U482" i="17" s="1"/>
  <c r="U592" i="17" a="1"/>
  <c r="U592" i="17"/>
  <c r="U593" i="17" a="1"/>
  <c r="U593" i="17" s="1"/>
  <c r="U594" i="17" a="1"/>
  <c r="U594" i="17" s="1"/>
  <c r="U682" i="17" a="1"/>
  <c r="U682" i="17" s="1"/>
  <c r="U732" i="17" a="1"/>
  <c r="U732" i="17" s="1"/>
  <c r="U782" i="17" a="1"/>
  <c r="U782" i="17" s="1"/>
  <c r="U832" i="17" a="1"/>
  <c r="U832" i="17" s="1"/>
  <c r="U882" i="17" a="1"/>
  <c r="U882" i="17" s="1"/>
  <c r="U932" i="17" a="1"/>
  <c r="U932" i="17" s="1"/>
  <c r="U982" i="17" a="1"/>
  <c r="U982" i="17" s="1"/>
  <c r="U188" i="17" a="1"/>
  <c r="U188" i="17" s="1"/>
  <c r="U189" i="17" a="1"/>
  <c r="U189" i="17" s="1"/>
  <c r="U190" i="17" a="1"/>
  <c r="U190" i="17"/>
  <c r="U191" i="17" a="1"/>
  <c r="U191" i="17" s="1"/>
  <c r="U192" i="17" a="1"/>
  <c r="U192" i="17" s="1"/>
  <c r="U193" i="17" a="1"/>
  <c r="U193" i="17" s="1"/>
  <c r="U395" i="17" a="1"/>
  <c r="U395" i="17"/>
  <c r="U396" i="17" a="1"/>
  <c r="U396" i="17" s="1"/>
  <c r="U397" i="17" a="1"/>
  <c r="U397" i="17" s="1"/>
  <c r="U483" i="17" a="1"/>
  <c r="U483" i="17" s="1"/>
  <c r="U595" i="17" a="1"/>
  <c r="U595" i="17" s="1"/>
  <c r="U596" i="17" a="1"/>
  <c r="U596" i="17" s="1"/>
  <c r="U597" i="17" a="1"/>
  <c r="U597" i="17" s="1"/>
  <c r="U683" i="17" a="1"/>
  <c r="U683" i="17" s="1"/>
  <c r="U733" i="17" a="1"/>
  <c r="U733" i="17" s="1"/>
  <c r="U783" i="17" a="1"/>
  <c r="U783" i="17" s="1"/>
  <c r="U833" i="17" a="1"/>
  <c r="U833" i="17" s="1"/>
  <c r="U883" i="17" a="1"/>
  <c r="U883" i="17" s="1"/>
  <c r="U933" i="17" a="1"/>
  <c r="U933" i="17" s="1"/>
  <c r="U983" i="17" a="1"/>
  <c r="U983" i="17" s="1"/>
  <c r="U194" i="17" a="1"/>
  <c r="U194" i="17" s="1"/>
  <c r="U195" i="17" a="1"/>
  <c r="U195" i="17" s="1"/>
  <c r="U196" i="17" a="1"/>
  <c r="U196" i="17" s="1"/>
  <c r="U197" i="17" a="1"/>
  <c r="U197" i="17" s="1"/>
  <c r="U198" i="17" a="1"/>
  <c r="U198" i="17" s="1"/>
  <c r="U199" i="17" a="1"/>
  <c r="U199" i="17" s="1"/>
  <c r="U398" i="17" a="1"/>
  <c r="U398" i="17" s="1"/>
  <c r="U399" i="17" a="1"/>
  <c r="U399" i="17" s="1"/>
  <c r="U400" i="17" a="1"/>
  <c r="U400" i="17" s="1"/>
  <c r="U484" i="17" a="1"/>
  <c r="U484" i="17" s="1"/>
  <c r="U598" i="17" a="1"/>
  <c r="U598" i="17"/>
  <c r="U599" i="17" a="1"/>
  <c r="U599" i="17" s="1"/>
  <c r="U600" i="17" a="1"/>
  <c r="U600" i="17" s="1"/>
  <c r="U684" i="17" a="1"/>
  <c r="U684" i="17" s="1"/>
  <c r="U734" i="17" a="1"/>
  <c r="U734" i="17" s="1"/>
  <c r="U784" i="17" a="1"/>
  <c r="U784" i="17" s="1"/>
  <c r="U834" i="17" a="1"/>
  <c r="U834" i="17" s="1"/>
  <c r="U884" i="17" a="1"/>
  <c r="U884" i="17" s="1"/>
  <c r="U934" i="17" a="1"/>
  <c r="U934" i="17"/>
  <c r="U984" i="17" a="1"/>
  <c r="U984" i="17" s="1"/>
  <c r="U200" i="17" a="1"/>
  <c r="U200" i="17" s="1"/>
  <c r="U201" i="17" a="1"/>
  <c r="U201" i="17" s="1"/>
  <c r="U202" i="17" a="1"/>
  <c r="U202" i="17" s="1"/>
  <c r="U203" i="17" a="1"/>
  <c r="U203" i="17" s="1"/>
  <c r="U204" i="17" a="1"/>
  <c r="U204" i="17" s="1"/>
  <c r="U205" i="17" a="1"/>
  <c r="U205" i="17" s="1"/>
  <c r="U401" i="17" a="1"/>
  <c r="U401" i="17" s="1"/>
  <c r="U402" i="17" a="1"/>
  <c r="U402" i="17" s="1"/>
  <c r="U403" i="17" a="1"/>
  <c r="U403" i="17" s="1"/>
  <c r="U485" i="17" a="1"/>
  <c r="U485" i="17" s="1"/>
  <c r="U601" i="17" a="1"/>
  <c r="U601" i="17" s="1"/>
  <c r="U602" i="17" a="1"/>
  <c r="U602" i="17" s="1"/>
  <c r="U603" i="17" a="1"/>
  <c r="U603" i="17" s="1"/>
  <c r="U685" i="17" a="1"/>
  <c r="U685" i="17" s="1"/>
  <c r="U735" i="17" a="1"/>
  <c r="U735" i="17" s="1"/>
  <c r="U785" i="17" a="1"/>
  <c r="U785" i="17" s="1"/>
  <c r="U835" i="17" a="1"/>
  <c r="U835" i="17" s="1"/>
  <c r="U885" i="17" a="1"/>
  <c r="U885" i="17" s="1"/>
  <c r="U935" i="17" a="1"/>
  <c r="U935" i="17" s="1"/>
  <c r="U985" i="17" a="1"/>
  <c r="U985" i="17" s="1"/>
  <c r="U206" i="17" a="1"/>
  <c r="U206" i="17" s="1"/>
  <c r="U207" i="17" a="1"/>
  <c r="U207" i="17" s="1"/>
  <c r="U208" i="17" a="1"/>
  <c r="U208" i="17"/>
  <c r="U209" i="17" a="1"/>
  <c r="U209" i="17" s="1"/>
  <c r="U210" i="17" a="1"/>
  <c r="U210" i="17" s="1"/>
  <c r="U211" i="17" a="1"/>
  <c r="U211" i="17" s="1"/>
  <c r="U404" i="17" a="1"/>
  <c r="U404" i="17" s="1"/>
  <c r="U405" i="17" a="1"/>
  <c r="U405" i="17" s="1"/>
  <c r="U406" i="17" a="1"/>
  <c r="U406" i="17" s="1"/>
  <c r="U486" i="17" a="1"/>
  <c r="U486" i="17" s="1"/>
  <c r="U604" i="17" a="1"/>
  <c r="U604" i="17"/>
  <c r="U605" i="17" a="1"/>
  <c r="U605" i="17" s="1"/>
  <c r="U606" i="17" a="1"/>
  <c r="U606" i="17" s="1"/>
  <c r="U686" i="17" a="1"/>
  <c r="U686" i="17" s="1"/>
  <c r="U736" i="17" a="1"/>
  <c r="U736" i="17" s="1"/>
  <c r="U786" i="17" a="1"/>
  <c r="U786" i="17" s="1"/>
  <c r="U836" i="17" a="1"/>
  <c r="U836" i="17" s="1"/>
  <c r="U886" i="17" a="1"/>
  <c r="U886" i="17" s="1"/>
  <c r="U936" i="17" a="1"/>
  <c r="U936" i="17" s="1"/>
  <c r="U986" i="17" a="1"/>
  <c r="U986" i="17" s="1"/>
  <c r="U212" i="17" a="1"/>
  <c r="U212" i="17" s="1"/>
  <c r="U213" i="17" a="1"/>
  <c r="U213" i="17" s="1"/>
  <c r="U214" i="17" a="1"/>
  <c r="U214" i="17" s="1"/>
  <c r="U215" i="17" a="1"/>
  <c r="U215" i="17" s="1"/>
  <c r="U216" i="17" a="1"/>
  <c r="U216" i="17" s="1"/>
  <c r="U217" i="17" a="1"/>
  <c r="U217" i="17" s="1"/>
  <c r="U407" i="17" a="1"/>
  <c r="U407" i="17" s="1"/>
  <c r="U408" i="17" a="1"/>
  <c r="U408" i="17" s="1"/>
  <c r="U409" i="17" a="1"/>
  <c r="U409" i="17" s="1"/>
  <c r="U487" i="17" a="1"/>
  <c r="U487" i="17" s="1"/>
  <c r="U607" i="17" a="1"/>
  <c r="U607" i="17" s="1"/>
  <c r="U608" i="17" a="1"/>
  <c r="U608" i="17" s="1"/>
  <c r="U609" i="17" a="1"/>
  <c r="U609" i="17" s="1"/>
  <c r="U687" i="17" a="1"/>
  <c r="U687" i="17" s="1"/>
  <c r="U737" i="17" a="1"/>
  <c r="U737" i="17"/>
  <c r="U787" i="17" a="1"/>
  <c r="U787" i="17" s="1"/>
  <c r="U837" i="17" a="1"/>
  <c r="U837" i="17" s="1"/>
  <c r="U887" i="17" a="1"/>
  <c r="U887" i="17" s="1"/>
  <c r="U937" i="17" a="1"/>
  <c r="U937" i="17" s="1"/>
  <c r="U987" i="17" a="1"/>
  <c r="U987" i="17" s="1"/>
  <c r="U218" i="17" a="1"/>
  <c r="U218" i="17" s="1"/>
  <c r="U219" i="17" a="1"/>
  <c r="U219" i="17" s="1"/>
  <c r="U220" i="17" a="1"/>
  <c r="U220" i="17"/>
  <c r="U221" i="17" a="1"/>
  <c r="U221" i="17" s="1"/>
  <c r="U222" i="17" a="1"/>
  <c r="U222" i="17" s="1"/>
  <c r="U223" i="17" a="1"/>
  <c r="U223" i="17" s="1"/>
  <c r="U410" i="17" a="1"/>
  <c r="U410" i="17" s="1"/>
  <c r="U411" i="17" a="1"/>
  <c r="U411" i="17" s="1"/>
  <c r="U412" i="17" a="1"/>
  <c r="U412" i="17" s="1"/>
  <c r="U488" i="17" a="1"/>
  <c r="U488" i="17" s="1"/>
  <c r="U610" i="17" a="1"/>
  <c r="U610" i="17" s="1"/>
  <c r="U611" i="17" a="1"/>
  <c r="U611" i="17" s="1"/>
  <c r="U612" i="17" a="1"/>
  <c r="U612" i="17" s="1"/>
  <c r="U688" i="17" a="1"/>
  <c r="U688" i="17" s="1"/>
  <c r="U738" i="17" a="1"/>
  <c r="U738" i="17" s="1"/>
  <c r="U788" i="17" a="1"/>
  <c r="U788" i="17" s="1"/>
  <c r="U838" i="17" a="1"/>
  <c r="U838" i="17" s="1"/>
  <c r="U888" i="17" a="1"/>
  <c r="U888" i="17" s="1"/>
  <c r="U938" i="17" a="1"/>
  <c r="U938" i="17" s="1"/>
  <c r="U988" i="17" a="1"/>
  <c r="U988" i="17" s="1"/>
  <c r="U224" i="17" a="1"/>
  <c r="U224" i="17" s="1"/>
  <c r="U225" i="17" a="1"/>
  <c r="U225" i="17" s="1"/>
  <c r="U226" i="17" a="1"/>
  <c r="U226" i="17" s="1"/>
  <c r="U227" i="17" a="1"/>
  <c r="U227" i="17" s="1"/>
  <c r="U228" i="17" a="1"/>
  <c r="U228" i="17" s="1"/>
  <c r="U229" i="17" a="1"/>
  <c r="U229" i="17" s="1"/>
  <c r="U413" i="17" a="1"/>
  <c r="U413" i="17" s="1"/>
  <c r="U414" i="17" a="1"/>
  <c r="U414" i="17" s="1"/>
  <c r="U415" i="17" a="1"/>
  <c r="U415" i="17" s="1"/>
  <c r="U489" i="17" a="1"/>
  <c r="U489" i="17" s="1"/>
  <c r="U613" i="17" a="1"/>
  <c r="U613" i="17" s="1"/>
  <c r="U614" i="17" a="1"/>
  <c r="U614" i="17" s="1"/>
  <c r="U615" i="17" a="1"/>
  <c r="U615" i="17" s="1"/>
  <c r="U689" i="17" a="1"/>
  <c r="U689" i="17" s="1"/>
  <c r="U739" i="17" a="1"/>
  <c r="U739" i="17" s="1"/>
  <c r="U789" i="17" a="1"/>
  <c r="U789" i="17" s="1"/>
  <c r="U839" i="17" a="1"/>
  <c r="U839" i="17" s="1"/>
  <c r="U889" i="17" a="1"/>
  <c r="U889" i="17" s="1"/>
  <c r="U939" i="17" a="1"/>
  <c r="U939" i="17" s="1"/>
  <c r="U989" i="17" a="1"/>
  <c r="U989" i="17" s="1"/>
  <c r="U230" i="17" a="1"/>
  <c r="U230" i="17" s="1"/>
  <c r="U231" i="17" a="1"/>
  <c r="U231" i="17" s="1"/>
  <c r="U232" i="17" a="1"/>
  <c r="U232" i="17" s="1"/>
  <c r="U233" i="17" a="1"/>
  <c r="U233" i="17" s="1"/>
  <c r="U234" i="17" a="1"/>
  <c r="U234" i="17" s="1"/>
  <c r="U235" i="17" a="1"/>
  <c r="U235" i="17" s="1"/>
  <c r="U416" i="17" a="1"/>
  <c r="U416" i="17" s="1"/>
  <c r="U417" i="17" a="1"/>
  <c r="U417" i="17" s="1"/>
  <c r="U418" i="17" a="1"/>
  <c r="U418" i="17" s="1"/>
  <c r="U490" i="17" a="1"/>
  <c r="U490" i="17" s="1"/>
  <c r="U616" i="17" a="1"/>
  <c r="U616" i="17" s="1"/>
  <c r="U617" i="17" a="1"/>
  <c r="U617" i="17" s="1"/>
  <c r="U618" i="17" a="1"/>
  <c r="U618" i="17" s="1"/>
  <c r="U690" i="17" a="1"/>
  <c r="U690" i="17" s="1"/>
  <c r="U740" i="17" a="1"/>
  <c r="U740" i="17" s="1"/>
  <c r="U790" i="17" a="1"/>
  <c r="U790" i="17" s="1"/>
  <c r="U840" i="17" a="1"/>
  <c r="U840" i="17" s="1"/>
  <c r="U890" i="17" a="1"/>
  <c r="U890" i="17" s="1"/>
  <c r="U940" i="17" a="1"/>
  <c r="U940" i="17" s="1"/>
  <c r="U990" i="17" a="1"/>
  <c r="U990" i="17" s="1"/>
  <c r="U236" i="17" a="1"/>
  <c r="U236" i="17" s="1"/>
  <c r="U237" i="17" a="1"/>
  <c r="U237" i="17" s="1"/>
  <c r="U238" i="17" a="1"/>
  <c r="U238" i="17" s="1"/>
  <c r="U239" i="17" a="1"/>
  <c r="U239" i="17" s="1"/>
  <c r="U240" i="17" a="1"/>
  <c r="U240" i="17" s="1"/>
  <c r="U241" i="17" a="1"/>
  <c r="U241" i="17" s="1"/>
  <c r="U419" i="17" a="1"/>
  <c r="U419" i="17" s="1"/>
  <c r="U420" i="17" a="1"/>
  <c r="U420" i="17" s="1"/>
  <c r="U421" i="17" a="1"/>
  <c r="U421" i="17" s="1"/>
  <c r="U491" i="17" a="1"/>
  <c r="U491" i="17" s="1"/>
  <c r="U619" i="17" a="1"/>
  <c r="U619" i="17" s="1"/>
  <c r="U620" i="17" a="1"/>
  <c r="U620" i="17" s="1"/>
  <c r="U621" i="17" a="1"/>
  <c r="U621" i="17" s="1"/>
  <c r="U691" i="17" a="1"/>
  <c r="U691" i="17" s="1"/>
  <c r="U741" i="17" a="1"/>
  <c r="U741" i="17" s="1"/>
  <c r="U791" i="17" a="1"/>
  <c r="U791" i="17" s="1"/>
  <c r="U841" i="17" a="1"/>
  <c r="U841" i="17" s="1"/>
  <c r="U891" i="17" a="1"/>
  <c r="U891" i="17"/>
  <c r="U941" i="17" a="1"/>
  <c r="U941" i="17" s="1"/>
  <c r="U991" i="17" a="1"/>
  <c r="U991" i="17" s="1"/>
  <c r="U242" i="17" a="1"/>
  <c r="U242" i="17" s="1"/>
  <c r="U243" i="17" a="1"/>
  <c r="U243" i="17" s="1"/>
  <c r="U244" i="17" a="1"/>
  <c r="U244" i="17" s="1"/>
  <c r="U245" i="17" a="1"/>
  <c r="U245" i="17" s="1"/>
  <c r="U246" i="17" a="1"/>
  <c r="U246" i="17" s="1"/>
  <c r="U247" i="17" a="1"/>
  <c r="U247" i="17" s="1"/>
  <c r="U422" i="17" a="1"/>
  <c r="U422" i="17" s="1"/>
  <c r="U423" i="17" a="1"/>
  <c r="U423" i="17" s="1"/>
  <c r="U424" i="17" a="1"/>
  <c r="U424" i="17" s="1"/>
  <c r="U492" i="17" a="1"/>
  <c r="U492" i="17"/>
  <c r="U622" i="17" a="1"/>
  <c r="U622" i="17" s="1"/>
  <c r="U623" i="17" a="1"/>
  <c r="U623" i="17" s="1"/>
  <c r="U624" i="17" a="1"/>
  <c r="U624" i="17" s="1"/>
  <c r="U692" i="17" a="1"/>
  <c r="U692" i="17"/>
  <c r="U742" i="17" a="1"/>
  <c r="U742" i="17" s="1"/>
  <c r="U792" i="17" a="1"/>
  <c r="U792" i="17" s="1"/>
  <c r="U842" i="17" a="1"/>
  <c r="U842" i="17" s="1"/>
  <c r="U892" i="17" a="1"/>
  <c r="U892" i="17" s="1"/>
  <c r="U942" i="17" a="1"/>
  <c r="U942" i="17" s="1"/>
  <c r="U992" i="17" a="1"/>
  <c r="U992" i="17" s="1"/>
  <c r="U248" i="17" a="1"/>
  <c r="U248" i="17" s="1"/>
  <c r="U249" i="17" a="1"/>
  <c r="U249" i="17" s="1"/>
  <c r="U250" i="17" a="1"/>
  <c r="U250" i="17" s="1"/>
  <c r="U251" i="17" a="1"/>
  <c r="U251" i="17" s="1"/>
  <c r="U252" i="17" a="1"/>
  <c r="U252" i="17" s="1"/>
  <c r="U253" i="17" a="1"/>
  <c r="U253" i="17" s="1"/>
  <c r="U425" i="17" a="1"/>
  <c r="U425" i="17" s="1"/>
  <c r="U426" i="17" a="1"/>
  <c r="U426" i="17" s="1"/>
  <c r="U427" i="17" a="1"/>
  <c r="U427" i="17" s="1"/>
  <c r="U493" i="17" a="1"/>
  <c r="U493" i="17" s="1"/>
  <c r="U625" i="17" a="1"/>
  <c r="U625" i="17" s="1"/>
  <c r="U626" i="17" a="1"/>
  <c r="U626" i="17" s="1"/>
  <c r="U627" i="17" a="1"/>
  <c r="U627" i="17" s="1"/>
  <c r="U693" i="17" a="1"/>
  <c r="U693" i="17" s="1"/>
  <c r="U743" i="17" a="1"/>
  <c r="U743" i="17" s="1"/>
  <c r="U793" i="17" a="1"/>
  <c r="U793" i="17" s="1"/>
  <c r="U843" i="17" a="1"/>
  <c r="U843" i="17" s="1"/>
  <c r="U893" i="17" a="1"/>
  <c r="U893" i="17" s="1"/>
  <c r="U943" i="17" a="1"/>
  <c r="U943" i="17" s="1"/>
  <c r="U993" i="17" a="1"/>
  <c r="U993" i="17" s="1"/>
  <c r="U254" i="17" a="1"/>
  <c r="U254" i="17" s="1"/>
  <c r="U255" i="17" a="1"/>
  <c r="U255" i="17" s="1"/>
  <c r="U256" i="17" a="1"/>
  <c r="U256" i="17" s="1"/>
  <c r="U257" i="17" a="1"/>
  <c r="U257" i="17" s="1"/>
  <c r="U258" i="17" a="1"/>
  <c r="U258" i="17" s="1"/>
  <c r="U259" i="17" a="1"/>
  <c r="U259" i="17" s="1"/>
  <c r="U428" i="17" a="1"/>
  <c r="U428" i="17" s="1"/>
  <c r="U429" i="17" a="1"/>
  <c r="U429" i="17" s="1"/>
  <c r="U430" i="17" a="1"/>
  <c r="U430" i="17" s="1"/>
  <c r="U494" i="17" a="1"/>
  <c r="U494" i="17" s="1"/>
  <c r="U628" i="17" a="1"/>
  <c r="U628" i="17" s="1"/>
  <c r="U629" i="17" a="1"/>
  <c r="U629" i="17" s="1"/>
  <c r="U630" i="17" a="1"/>
  <c r="U630" i="17" s="1"/>
  <c r="U694" i="17" a="1"/>
  <c r="U694" i="17" s="1"/>
  <c r="U744" i="17" a="1"/>
  <c r="U744" i="17" s="1"/>
  <c r="U794" i="17" a="1"/>
  <c r="U794" i="17" s="1"/>
  <c r="U844" i="17" a="1"/>
  <c r="U844" i="17" s="1"/>
  <c r="U894" i="17" a="1"/>
  <c r="U894" i="17" s="1"/>
  <c r="U944" i="17" a="1"/>
  <c r="U944" i="17" s="1"/>
  <c r="U994" i="17" a="1"/>
  <c r="U994" i="17" s="1"/>
  <c r="U260" i="17" a="1"/>
  <c r="U260" i="17" s="1"/>
  <c r="U261" i="17" a="1"/>
  <c r="U261" i="17" s="1"/>
  <c r="U262" i="17" a="1"/>
  <c r="U262" i="17" s="1"/>
  <c r="U263" i="17" a="1"/>
  <c r="U263" i="17" s="1"/>
  <c r="U264" i="17" a="1"/>
  <c r="U264" i="17" s="1"/>
  <c r="U265" i="17" a="1"/>
  <c r="U265" i="17" s="1"/>
  <c r="U431" i="17" a="1"/>
  <c r="U431" i="17" s="1"/>
  <c r="U432" i="17" a="1"/>
  <c r="U432" i="17" s="1"/>
  <c r="U433" i="17" a="1"/>
  <c r="U433" i="17" s="1"/>
  <c r="U495" i="17" a="1"/>
  <c r="U495" i="17" s="1"/>
  <c r="U631" i="17" a="1"/>
  <c r="U631" i="17" s="1"/>
  <c r="U632" i="17" a="1"/>
  <c r="U632" i="17" s="1"/>
  <c r="U633" i="17" a="1"/>
  <c r="U633" i="17" s="1"/>
  <c r="U695" i="17" a="1"/>
  <c r="U695" i="17" s="1"/>
  <c r="U745" i="17" a="1"/>
  <c r="U745" i="17" s="1"/>
  <c r="U795" i="17" a="1"/>
  <c r="U795" i="17" s="1"/>
  <c r="U845" i="17" a="1"/>
  <c r="U845" i="17" s="1"/>
  <c r="U895" i="17" a="1"/>
  <c r="U895" i="17" s="1"/>
  <c r="U945" i="17" a="1"/>
  <c r="U945" i="17" s="1"/>
  <c r="U995" i="17" a="1"/>
  <c r="U995" i="17" s="1"/>
  <c r="U266" i="17" a="1"/>
  <c r="U266" i="17" s="1"/>
  <c r="U267" i="17" a="1"/>
  <c r="U267" i="17" s="1"/>
  <c r="U268" i="17" a="1"/>
  <c r="U268" i="17" s="1"/>
  <c r="U269" i="17" a="1"/>
  <c r="U269" i="17" s="1"/>
  <c r="U270" i="17" a="1"/>
  <c r="U270" i="17" s="1"/>
  <c r="U271" i="17" a="1"/>
  <c r="U271" i="17" s="1"/>
  <c r="U434" i="17" a="1"/>
  <c r="U434" i="17" s="1"/>
  <c r="U435" i="17" a="1"/>
  <c r="U435" i="17" s="1"/>
  <c r="U436" i="17" a="1"/>
  <c r="U436" i="17" s="1"/>
  <c r="U496" i="17" a="1"/>
  <c r="U496" i="17" s="1"/>
  <c r="U634" i="17" a="1"/>
  <c r="U634" i="17" s="1"/>
  <c r="U635" i="17" a="1"/>
  <c r="U635" i="17" s="1"/>
  <c r="U636" i="17" a="1"/>
  <c r="U636" i="17" s="1"/>
  <c r="U696" i="17" a="1"/>
  <c r="U696" i="17" s="1"/>
  <c r="U746" i="17" a="1"/>
  <c r="U746" i="17" s="1"/>
  <c r="U796" i="17" a="1"/>
  <c r="U796" i="17" s="1"/>
  <c r="U846" i="17" a="1"/>
  <c r="U846" i="17" s="1"/>
  <c r="U896" i="17" a="1"/>
  <c r="U896" i="17" s="1"/>
  <c r="U946" i="17" a="1"/>
  <c r="U946" i="17" s="1"/>
  <c r="U996" i="17" a="1"/>
  <c r="U996" i="17" s="1"/>
  <c r="U272" i="17" a="1"/>
  <c r="U272" i="17" s="1"/>
  <c r="U273" i="17" a="1"/>
  <c r="U273" i="17" s="1"/>
  <c r="U274" i="17" a="1"/>
  <c r="U274" i="17" s="1"/>
  <c r="U275" i="17" a="1"/>
  <c r="U275" i="17" s="1"/>
  <c r="U276" i="17" a="1"/>
  <c r="U276" i="17" s="1"/>
  <c r="U277" i="17" a="1"/>
  <c r="U277" i="17" s="1"/>
  <c r="U437" i="17" a="1"/>
  <c r="U437" i="17" s="1"/>
  <c r="U438" i="17" a="1"/>
  <c r="U438" i="17" s="1"/>
  <c r="U439" i="17" a="1"/>
  <c r="U439" i="17" s="1"/>
  <c r="U497" i="17" a="1"/>
  <c r="U497" i="17" s="1"/>
  <c r="U637" i="17" a="1"/>
  <c r="U637" i="17" s="1"/>
  <c r="U638" i="17" a="1"/>
  <c r="U638" i="17" s="1"/>
  <c r="U639" i="17" a="1"/>
  <c r="U639" i="17" s="1"/>
  <c r="U697" i="17" a="1"/>
  <c r="U697" i="17" s="1"/>
  <c r="U747" i="17" a="1"/>
  <c r="U747" i="17" s="1"/>
  <c r="U797" i="17" a="1"/>
  <c r="U797" i="17" s="1"/>
  <c r="U847" i="17" a="1"/>
  <c r="U847" i="17" s="1"/>
  <c r="U897" i="17" a="1"/>
  <c r="U897" i="17" s="1"/>
  <c r="U947" i="17" a="1"/>
  <c r="U947" i="17" s="1"/>
  <c r="U997" i="17" a="1"/>
  <c r="U997" i="17" s="1"/>
  <c r="U278" i="17" a="1"/>
  <c r="U278" i="17" s="1"/>
  <c r="U279" i="17" a="1"/>
  <c r="U279" i="17" s="1"/>
  <c r="U280" i="17" a="1"/>
  <c r="U280" i="17" s="1"/>
  <c r="U281" i="17" a="1"/>
  <c r="U281" i="17" s="1"/>
  <c r="U282" i="17" a="1"/>
  <c r="U282" i="17" s="1"/>
  <c r="U283" i="17" a="1"/>
  <c r="U283" i="17" s="1"/>
  <c r="U440" i="17" a="1"/>
  <c r="U440" i="17" s="1"/>
  <c r="U441" i="17" a="1"/>
  <c r="U441" i="17" s="1"/>
  <c r="U442" i="17" a="1"/>
  <c r="U442" i="17" s="1"/>
  <c r="U498" i="17" a="1"/>
  <c r="U498" i="17" s="1"/>
  <c r="U640" i="17" a="1"/>
  <c r="U640" i="17" s="1"/>
  <c r="U641" i="17" a="1"/>
  <c r="U641" i="17" s="1"/>
  <c r="U642" i="17" a="1"/>
  <c r="U642" i="17" s="1"/>
  <c r="U698" i="17" a="1"/>
  <c r="U698" i="17" s="1"/>
  <c r="U748" i="17" a="1"/>
  <c r="U748" i="17" s="1"/>
  <c r="U798" i="17" a="1"/>
  <c r="U798" i="17" s="1"/>
  <c r="U848" i="17" a="1"/>
  <c r="U848" i="17" s="1"/>
  <c r="U898" i="17" a="1"/>
  <c r="U898" i="17" s="1"/>
  <c r="U948" i="17" a="1"/>
  <c r="U948" i="17" s="1"/>
  <c r="U998" i="17" a="1"/>
  <c r="U998" i="17" s="1"/>
  <c r="U284" i="17" a="1"/>
  <c r="U284" i="17" s="1"/>
  <c r="U285" i="17" a="1"/>
  <c r="U285" i="17" s="1"/>
  <c r="U286" i="17" a="1"/>
  <c r="U286" i="17" s="1"/>
  <c r="U287" i="17" a="1"/>
  <c r="U287" i="17" s="1"/>
  <c r="U288" i="17" a="1"/>
  <c r="U288" i="17" s="1"/>
  <c r="U289" i="17" a="1"/>
  <c r="U289" i="17" s="1"/>
  <c r="U443" i="17" a="1"/>
  <c r="U443" i="17" s="1"/>
  <c r="U444" i="17" a="1"/>
  <c r="U444" i="17" s="1"/>
  <c r="U445" i="17" a="1"/>
  <c r="U445" i="17" s="1"/>
  <c r="U499" i="17" a="1"/>
  <c r="U499" i="17" s="1"/>
  <c r="U643" i="17" a="1"/>
  <c r="U643" i="17" s="1"/>
  <c r="U644" i="17" a="1"/>
  <c r="U644" i="17" s="1"/>
  <c r="U645" i="17" a="1"/>
  <c r="U645" i="17" s="1"/>
  <c r="U699" i="17" a="1"/>
  <c r="U699" i="17" s="1"/>
  <c r="U749" i="17" a="1"/>
  <c r="U749" i="17" s="1"/>
  <c r="U799" i="17" a="1"/>
  <c r="U799" i="17" s="1"/>
  <c r="U849" i="17" a="1"/>
  <c r="U849" i="17" s="1"/>
  <c r="U899" i="17" a="1"/>
  <c r="U899" i="17" s="1"/>
  <c r="U949" i="17" a="1"/>
  <c r="U949" i="17" s="1"/>
  <c r="U999" i="17" a="1"/>
  <c r="U999" i="17" s="1"/>
  <c r="U290" i="17" a="1"/>
  <c r="U290" i="17" s="1"/>
  <c r="U291" i="17" a="1"/>
  <c r="U291" i="17" s="1"/>
  <c r="U292" i="17" a="1"/>
  <c r="U292" i="17" s="1"/>
  <c r="U293" i="17" a="1"/>
  <c r="U293" i="17" s="1"/>
  <c r="U294" i="17" a="1"/>
  <c r="U294" i="17" s="1"/>
  <c r="U295" i="17" a="1"/>
  <c r="U295" i="17" s="1"/>
  <c r="U446" i="17" a="1"/>
  <c r="U446" i="17" s="1"/>
  <c r="U447" i="17" a="1"/>
  <c r="U447" i="17" s="1"/>
  <c r="U448" i="17" a="1"/>
  <c r="U448" i="17" s="1"/>
  <c r="U500" i="17" a="1"/>
  <c r="U500" i="17" s="1"/>
  <c r="U646" i="17" a="1"/>
  <c r="U646" i="17" s="1"/>
  <c r="U647" i="17" a="1"/>
  <c r="U647" i="17" s="1"/>
  <c r="U648" i="17" a="1"/>
  <c r="U648" i="17" s="1"/>
  <c r="U700" i="17" a="1"/>
  <c r="U700" i="17" s="1"/>
  <c r="U750" i="17" a="1"/>
  <c r="U750" i="17" s="1"/>
  <c r="U800" i="17" a="1"/>
  <c r="U800" i="17" s="1"/>
  <c r="U850" i="17" a="1"/>
  <c r="U850" i="17" s="1"/>
  <c r="U900" i="17" a="1"/>
  <c r="U900" i="17" s="1"/>
  <c r="U950" i="17" a="1"/>
  <c r="U950" i="17" s="1"/>
  <c r="U1000" i="17" a="1"/>
  <c r="U1000" i="17" s="1"/>
  <c r="U296" i="17" a="1"/>
  <c r="U296" i="17" s="1"/>
  <c r="U297" i="17" a="1"/>
  <c r="U297" i="17" s="1"/>
  <c r="U298" i="17" a="1"/>
  <c r="U298" i="17" s="1"/>
  <c r="U299" i="17" a="1"/>
  <c r="U299" i="17" s="1"/>
  <c r="U300" i="17" a="1"/>
  <c r="U300" i="17" s="1"/>
  <c r="U301" i="17" a="1"/>
  <c r="U301" i="17" s="1"/>
  <c r="U449" i="17" a="1"/>
  <c r="U449" i="17" s="1"/>
  <c r="U450" i="17" a="1"/>
  <c r="U450" i="17" s="1"/>
  <c r="U451" i="17" a="1"/>
  <c r="U451" i="17" s="1"/>
  <c r="U501" i="17" a="1"/>
  <c r="U501" i="17" s="1"/>
  <c r="U649" i="17" a="1"/>
  <c r="U649" i="17" s="1"/>
  <c r="U650" i="17" a="1"/>
  <c r="U650" i="17" s="1"/>
  <c r="U651" i="17" a="1"/>
  <c r="U651" i="17" s="1"/>
  <c r="U701" i="17" a="1"/>
  <c r="U701" i="17" s="1"/>
  <c r="U751" i="17" a="1"/>
  <c r="U751" i="17" s="1"/>
  <c r="U801" i="17" a="1"/>
  <c r="U801" i="17" s="1"/>
  <c r="U851" i="17" a="1"/>
  <c r="U851" i="17" s="1"/>
  <c r="U901" i="17" a="1"/>
  <c r="U901" i="17" s="1"/>
  <c r="U951" i="17" a="1"/>
  <c r="U951" i="17" s="1"/>
  <c r="U1001" i="17" a="1"/>
  <c r="U100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302" i="17" a="1"/>
  <c r="V302" i="17" s="1"/>
  <c r="V303" i="17" a="1"/>
  <c r="V303" i="17" s="1"/>
  <c r="V304" i="17" a="1"/>
  <c r="V304" i="17" s="1"/>
  <c r="V452" i="17" a="1"/>
  <c r="V452" i="17" s="1"/>
  <c r="V502" i="17" a="1"/>
  <c r="V502" i="17" s="1"/>
  <c r="V503" i="17" a="1"/>
  <c r="V503" i="17" s="1"/>
  <c r="V504" i="17" a="1"/>
  <c r="V504" i="17" s="1"/>
  <c r="V652" i="17" a="1"/>
  <c r="V652" i="17" s="1"/>
  <c r="V702" i="17" a="1"/>
  <c r="V702" i="17" s="1"/>
  <c r="V752" i="17" a="1"/>
  <c r="V752" i="17" s="1"/>
  <c r="V802" i="17" a="1"/>
  <c r="V802" i="17" s="1"/>
  <c r="V852" i="17" a="1"/>
  <c r="V852" i="17" s="1"/>
  <c r="V902" i="17" a="1"/>
  <c r="V902" i="17" s="1"/>
  <c r="V952" i="17" a="1"/>
  <c r="V95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305" i="17" a="1"/>
  <c r="V305" i="17" s="1"/>
  <c r="V306" i="17" a="1"/>
  <c r="V306" i="17" s="1"/>
  <c r="V307" i="17" a="1"/>
  <c r="V307" i="17" s="1"/>
  <c r="V453" i="17" a="1"/>
  <c r="V453" i="17" s="1"/>
  <c r="V505" i="17" a="1"/>
  <c r="V505" i="17" s="1"/>
  <c r="V506" i="17" a="1"/>
  <c r="V506" i="17" s="1"/>
  <c r="V507" i="17" a="1"/>
  <c r="V507" i="17" s="1"/>
  <c r="V653" i="17" a="1"/>
  <c r="V653" i="17" s="1"/>
  <c r="V703" i="17" a="1"/>
  <c r="V703" i="17" s="1"/>
  <c r="V753" i="17" a="1"/>
  <c r="V753" i="17" s="1"/>
  <c r="V803" i="17" a="1"/>
  <c r="V803" i="17" s="1"/>
  <c r="V853" i="17" a="1"/>
  <c r="V853" i="17" s="1"/>
  <c r="V903" i="17" a="1"/>
  <c r="V903" i="17" s="1"/>
  <c r="V953" i="17" a="1"/>
  <c r="V95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308" i="17" a="1"/>
  <c r="V308" i="17" s="1"/>
  <c r="V309" i="17" a="1"/>
  <c r="V309" i="17" s="1"/>
  <c r="V310" i="17" a="1"/>
  <c r="V310" i="17" s="1"/>
  <c r="V454" i="17" a="1"/>
  <c r="V454" i="17" s="1"/>
  <c r="V508" i="17" a="1"/>
  <c r="V508" i="17" s="1"/>
  <c r="V509" i="17" a="1"/>
  <c r="V509" i="17" s="1"/>
  <c r="V510" i="17" a="1"/>
  <c r="V510" i="17" s="1"/>
  <c r="V654" i="17" a="1"/>
  <c r="V654" i="17" s="1"/>
  <c r="V704" i="17" a="1"/>
  <c r="V704" i="17" s="1"/>
  <c r="V754" i="17" a="1"/>
  <c r="V754" i="17" s="1"/>
  <c r="V804" i="17" a="1"/>
  <c r="V804" i="17" s="1"/>
  <c r="V854" i="17" a="1"/>
  <c r="V854" i="17" s="1"/>
  <c r="V904" i="17" a="1"/>
  <c r="V904" i="17" s="1"/>
  <c r="V954" i="17" a="1"/>
  <c r="V95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311" i="17" a="1"/>
  <c r="V311" i="17" s="1"/>
  <c r="V312" i="17" a="1"/>
  <c r="V312" i="17" s="1"/>
  <c r="V313" i="17" a="1"/>
  <c r="V313" i="17" s="1"/>
  <c r="V455" i="17" a="1"/>
  <c r="V455" i="17" s="1"/>
  <c r="V511" i="17" a="1"/>
  <c r="V511" i="17" s="1"/>
  <c r="V512" i="17" a="1"/>
  <c r="V512" i="17" s="1"/>
  <c r="V513" i="17" a="1"/>
  <c r="V513" i="17" s="1"/>
  <c r="V655" i="17" a="1"/>
  <c r="V655" i="17" s="1"/>
  <c r="V705" i="17" a="1"/>
  <c r="V705" i="17" s="1"/>
  <c r="V755" i="17" a="1"/>
  <c r="V755" i="17" s="1"/>
  <c r="V805" i="17" a="1"/>
  <c r="V805" i="17" s="1"/>
  <c r="V855" i="17" a="1"/>
  <c r="V855" i="17" s="1"/>
  <c r="V905" i="17" a="1"/>
  <c r="V905" i="17" s="1"/>
  <c r="V955" i="17" a="1"/>
  <c r="V95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14" i="17" a="1"/>
  <c r="V314" i="17" s="1"/>
  <c r="V315" i="17" a="1"/>
  <c r="V315" i="17" s="1"/>
  <c r="V316" i="17" a="1"/>
  <c r="V316" i="17" s="1"/>
  <c r="V456" i="17" a="1"/>
  <c r="V456" i="17" s="1"/>
  <c r="V514" i="17" a="1"/>
  <c r="V514" i="17" s="1"/>
  <c r="V515" i="17" a="1"/>
  <c r="V515" i="17" s="1"/>
  <c r="V516" i="17" a="1"/>
  <c r="V516" i="17" s="1"/>
  <c r="V656" i="17" a="1"/>
  <c r="V656" i="17" s="1"/>
  <c r="V706" i="17" a="1"/>
  <c r="V706" i="17" s="1"/>
  <c r="V756" i="17" a="1"/>
  <c r="V756" i="17" s="1"/>
  <c r="V806" i="17" a="1"/>
  <c r="V806" i="17" s="1"/>
  <c r="V856" i="17" a="1"/>
  <c r="V856" i="17" s="1"/>
  <c r="V906" i="17" a="1"/>
  <c r="V906" i="17" s="1"/>
  <c r="V956" i="17" a="1"/>
  <c r="V95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317" i="17" a="1"/>
  <c r="V317" i="17" s="1"/>
  <c r="V318" i="17" a="1"/>
  <c r="V318" i="17" s="1"/>
  <c r="V319" i="17" a="1"/>
  <c r="V319" i="17" s="1"/>
  <c r="V457" i="17" a="1"/>
  <c r="V457" i="17" s="1"/>
  <c r="V517" i="17" a="1"/>
  <c r="V517" i="17" s="1"/>
  <c r="V518" i="17" a="1"/>
  <c r="V518" i="17" s="1"/>
  <c r="V519" i="17" a="1"/>
  <c r="V519" i="17" s="1"/>
  <c r="V657" i="17" a="1"/>
  <c r="V657" i="17" s="1"/>
  <c r="V707" i="17" a="1"/>
  <c r="V707" i="17" s="1"/>
  <c r="V757" i="17" a="1"/>
  <c r="V757" i="17" s="1"/>
  <c r="V807" i="17" a="1"/>
  <c r="V807" i="17" s="1"/>
  <c r="V857" i="17" a="1"/>
  <c r="V857" i="17" s="1"/>
  <c r="V907" i="17" a="1"/>
  <c r="V907" i="17" s="1"/>
  <c r="V957" i="17" a="1"/>
  <c r="V95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320" i="17" a="1"/>
  <c r="V320" i="17" s="1"/>
  <c r="V321" i="17" a="1"/>
  <c r="V321" i="17" s="1"/>
  <c r="V322" i="17" a="1"/>
  <c r="V322" i="17" s="1"/>
  <c r="V458" i="17" a="1"/>
  <c r="V458" i="17" s="1"/>
  <c r="V520" i="17" a="1"/>
  <c r="V520" i="17" s="1"/>
  <c r="V521" i="17" a="1"/>
  <c r="V521" i="17" s="1"/>
  <c r="V522" i="17" a="1"/>
  <c r="V522" i="17" s="1"/>
  <c r="V658" i="17" a="1"/>
  <c r="V658" i="17" s="1"/>
  <c r="V708" i="17" a="1"/>
  <c r="V708" i="17" s="1"/>
  <c r="V758" i="17" a="1"/>
  <c r="V758" i="17" s="1"/>
  <c r="V808" i="17" a="1"/>
  <c r="V808" i="17" s="1"/>
  <c r="V858" i="17" a="1"/>
  <c r="V858" i="17" s="1"/>
  <c r="V908" i="17" a="1"/>
  <c r="V908" i="17" s="1"/>
  <c r="V958" i="17" a="1"/>
  <c r="V95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323" i="17" a="1"/>
  <c r="V323" i="17" s="1"/>
  <c r="V324" i="17" a="1"/>
  <c r="V324" i="17" s="1"/>
  <c r="V325" i="17" a="1"/>
  <c r="V325" i="17" s="1"/>
  <c r="V459" i="17" a="1"/>
  <c r="V459" i="17" s="1"/>
  <c r="V523" i="17" a="1"/>
  <c r="V523" i="17" s="1"/>
  <c r="V524" i="17" a="1"/>
  <c r="V524" i="17" s="1"/>
  <c r="V525" i="17" a="1"/>
  <c r="V525" i="17" s="1"/>
  <c r="V659" i="17" a="1"/>
  <c r="V659" i="17" s="1"/>
  <c r="V709" i="17" a="1"/>
  <c r="V709" i="17" s="1"/>
  <c r="V759" i="17" a="1"/>
  <c r="V759" i="17" s="1"/>
  <c r="V809" i="17" a="1"/>
  <c r="V809" i="17" s="1"/>
  <c r="V859" i="17" a="1"/>
  <c r="V859" i="17" s="1"/>
  <c r="V909" i="17" a="1"/>
  <c r="V909" i="17" s="1"/>
  <c r="V959" i="17" a="1"/>
  <c r="V95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326" i="17" a="1"/>
  <c r="V326" i="17" s="1"/>
  <c r="V327" i="17" a="1"/>
  <c r="V327" i="17" s="1"/>
  <c r="V328" i="17" a="1"/>
  <c r="V328" i="17" s="1"/>
  <c r="V460" i="17" a="1"/>
  <c r="V460" i="17" s="1"/>
  <c r="V526" i="17" a="1"/>
  <c r="V526" i="17" s="1"/>
  <c r="V527" i="17" a="1"/>
  <c r="V527" i="17" s="1"/>
  <c r="V528" i="17" a="1"/>
  <c r="V528" i="17" s="1"/>
  <c r="V660" i="17" a="1"/>
  <c r="V660" i="17" s="1"/>
  <c r="V710" i="17" a="1"/>
  <c r="V710" i="17" s="1"/>
  <c r="V760" i="17" a="1"/>
  <c r="V760" i="17" s="1"/>
  <c r="V810" i="17" a="1"/>
  <c r="V810" i="17" s="1"/>
  <c r="V860" i="17" a="1"/>
  <c r="V860" i="17" s="1"/>
  <c r="V910" i="17" a="1"/>
  <c r="V910" i="17" s="1"/>
  <c r="V960" i="17" a="1"/>
  <c r="V96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329" i="17" a="1"/>
  <c r="V329" i="17" s="1"/>
  <c r="V330" i="17" a="1"/>
  <c r="V330" i="17" s="1"/>
  <c r="V331" i="17" a="1"/>
  <c r="V331" i="17" s="1"/>
  <c r="V461" i="17" a="1"/>
  <c r="V461" i="17" s="1"/>
  <c r="V529" i="17" a="1"/>
  <c r="V529" i="17" s="1"/>
  <c r="V530" i="17" a="1"/>
  <c r="V530" i="17" s="1"/>
  <c r="V531" i="17" a="1"/>
  <c r="V531" i="17" s="1"/>
  <c r="V661" i="17" a="1"/>
  <c r="V661" i="17" s="1"/>
  <c r="V711" i="17" a="1"/>
  <c r="V711" i="17" s="1"/>
  <c r="V761" i="17" a="1"/>
  <c r="V761" i="17" s="1"/>
  <c r="V811" i="17" a="1"/>
  <c r="V811" i="17" s="1"/>
  <c r="V861" i="17" a="1"/>
  <c r="V861" i="17" s="1"/>
  <c r="V911" i="17" a="1"/>
  <c r="V911" i="17" s="1"/>
  <c r="V961" i="17" a="1"/>
  <c r="V96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332" i="17" a="1"/>
  <c r="V332" i="17" s="1"/>
  <c r="V333" i="17" a="1"/>
  <c r="V333" i="17" s="1"/>
  <c r="V334" i="17" a="1"/>
  <c r="V334" i="17" s="1"/>
  <c r="V462" i="17" a="1"/>
  <c r="V462" i="17" s="1"/>
  <c r="V532" i="17" a="1"/>
  <c r="V532" i="17" s="1"/>
  <c r="V533" i="17" a="1"/>
  <c r="V533" i="17" s="1"/>
  <c r="V534" i="17" a="1"/>
  <c r="V534" i="17" s="1"/>
  <c r="V662" i="17" a="1"/>
  <c r="V662" i="17" s="1"/>
  <c r="V712" i="17" a="1"/>
  <c r="V712" i="17" s="1"/>
  <c r="V762" i="17" a="1"/>
  <c r="V762" i="17" s="1"/>
  <c r="V812" i="17" a="1"/>
  <c r="V812" i="17" s="1"/>
  <c r="V862" i="17" a="1"/>
  <c r="V862" i="17" s="1"/>
  <c r="V912" i="17" a="1"/>
  <c r="V912" i="17" s="1"/>
  <c r="V962" i="17" a="1"/>
  <c r="V96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335" i="17" a="1"/>
  <c r="V335" i="17" s="1"/>
  <c r="V336" i="17" a="1"/>
  <c r="V336" i="17" s="1"/>
  <c r="V337" i="17" a="1"/>
  <c r="V337" i="17" s="1"/>
  <c r="V463" i="17" a="1"/>
  <c r="V463" i="17" s="1"/>
  <c r="V535" i="17" a="1"/>
  <c r="V535" i="17" s="1"/>
  <c r="V536" i="17" a="1"/>
  <c r="V536" i="17" s="1"/>
  <c r="V537" i="17" a="1"/>
  <c r="V537" i="17" s="1"/>
  <c r="V663" i="17" a="1"/>
  <c r="V663" i="17" s="1"/>
  <c r="V713" i="17" a="1"/>
  <c r="V713" i="17" s="1"/>
  <c r="V763" i="17" a="1"/>
  <c r="V763" i="17" s="1"/>
  <c r="V813" i="17" a="1"/>
  <c r="V813" i="17" s="1"/>
  <c r="V863" i="17" a="1"/>
  <c r="V863" i="17" s="1"/>
  <c r="V913" i="17" a="1"/>
  <c r="V913" i="17" s="1"/>
  <c r="V963" i="17" a="1"/>
  <c r="V96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338" i="17" a="1"/>
  <c r="V338" i="17" s="1"/>
  <c r="V339" i="17" a="1"/>
  <c r="V339" i="17" s="1"/>
  <c r="V340" i="17" a="1"/>
  <c r="V340" i="17" s="1"/>
  <c r="V464" i="17" a="1"/>
  <c r="V464" i="17" s="1"/>
  <c r="V538" i="17" a="1"/>
  <c r="V538" i="17" s="1"/>
  <c r="V539" i="17" a="1"/>
  <c r="V539" i="17" s="1"/>
  <c r="V540" i="17" a="1"/>
  <c r="V540" i="17" s="1"/>
  <c r="V664" i="17" a="1"/>
  <c r="V664" i="17" s="1"/>
  <c r="V714" i="17" a="1"/>
  <c r="V714" i="17" s="1"/>
  <c r="V764" i="17" a="1"/>
  <c r="V764" i="17" s="1"/>
  <c r="V814" i="17" a="1"/>
  <c r="V814" i="17" s="1"/>
  <c r="V864" i="17" a="1"/>
  <c r="V864" i="17" s="1"/>
  <c r="V914" i="17" a="1"/>
  <c r="V914" i="17" s="1"/>
  <c r="V964" i="17" a="1"/>
  <c r="V964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341" i="17" a="1"/>
  <c r="V341" i="17" s="1"/>
  <c r="V342" i="17" a="1"/>
  <c r="V342" i="17" s="1"/>
  <c r="V343" i="17" a="1"/>
  <c r="V343" i="17" s="1"/>
  <c r="V465" i="17" a="1"/>
  <c r="V465" i="17" s="1"/>
  <c r="V541" i="17" a="1"/>
  <c r="V541" i="17" s="1"/>
  <c r="V542" i="17" a="1"/>
  <c r="V542" i="17" s="1"/>
  <c r="V543" i="17" a="1"/>
  <c r="V543" i="17" s="1"/>
  <c r="V665" i="17" a="1"/>
  <c r="V665" i="17" s="1"/>
  <c r="V715" i="17" a="1"/>
  <c r="V715" i="17" s="1"/>
  <c r="V765" i="17" a="1"/>
  <c r="V765" i="17" s="1"/>
  <c r="V815" i="17" a="1"/>
  <c r="V815" i="17" s="1"/>
  <c r="V865" i="17" a="1"/>
  <c r="V865" i="17" s="1"/>
  <c r="V915" i="17" a="1"/>
  <c r="V915" i="17" s="1"/>
  <c r="V965" i="17" a="1"/>
  <c r="V96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344" i="17" a="1"/>
  <c r="V344" i="17" s="1"/>
  <c r="V345" i="17" a="1"/>
  <c r="V345" i="17" s="1"/>
  <c r="V346" i="17" a="1"/>
  <c r="V346" i="17" s="1"/>
  <c r="V466" i="17" a="1"/>
  <c r="V466" i="17" s="1"/>
  <c r="V544" i="17" a="1"/>
  <c r="V544" i="17" s="1"/>
  <c r="V545" i="17" a="1"/>
  <c r="V545" i="17" s="1"/>
  <c r="V546" i="17" a="1"/>
  <c r="V546" i="17" s="1"/>
  <c r="V666" i="17" a="1"/>
  <c r="V666" i="17" s="1"/>
  <c r="V716" i="17" a="1"/>
  <c r="V716" i="17" s="1"/>
  <c r="V766" i="17" a="1"/>
  <c r="V766" i="17" s="1"/>
  <c r="V816" i="17" a="1"/>
  <c r="V816" i="17" s="1"/>
  <c r="V866" i="17" a="1"/>
  <c r="V866" i="17" s="1"/>
  <c r="V916" i="17" a="1"/>
  <c r="V916" i="17" s="1"/>
  <c r="V966" i="17" a="1"/>
  <c r="V966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347" i="17" a="1"/>
  <c r="V347" i="17" s="1"/>
  <c r="V348" i="17" a="1"/>
  <c r="V348" i="17" s="1"/>
  <c r="V349" i="17" a="1"/>
  <c r="V349" i="17" s="1"/>
  <c r="V467" i="17" a="1"/>
  <c r="V467" i="17" s="1"/>
  <c r="V547" i="17" a="1"/>
  <c r="V547" i="17" s="1"/>
  <c r="V548" i="17" a="1"/>
  <c r="V548" i="17" s="1"/>
  <c r="V549" i="17" a="1"/>
  <c r="V549" i="17" s="1"/>
  <c r="V667" i="17" a="1"/>
  <c r="V667" i="17" s="1"/>
  <c r="V717" i="17" a="1"/>
  <c r="V717" i="17" s="1"/>
  <c r="V767" i="17" a="1"/>
  <c r="V767" i="17" s="1"/>
  <c r="V817" i="17" a="1"/>
  <c r="V817" i="17" s="1"/>
  <c r="V867" i="17" a="1"/>
  <c r="V867" i="17" s="1"/>
  <c r="V917" i="17" a="1"/>
  <c r="V917" i="17" s="1"/>
  <c r="V967" i="17" a="1"/>
  <c r="V96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350" i="17" a="1"/>
  <c r="V350" i="17" s="1"/>
  <c r="V351" i="17" a="1"/>
  <c r="V351" i="17" s="1"/>
  <c r="V352" i="17" a="1"/>
  <c r="V352" i="17" s="1"/>
  <c r="V468" i="17" a="1"/>
  <c r="V468" i="17" s="1"/>
  <c r="V550" i="17" a="1"/>
  <c r="V550" i="17" s="1"/>
  <c r="V551" i="17" a="1"/>
  <c r="V551" i="17" s="1"/>
  <c r="V552" i="17" a="1"/>
  <c r="V552" i="17" s="1"/>
  <c r="V668" i="17" a="1"/>
  <c r="V668" i="17" s="1"/>
  <c r="V718" i="17" a="1"/>
  <c r="V718" i="17" s="1"/>
  <c r="V768" i="17" a="1"/>
  <c r="V768" i="17" s="1"/>
  <c r="V818" i="17" a="1"/>
  <c r="V818" i="17" s="1"/>
  <c r="V868" i="17" a="1"/>
  <c r="V868" i="17" s="1"/>
  <c r="V918" i="17" a="1"/>
  <c r="V918" i="17" s="1"/>
  <c r="V968" i="17" a="1"/>
  <c r="V968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353" i="17" a="1"/>
  <c r="V353" i="17" s="1"/>
  <c r="V354" i="17" a="1"/>
  <c r="V354" i="17" s="1"/>
  <c r="V355" i="17" a="1"/>
  <c r="V355" i="17" s="1"/>
  <c r="V469" i="17" a="1"/>
  <c r="V469" i="17" s="1"/>
  <c r="V553" i="17" a="1"/>
  <c r="V553" i="17" s="1"/>
  <c r="V554" i="17" a="1"/>
  <c r="V554" i="17" s="1"/>
  <c r="V555" i="17" a="1"/>
  <c r="V555" i="17" s="1"/>
  <c r="V669" i="17" a="1"/>
  <c r="V669" i="17" s="1"/>
  <c r="V719" i="17" a="1"/>
  <c r="V719" i="17" s="1"/>
  <c r="V769" i="17" a="1"/>
  <c r="V769" i="17" s="1"/>
  <c r="V819" i="17" a="1"/>
  <c r="V819" i="17" s="1"/>
  <c r="V869" i="17" a="1"/>
  <c r="V869" i="17" s="1"/>
  <c r="V919" i="17" a="1"/>
  <c r="V919" i="17" s="1"/>
  <c r="V969" i="17" a="1"/>
  <c r="V96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356" i="17" a="1"/>
  <c r="V356" i="17" s="1"/>
  <c r="V357" i="17" a="1"/>
  <c r="V357" i="17" s="1"/>
  <c r="V358" i="17" a="1"/>
  <c r="V358" i="17" s="1"/>
  <c r="V470" i="17" a="1"/>
  <c r="V470" i="17" s="1"/>
  <c r="V556" i="17" a="1"/>
  <c r="V556" i="17" s="1"/>
  <c r="V557" i="17" a="1"/>
  <c r="V557" i="17" s="1"/>
  <c r="V558" i="17" a="1"/>
  <c r="V558" i="17" s="1"/>
  <c r="V670" i="17" a="1"/>
  <c r="V670" i="17" s="1"/>
  <c r="V720" i="17" a="1"/>
  <c r="V720" i="17" s="1"/>
  <c r="V770" i="17" a="1"/>
  <c r="V770" i="17" s="1"/>
  <c r="V820" i="17" a="1"/>
  <c r="V820" i="17" s="1"/>
  <c r="V870" i="17" a="1"/>
  <c r="V870" i="17" s="1"/>
  <c r="V920" i="17" a="1"/>
  <c r="V920" i="17" s="1"/>
  <c r="V970" i="17" a="1"/>
  <c r="V97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359" i="17" a="1"/>
  <c r="V359" i="17" s="1"/>
  <c r="V360" i="17" a="1"/>
  <c r="V360" i="17" s="1"/>
  <c r="V361" i="17" a="1"/>
  <c r="V361" i="17" s="1"/>
  <c r="V471" i="17" a="1"/>
  <c r="V471" i="17" s="1"/>
  <c r="V559" i="17" a="1"/>
  <c r="V559" i="17" s="1"/>
  <c r="V560" i="17" a="1"/>
  <c r="V560" i="17" s="1"/>
  <c r="V561" i="17" a="1"/>
  <c r="V561" i="17" s="1"/>
  <c r="V671" i="17" a="1"/>
  <c r="V671" i="17" s="1"/>
  <c r="V721" i="17" a="1"/>
  <c r="V721" i="17" s="1"/>
  <c r="V771" i="17" a="1"/>
  <c r="V771" i="17" s="1"/>
  <c r="V821" i="17" a="1"/>
  <c r="V821" i="17" s="1"/>
  <c r="V871" i="17" a="1"/>
  <c r="V871" i="17" s="1"/>
  <c r="V921" i="17" a="1"/>
  <c r="V921" i="17" s="1"/>
  <c r="V971" i="17" a="1"/>
  <c r="V97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362" i="17" a="1"/>
  <c r="V362" i="17" s="1"/>
  <c r="V363" i="17" a="1"/>
  <c r="V363" i="17" s="1"/>
  <c r="V364" i="17" a="1"/>
  <c r="V364" i="17" s="1"/>
  <c r="V472" i="17" a="1"/>
  <c r="V472" i="17" s="1"/>
  <c r="V562" i="17" a="1"/>
  <c r="V562" i="17" s="1"/>
  <c r="V563" i="17" a="1"/>
  <c r="V563" i="17" s="1"/>
  <c r="V564" i="17" a="1"/>
  <c r="V564" i="17" s="1"/>
  <c r="V672" i="17" a="1"/>
  <c r="V672" i="17" s="1"/>
  <c r="V722" i="17" a="1"/>
  <c r="V722" i="17" s="1"/>
  <c r="V772" i="17" a="1"/>
  <c r="V772" i="17" s="1"/>
  <c r="V822" i="17" a="1"/>
  <c r="V822" i="17" s="1"/>
  <c r="V872" i="17" a="1"/>
  <c r="V872" i="17" s="1"/>
  <c r="V922" i="17" a="1"/>
  <c r="V922" i="17" s="1"/>
  <c r="V972" i="17" a="1"/>
  <c r="V972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365" i="17" a="1"/>
  <c r="V365" i="17" s="1"/>
  <c r="V366" i="17" a="1"/>
  <c r="V366" i="17" s="1"/>
  <c r="V367" i="17" a="1"/>
  <c r="V367" i="17" s="1"/>
  <c r="V473" i="17" a="1"/>
  <c r="V473" i="17" s="1"/>
  <c r="V565" i="17" a="1"/>
  <c r="V565" i="17" s="1"/>
  <c r="V566" i="17" a="1"/>
  <c r="V566" i="17" s="1"/>
  <c r="V567" i="17" a="1"/>
  <c r="V567" i="17" s="1"/>
  <c r="V673" i="17" a="1"/>
  <c r="V673" i="17" s="1"/>
  <c r="V723" i="17" a="1"/>
  <c r="V723" i="17" s="1"/>
  <c r="V773" i="17" a="1"/>
  <c r="V773" i="17" s="1"/>
  <c r="V823" i="17" a="1"/>
  <c r="V823" i="17" s="1"/>
  <c r="V873" i="17" a="1"/>
  <c r="V873" i="17" s="1"/>
  <c r="V923" i="17" a="1"/>
  <c r="V923" i="17" s="1"/>
  <c r="V973" i="17" a="1"/>
  <c r="V97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368" i="17" a="1"/>
  <c r="V368" i="17" s="1"/>
  <c r="V369" i="17" a="1"/>
  <c r="V369" i="17" s="1"/>
  <c r="V370" i="17" a="1"/>
  <c r="V370" i="17" s="1"/>
  <c r="V474" i="17" a="1"/>
  <c r="V474" i="17" s="1"/>
  <c r="V568" i="17" a="1"/>
  <c r="V568" i="17" s="1"/>
  <c r="V569" i="17" a="1"/>
  <c r="V569" i="17" s="1"/>
  <c r="V570" i="17" a="1"/>
  <c r="V570" i="17" s="1"/>
  <c r="V674" i="17" a="1"/>
  <c r="V674" i="17" s="1"/>
  <c r="V724" i="17" a="1"/>
  <c r="V724" i="17" s="1"/>
  <c r="V774" i="17" a="1"/>
  <c r="V774" i="17" s="1"/>
  <c r="V824" i="17" a="1"/>
  <c r="V824" i="17" s="1"/>
  <c r="V874" i="17" a="1"/>
  <c r="V874" i="17" s="1"/>
  <c r="V924" i="17" a="1"/>
  <c r="V924" i="17" s="1"/>
  <c r="V974" i="17" a="1"/>
  <c r="V974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371" i="17" a="1"/>
  <c r="V371" i="17" s="1"/>
  <c r="V372" i="17" a="1"/>
  <c r="V372" i="17" s="1"/>
  <c r="V373" i="17" a="1"/>
  <c r="V373" i="17" s="1"/>
  <c r="V475" i="17" a="1"/>
  <c r="V475" i="17" s="1"/>
  <c r="V571" i="17" a="1"/>
  <c r="V571" i="17" s="1"/>
  <c r="V572" i="17" a="1"/>
  <c r="V572" i="17" s="1"/>
  <c r="V573" i="17" a="1"/>
  <c r="V573" i="17" s="1"/>
  <c r="V675" i="17" a="1"/>
  <c r="V675" i="17" s="1"/>
  <c r="V725" i="17" a="1"/>
  <c r="V725" i="17" s="1"/>
  <c r="V775" i="17" a="1"/>
  <c r="V775" i="17" s="1"/>
  <c r="V825" i="17" a="1"/>
  <c r="V825" i="17" s="1"/>
  <c r="V875" i="17" a="1"/>
  <c r="V875" i="17" s="1"/>
  <c r="V925" i="17" a="1"/>
  <c r="V925" i="17" s="1"/>
  <c r="V975" i="17" a="1"/>
  <c r="V97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74" i="17" a="1"/>
  <c r="V374" i="17" s="1"/>
  <c r="V375" i="17" a="1"/>
  <c r="V375" i="17" s="1"/>
  <c r="V376" i="17" a="1"/>
  <c r="V376" i="17" s="1"/>
  <c r="V476" i="17" a="1"/>
  <c r="V476" i="17" s="1"/>
  <c r="V574" i="17" a="1"/>
  <c r="V574" i="17" s="1"/>
  <c r="V575" i="17" a="1"/>
  <c r="V575" i="17"/>
  <c r="V576" i="17" a="1"/>
  <c r="V576" i="17" s="1"/>
  <c r="V676" i="17" a="1"/>
  <c r="V676" i="17" s="1"/>
  <c r="V726" i="17" a="1"/>
  <c r="V726" i="17" s="1"/>
  <c r="V776" i="17" a="1"/>
  <c r="V776" i="17" s="1"/>
  <c r="V826" i="17" a="1"/>
  <c r="V826" i="17" s="1"/>
  <c r="V876" i="17" a="1"/>
  <c r="V876" i="17" s="1"/>
  <c r="V926" i="17" a="1"/>
  <c r="V926" i="17" s="1"/>
  <c r="V976" i="17" a="1"/>
  <c r="V976" i="17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377" i="17" a="1"/>
  <c r="V377" i="17" s="1"/>
  <c r="V378" i="17" a="1"/>
  <c r="V378" i="17"/>
  <c r="V379" i="17" a="1"/>
  <c r="V379" i="17" s="1"/>
  <c r="V477" i="17" a="1"/>
  <c r="V477" i="17" s="1"/>
  <c r="V577" i="17" a="1"/>
  <c r="V577" i="17" s="1"/>
  <c r="V578" i="17" a="1"/>
  <c r="V578" i="17" s="1"/>
  <c r="V579" i="17" a="1"/>
  <c r="V579" i="17" s="1"/>
  <c r="V677" i="17" a="1"/>
  <c r="V677" i="17" s="1"/>
  <c r="V727" i="17" a="1"/>
  <c r="V727" i="17" s="1"/>
  <c r="V777" i="17" a="1"/>
  <c r="V777" i="17" s="1"/>
  <c r="V827" i="17" a="1"/>
  <c r="V827" i="17" s="1"/>
  <c r="V877" i="17" a="1"/>
  <c r="V877" i="17" s="1"/>
  <c r="V927" i="17" a="1"/>
  <c r="V927" i="17" s="1"/>
  <c r="V977" i="17" a="1"/>
  <c r="V977" i="17" s="1"/>
  <c r="V158" i="17" a="1"/>
  <c r="V158" i="17" s="1"/>
  <c r="V159" i="17" a="1"/>
  <c r="V159" i="17" s="1"/>
  <c r="V160" i="17" a="1"/>
  <c r="V160" i="17" s="1"/>
  <c r="V161" i="17" a="1"/>
  <c r="V161" i="17"/>
  <c r="V162" i="17" a="1"/>
  <c r="V162" i="17" s="1"/>
  <c r="V163" i="17" a="1"/>
  <c r="V163" i="17" s="1"/>
  <c r="V380" i="17" a="1"/>
  <c r="V380" i="17" s="1"/>
  <c r="V381" i="17" a="1"/>
  <c r="V381" i="17" s="1"/>
  <c r="V382" i="17" a="1"/>
  <c r="V382" i="17" s="1"/>
  <c r="V478" i="17" a="1"/>
  <c r="V478" i="17" s="1"/>
  <c r="V580" i="17" a="1"/>
  <c r="V580" i="17" s="1"/>
  <c r="V581" i="17" a="1"/>
  <c r="V581" i="17"/>
  <c r="V582" i="17" a="1"/>
  <c r="V582" i="17" s="1"/>
  <c r="V678" i="17" a="1"/>
  <c r="V678" i="17" s="1"/>
  <c r="V728" i="17" a="1"/>
  <c r="V728" i="17" s="1"/>
  <c r="V778" i="17" a="1"/>
  <c r="V778" i="17" s="1"/>
  <c r="V828" i="17" a="1"/>
  <c r="V828" i="17" s="1"/>
  <c r="V878" i="17" a="1"/>
  <c r="V878" i="17" s="1"/>
  <c r="V928" i="17" a="1"/>
  <c r="V928" i="17" s="1"/>
  <c r="V978" i="17" a="1"/>
  <c r="V978" i="17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383" i="17" a="1"/>
  <c r="V383" i="17" s="1"/>
  <c r="V384" i="17" a="1"/>
  <c r="V384" i="17" s="1"/>
  <c r="V385" i="17" a="1"/>
  <c r="V385" i="17" s="1"/>
  <c r="V479" i="17" a="1"/>
  <c r="V479" i="17" s="1"/>
  <c r="V583" i="17" a="1"/>
  <c r="V583" i="17" s="1"/>
  <c r="V584" i="17" a="1"/>
  <c r="V584" i="17" s="1"/>
  <c r="V585" i="17" a="1"/>
  <c r="V585" i="17" s="1"/>
  <c r="V679" i="17" a="1"/>
  <c r="V679" i="17" s="1"/>
  <c r="V729" i="17" a="1"/>
  <c r="V729" i="17" s="1"/>
  <c r="V779" i="17" a="1"/>
  <c r="V779" i="17"/>
  <c r="V829" i="17" a="1"/>
  <c r="V829" i="17" s="1"/>
  <c r="V879" i="17" a="1"/>
  <c r="V879" i="17" s="1"/>
  <c r="V929" i="17" a="1"/>
  <c r="V929" i="17" s="1"/>
  <c r="V979" i="17" a="1"/>
  <c r="V979" i="17" s="1"/>
  <c r="V170" i="17" a="1"/>
  <c r="V170" i="17" s="1"/>
  <c r="V171" i="17" a="1"/>
  <c r="V171" i="17" s="1"/>
  <c r="V172" i="17" a="1"/>
  <c r="V172" i="17" s="1"/>
  <c r="V173" i="17" a="1"/>
  <c r="V173" i="17"/>
  <c r="V174" i="17" a="1"/>
  <c r="V174" i="17" s="1"/>
  <c r="V175" i="17" a="1"/>
  <c r="V175" i="17" s="1"/>
  <c r="V386" i="17" a="1"/>
  <c r="V386" i="17" s="1"/>
  <c r="V387" i="17" a="1"/>
  <c r="V387" i="17" s="1"/>
  <c r="V388" i="17" a="1"/>
  <c r="V388" i="17" s="1"/>
  <c r="V480" i="17" a="1"/>
  <c r="V480" i="17" s="1"/>
  <c r="V586" i="17" a="1"/>
  <c r="V586" i="17" s="1"/>
  <c r="V587" i="17" a="1"/>
  <c r="V587" i="17"/>
  <c r="V588" i="17" a="1"/>
  <c r="V588" i="17" s="1"/>
  <c r="V680" i="17" a="1"/>
  <c r="V680" i="17" s="1"/>
  <c r="V730" i="17" a="1"/>
  <c r="V730" i="17" s="1"/>
  <c r="V780" i="17" a="1"/>
  <c r="V780" i="17" s="1"/>
  <c r="V830" i="17" a="1"/>
  <c r="V830" i="17" s="1"/>
  <c r="V880" i="17" a="1"/>
  <c r="V880" i="17" s="1"/>
  <c r="V930" i="17" a="1"/>
  <c r="V930" i="17" s="1"/>
  <c r="V980" i="17" a="1"/>
  <c r="V98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389" i="17" a="1"/>
  <c r="V389" i="17" s="1"/>
  <c r="V390" i="17" a="1"/>
  <c r="V390" i="17"/>
  <c r="V391" i="17" a="1"/>
  <c r="V391" i="17" s="1"/>
  <c r="V481" i="17" a="1"/>
  <c r="V481" i="17" s="1"/>
  <c r="V589" i="17" a="1"/>
  <c r="V589" i="17" s="1"/>
  <c r="V590" i="17" a="1"/>
  <c r="V590" i="17" s="1"/>
  <c r="V591" i="17" a="1"/>
  <c r="V591" i="17" s="1"/>
  <c r="V681" i="17" a="1"/>
  <c r="V681" i="17" s="1"/>
  <c r="V731" i="17" a="1"/>
  <c r="V731" i="17" s="1"/>
  <c r="V781" i="17" a="1"/>
  <c r="V781" i="17"/>
  <c r="V831" i="17" a="1"/>
  <c r="V831" i="17" s="1"/>
  <c r="V881" i="17" a="1"/>
  <c r="V881" i="17" s="1"/>
  <c r="V931" i="17" a="1"/>
  <c r="V931" i="17" s="1"/>
  <c r="V981" i="17" a="1"/>
  <c r="V981" i="17" s="1"/>
  <c r="V182" i="17" a="1"/>
  <c r="V182" i="17" s="1"/>
  <c r="V183" i="17" a="1"/>
  <c r="V183" i="17" s="1"/>
  <c r="V184" i="17" a="1"/>
  <c r="V184" i="17" s="1"/>
  <c r="V185" i="17" a="1"/>
  <c r="V185" i="17"/>
  <c r="V186" i="17" a="1"/>
  <c r="V186" i="17" s="1"/>
  <c r="V187" i="17" a="1"/>
  <c r="V187" i="17" s="1"/>
  <c r="V392" i="17" a="1"/>
  <c r="V392" i="17" s="1"/>
  <c r="V393" i="17" a="1"/>
  <c r="V393" i="17" s="1"/>
  <c r="V394" i="17" a="1"/>
  <c r="V394" i="17" s="1"/>
  <c r="V482" i="17" a="1"/>
  <c r="V482" i="17" s="1"/>
  <c r="V592" i="17" a="1"/>
  <c r="V592" i="17" s="1"/>
  <c r="V593" i="17" a="1"/>
  <c r="V593" i="17" s="1"/>
  <c r="V594" i="17" a="1"/>
  <c r="V594" i="17" s="1"/>
  <c r="V682" i="17" a="1"/>
  <c r="V682" i="17" s="1"/>
  <c r="V732" i="17" a="1"/>
  <c r="V732" i="17" s="1"/>
  <c r="V782" i="17" a="1"/>
  <c r="V782" i="17" s="1"/>
  <c r="V832" i="17" a="1"/>
  <c r="V832" i="17" s="1"/>
  <c r="V882" i="17" a="1"/>
  <c r="V882" i="17" s="1"/>
  <c r="V932" i="17" a="1"/>
  <c r="V932" i="17" s="1"/>
  <c r="V982" i="17" a="1"/>
  <c r="V982" i="17"/>
  <c r="V188" i="17" a="1"/>
  <c r="V188" i="17" s="1"/>
  <c r="V189" i="17" a="1"/>
  <c r="V189" i="17" s="1"/>
  <c r="V190" i="17" a="1"/>
  <c r="V190" i="17" s="1"/>
  <c r="V191" i="17" a="1"/>
  <c r="V191" i="17" s="1"/>
  <c r="V192" i="17" a="1"/>
  <c r="V192" i="17" s="1"/>
  <c r="V193" i="17" a="1"/>
  <c r="V193" i="17" s="1"/>
  <c r="V395" i="17" a="1"/>
  <c r="V395" i="17" s="1"/>
  <c r="V396" i="17" a="1"/>
  <c r="V396" i="17"/>
  <c r="V397" i="17" a="1"/>
  <c r="V397" i="17" s="1"/>
  <c r="V483" i="17" a="1"/>
  <c r="V483" i="17" s="1"/>
  <c r="V595" i="17" a="1"/>
  <c r="V595" i="17" s="1"/>
  <c r="V596" i="17" a="1"/>
  <c r="V596" i="17" s="1"/>
  <c r="V597" i="17" a="1"/>
  <c r="V597" i="17" s="1"/>
  <c r="V683" i="17" a="1"/>
  <c r="V683" i="17" s="1"/>
  <c r="V733" i="17" a="1"/>
  <c r="V733" i="17" s="1"/>
  <c r="V783" i="17" a="1"/>
  <c r="V783" i="17"/>
  <c r="V833" i="17" a="1"/>
  <c r="V833" i="17" s="1"/>
  <c r="V883" i="17" a="1"/>
  <c r="V883" i="17" s="1"/>
  <c r="V933" i="17" a="1"/>
  <c r="V933" i="17" s="1"/>
  <c r="V983" i="17" a="1"/>
  <c r="V983" i="17" s="1"/>
  <c r="V194" i="17" a="1"/>
  <c r="V194" i="17" s="1"/>
  <c r="V195" i="17" a="1"/>
  <c r="V195" i="17"/>
  <c r="V196" i="17" a="1"/>
  <c r="V196" i="17" s="1"/>
  <c r="V197" i="17" a="1"/>
  <c r="V197" i="17"/>
  <c r="V198" i="17" a="1"/>
  <c r="V198" i="17" s="1"/>
  <c r="V199" i="17" a="1"/>
  <c r="V199" i="17" s="1"/>
  <c r="V398" i="17" a="1"/>
  <c r="V398" i="17" s="1"/>
  <c r="V399" i="17" a="1"/>
  <c r="V399" i="17" s="1"/>
  <c r="V400" i="17" a="1"/>
  <c r="V400" i="17" s="1"/>
  <c r="V484" i="17" a="1"/>
  <c r="V484" i="17" s="1"/>
  <c r="V598" i="17" a="1"/>
  <c r="V598" i="17" s="1"/>
  <c r="V599" i="17" a="1"/>
  <c r="V599" i="17"/>
  <c r="V600" i="17" a="1"/>
  <c r="V600" i="17" s="1"/>
  <c r="V684" i="17" a="1"/>
  <c r="V684" i="17" s="1"/>
  <c r="V734" i="17" a="1"/>
  <c r="V734" i="17" s="1"/>
  <c r="V784" i="17" a="1"/>
  <c r="V784" i="17" s="1"/>
  <c r="V834" i="17" a="1"/>
  <c r="V834" i="17" s="1"/>
  <c r="V884" i="17" a="1"/>
  <c r="V884" i="17"/>
  <c r="V934" i="17" a="1"/>
  <c r="V934" i="17" s="1"/>
  <c r="V984" i="17" a="1"/>
  <c r="V984" i="17" s="1"/>
  <c r="V200" i="17" a="1"/>
  <c r="V200" i="17" s="1"/>
  <c r="V201" i="17" a="1"/>
  <c r="V201" i="17" s="1"/>
  <c r="V202" i="17" a="1"/>
  <c r="V202" i="17" s="1"/>
  <c r="V203" i="17" a="1"/>
  <c r="V203" i="17" s="1"/>
  <c r="V204" i="17" a="1"/>
  <c r="V204" i="17" s="1"/>
  <c r="V205" i="17" a="1"/>
  <c r="V205" i="17" s="1"/>
  <c r="V401" i="17" a="1"/>
  <c r="V401" i="17" s="1"/>
  <c r="V402" i="17" a="1"/>
  <c r="V402" i="17"/>
  <c r="V403" i="17" a="1"/>
  <c r="V403" i="17" s="1"/>
  <c r="V485" i="17" a="1"/>
  <c r="V485" i="17" s="1"/>
  <c r="V601" i="17" a="1"/>
  <c r="V601" i="17" s="1"/>
  <c r="V602" i="17" a="1"/>
  <c r="V602" i="17" s="1"/>
  <c r="V603" i="17" a="1"/>
  <c r="V603" i="17" s="1"/>
  <c r="V685" i="17" a="1"/>
  <c r="V685" i="17" s="1"/>
  <c r="V735" i="17" a="1"/>
  <c r="V735" i="17" s="1"/>
  <c r="V785" i="17" a="1"/>
  <c r="V785" i="17"/>
  <c r="V835" i="17" a="1"/>
  <c r="V835" i="17" s="1"/>
  <c r="V885" i="17" a="1"/>
  <c r="V885" i="17" s="1"/>
  <c r="V935" i="17" a="1"/>
  <c r="V935" i="17" s="1"/>
  <c r="V985" i="17" a="1"/>
  <c r="V985" i="17" s="1"/>
  <c r="V206" i="17" a="1"/>
  <c r="V206" i="17" s="1"/>
  <c r="V207" i="17" a="1"/>
  <c r="V207" i="17" s="1"/>
  <c r="V208" i="17" a="1"/>
  <c r="V208" i="17" s="1"/>
  <c r="V209" i="17" a="1"/>
  <c r="V209" i="17" s="1"/>
  <c r="V210" i="17" a="1"/>
  <c r="V210" i="17" s="1"/>
  <c r="V211" i="17" a="1"/>
  <c r="V211" i="17" s="1"/>
  <c r="V404" i="17" a="1"/>
  <c r="V404" i="17" s="1"/>
  <c r="V405" i="17" a="1"/>
  <c r="V405" i="17" s="1"/>
  <c r="V406" i="17" a="1"/>
  <c r="V406" i="17" s="1"/>
  <c r="V486" i="17" a="1"/>
  <c r="V486" i="17"/>
  <c r="V604" i="17" a="1"/>
  <c r="V604" i="17" s="1"/>
  <c r="V605" i="17" a="1"/>
  <c r="V605" i="17" s="1"/>
  <c r="V606" i="17" a="1"/>
  <c r="V606" i="17" s="1"/>
  <c r="V686" i="17" a="1"/>
  <c r="V686" i="17" s="1"/>
  <c r="V736" i="17" a="1"/>
  <c r="V736" i="17" s="1"/>
  <c r="V786" i="17" a="1"/>
  <c r="V786" i="17" s="1"/>
  <c r="V836" i="17" a="1"/>
  <c r="V836" i="17" s="1"/>
  <c r="V886" i="17" a="1"/>
  <c r="V886" i="17"/>
  <c r="V936" i="17" a="1"/>
  <c r="V936" i="17" s="1"/>
  <c r="V986" i="17" a="1"/>
  <c r="V986" i="17" s="1"/>
  <c r="V212" i="17" a="1"/>
  <c r="V212" i="17" s="1"/>
  <c r="V213" i="17" a="1"/>
  <c r="V213" i="17" s="1"/>
  <c r="V214" i="17" a="1"/>
  <c r="V214" i="17" s="1"/>
  <c r="V215" i="17" a="1"/>
  <c r="V215" i="17" s="1"/>
  <c r="V216" i="17" a="1"/>
  <c r="V216" i="17" s="1"/>
  <c r="V217" i="17" a="1"/>
  <c r="V217" i="17" s="1"/>
  <c r="V407" i="17" a="1"/>
  <c r="V407" i="17" s="1"/>
  <c r="V408" i="17" a="1"/>
  <c r="V408" i="17"/>
  <c r="V409" i="17" a="1"/>
  <c r="V409" i="17" s="1"/>
  <c r="V487" i="17" a="1"/>
  <c r="V487" i="17" s="1"/>
  <c r="V607" i="17" a="1"/>
  <c r="V607" i="17" s="1"/>
  <c r="V608" i="17" a="1"/>
  <c r="V608" i="17" s="1"/>
  <c r="V609" i="17" a="1"/>
  <c r="V609" i="17" s="1"/>
  <c r="V687" i="17" a="1"/>
  <c r="V687" i="17" s="1"/>
  <c r="V737" i="17" a="1"/>
  <c r="V737" i="17" s="1"/>
  <c r="V787" i="17" a="1"/>
  <c r="V787" i="17" s="1"/>
  <c r="V837" i="17" a="1"/>
  <c r="V837" i="17" s="1"/>
  <c r="V887" i="17" a="1"/>
  <c r="V887" i="17" s="1"/>
  <c r="V937" i="17" a="1"/>
  <c r="V937" i="17" s="1"/>
  <c r="V987" i="17" a="1"/>
  <c r="V987" i="17" s="1"/>
  <c r="V218" i="17" a="1"/>
  <c r="V218" i="17" s="1"/>
  <c r="V219" i="17" a="1"/>
  <c r="V219" i="17"/>
  <c r="V220" i="17" a="1"/>
  <c r="V220" i="17" s="1"/>
  <c r="V221" i="17" a="1"/>
  <c r="V221" i="17"/>
  <c r="V222" i="17" a="1"/>
  <c r="V222" i="17" s="1"/>
  <c r="V223" i="17" a="1"/>
  <c r="V223" i="17" s="1"/>
  <c r="V410" i="17" a="1"/>
  <c r="V410" i="17" s="1"/>
  <c r="V411" i="17" a="1"/>
  <c r="V411" i="17" s="1"/>
  <c r="V412" i="17" a="1"/>
  <c r="V412" i="17" s="1"/>
  <c r="V488" i="17" a="1"/>
  <c r="V488" i="17" s="1"/>
  <c r="V610" i="17" a="1"/>
  <c r="V610" i="17" s="1"/>
  <c r="V611" i="17" a="1"/>
  <c r="V611" i="17"/>
  <c r="V612" i="17" a="1"/>
  <c r="V612" i="17" s="1"/>
  <c r="V688" i="17" a="1"/>
  <c r="V688" i="17" s="1"/>
  <c r="V738" i="17" a="1"/>
  <c r="V738" i="17" s="1"/>
  <c r="V788" i="17" a="1"/>
  <c r="V788" i="17" s="1"/>
  <c r="V838" i="17" a="1"/>
  <c r="V838" i="17" s="1"/>
  <c r="V888" i="17" a="1"/>
  <c r="V888" i="17"/>
  <c r="V938" i="17" a="1"/>
  <c r="V938" i="17" s="1"/>
  <c r="V988" i="17" a="1"/>
  <c r="V988" i="17"/>
  <c r="V224" i="17" a="1"/>
  <c r="V224" i="17" s="1"/>
  <c r="V225" i="17" a="1"/>
  <c r="V225" i="17" s="1"/>
  <c r="V226" i="17" a="1"/>
  <c r="V226" i="17" s="1"/>
  <c r="V227" i="17" a="1"/>
  <c r="V227" i="17" s="1"/>
  <c r="V228" i="17" a="1"/>
  <c r="V228" i="17" s="1"/>
  <c r="V229" i="17" a="1"/>
  <c r="V229" i="17" s="1"/>
  <c r="V413" i="17" a="1"/>
  <c r="V413" i="17" s="1"/>
  <c r="V414" i="17" a="1"/>
  <c r="V414" i="17"/>
  <c r="V415" i="17" a="1"/>
  <c r="V415" i="17" s="1"/>
  <c r="V489" i="17" a="1"/>
  <c r="V489" i="17" s="1"/>
  <c r="V613" i="17" a="1"/>
  <c r="V613" i="17" s="1"/>
  <c r="V614" i="17" a="1"/>
  <c r="V614" i="17" s="1"/>
  <c r="V615" i="17" a="1"/>
  <c r="V615" i="17" s="1"/>
  <c r="V689" i="17" a="1"/>
  <c r="V689" i="17"/>
  <c r="V739" i="17" a="1"/>
  <c r="V739" i="17" s="1"/>
  <c r="V789" i="17" a="1"/>
  <c r="V789" i="17" s="1"/>
  <c r="V839" i="17" a="1"/>
  <c r="V839" i="17" s="1"/>
  <c r="V889" i="17" a="1"/>
  <c r="V889" i="17" s="1"/>
  <c r="V939" i="17" a="1"/>
  <c r="V939" i="17" s="1"/>
  <c r="V989" i="17" a="1"/>
  <c r="V989" i="17" s="1"/>
  <c r="V230" i="17" a="1"/>
  <c r="V230" i="17" s="1"/>
  <c r="V231" i="17" a="1"/>
  <c r="V231" i="17" s="1"/>
  <c r="V232" i="17" a="1"/>
  <c r="V232" i="17" s="1"/>
  <c r="V233" i="17" a="1"/>
  <c r="V233" i="17"/>
  <c r="V234" i="17" a="1"/>
  <c r="V234" i="17" s="1"/>
  <c r="V235" i="17" a="1"/>
  <c r="V235" i="17" s="1"/>
  <c r="V416" i="17" a="1"/>
  <c r="V416" i="17" s="1"/>
  <c r="V417" i="17" a="1"/>
  <c r="V417" i="17" s="1"/>
  <c r="V418" i="17" a="1"/>
  <c r="V418" i="17" s="1"/>
  <c r="V490" i="17" a="1"/>
  <c r="V490" i="17" s="1"/>
  <c r="V616" i="17" a="1"/>
  <c r="V616" i="17" s="1"/>
  <c r="V617" i="17" a="1"/>
  <c r="V617" i="17"/>
  <c r="V618" i="17" a="1"/>
  <c r="V618" i="17" s="1"/>
  <c r="V690" i="17" a="1"/>
  <c r="V690" i="17" s="1"/>
  <c r="V740" i="17" a="1"/>
  <c r="V740" i="17" s="1"/>
  <c r="V790" i="17" a="1"/>
  <c r="V790" i="17" s="1"/>
  <c r="V840" i="17" a="1"/>
  <c r="V840" i="17" s="1"/>
  <c r="V890" i="17" a="1"/>
  <c r="V890" i="17" s="1"/>
  <c r="V940" i="17" a="1"/>
  <c r="V940" i="17" s="1"/>
  <c r="V990" i="17" a="1"/>
  <c r="V990" i="17" s="1"/>
  <c r="V236" i="17" a="1"/>
  <c r="V236" i="17" s="1"/>
  <c r="V237" i="17" a="1"/>
  <c r="V237" i="17" s="1"/>
  <c r="V238" i="17" a="1"/>
  <c r="V238" i="17" s="1"/>
  <c r="V239" i="17" a="1"/>
  <c r="V239" i="17" s="1"/>
  <c r="V240" i="17" a="1"/>
  <c r="V240" i="17" s="1"/>
  <c r="V241" i="17" a="1"/>
  <c r="V241" i="17"/>
  <c r="V419" i="17" a="1"/>
  <c r="V419" i="17" s="1"/>
  <c r="V420" i="17" a="1"/>
  <c r="V420" i="17"/>
  <c r="V421" i="17" a="1"/>
  <c r="V421" i="17" s="1"/>
  <c r="V491" i="17" a="1"/>
  <c r="V491" i="17" s="1"/>
  <c r="V619" i="17" a="1"/>
  <c r="V619" i="17" s="1"/>
  <c r="V620" i="17" a="1"/>
  <c r="V620" i="17" s="1"/>
  <c r="V621" i="17" a="1"/>
  <c r="V621" i="17" s="1"/>
  <c r="V691" i="17" a="1"/>
  <c r="V691" i="17" s="1"/>
  <c r="V741" i="17" a="1"/>
  <c r="V741" i="17" s="1"/>
  <c r="V791" i="17" a="1"/>
  <c r="V791" i="17"/>
  <c r="V841" i="17" a="1"/>
  <c r="V841" i="17" s="1"/>
  <c r="V891" i="17" a="1"/>
  <c r="V891" i="17" s="1"/>
  <c r="V941" i="17" a="1"/>
  <c r="V941" i="17" s="1"/>
  <c r="V991" i="17" a="1"/>
  <c r="V991" i="17" s="1"/>
  <c r="V242" i="17" a="1"/>
  <c r="V242" i="17" s="1"/>
  <c r="V243" i="17" a="1"/>
  <c r="V243" i="17"/>
  <c r="V244" i="17" a="1"/>
  <c r="V244" i="17" s="1"/>
  <c r="V245" i="17" a="1"/>
  <c r="V245" i="17" s="1"/>
  <c r="V246" i="17" a="1"/>
  <c r="V246" i="17" s="1"/>
  <c r="V247" i="17" a="1"/>
  <c r="V247" i="17" s="1"/>
  <c r="V422" i="17" a="1"/>
  <c r="V422" i="17" s="1"/>
  <c r="V423" i="17" a="1"/>
  <c r="V423" i="17" s="1"/>
  <c r="V424" i="17" a="1"/>
  <c r="V424" i="17" s="1"/>
  <c r="V492" i="17" a="1"/>
  <c r="V492" i="17" s="1"/>
  <c r="V622" i="17" a="1"/>
  <c r="V622" i="17" s="1"/>
  <c r="V623" i="17" a="1"/>
  <c r="V623" i="17"/>
  <c r="V624" i="17" a="1"/>
  <c r="V624" i="17" s="1"/>
  <c r="V692" i="17" a="1"/>
  <c r="V692" i="17" s="1"/>
  <c r="V742" i="17" a="1"/>
  <c r="V742" i="17" s="1"/>
  <c r="V792" i="17" a="1"/>
  <c r="V792" i="17" s="1"/>
  <c r="V842" i="17" a="1"/>
  <c r="V842" i="17" s="1"/>
  <c r="V892" i="17" a="1"/>
  <c r="V892" i="17" s="1"/>
  <c r="V942" i="17" a="1"/>
  <c r="V942" i="17" s="1"/>
  <c r="V992" i="17" a="1"/>
  <c r="V992" i="17" s="1"/>
  <c r="V248" i="17" a="1"/>
  <c r="V248" i="17" s="1"/>
  <c r="V249" i="17" a="1"/>
  <c r="V249" i="17" s="1"/>
  <c r="V250" i="17" a="1"/>
  <c r="V250" i="17" s="1"/>
  <c r="V251" i="17" a="1"/>
  <c r="V251" i="17" s="1"/>
  <c r="V252" i="17" a="1"/>
  <c r="V252" i="17" s="1"/>
  <c r="V253" i="17" a="1"/>
  <c r="V253" i="17" s="1"/>
  <c r="V425" i="17" a="1"/>
  <c r="V425" i="17" s="1"/>
  <c r="V426" i="17" a="1"/>
  <c r="V426" i="17"/>
  <c r="V427" i="17" a="1"/>
  <c r="V427" i="17" s="1"/>
  <c r="V493" i="17" a="1"/>
  <c r="V493" i="17" s="1"/>
  <c r="V625" i="17" a="1"/>
  <c r="V625" i="17" s="1"/>
  <c r="V626" i="17" a="1"/>
  <c r="V626" i="17" s="1"/>
  <c r="V627" i="17" a="1"/>
  <c r="V627" i="17" s="1"/>
  <c r="V693" i="17" a="1"/>
  <c r="V693" i="17"/>
  <c r="V743" i="17" a="1"/>
  <c r="V743" i="17" s="1"/>
  <c r="V793" i="17" a="1"/>
  <c r="V793" i="17" s="1"/>
  <c r="V843" i="17" a="1"/>
  <c r="V843" i="17" s="1"/>
  <c r="V893" i="17" a="1"/>
  <c r="V893" i="17" s="1"/>
  <c r="V943" i="17" a="1"/>
  <c r="V943" i="17" s="1"/>
  <c r="V993" i="17" a="1"/>
  <c r="V993" i="17" s="1"/>
  <c r="V254" i="17" a="1"/>
  <c r="V254" i="17" s="1"/>
  <c r="V255" i="17" a="1"/>
  <c r="V255" i="17" s="1"/>
  <c r="V256" i="17" a="1"/>
  <c r="V256" i="17" s="1"/>
  <c r="V257" i="17" a="1"/>
  <c r="V257" i="17"/>
  <c r="V258" i="17" a="1"/>
  <c r="V258" i="17" s="1"/>
  <c r="V259" i="17" a="1"/>
  <c r="V259" i="17" s="1"/>
  <c r="V428" i="17" a="1"/>
  <c r="V428" i="17" s="1"/>
  <c r="V429" i="17" a="1"/>
  <c r="V429" i="17" s="1"/>
  <c r="V430" i="17" a="1"/>
  <c r="V430" i="17" s="1"/>
  <c r="V494" i="17" a="1"/>
  <c r="V494" i="17" s="1"/>
  <c r="V628" i="17" a="1"/>
  <c r="V628" i="17" s="1"/>
  <c r="V629" i="17" a="1"/>
  <c r="V629" i="17" s="1"/>
  <c r="V630" i="17" a="1"/>
  <c r="V630" i="17" s="1"/>
  <c r="V694" i="17" a="1"/>
  <c r="V694" i="17" s="1"/>
  <c r="V744" i="17" a="1"/>
  <c r="V744" i="17" s="1"/>
  <c r="V794" i="17" a="1"/>
  <c r="V794" i="17" s="1"/>
  <c r="V844" i="17" a="1"/>
  <c r="V844" i="17" s="1"/>
  <c r="V894" i="17" a="1"/>
  <c r="V894" i="17" s="1"/>
  <c r="V944" i="17" a="1"/>
  <c r="V944" i="17" s="1"/>
  <c r="V994" i="17" a="1"/>
  <c r="V994" i="17"/>
  <c r="V260" i="17" a="1"/>
  <c r="V260" i="17" s="1"/>
  <c r="V261" i="17" a="1"/>
  <c r="V261" i="17" s="1"/>
  <c r="V262" i="17" a="1"/>
  <c r="V262" i="17" s="1"/>
  <c r="V263" i="17" a="1"/>
  <c r="V263" i="17" s="1"/>
  <c r="V264" i="17" a="1"/>
  <c r="V264" i="17" s="1"/>
  <c r="V265" i="17" a="1"/>
  <c r="V265" i="17"/>
  <c r="V431" i="17" a="1"/>
  <c r="V431" i="17" s="1"/>
  <c r="V432" i="17" a="1"/>
  <c r="V432" i="17" s="1"/>
  <c r="V433" i="17" a="1"/>
  <c r="V433" i="17" s="1"/>
  <c r="V495" i="17" a="1"/>
  <c r="V495" i="17" s="1"/>
  <c r="V631" i="17" a="1"/>
  <c r="V631" i="17" s="1"/>
  <c r="V632" i="17" a="1"/>
  <c r="V632" i="17" s="1"/>
  <c r="V633" i="17" a="1"/>
  <c r="V633" i="17" s="1"/>
  <c r="V695" i="17" a="1"/>
  <c r="V695" i="17" s="1"/>
  <c r="V745" i="17" a="1"/>
  <c r="V745" i="17" s="1"/>
  <c r="V795" i="17" a="1"/>
  <c r="V795" i="17"/>
  <c r="V845" i="17" a="1"/>
  <c r="V845" i="17" s="1"/>
  <c r="V895" i="17" a="1"/>
  <c r="V895" i="17" s="1"/>
  <c r="V945" i="17" a="1"/>
  <c r="V945" i="17" s="1"/>
  <c r="V995" i="17" a="1"/>
  <c r="V995" i="17" s="1"/>
  <c r="V266" i="17" a="1"/>
  <c r="V266" i="17" s="1"/>
  <c r="V267" i="17" a="1"/>
  <c r="V267" i="17" s="1"/>
  <c r="V268" i="17" a="1"/>
  <c r="V268" i="17" s="1"/>
  <c r="V269" i="17" a="1"/>
  <c r="V269" i="17" s="1"/>
  <c r="V270" i="17" a="1"/>
  <c r="V270" i="17" s="1"/>
  <c r="V271" i="17" a="1"/>
  <c r="V271" i="17" s="1"/>
  <c r="V434" i="17" a="1"/>
  <c r="V434" i="17" s="1"/>
  <c r="V435" i="17" a="1"/>
  <c r="V435" i="17" s="1"/>
  <c r="V436" i="17" a="1"/>
  <c r="V436" i="17" s="1"/>
  <c r="V496" i="17" a="1"/>
  <c r="V496" i="17" s="1"/>
  <c r="V634" i="17" a="1"/>
  <c r="V634" i="17" s="1"/>
  <c r="V635" i="17" a="1"/>
  <c r="V635" i="17"/>
  <c r="V636" i="17" a="1"/>
  <c r="V636" i="17" s="1"/>
  <c r="V696" i="17" a="1"/>
  <c r="V696" i="17" s="1"/>
  <c r="V746" i="17" a="1"/>
  <c r="V746" i="17" s="1"/>
  <c r="V796" i="17" a="1"/>
  <c r="V796" i="17" s="1"/>
  <c r="V846" i="17" a="1"/>
  <c r="V846" i="17" s="1"/>
  <c r="V896" i="17" a="1"/>
  <c r="V896" i="17"/>
  <c r="V946" i="17" a="1"/>
  <c r="V946" i="17" s="1"/>
  <c r="V996" i="17" a="1"/>
  <c r="V996" i="17" s="1"/>
  <c r="V272" i="17" a="1"/>
  <c r="V272" i="17" s="1"/>
  <c r="V273" i="17" a="1"/>
  <c r="V273" i="17" s="1"/>
  <c r="V274" i="17" a="1"/>
  <c r="V274" i="17" s="1"/>
  <c r="V275" i="17" a="1"/>
  <c r="V275" i="17" s="1"/>
  <c r="V276" i="17" a="1"/>
  <c r="V276" i="17" s="1"/>
  <c r="V277" i="17" a="1"/>
  <c r="V277" i="17" s="1"/>
  <c r="V437" i="17" a="1"/>
  <c r="V437" i="17" s="1"/>
  <c r="V438" i="17" a="1"/>
  <c r="V438" i="17"/>
  <c r="V439" i="17" a="1"/>
  <c r="V439" i="17" s="1"/>
  <c r="V497" i="17" a="1"/>
  <c r="V497" i="17" s="1"/>
  <c r="V637" i="17" a="1"/>
  <c r="V637" i="17" s="1"/>
  <c r="V638" i="17" a="1"/>
  <c r="V638" i="17" s="1"/>
  <c r="V639" i="17" a="1"/>
  <c r="V639" i="17" s="1"/>
  <c r="V697" i="17" a="1"/>
  <c r="V697" i="17" s="1"/>
  <c r="V747" i="17" a="1"/>
  <c r="V747" i="17" s="1"/>
  <c r="V797" i="17" a="1"/>
  <c r="V797" i="17" s="1"/>
  <c r="V847" i="17" a="1"/>
  <c r="V847" i="17" s="1"/>
  <c r="V897" i="17" a="1"/>
  <c r="V897" i="17" s="1"/>
  <c r="V947" i="17" a="1"/>
  <c r="V947" i="17" s="1"/>
  <c r="V997" i="17" a="1"/>
  <c r="V997" i="17" s="1"/>
  <c r="V278" i="17" a="1"/>
  <c r="V278" i="17" s="1"/>
  <c r="V279" i="17" a="1"/>
  <c r="V279" i="17" s="1"/>
  <c r="V280" i="17" a="1"/>
  <c r="V280" i="17" s="1"/>
  <c r="V281" i="17" a="1"/>
  <c r="V281" i="17"/>
  <c r="V282" i="17" a="1"/>
  <c r="V282" i="17" s="1"/>
  <c r="V283" i="17" a="1"/>
  <c r="V283" i="17" s="1"/>
  <c r="V440" i="17" a="1"/>
  <c r="V440" i="17" s="1"/>
  <c r="V441" i="17" a="1"/>
  <c r="V441" i="17" s="1"/>
  <c r="V442" i="17" a="1"/>
  <c r="V442" i="17" s="1"/>
  <c r="V498" i="17" a="1"/>
  <c r="V498" i="17"/>
  <c r="V640" i="17" a="1"/>
  <c r="V640" i="17" s="1"/>
  <c r="V641" i="17" a="1"/>
  <c r="V641" i="17" s="1"/>
  <c r="V642" i="17" a="1"/>
  <c r="V642" i="17" s="1"/>
  <c r="V698" i="17" a="1"/>
  <c r="V698" i="17" s="1"/>
  <c r="V748" i="17" a="1"/>
  <c r="V748" i="17" s="1"/>
  <c r="V798" i="17" a="1"/>
  <c r="V798" i="17" s="1"/>
  <c r="V848" i="17" a="1"/>
  <c r="V848" i="17" s="1"/>
  <c r="V898" i="17" a="1"/>
  <c r="V898" i="17" s="1"/>
  <c r="V948" i="17" a="1"/>
  <c r="V948" i="17" s="1"/>
  <c r="V998" i="17" a="1"/>
  <c r="V998" i="17"/>
  <c r="V284" i="17" a="1"/>
  <c r="V284" i="17" s="1"/>
  <c r="V285" i="17" a="1"/>
  <c r="V285" i="17" s="1"/>
  <c r="V286" i="17" a="1"/>
  <c r="V286" i="17" s="1"/>
  <c r="V287" i="17" a="1"/>
  <c r="V287" i="17" s="1"/>
  <c r="V288" i="17" a="1"/>
  <c r="V288" i="17" s="1"/>
  <c r="V289" i="17" a="1"/>
  <c r="V289" i="17" s="1"/>
  <c r="V443" i="17" a="1"/>
  <c r="V443" i="17" s="1"/>
  <c r="V444" i="17" a="1"/>
  <c r="V444" i="17" s="1"/>
  <c r="V445" i="17" a="1"/>
  <c r="V445" i="17" s="1"/>
  <c r="V499" i="17" a="1"/>
  <c r="V499" i="17" s="1"/>
  <c r="V643" i="17" a="1"/>
  <c r="V643" i="17" s="1"/>
  <c r="V644" i="17" a="1"/>
  <c r="V644" i="17" s="1"/>
  <c r="V645" i="17" a="1"/>
  <c r="V645" i="17" s="1"/>
  <c r="V699" i="17" a="1"/>
  <c r="V699" i="17" s="1"/>
  <c r="V749" i="17" a="1"/>
  <c r="V749" i="17" s="1"/>
  <c r="V799" i="17" a="1"/>
  <c r="V799" i="17"/>
  <c r="V849" i="17" a="1"/>
  <c r="V849" i="17" s="1"/>
  <c r="V899" i="17" a="1"/>
  <c r="V899" i="17" s="1"/>
  <c r="V949" i="17" a="1"/>
  <c r="V949" i="17" s="1"/>
  <c r="V999" i="17" a="1"/>
  <c r="V999" i="17" s="1"/>
  <c r="V290" i="17" a="1"/>
  <c r="V290" i="17" s="1"/>
  <c r="V291" i="17" a="1"/>
  <c r="V291" i="17"/>
  <c r="V292" i="17" a="1"/>
  <c r="V292" i="17" s="1"/>
  <c r="V293" i="17" a="1"/>
  <c r="V293" i="17" s="1"/>
  <c r="V294" i="17" a="1"/>
  <c r="V294" i="17" s="1"/>
  <c r="V295" i="17" a="1"/>
  <c r="V295" i="17" s="1"/>
  <c r="V446" i="17" a="1"/>
  <c r="V446" i="17" s="1"/>
  <c r="V447" i="17" a="1"/>
  <c r="V447" i="17" s="1"/>
  <c r="V448" i="17" a="1"/>
  <c r="V448" i="17" s="1"/>
  <c r="V500" i="17" a="1"/>
  <c r="V500" i="17" s="1"/>
  <c r="V646" i="17" a="1"/>
  <c r="V646" i="17" s="1"/>
  <c r="V647" i="17" a="1"/>
  <c r="V647" i="17"/>
  <c r="V648" i="17" a="1"/>
  <c r="V648" i="17" s="1"/>
  <c r="V700" i="17" a="1"/>
  <c r="V700" i="17" s="1"/>
  <c r="V750" i="17" a="1"/>
  <c r="V750" i="17" s="1"/>
  <c r="V800" i="17" a="1"/>
  <c r="V800" i="17" s="1"/>
  <c r="V850" i="17" a="1"/>
  <c r="V850" i="17" s="1"/>
  <c r="V900" i="17" a="1"/>
  <c r="V900" i="17" s="1"/>
  <c r="V950" i="17" a="1"/>
  <c r="V950" i="17" s="1"/>
  <c r="V1000" i="17" a="1"/>
  <c r="V1000" i="17" s="1"/>
  <c r="V296" i="17" a="1"/>
  <c r="V296" i="17" s="1"/>
  <c r="V297" i="17" a="1"/>
  <c r="V297" i="17" s="1"/>
  <c r="V298" i="17" a="1"/>
  <c r="V298" i="17" s="1"/>
  <c r="V299" i="17" a="1"/>
  <c r="V299" i="17" s="1"/>
  <c r="V300" i="17" a="1"/>
  <c r="V300" i="17" s="1"/>
  <c r="V301" i="17" a="1"/>
  <c r="V301" i="17" s="1"/>
  <c r="V449" i="17" a="1"/>
  <c r="V449" i="17" s="1"/>
  <c r="V450" i="17" a="1"/>
  <c r="V450" i="17"/>
  <c r="V451" i="17" a="1"/>
  <c r="V451" i="17" s="1"/>
  <c r="V501" i="17" a="1"/>
  <c r="V501" i="17" s="1"/>
  <c r="V649" i="17" a="1"/>
  <c r="V649" i="17" s="1"/>
  <c r="V650" i="17" a="1"/>
  <c r="V650" i="17" s="1"/>
  <c r="V651" i="17" a="1"/>
  <c r="V651" i="17" s="1"/>
  <c r="V701" i="17" a="1"/>
  <c r="V701" i="17"/>
  <c r="V751" i="17" a="1"/>
  <c r="V751" i="17" s="1"/>
  <c r="V801" i="17" a="1"/>
  <c r="V801" i="17" s="1"/>
  <c r="V851" i="17" a="1"/>
  <c r="V851" i="17" s="1"/>
  <c r="V901" i="17" a="1"/>
  <c r="V901" i="17" s="1"/>
  <c r="V951" i="17" a="1"/>
  <c r="V951" i="17" s="1"/>
  <c r="V1001" i="17" a="1"/>
  <c r="V1001" i="17" s="1"/>
  <c r="X2" i="17" a="1"/>
  <c r="X2" i="17" s="1"/>
  <c r="X3" i="17" a="1"/>
  <c r="X3" i="17" s="1"/>
  <c r="Y3" i="17" s="1"/>
  <c r="Q3" i="17" s="1"/>
  <c r="W3" i="17" s="1"/>
  <c r="X4" i="17" a="1"/>
  <c r="X4" i="17" s="1"/>
  <c r="X5" i="17" a="1"/>
  <c r="X5" i="17" s="1"/>
  <c r="Y5" i="17" s="1"/>
  <c r="Q5" i="17" s="1"/>
  <c r="W5" i="17" s="1"/>
  <c r="X6" i="17" a="1"/>
  <c r="X6" i="17" s="1"/>
  <c r="X7" i="17" a="1"/>
  <c r="X7" i="17" s="1"/>
  <c r="Y7" i="17" s="1"/>
  <c r="Q7" i="17" s="1"/>
  <c r="W7" i="17" s="1"/>
  <c r="X302" i="17" a="1"/>
  <c r="X302" i="17" s="1"/>
  <c r="X303" i="17" a="1"/>
  <c r="X303" i="17"/>
  <c r="X304" i="17" a="1"/>
  <c r="X304" i="17" s="1"/>
  <c r="X452" i="17" a="1"/>
  <c r="X452" i="17" s="1"/>
  <c r="Y452" i="17" s="1"/>
  <c r="Q452" i="17" s="1"/>
  <c r="W452" i="17" s="1"/>
  <c r="X502" i="17" a="1"/>
  <c r="X502" i="17" s="1"/>
  <c r="X503" i="17" a="1"/>
  <c r="X503" i="17" s="1"/>
  <c r="Y503" i="17" s="1"/>
  <c r="Q503" i="17" s="1"/>
  <c r="W503" i="17" s="1"/>
  <c r="X504" i="17" a="1"/>
  <c r="X504" i="17" s="1"/>
  <c r="X652" i="17" a="1"/>
  <c r="X652" i="17" s="1"/>
  <c r="Y652" i="17" s="1"/>
  <c r="Q652" i="17" s="1"/>
  <c r="W652" i="17" s="1"/>
  <c r="X702" i="17" a="1"/>
  <c r="X702" i="17" s="1"/>
  <c r="X752" i="17" a="1"/>
  <c r="X752" i="17" s="1"/>
  <c r="Y752" i="17" s="1"/>
  <c r="Q752" i="17" s="1"/>
  <c r="W752" i="17" s="1"/>
  <c r="X802" i="17" a="1"/>
  <c r="X802" i="17" s="1"/>
  <c r="X852" i="17" a="1"/>
  <c r="X852" i="17" s="1"/>
  <c r="Y852" i="17" s="1"/>
  <c r="Q852" i="17" s="1"/>
  <c r="W852" i="17" s="1"/>
  <c r="X902" i="17" a="1"/>
  <c r="X902" i="17" s="1"/>
  <c r="X952" i="17" a="1"/>
  <c r="X952" i="17" s="1"/>
  <c r="Y952" i="17" s="1"/>
  <c r="Q952" i="17" s="1"/>
  <c r="W952" i="17" s="1"/>
  <c r="X8" i="17" a="1"/>
  <c r="X8" i="17" s="1"/>
  <c r="X9" i="17" a="1"/>
  <c r="X9" i="17" s="1"/>
  <c r="Y9" i="17" s="1"/>
  <c r="Q9" i="17" s="1"/>
  <c r="W9" i="17" s="1"/>
  <c r="X10" i="17" a="1"/>
  <c r="X10" i="17" s="1"/>
  <c r="X11" i="17" a="1"/>
  <c r="X11" i="17"/>
  <c r="X12" i="17" a="1"/>
  <c r="X12" i="17" s="1"/>
  <c r="X13" i="17" a="1"/>
  <c r="X13" i="17" s="1"/>
  <c r="Y13" i="17" s="1"/>
  <c r="Q13" i="17" s="1"/>
  <c r="W13" i="17" s="1"/>
  <c r="X305" i="17" a="1"/>
  <c r="X305" i="17" s="1"/>
  <c r="X306" i="17" a="1"/>
  <c r="X306" i="17" s="1"/>
  <c r="Y306" i="17" s="1"/>
  <c r="Q306" i="17" s="1"/>
  <c r="W306" i="17" s="1"/>
  <c r="X307" i="17" a="1"/>
  <c r="X307" i="17" s="1"/>
  <c r="X453" i="17" a="1"/>
  <c r="X453" i="17"/>
  <c r="Y453" i="17" s="1"/>
  <c r="Q453" i="17" s="1"/>
  <c r="W453" i="17" s="1"/>
  <c r="X505" i="17" a="1"/>
  <c r="X505" i="17" s="1"/>
  <c r="X506" i="17" a="1"/>
  <c r="X506" i="17" s="1"/>
  <c r="X507" i="17" a="1"/>
  <c r="X507" i="17" s="1"/>
  <c r="X653" i="17" a="1"/>
  <c r="X653" i="17" s="1"/>
  <c r="Y653" i="17" s="1"/>
  <c r="Q653" i="17" s="1"/>
  <c r="W653" i="17" s="1"/>
  <c r="X703" i="17" a="1"/>
  <c r="X703" i="17" s="1"/>
  <c r="X753" i="17" a="1"/>
  <c r="X753" i="17" s="1"/>
  <c r="Y753" i="17" s="1"/>
  <c r="Q753" i="17" s="1"/>
  <c r="W753" i="17" s="1"/>
  <c r="X803" i="17" a="1"/>
  <c r="X803" i="17" s="1"/>
  <c r="X853" i="17" a="1"/>
  <c r="X853" i="17" s="1"/>
  <c r="Y853" i="17" s="1"/>
  <c r="Q853" i="17" s="1"/>
  <c r="W853" i="17" s="1"/>
  <c r="X903" i="17" a="1"/>
  <c r="X903" i="17" s="1"/>
  <c r="X953" i="17" a="1"/>
  <c r="X953" i="17"/>
  <c r="X14" i="17" a="1"/>
  <c r="X14" i="17" s="1"/>
  <c r="X15" i="17" a="1"/>
  <c r="X15" i="17" s="1"/>
  <c r="Y15" i="17" s="1"/>
  <c r="Q15" i="17" s="1"/>
  <c r="W15" i="17" s="1"/>
  <c r="X16" i="17" a="1"/>
  <c r="X16" i="17" s="1"/>
  <c r="X17" i="17" a="1"/>
  <c r="X17" i="17" s="1"/>
  <c r="Y17" i="17" s="1"/>
  <c r="Q17" i="17" s="1"/>
  <c r="W17" i="17" s="1"/>
  <c r="X18" i="17" a="1"/>
  <c r="X18" i="17" s="1"/>
  <c r="X19" i="17" a="1"/>
  <c r="X19" i="17" s="1"/>
  <c r="Y19" i="17" s="1"/>
  <c r="Q19" i="17" s="1"/>
  <c r="W19" i="17" s="1"/>
  <c r="X308" i="17" a="1"/>
  <c r="X308" i="17" s="1"/>
  <c r="X309" i="17" a="1"/>
  <c r="X309" i="17" s="1"/>
  <c r="Y309" i="17" s="1"/>
  <c r="Q309" i="17" s="1"/>
  <c r="W309" i="17" s="1"/>
  <c r="X310" i="17" a="1"/>
  <c r="X310" i="17" s="1"/>
  <c r="X454" i="17" a="1"/>
  <c r="X454" i="17" s="1"/>
  <c r="Y454" i="17" s="1"/>
  <c r="Q454" i="17" s="1"/>
  <c r="W454" i="17" s="1"/>
  <c r="X508" i="17" a="1"/>
  <c r="X508" i="17" s="1"/>
  <c r="X509" i="17" a="1"/>
  <c r="X509" i="17" s="1"/>
  <c r="Y509" i="17" s="1"/>
  <c r="Q509" i="17" s="1"/>
  <c r="W509" i="17" s="1"/>
  <c r="X510" i="17" a="1"/>
  <c r="X510" i="17" s="1"/>
  <c r="X654" i="17" a="1"/>
  <c r="X654" i="17" s="1"/>
  <c r="Y654" i="17" s="1"/>
  <c r="Q654" i="17" s="1"/>
  <c r="W654" i="17" s="1"/>
  <c r="X704" i="17" a="1"/>
  <c r="X704" i="17" s="1"/>
  <c r="X754" i="17" a="1"/>
  <c r="X754" i="17"/>
  <c r="X804" i="17" a="1"/>
  <c r="X804" i="17" s="1"/>
  <c r="X854" i="17" a="1"/>
  <c r="X854" i="17" s="1"/>
  <c r="Y854" i="17" s="1"/>
  <c r="Q854" i="17" s="1"/>
  <c r="W854" i="17" s="1"/>
  <c r="X904" i="17" a="1"/>
  <c r="X904" i="17" s="1"/>
  <c r="X954" i="17" a="1"/>
  <c r="X954" i="17" s="1"/>
  <c r="Y954" i="17" s="1"/>
  <c r="Q954" i="17" s="1"/>
  <c r="W954" i="17" s="1"/>
  <c r="X20" i="17" a="1"/>
  <c r="X20" i="17" s="1"/>
  <c r="X21" i="17" a="1"/>
  <c r="X21" i="17"/>
  <c r="Y21" i="17" s="1"/>
  <c r="Q21" i="17" s="1"/>
  <c r="W21" i="17" s="1"/>
  <c r="X22" i="17" a="1"/>
  <c r="X22" i="17" s="1"/>
  <c r="X23" i="17" a="1"/>
  <c r="X23" i="17" s="1"/>
  <c r="X24" i="17" a="1"/>
  <c r="X24" i="17" s="1"/>
  <c r="X25" i="17" a="1"/>
  <c r="X25" i="17" s="1"/>
  <c r="Y25" i="17" s="1"/>
  <c r="Q25" i="17" s="1"/>
  <c r="W25" i="17" s="1"/>
  <c r="X311" i="17" a="1"/>
  <c r="X311" i="17" s="1"/>
  <c r="X312" i="17" a="1"/>
  <c r="X312" i="17" s="1"/>
  <c r="Y312" i="17" s="1"/>
  <c r="Q312" i="17" s="1"/>
  <c r="W312" i="17" s="1"/>
  <c r="X313" i="17" a="1"/>
  <c r="X313" i="17" s="1"/>
  <c r="X455" i="17" a="1"/>
  <c r="X455" i="17" s="1"/>
  <c r="Y455" i="17" s="1"/>
  <c r="Q455" i="17" s="1"/>
  <c r="W455" i="17" s="1"/>
  <c r="X511" i="17" a="1"/>
  <c r="X511" i="17" s="1"/>
  <c r="X512" i="17" a="1"/>
  <c r="X512" i="17"/>
  <c r="X513" i="17" a="1"/>
  <c r="X513" i="17" s="1"/>
  <c r="X655" i="17" a="1"/>
  <c r="X655" i="17" s="1"/>
  <c r="Y655" i="17" s="1"/>
  <c r="Q655" i="17" s="1"/>
  <c r="W655" i="17" s="1"/>
  <c r="X705" i="17" a="1"/>
  <c r="X705" i="17" s="1"/>
  <c r="X755" i="17" a="1"/>
  <c r="X755" i="17" s="1"/>
  <c r="Y755" i="17" s="1"/>
  <c r="Q755" i="17" s="1"/>
  <c r="W755" i="17" s="1"/>
  <c r="X805" i="17" a="1"/>
  <c r="X805" i="17" s="1"/>
  <c r="X855" i="17" a="1"/>
  <c r="X855" i="17" s="1"/>
  <c r="Y855" i="17" s="1"/>
  <c r="Q855" i="17" s="1"/>
  <c r="W855" i="17" s="1"/>
  <c r="X905" i="17" a="1"/>
  <c r="X905" i="17" s="1"/>
  <c r="X955" i="17" a="1"/>
  <c r="X955" i="17" s="1"/>
  <c r="Y955" i="17" s="1"/>
  <c r="Q955" i="17" s="1"/>
  <c r="W955" i="17" s="1"/>
  <c r="X26" i="17" a="1"/>
  <c r="X26" i="17" s="1"/>
  <c r="X27" i="17" a="1"/>
  <c r="X27" i="17" s="1"/>
  <c r="Y27" i="17" s="1"/>
  <c r="Q27" i="17" s="1"/>
  <c r="W27" i="17" s="1"/>
  <c r="X28" i="17" a="1"/>
  <c r="X28" i="17" s="1"/>
  <c r="X29" i="17" a="1"/>
  <c r="X29" i="17" s="1"/>
  <c r="Y29" i="17" s="1"/>
  <c r="Q29" i="17" s="1"/>
  <c r="W29" i="17" s="1"/>
  <c r="X30" i="17" a="1"/>
  <c r="X30" i="17" s="1"/>
  <c r="X31" i="17" a="1"/>
  <c r="X31" i="17" s="1"/>
  <c r="Y31" i="17" s="1"/>
  <c r="Q31" i="17" s="1"/>
  <c r="W31" i="17" s="1"/>
  <c r="X314" i="17" a="1"/>
  <c r="X314" i="17" s="1"/>
  <c r="X315" i="17" a="1"/>
  <c r="X315" i="17"/>
  <c r="X316" i="17" a="1"/>
  <c r="X316" i="17" s="1"/>
  <c r="X456" i="17" a="1"/>
  <c r="X456" i="17" s="1"/>
  <c r="Y456" i="17" s="1"/>
  <c r="Q456" i="17" s="1"/>
  <c r="W456" i="17" s="1"/>
  <c r="X514" i="17" a="1"/>
  <c r="X514" i="17" s="1"/>
  <c r="X515" i="17" a="1"/>
  <c r="X515" i="17" s="1"/>
  <c r="Y515" i="17" s="1"/>
  <c r="Q515" i="17" s="1"/>
  <c r="W515" i="17" s="1"/>
  <c r="X516" i="17" a="1"/>
  <c r="X516" i="17" s="1"/>
  <c r="X656" i="17" a="1"/>
  <c r="X656" i="17"/>
  <c r="Y656" i="17" s="1"/>
  <c r="Q656" i="17" s="1"/>
  <c r="W656" i="17" s="1"/>
  <c r="X706" i="17" a="1"/>
  <c r="X706" i="17" s="1"/>
  <c r="X756" i="17" a="1"/>
  <c r="X756" i="17" s="1"/>
  <c r="X806" i="17" a="1"/>
  <c r="X806" i="17" s="1"/>
  <c r="X856" i="17" a="1"/>
  <c r="X856" i="17" s="1"/>
  <c r="Y856" i="17" s="1"/>
  <c r="Q856" i="17" s="1"/>
  <c r="W856" i="17" s="1"/>
  <c r="X906" i="17" a="1"/>
  <c r="X906" i="17" s="1"/>
  <c r="X956" i="17" a="1"/>
  <c r="X956" i="17" s="1"/>
  <c r="Y956" i="17" s="1"/>
  <c r="Q956" i="17" s="1"/>
  <c r="W956" i="17" s="1"/>
  <c r="X32" i="17" a="1"/>
  <c r="X32" i="17" s="1"/>
  <c r="X33" i="17" a="1"/>
  <c r="X33" i="17" s="1"/>
  <c r="Y33" i="17" s="1"/>
  <c r="Q33" i="17" s="1"/>
  <c r="W33" i="17" s="1"/>
  <c r="X34" i="17" a="1"/>
  <c r="X34" i="17" s="1"/>
  <c r="X35" i="17" a="1"/>
  <c r="X35" i="17"/>
  <c r="X36" i="17" a="1"/>
  <c r="X36" i="17" s="1"/>
  <c r="X37" i="17" a="1"/>
  <c r="X37" i="17" s="1"/>
  <c r="Y37" i="17" s="1"/>
  <c r="Q37" i="17" s="1"/>
  <c r="W37" i="17" s="1"/>
  <c r="X317" i="17" a="1"/>
  <c r="X317" i="17" s="1"/>
  <c r="X318" i="17" a="1"/>
  <c r="X318" i="17" s="1"/>
  <c r="Y318" i="17" s="1"/>
  <c r="Q318" i="17" s="1"/>
  <c r="W318" i="17" s="1"/>
  <c r="X319" i="17" a="1"/>
  <c r="X319" i="17" s="1"/>
  <c r="X457" i="17" a="1"/>
  <c r="X457" i="17" s="1"/>
  <c r="Y457" i="17" s="1"/>
  <c r="Q457" i="17" s="1"/>
  <c r="W457" i="17" s="1"/>
  <c r="X517" i="17" a="1"/>
  <c r="X517" i="17" s="1"/>
  <c r="X518" i="17" a="1"/>
  <c r="X518" i="17" s="1"/>
  <c r="Y518" i="17" s="1"/>
  <c r="Q518" i="17" s="1"/>
  <c r="W518" i="17" s="1"/>
  <c r="X519" i="17" a="1"/>
  <c r="X519" i="17" s="1"/>
  <c r="X657" i="17" a="1"/>
  <c r="X657" i="17" s="1"/>
  <c r="Y657" i="17" s="1"/>
  <c r="Q657" i="17" s="1"/>
  <c r="W657" i="17" s="1"/>
  <c r="X707" i="17" a="1"/>
  <c r="X707" i="17" s="1"/>
  <c r="X757" i="17" a="1"/>
  <c r="X757" i="17" s="1"/>
  <c r="Y757" i="17" s="1"/>
  <c r="Q757" i="17" s="1"/>
  <c r="W757" i="17" s="1"/>
  <c r="X807" i="17" a="1"/>
  <c r="X807" i="17" s="1"/>
  <c r="X857" i="17" a="1"/>
  <c r="X857" i="17" s="1"/>
  <c r="Y857" i="17" s="1"/>
  <c r="Q857" i="17" s="1"/>
  <c r="W857" i="17" s="1"/>
  <c r="X907" i="17" a="1"/>
  <c r="X907" i="17" s="1"/>
  <c r="X957" i="17" a="1"/>
  <c r="X957" i="17"/>
  <c r="X38" i="17" a="1"/>
  <c r="X38" i="17" s="1"/>
  <c r="X39" i="17" a="1"/>
  <c r="X39" i="17" s="1"/>
  <c r="Y39" i="17" s="1"/>
  <c r="Q39" i="17" s="1"/>
  <c r="W39" i="17" s="1"/>
  <c r="X40" i="17" a="1"/>
  <c r="X40" i="17" s="1"/>
  <c r="X41" i="17" a="1"/>
  <c r="X41" i="17" s="1"/>
  <c r="Y41" i="17" s="1"/>
  <c r="Q41" i="17" s="1"/>
  <c r="W41" i="17" s="1"/>
  <c r="X42" i="17" a="1"/>
  <c r="X42" i="17" s="1"/>
  <c r="X43" i="17" a="1"/>
  <c r="X43" i="17"/>
  <c r="Y43" i="17" s="1"/>
  <c r="Q43" i="17" s="1"/>
  <c r="W43" i="17" s="1"/>
  <c r="X320" i="17" a="1"/>
  <c r="X320" i="17" s="1"/>
  <c r="X321" i="17" a="1"/>
  <c r="X321" i="17" s="1"/>
  <c r="X322" i="17" a="1"/>
  <c r="X322" i="17" s="1"/>
  <c r="X458" i="17" a="1"/>
  <c r="X458" i="17" s="1"/>
  <c r="Y458" i="17" s="1"/>
  <c r="Q458" i="17" s="1"/>
  <c r="W458" i="17" s="1"/>
  <c r="X520" i="17" a="1"/>
  <c r="X520" i="17" s="1"/>
  <c r="X521" i="17" a="1"/>
  <c r="X521" i="17" s="1"/>
  <c r="Y521" i="17" s="1"/>
  <c r="Q521" i="17" s="1"/>
  <c r="W521" i="17" s="1"/>
  <c r="X522" i="17" a="1"/>
  <c r="X522" i="17" s="1"/>
  <c r="X658" i="17" a="1"/>
  <c r="X658" i="17" s="1"/>
  <c r="Y658" i="17" s="1"/>
  <c r="Q658" i="17" s="1"/>
  <c r="W658" i="17" s="1"/>
  <c r="X708" i="17" a="1"/>
  <c r="X708" i="17" s="1"/>
  <c r="X758" i="17" a="1"/>
  <c r="X758" i="17"/>
  <c r="X808" i="17" a="1"/>
  <c r="X808" i="17" s="1"/>
  <c r="X858" i="17" a="1"/>
  <c r="X858" i="17" s="1"/>
  <c r="Y858" i="17" s="1"/>
  <c r="Q858" i="17" s="1"/>
  <c r="W858" i="17" s="1"/>
  <c r="X908" i="17" a="1"/>
  <c r="X908" i="17" s="1"/>
  <c r="X958" i="17" a="1"/>
  <c r="X958" i="17" s="1"/>
  <c r="Y958" i="17" s="1"/>
  <c r="Q958" i="17" s="1"/>
  <c r="W958" i="17" s="1"/>
  <c r="X44" i="17" a="1"/>
  <c r="X44" i="17" s="1"/>
  <c r="X45" i="17" a="1"/>
  <c r="X45" i="17" s="1"/>
  <c r="Y45" i="17" s="1"/>
  <c r="Q45" i="17" s="1"/>
  <c r="W45" i="17" s="1"/>
  <c r="X46" i="17" a="1"/>
  <c r="X46" i="17" s="1"/>
  <c r="X47" i="17" a="1"/>
  <c r="X47" i="17" s="1"/>
  <c r="Y47" i="17" s="1"/>
  <c r="Q47" i="17" s="1"/>
  <c r="W47" i="17" s="1"/>
  <c r="X48" i="17" a="1"/>
  <c r="X48" i="17" s="1"/>
  <c r="X49" i="17" a="1"/>
  <c r="X49" i="17" s="1"/>
  <c r="Y49" i="17" s="1"/>
  <c r="Q49" i="17" s="1"/>
  <c r="W49" i="17" s="1"/>
  <c r="X323" i="17" a="1"/>
  <c r="X323" i="17" s="1"/>
  <c r="X324" i="17" a="1"/>
  <c r="X324" i="17" s="1"/>
  <c r="Y324" i="17" s="1"/>
  <c r="Q324" i="17" s="1"/>
  <c r="W324" i="17" s="1"/>
  <c r="X325" i="17" a="1"/>
  <c r="X325" i="17" s="1"/>
  <c r="X459" i="17" a="1"/>
  <c r="X459" i="17" s="1"/>
  <c r="Y459" i="17" s="1"/>
  <c r="Q459" i="17" s="1"/>
  <c r="W459" i="17" s="1"/>
  <c r="X523" i="17" a="1"/>
  <c r="X523" i="17" s="1"/>
  <c r="X524" i="17" a="1"/>
  <c r="X524" i="17"/>
  <c r="X525" i="17" a="1"/>
  <c r="X525" i="17" s="1"/>
  <c r="X659" i="17" a="1"/>
  <c r="X659" i="17" s="1"/>
  <c r="Y659" i="17" s="1"/>
  <c r="Q659" i="17" s="1"/>
  <c r="W659" i="17" s="1"/>
  <c r="X709" i="17" a="1"/>
  <c r="X709" i="17" s="1"/>
  <c r="X759" i="17" a="1"/>
  <c r="X759" i="17" s="1"/>
  <c r="Y759" i="17" s="1"/>
  <c r="Q759" i="17" s="1"/>
  <c r="W759" i="17" s="1"/>
  <c r="X809" i="17" a="1"/>
  <c r="X809" i="17" s="1"/>
  <c r="X859" i="17" a="1"/>
  <c r="X859" i="17"/>
  <c r="Y859" i="17" s="1"/>
  <c r="Q859" i="17" s="1"/>
  <c r="W859" i="17" s="1"/>
  <c r="X909" i="17" a="1"/>
  <c r="X909" i="17" s="1"/>
  <c r="X959" i="17" a="1"/>
  <c r="X959" i="17" s="1"/>
  <c r="X50" i="17" a="1"/>
  <c r="X50" i="17" s="1"/>
  <c r="X51" i="17" a="1"/>
  <c r="X51" i="17" s="1"/>
  <c r="Y51" i="17" s="1"/>
  <c r="Q51" i="17" s="1"/>
  <c r="W51" i="17" s="1"/>
  <c r="X52" i="17" a="1"/>
  <c r="X52" i="17" s="1"/>
  <c r="X53" i="17" a="1"/>
  <c r="X53" i="17" s="1"/>
  <c r="Y53" i="17" s="1"/>
  <c r="Q53" i="17" s="1"/>
  <c r="W53" i="17" s="1"/>
  <c r="X54" i="17" a="1"/>
  <c r="X54" i="17" s="1"/>
  <c r="X55" i="17" a="1"/>
  <c r="X55" i="17" s="1"/>
  <c r="Y55" i="17" s="1"/>
  <c r="Q55" i="17" s="1"/>
  <c r="W55" i="17" s="1"/>
  <c r="X326" i="17" a="1"/>
  <c r="X326" i="17" s="1"/>
  <c r="X327" i="17" a="1"/>
  <c r="X327" i="17"/>
  <c r="X328" i="17" a="1"/>
  <c r="X328" i="17" s="1"/>
  <c r="X460" i="17" a="1"/>
  <c r="X460" i="17" s="1"/>
  <c r="Y460" i="17" s="1"/>
  <c r="Q460" i="17" s="1"/>
  <c r="W460" i="17" s="1"/>
  <c r="X526" i="17" a="1"/>
  <c r="X526" i="17" s="1"/>
  <c r="X527" i="17" a="1"/>
  <c r="X527" i="17" s="1"/>
  <c r="Y527" i="17" s="1"/>
  <c r="Q527" i="17" s="1"/>
  <c r="W527" i="17" s="1"/>
  <c r="X528" i="17" a="1"/>
  <c r="X528" i="17" s="1"/>
  <c r="X660" i="17" a="1"/>
  <c r="X660" i="17" s="1"/>
  <c r="Y660" i="17" s="1"/>
  <c r="Q660" i="17" s="1"/>
  <c r="W660" i="17" s="1"/>
  <c r="X710" i="17" a="1"/>
  <c r="X710" i="17" s="1"/>
  <c r="X760" i="17" a="1"/>
  <c r="X760" i="17" s="1"/>
  <c r="Y760" i="17" s="1"/>
  <c r="Q760" i="17" s="1"/>
  <c r="W760" i="17" s="1"/>
  <c r="X810" i="17" a="1"/>
  <c r="X810" i="17" s="1"/>
  <c r="X860" i="17" a="1"/>
  <c r="X860" i="17" s="1"/>
  <c r="Y860" i="17" s="1"/>
  <c r="Q860" i="17" s="1"/>
  <c r="W860" i="17" s="1"/>
  <c r="X910" i="17" a="1"/>
  <c r="X910" i="17" s="1"/>
  <c r="X960" i="17" a="1"/>
  <c r="X960" i="17" s="1"/>
  <c r="Y960" i="17" s="1"/>
  <c r="Q960" i="17" s="1"/>
  <c r="W960" i="17" s="1"/>
  <c r="X56" i="17" a="1"/>
  <c r="X56" i="17" s="1"/>
  <c r="X57" i="17" a="1"/>
  <c r="X57" i="17" s="1"/>
  <c r="Y57" i="17" s="1"/>
  <c r="Q57" i="17" s="1"/>
  <c r="W57" i="17" s="1"/>
  <c r="X58" i="17" a="1"/>
  <c r="X58" i="17" s="1"/>
  <c r="X59" i="17" a="1"/>
  <c r="X59" i="17"/>
  <c r="X60" i="17" a="1"/>
  <c r="X60" i="17" s="1"/>
  <c r="X61" i="17" a="1"/>
  <c r="X61" i="17" s="1"/>
  <c r="Y61" i="17" s="1"/>
  <c r="Q61" i="17" s="1"/>
  <c r="W61" i="17" s="1"/>
  <c r="X329" i="17" a="1"/>
  <c r="X329" i="17" s="1"/>
  <c r="X330" i="17" a="1"/>
  <c r="X330" i="17" s="1"/>
  <c r="Y330" i="17" s="1"/>
  <c r="Q330" i="17" s="1"/>
  <c r="W330" i="17" s="1"/>
  <c r="X331" i="17" a="1"/>
  <c r="X331" i="17" s="1"/>
  <c r="X461" i="17" a="1"/>
  <c r="X461" i="17"/>
  <c r="Y461" i="17" s="1"/>
  <c r="Q461" i="17" s="1"/>
  <c r="W461" i="17" s="1"/>
  <c r="X529" i="17" a="1"/>
  <c r="X529" i="17" s="1"/>
  <c r="X530" i="17" a="1"/>
  <c r="X530" i="17" s="1"/>
  <c r="X531" i="17" a="1"/>
  <c r="X531" i="17" s="1"/>
  <c r="X661" i="17" a="1"/>
  <c r="X661" i="17" s="1"/>
  <c r="Y661" i="17" s="1"/>
  <c r="Q661" i="17" s="1"/>
  <c r="W661" i="17" s="1"/>
  <c r="X711" i="17" a="1"/>
  <c r="X711" i="17" s="1"/>
  <c r="X761" i="17" a="1"/>
  <c r="X761" i="17" s="1"/>
  <c r="Y761" i="17" s="1"/>
  <c r="Q761" i="17" s="1"/>
  <c r="W761" i="17" s="1"/>
  <c r="X811" i="17" a="1"/>
  <c r="X811" i="17" s="1"/>
  <c r="X861" i="17" a="1"/>
  <c r="X861" i="17" s="1"/>
  <c r="Y861" i="17" s="1"/>
  <c r="Q861" i="17" s="1"/>
  <c r="W861" i="17" s="1"/>
  <c r="X911" i="17" a="1"/>
  <c r="X911" i="17" s="1"/>
  <c r="X961" i="17" a="1"/>
  <c r="X961" i="17" s="1"/>
  <c r="Y961" i="17" s="1"/>
  <c r="Q961" i="17" s="1"/>
  <c r="W961" i="17" s="1"/>
  <c r="X62" i="17" a="1"/>
  <c r="X62" i="17" s="1"/>
  <c r="X63" i="17" a="1"/>
  <c r="X63" i="17" s="1"/>
  <c r="Y63" i="17" s="1"/>
  <c r="Q63" i="17" s="1"/>
  <c r="W63" i="17" s="1"/>
  <c r="X64" i="17" a="1"/>
  <c r="X64" i="17" s="1"/>
  <c r="X65" i="17" a="1"/>
  <c r="X65" i="17" s="1"/>
  <c r="Y65" i="17" s="1"/>
  <c r="Q65" i="17" s="1"/>
  <c r="W65" i="17" s="1"/>
  <c r="X66" i="17" a="1"/>
  <c r="X66" i="17" s="1"/>
  <c r="X67" i="17" a="1"/>
  <c r="X67" i="17" s="1"/>
  <c r="Y67" i="17" s="1"/>
  <c r="Q67" i="17" s="1"/>
  <c r="W67" i="17" s="1"/>
  <c r="X332" i="17" a="1"/>
  <c r="X332" i="17" s="1"/>
  <c r="X333" i="17" a="1"/>
  <c r="X333" i="17" s="1"/>
  <c r="Y333" i="17" s="1"/>
  <c r="Q333" i="17" s="1"/>
  <c r="W333" i="17" s="1"/>
  <c r="X334" i="17" a="1"/>
  <c r="X334" i="17" s="1"/>
  <c r="X462" i="17" a="1"/>
  <c r="X462" i="17" s="1"/>
  <c r="Y462" i="17" s="1"/>
  <c r="Q462" i="17" s="1"/>
  <c r="W462" i="17" s="1"/>
  <c r="X532" i="17" a="1"/>
  <c r="X532" i="17" s="1"/>
  <c r="X533" i="17" a="1"/>
  <c r="X533" i="17" s="1"/>
  <c r="Y533" i="17" s="1"/>
  <c r="Q533" i="17" s="1"/>
  <c r="W533" i="17" s="1"/>
  <c r="X534" i="17" a="1"/>
  <c r="X534" i="17" s="1"/>
  <c r="X662" i="17" a="1"/>
  <c r="X662" i="17" s="1"/>
  <c r="Y662" i="17" s="1"/>
  <c r="Q662" i="17" s="1"/>
  <c r="W662" i="17" s="1"/>
  <c r="X712" i="17" a="1"/>
  <c r="X712" i="17" s="1"/>
  <c r="X762" i="17" a="1"/>
  <c r="X762" i="17"/>
  <c r="X812" i="17" a="1"/>
  <c r="X812" i="17" s="1"/>
  <c r="X862" i="17" a="1"/>
  <c r="X862" i="17" s="1"/>
  <c r="Y862" i="17" s="1"/>
  <c r="Q862" i="17" s="1"/>
  <c r="W862" i="17" s="1"/>
  <c r="X912" i="17" a="1"/>
  <c r="X912" i="17" s="1"/>
  <c r="X962" i="17" a="1"/>
  <c r="X962" i="17" s="1"/>
  <c r="Y962" i="17" s="1"/>
  <c r="Q962" i="17" s="1"/>
  <c r="W962" i="17" s="1"/>
  <c r="X68" i="17" a="1"/>
  <c r="X68" i="17" s="1"/>
  <c r="X69" i="17" a="1"/>
  <c r="X69" i="17"/>
  <c r="Y69" i="17" s="1"/>
  <c r="Q69" i="17" s="1"/>
  <c r="W69" i="17" s="1"/>
  <c r="X70" i="17" a="1"/>
  <c r="X70" i="17" s="1"/>
  <c r="X71" i="17" a="1"/>
  <c r="X71" i="17" s="1"/>
  <c r="X72" i="17" a="1"/>
  <c r="X72" i="17" s="1"/>
  <c r="X73" i="17" a="1"/>
  <c r="X73" i="17" s="1"/>
  <c r="Y73" i="17" s="1"/>
  <c r="Q73" i="17" s="1"/>
  <c r="W73" i="17" s="1"/>
  <c r="X335" i="17" a="1"/>
  <c r="X335" i="17" s="1"/>
  <c r="X336" i="17" a="1"/>
  <c r="X336" i="17" s="1"/>
  <c r="Y336" i="17" s="1"/>
  <c r="Q336" i="17" s="1"/>
  <c r="W336" i="17" s="1"/>
  <c r="X337" i="17" a="1"/>
  <c r="X337" i="17" s="1"/>
  <c r="X463" i="17" a="1"/>
  <c r="X463" i="17" s="1"/>
  <c r="Y463" i="17" s="1"/>
  <c r="Q463" i="17" s="1"/>
  <c r="W463" i="17" s="1"/>
  <c r="X535" i="17" a="1"/>
  <c r="X535" i="17" s="1"/>
  <c r="X536" i="17" a="1"/>
  <c r="X536" i="17" s="1"/>
  <c r="Y536" i="17" s="1"/>
  <c r="Q536" i="17" s="1"/>
  <c r="W536" i="17" s="1"/>
  <c r="X537" i="17" a="1"/>
  <c r="X537" i="17" s="1"/>
  <c r="X663" i="17" a="1"/>
  <c r="X663" i="17" s="1"/>
  <c r="Y663" i="17" s="1"/>
  <c r="Q663" i="17" s="1"/>
  <c r="W663" i="17" s="1"/>
  <c r="X713" i="17" a="1"/>
  <c r="X713" i="17" s="1"/>
  <c r="X763" i="17" a="1"/>
  <c r="X763" i="17" s="1"/>
  <c r="Y763" i="17" s="1"/>
  <c r="Q763" i="17" s="1"/>
  <c r="W763" i="17" s="1"/>
  <c r="X813" i="17" a="1"/>
  <c r="X813" i="17" s="1"/>
  <c r="X863" i="17" a="1"/>
  <c r="X863" i="17" s="1"/>
  <c r="Y863" i="17" s="1"/>
  <c r="Q863" i="17" s="1"/>
  <c r="W863" i="17" s="1"/>
  <c r="X913" i="17" a="1"/>
  <c r="X913" i="17" s="1"/>
  <c r="X963" i="17" a="1"/>
  <c r="X963" i="17" s="1"/>
  <c r="Y963" i="17" s="1"/>
  <c r="Q963" i="17" s="1"/>
  <c r="W963" i="17" s="1"/>
  <c r="X74" i="17" a="1"/>
  <c r="X74" i="17" s="1"/>
  <c r="X75" i="17" a="1"/>
  <c r="X75" i="17" s="1"/>
  <c r="Y75" i="17" s="1"/>
  <c r="Q75" i="17" s="1"/>
  <c r="W75" i="17" s="1"/>
  <c r="X76" i="17" a="1"/>
  <c r="X76" i="17" s="1"/>
  <c r="X77" i="17" a="1"/>
  <c r="X77" i="17" s="1"/>
  <c r="Y77" i="17" s="1"/>
  <c r="Q77" i="17" s="1"/>
  <c r="W77" i="17" s="1"/>
  <c r="X78" i="17" a="1"/>
  <c r="X78" i="17" s="1"/>
  <c r="X79" i="17" a="1"/>
  <c r="X79" i="17" s="1"/>
  <c r="Y79" i="17" s="1"/>
  <c r="Q79" i="17" s="1"/>
  <c r="W79" i="17" s="1"/>
  <c r="X338" i="17" a="1"/>
  <c r="X338" i="17" s="1"/>
  <c r="X339" i="17" a="1"/>
  <c r="X339" i="17"/>
  <c r="X340" i="17" a="1"/>
  <c r="X340" i="17" s="1"/>
  <c r="X464" i="17" a="1"/>
  <c r="X464" i="17" s="1"/>
  <c r="Y464" i="17" s="1"/>
  <c r="Q464" i="17" s="1"/>
  <c r="W464" i="17" s="1"/>
  <c r="X538" i="17" a="1"/>
  <c r="X538" i="17" s="1"/>
  <c r="X539" i="17" a="1"/>
  <c r="X539" i="17" s="1"/>
  <c r="Y539" i="17" s="1"/>
  <c r="Q539" i="17" s="1"/>
  <c r="W539" i="17" s="1"/>
  <c r="X540" i="17" a="1"/>
  <c r="X540" i="17" s="1"/>
  <c r="X664" i="17" a="1"/>
  <c r="X664" i="17"/>
  <c r="Y664" i="17" s="1"/>
  <c r="Q664" i="17" s="1"/>
  <c r="W664" i="17" s="1"/>
  <c r="X714" i="17" a="1"/>
  <c r="X714" i="17" s="1"/>
  <c r="X764" i="17" a="1"/>
  <c r="X764" i="17" s="1"/>
  <c r="X814" i="17" a="1"/>
  <c r="X814" i="17" s="1"/>
  <c r="X864" i="17" a="1"/>
  <c r="X864" i="17" s="1"/>
  <c r="Y864" i="17" s="1"/>
  <c r="Q864" i="17" s="1"/>
  <c r="W864" i="17" s="1"/>
  <c r="X914" i="17" a="1"/>
  <c r="X914" i="17" s="1"/>
  <c r="X964" i="17" a="1"/>
  <c r="X964" i="17" s="1"/>
  <c r="Y964" i="17" s="1"/>
  <c r="Q964" i="17" s="1"/>
  <c r="W964" i="17" s="1"/>
  <c r="X80" i="17" a="1"/>
  <c r="X80" i="17" s="1"/>
  <c r="X81" i="17" a="1"/>
  <c r="X81" i="17" s="1"/>
  <c r="Y81" i="17" s="1"/>
  <c r="Q81" i="17" s="1"/>
  <c r="W81" i="17" s="1"/>
  <c r="X82" i="17" a="1"/>
  <c r="X82" i="17" s="1"/>
  <c r="X83" i="17" a="1"/>
  <c r="X83" i="17" s="1"/>
  <c r="Y83" i="17" s="1"/>
  <c r="Q83" i="17" s="1"/>
  <c r="W83" i="17" s="1"/>
  <c r="X84" i="17" a="1"/>
  <c r="X84" i="17" s="1"/>
  <c r="X85" i="17" a="1"/>
  <c r="X85" i="17" s="1"/>
  <c r="Y85" i="17" s="1"/>
  <c r="Q85" i="17" s="1"/>
  <c r="W85" i="17" s="1"/>
  <c r="X341" i="17" a="1"/>
  <c r="X341" i="17" s="1"/>
  <c r="X342" i="17" a="1"/>
  <c r="X342" i="17" s="1"/>
  <c r="Y342" i="17" s="1"/>
  <c r="Q342" i="17" s="1"/>
  <c r="W342" i="17" s="1"/>
  <c r="X343" i="17" a="1"/>
  <c r="X343" i="17" s="1"/>
  <c r="X465" i="17" a="1"/>
  <c r="X465" i="17" s="1"/>
  <c r="Y465" i="17" s="1"/>
  <c r="Q465" i="17" s="1"/>
  <c r="W465" i="17" s="1"/>
  <c r="X541" i="17" a="1"/>
  <c r="X541" i="17" s="1"/>
  <c r="X542" i="17" a="1"/>
  <c r="X542" i="17" s="1"/>
  <c r="Y542" i="17" s="1"/>
  <c r="Q542" i="17" s="1"/>
  <c r="W542" i="17" s="1"/>
  <c r="X543" i="17" a="1"/>
  <c r="X543" i="17" s="1"/>
  <c r="X665" i="17" a="1"/>
  <c r="X665" i="17" s="1"/>
  <c r="Y665" i="17" s="1"/>
  <c r="Q665" i="17" s="1"/>
  <c r="W665" i="17" s="1"/>
  <c r="X715" i="17" a="1"/>
  <c r="X715" i="17" s="1"/>
  <c r="X765" i="17" a="1"/>
  <c r="X765" i="17" s="1"/>
  <c r="Y765" i="17" s="1"/>
  <c r="Q765" i="17" s="1"/>
  <c r="W765" i="17" s="1"/>
  <c r="X815" i="17" a="1"/>
  <c r="X815" i="17" s="1"/>
  <c r="X865" i="17" a="1"/>
  <c r="X865" i="17" s="1"/>
  <c r="Y865" i="17" s="1"/>
  <c r="Q865" i="17" s="1"/>
  <c r="W865" i="17" s="1"/>
  <c r="X915" i="17" a="1"/>
  <c r="X915" i="17" s="1"/>
  <c r="X965" i="17" a="1"/>
  <c r="X965" i="17"/>
  <c r="X86" i="17" a="1"/>
  <c r="X86" i="17" s="1"/>
  <c r="X87" i="17" a="1"/>
  <c r="X87" i="17" s="1"/>
  <c r="Y87" i="17" s="1"/>
  <c r="Q87" i="17" s="1"/>
  <c r="W87" i="17" s="1"/>
  <c r="X88" i="17" a="1"/>
  <c r="X88" i="17" s="1"/>
  <c r="X89" i="17" a="1"/>
  <c r="X89" i="17" s="1"/>
  <c r="Y89" i="17" s="1"/>
  <c r="Q89" i="17" s="1"/>
  <c r="W89" i="17" s="1"/>
  <c r="X90" i="17" a="1"/>
  <c r="X90" i="17" s="1"/>
  <c r="X91" i="17" a="1"/>
  <c r="X91" i="17"/>
  <c r="Y91" i="17" s="1"/>
  <c r="Q91" i="17" s="1"/>
  <c r="W91" i="17" s="1"/>
  <c r="X344" i="17" a="1"/>
  <c r="X344" i="17" s="1"/>
  <c r="X345" i="17" a="1"/>
  <c r="X345" i="17" s="1"/>
  <c r="X346" i="17" a="1"/>
  <c r="X346" i="17" s="1"/>
  <c r="X466" i="17" a="1"/>
  <c r="X466" i="17" s="1"/>
  <c r="Y466" i="17" s="1"/>
  <c r="Q466" i="17" s="1"/>
  <c r="W466" i="17" s="1"/>
  <c r="X544" i="17" a="1"/>
  <c r="X544" i="17" s="1"/>
  <c r="X545" i="17" a="1"/>
  <c r="X545" i="17" s="1"/>
  <c r="Y545" i="17" s="1"/>
  <c r="Q545" i="17" s="1"/>
  <c r="W545" i="17" s="1"/>
  <c r="X546" i="17" a="1"/>
  <c r="X546" i="17" s="1"/>
  <c r="X666" i="17" a="1"/>
  <c r="X666" i="17" s="1"/>
  <c r="Y666" i="17" s="1"/>
  <c r="Q666" i="17" s="1"/>
  <c r="W666" i="17" s="1"/>
  <c r="X716" i="17" a="1"/>
  <c r="X716" i="17" s="1"/>
  <c r="X766" i="17" a="1"/>
  <c r="X766" i="17"/>
  <c r="X816" i="17" a="1"/>
  <c r="X816" i="17" s="1"/>
  <c r="X866" i="17" a="1"/>
  <c r="X866" i="17" s="1"/>
  <c r="Y866" i="17" s="1"/>
  <c r="Q866" i="17" s="1"/>
  <c r="W866" i="17" s="1"/>
  <c r="X916" i="17" a="1"/>
  <c r="X916" i="17" s="1"/>
  <c r="X966" i="17" a="1"/>
  <c r="X966" i="17" s="1"/>
  <c r="Y966" i="17" s="1"/>
  <c r="Q966" i="17" s="1"/>
  <c r="W966" i="17" s="1"/>
  <c r="X92" i="17" a="1"/>
  <c r="X92" i="17" s="1"/>
  <c r="X93" i="17" a="1"/>
  <c r="X93" i="17" s="1"/>
  <c r="Y93" i="17" s="1"/>
  <c r="Q93" i="17" s="1"/>
  <c r="W93" i="17" s="1"/>
  <c r="X94" i="17" a="1"/>
  <c r="X94" i="17" s="1"/>
  <c r="X95" i="17" a="1"/>
  <c r="X95" i="17" s="1"/>
  <c r="Y95" i="17" s="1"/>
  <c r="Q95" i="17" s="1"/>
  <c r="W95" i="17" s="1"/>
  <c r="X96" i="17" a="1"/>
  <c r="X96" i="17" s="1"/>
  <c r="X97" i="17" a="1"/>
  <c r="X97" i="17" s="1"/>
  <c r="Y97" i="17" s="1"/>
  <c r="Q97" i="17" s="1"/>
  <c r="W97" i="17" s="1"/>
  <c r="X347" i="17" a="1"/>
  <c r="X347" i="17" s="1"/>
  <c r="X348" i="17" a="1"/>
  <c r="X348" i="17" s="1"/>
  <c r="Y348" i="17" s="1"/>
  <c r="Q348" i="17" s="1"/>
  <c r="W348" i="17" s="1"/>
  <c r="X349" i="17" a="1"/>
  <c r="X349" i="17" s="1"/>
  <c r="X467" i="17" a="1"/>
  <c r="X467" i="17" s="1"/>
  <c r="Y467" i="17" s="1"/>
  <c r="Q467" i="17" s="1"/>
  <c r="W467" i="17" s="1"/>
  <c r="X547" i="17" a="1"/>
  <c r="X547" i="17" s="1"/>
  <c r="X548" i="17" a="1"/>
  <c r="X548" i="17"/>
  <c r="X549" i="17" a="1"/>
  <c r="X549" i="17" s="1"/>
  <c r="X667" i="17" a="1"/>
  <c r="X667" i="17" s="1"/>
  <c r="Y667" i="17" s="1"/>
  <c r="Q667" i="17" s="1"/>
  <c r="W667" i="17" s="1"/>
  <c r="X717" i="17" a="1"/>
  <c r="X717" i="17" s="1"/>
  <c r="X767" i="17" a="1"/>
  <c r="X767" i="17" s="1"/>
  <c r="Y767" i="17" s="1"/>
  <c r="Q767" i="17" s="1"/>
  <c r="W767" i="17" s="1"/>
  <c r="X817" i="17" a="1"/>
  <c r="X817" i="17" s="1"/>
  <c r="X867" i="17" a="1"/>
  <c r="X867" i="17"/>
  <c r="Y867" i="17" s="1"/>
  <c r="Q867" i="17" s="1"/>
  <c r="W867" i="17" s="1"/>
  <c r="X917" i="17" a="1"/>
  <c r="X917" i="17" s="1"/>
  <c r="X967" i="17" a="1"/>
  <c r="X967" i="17" s="1"/>
  <c r="X98" i="17" a="1"/>
  <c r="X98" i="17" s="1"/>
  <c r="X99" i="17" a="1"/>
  <c r="X99" i="17" s="1"/>
  <c r="Y99" i="17" s="1"/>
  <c r="Q99" i="17" s="1"/>
  <c r="W99" i="17" s="1"/>
  <c r="X100" i="17" a="1"/>
  <c r="X100" i="17" s="1"/>
  <c r="X101" i="17" a="1"/>
  <c r="X101" i="17" s="1"/>
  <c r="Y101" i="17" s="1"/>
  <c r="Q101" i="17" s="1"/>
  <c r="W101" i="17" s="1"/>
  <c r="X102" i="17" a="1"/>
  <c r="X102" i="17" s="1"/>
  <c r="X103" i="17" a="1"/>
  <c r="X103" i="17" s="1"/>
  <c r="Y103" i="17" s="1"/>
  <c r="Q103" i="17" s="1"/>
  <c r="W103" i="17" s="1"/>
  <c r="X350" i="17" a="1"/>
  <c r="X350" i="17" s="1"/>
  <c r="X351" i="17" a="1"/>
  <c r="X351" i="17"/>
  <c r="X352" i="17" a="1"/>
  <c r="X352" i="17" s="1"/>
  <c r="X468" i="17" a="1"/>
  <c r="X468" i="17" s="1"/>
  <c r="Y468" i="17" s="1"/>
  <c r="Q468" i="17" s="1"/>
  <c r="W468" i="17" s="1"/>
  <c r="X550" i="17" a="1"/>
  <c r="X550" i="17" s="1"/>
  <c r="X551" i="17" a="1"/>
  <c r="X551" i="17" s="1"/>
  <c r="Y551" i="17" s="1"/>
  <c r="Q551" i="17" s="1"/>
  <c r="W551" i="17" s="1"/>
  <c r="X552" i="17" a="1"/>
  <c r="X552" i="17" s="1"/>
  <c r="X668" i="17" a="1"/>
  <c r="X668" i="17" s="1"/>
  <c r="Y668" i="17" s="1"/>
  <c r="Q668" i="17" s="1"/>
  <c r="W668" i="17" s="1"/>
  <c r="X718" i="17" a="1"/>
  <c r="X718" i="17" s="1"/>
  <c r="X768" i="17" a="1"/>
  <c r="X768" i="17" s="1"/>
  <c r="Y768" i="17" s="1"/>
  <c r="Q768" i="17" s="1"/>
  <c r="W768" i="17" s="1"/>
  <c r="X818" i="17" a="1"/>
  <c r="X818" i="17" s="1"/>
  <c r="X868" i="17" a="1"/>
  <c r="X868" i="17" s="1"/>
  <c r="Y868" i="17" s="1"/>
  <c r="Q868" i="17" s="1"/>
  <c r="W868" i="17" s="1"/>
  <c r="X918" i="17" a="1"/>
  <c r="X918" i="17" s="1"/>
  <c r="X968" i="17" a="1"/>
  <c r="X968" i="17" s="1"/>
  <c r="Y968" i="17" s="1"/>
  <c r="Q968" i="17" s="1"/>
  <c r="W968" i="17" s="1"/>
  <c r="X104" i="17" a="1"/>
  <c r="X104" i="17" s="1"/>
  <c r="X105" i="17" a="1"/>
  <c r="X105" i="17" s="1"/>
  <c r="Y105" i="17" s="1"/>
  <c r="Q105" i="17" s="1"/>
  <c r="W105" i="17" s="1"/>
  <c r="X106" i="17" a="1"/>
  <c r="X106" i="17" s="1"/>
  <c r="X107" i="17" a="1"/>
  <c r="X107" i="17"/>
  <c r="X108" i="17" a="1"/>
  <c r="X108" i="17" s="1"/>
  <c r="X109" i="17" a="1"/>
  <c r="X109" i="17" s="1"/>
  <c r="Y109" i="17" s="1"/>
  <c r="Q109" i="17" s="1"/>
  <c r="W109" i="17" s="1"/>
  <c r="X353" i="17" a="1"/>
  <c r="X353" i="17" s="1"/>
  <c r="X354" i="17" a="1"/>
  <c r="X354" i="17" s="1"/>
  <c r="Y354" i="17" s="1"/>
  <c r="Q354" i="17" s="1"/>
  <c r="W354" i="17" s="1"/>
  <c r="X355" i="17" a="1"/>
  <c r="X355" i="17" s="1"/>
  <c r="X469" i="17" a="1"/>
  <c r="X469" i="17"/>
  <c r="Y469" i="17" s="1"/>
  <c r="Q469" i="17" s="1"/>
  <c r="W469" i="17" s="1"/>
  <c r="X553" i="17" a="1"/>
  <c r="X553" i="17" s="1"/>
  <c r="X554" i="17" a="1"/>
  <c r="X554" i="17" s="1"/>
  <c r="X555" i="17" a="1"/>
  <c r="X555" i="17" s="1"/>
  <c r="X669" i="17" a="1"/>
  <c r="X669" i="17" s="1"/>
  <c r="Y669" i="17" s="1"/>
  <c r="Q669" i="17" s="1"/>
  <c r="W669" i="17" s="1"/>
  <c r="X719" i="17" a="1"/>
  <c r="X719" i="17" s="1"/>
  <c r="X769" i="17" a="1"/>
  <c r="X769" i="17" s="1"/>
  <c r="Y769" i="17" s="1"/>
  <c r="Q769" i="17" s="1"/>
  <c r="W769" i="17" s="1"/>
  <c r="X819" i="17" a="1"/>
  <c r="X819" i="17" s="1"/>
  <c r="X869" i="17" a="1"/>
  <c r="X869" i="17" s="1"/>
  <c r="Y869" i="17" s="1"/>
  <c r="Q869" i="17" s="1"/>
  <c r="W869" i="17" s="1"/>
  <c r="X919" i="17" a="1"/>
  <c r="X919" i="17" s="1"/>
  <c r="X969" i="17" a="1"/>
  <c r="X969" i="17"/>
  <c r="X110" i="17" a="1"/>
  <c r="X110" i="17" s="1"/>
  <c r="X111" i="17" a="1"/>
  <c r="X111" i="17" s="1"/>
  <c r="Y111" i="17" s="1"/>
  <c r="Q111" i="17" s="1"/>
  <c r="W111" i="17" s="1"/>
  <c r="X112" i="17" a="1"/>
  <c r="X112" i="17" s="1"/>
  <c r="X113" i="17" a="1"/>
  <c r="X113" i="17" s="1"/>
  <c r="Y113" i="17" s="1"/>
  <c r="Q113" i="17" s="1"/>
  <c r="W113" i="17" s="1"/>
  <c r="X114" i="17" a="1"/>
  <c r="X114" i="17" s="1"/>
  <c r="X115" i="17" a="1"/>
  <c r="X115" i="17" s="1"/>
  <c r="Y115" i="17" s="1"/>
  <c r="Q115" i="17" s="1"/>
  <c r="W115" i="17" s="1"/>
  <c r="X356" i="17" a="1"/>
  <c r="X356" i="17" s="1"/>
  <c r="X357" i="17" a="1"/>
  <c r="X357" i="17" s="1"/>
  <c r="Y357" i="17" s="1"/>
  <c r="Q357" i="17" s="1"/>
  <c r="W357" i="17" s="1"/>
  <c r="X358" i="17" a="1"/>
  <c r="X358" i="17" s="1"/>
  <c r="X470" i="17" a="1"/>
  <c r="X470" i="17" s="1"/>
  <c r="Y470" i="17" s="1"/>
  <c r="Q470" i="17" s="1"/>
  <c r="W470" i="17" s="1"/>
  <c r="X556" i="17" a="1"/>
  <c r="X556" i="17" s="1"/>
  <c r="X557" i="17" a="1"/>
  <c r="X557" i="17" s="1"/>
  <c r="Y557" i="17" s="1"/>
  <c r="Q557" i="17" s="1"/>
  <c r="W557" i="17" s="1"/>
  <c r="X558" i="17" a="1"/>
  <c r="X558" i="17" s="1"/>
  <c r="X670" i="17" a="1"/>
  <c r="X670" i="17" s="1"/>
  <c r="Y670" i="17" s="1"/>
  <c r="Q670" i="17" s="1"/>
  <c r="W670" i="17" s="1"/>
  <c r="X720" i="17" a="1"/>
  <c r="X720" i="17" s="1"/>
  <c r="X770" i="17" a="1"/>
  <c r="X770" i="17"/>
  <c r="X820" i="17" a="1"/>
  <c r="X820" i="17" s="1"/>
  <c r="X870" i="17" a="1"/>
  <c r="X870" i="17" s="1"/>
  <c r="Y870" i="17" s="1"/>
  <c r="Q870" i="17" s="1"/>
  <c r="W870" i="17" s="1"/>
  <c r="X920" i="17" a="1"/>
  <c r="X920" i="17" s="1"/>
  <c r="X970" i="17" a="1"/>
  <c r="X970" i="17" s="1"/>
  <c r="Y970" i="17" s="1"/>
  <c r="Q970" i="17" s="1"/>
  <c r="W970" i="17" s="1"/>
  <c r="X116" i="17" a="1"/>
  <c r="X116" i="17" s="1"/>
  <c r="X117" i="17" a="1"/>
  <c r="X117" i="17"/>
  <c r="Y117" i="17" s="1"/>
  <c r="Q117" i="17" s="1"/>
  <c r="W117" i="17" s="1"/>
  <c r="X118" i="17" a="1"/>
  <c r="X118" i="17" s="1"/>
  <c r="X119" i="17" a="1"/>
  <c r="X119" i="17" s="1"/>
  <c r="X120" i="17" a="1"/>
  <c r="X120" i="17" s="1"/>
  <c r="X121" i="17" a="1"/>
  <c r="X121" i="17" s="1"/>
  <c r="Y121" i="17" s="1"/>
  <c r="Q121" i="17" s="1"/>
  <c r="W121" i="17" s="1"/>
  <c r="X359" i="17" a="1"/>
  <c r="X359" i="17" s="1"/>
  <c r="X360" i="17" a="1"/>
  <c r="X360" i="17" s="1"/>
  <c r="Y360" i="17" s="1"/>
  <c r="Q360" i="17" s="1"/>
  <c r="W360" i="17" s="1"/>
  <c r="X361" i="17" a="1"/>
  <c r="X361" i="17" s="1"/>
  <c r="X471" i="17" a="1"/>
  <c r="X471" i="17" s="1"/>
  <c r="Y471" i="17" s="1"/>
  <c r="Q471" i="17" s="1"/>
  <c r="W471" i="17" s="1"/>
  <c r="X559" i="17" a="1"/>
  <c r="X559" i="17" s="1"/>
  <c r="X560" i="17" a="1"/>
  <c r="X560" i="17"/>
  <c r="X561" i="17" a="1"/>
  <c r="X561" i="17" s="1"/>
  <c r="X671" i="17" a="1"/>
  <c r="X671" i="17" s="1"/>
  <c r="Y671" i="17" s="1"/>
  <c r="Q671" i="17" s="1"/>
  <c r="W671" i="17" s="1"/>
  <c r="X721" i="17" a="1"/>
  <c r="X721" i="17" s="1"/>
  <c r="X771" i="17" a="1"/>
  <c r="X771" i="17" s="1"/>
  <c r="Y771" i="17" s="1"/>
  <c r="Q771" i="17" s="1"/>
  <c r="W771" i="17" s="1"/>
  <c r="X821" i="17" a="1"/>
  <c r="X821" i="17" s="1"/>
  <c r="X871" i="17" a="1"/>
  <c r="X871" i="17" s="1"/>
  <c r="Y871" i="17" s="1"/>
  <c r="Q871" i="17" s="1"/>
  <c r="W871" i="17" s="1"/>
  <c r="X921" i="17" a="1"/>
  <c r="X921" i="17" s="1"/>
  <c r="X971" i="17" a="1"/>
  <c r="X971" i="17" s="1"/>
  <c r="Y971" i="17" s="1"/>
  <c r="Q971" i="17" s="1"/>
  <c r="W971" i="17" s="1"/>
  <c r="X122" i="17" a="1"/>
  <c r="X122" i="17" s="1"/>
  <c r="X123" i="17" a="1"/>
  <c r="X123" i="17" s="1"/>
  <c r="Y123" i="17" s="1"/>
  <c r="Q123" i="17" s="1"/>
  <c r="W123" i="17" s="1"/>
  <c r="X124" i="17" a="1"/>
  <c r="X124" i="17" s="1"/>
  <c r="X125" i="17" a="1"/>
  <c r="X125" i="17" s="1"/>
  <c r="Y125" i="17" s="1"/>
  <c r="Q125" i="17" s="1"/>
  <c r="W125" i="17" s="1"/>
  <c r="X126" i="17" a="1"/>
  <c r="X126" i="17" s="1"/>
  <c r="X127" i="17" a="1"/>
  <c r="X127" i="17" s="1"/>
  <c r="Y127" i="17" s="1"/>
  <c r="Q127" i="17" s="1"/>
  <c r="W127" i="17" s="1"/>
  <c r="X362" i="17" a="1"/>
  <c r="X362" i="17" s="1"/>
  <c r="X363" i="17" a="1"/>
  <c r="X363" i="17"/>
  <c r="X364" i="17" a="1"/>
  <c r="X364" i="17" s="1"/>
  <c r="X472" i="17" a="1"/>
  <c r="X472" i="17" s="1"/>
  <c r="Y472" i="17" s="1"/>
  <c r="Q472" i="17" s="1"/>
  <c r="W472" i="17" s="1"/>
  <c r="X562" i="17" a="1"/>
  <c r="X562" i="17" s="1"/>
  <c r="X563" i="17" a="1"/>
  <c r="X563" i="17" s="1"/>
  <c r="Y563" i="17" s="1"/>
  <c r="Q563" i="17" s="1"/>
  <c r="W563" i="17" s="1"/>
  <c r="X564" i="17" a="1"/>
  <c r="X564" i="17" s="1"/>
  <c r="X672" i="17" a="1"/>
  <c r="X672" i="17"/>
  <c r="Y672" i="17" s="1"/>
  <c r="Q672" i="17" s="1"/>
  <c r="W672" i="17" s="1"/>
  <c r="X722" i="17" a="1"/>
  <c r="X722" i="17" s="1"/>
  <c r="X772" i="17" a="1"/>
  <c r="X772" i="17" s="1"/>
  <c r="X822" i="17" a="1"/>
  <c r="X822" i="17" s="1"/>
  <c r="X872" i="17" a="1"/>
  <c r="X872" i="17" s="1"/>
  <c r="Y872" i="17" s="1"/>
  <c r="Q872" i="17" s="1"/>
  <c r="W872" i="17" s="1"/>
  <c r="X922" i="17" a="1"/>
  <c r="X922" i="17" s="1"/>
  <c r="X972" i="17" a="1"/>
  <c r="X972" i="17" s="1"/>
  <c r="Y972" i="17" s="1"/>
  <c r="Q972" i="17" s="1"/>
  <c r="W972" i="17" s="1"/>
  <c r="X128" i="17" a="1"/>
  <c r="X128" i="17" s="1"/>
  <c r="X129" i="17" a="1"/>
  <c r="X129" i="17" s="1"/>
  <c r="Y129" i="17" s="1"/>
  <c r="Q129" i="17" s="1"/>
  <c r="W129" i="17" s="1"/>
  <c r="X130" i="17" a="1"/>
  <c r="X130" i="17" s="1"/>
  <c r="X131" i="17" a="1"/>
  <c r="X131" i="17" s="1"/>
  <c r="Y131" i="17" s="1"/>
  <c r="Q131" i="17" s="1"/>
  <c r="W131" i="17" s="1"/>
  <c r="X132" i="17" a="1"/>
  <c r="X132" i="17" s="1"/>
  <c r="X133" i="17" a="1"/>
  <c r="X133" i="17" s="1"/>
  <c r="Y133" i="17" s="1"/>
  <c r="Q133" i="17" s="1"/>
  <c r="W133" i="17" s="1"/>
  <c r="X365" i="17" a="1"/>
  <c r="X365" i="17" s="1"/>
  <c r="X366" i="17" a="1"/>
  <c r="X366" i="17" s="1"/>
  <c r="Y366" i="17" s="1"/>
  <c r="Q366" i="17" s="1"/>
  <c r="W366" i="17" s="1"/>
  <c r="X367" i="17" a="1"/>
  <c r="X367" i="17" s="1"/>
  <c r="X473" i="17" a="1"/>
  <c r="X473" i="17" s="1"/>
  <c r="Y473" i="17" s="1"/>
  <c r="Q473" i="17" s="1"/>
  <c r="W473" i="17" s="1"/>
  <c r="X565" i="17" a="1"/>
  <c r="X565" i="17" s="1"/>
  <c r="X566" i="17" a="1"/>
  <c r="X566" i="17" s="1"/>
  <c r="Y566" i="17" s="1"/>
  <c r="Q566" i="17" s="1"/>
  <c r="W566" i="17" s="1"/>
  <c r="X567" i="17" a="1"/>
  <c r="X567" i="17" s="1"/>
  <c r="X673" i="17" a="1"/>
  <c r="X673" i="17" s="1"/>
  <c r="Y673" i="17" s="1"/>
  <c r="Q673" i="17" s="1"/>
  <c r="W673" i="17" s="1"/>
  <c r="X723" i="17" a="1"/>
  <c r="X723" i="17" s="1"/>
  <c r="X773" i="17" a="1"/>
  <c r="X773" i="17" s="1"/>
  <c r="Y773" i="17" s="1"/>
  <c r="Q773" i="17" s="1"/>
  <c r="W773" i="17" s="1"/>
  <c r="X823" i="17" a="1"/>
  <c r="X823" i="17" s="1"/>
  <c r="X873" i="17" a="1"/>
  <c r="X873" i="17" s="1"/>
  <c r="Y873" i="17" s="1"/>
  <c r="Q873" i="17" s="1"/>
  <c r="W873" i="17" s="1"/>
  <c r="X923" i="17" a="1"/>
  <c r="X923" i="17" s="1"/>
  <c r="X973" i="17" a="1"/>
  <c r="X973" i="17"/>
  <c r="X134" i="17" a="1"/>
  <c r="X134" i="17" s="1"/>
  <c r="X135" i="17" a="1"/>
  <c r="X135" i="17" s="1"/>
  <c r="Y135" i="17" s="1"/>
  <c r="Q135" i="17" s="1"/>
  <c r="W135" i="17" s="1"/>
  <c r="X136" i="17" a="1"/>
  <c r="X136" i="17" s="1"/>
  <c r="X137" i="17" a="1"/>
  <c r="X137" i="17" s="1"/>
  <c r="Y137" i="17" s="1"/>
  <c r="Q137" i="17" s="1"/>
  <c r="W137" i="17" s="1"/>
  <c r="X138" i="17" a="1"/>
  <c r="X138" i="17" s="1"/>
  <c r="X139" i="17" a="1"/>
  <c r="X139" i="17"/>
  <c r="Y139" i="17" s="1"/>
  <c r="Q139" i="17" s="1"/>
  <c r="W139" i="17" s="1"/>
  <c r="X368" i="17" a="1"/>
  <c r="X368" i="17" s="1"/>
  <c r="X369" i="17" a="1"/>
  <c r="X369" i="17" s="1"/>
  <c r="X370" i="17" a="1"/>
  <c r="X370" i="17" s="1"/>
  <c r="X474" i="17" a="1"/>
  <c r="X474" i="17" s="1"/>
  <c r="Y474" i="17" s="1"/>
  <c r="Q474" i="17" s="1"/>
  <c r="W474" i="17" s="1"/>
  <c r="X568" i="17" a="1"/>
  <c r="X568" i="17" s="1"/>
  <c r="X569" i="17" a="1"/>
  <c r="X569" i="17" s="1"/>
  <c r="Y569" i="17" s="1"/>
  <c r="Q569" i="17" s="1"/>
  <c r="W569" i="17" s="1"/>
  <c r="X570" i="17" a="1"/>
  <c r="X570" i="17" s="1"/>
  <c r="X674" i="17" a="1"/>
  <c r="X674" i="17" s="1"/>
  <c r="Y674" i="17" s="1"/>
  <c r="Q674" i="17" s="1"/>
  <c r="W674" i="17" s="1"/>
  <c r="X724" i="17" a="1"/>
  <c r="X724" i="17" s="1"/>
  <c r="X774" i="17" a="1"/>
  <c r="X774" i="17" s="1"/>
  <c r="Y774" i="17" s="1"/>
  <c r="Q774" i="17" s="1"/>
  <c r="W774" i="17" s="1"/>
  <c r="X824" i="17" a="1"/>
  <c r="X824" i="17" s="1"/>
  <c r="X874" i="17" a="1"/>
  <c r="X874" i="17" s="1"/>
  <c r="Y874" i="17" s="1"/>
  <c r="Q874" i="17" s="1"/>
  <c r="W874" i="17" s="1"/>
  <c r="X924" i="17" a="1"/>
  <c r="X924" i="17" s="1"/>
  <c r="X974" i="17" a="1"/>
  <c r="X974" i="17" s="1"/>
  <c r="Y974" i="17" s="1"/>
  <c r="Q974" i="17" s="1"/>
  <c r="W974" i="17" s="1"/>
  <c r="X140" i="17" a="1"/>
  <c r="X140" i="17" s="1"/>
  <c r="X141" i="17" a="1"/>
  <c r="X141" i="17" s="1"/>
  <c r="Y141" i="17" s="1"/>
  <c r="Q141" i="17" s="1"/>
  <c r="W141" i="17" s="1"/>
  <c r="X142" i="17" a="1"/>
  <c r="X142" i="17" s="1"/>
  <c r="X143" i="17" a="1"/>
  <c r="X143" i="17" s="1"/>
  <c r="Y143" i="17" s="1"/>
  <c r="Q143" i="17" s="1"/>
  <c r="W143" i="17" s="1"/>
  <c r="X144" i="17" a="1"/>
  <c r="X144" i="17" s="1"/>
  <c r="X145" i="17" a="1"/>
  <c r="X145" i="17" s="1"/>
  <c r="Y145" i="17" s="1"/>
  <c r="Q145" i="17" s="1"/>
  <c r="W145" i="17" s="1"/>
  <c r="X371" i="17" a="1"/>
  <c r="X371" i="17" s="1"/>
  <c r="X372" i="17" a="1"/>
  <c r="X372" i="17" s="1"/>
  <c r="Y372" i="17" s="1"/>
  <c r="Q372" i="17" s="1"/>
  <c r="W372" i="17" s="1"/>
  <c r="X373" i="17" a="1"/>
  <c r="X373" i="17" s="1"/>
  <c r="X475" i="17" a="1"/>
  <c r="X475" i="17" s="1"/>
  <c r="Y475" i="17" s="1"/>
  <c r="Q475" i="17" s="1"/>
  <c r="W475" i="17" s="1"/>
  <c r="X571" i="17" a="1"/>
  <c r="X571" i="17" s="1"/>
  <c r="X572" i="17" a="1"/>
  <c r="X572" i="17"/>
  <c r="X573" i="17" a="1"/>
  <c r="X573" i="17" s="1"/>
  <c r="X675" i="17" a="1"/>
  <c r="X675" i="17" s="1"/>
  <c r="Y675" i="17" s="1"/>
  <c r="Q675" i="17" s="1"/>
  <c r="W675" i="17" s="1"/>
  <c r="X725" i="17" a="1"/>
  <c r="X725" i="17" s="1"/>
  <c r="X775" i="17" a="1"/>
  <c r="X775" i="17" s="1"/>
  <c r="Y775" i="17" s="1"/>
  <c r="Q775" i="17" s="1"/>
  <c r="W775" i="17" s="1"/>
  <c r="X825" i="17" a="1"/>
  <c r="X825" i="17" s="1"/>
  <c r="X875" i="17" a="1"/>
  <c r="X875" i="17"/>
  <c r="Y875" i="17" s="1"/>
  <c r="Q875" i="17" s="1"/>
  <c r="W875" i="17" s="1"/>
  <c r="X925" i="17" a="1"/>
  <c r="X925" i="17" s="1"/>
  <c r="X975" i="17" a="1"/>
  <c r="X975" i="17" s="1"/>
  <c r="X146" i="17" a="1"/>
  <c r="X146" i="17" s="1"/>
  <c r="X147" i="17" a="1"/>
  <c r="X147" i="17" s="1"/>
  <c r="Y147" i="17" s="1"/>
  <c r="Q147" i="17" s="1"/>
  <c r="W147" i="17" s="1"/>
  <c r="X148" i="17" a="1"/>
  <c r="X148" i="17" s="1"/>
  <c r="X149" i="17" a="1"/>
  <c r="X149" i="17" s="1"/>
  <c r="Y149" i="17" s="1"/>
  <c r="Q149" i="17" s="1"/>
  <c r="W149" i="17" s="1"/>
  <c r="X150" i="17" a="1"/>
  <c r="X150" i="17" s="1"/>
  <c r="X151" i="17" a="1"/>
  <c r="X151" i="17" s="1"/>
  <c r="Y151" i="17" s="1"/>
  <c r="Q151" i="17" s="1"/>
  <c r="W151" i="17" s="1"/>
  <c r="X374" i="17" a="1"/>
  <c r="X374" i="17" s="1"/>
  <c r="X375" i="17" a="1"/>
  <c r="X375" i="17" s="1"/>
  <c r="Y375" i="17" s="1"/>
  <c r="Q375" i="17" s="1"/>
  <c r="W375" i="17" s="1"/>
  <c r="X376" i="17" a="1"/>
  <c r="X376" i="17" s="1"/>
  <c r="X476" i="17" a="1"/>
  <c r="X476" i="17" s="1"/>
  <c r="Y476" i="17" s="1"/>
  <c r="Q476" i="17" s="1"/>
  <c r="W476" i="17" s="1"/>
  <c r="X574" i="17" a="1"/>
  <c r="X574" i="17" s="1"/>
  <c r="X575" i="17" a="1"/>
  <c r="X575" i="17" s="1"/>
  <c r="Y575" i="17" s="1"/>
  <c r="Q575" i="17" s="1"/>
  <c r="W575" i="17" s="1"/>
  <c r="X576" i="17" a="1"/>
  <c r="X576" i="17" s="1"/>
  <c r="X676" i="17" a="1"/>
  <c r="X676" i="17" s="1"/>
  <c r="Y676" i="17" s="1"/>
  <c r="Q676" i="17" s="1"/>
  <c r="W676" i="17" s="1"/>
  <c r="X726" i="17" a="1"/>
  <c r="X726" i="17" s="1"/>
  <c r="X776" i="17" a="1"/>
  <c r="X776" i="17"/>
  <c r="X826" i="17" a="1"/>
  <c r="X826" i="17" s="1"/>
  <c r="X876" i="17" a="1"/>
  <c r="X876" i="17" s="1"/>
  <c r="Y876" i="17" s="1"/>
  <c r="Q876" i="17" s="1"/>
  <c r="W876" i="17" s="1"/>
  <c r="X926" i="17" a="1"/>
  <c r="X926" i="17" s="1"/>
  <c r="X976" i="17" a="1"/>
  <c r="X976" i="17" s="1"/>
  <c r="Y976" i="17" s="1"/>
  <c r="Q976" i="17" s="1"/>
  <c r="W976" i="17" s="1"/>
  <c r="X152" i="17" a="1"/>
  <c r="X152" i="17" s="1"/>
  <c r="X153" i="17" a="1"/>
  <c r="X153" i="17" s="1"/>
  <c r="Y153" i="17" s="1"/>
  <c r="Q153" i="17" s="1"/>
  <c r="W153" i="17" s="1"/>
  <c r="X154" i="17" a="1"/>
  <c r="X154" i="17" s="1"/>
  <c r="X155" i="17" a="1"/>
  <c r="X155" i="17" s="1"/>
  <c r="Y155" i="17" s="1"/>
  <c r="Q155" i="17" s="1"/>
  <c r="W155" i="17" s="1"/>
  <c r="X156" i="17" a="1"/>
  <c r="X156" i="17" s="1"/>
  <c r="X157" i="17" a="1"/>
  <c r="X157" i="17" s="1"/>
  <c r="Y157" i="17" s="1"/>
  <c r="Q157" i="17" s="1"/>
  <c r="W157" i="17" s="1"/>
  <c r="X377" i="17" a="1"/>
  <c r="X377" i="17" s="1"/>
  <c r="X378" i="17" a="1"/>
  <c r="X378" i="17" s="1"/>
  <c r="Y378" i="17" s="1"/>
  <c r="Q378" i="17" s="1"/>
  <c r="W378" i="17" s="1"/>
  <c r="X379" i="17" a="1"/>
  <c r="X379" i="17" s="1"/>
  <c r="X477" i="17" a="1"/>
  <c r="X477" i="17"/>
  <c r="Y477" i="17" s="1"/>
  <c r="Q477" i="17" s="1"/>
  <c r="W477" i="17" s="1"/>
  <c r="X577" i="17" a="1"/>
  <c r="X577" i="17" s="1"/>
  <c r="X578" i="17" a="1"/>
  <c r="X578" i="17"/>
  <c r="X579" i="17" a="1"/>
  <c r="X579" i="17" s="1"/>
  <c r="X677" i="17" a="1"/>
  <c r="X677" i="17" s="1"/>
  <c r="Y677" i="17" s="1"/>
  <c r="Q677" i="17" s="1"/>
  <c r="W677" i="17" s="1"/>
  <c r="X727" i="17" a="1"/>
  <c r="X727" i="17" s="1"/>
  <c r="X777" i="17" a="1"/>
  <c r="X777" i="17" s="1"/>
  <c r="Y777" i="17" s="1"/>
  <c r="Q777" i="17" s="1"/>
  <c r="W777" i="17" s="1"/>
  <c r="X827" i="17" a="1"/>
  <c r="X827" i="17" s="1"/>
  <c r="X877" i="17" a="1"/>
  <c r="X877" i="17" s="1"/>
  <c r="Y877" i="17" s="1"/>
  <c r="Q877" i="17" s="1"/>
  <c r="W877" i="17" s="1"/>
  <c r="X927" i="17" a="1"/>
  <c r="X927" i="17" s="1"/>
  <c r="X977" i="17" a="1"/>
  <c r="X977" i="17"/>
  <c r="X158" i="17" a="1"/>
  <c r="X158" i="17" s="1"/>
  <c r="X159" i="17" a="1"/>
  <c r="X159" i="17" s="1"/>
  <c r="Y159" i="17" s="1"/>
  <c r="Q159" i="17" s="1"/>
  <c r="W159" i="17" s="1"/>
  <c r="X160" i="17" a="1"/>
  <c r="X160" i="17" s="1"/>
  <c r="X161" i="17" a="1"/>
  <c r="X161" i="17" s="1"/>
  <c r="Y161" i="17" s="1"/>
  <c r="Q161" i="17" s="1"/>
  <c r="W161" i="17" s="1"/>
  <c r="X162" i="17" a="1"/>
  <c r="X162" i="17" s="1"/>
  <c r="X163" i="17" a="1"/>
  <c r="X163" i="17"/>
  <c r="Y163" i="17" s="1"/>
  <c r="Q163" i="17" s="1"/>
  <c r="W163" i="17" s="1"/>
  <c r="X380" i="17" a="1"/>
  <c r="X380" i="17" s="1"/>
  <c r="X381" i="17" a="1"/>
  <c r="X381" i="17" s="1"/>
  <c r="Y381" i="17" s="1"/>
  <c r="Q381" i="17" s="1"/>
  <c r="W381" i="17" s="1"/>
  <c r="X382" i="17" a="1"/>
  <c r="X382" i="17" s="1"/>
  <c r="X478" i="17" a="1"/>
  <c r="X478" i="17" s="1"/>
  <c r="Y478" i="17" s="1"/>
  <c r="Q478" i="17" s="1"/>
  <c r="W478" i="17" s="1"/>
  <c r="X580" i="17" a="1"/>
  <c r="X580" i="17" s="1"/>
  <c r="X581" i="17" a="1"/>
  <c r="X581" i="17" s="1"/>
  <c r="Y581" i="17" s="1"/>
  <c r="Q581" i="17" s="1"/>
  <c r="W581" i="17" s="1"/>
  <c r="X582" i="17" a="1"/>
  <c r="X582" i="17" s="1"/>
  <c r="X678" i="17" a="1"/>
  <c r="X678" i="17" s="1"/>
  <c r="Y678" i="17" s="1"/>
  <c r="Q678" i="17" s="1"/>
  <c r="W678" i="17" s="1"/>
  <c r="X728" i="17" a="1"/>
  <c r="X728" i="17" s="1"/>
  <c r="X778" i="17" a="1"/>
  <c r="X778" i="17"/>
  <c r="X828" i="17" a="1"/>
  <c r="X828" i="17" s="1"/>
  <c r="X878" i="17" a="1"/>
  <c r="X878" i="17" s="1"/>
  <c r="Y878" i="17" s="1"/>
  <c r="Q878" i="17" s="1"/>
  <c r="W878" i="17" s="1"/>
  <c r="X928" i="17" a="1"/>
  <c r="X928" i="17" s="1"/>
  <c r="X978" i="17" a="1"/>
  <c r="X978" i="17" s="1"/>
  <c r="Y978" i="17" s="1"/>
  <c r="Q978" i="17" s="1"/>
  <c r="W978" i="17" s="1"/>
  <c r="X164" i="17" a="1"/>
  <c r="X164" i="17" s="1"/>
  <c r="X165" i="17" a="1"/>
  <c r="X165" i="17" s="1"/>
  <c r="Y165" i="17" s="1"/>
  <c r="Q165" i="17" s="1"/>
  <c r="W165" i="17" s="1"/>
  <c r="X166" i="17" a="1"/>
  <c r="X166" i="17" s="1"/>
  <c r="X167" i="17" a="1"/>
  <c r="X167" i="17" s="1"/>
  <c r="Y167" i="17" s="1"/>
  <c r="Q167" i="17" s="1"/>
  <c r="W167" i="17" s="1"/>
  <c r="X168" i="17" a="1"/>
  <c r="X168" i="17" s="1"/>
  <c r="X169" i="17" a="1"/>
  <c r="X169" i="17" s="1"/>
  <c r="Y169" i="17" s="1"/>
  <c r="Q169" i="17" s="1"/>
  <c r="W169" i="17" s="1"/>
  <c r="X383" i="17" a="1"/>
  <c r="X383" i="17" s="1"/>
  <c r="X384" i="17" a="1"/>
  <c r="X384" i="17" s="1"/>
  <c r="Y384" i="17" s="1"/>
  <c r="Q384" i="17" s="1"/>
  <c r="W384" i="17" s="1"/>
  <c r="X385" i="17" a="1"/>
  <c r="X385" i="17" s="1"/>
  <c r="X479" i="17" a="1"/>
  <c r="X479" i="17" s="1"/>
  <c r="Y479" i="17" s="1"/>
  <c r="Q479" i="17" s="1"/>
  <c r="W479" i="17" s="1"/>
  <c r="X583" i="17" a="1"/>
  <c r="X583" i="17" s="1"/>
  <c r="X584" i="17" a="1"/>
  <c r="X584" i="17" s="1"/>
  <c r="Y584" i="17" s="1"/>
  <c r="Q584" i="17" s="1"/>
  <c r="W584" i="17" s="1"/>
  <c r="X585" i="17" a="1"/>
  <c r="X585" i="17" s="1"/>
  <c r="X679" i="17" a="1"/>
  <c r="X679" i="17" s="1"/>
  <c r="Y679" i="17" s="1"/>
  <c r="Q679" i="17" s="1"/>
  <c r="W679" i="17" s="1"/>
  <c r="X729" i="17" a="1"/>
  <c r="X729" i="17" s="1"/>
  <c r="X779" i="17" a="1"/>
  <c r="X779" i="17" s="1"/>
  <c r="Y779" i="17" s="1"/>
  <c r="Q779" i="17" s="1"/>
  <c r="W779" i="17" s="1"/>
  <c r="X829" i="17" a="1"/>
  <c r="X829" i="17" s="1"/>
  <c r="X879" i="17" a="1"/>
  <c r="X879" i="17" s="1"/>
  <c r="Y879" i="17" s="1"/>
  <c r="Q879" i="17" s="1"/>
  <c r="W879" i="17" s="1"/>
  <c r="X929" i="17" a="1"/>
  <c r="X929" i="17" s="1"/>
  <c r="X979" i="17" a="1"/>
  <c r="X979" i="17"/>
  <c r="X170" i="17" a="1"/>
  <c r="X170" i="17" s="1"/>
  <c r="X171" i="17" a="1"/>
  <c r="X171" i="17" s="1"/>
  <c r="Y171" i="17" s="1"/>
  <c r="Q171" i="17" s="1"/>
  <c r="W171" i="17" s="1"/>
  <c r="X172" i="17" a="1"/>
  <c r="X172" i="17" s="1"/>
  <c r="X173" i="17" a="1"/>
  <c r="X173" i="17" s="1"/>
  <c r="Y173" i="17" s="1"/>
  <c r="Q173" i="17" s="1"/>
  <c r="W173" i="17" s="1"/>
  <c r="X174" i="17" a="1"/>
  <c r="X174" i="17" s="1"/>
  <c r="X175" i="17" a="1"/>
  <c r="X175" i="17" s="1"/>
  <c r="Y175" i="17" s="1"/>
  <c r="Q175" i="17" s="1"/>
  <c r="W175" i="17" s="1"/>
  <c r="X386" i="17" a="1"/>
  <c r="X386" i="17" s="1"/>
  <c r="X387" i="17" a="1"/>
  <c r="X387" i="17" s="1"/>
  <c r="Y387" i="17" s="1"/>
  <c r="Q387" i="17" s="1"/>
  <c r="W387" i="17" s="1"/>
  <c r="X388" i="17" a="1"/>
  <c r="X388" i="17" s="1"/>
  <c r="X480" i="17" a="1"/>
  <c r="X480" i="17" s="1"/>
  <c r="Y480" i="17" s="1"/>
  <c r="Q480" i="17" s="1"/>
  <c r="W480" i="17" s="1"/>
  <c r="X586" i="17" a="1"/>
  <c r="X586" i="17" s="1"/>
  <c r="X587" i="17" a="1"/>
  <c r="X587" i="17" s="1"/>
  <c r="Y587" i="17" s="1"/>
  <c r="Q587" i="17" s="1"/>
  <c r="W587" i="17" s="1"/>
  <c r="X588" i="17" a="1"/>
  <c r="X588" i="17" s="1"/>
  <c r="X680" i="17" a="1"/>
  <c r="X680" i="17"/>
  <c r="Y680" i="17" s="1"/>
  <c r="Q680" i="17" s="1"/>
  <c r="W680" i="17" s="1"/>
  <c r="X730" i="17" a="1"/>
  <c r="X730" i="17" s="1"/>
  <c r="X780" i="17" a="1"/>
  <c r="X780" i="17"/>
  <c r="X830" i="17" a="1"/>
  <c r="X830" i="17" s="1"/>
  <c r="X880" i="17" a="1"/>
  <c r="X880" i="17" s="1"/>
  <c r="Y880" i="17" s="1"/>
  <c r="Q880" i="17" s="1"/>
  <c r="W880" i="17" s="1"/>
  <c r="X930" i="17" a="1"/>
  <c r="X930" i="17" s="1"/>
  <c r="X980" i="17" a="1"/>
  <c r="X980" i="17" s="1"/>
  <c r="Y980" i="17" s="1"/>
  <c r="Q980" i="17" s="1"/>
  <c r="W980" i="17" s="1"/>
  <c r="X176" i="17" a="1"/>
  <c r="X176" i="17" s="1"/>
  <c r="X177" i="17" a="1"/>
  <c r="X177" i="17" s="1"/>
  <c r="Y177" i="17" s="1"/>
  <c r="Q177" i="17" s="1"/>
  <c r="W177" i="17" s="1"/>
  <c r="X178" i="17" a="1"/>
  <c r="X178" i="17" s="1"/>
  <c r="X179" i="17" a="1"/>
  <c r="X179" i="17"/>
  <c r="X180" i="17" a="1"/>
  <c r="X180" i="17" s="1"/>
  <c r="X181" i="17" a="1"/>
  <c r="X181" i="17" s="1"/>
  <c r="Y181" i="17" s="1"/>
  <c r="Q181" i="17" s="1"/>
  <c r="W181" i="17" s="1"/>
  <c r="X389" i="17" a="1"/>
  <c r="X389" i="17" s="1"/>
  <c r="X390" i="17" a="1"/>
  <c r="X390" i="17" s="1"/>
  <c r="Y390" i="17" s="1"/>
  <c r="Q390" i="17" s="1"/>
  <c r="W390" i="17" s="1"/>
  <c r="X391" i="17" a="1"/>
  <c r="X391" i="17" s="1"/>
  <c r="X481" i="17" a="1"/>
  <c r="X481" i="17"/>
  <c r="Y481" i="17" s="1"/>
  <c r="Q481" i="17" s="1"/>
  <c r="W481" i="17" s="1"/>
  <c r="X589" i="17" a="1"/>
  <c r="X589" i="17" s="1"/>
  <c r="X590" i="17" a="1"/>
  <c r="X590" i="17" s="1"/>
  <c r="Y590" i="17" s="1"/>
  <c r="Q590" i="17" s="1"/>
  <c r="W590" i="17" s="1"/>
  <c r="X591" i="17" a="1"/>
  <c r="X591" i="17" s="1"/>
  <c r="X681" i="17" a="1"/>
  <c r="X681" i="17" s="1"/>
  <c r="Y681" i="17" s="1"/>
  <c r="Q681" i="17" s="1"/>
  <c r="W681" i="17" s="1"/>
  <c r="X731" i="17" a="1"/>
  <c r="X731" i="17" s="1"/>
  <c r="X781" i="17" a="1"/>
  <c r="X781" i="17" s="1"/>
  <c r="Y781" i="17" s="1"/>
  <c r="Q781" i="17" s="1"/>
  <c r="W781" i="17" s="1"/>
  <c r="X831" i="17" a="1"/>
  <c r="X831" i="17" s="1"/>
  <c r="X881" i="17" a="1"/>
  <c r="X881" i="17" s="1"/>
  <c r="Y881" i="17" s="1"/>
  <c r="Q881" i="17" s="1"/>
  <c r="W881" i="17" s="1"/>
  <c r="X931" i="17" a="1"/>
  <c r="X931" i="17" s="1"/>
  <c r="X981" i="17" a="1"/>
  <c r="X981" i="17"/>
  <c r="X182" i="17" a="1"/>
  <c r="X182" i="17" s="1"/>
  <c r="X183" i="17" a="1"/>
  <c r="X183" i="17" s="1"/>
  <c r="Y183" i="17" s="1"/>
  <c r="Q183" i="17" s="1"/>
  <c r="W183" i="17" s="1"/>
  <c r="X184" i="17" a="1"/>
  <c r="X184" i="17" s="1"/>
  <c r="X185" i="17" a="1"/>
  <c r="X185" i="17" s="1"/>
  <c r="Y185" i="17" s="1"/>
  <c r="Q185" i="17" s="1"/>
  <c r="W185" i="17" s="1"/>
  <c r="X186" i="17" a="1"/>
  <c r="X186" i="17" s="1"/>
  <c r="X187" i="17" a="1"/>
  <c r="X187" i="17" s="1"/>
  <c r="Y187" i="17" s="1"/>
  <c r="Q187" i="17" s="1"/>
  <c r="W187" i="17" s="1"/>
  <c r="X392" i="17" a="1"/>
  <c r="X392" i="17" s="1"/>
  <c r="X393" i="17" a="1"/>
  <c r="X393" i="17" s="1"/>
  <c r="Y393" i="17" s="1"/>
  <c r="Q393" i="17" s="1"/>
  <c r="W393" i="17" s="1"/>
  <c r="X394" i="17" a="1"/>
  <c r="X394" i="17" s="1"/>
  <c r="X482" i="17" a="1"/>
  <c r="X482" i="17" s="1"/>
  <c r="Y482" i="17" s="1"/>
  <c r="Q482" i="17" s="1"/>
  <c r="W482" i="17" s="1"/>
  <c r="X592" i="17" a="1"/>
  <c r="X592" i="17" s="1"/>
  <c r="X593" i="17" a="1"/>
  <c r="X593" i="17" s="1"/>
  <c r="Y593" i="17" s="1"/>
  <c r="Q593" i="17" s="1"/>
  <c r="W593" i="17" s="1"/>
  <c r="X594" i="17" a="1"/>
  <c r="X594" i="17" s="1"/>
  <c r="X682" i="17" a="1"/>
  <c r="X682" i="17" s="1"/>
  <c r="Y682" i="17" s="1"/>
  <c r="Q682" i="17" s="1"/>
  <c r="W682" i="17" s="1"/>
  <c r="X732" i="17" a="1"/>
  <c r="X732" i="17" s="1"/>
  <c r="X782" i="17" a="1"/>
  <c r="X782" i="17" s="1"/>
  <c r="Y782" i="17" s="1"/>
  <c r="Q782" i="17" s="1"/>
  <c r="W782" i="17" s="1"/>
  <c r="X832" i="17" a="1"/>
  <c r="X832" i="17" s="1"/>
  <c r="X882" i="17" a="1"/>
  <c r="X882" i="17" s="1"/>
  <c r="Y882" i="17" s="1"/>
  <c r="Q882" i="17" s="1"/>
  <c r="W882" i="17" s="1"/>
  <c r="X932" i="17" a="1"/>
  <c r="X932" i="17" s="1"/>
  <c r="X982" i="17" a="1"/>
  <c r="X982" i="17" s="1"/>
  <c r="Y982" i="17" s="1"/>
  <c r="Q982" i="17" s="1"/>
  <c r="W982" i="17" s="1"/>
  <c r="X188" i="17" a="1"/>
  <c r="X188" i="17" s="1"/>
  <c r="X189" i="17" a="1"/>
  <c r="X189" i="17" s="1"/>
  <c r="Y189" i="17" s="1"/>
  <c r="Q189" i="17" s="1"/>
  <c r="W189" i="17" s="1"/>
  <c r="X190" i="17" a="1"/>
  <c r="X190" i="17" s="1"/>
  <c r="X191" i="17" a="1"/>
  <c r="X191" i="17" s="1"/>
  <c r="Y191" i="17" s="1"/>
  <c r="Q191" i="17" s="1"/>
  <c r="W191" i="17" s="1"/>
  <c r="X192" i="17" a="1"/>
  <c r="X192" i="17" s="1"/>
  <c r="X193" i="17" a="1"/>
  <c r="X193" i="17" s="1"/>
  <c r="Y193" i="17" s="1"/>
  <c r="Q193" i="17" s="1"/>
  <c r="W193" i="17" s="1"/>
  <c r="X395" i="17" a="1"/>
  <c r="X395" i="17" s="1"/>
  <c r="X396" i="17" a="1"/>
  <c r="X396" i="17" s="1"/>
  <c r="Y396" i="17" s="1"/>
  <c r="Q396" i="17" s="1"/>
  <c r="W396" i="17" s="1"/>
  <c r="X397" i="17" a="1"/>
  <c r="X397" i="17" s="1"/>
  <c r="X483" i="17" a="1"/>
  <c r="X483" i="17" s="1"/>
  <c r="Y483" i="17" s="1"/>
  <c r="Q483" i="17" s="1"/>
  <c r="W483" i="17" s="1"/>
  <c r="X595" i="17" a="1"/>
  <c r="X595" i="17" s="1"/>
  <c r="X596" i="17" a="1"/>
  <c r="X596" i="17"/>
  <c r="X597" i="17" a="1"/>
  <c r="X597" i="17" s="1"/>
  <c r="X683" i="17" a="1"/>
  <c r="X683" i="17" s="1"/>
  <c r="Y683" i="17" s="1"/>
  <c r="Q683" i="17" s="1"/>
  <c r="W683" i="17" s="1"/>
  <c r="X733" i="17" a="1"/>
  <c r="X733" i="17" s="1"/>
  <c r="X783" i="17" a="1"/>
  <c r="X783" i="17" s="1"/>
  <c r="Y783" i="17" s="1"/>
  <c r="Q783" i="17" s="1"/>
  <c r="W783" i="17" s="1"/>
  <c r="X833" i="17" a="1"/>
  <c r="X833" i="17" s="1"/>
  <c r="X883" i="17" a="1"/>
  <c r="X883" i="17" s="1"/>
  <c r="Y883" i="17" s="1"/>
  <c r="Q883" i="17" s="1"/>
  <c r="W883" i="17" s="1"/>
  <c r="X933" i="17" a="1"/>
  <c r="X933" i="17" s="1"/>
  <c r="X983" i="17" a="1"/>
  <c r="X983" i="17" s="1"/>
  <c r="X194" i="17" a="1"/>
  <c r="X194" i="17" s="1"/>
  <c r="X195" i="17" a="1"/>
  <c r="X195" i="17" s="1"/>
  <c r="Y195" i="17" s="1"/>
  <c r="Q195" i="17" s="1"/>
  <c r="W195" i="17" s="1"/>
  <c r="X196" i="17" a="1"/>
  <c r="X196" i="17" s="1"/>
  <c r="X197" i="17" a="1"/>
  <c r="X197" i="17" s="1"/>
  <c r="Y197" i="17" s="1"/>
  <c r="Q197" i="17" s="1"/>
  <c r="W197" i="17" s="1"/>
  <c r="X198" i="17" a="1"/>
  <c r="X198" i="17" s="1"/>
  <c r="X199" i="17" a="1"/>
  <c r="X199" i="17" s="1"/>
  <c r="Y199" i="17" s="1"/>
  <c r="Q199" i="17" s="1"/>
  <c r="W199" i="17" s="1"/>
  <c r="X398" i="17" a="1"/>
  <c r="X398" i="17" s="1"/>
  <c r="X399" i="17" a="1"/>
  <c r="X399" i="17"/>
  <c r="X400" i="17" a="1"/>
  <c r="X400" i="17" s="1"/>
  <c r="X484" i="17" a="1"/>
  <c r="X484" i="17" s="1"/>
  <c r="Y484" i="17" s="1"/>
  <c r="Q484" i="17" s="1"/>
  <c r="W484" i="17" s="1"/>
  <c r="X598" i="17" a="1"/>
  <c r="X598" i="17" s="1"/>
  <c r="X599" i="17" a="1"/>
  <c r="X599" i="17" s="1"/>
  <c r="Y599" i="17" s="1"/>
  <c r="Q599" i="17" s="1"/>
  <c r="W599" i="17" s="1"/>
  <c r="X600" i="17" a="1"/>
  <c r="X600" i="17" s="1"/>
  <c r="X684" i="17" a="1"/>
  <c r="X684" i="17" s="1"/>
  <c r="Y684" i="17" s="1"/>
  <c r="Q684" i="17" s="1"/>
  <c r="W684" i="17" s="1"/>
  <c r="X734" i="17" a="1"/>
  <c r="X734" i="17" s="1"/>
  <c r="X784" i="17" a="1"/>
  <c r="X784" i="17" s="1"/>
  <c r="Y784" i="17" s="1"/>
  <c r="Q784" i="17" s="1"/>
  <c r="W784" i="17" s="1"/>
  <c r="X834" i="17" a="1"/>
  <c r="X834" i="17" s="1"/>
  <c r="X884" i="17" a="1"/>
  <c r="X884" i="17" s="1"/>
  <c r="Y884" i="17" s="1"/>
  <c r="Q884" i="17" s="1"/>
  <c r="W884" i="17" s="1"/>
  <c r="X934" i="17" a="1"/>
  <c r="X934" i="17" s="1"/>
  <c r="X984" i="17" a="1"/>
  <c r="X984" i="17" s="1"/>
  <c r="Y984" i="17" s="1"/>
  <c r="Q984" i="17" s="1"/>
  <c r="W984" i="17" s="1"/>
  <c r="X200" i="17" a="1"/>
  <c r="X200" i="17" s="1"/>
  <c r="X201" i="17" a="1"/>
  <c r="X201" i="17" s="1"/>
  <c r="Y201" i="17" s="1"/>
  <c r="Q201" i="17" s="1"/>
  <c r="W201" i="17" s="1"/>
  <c r="X202" i="17" a="1"/>
  <c r="X202" i="17" s="1"/>
  <c r="X203" i="17" a="1"/>
  <c r="X203" i="17" s="1"/>
  <c r="Y203" i="17" s="1"/>
  <c r="Q203" i="17" s="1"/>
  <c r="W203" i="17" s="1"/>
  <c r="X204" i="17" a="1"/>
  <c r="X204" i="17" s="1"/>
  <c r="X205" i="17" a="1"/>
  <c r="X205" i="17" s="1"/>
  <c r="Y205" i="17" s="1"/>
  <c r="Q205" i="17" s="1"/>
  <c r="W205" i="17" s="1"/>
  <c r="X401" i="17" a="1"/>
  <c r="X401" i="17" s="1"/>
  <c r="X402" i="17" a="1"/>
  <c r="X402" i="17" s="1"/>
  <c r="Y402" i="17" s="1"/>
  <c r="Q402" i="17" s="1"/>
  <c r="W402" i="17" s="1"/>
  <c r="X403" i="17" a="1"/>
  <c r="X403" i="17" s="1"/>
  <c r="X485" i="17" a="1"/>
  <c r="X485" i="17" s="1"/>
  <c r="Y485" i="17" s="1"/>
  <c r="Q485" i="17" s="1"/>
  <c r="W485" i="17" s="1"/>
  <c r="X601" i="17" a="1"/>
  <c r="X601" i="17" s="1"/>
  <c r="X602" i="17" a="1"/>
  <c r="X602" i="17" s="1"/>
  <c r="X603" i="17" a="1"/>
  <c r="X603" i="17" s="1"/>
  <c r="X685" i="17" a="1"/>
  <c r="X685" i="17" s="1"/>
  <c r="Y685" i="17" s="1"/>
  <c r="Q685" i="17" s="1"/>
  <c r="W685" i="17" s="1"/>
  <c r="X735" i="17" a="1"/>
  <c r="X735" i="17" s="1"/>
  <c r="X785" i="17" a="1"/>
  <c r="X785" i="17" s="1"/>
  <c r="Y785" i="17" s="1"/>
  <c r="Q785" i="17" s="1"/>
  <c r="W785" i="17" s="1"/>
  <c r="X835" i="17" a="1"/>
  <c r="X835" i="17" s="1"/>
  <c r="X885" i="17" a="1"/>
  <c r="X885" i="17" s="1"/>
  <c r="Y885" i="17" s="1"/>
  <c r="Q885" i="17" s="1"/>
  <c r="W885" i="17" s="1"/>
  <c r="X935" i="17" a="1"/>
  <c r="X935" i="17" s="1"/>
  <c r="X985" i="17" a="1"/>
  <c r="X985" i="17" s="1"/>
  <c r="Y985" i="17" s="1"/>
  <c r="Q985" i="17" s="1"/>
  <c r="W985" i="17" s="1"/>
  <c r="X206" i="17" a="1"/>
  <c r="X206" i="17" s="1"/>
  <c r="X207" i="17" a="1"/>
  <c r="X207" i="17" s="1"/>
  <c r="Y207" i="17" s="1"/>
  <c r="Q207" i="17" s="1"/>
  <c r="W207" i="17" s="1"/>
  <c r="X208" i="17" a="1"/>
  <c r="X208" i="17" s="1"/>
  <c r="X209" i="17" a="1"/>
  <c r="X209" i="17" s="1"/>
  <c r="Y209" i="17" s="1"/>
  <c r="Q209" i="17" s="1"/>
  <c r="W209" i="17" s="1"/>
  <c r="X210" i="17" a="1"/>
  <c r="X210" i="17" s="1"/>
  <c r="X211" i="17" a="1"/>
  <c r="X211" i="17" s="1"/>
  <c r="Y211" i="17" s="1"/>
  <c r="Q211" i="17" s="1"/>
  <c r="W211" i="17" s="1"/>
  <c r="X404" i="17" a="1"/>
  <c r="X404" i="17" s="1"/>
  <c r="X405" i="17" a="1"/>
  <c r="X405" i="17" s="1"/>
  <c r="Y405" i="17" s="1"/>
  <c r="Q405" i="17" s="1"/>
  <c r="W405" i="17" s="1"/>
  <c r="X406" i="17" a="1"/>
  <c r="X406" i="17" s="1"/>
  <c r="X486" i="17" a="1"/>
  <c r="X486" i="17" s="1"/>
  <c r="Y486" i="17" s="1"/>
  <c r="Q486" i="17" s="1"/>
  <c r="W486" i="17" s="1"/>
  <c r="X604" i="17" a="1"/>
  <c r="X604" i="17" s="1"/>
  <c r="X605" i="17" a="1"/>
  <c r="X605" i="17" s="1"/>
  <c r="Y605" i="17" s="1"/>
  <c r="Q605" i="17" s="1"/>
  <c r="W605" i="17" s="1"/>
  <c r="X606" i="17" a="1"/>
  <c r="X606" i="17" s="1"/>
  <c r="X686" i="17" a="1"/>
  <c r="X686" i="17" s="1"/>
  <c r="Y686" i="17" s="1"/>
  <c r="Q686" i="17" s="1"/>
  <c r="W686" i="17" s="1"/>
  <c r="X736" i="17" a="1"/>
  <c r="X736" i="17" s="1"/>
  <c r="X786" i="17" a="1"/>
  <c r="X786" i="17"/>
  <c r="X836" i="17" a="1"/>
  <c r="X836" i="17" s="1"/>
  <c r="X886" i="17" a="1"/>
  <c r="X886" i="17" s="1"/>
  <c r="Y886" i="17" s="1"/>
  <c r="Q886" i="17" s="1"/>
  <c r="W886" i="17" s="1"/>
  <c r="X936" i="17" a="1"/>
  <c r="X936" i="17" s="1"/>
  <c r="X986" i="17" a="1"/>
  <c r="X986" i="17" s="1"/>
  <c r="Y986" i="17" s="1"/>
  <c r="Q986" i="17" s="1"/>
  <c r="W986" i="17" s="1"/>
  <c r="X212" i="17" a="1"/>
  <c r="X212" i="17" s="1"/>
  <c r="X213" i="17" a="1"/>
  <c r="X213" i="17" s="1"/>
  <c r="Y213" i="17" s="1"/>
  <c r="Q213" i="17" s="1"/>
  <c r="W213" i="17" s="1"/>
  <c r="X214" i="17" a="1"/>
  <c r="X214" i="17" s="1"/>
  <c r="X215" i="17" a="1"/>
  <c r="X215" i="17" s="1"/>
  <c r="X216" i="17" a="1"/>
  <c r="X216" i="17" s="1"/>
  <c r="X217" i="17" a="1"/>
  <c r="X217" i="17" s="1"/>
  <c r="Y217" i="17" s="1"/>
  <c r="Q217" i="17" s="1"/>
  <c r="W217" i="17" s="1"/>
  <c r="X407" i="17" a="1"/>
  <c r="X407" i="17" s="1"/>
  <c r="X408" i="17" a="1"/>
  <c r="X408" i="17" s="1"/>
  <c r="Y408" i="17" s="1"/>
  <c r="Q408" i="17" s="1"/>
  <c r="W408" i="17" s="1"/>
  <c r="X409" i="17" a="1"/>
  <c r="X409" i="17" s="1"/>
  <c r="X487" i="17" a="1"/>
  <c r="X487" i="17" s="1"/>
  <c r="Y487" i="17" s="1"/>
  <c r="Q487" i="17" s="1"/>
  <c r="W487" i="17" s="1"/>
  <c r="X607" i="17" a="1"/>
  <c r="X607" i="17" s="1"/>
  <c r="X608" i="17" a="1"/>
  <c r="X608" i="17"/>
  <c r="X609" i="17" a="1"/>
  <c r="X609" i="17" s="1"/>
  <c r="X687" i="17" a="1"/>
  <c r="X687" i="17" s="1"/>
  <c r="Y687" i="17" s="1"/>
  <c r="Q687" i="17" s="1"/>
  <c r="W687" i="17" s="1"/>
  <c r="X737" i="17" a="1"/>
  <c r="X737" i="17" s="1"/>
  <c r="X787" i="17" a="1"/>
  <c r="X787" i="17" s="1"/>
  <c r="Y787" i="17" s="1"/>
  <c r="Q787" i="17" s="1"/>
  <c r="W787" i="17" s="1"/>
  <c r="X837" i="17" a="1"/>
  <c r="X837" i="17" s="1"/>
  <c r="X887" i="17" a="1"/>
  <c r="X887" i="17" s="1"/>
  <c r="Y887" i="17" s="1"/>
  <c r="Q887" i="17" s="1"/>
  <c r="W887" i="17" s="1"/>
  <c r="X937" i="17" a="1"/>
  <c r="X937" i="17" s="1"/>
  <c r="X987" i="17" a="1"/>
  <c r="X987" i="17" s="1"/>
  <c r="X218" i="17" a="1"/>
  <c r="X218" i="17" s="1"/>
  <c r="X219" i="17" a="1"/>
  <c r="X219" i="17" s="1"/>
  <c r="Y219" i="17" s="1"/>
  <c r="Q219" i="17" s="1"/>
  <c r="W219" i="17" s="1"/>
  <c r="X220" i="17" a="1"/>
  <c r="X220" i="17" s="1"/>
  <c r="X221" i="17" a="1"/>
  <c r="X221" i="17" s="1"/>
  <c r="Y221" i="17" s="1"/>
  <c r="Q221" i="17" s="1"/>
  <c r="W221" i="17" s="1"/>
  <c r="X222" i="17" a="1"/>
  <c r="X222" i="17" s="1"/>
  <c r="X223" i="17" a="1"/>
  <c r="X223" i="17" s="1"/>
  <c r="Y223" i="17" s="1"/>
  <c r="Q223" i="17" s="1"/>
  <c r="W223" i="17" s="1"/>
  <c r="X410" i="17" a="1"/>
  <c r="X410" i="17" s="1"/>
  <c r="X411" i="17" a="1"/>
  <c r="X411" i="17" s="1"/>
  <c r="Y411" i="17" s="1"/>
  <c r="Q411" i="17" s="1"/>
  <c r="W411" i="17" s="1"/>
  <c r="X412" i="17" a="1"/>
  <c r="X412" i="17" s="1"/>
  <c r="X488" i="17" a="1"/>
  <c r="X488" i="17" s="1"/>
  <c r="Y488" i="17" s="1"/>
  <c r="Q488" i="17" s="1"/>
  <c r="W488" i="17" s="1"/>
  <c r="X610" i="17" a="1"/>
  <c r="X610" i="17" s="1"/>
  <c r="X611" i="17" a="1"/>
  <c r="X611" i="17" s="1"/>
  <c r="Y611" i="17" s="1"/>
  <c r="Q611" i="17" s="1"/>
  <c r="W611" i="17" s="1"/>
  <c r="X612" i="17" a="1"/>
  <c r="X612" i="17" s="1"/>
  <c r="X688" i="17" a="1"/>
  <c r="X688" i="17" s="1"/>
  <c r="Y688" i="17" s="1"/>
  <c r="Q688" i="17" s="1"/>
  <c r="W688" i="17" s="1"/>
  <c r="X738" i="17" a="1"/>
  <c r="X738" i="17" s="1"/>
  <c r="X788" i="17" a="1"/>
  <c r="X788" i="17" s="1"/>
  <c r="X838" i="17" a="1"/>
  <c r="X838" i="17" s="1"/>
  <c r="X888" i="17" a="1"/>
  <c r="X888" i="17" s="1"/>
  <c r="Y888" i="17" s="1"/>
  <c r="Q888" i="17" s="1"/>
  <c r="W888" i="17" s="1"/>
  <c r="X938" i="17" a="1"/>
  <c r="X938" i="17" s="1"/>
  <c r="X988" i="17" a="1"/>
  <c r="X988" i="17" s="1"/>
  <c r="Y988" i="17" s="1"/>
  <c r="Q988" i="17" s="1"/>
  <c r="W988" i="17" s="1"/>
  <c r="X224" i="17" a="1"/>
  <c r="X224" i="17" s="1"/>
  <c r="X225" i="17" a="1"/>
  <c r="X225" i="17" s="1"/>
  <c r="Y225" i="17" s="1"/>
  <c r="Q225" i="17" s="1"/>
  <c r="W225" i="17" s="1"/>
  <c r="X226" i="17" a="1"/>
  <c r="X226" i="17" s="1"/>
  <c r="X227" i="17" a="1"/>
  <c r="X227" i="17" s="1"/>
  <c r="Y227" i="17" s="1"/>
  <c r="Q227" i="17" s="1"/>
  <c r="W227" i="17" s="1"/>
  <c r="X228" i="17" a="1"/>
  <c r="X228" i="17" s="1"/>
  <c r="X229" i="17" a="1"/>
  <c r="X229" i="17" s="1"/>
  <c r="Y229" i="17" s="1"/>
  <c r="Q229" i="17" s="1"/>
  <c r="W229" i="17" s="1"/>
  <c r="X413" i="17" a="1"/>
  <c r="X413" i="17" s="1"/>
  <c r="X414" i="17" a="1"/>
  <c r="X414" i="17" s="1"/>
  <c r="Y414" i="17" s="1"/>
  <c r="Q414" i="17" s="1"/>
  <c r="W414" i="17" s="1"/>
  <c r="X415" i="17" a="1"/>
  <c r="X415" i="17" s="1"/>
  <c r="X489" i="17" a="1"/>
  <c r="X489" i="17" s="1"/>
  <c r="Y489" i="17" s="1"/>
  <c r="Q489" i="17" s="1"/>
  <c r="W489" i="17" s="1"/>
  <c r="X613" i="17" a="1"/>
  <c r="X613" i="17" s="1"/>
  <c r="X614" i="17" a="1"/>
  <c r="X614" i="17" s="1"/>
  <c r="X615" i="17" a="1"/>
  <c r="X615" i="17" s="1"/>
  <c r="X689" i="17" a="1"/>
  <c r="X689" i="17" s="1"/>
  <c r="Y689" i="17" s="1"/>
  <c r="Q689" i="17" s="1"/>
  <c r="W689" i="17" s="1"/>
  <c r="X739" i="17" a="1"/>
  <c r="X739" i="17" s="1"/>
  <c r="X789" i="17" a="1"/>
  <c r="X789" i="17" s="1"/>
  <c r="Y789" i="17" s="1"/>
  <c r="Q789" i="17" s="1"/>
  <c r="W789" i="17" s="1"/>
  <c r="X839" i="17" a="1"/>
  <c r="X839" i="17" s="1"/>
  <c r="X889" i="17" a="1"/>
  <c r="X889" i="17" s="1"/>
  <c r="Y889" i="17" s="1"/>
  <c r="Q889" i="17" s="1"/>
  <c r="W889" i="17" s="1"/>
  <c r="X939" i="17" a="1"/>
  <c r="X939" i="17" s="1"/>
  <c r="X989" i="17" a="1"/>
  <c r="X989" i="17"/>
  <c r="X230" i="17" a="1"/>
  <c r="X230" i="17" s="1"/>
  <c r="X231" i="17" a="1"/>
  <c r="X231" i="17" s="1"/>
  <c r="Y231" i="17" s="1"/>
  <c r="Q231" i="17" s="1"/>
  <c r="W231" i="17" s="1"/>
  <c r="X232" i="17" a="1"/>
  <c r="X232" i="17" s="1"/>
  <c r="X233" i="17" a="1"/>
  <c r="X233" i="17" s="1"/>
  <c r="Y233" i="17" s="1"/>
  <c r="Q233" i="17" s="1"/>
  <c r="W233" i="17" s="1"/>
  <c r="X234" i="17" a="1"/>
  <c r="X234" i="17" s="1"/>
  <c r="X235" i="17" a="1"/>
  <c r="X235" i="17" s="1"/>
  <c r="Y235" i="17" s="1"/>
  <c r="Q235" i="17" s="1"/>
  <c r="W235" i="17" s="1"/>
  <c r="X416" i="17" a="1"/>
  <c r="X416" i="17" s="1"/>
  <c r="X417" i="17" a="1"/>
  <c r="X417" i="17" s="1"/>
  <c r="X418" i="17" a="1"/>
  <c r="X418" i="17" s="1"/>
  <c r="X490" i="17" a="1"/>
  <c r="X490" i="17" s="1"/>
  <c r="Y490" i="17" s="1"/>
  <c r="Q490" i="17" s="1"/>
  <c r="W490" i="17" s="1"/>
  <c r="X616" i="17" a="1"/>
  <c r="X616" i="17" s="1"/>
  <c r="X617" i="17" a="1"/>
  <c r="X617" i="17" s="1"/>
  <c r="Y617" i="17" s="1"/>
  <c r="Q617" i="17" s="1"/>
  <c r="W617" i="17" s="1"/>
  <c r="X618" i="17" a="1"/>
  <c r="X618" i="17" s="1"/>
  <c r="X690" i="17" a="1"/>
  <c r="X690" i="17" s="1"/>
  <c r="Y690" i="17" s="1"/>
  <c r="Q690" i="17" s="1"/>
  <c r="W690" i="17" s="1"/>
  <c r="X740" i="17" a="1"/>
  <c r="X740" i="17" s="1"/>
  <c r="X790" i="17" a="1"/>
  <c r="X790" i="17"/>
  <c r="X840" i="17" a="1"/>
  <c r="X840" i="17" s="1"/>
  <c r="X890" i="17" a="1"/>
  <c r="X890" i="17" s="1"/>
  <c r="Y890" i="17" s="1"/>
  <c r="Q890" i="17" s="1"/>
  <c r="W890" i="17" s="1"/>
  <c r="X940" i="17" a="1"/>
  <c r="X940" i="17" s="1"/>
  <c r="X990" i="17" a="1"/>
  <c r="X990" i="17" s="1"/>
  <c r="Y990" i="17" s="1"/>
  <c r="Q990" i="17" s="1"/>
  <c r="W990" i="17" s="1"/>
  <c r="X236" i="17" a="1"/>
  <c r="X236" i="17" s="1"/>
  <c r="X237" i="17" a="1"/>
  <c r="X237" i="17" s="1"/>
  <c r="Y237" i="17" s="1"/>
  <c r="Q237" i="17" s="1"/>
  <c r="W237" i="17" s="1"/>
  <c r="X238" i="17" a="1"/>
  <c r="X238" i="17" s="1"/>
  <c r="X239" i="17" a="1"/>
  <c r="X239" i="17" s="1"/>
  <c r="X240" i="17" a="1"/>
  <c r="X240" i="17" s="1"/>
  <c r="X241" i="17" a="1"/>
  <c r="X241" i="17" s="1"/>
  <c r="Y241" i="17" s="1"/>
  <c r="Q241" i="17" s="1"/>
  <c r="W241" i="17" s="1"/>
  <c r="X419" i="17" a="1"/>
  <c r="X419" i="17" s="1"/>
  <c r="X420" i="17" a="1"/>
  <c r="X420" i="17" s="1"/>
  <c r="Y420" i="17" s="1"/>
  <c r="Q420" i="17" s="1"/>
  <c r="W420" i="17" s="1"/>
  <c r="X421" i="17" a="1"/>
  <c r="X421" i="17" s="1"/>
  <c r="X491" i="17" a="1"/>
  <c r="X491" i="17" s="1"/>
  <c r="Y491" i="17" s="1"/>
  <c r="Q491" i="17" s="1"/>
  <c r="W491" i="17" s="1"/>
  <c r="X619" i="17" a="1"/>
  <c r="X619" i="17" s="1"/>
  <c r="X620" i="17" a="1"/>
  <c r="X620" i="17" s="1"/>
  <c r="Y620" i="17" s="1"/>
  <c r="Q620" i="17" s="1"/>
  <c r="W620" i="17" s="1"/>
  <c r="X621" i="17" a="1"/>
  <c r="X621" i="17" s="1"/>
  <c r="X691" i="17" a="1"/>
  <c r="X691" i="17" s="1"/>
  <c r="Y691" i="17" s="1"/>
  <c r="Q691" i="17" s="1"/>
  <c r="W691" i="17" s="1"/>
  <c r="X741" i="17" a="1"/>
  <c r="X741" i="17" s="1"/>
  <c r="X791" i="17" a="1"/>
  <c r="X791" i="17" s="1"/>
  <c r="Y791" i="17" s="1"/>
  <c r="Q791" i="17" s="1"/>
  <c r="W791" i="17" s="1"/>
  <c r="X841" i="17" a="1"/>
  <c r="X841" i="17" s="1"/>
  <c r="X891" i="17" a="1"/>
  <c r="X891" i="17" s="1"/>
  <c r="Y891" i="17" s="1"/>
  <c r="Q891" i="17" s="1"/>
  <c r="W891" i="17" s="1"/>
  <c r="X941" i="17" a="1"/>
  <c r="X941" i="17" s="1"/>
  <c r="X991" i="17" a="1"/>
  <c r="X991" i="17" s="1"/>
  <c r="X242" i="17" a="1"/>
  <c r="X242" i="17" s="1"/>
  <c r="X243" i="17" a="1"/>
  <c r="X243" i="17" s="1"/>
  <c r="Y243" i="17" s="1"/>
  <c r="Q243" i="17" s="1"/>
  <c r="W243" i="17" s="1"/>
  <c r="X244" i="17" a="1"/>
  <c r="X244" i="17" s="1"/>
  <c r="X245" i="17" a="1"/>
  <c r="X245" i="17" s="1"/>
  <c r="Y245" i="17" s="1"/>
  <c r="Q245" i="17" s="1"/>
  <c r="W245" i="17" s="1"/>
  <c r="X246" i="17" a="1"/>
  <c r="X246" i="17" s="1"/>
  <c r="X247" i="17" a="1"/>
  <c r="X247" i="17" s="1"/>
  <c r="Y247" i="17" s="1"/>
  <c r="Q247" i="17" s="1"/>
  <c r="W247" i="17" s="1"/>
  <c r="X422" i="17" a="1"/>
  <c r="X422" i="17" s="1"/>
  <c r="X423" i="17" a="1"/>
  <c r="X423" i="17" s="1"/>
  <c r="Y423" i="17" s="1"/>
  <c r="Q423" i="17" s="1"/>
  <c r="W423" i="17" s="1"/>
  <c r="X424" i="17" a="1"/>
  <c r="X424" i="17" s="1"/>
  <c r="X492" i="17" a="1"/>
  <c r="X492" i="17" s="1"/>
  <c r="Y492" i="17" s="1"/>
  <c r="Q492" i="17" s="1"/>
  <c r="W492" i="17" s="1"/>
  <c r="X622" i="17" a="1"/>
  <c r="X622" i="17" s="1"/>
  <c r="X623" i="17" a="1"/>
  <c r="X623" i="17" s="1"/>
  <c r="Y623" i="17" s="1"/>
  <c r="Q623" i="17" s="1"/>
  <c r="W623" i="17" s="1"/>
  <c r="X624" i="17" a="1"/>
  <c r="X624" i="17" s="1"/>
  <c r="X692" i="17" a="1"/>
  <c r="X692" i="17" s="1"/>
  <c r="Y692" i="17" s="1"/>
  <c r="Q692" i="17" s="1"/>
  <c r="W692" i="17" s="1"/>
  <c r="X742" i="17" a="1"/>
  <c r="X742" i="17" s="1"/>
  <c r="X792" i="17" a="1"/>
  <c r="X792" i="17" s="1"/>
  <c r="X842" i="17" a="1"/>
  <c r="X842" i="17" s="1"/>
  <c r="X892" i="17" a="1"/>
  <c r="X892" i="17" s="1"/>
  <c r="Y892" i="17" s="1"/>
  <c r="Q892" i="17" s="1"/>
  <c r="W892" i="17" s="1"/>
  <c r="X942" i="17" a="1"/>
  <c r="X942" i="17" s="1"/>
  <c r="X992" i="17" a="1"/>
  <c r="X992" i="17" s="1"/>
  <c r="Y992" i="17" s="1"/>
  <c r="Q992" i="17" s="1"/>
  <c r="W992" i="17" s="1"/>
  <c r="X248" i="17" a="1"/>
  <c r="X248" i="17" s="1"/>
  <c r="X249" i="17" a="1"/>
  <c r="X249" i="17" s="1"/>
  <c r="Y249" i="17" s="1"/>
  <c r="Q249" i="17" s="1"/>
  <c r="W249" i="17" s="1"/>
  <c r="X250" i="17" a="1"/>
  <c r="X250" i="17" s="1"/>
  <c r="X251" i="17" a="1"/>
  <c r="X251" i="17"/>
  <c r="X252" i="17" a="1"/>
  <c r="X252" i="17" s="1"/>
  <c r="X253" i="17" a="1"/>
  <c r="X253" i="17" s="1"/>
  <c r="Y253" i="17" s="1"/>
  <c r="Q253" i="17" s="1"/>
  <c r="W253" i="17" s="1"/>
  <c r="X425" i="17" a="1"/>
  <c r="X425" i="17" s="1"/>
  <c r="X426" i="17" a="1"/>
  <c r="X426" i="17" s="1"/>
  <c r="Y426" i="17" s="1"/>
  <c r="Q426" i="17" s="1"/>
  <c r="W426" i="17" s="1"/>
  <c r="X427" i="17" a="1"/>
  <c r="X427" i="17" s="1"/>
  <c r="X493" i="17" a="1"/>
  <c r="X493" i="17" s="1"/>
  <c r="Y493" i="17" s="1"/>
  <c r="Q493" i="17" s="1"/>
  <c r="W493" i="17" s="1"/>
  <c r="X625" i="17" a="1"/>
  <c r="X625" i="17" s="1"/>
  <c r="X626" i="17" a="1"/>
  <c r="X626" i="17" s="1"/>
  <c r="X627" i="17" a="1"/>
  <c r="X627" i="17" s="1"/>
  <c r="X693" i="17" a="1"/>
  <c r="X693" i="17" s="1"/>
  <c r="Y693" i="17" s="1"/>
  <c r="Q693" i="17" s="1"/>
  <c r="W693" i="17" s="1"/>
  <c r="X743" i="17" a="1"/>
  <c r="X743" i="17" s="1"/>
  <c r="X793" i="17" a="1"/>
  <c r="X793" i="17" s="1"/>
  <c r="Y793" i="17" s="1"/>
  <c r="Q793" i="17" s="1"/>
  <c r="W793" i="17" s="1"/>
  <c r="X843" i="17" a="1"/>
  <c r="X843" i="17" s="1"/>
  <c r="X893" i="17" a="1"/>
  <c r="X893" i="17" s="1"/>
  <c r="Y893" i="17" s="1"/>
  <c r="Q893" i="17" s="1"/>
  <c r="W893" i="17" s="1"/>
  <c r="X943" i="17" a="1"/>
  <c r="X943" i="17" s="1"/>
  <c r="X993" i="17" a="1"/>
  <c r="X993" i="17"/>
  <c r="X254" i="17" a="1"/>
  <c r="X254" i="17" s="1"/>
  <c r="X255" i="17" a="1"/>
  <c r="X255" i="17" s="1"/>
  <c r="Y255" i="17" s="1"/>
  <c r="Q255" i="17" s="1"/>
  <c r="W255" i="17" s="1"/>
  <c r="X256" i="17" a="1"/>
  <c r="X256" i="17" s="1"/>
  <c r="X257" i="17" a="1"/>
  <c r="X257" i="17" s="1"/>
  <c r="Y257" i="17" s="1"/>
  <c r="Q257" i="17" s="1"/>
  <c r="W257" i="17" s="1"/>
  <c r="X258" i="17" a="1"/>
  <c r="X258" i="17" s="1"/>
  <c r="X259" i="17" a="1"/>
  <c r="X259" i="17" s="1"/>
  <c r="Y259" i="17" s="1"/>
  <c r="Q259" i="17" s="1"/>
  <c r="W259" i="17" s="1"/>
  <c r="X428" i="17" a="1"/>
  <c r="X428" i="17" s="1"/>
  <c r="X429" i="17" a="1"/>
  <c r="X429" i="17" s="1"/>
  <c r="X430" i="17" a="1"/>
  <c r="X430" i="17" s="1"/>
  <c r="X494" i="17" a="1"/>
  <c r="X494" i="17" s="1"/>
  <c r="Y494" i="17" s="1"/>
  <c r="Q494" i="17" s="1"/>
  <c r="W494" i="17" s="1"/>
  <c r="X628" i="17" a="1"/>
  <c r="X628" i="17" s="1"/>
  <c r="X629" i="17" a="1"/>
  <c r="X629" i="17" s="1"/>
  <c r="Y629" i="17" s="1"/>
  <c r="Q629" i="17" s="1"/>
  <c r="W629" i="17" s="1"/>
  <c r="X630" i="17" a="1"/>
  <c r="X630" i="17" s="1"/>
  <c r="X694" i="17" a="1"/>
  <c r="X694" i="17" s="1"/>
  <c r="Y694" i="17" s="1"/>
  <c r="Q694" i="17" s="1"/>
  <c r="W694" i="17" s="1"/>
  <c r="X744" i="17" a="1"/>
  <c r="X744" i="17" s="1"/>
  <c r="X794" i="17" a="1"/>
  <c r="X794" i="17" s="1"/>
  <c r="Y794" i="17" s="1"/>
  <c r="Q794" i="17" s="1"/>
  <c r="W794" i="17" s="1"/>
  <c r="X844" i="17" a="1"/>
  <c r="X844" i="17" s="1"/>
  <c r="X894" i="17" a="1"/>
  <c r="X894" i="17" s="1"/>
  <c r="Y894" i="17" s="1"/>
  <c r="Q894" i="17" s="1"/>
  <c r="W894" i="17" s="1"/>
  <c r="X944" i="17" a="1"/>
  <c r="X944" i="17" s="1"/>
  <c r="X994" i="17" a="1"/>
  <c r="X994" i="17" s="1"/>
  <c r="Y994" i="17" s="1"/>
  <c r="Q994" i="17" s="1"/>
  <c r="W994" i="17" s="1"/>
  <c r="X260" i="17" a="1"/>
  <c r="X260" i="17" s="1"/>
  <c r="X261" i="17" a="1"/>
  <c r="X261" i="17" s="1"/>
  <c r="Y261" i="17" s="1"/>
  <c r="Q261" i="17" s="1"/>
  <c r="W261" i="17" s="1"/>
  <c r="X262" i="17" a="1"/>
  <c r="X262" i="17" s="1"/>
  <c r="X263" i="17" a="1"/>
  <c r="X263" i="17" s="1"/>
  <c r="X264" i="17" a="1"/>
  <c r="X264" i="17" s="1"/>
  <c r="X265" i="17" a="1"/>
  <c r="X265" i="17" s="1"/>
  <c r="Y265" i="17" s="1"/>
  <c r="Q265" i="17" s="1"/>
  <c r="W265" i="17" s="1"/>
  <c r="X431" i="17" a="1"/>
  <c r="X431" i="17" s="1"/>
  <c r="Y431" i="17" s="1"/>
  <c r="Q431" i="17" s="1"/>
  <c r="W431" i="17" s="1"/>
  <c r="X432" i="17" a="1"/>
  <c r="X432" i="17" s="1"/>
  <c r="Y432" i="17" s="1"/>
  <c r="Q432" i="17" s="1"/>
  <c r="W432" i="17" s="1"/>
  <c r="X433" i="17" a="1"/>
  <c r="X433" i="17" s="1"/>
  <c r="X495" i="17" a="1"/>
  <c r="X495" i="17" s="1"/>
  <c r="Y495" i="17" s="1"/>
  <c r="Q495" i="17" s="1"/>
  <c r="W495" i="17" s="1"/>
  <c r="X631" i="17" a="1"/>
  <c r="X631" i="17" s="1"/>
  <c r="X632" i="17" a="1"/>
  <c r="X632" i="17" s="1"/>
  <c r="Y632" i="17" s="1"/>
  <c r="Q632" i="17" s="1"/>
  <c r="W632" i="17" s="1"/>
  <c r="X633" i="17" a="1"/>
  <c r="X633" i="17" s="1"/>
  <c r="X695" i="17" a="1"/>
  <c r="X695" i="17" s="1"/>
  <c r="Y695" i="17" s="1"/>
  <c r="Q695" i="17" s="1"/>
  <c r="W695" i="17" s="1"/>
  <c r="X745" i="17" a="1"/>
  <c r="X745" i="17" s="1"/>
  <c r="X795" i="17" a="1"/>
  <c r="X795" i="17" s="1"/>
  <c r="Y795" i="17" s="1"/>
  <c r="Q795" i="17" s="1"/>
  <c r="W795" i="17" s="1"/>
  <c r="X845" i="17" a="1"/>
  <c r="X845" i="17" s="1"/>
  <c r="X895" i="17" a="1"/>
  <c r="X895" i="17" s="1"/>
  <c r="Y895" i="17" s="1"/>
  <c r="Q895" i="17" s="1"/>
  <c r="W895" i="17" s="1"/>
  <c r="X945" i="17" a="1"/>
  <c r="X945" i="17" s="1"/>
  <c r="X995" i="17" a="1"/>
  <c r="X995" i="17" s="1"/>
  <c r="X266" i="17" a="1"/>
  <c r="X266" i="17" s="1"/>
  <c r="X267" i="17" a="1"/>
  <c r="X267" i="17" s="1"/>
  <c r="Y267" i="17" s="1"/>
  <c r="Q267" i="17" s="1"/>
  <c r="W267" i="17" s="1"/>
  <c r="X268" i="17" a="1"/>
  <c r="X268" i="17" s="1"/>
  <c r="X269" i="17" a="1"/>
  <c r="X269" i="17" s="1"/>
  <c r="Y269" i="17" s="1"/>
  <c r="Q269" i="17" s="1"/>
  <c r="W269" i="17" s="1"/>
  <c r="X270" i="17" a="1"/>
  <c r="X270" i="17" s="1"/>
  <c r="X271" i="17" a="1"/>
  <c r="X271" i="17" s="1"/>
  <c r="Y271" i="17" s="1"/>
  <c r="Q271" i="17" s="1"/>
  <c r="W271" i="17" s="1"/>
  <c r="X434" i="17" a="1"/>
  <c r="X434" i="17" s="1"/>
  <c r="X435" i="17" a="1"/>
  <c r="X435" i="17"/>
  <c r="X436" i="17" a="1"/>
  <c r="X436" i="17" s="1"/>
  <c r="X496" i="17" a="1"/>
  <c r="X496" i="17" s="1"/>
  <c r="Y496" i="17" s="1"/>
  <c r="Q496" i="17" s="1"/>
  <c r="W496" i="17" s="1"/>
  <c r="X634" i="17" a="1"/>
  <c r="X634" i="17" s="1"/>
  <c r="X635" i="17" a="1"/>
  <c r="X635" i="17" s="1"/>
  <c r="Y635" i="17" s="1"/>
  <c r="Q635" i="17" s="1"/>
  <c r="W635" i="17" s="1"/>
  <c r="X636" i="17" a="1"/>
  <c r="X636" i="17" s="1"/>
  <c r="Y636" i="17" s="1"/>
  <c r="Q636" i="17" s="1"/>
  <c r="W636" i="17" s="1"/>
  <c r="X696" i="17" a="1"/>
  <c r="X696" i="17" s="1"/>
  <c r="Y696" i="17" s="1"/>
  <c r="Q696" i="17" s="1"/>
  <c r="W696" i="17" s="1"/>
  <c r="X746" i="17" a="1"/>
  <c r="X746" i="17" s="1"/>
  <c r="X796" i="17" a="1"/>
  <c r="X796" i="17" s="1"/>
  <c r="X846" i="17" a="1"/>
  <c r="X846" i="17" s="1"/>
  <c r="Y846" i="17" s="1"/>
  <c r="Q846" i="17" s="1"/>
  <c r="W846" i="17" s="1"/>
  <c r="X896" i="17" a="1"/>
  <c r="X896" i="17" s="1"/>
  <c r="Y896" i="17" s="1"/>
  <c r="Q896" i="17" s="1"/>
  <c r="W896" i="17" s="1"/>
  <c r="X946" i="17" a="1"/>
  <c r="X946" i="17" s="1"/>
  <c r="X996" i="17" a="1"/>
  <c r="X996" i="17" s="1"/>
  <c r="Y996" i="17" s="1"/>
  <c r="Q996" i="17" s="1"/>
  <c r="W996" i="17" s="1"/>
  <c r="X272" i="17" a="1"/>
  <c r="X272" i="17" s="1"/>
  <c r="X273" i="17" a="1"/>
  <c r="X273" i="17" s="1"/>
  <c r="Y273" i="17" s="1"/>
  <c r="Q273" i="17" s="1"/>
  <c r="W273" i="17" s="1"/>
  <c r="X274" i="17" a="1"/>
  <c r="X274" i="17" s="1"/>
  <c r="X275" i="17" a="1"/>
  <c r="X275" i="17"/>
  <c r="Y275" i="17" s="1"/>
  <c r="Q275" i="17" s="1"/>
  <c r="W275" i="17" s="1"/>
  <c r="X276" i="17" a="1"/>
  <c r="X276" i="17" s="1"/>
  <c r="X277" i="17" a="1"/>
  <c r="X277" i="17" s="1"/>
  <c r="Y277" i="17" s="1"/>
  <c r="Q277" i="17" s="1"/>
  <c r="W277" i="17" s="1"/>
  <c r="X437" i="17" a="1"/>
  <c r="X437" i="17" s="1"/>
  <c r="X438" i="17" a="1"/>
  <c r="X438" i="17" s="1"/>
  <c r="Y438" i="17" s="1"/>
  <c r="Q438" i="17" s="1"/>
  <c r="W438" i="17" s="1"/>
  <c r="X439" i="17" a="1"/>
  <c r="X439" i="17" s="1"/>
  <c r="X497" i="17" a="1"/>
  <c r="X497" i="17" s="1"/>
  <c r="Y497" i="17" s="1"/>
  <c r="Q497" i="17" s="1"/>
  <c r="W497" i="17" s="1"/>
  <c r="X637" i="17" a="1"/>
  <c r="X637" i="17" s="1"/>
  <c r="X638" i="17" a="1"/>
  <c r="X638" i="17" s="1"/>
  <c r="Y638" i="17" s="1"/>
  <c r="Q638" i="17" s="1"/>
  <c r="W638" i="17" s="1"/>
  <c r="X639" i="17" a="1"/>
  <c r="X639" i="17" s="1"/>
  <c r="X697" i="17" a="1"/>
  <c r="X697" i="17" s="1"/>
  <c r="Y697" i="17" s="1"/>
  <c r="Q697" i="17" s="1"/>
  <c r="W697" i="17" s="1"/>
  <c r="X747" i="17" a="1"/>
  <c r="X747" i="17" s="1"/>
  <c r="X797" i="17" a="1"/>
  <c r="X797" i="17" s="1"/>
  <c r="Y797" i="17" s="1"/>
  <c r="Q797" i="17" s="1"/>
  <c r="W797" i="17" s="1"/>
  <c r="X847" i="17" a="1"/>
  <c r="X847" i="17" s="1"/>
  <c r="X897" i="17" a="1"/>
  <c r="X897" i="17" s="1"/>
  <c r="Y897" i="17" s="1"/>
  <c r="Q897" i="17" s="1"/>
  <c r="W897" i="17" s="1"/>
  <c r="X947" i="17" a="1"/>
  <c r="X947" i="17" s="1"/>
  <c r="X997" i="17" a="1"/>
  <c r="X997" i="17" s="1"/>
  <c r="Y997" i="17" s="1"/>
  <c r="Q997" i="17" s="1"/>
  <c r="W997" i="17" s="1"/>
  <c r="X278" i="17" a="1"/>
  <c r="X278" i="17" s="1"/>
  <c r="X279" i="17" a="1"/>
  <c r="X279" i="17" s="1"/>
  <c r="Y279" i="17" s="1"/>
  <c r="Q279" i="17" s="1"/>
  <c r="W279" i="17" s="1"/>
  <c r="X280" i="17" a="1"/>
  <c r="X280" i="17" s="1"/>
  <c r="X281" i="17" a="1"/>
  <c r="X281" i="17" s="1"/>
  <c r="Y281" i="17" s="1"/>
  <c r="Q281" i="17" s="1"/>
  <c r="W281" i="17" s="1"/>
  <c r="X282" i="17" a="1"/>
  <c r="X282" i="17" s="1"/>
  <c r="X283" i="17" a="1"/>
  <c r="X283" i="17" s="1"/>
  <c r="Y283" i="17" s="1"/>
  <c r="Q283" i="17" s="1"/>
  <c r="W283" i="17" s="1"/>
  <c r="X440" i="17" a="1"/>
  <c r="X440" i="17" s="1"/>
  <c r="Y440" i="17" s="1"/>
  <c r="Q440" i="17" s="1"/>
  <c r="W440" i="17" s="1"/>
  <c r="X441" i="17" a="1"/>
  <c r="X441" i="17" s="1"/>
  <c r="X442" i="17" a="1"/>
  <c r="X442" i="17" s="1"/>
  <c r="X498" i="17" a="1"/>
  <c r="X498" i="17" s="1"/>
  <c r="Y498" i="17" s="1"/>
  <c r="Q498" i="17" s="1"/>
  <c r="W498" i="17" s="1"/>
  <c r="X640" i="17" a="1"/>
  <c r="X640" i="17" s="1"/>
  <c r="X641" i="17" a="1"/>
  <c r="X641" i="17" s="1"/>
  <c r="Y641" i="17" s="1"/>
  <c r="Q641" i="17" s="1"/>
  <c r="W641" i="17" s="1"/>
  <c r="X642" i="17" a="1"/>
  <c r="X642" i="17" s="1"/>
  <c r="X698" i="17" a="1"/>
  <c r="X698" i="17" s="1"/>
  <c r="Y698" i="17" s="1"/>
  <c r="Q698" i="17" s="1"/>
  <c r="W698" i="17" s="1"/>
  <c r="X748" i="17" a="1"/>
  <c r="X748" i="17" s="1"/>
  <c r="Y748" i="17" s="1"/>
  <c r="Q748" i="17" s="1"/>
  <c r="W748" i="17" s="1"/>
  <c r="X798" i="17" a="1"/>
  <c r="X798" i="17" s="1"/>
  <c r="Y798" i="17" s="1"/>
  <c r="Q798" i="17" s="1"/>
  <c r="W798" i="17" s="1"/>
  <c r="X848" i="17" a="1"/>
  <c r="X848" i="17" s="1"/>
  <c r="Y848" i="17" s="1"/>
  <c r="Q848" i="17" s="1"/>
  <c r="W848" i="17" s="1"/>
  <c r="X898" i="17" a="1"/>
  <c r="X898" i="17" s="1"/>
  <c r="Y898" i="17" s="1"/>
  <c r="Q898" i="17" s="1"/>
  <c r="W898" i="17" s="1"/>
  <c r="X948" i="17" a="1"/>
  <c r="X948" i="17" s="1"/>
  <c r="X998" i="17" a="1"/>
  <c r="X998" i="17" s="1"/>
  <c r="Y998" i="17" s="1"/>
  <c r="Q998" i="17" s="1"/>
  <c r="W998" i="17" s="1"/>
  <c r="X284" i="17" a="1"/>
  <c r="X284" i="17" s="1"/>
  <c r="Y284" i="17" s="1"/>
  <c r="Q284" i="17" s="1"/>
  <c r="W284" i="17" s="1"/>
  <c r="X285" i="17" a="1"/>
  <c r="X285" i="17" s="1"/>
  <c r="Y285" i="17" s="1"/>
  <c r="Q285" i="17" s="1"/>
  <c r="W285" i="17" s="1"/>
  <c r="X286" i="17" a="1"/>
  <c r="X286" i="17" s="1"/>
  <c r="X287" i="17" a="1"/>
  <c r="X287" i="17" s="1"/>
  <c r="X288" i="17" a="1"/>
  <c r="X288" i="17" s="1"/>
  <c r="X289" i="17" a="1"/>
  <c r="X289" i="17" s="1"/>
  <c r="Y289" i="17" s="1"/>
  <c r="Q289" i="17" s="1"/>
  <c r="W289" i="17" s="1"/>
  <c r="X443" i="17" a="1"/>
  <c r="X443" i="17" s="1"/>
  <c r="X444" i="17" a="1"/>
  <c r="X444" i="17" s="1"/>
  <c r="Y444" i="17" s="1"/>
  <c r="Q444" i="17" s="1"/>
  <c r="W444" i="17" s="1"/>
  <c r="X445" i="17" a="1"/>
  <c r="X445" i="17" s="1"/>
  <c r="Y445" i="17" s="1"/>
  <c r="Q445" i="17" s="1"/>
  <c r="W445" i="17" s="1"/>
  <c r="X499" i="17" a="1"/>
  <c r="X499" i="17" s="1"/>
  <c r="Y499" i="17" s="1"/>
  <c r="Q499" i="17" s="1"/>
  <c r="W499" i="17" s="1"/>
  <c r="X643" i="17" a="1"/>
  <c r="X643" i="17" s="1"/>
  <c r="X644" i="17" a="1"/>
  <c r="X644" i="17"/>
  <c r="X645" i="17" a="1"/>
  <c r="X645" i="17" s="1"/>
  <c r="Y645" i="17" s="1"/>
  <c r="Q645" i="17" s="1"/>
  <c r="W645" i="17" s="1"/>
  <c r="X699" i="17" a="1"/>
  <c r="X699" i="17" s="1"/>
  <c r="Y699" i="17" s="1"/>
  <c r="Q699" i="17" s="1"/>
  <c r="W699" i="17" s="1"/>
  <c r="X749" i="17" a="1"/>
  <c r="X749" i="17" s="1"/>
  <c r="X799" i="17" a="1"/>
  <c r="X799" i="17" s="1"/>
  <c r="Y799" i="17" s="1"/>
  <c r="Q799" i="17" s="1"/>
  <c r="W799" i="17" s="1"/>
  <c r="X849" i="17" a="1"/>
  <c r="X849" i="17" s="1"/>
  <c r="Y849" i="17" s="1"/>
  <c r="Q849" i="17" s="1"/>
  <c r="W849" i="17" s="1"/>
  <c r="X899" i="17" a="1"/>
  <c r="X899" i="17" s="1"/>
  <c r="Y899" i="17" s="1"/>
  <c r="Q899" i="17" s="1"/>
  <c r="W899" i="17" s="1"/>
  <c r="X949" i="17" a="1"/>
  <c r="X949" i="17" s="1"/>
  <c r="X999" i="17" a="1"/>
  <c r="X999" i="17" s="1"/>
  <c r="X290" i="17" a="1"/>
  <c r="X290" i="17" s="1"/>
  <c r="Y290" i="17" s="1"/>
  <c r="Q290" i="17" s="1"/>
  <c r="W290" i="17" s="1"/>
  <c r="X291" i="17" a="1"/>
  <c r="X291" i="17" s="1"/>
  <c r="Y291" i="17" s="1"/>
  <c r="Q291" i="17" s="1"/>
  <c r="W291" i="17" s="1"/>
  <c r="X292" i="17" a="1"/>
  <c r="X292" i="17" s="1"/>
  <c r="X293" i="17" a="1"/>
  <c r="X293" i="17" s="1"/>
  <c r="Y293" i="17" s="1"/>
  <c r="Q293" i="17" s="1"/>
  <c r="W293" i="17" s="1"/>
  <c r="X294" i="17" a="1"/>
  <c r="X294" i="17" s="1"/>
  <c r="Y294" i="17" s="1"/>
  <c r="Q294" i="17" s="1"/>
  <c r="W294" i="17" s="1"/>
  <c r="X295" i="17" a="1"/>
  <c r="X295" i="17" s="1"/>
  <c r="Y295" i="17" s="1"/>
  <c r="Q295" i="17" s="1"/>
  <c r="W295" i="17" s="1"/>
  <c r="X446" i="17" a="1"/>
  <c r="X446" i="17" s="1"/>
  <c r="X447" i="17" a="1"/>
  <c r="X447" i="17"/>
  <c r="Y447" i="17" s="1"/>
  <c r="Q447" i="17" s="1"/>
  <c r="W447" i="17" s="1"/>
  <c r="X448" i="17" a="1"/>
  <c r="X448" i="17" s="1"/>
  <c r="Y448" i="17" s="1"/>
  <c r="Q448" i="17" s="1"/>
  <c r="W448" i="17" s="1"/>
  <c r="X500" i="17" a="1"/>
  <c r="X500" i="17" s="1"/>
  <c r="Y500" i="17" s="1"/>
  <c r="Q500" i="17" s="1"/>
  <c r="W500" i="17" s="1"/>
  <c r="X646" i="17" a="1"/>
  <c r="X646" i="17" s="1"/>
  <c r="Y646" i="17" s="1"/>
  <c r="Q646" i="17" s="1"/>
  <c r="W646" i="17" s="1"/>
  <c r="X647" i="17" a="1"/>
  <c r="X647" i="17" s="1"/>
  <c r="Y647" i="17" s="1"/>
  <c r="Q647" i="17" s="1"/>
  <c r="W647" i="17" s="1"/>
  <c r="X648" i="17" a="1"/>
  <c r="X648" i="17" s="1"/>
  <c r="X700" i="17" a="1"/>
  <c r="X700" i="17" s="1"/>
  <c r="Y700" i="17" s="1"/>
  <c r="Q700" i="17" s="1"/>
  <c r="W700" i="17" s="1"/>
  <c r="X750" i="17" a="1"/>
  <c r="X750" i="17" s="1"/>
  <c r="X800" i="17" a="1"/>
  <c r="X800" i="17" s="1"/>
  <c r="Y800" i="17" s="1"/>
  <c r="Q800" i="17" s="1"/>
  <c r="W800" i="17" s="1"/>
  <c r="X850" i="17" a="1"/>
  <c r="X850" i="17" s="1"/>
  <c r="X900" i="17" a="1"/>
  <c r="X900" i="17" s="1"/>
  <c r="Y900" i="17" s="1"/>
  <c r="Q900" i="17" s="1"/>
  <c r="W900" i="17" s="1"/>
  <c r="X950" i="17" a="1"/>
  <c r="X950" i="17" s="1"/>
  <c r="Y950" i="17" s="1"/>
  <c r="Q950" i="17" s="1"/>
  <c r="W950" i="17" s="1"/>
  <c r="X1000" i="17" a="1"/>
  <c r="X1000" i="17" s="1"/>
  <c r="Y1000" i="17" s="1"/>
  <c r="Q1000" i="17" s="1"/>
  <c r="W1000" i="17" s="1"/>
  <c r="X296" i="17" a="1"/>
  <c r="X296" i="17" s="1"/>
  <c r="X297" i="17" a="1"/>
  <c r="X297" i="17" s="1"/>
  <c r="Y297" i="17" s="1"/>
  <c r="Q297" i="17" s="1"/>
  <c r="W297" i="17" s="1"/>
  <c r="X298" i="17" a="1"/>
  <c r="X298" i="17" s="1"/>
  <c r="X299" i="17" a="1"/>
  <c r="X299" i="17" s="1"/>
  <c r="Y299" i="17" s="1"/>
  <c r="Q299" i="17" s="1"/>
  <c r="W299" i="17" s="1"/>
  <c r="X300" i="17" a="1"/>
  <c r="X300" i="17" s="1"/>
  <c r="Y300" i="17" s="1"/>
  <c r="Q300" i="17" s="1"/>
  <c r="W300" i="17" s="1"/>
  <c r="X301" i="17" a="1"/>
  <c r="X301" i="17" s="1"/>
  <c r="Y301" i="17" s="1"/>
  <c r="Q301" i="17" s="1"/>
  <c r="W301" i="17" s="1"/>
  <c r="X449" i="17" a="1"/>
  <c r="X449" i="17" s="1"/>
  <c r="Y449" i="17" s="1"/>
  <c r="Q449" i="17" s="1"/>
  <c r="W449" i="17" s="1"/>
  <c r="X450" i="17" a="1"/>
  <c r="X450" i="17" s="1"/>
  <c r="Y450" i="17" s="1"/>
  <c r="Q450" i="17" s="1"/>
  <c r="W450" i="17" s="1"/>
  <c r="X451" i="17" a="1"/>
  <c r="X451" i="17" s="1"/>
  <c r="X501" i="17" a="1"/>
  <c r="X501" i="17" s="1"/>
  <c r="Y501" i="17" s="1"/>
  <c r="Q501" i="17" s="1"/>
  <c r="W501" i="17" s="1"/>
  <c r="X649" i="17" a="1"/>
  <c r="X649" i="17" s="1"/>
  <c r="Y649" i="17" s="1"/>
  <c r="Q649" i="17" s="1"/>
  <c r="W649" i="17" s="1"/>
  <c r="X650" i="17" a="1"/>
  <c r="X650" i="17" s="1"/>
  <c r="X651" i="17" a="1"/>
  <c r="X651" i="17" s="1"/>
  <c r="X701" i="17" a="1"/>
  <c r="X701" i="17" s="1"/>
  <c r="Y701" i="17" s="1"/>
  <c r="Q701" i="17" s="1"/>
  <c r="W701" i="17" s="1"/>
  <c r="X751" i="17" a="1"/>
  <c r="X751" i="17" s="1"/>
  <c r="Y751" i="17" s="1"/>
  <c r="Q751" i="17" s="1"/>
  <c r="W751" i="17" s="1"/>
  <c r="X801" i="17" a="1"/>
  <c r="X801" i="17" s="1"/>
  <c r="Y801" i="17" s="1"/>
  <c r="Q801" i="17" s="1"/>
  <c r="W801" i="17" s="1"/>
  <c r="X851" i="17" a="1"/>
  <c r="X851" i="17" s="1"/>
  <c r="X901" i="17" a="1"/>
  <c r="X901" i="17" s="1"/>
  <c r="Y901" i="17" s="1"/>
  <c r="Q901" i="17" s="1"/>
  <c r="W901" i="17" s="1"/>
  <c r="X951" i="17" a="1"/>
  <c r="X951" i="17" s="1"/>
  <c r="Y951" i="17" s="1"/>
  <c r="Q951" i="17" s="1"/>
  <c r="W951" i="17" s="1"/>
  <c r="X1001" i="17" a="1"/>
  <c r="X1001" i="17" s="1"/>
  <c r="Y1001" i="17" s="1"/>
  <c r="Q1001" i="17" s="1"/>
  <c r="W1001" i="17" s="1"/>
  <c r="Y2" i="17"/>
  <c r="Q2" i="17" s="1"/>
  <c r="W2" i="17" s="1"/>
  <c r="Y4" i="17"/>
  <c r="Q4" i="17" s="1"/>
  <c r="W4" i="17" s="1"/>
  <c r="Y6" i="17"/>
  <c r="Q6" i="17" s="1"/>
  <c r="W6" i="17" s="1"/>
  <c r="Y302" i="17"/>
  <c r="Q302" i="17" s="1"/>
  <c r="W302" i="17" s="1"/>
  <c r="Y303" i="17"/>
  <c r="Q303" i="17" s="1"/>
  <c r="W303" i="17" s="1"/>
  <c r="Y304" i="17"/>
  <c r="Q304" i="17" s="1"/>
  <c r="W304" i="17" s="1"/>
  <c r="Y502" i="17"/>
  <c r="Q502" i="17" s="1"/>
  <c r="W502" i="17" s="1"/>
  <c r="Y504" i="17"/>
  <c r="Q504" i="17" s="1"/>
  <c r="W504" i="17" s="1"/>
  <c r="Y702" i="17"/>
  <c r="Q702" i="17" s="1"/>
  <c r="W702" i="17" s="1"/>
  <c r="Y802" i="17"/>
  <c r="Q802" i="17" s="1"/>
  <c r="W802" i="17" s="1"/>
  <c r="Y902" i="17"/>
  <c r="Q902" i="17" s="1"/>
  <c r="W902" i="17" s="1"/>
  <c r="Y8" i="17"/>
  <c r="Q8" i="17" s="1"/>
  <c r="W8" i="17" s="1"/>
  <c r="Y10" i="17"/>
  <c r="Q10" i="17" s="1"/>
  <c r="W10" i="17" s="1"/>
  <c r="Y11" i="17"/>
  <c r="Q11" i="17" s="1"/>
  <c r="W11" i="17" s="1"/>
  <c r="Y12" i="17"/>
  <c r="Q12" i="17" s="1"/>
  <c r="W12" i="17" s="1"/>
  <c r="Y305" i="17"/>
  <c r="Q305" i="17" s="1"/>
  <c r="W305" i="17" s="1"/>
  <c r="Y307" i="17"/>
  <c r="Q307" i="17" s="1"/>
  <c r="W307" i="17" s="1"/>
  <c r="Y505" i="17"/>
  <c r="Q505" i="17" s="1"/>
  <c r="W505" i="17" s="1"/>
  <c r="Y506" i="17"/>
  <c r="Q506" i="17" s="1"/>
  <c r="W506" i="17" s="1"/>
  <c r="Y507" i="17"/>
  <c r="Q507" i="17" s="1"/>
  <c r="W507" i="17" s="1"/>
  <c r="Y703" i="17"/>
  <c r="Q703" i="17" s="1"/>
  <c r="W703" i="17" s="1"/>
  <c r="Y803" i="17"/>
  <c r="Q803" i="17" s="1"/>
  <c r="W803" i="17" s="1"/>
  <c r="Y903" i="17"/>
  <c r="Q903" i="17" s="1"/>
  <c r="W903" i="17" s="1"/>
  <c r="Y953" i="17"/>
  <c r="Q953" i="17" s="1"/>
  <c r="W953" i="17" s="1"/>
  <c r="Y14" i="17"/>
  <c r="Q14" i="17" s="1"/>
  <c r="W14" i="17" s="1"/>
  <c r="Y16" i="17"/>
  <c r="Q16" i="17" s="1"/>
  <c r="W16" i="17" s="1"/>
  <c r="Y18" i="17"/>
  <c r="Q18" i="17" s="1"/>
  <c r="W18" i="17" s="1"/>
  <c r="Y308" i="17"/>
  <c r="Q308" i="17" s="1"/>
  <c r="W308" i="17" s="1"/>
  <c r="Y310" i="17"/>
  <c r="Q310" i="17" s="1"/>
  <c r="W310" i="17" s="1"/>
  <c r="Y508" i="17"/>
  <c r="Q508" i="17" s="1"/>
  <c r="W508" i="17" s="1"/>
  <c r="Y510" i="17"/>
  <c r="Q510" i="17" s="1"/>
  <c r="W510" i="17" s="1"/>
  <c r="Y704" i="17"/>
  <c r="Q704" i="17" s="1"/>
  <c r="W704" i="17" s="1"/>
  <c r="Y754" i="17"/>
  <c r="Q754" i="17" s="1"/>
  <c r="W754" i="17" s="1"/>
  <c r="Y804" i="17"/>
  <c r="Q804" i="17" s="1"/>
  <c r="W804" i="17" s="1"/>
  <c r="Y904" i="17"/>
  <c r="Q904" i="17" s="1"/>
  <c r="W904" i="17" s="1"/>
  <c r="Y20" i="17"/>
  <c r="Q20" i="17" s="1"/>
  <c r="W20" i="17" s="1"/>
  <c r="Y22" i="17"/>
  <c r="Q22" i="17" s="1"/>
  <c r="W22" i="17" s="1"/>
  <c r="Y23" i="17"/>
  <c r="Q23" i="17" s="1"/>
  <c r="W23" i="17" s="1"/>
  <c r="Y24" i="17"/>
  <c r="Q24" i="17" s="1"/>
  <c r="W24" i="17" s="1"/>
  <c r="Y311" i="17"/>
  <c r="Q311" i="17" s="1"/>
  <c r="W311" i="17" s="1"/>
  <c r="Y313" i="17"/>
  <c r="Q313" i="17" s="1"/>
  <c r="W313" i="17" s="1"/>
  <c r="Y511" i="17"/>
  <c r="Q511" i="17" s="1"/>
  <c r="W511" i="17" s="1"/>
  <c r="Y512" i="17"/>
  <c r="Q512" i="17" s="1"/>
  <c r="W512" i="17" s="1"/>
  <c r="Y513" i="17"/>
  <c r="Q513" i="17" s="1"/>
  <c r="W513" i="17" s="1"/>
  <c r="Y705" i="17"/>
  <c r="Q705" i="17" s="1"/>
  <c r="W705" i="17" s="1"/>
  <c r="Y805" i="17"/>
  <c r="Q805" i="17" s="1"/>
  <c r="W805" i="17" s="1"/>
  <c r="Y905" i="17"/>
  <c r="Q905" i="17" s="1"/>
  <c r="W905" i="17" s="1"/>
  <c r="Y26" i="17"/>
  <c r="Q26" i="17" s="1"/>
  <c r="W26" i="17" s="1"/>
  <c r="Y28" i="17"/>
  <c r="Q28" i="17" s="1"/>
  <c r="W28" i="17" s="1"/>
  <c r="Y30" i="17"/>
  <c r="Q30" i="17" s="1"/>
  <c r="W30" i="17" s="1"/>
  <c r="Y314" i="17"/>
  <c r="Q314" i="17" s="1"/>
  <c r="W314" i="17" s="1"/>
  <c r="Y315" i="17"/>
  <c r="Q315" i="17" s="1"/>
  <c r="W315" i="17" s="1"/>
  <c r="Y316" i="17"/>
  <c r="Q316" i="17" s="1"/>
  <c r="W316" i="17" s="1"/>
  <c r="Y514" i="17"/>
  <c r="Q514" i="17" s="1"/>
  <c r="W514" i="17" s="1"/>
  <c r="Y516" i="17"/>
  <c r="Q516" i="17" s="1"/>
  <c r="W516" i="17" s="1"/>
  <c r="Y706" i="17"/>
  <c r="Q706" i="17" s="1"/>
  <c r="W706" i="17" s="1"/>
  <c r="Y756" i="17"/>
  <c r="Q756" i="17" s="1"/>
  <c r="W756" i="17" s="1"/>
  <c r="Y806" i="17"/>
  <c r="Q806" i="17" s="1"/>
  <c r="W806" i="17" s="1"/>
  <c r="Y906" i="17"/>
  <c r="Q906" i="17" s="1"/>
  <c r="W906" i="17" s="1"/>
  <c r="Y32" i="17"/>
  <c r="Q32" i="17" s="1"/>
  <c r="W32" i="17" s="1"/>
  <c r="Y34" i="17"/>
  <c r="Q34" i="17" s="1"/>
  <c r="W34" i="17" s="1"/>
  <c r="Y35" i="17"/>
  <c r="Q35" i="17" s="1"/>
  <c r="W35" i="17" s="1"/>
  <c r="Y36" i="17"/>
  <c r="Q36" i="17" s="1"/>
  <c r="W36" i="17" s="1"/>
  <c r="Y317" i="17"/>
  <c r="Q317" i="17" s="1"/>
  <c r="W317" i="17" s="1"/>
  <c r="Y319" i="17"/>
  <c r="Q319" i="17" s="1"/>
  <c r="W319" i="17" s="1"/>
  <c r="Y517" i="17"/>
  <c r="Q517" i="17" s="1"/>
  <c r="W517" i="17" s="1"/>
  <c r="Y519" i="17"/>
  <c r="Q519" i="17" s="1"/>
  <c r="W519" i="17" s="1"/>
  <c r="Y707" i="17"/>
  <c r="Q707" i="17" s="1"/>
  <c r="W707" i="17" s="1"/>
  <c r="Y807" i="17"/>
  <c r="Q807" i="17" s="1"/>
  <c r="W807" i="17" s="1"/>
  <c r="Y907" i="17"/>
  <c r="Q907" i="17" s="1"/>
  <c r="W907" i="17" s="1"/>
  <c r="Y957" i="17"/>
  <c r="Q957" i="17" s="1"/>
  <c r="W957" i="17" s="1"/>
  <c r="Y38" i="17"/>
  <c r="Q38" i="17" s="1"/>
  <c r="W38" i="17" s="1"/>
  <c r="Y40" i="17"/>
  <c r="Q40" i="17" s="1"/>
  <c r="W40" i="17" s="1"/>
  <c r="Y42" i="17"/>
  <c r="Q42" i="17" s="1"/>
  <c r="W42" i="17" s="1"/>
  <c r="Y320" i="17"/>
  <c r="Q320" i="17" s="1"/>
  <c r="W320" i="17" s="1"/>
  <c r="Y321" i="17"/>
  <c r="Q321" i="17" s="1"/>
  <c r="W321" i="17" s="1"/>
  <c r="Y322" i="17"/>
  <c r="Q322" i="17" s="1"/>
  <c r="W322" i="17" s="1"/>
  <c r="Y520" i="17"/>
  <c r="Q520" i="17" s="1"/>
  <c r="W520" i="17" s="1"/>
  <c r="Y522" i="17"/>
  <c r="Q522" i="17" s="1"/>
  <c r="W522" i="17" s="1"/>
  <c r="Y708" i="17"/>
  <c r="Q708" i="17" s="1"/>
  <c r="W708" i="17" s="1"/>
  <c r="Y758" i="17"/>
  <c r="Q758" i="17" s="1"/>
  <c r="W758" i="17" s="1"/>
  <c r="Y808" i="17"/>
  <c r="Q808" i="17" s="1"/>
  <c r="W808" i="17" s="1"/>
  <c r="Y908" i="17"/>
  <c r="Q908" i="17" s="1"/>
  <c r="W908" i="17" s="1"/>
  <c r="Y44" i="17"/>
  <c r="Q44" i="17" s="1"/>
  <c r="W44" i="17" s="1"/>
  <c r="Y46" i="17"/>
  <c r="Q46" i="17" s="1"/>
  <c r="W46" i="17" s="1"/>
  <c r="Y48" i="17"/>
  <c r="Q48" i="17" s="1"/>
  <c r="W48" i="17" s="1"/>
  <c r="Y323" i="17"/>
  <c r="Q323" i="17" s="1"/>
  <c r="W323" i="17" s="1"/>
  <c r="Y325" i="17"/>
  <c r="Q325" i="17" s="1"/>
  <c r="W325" i="17" s="1"/>
  <c r="Y523" i="17"/>
  <c r="Q523" i="17" s="1"/>
  <c r="W523" i="17" s="1"/>
  <c r="Y524" i="17"/>
  <c r="Q524" i="17" s="1"/>
  <c r="W524" i="17" s="1"/>
  <c r="Y525" i="17"/>
  <c r="Q525" i="17" s="1"/>
  <c r="W525" i="17" s="1"/>
  <c r="Y709" i="17"/>
  <c r="Q709" i="17" s="1"/>
  <c r="W709" i="17" s="1"/>
  <c r="Y809" i="17"/>
  <c r="Q809" i="17" s="1"/>
  <c r="W809" i="17" s="1"/>
  <c r="Y909" i="17"/>
  <c r="Q909" i="17" s="1"/>
  <c r="W909" i="17" s="1"/>
  <c r="Y959" i="17"/>
  <c r="Q959" i="17" s="1"/>
  <c r="W959" i="17" s="1"/>
  <c r="Y50" i="17"/>
  <c r="Q50" i="17" s="1"/>
  <c r="W50" i="17" s="1"/>
  <c r="Y52" i="17"/>
  <c r="Q52" i="17" s="1"/>
  <c r="W52" i="17" s="1"/>
  <c r="Y54" i="17"/>
  <c r="Q54" i="17" s="1"/>
  <c r="W54" i="17" s="1"/>
  <c r="Y326" i="17"/>
  <c r="Q326" i="17" s="1"/>
  <c r="W326" i="17" s="1"/>
  <c r="Y327" i="17"/>
  <c r="Q327" i="17" s="1"/>
  <c r="W327" i="17" s="1"/>
  <c r="Y328" i="17"/>
  <c r="Q328" i="17" s="1"/>
  <c r="W328" i="17" s="1"/>
  <c r="Y526" i="17"/>
  <c r="Q526" i="17" s="1"/>
  <c r="W526" i="17" s="1"/>
  <c r="Y528" i="17"/>
  <c r="Q528" i="17" s="1"/>
  <c r="W528" i="17" s="1"/>
  <c r="Y710" i="17"/>
  <c r="Q710" i="17" s="1"/>
  <c r="W710" i="17" s="1"/>
  <c r="Y810" i="17"/>
  <c r="Q810" i="17" s="1"/>
  <c r="W810" i="17" s="1"/>
  <c r="Y910" i="17"/>
  <c r="Q910" i="17" s="1"/>
  <c r="W910" i="17" s="1"/>
  <c r="Y56" i="17"/>
  <c r="Q56" i="17" s="1"/>
  <c r="W56" i="17" s="1"/>
  <c r="Y58" i="17"/>
  <c r="Q58" i="17" s="1"/>
  <c r="W58" i="17" s="1"/>
  <c r="Y59" i="17"/>
  <c r="Q59" i="17" s="1"/>
  <c r="W59" i="17" s="1"/>
  <c r="Y60" i="17"/>
  <c r="Q60" i="17" s="1"/>
  <c r="W60" i="17" s="1"/>
  <c r="Y329" i="17"/>
  <c r="Q329" i="17" s="1"/>
  <c r="W329" i="17" s="1"/>
  <c r="Y331" i="17"/>
  <c r="Q331" i="17" s="1"/>
  <c r="W331" i="17" s="1"/>
  <c r="Y529" i="17"/>
  <c r="Q529" i="17" s="1"/>
  <c r="W529" i="17" s="1"/>
  <c r="Y530" i="17"/>
  <c r="Q530" i="17" s="1"/>
  <c r="W530" i="17" s="1"/>
  <c r="Y531" i="17"/>
  <c r="Q531" i="17" s="1"/>
  <c r="W531" i="17" s="1"/>
  <c r="Y711" i="17"/>
  <c r="Q711" i="17" s="1"/>
  <c r="W711" i="17" s="1"/>
  <c r="Y811" i="17"/>
  <c r="Q811" i="17" s="1"/>
  <c r="W811" i="17" s="1"/>
  <c r="Y911" i="17"/>
  <c r="Q911" i="17" s="1"/>
  <c r="W911" i="17" s="1"/>
  <c r="Y62" i="17"/>
  <c r="Q62" i="17" s="1"/>
  <c r="W62" i="17" s="1"/>
  <c r="Y64" i="17"/>
  <c r="Q64" i="17" s="1"/>
  <c r="W64" i="17" s="1"/>
  <c r="Y66" i="17"/>
  <c r="Q66" i="17" s="1"/>
  <c r="W66" i="17" s="1"/>
  <c r="Y332" i="17"/>
  <c r="Q332" i="17" s="1"/>
  <c r="W332" i="17" s="1"/>
  <c r="Y334" i="17"/>
  <c r="Q334" i="17" s="1"/>
  <c r="W334" i="17" s="1"/>
  <c r="Y532" i="17"/>
  <c r="Q532" i="17" s="1"/>
  <c r="W532" i="17" s="1"/>
  <c r="Y534" i="17"/>
  <c r="Q534" i="17" s="1"/>
  <c r="W534" i="17" s="1"/>
  <c r="Y712" i="17"/>
  <c r="Q712" i="17" s="1"/>
  <c r="W712" i="17" s="1"/>
  <c r="Y762" i="17"/>
  <c r="Q762" i="17" s="1"/>
  <c r="W762" i="17" s="1"/>
  <c r="Y812" i="17"/>
  <c r="Q812" i="17" s="1"/>
  <c r="W812" i="17" s="1"/>
  <c r="Y912" i="17"/>
  <c r="Q912" i="17" s="1"/>
  <c r="W912" i="17" s="1"/>
  <c r="Y68" i="17"/>
  <c r="Q68" i="17" s="1"/>
  <c r="W68" i="17" s="1"/>
  <c r="Y70" i="17"/>
  <c r="Q70" i="17" s="1"/>
  <c r="W70" i="17" s="1"/>
  <c r="Y71" i="17"/>
  <c r="Q71" i="17" s="1"/>
  <c r="W71" i="17" s="1"/>
  <c r="Y72" i="17"/>
  <c r="Q72" i="17" s="1"/>
  <c r="W72" i="17" s="1"/>
  <c r="Y335" i="17"/>
  <c r="Q335" i="17" s="1"/>
  <c r="W335" i="17" s="1"/>
  <c r="Y337" i="17"/>
  <c r="Q337" i="17" s="1"/>
  <c r="W337" i="17" s="1"/>
  <c r="Y535" i="17"/>
  <c r="Q535" i="17" s="1"/>
  <c r="W535" i="17" s="1"/>
  <c r="Y537" i="17"/>
  <c r="Q537" i="17" s="1"/>
  <c r="W537" i="17" s="1"/>
  <c r="Y713" i="17"/>
  <c r="Q713" i="17" s="1"/>
  <c r="W713" i="17" s="1"/>
  <c r="Y813" i="17"/>
  <c r="Q813" i="17" s="1"/>
  <c r="W813" i="17" s="1"/>
  <c r="Y913" i="17"/>
  <c r="Q913" i="17" s="1"/>
  <c r="W913" i="17" s="1"/>
  <c r="Y74" i="17"/>
  <c r="Q74" i="17" s="1"/>
  <c r="W74" i="17" s="1"/>
  <c r="Y76" i="17"/>
  <c r="Q76" i="17" s="1"/>
  <c r="W76" i="17" s="1"/>
  <c r="Y78" i="17"/>
  <c r="Q78" i="17" s="1"/>
  <c r="W78" i="17" s="1"/>
  <c r="Y338" i="17"/>
  <c r="Q338" i="17" s="1"/>
  <c r="W338" i="17" s="1"/>
  <c r="Y339" i="17"/>
  <c r="Q339" i="17" s="1"/>
  <c r="W339" i="17" s="1"/>
  <c r="Y340" i="17"/>
  <c r="Q340" i="17" s="1"/>
  <c r="W340" i="17" s="1"/>
  <c r="Y538" i="17"/>
  <c r="Q538" i="17" s="1"/>
  <c r="W538" i="17" s="1"/>
  <c r="Y540" i="17"/>
  <c r="Q540" i="17" s="1"/>
  <c r="W540" i="17" s="1"/>
  <c r="Y714" i="17"/>
  <c r="Q714" i="17" s="1"/>
  <c r="W714" i="17" s="1"/>
  <c r="Y764" i="17"/>
  <c r="Q764" i="17" s="1"/>
  <c r="W764" i="17" s="1"/>
  <c r="Y814" i="17"/>
  <c r="Q814" i="17" s="1"/>
  <c r="W814" i="17" s="1"/>
  <c r="Y914" i="17"/>
  <c r="Q914" i="17" s="1"/>
  <c r="W914" i="17" s="1"/>
  <c r="Y80" i="17"/>
  <c r="Q80" i="17" s="1"/>
  <c r="W80" i="17" s="1"/>
  <c r="Y82" i="17"/>
  <c r="Q82" i="17" s="1"/>
  <c r="W82" i="17" s="1"/>
  <c r="Y84" i="17"/>
  <c r="Q84" i="17" s="1"/>
  <c r="W84" i="17" s="1"/>
  <c r="Y341" i="17"/>
  <c r="Q341" i="17" s="1"/>
  <c r="W341" i="17" s="1"/>
  <c r="Y343" i="17"/>
  <c r="Q343" i="17" s="1"/>
  <c r="W343" i="17" s="1"/>
  <c r="Y541" i="17"/>
  <c r="Q541" i="17" s="1"/>
  <c r="W541" i="17" s="1"/>
  <c r="Y543" i="17"/>
  <c r="Q543" i="17" s="1"/>
  <c r="W543" i="17" s="1"/>
  <c r="Y715" i="17"/>
  <c r="Q715" i="17" s="1"/>
  <c r="W715" i="17" s="1"/>
  <c r="Y815" i="17"/>
  <c r="Q815" i="17" s="1"/>
  <c r="W815" i="17" s="1"/>
  <c r="Y915" i="17"/>
  <c r="Q915" i="17" s="1"/>
  <c r="W915" i="17" s="1"/>
  <c r="Y965" i="17"/>
  <c r="Q965" i="17" s="1"/>
  <c r="W965" i="17" s="1"/>
  <c r="Y86" i="17"/>
  <c r="Q86" i="17" s="1"/>
  <c r="W86" i="17" s="1"/>
  <c r="Y88" i="17"/>
  <c r="Q88" i="17" s="1"/>
  <c r="W88" i="17" s="1"/>
  <c r="Y90" i="17"/>
  <c r="Q90" i="17" s="1"/>
  <c r="W90" i="17" s="1"/>
  <c r="Y344" i="17"/>
  <c r="Q344" i="17" s="1"/>
  <c r="W344" i="17" s="1"/>
  <c r="Y345" i="17"/>
  <c r="Q345" i="17" s="1"/>
  <c r="W345" i="17" s="1"/>
  <c r="Y346" i="17"/>
  <c r="Q346" i="17" s="1"/>
  <c r="W346" i="17" s="1"/>
  <c r="Y544" i="17"/>
  <c r="Q544" i="17" s="1"/>
  <c r="W544" i="17" s="1"/>
  <c r="Y546" i="17"/>
  <c r="Q546" i="17" s="1"/>
  <c r="W546" i="17" s="1"/>
  <c r="Y716" i="17"/>
  <c r="Q716" i="17" s="1"/>
  <c r="W716" i="17" s="1"/>
  <c r="Y766" i="17"/>
  <c r="Q766" i="17" s="1"/>
  <c r="W766" i="17" s="1"/>
  <c r="Y816" i="17"/>
  <c r="Q816" i="17" s="1"/>
  <c r="W816" i="17" s="1"/>
  <c r="Y916" i="17"/>
  <c r="Q916" i="17" s="1"/>
  <c r="W916" i="17" s="1"/>
  <c r="Y92" i="17"/>
  <c r="Q92" i="17" s="1"/>
  <c r="W92" i="17" s="1"/>
  <c r="Y94" i="17"/>
  <c r="Q94" i="17" s="1"/>
  <c r="W94" i="17" s="1"/>
  <c r="Y96" i="17"/>
  <c r="Q96" i="17" s="1"/>
  <c r="W96" i="17" s="1"/>
  <c r="Y347" i="17"/>
  <c r="Q347" i="17" s="1"/>
  <c r="W347" i="17" s="1"/>
  <c r="Y349" i="17"/>
  <c r="Q349" i="17" s="1"/>
  <c r="W349" i="17" s="1"/>
  <c r="Y547" i="17"/>
  <c r="Q547" i="17" s="1"/>
  <c r="W547" i="17" s="1"/>
  <c r="Y548" i="17"/>
  <c r="Q548" i="17" s="1"/>
  <c r="W548" i="17" s="1"/>
  <c r="Y549" i="17"/>
  <c r="Q549" i="17" s="1"/>
  <c r="W549" i="17" s="1"/>
  <c r="Y717" i="17"/>
  <c r="Q717" i="17" s="1"/>
  <c r="W717" i="17" s="1"/>
  <c r="Y817" i="17"/>
  <c r="Q817" i="17" s="1"/>
  <c r="W817" i="17" s="1"/>
  <c r="Y917" i="17"/>
  <c r="Q917" i="17" s="1"/>
  <c r="W917" i="17" s="1"/>
  <c r="Y967" i="17"/>
  <c r="Q967" i="17" s="1"/>
  <c r="W967" i="17" s="1"/>
  <c r="Y98" i="17"/>
  <c r="Q98" i="17" s="1"/>
  <c r="W98" i="17" s="1"/>
  <c r="Y100" i="17"/>
  <c r="Q100" i="17" s="1"/>
  <c r="W100" i="17" s="1"/>
  <c r="Y102" i="17"/>
  <c r="Q102" i="17" s="1"/>
  <c r="W102" i="17" s="1"/>
  <c r="Y350" i="17"/>
  <c r="Q350" i="17" s="1"/>
  <c r="W350" i="17" s="1"/>
  <c r="Y351" i="17"/>
  <c r="Q351" i="17" s="1"/>
  <c r="W351" i="17" s="1"/>
  <c r="Y352" i="17"/>
  <c r="Q352" i="17" s="1"/>
  <c r="W352" i="17" s="1"/>
  <c r="Y550" i="17"/>
  <c r="Q550" i="17" s="1"/>
  <c r="W550" i="17" s="1"/>
  <c r="Y552" i="17"/>
  <c r="Q552" i="17" s="1"/>
  <c r="W552" i="17" s="1"/>
  <c r="Y718" i="17"/>
  <c r="Q718" i="17" s="1"/>
  <c r="W718" i="17" s="1"/>
  <c r="Y818" i="17"/>
  <c r="Q818" i="17" s="1"/>
  <c r="W818" i="17" s="1"/>
  <c r="Y918" i="17"/>
  <c r="Q918" i="17" s="1"/>
  <c r="W918" i="17" s="1"/>
  <c r="Y104" i="17"/>
  <c r="Q104" i="17" s="1"/>
  <c r="W104" i="17" s="1"/>
  <c r="Y106" i="17"/>
  <c r="Q106" i="17" s="1"/>
  <c r="W106" i="17" s="1"/>
  <c r="Y107" i="17"/>
  <c r="Q107" i="17" s="1"/>
  <c r="W107" i="17" s="1"/>
  <c r="Y108" i="17"/>
  <c r="Q108" i="17" s="1"/>
  <c r="W108" i="17" s="1"/>
  <c r="Y353" i="17"/>
  <c r="Q353" i="17" s="1"/>
  <c r="W353" i="17" s="1"/>
  <c r="Y355" i="17"/>
  <c r="Q355" i="17" s="1"/>
  <c r="W355" i="17" s="1"/>
  <c r="Y553" i="17"/>
  <c r="Q553" i="17" s="1"/>
  <c r="W553" i="17" s="1"/>
  <c r="Y554" i="17"/>
  <c r="Q554" i="17" s="1"/>
  <c r="W554" i="17" s="1"/>
  <c r="Y555" i="17"/>
  <c r="Q555" i="17" s="1"/>
  <c r="W555" i="17" s="1"/>
  <c r="Y719" i="17"/>
  <c r="Q719" i="17" s="1"/>
  <c r="W719" i="17" s="1"/>
  <c r="Y819" i="17"/>
  <c r="Q819" i="17" s="1"/>
  <c r="W819" i="17" s="1"/>
  <c r="Y919" i="17"/>
  <c r="Q919" i="17" s="1"/>
  <c r="W919" i="17" s="1"/>
  <c r="Y969" i="17"/>
  <c r="Q969" i="17" s="1"/>
  <c r="W969" i="17" s="1"/>
  <c r="Y110" i="17"/>
  <c r="Q110" i="17" s="1"/>
  <c r="W110" i="17" s="1"/>
  <c r="Y112" i="17"/>
  <c r="Q112" i="17" s="1"/>
  <c r="W112" i="17" s="1"/>
  <c r="Y114" i="17"/>
  <c r="Q114" i="17" s="1"/>
  <c r="W114" i="17" s="1"/>
  <c r="Y356" i="17"/>
  <c r="Q356" i="17" s="1"/>
  <c r="W356" i="17" s="1"/>
  <c r="Y358" i="17"/>
  <c r="Q358" i="17" s="1"/>
  <c r="W358" i="17" s="1"/>
  <c r="Y556" i="17"/>
  <c r="Q556" i="17" s="1"/>
  <c r="W556" i="17" s="1"/>
  <c r="Y558" i="17"/>
  <c r="Q558" i="17" s="1"/>
  <c r="W558" i="17" s="1"/>
  <c r="Y720" i="17"/>
  <c r="Q720" i="17" s="1"/>
  <c r="W720" i="17" s="1"/>
  <c r="Y770" i="17"/>
  <c r="Q770" i="17" s="1"/>
  <c r="W770" i="17" s="1"/>
  <c r="Y820" i="17"/>
  <c r="Q820" i="17" s="1"/>
  <c r="W820" i="17" s="1"/>
  <c r="Y920" i="17"/>
  <c r="Q920" i="17" s="1"/>
  <c r="W920" i="17" s="1"/>
  <c r="Y116" i="17"/>
  <c r="Q116" i="17" s="1"/>
  <c r="W116" i="17" s="1"/>
  <c r="Y118" i="17"/>
  <c r="Q118" i="17" s="1"/>
  <c r="W118" i="17" s="1"/>
  <c r="Y119" i="17"/>
  <c r="Q119" i="17" s="1"/>
  <c r="W119" i="17" s="1"/>
  <c r="Y120" i="17"/>
  <c r="Q120" i="17" s="1"/>
  <c r="W120" i="17" s="1"/>
  <c r="Y359" i="17"/>
  <c r="Q359" i="17" s="1"/>
  <c r="W359" i="17" s="1"/>
  <c r="Y361" i="17"/>
  <c r="Q361" i="17" s="1"/>
  <c r="W361" i="17" s="1"/>
  <c r="Y559" i="17"/>
  <c r="Q559" i="17" s="1"/>
  <c r="W559" i="17" s="1"/>
  <c r="Y560" i="17"/>
  <c r="Q560" i="17" s="1"/>
  <c r="W560" i="17" s="1"/>
  <c r="Y561" i="17"/>
  <c r="Q561" i="17" s="1"/>
  <c r="W561" i="17" s="1"/>
  <c r="Y721" i="17"/>
  <c r="Q721" i="17" s="1"/>
  <c r="W721" i="17" s="1"/>
  <c r="Y821" i="17"/>
  <c r="Q821" i="17" s="1"/>
  <c r="W821" i="17" s="1"/>
  <c r="Y921" i="17"/>
  <c r="Q921" i="17" s="1"/>
  <c r="W921" i="17" s="1"/>
  <c r="Y122" i="17"/>
  <c r="Q122" i="17" s="1"/>
  <c r="W122" i="17" s="1"/>
  <c r="Y124" i="17"/>
  <c r="Q124" i="17" s="1"/>
  <c r="W124" i="17" s="1"/>
  <c r="Y126" i="17"/>
  <c r="Q126" i="17" s="1"/>
  <c r="W126" i="17" s="1"/>
  <c r="Y362" i="17"/>
  <c r="Q362" i="17" s="1"/>
  <c r="W362" i="17" s="1"/>
  <c r="Y363" i="17"/>
  <c r="Q363" i="17" s="1"/>
  <c r="W363" i="17" s="1"/>
  <c r="Y364" i="17"/>
  <c r="Q364" i="17" s="1"/>
  <c r="W364" i="17" s="1"/>
  <c r="Y562" i="17"/>
  <c r="Q562" i="17" s="1"/>
  <c r="W562" i="17" s="1"/>
  <c r="Y564" i="17"/>
  <c r="Q564" i="17" s="1"/>
  <c r="W564" i="17" s="1"/>
  <c r="Y722" i="17"/>
  <c r="Q722" i="17" s="1"/>
  <c r="W722" i="17" s="1"/>
  <c r="Y772" i="17"/>
  <c r="Q772" i="17" s="1"/>
  <c r="W772" i="17" s="1"/>
  <c r="Y822" i="17"/>
  <c r="Q822" i="17" s="1"/>
  <c r="W822" i="17" s="1"/>
  <c r="Y922" i="17"/>
  <c r="Q922" i="17" s="1"/>
  <c r="W922" i="17" s="1"/>
  <c r="Y128" i="17"/>
  <c r="Q128" i="17" s="1"/>
  <c r="W128" i="17" s="1"/>
  <c r="Y130" i="17"/>
  <c r="Q130" i="17" s="1"/>
  <c r="W130" i="17" s="1"/>
  <c r="Y132" i="17"/>
  <c r="Q132" i="17" s="1"/>
  <c r="W132" i="17" s="1"/>
  <c r="Y365" i="17"/>
  <c r="Q365" i="17" s="1"/>
  <c r="W365" i="17" s="1"/>
  <c r="Y367" i="17"/>
  <c r="Q367" i="17" s="1"/>
  <c r="W367" i="17" s="1"/>
  <c r="Y565" i="17"/>
  <c r="Q565" i="17" s="1"/>
  <c r="W565" i="17" s="1"/>
  <c r="Y567" i="17"/>
  <c r="Q567" i="17" s="1"/>
  <c r="W567" i="17" s="1"/>
  <c r="Y723" i="17"/>
  <c r="Q723" i="17" s="1"/>
  <c r="W723" i="17" s="1"/>
  <c r="Y823" i="17"/>
  <c r="Q823" i="17" s="1"/>
  <c r="W823" i="17" s="1"/>
  <c r="Y923" i="17"/>
  <c r="Q923" i="17" s="1"/>
  <c r="W923" i="17" s="1"/>
  <c r="Y973" i="17"/>
  <c r="Q973" i="17" s="1"/>
  <c r="W973" i="17" s="1"/>
  <c r="Y134" i="17"/>
  <c r="Q134" i="17" s="1"/>
  <c r="W134" i="17" s="1"/>
  <c r="Y136" i="17"/>
  <c r="Q136" i="17" s="1"/>
  <c r="W136" i="17" s="1"/>
  <c r="Y138" i="17"/>
  <c r="Q138" i="17" s="1"/>
  <c r="W138" i="17" s="1"/>
  <c r="Y368" i="17"/>
  <c r="Q368" i="17" s="1"/>
  <c r="W368" i="17" s="1"/>
  <c r="Y369" i="17"/>
  <c r="Q369" i="17" s="1"/>
  <c r="W369" i="17" s="1"/>
  <c r="Y370" i="17"/>
  <c r="Q370" i="17" s="1"/>
  <c r="W370" i="17" s="1"/>
  <c r="Y568" i="17"/>
  <c r="Q568" i="17" s="1"/>
  <c r="W568" i="17" s="1"/>
  <c r="Y570" i="17"/>
  <c r="Q570" i="17" s="1"/>
  <c r="W570" i="17" s="1"/>
  <c r="Y724" i="17"/>
  <c r="Q724" i="17" s="1"/>
  <c r="W724" i="17" s="1"/>
  <c r="Y824" i="17"/>
  <c r="Q824" i="17" s="1"/>
  <c r="W824" i="17" s="1"/>
  <c r="Y924" i="17"/>
  <c r="Q924" i="17" s="1"/>
  <c r="W924" i="17" s="1"/>
  <c r="Y140" i="17"/>
  <c r="Q140" i="17" s="1"/>
  <c r="W140" i="17" s="1"/>
  <c r="Y142" i="17"/>
  <c r="Q142" i="17" s="1"/>
  <c r="W142" i="17" s="1"/>
  <c r="Y144" i="17"/>
  <c r="Q144" i="17" s="1"/>
  <c r="W144" i="17" s="1"/>
  <c r="Y371" i="17"/>
  <c r="Q371" i="17" s="1"/>
  <c r="W371" i="17" s="1"/>
  <c r="Y373" i="17"/>
  <c r="Q373" i="17" s="1"/>
  <c r="W373" i="17" s="1"/>
  <c r="Y571" i="17"/>
  <c r="Q571" i="17" s="1"/>
  <c r="W571" i="17" s="1"/>
  <c r="Y572" i="17"/>
  <c r="Q572" i="17" s="1"/>
  <c r="W572" i="17" s="1"/>
  <c r="Y573" i="17"/>
  <c r="Q573" i="17" s="1"/>
  <c r="W573" i="17" s="1"/>
  <c r="Y725" i="17"/>
  <c r="Q725" i="17" s="1"/>
  <c r="W725" i="17" s="1"/>
  <c r="Y825" i="17"/>
  <c r="Q825" i="17" s="1"/>
  <c r="W825" i="17" s="1"/>
  <c r="Y925" i="17"/>
  <c r="Q925" i="17" s="1"/>
  <c r="W925" i="17" s="1"/>
  <c r="Y975" i="17"/>
  <c r="Q975" i="17" s="1"/>
  <c r="W975" i="17" s="1"/>
  <c r="Y146" i="17"/>
  <c r="Q146" i="17" s="1"/>
  <c r="W146" i="17" s="1"/>
  <c r="Y148" i="17"/>
  <c r="Q148" i="17" s="1"/>
  <c r="W148" i="17" s="1"/>
  <c r="Y150" i="17"/>
  <c r="Q150" i="17" s="1"/>
  <c r="W150" i="17" s="1"/>
  <c r="Y374" i="17"/>
  <c r="Q374" i="17" s="1"/>
  <c r="W374" i="17" s="1"/>
  <c r="Y376" i="17"/>
  <c r="Q376" i="17" s="1"/>
  <c r="W376" i="17" s="1"/>
  <c r="Y574" i="17"/>
  <c r="Q574" i="17" s="1"/>
  <c r="W574" i="17" s="1"/>
  <c r="Y576" i="17"/>
  <c r="Q576" i="17" s="1"/>
  <c r="W576" i="17" s="1"/>
  <c r="Y726" i="17"/>
  <c r="Q726" i="17" s="1"/>
  <c r="W726" i="17" s="1"/>
  <c r="Y776" i="17"/>
  <c r="Q776" i="17" s="1"/>
  <c r="W776" i="17" s="1"/>
  <c r="Y826" i="17"/>
  <c r="Q826" i="17" s="1"/>
  <c r="W826" i="17" s="1"/>
  <c r="Y926" i="17"/>
  <c r="Q926" i="17" s="1"/>
  <c r="W926" i="17" s="1"/>
  <c r="Y152" i="17"/>
  <c r="Q152" i="17" s="1"/>
  <c r="W152" i="17" s="1"/>
  <c r="Y154" i="17"/>
  <c r="Q154" i="17" s="1"/>
  <c r="W154" i="17" s="1"/>
  <c r="Y156" i="17"/>
  <c r="Q156" i="17" s="1"/>
  <c r="W156" i="17" s="1"/>
  <c r="Y377" i="17"/>
  <c r="Q377" i="17" s="1"/>
  <c r="W377" i="17" s="1"/>
  <c r="Y379" i="17"/>
  <c r="Q379" i="17" s="1"/>
  <c r="W379" i="17" s="1"/>
  <c r="Y577" i="17"/>
  <c r="Q577" i="17" s="1"/>
  <c r="W577" i="17" s="1"/>
  <c r="Y578" i="17"/>
  <c r="Q578" i="17" s="1"/>
  <c r="W578" i="17" s="1"/>
  <c r="Y579" i="17"/>
  <c r="Q579" i="17" s="1"/>
  <c r="W579" i="17" s="1"/>
  <c r="Y727" i="17"/>
  <c r="Q727" i="17" s="1"/>
  <c r="W727" i="17" s="1"/>
  <c r="Y827" i="17"/>
  <c r="Q827" i="17" s="1"/>
  <c r="W827" i="17" s="1"/>
  <c r="Y927" i="17"/>
  <c r="Q927" i="17" s="1"/>
  <c r="W927" i="17" s="1"/>
  <c r="Y977" i="17"/>
  <c r="Q977" i="17" s="1"/>
  <c r="W977" i="17" s="1"/>
  <c r="Y158" i="17"/>
  <c r="Q158" i="17" s="1"/>
  <c r="W158" i="17" s="1"/>
  <c r="Y160" i="17"/>
  <c r="Q160" i="17" s="1"/>
  <c r="W160" i="17" s="1"/>
  <c r="Y162" i="17"/>
  <c r="Q162" i="17" s="1"/>
  <c r="W162" i="17" s="1"/>
  <c r="Y380" i="17"/>
  <c r="Q380" i="17" s="1"/>
  <c r="W380" i="17" s="1"/>
  <c r="Y382" i="17"/>
  <c r="Q382" i="17" s="1"/>
  <c r="W382" i="17" s="1"/>
  <c r="Y580" i="17"/>
  <c r="Q580" i="17" s="1"/>
  <c r="W580" i="17" s="1"/>
  <c r="Y582" i="17"/>
  <c r="Q582" i="17" s="1"/>
  <c r="W582" i="17" s="1"/>
  <c r="Y728" i="17"/>
  <c r="Q728" i="17" s="1"/>
  <c r="W728" i="17" s="1"/>
  <c r="Y778" i="17"/>
  <c r="Q778" i="17" s="1"/>
  <c r="W778" i="17" s="1"/>
  <c r="Y828" i="17"/>
  <c r="Q828" i="17" s="1"/>
  <c r="W828" i="17" s="1"/>
  <c r="Y928" i="17"/>
  <c r="Q928" i="17" s="1"/>
  <c r="W928" i="17" s="1"/>
  <c r="Y164" i="17"/>
  <c r="Q164" i="17" s="1"/>
  <c r="W164" i="17" s="1"/>
  <c r="Y166" i="17"/>
  <c r="Q166" i="17" s="1"/>
  <c r="W166" i="17" s="1"/>
  <c r="Y168" i="17"/>
  <c r="Q168" i="17" s="1"/>
  <c r="W168" i="17" s="1"/>
  <c r="Y383" i="17"/>
  <c r="Q383" i="17" s="1"/>
  <c r="W383" i="17" s="1"/>
  <c r="Y385" i="17"/>
  <c r="Q385" i="17" s="1"/>
  <c r="W385" i="17" s="1"/>
  <c r="Y583" i="17"/>
  <c r="Q583" i="17" s="1"/>
  <c r="W583" i="17" s="1"/>
  <c r="Y585" i="17"/>
  <c r="Q585" i="17" s="1"/>
  <c r="W585" i="17" s="1"/>
  <c r="Y729" i="17"/>
  <c r="Q729" i="17" s="1"/>
  <c r="W729" i="17" s="1"/>
  <c r="Y829" i="17"/>
  <c r="Q829" i="17" s="1"/>
  <c r="W829" i="17" s="1"/>
  <c r="Y929" i="17"/>
  <c r="Q929" i="17" s="1"/>
  <c r="W929" i="17" s="1"/>
  <c r="Y979" i="17"/>
  <c r="Q979" i="17" s="1"/>
  <c r="W979" i="17" s="1"/>
  <c r="Y170" i="17"/>
  <c r="Q170" i="17" s="1"/>
  <c r="W170" i="17" s="1"/>
  <c r="Y172" i="17"/>
  <c r="Q172" i="17" s="1"/>
  <c r="W172" i="17" s="1"/>
  <c r="Y174" i="17"/>
  <c r="Q174" i="17" s="1"/>
  <c r="W174" i="17" s="1"/>
  <c r="Y386" i="17"/>
  <c r="Q386" i="17" s="1"/>
  <c r="W386" i="17" s="1"/>
  <c r="Y388" i="17"/>
  <c r="Q388" i="17" s="1"/>
  <c r="W388" i="17" s="1"/>
  <c r="Y586" i="17"/>
  <c r="Q586" i="17" s="1"/>
  <c r="W586" i="17" s="1"/>
  <c r="Y588" i="17"/>
  <c r="Q588" i="17" s="1"/>
  <c r="W588" i="17" s="1"/>
  <c r="Y730" i="17"/>
  <c r="Q730" i="17" s="1"/>
  <c r="W730" i="17" s="1"/>
  <c r="Y780" i="17"/>
  <c r="Q780" i="17" s="1"/>
  <c r="W780" i="17" s="1"/>
  <c r="Y830" i="17"/>
  <c r="Q830" i="17" s="1"/>
  <c r="W830" i="17" s="1"/>
  <c r="Y930" i="17"/>
  <c r="Q930" i="17" s="1"/>
  <c r="W930" i="17" s="1"/>
  <c r="Y176" i="17"/>
  <c r="Q176" i="17" s="1"/>
  <c r="W176" i="17" s="1"/>
  <c r="Y178" i="17"/>
  <c r="Q178" i="17" s="1"/>
  <c r="W178" i="17" s="1"/>
  <c r="Y179" i="17"/>
  <c r="Q179" i="17" s="1"/>
  <c r="W179" i="17" s="1"/>
  <c r="Y180" i="17"/>
  <c r="Q180" i="17" s="1"/>
  <c r="W180" i="17" s="1"/>
  <c r="Y389" i="17"/>
  <c r="Q389" i="17" s="1"/>
  <c r="W389" i="17" s="1"/>
  <c r="Y391" i="17"/>
  <c r="Q391" i="17" s="1"/>
  <c r="W391" i="17" s="1"/>
  <c r="Y589" i="17"/>
  <c r="Q589" i="17" s="1"/>
  <c r="W589" i="17" s="1"/>
  <c r="Y591" i="17"/>
  <c r="Q591" i="17" s="1"/>
  <c r="W591" i="17" s="1"/>
  <c r="Y731" i="17"/>
  <c r="Q731" i="17" s="1"/>
  <c r="W731" i="17" s="1"/>
  <c r="Y831" i="17"/>
  <c r="Q831" i="17" s="1"/>
  <c r="W831" i="17" s="1"/>
  <c r="Y931" i="17"/>
  <c r="Q931" i="17" s="1"/>
  <c r="W931" i="17" s="1"/>
  <c r="Y981" i="17"/>
  <c r="Q981" i="17" s="1"/>
  <c r="W981" i="17" s="1"/>
  <c r="Y182" i="17"/>
  <c r="Q182" i="17" s="1"/>
  <c r="W182" i="17" s="1"/>
  <c r="Y184" i="17"/>
  <c r="Q184" i="17" s="1"/>
  <c r="W184" i="17" s="1"/>
  <c r="Y186" i="17"/>
  <c r="Q186" i="17" s="1"/>
  <c r="W186" i="17" s="1"/>
  <c r="Y392" i="17"/>
  <c r="Q392" i="17" s="1"/>
  <c r="W392" i="17" s="1"/>
  <c r="Y394" i="17"/>
  <c r="Q394" i="17" s="1"/>
  <c r="W394" i="17" s="1"/>
  <c r="Y592" i="17"/>
  <c r="Q592" i="17" s="1"/>
  <c r="W592" i="17" s="1"/>
  <c r="Y594" i="17"/>
  <c r="Q594" i="17" s="1"/>
  <c r="W594" i="17" s="1"/>
  <c r="Y732" i="17"/>
  <c r="Q732" i="17" s="1"/>
  <c r="W732" i="17" s="1"/>
  <c r="Y832" i="17"/>
  <c r="Q832" i="17" s="1"/>
  <c r="W832" i="17" s="1"/>
  <c r="Y932" i="17"/>
  <c r="Q932" i="17" s="1"/>
  <c r="W932" i="17" s="1"/>
  <c r="Y188" i="17"/>
  <c r="Q188" i="17" s="1"/>
  <c r="W188" i="17" s="1"/>
  <c r="Y190" i="17"/>
  <c r="Q190" i="17" s="1"/>
  <c r="W190" i="17" s="1"/>
  <c r="Y192" i="17"/>
  <c r="Q192" i="17" s="1"/>
  <c r="W192" i="17" s="1"/>
  <c r="Y395" i="17"/>
  <c r="Q395" i="17" s="1"/>
  <c r="W395" i="17" s="1"/>
  <c r="Y397" i="17"/>
  <c r="Q397" i="17" s="1"/>
  <c r="W397" i="17" s="1"/>
  <c r="Y595" i="17"/>
  <c r="Q595" i="17" s="1"/>
  <c r="W595" i="17" s="1"/>
  <c r="Y596" i="17"/>
  <c r="Q596" i="17" s="1"/>
  <c r="W596" i="17" s="1"/>
  <c r="Y597" i="17"/>
  <c r="Q597" i="17" s="1"/>
  <c r="W597" i="17" s="1"/>
  <c r="Y733" i="17"/>
  <c r="Q733" i="17" s="1"/>
  <c r="W733" i="17" s="1"/>
  <c r="Y833" i="17"/>
  <c r="Q833" i="17" s="1"/>
  <c r="W833" i="17" s="1"/>
  <c r="Y933" i="17"/>
  <c r="Q933" i="17" s="1"/>
  <c r="W933" i="17" s="1"/>
  <c r="Y983" i="17"/>
  <c r="Q983" i="17" s="1"/>
  <c r="W983" i="17" s="1"/>
  <c r="Y194" i="17"/>
  <c r="Q194" i="17" s="1"/>
  <c r="W194" i="17" s="1"/>
  <c r="Y196" i="17"/>
  <c r="Q196" i="17" s="1"/>
  <c r="W196" i="17" s="1"/>
  <c r="Y198" i="17"/>
  <c r="Q198" i="17" s="1"/>
  <c r="W198" i="17" s="1"/>
  <c r="Y398" i="17"/>
  <c r="Q398" i="17" s="1"/>
  <c r="W398" i="17" s="1"/>
  <c r="Y399" i="17"/>
  <c r="Q399" i="17" s="1"/>
  <c r="W399" i="17" s="1"/>
  <c r="Y400" i="17"/>
  <c r="Q400" i="17" s="1"/>
  <c r="W400" i="17" s="1"/>
  <c r="Y598" i="17"/>
  <c r="Q598" i="17" s="1"/>
  <c r="W598" i="17" s="1"/>
  <c r="Y600" i="17"/>
  <c r="Q600" i="17" s="1"/>
  <c r="W600" i="17" s="1"/>
  <c r="Y734" i="17"/>
  <c r="Q734" i="17" s="1"/>
  <c r="W734" i="17" s="1"/>
  <c r="Y834" i="17"/>
  <c r="Q834" i="17" s="1"/>
  <c r="W834" i="17" s="1"/>
  <c r="Y934" i="17"/>
  <c r="Q934" i="17" s="1"/>
  <c r="W934" i="17" s="1"/>
  <c r="Y200" i="17"/>
  <c r="Q200" i="17" s="1"/>
  <c r="W200" i="17" s="1"/>
  <c r="Y202" i="17"/>
  <c r="Q202" i="17" s="1"/>
  <c r="W202" i="17" s="1"/>
  <c r="Y204" i="17"/>
  <c r="Q204" i="17" s="1"/>
  <c r="W204" i="17" s="1"/>
  <c r="Y401" i="17"/>
  <c r="Q401" i="17" s="1"/>
  <c r="W401" i="17" s="1"/>
  <c r="Y403" i="17"/>
  <c r="Q403" i="17" s="1"/>
  <c r="W403" i="17" s="1"/>
  <c r="Y601" i="17"/>
  <c r="Q601" i="17" s="1"/>
  <c r="W601" i="17" s="1"/>
  <c r="Y602" i="17"/>
  <c r="Q602" i="17" s="1"/>
  <c r="W602" i="17" s="1"/>
  <c r="Y603" i="17"/>
  <c r="Q603" i="17" s="1"/>
  <c r="W603" i="17" s="1"/>
  <c r="Y735" i="17"/>
  <c r="Q735" i="17" s="1"/>
  <c r="W735" i="17" s="1"/>
  <c r="Y835" i="17"/>
  <c r="Q835" i="17" s="1"/>
  <c r="W835" i="17" s="1"/>
  <c r="Y935" i="17"/>
  <c r="Q935" i="17" s="1"/>
  <c r="W935" i="17" s="1"/>
  <c r="Y206" i="17"/>
  <c r="Q206" i="17" s="1"/>
  <c r="W206" i="17" s="1"/>
  <c r="Y208" i="17"/>
  <c r="Q208" i="17" s="1"/>
  <c r="W208" i="17" s="1"/>
  <c r="Y210" i="17"/>
  <c r="Q210" i="17" s="1"/>
  <c r="W210" i="17" s="1"/>
  <c r="Y404" i="17"/>
  <c r="Q404" i="17" s="1"/>
  <c r="W404" i="17" s="1"/>
  <c r="Y406" i="17"/>
  <c r="Q406" i="17" s="1"/>
  <c r="W406" i="17" s="1"/>
  <c r="Y604" i="17"/>
  <c r="Q604" i="17" s="1"/>
  <c r="W604" i="17" s="1"/>
  <c r="Y606" i="17"/>
  <c r="Q606" i="17" s="1"/>
  <c r="W606" i="17" s="1"/>
  <c r="Y736" i="17"/>
  <c r="Q736" i="17" s="1"/>
  <c r="W736" i="17" s="1"/>
  <c r="Y786" i="17"/>
  <c r="Q786" i="17" s="1"/>
  <c r="W786" i="17" s="1"/>
  <c r="Y836" i="17"/>
  <c r="Q836" i="17" s="1"/>
  <c r="W836" i="17" s="1"/>
  <c r="Y936" i="17"/>
  <c r="Q936" i="17" s="1"/>
  <c r="W936" i="17" s="1"/>
  <c r="Y212" i="17"/>
  <c r="Q212" i="17" s="1"/>
  <c r="W212" i="17" s="1"/>
  <c r="Y214" i="17"/>
  <c r="Q214" i="17" s="1"/>
  <c r="W214" i="17" s="1"/>
  <c r="Y215" i="17"/>
  <c r="Q215" i="17" s="1"/>
  <c r="W215" i="17" s="1"/>
  <c r="Y216" i="17"/>
  <c r="Q216" i="17" s="1"/>
  <c r="W216" i="17" s="1"/>
  <c r="Y407" i="17"/>
  <c r="Q407" i="17" s="1"/>
  <c r="W407" i="17" s="1"/>
  <c r="Y409" i="17"/>
  <c r="Q409" i="17" s="1"/>
  <c r="W409" i="17" s="1"/>
  <c r="Y607" i="17"/>
  <c r="Q607" i="17" s="1"/>
  <c r="W607" i="17" s="1"/>
  <c r="Y608" i="17"/>
  <c r="Q608" i="17" s="1"/>
  <c r="W608" i="17" s="1"/>
  <c r="Y609" i="17"/>
  <c r="Q609" i="17" s="1"/>
  <c r="W609" i="17" s="1"/>
  <c r="Y737" i="17"/>
  <c r="Q737" i="17" s="1"/>
  <c r="W737" i="17" s="1"/>
  <c r="Y837" i="17"/>
  <c r="Q837" i="17" s="1"/>
  <c r="W837" i="17" s="1"/>
  <c r="Y937" i="17"/>
  <c r="Q937" i="17" s="1"/>
  <c r="W937" i="17" s="1"/>
  <c r="Y987" i="17"/>
  <c r="Q987" i="17" s="1"/>
  <c r="W987" i="17" s="1"/>
  <c r="Y218" i="17"/>
  <c r="Q218" i="17" s="1"/>
  <c r="W218" i="17" s="1"/>
  <c r="Y220" i="17"/>
  <c r="Q220" i="17" s="1"/>
  <c r="W220" i="17" s="1"/>
  <c r="Y222" i="17"/>
  <c r="Q222" i="17" s="1"/>
  <c r="W222" i="17" s="1"/>
  <c r="Y410" i="17"/>
  <c r="Q410" i="17" s="1"/>
  <c r="W410" i="17" s="1"/>
  <c r="Y412" i="17"/>
  <c r="Q412" i="17" s="1"/>
  <c r="W412" i="17" s="1"/>
  <c r="Y610" i="17"/>
  <c r="Q610" i="17" s="1"/>
  <c r="W610" i="17" s="1"/>
  <c r="Y612" i="17"/>
  <c r="Q612" i="17" s="1"/>
  <c r="W612" i="17" s="1"/>
  <c r="Y738" i="17"/>
  <c r="Q738" i="17" s="1"/>
  <c r="W738" i="17" s="1"/>
  <c r="Y788" i="17"/>
  <c r="Q788" i="17" s="1"/>
  <c r="W788" i="17" s="1"/>
  <c r="Y838" i="17"/>
  <c r="Q838" i="17" s="1"/>
  <c r="W838" i="17" s="1"/>
  <c r="Y938" i="17"/>
  <c r="Q938" i="17" s="1"/>
  <c r="W938" i="17" s="1"/>
  <c r="Y224" i="17"/>
  <c r="Q224" i="17" s="1"/>
  <c r="W224" i="17" s="1"/>
  <c r="Y226" i="17"/>
  <c r="Q226" i="17" s="1"/>
  <c r="W226" i="17" s="1"/>
  <c r="Y228" i="17"/>
  <c r="Q228" i="17" s="1"/>
  <c r="W228" i="17" s="1"/>
  <c r="Y413" i="17"/>
  <c r="Q413" i="17" s="1"/>
  <c r="W413" i="17" s="1"/>
  <c r="Y415" i="17"/>
  <c r="Q415" i="17" s="1"/>
  <c r="W415" i="17" s="1"/>
  <c r="Y613" i="17"/>
  <c r="Q613" i="17" s="1"/>
  <c r="W613" i="17" s="1"/>
  <c r="Y614" i="17"/>
  <c r="Q614" i="17" s="1"/>
  <c r="W614" i="17" s="1"/>
  <c r="Y615" i="17"/>
  <c r="Q615" i="17" s="1"/>
  <c r="W615" i="17" s="1"/>
  <c r="Y739" i="17"/>
  <c r="Q739" i="17" s="1"/>
  <c r="W739" i="17" s="1"/>
  <c r="Y839" i="17"/>
  <c r="Q839" i="17" s="1"/>
  <c r="W839" i="17" s="1"/>
  <c r="Y939" i="17"/>
  <c r="Q939" i="17" s="1"/>
  <c r="W939" i="17" s="1"/>
  <c r="Y989" i="17"/>
  <c r="Q989" i="17" s="1"/>
  <c r="W989" i="17" s="1"/>
  <c r="Y230" i="17"/>
  <c r="Q230" i="17" s="1"/>
  <c r="W230" i="17" s="1"/>
  <c r="Y232" i="17"/>
  <c r="Q232" i="17" s="1"/>
  <c r="W232" i="17" s="1"/>
  <c r="Y234" i="17"/>
  <c r="Q234" i="17" s="1"/>
  <c r="W234" i="17" s="1"/>
  <c r="Y416" i="17"/>
  <c r="Q416" i="17" s="1"/>
  <c r="W416" i="17" s="1"/>
  <c r="Y417" i="17"/>
  <c r="Q417" i="17" s="1"/>
  <c r="W417" i="17" s="1"/>
  <c r="Y418" i="17"/>
  <c r="Q418" i="17" s="1"/>
  <c r="W418" i="17" s="1"/>
  <c r="Y616" i="17"/>
  <c r="Q616" i="17" s="1"/>
  <c r="W616" i="17" s="1"/>
  <c r="Y618" i="17"/>
  <c r="Q618" i="17" s="1"/>
  <c r="W618" i="17" s="1"/>
  <c r="Y740" i="17"/>
  <c r="Q740" i="17" s="1"/>
  <c r="W740" i="17" s="1"/>
  <c r="Y790" i="17"/>
  <c r="Q790" i="17" s="1"/>
  <c r="W790" i="17" s="1"/>
  <c r="Y840" i="17"/>
  <c r="Q840" i="17" s="1"/>
  <c r="W840" i="17" s="1"/>
  <c r="Y940" i="17"/>
  <c r="Q940" i="17" s="1"/>
  <c r="W940" i="17" s="1"/>
  <c r="Y236" i="17"/>
  <c r="Q236" i="17" s="1"/>
  <c r="W236" i="17" s="1"/>
  <c r="Y238" i="17"/>
  <c r="Q238" i="17" s="1"/>
  <c r="W238" i="17" s="1"/>
  <c r="Y239" i="17"/>
  <c r="Q239" i="17" s="1"/>
  <c r="W239" i="17" s="1"/>
  <c r="Y240" i="17"/>
  <c r="Q240" i="17" s="1"/>
  <c r="W240" i="17" s="1"/>
  <c r="Y419" i="17"/>
  <c r="Q419" i="17" s="1"/>
  <c r="W419" i="17" s="1"/>
  <c r="Y421" i="17"/>
  <c r="Q421" i="17" s="1"/>
  <c r="W421" i="17" s="1"/>
  <c r="Y619" i="17"/>
  <c r="Q619" i="17" s="1"/>
  <c r="W619" i="17" s="1"/>
  <c r="Y621" i="17"/>
  <c r="Q621" i="17" s="1"/>
  <c r="W621" i="17" s="1"/>
  <c r="Y741" i="17"/>
  <c r="Q741" i="17" s="1"/>
  <c r="W741" i="17" s="1"/>
  <c r="Y841" i="17"/>
  <c r="Q841" i="17" s="1"/>
  <c r="W841" i="17" s="1"/>
  <c r="Y941" i="17"/>
  <c r="Q941" i="17" s="1"/>
  <c r="W941" i="17" s="1"/>
  <c r="Y991" i="17"/>
  <c r="Q991" i="17" s="1"/>
  <c r="W991" i="17" s="1"/>
  <c r="Y242" i="17"/>
  <c r="Q242" i="17" s="1"/>
  <c r="W242" i="17" s="1"/>
  <c r="Y244" i="17"/>
  <c r="Q244" i="17" s="1"/>
  <c r="W244" i="17" s="1"/>
  <c r="Y246" i="17"/>
  <c r="Q246" i="17" s="1"/>
  <c r="W246" i="17" s="1"/>
  <c r="Y422" i="17"/>
  <c r="Q422" i="17" s="1"/>
  <c r="W422" i="17" s="1"/>
  <c r="Y424" i="17"/>
  <c r="Q424" i="17" s="1"/>
  <c r="W424" i="17" s="1"/>
  <c r="Y622" i="17"/>
  <c r="Q622" i="17" s="1"/>
  <c r="W622" i="17" s="1"/>
  <c r="Y624" i="17"/>
  <c r="Q624" i="17" s="1"/>
  <c r="W624" i="17" s="1"/>
  <c r="Y742" i="17"/>
  <c r="Q742" i="17" s="1"/>
  <c r="W742" i="17" s="1"/>
  <c r="Y792" i="17"/>
  <c r="Q792" i="17" s="1"/>
  <c r="W792" i="17" s="1"/>
  <c r="Y842" i="17"/>
  <c r="Q842" i="17" s="1"/>
  <c r="W842" i="17" s="1"/>
  <c r="Y942" i="17"/>
  <c r="Q942" i="17" s="1"/>
  <c r="W942" i="17" s="1"/>
  <c r="Y248" i="17"/>
  <c r="Q248" i="17" s="1"/>
  <c r="W248" i="17" s="1"/>
  <c r="Y250" i="17"/>
  <c r="Q250" i="17" s="1"/>
  <c r="W250" i="17" s="1"/>
  <c r="Y251" i="17"/>
  <c r="Q251" i="17" s="1"/>
  <c r="W251" i="17" s="1"/>
  <c r="Y252" i="17"/>
  <c r="Q252" i="17" s="1"/>
  <c r="W252" i="17" s="1"/>
  <c r="Y425" i="17"/>
  <c r="Q425" i="17" s="1"/>
  <c r="W425" i="17" s="1"/>
  <c r="Y427" i="17"/>
  <c r="Q427" i="17" s="1"/>
  <c r="W427" i="17" s="1"/>
  <c r="Y625" i="17"/>
  <c r="Q625" i="17" s="1"/>
  <c r="W625" i="17" s="1"/>
  <c r="Y626" i="17"/>
  <c r="Q626" i="17" s="1"/>
  <c r="W626" i="17" s="1"/>
  <c r="Y627" i="17"/>
  <c r="Q627" i="17" s="1"/>
  <c r="W627" i="17" s="1"/>
  <c r="Y743" i="17"/>
  <c r="Q743" i="17" s="1"/>
  <c r="W743" i="17" s="1"/>
  <c r="Y843" i="17"/>
  <c r="Q843" i="17" s="1"/>
  <c r="W843" i="17" s="1"/>
  <c r="Y943" i="17"/>
  <c r="Q943" i="17" s="1"/>
  <c r="W943" i="17" s="1"/>
  <c r="Y993" i="17"/>
  <c r="Q993" i="17" s="1"/>
  <c r="W993" i="17" s="1"/>
  <c r="Y254" i="17"/>
  <c r="Q254" i="17" s="1"/>
  <c r="W254" i="17" s="1"/>
  <c r="Y256" i="17"/>
  <c r="Q256" i="17" s="1"/>
  <c r="W256" i="17" s="1"/>
  <c r="Y258" i="17"/>
  <c r="Q258" i="17" s="1"/>
  <c r="W258" i="17" s="1"/>
  <c r="Y428" i="17"/>
  <c r="Q428" i="17" s="1"/>
  <c r="W428" i="17" s="1"/>
  <c r="Y429" i="17"/>
  <c r="Q429" i="17" s="1"/>
  <c r="W429" i="17" s="1"/>
  <c r="Y430" i="17"/>
  <c r="Q430" i="17" s="1"/>
  <c r="W430" i="17" s="1"/>
  <c r="Y628" i="17"/>
  <c r="Q628" i="17" s="1"/>
  <c r="W628" i="17" s="1"/>
  <c r="Y630" i="17"/>
  <c r="Q630" i="17" s="1"/>
  <c r="W630" i="17" s="1"/>
  <c r="Y744" i="17"/>
  <c r="Q744" i="17" s="1"/>
  <c r="W744" i="17" s="1"/>
  <c r="Y844" i="17"/>
  <c r="Q844" i="17" s="1"/>
  <c r="W844" i="17" s="1"/>
  <c r="Y944" i="17"/>
  <c r="Q944" i="17" s="1"/>
  <c r="W944" i="17" s="1"/>
  <c r="Y260" i="17"/>
  <c r="Q260" i="17" s="1"/>
  <c r="W260" i="17" s="1"/>
  <c r="Y262" i="17"/>
  <c r="Q262" i="17" s="1"/>
  <c r="W262" i="17" s="1"/>
  <c r="Y263" i="17"/>
  <c r="Q263" i="17" s="1"/>
  <c r="W263" i="17" s="1"/>
  <c r="Y264" i="17"/>
  <c r="Q264" i="17" s="1"/>
  <c r="W264" i="17" s="1"/>
  <c r="Y433" i="17"/>
  <c r="Q433" i="17" s="1"/>
  <c r="W433" i="17" s="1"/>
  <c r="Y631" i="17"/>
  <c r="Q631" i="17" s="1"/>
  <c r="W631" i="17" s="1"/>
  <c r="Y633" i="17"/>
  <c r="Q633" i="17" s="1"/>
  <c r="W633" i="17" s="1"/>
  <c r="Y745" i="17"/>
  <c r="Q745" i="17" s="1"/>
  <c r="W745" i="17" s="1"/>
  <c r="Y845" i="17"/>
  <c r="Q845" i="17" s="1"/>
  <c r="W845" i="17" s="1"/>
  <c r="Y945" i="17"/>
  <c r="Q945" i="17" s="1"/>
  <c r="W945" i="17" s="1"/>
  <c r="Y995" i="17"/>
  <c r="Q995" i="17" s="1"/>
  <c r="W995" i="17" s="1"/>
  <c r="Y266" i="17"/>
  <c r="Q266" i="17" s="1"/>
  <c r="W266" i="17" s="1"/>
  <c r="Y268" i="17"/>
  <c r="Q268" i="17" s="1"/>
  <c r="W268" i="17" s="1"/>
  <c r="Y270" i="17"/>
  <c r="Q270" i="17" s="1"/>
  <c r="W270" i="17" s="1"/>
  <c r="Y434" i="17"/>
  <c r="Q434" i="17" s="1"/>
  <c r="W434" i="17" s="1"/>
  <c r="Y435" i="17"/>
  <c r="Q435" i="17" s="1"/>
  <c r="W435" i="17" s="1"/>
  <c r="Y436" i="17"/>
  <c r="Q436" i="17" s="1"/>
  <c r="W436" i="17" s="1"/>
  <c r="Y634" i="17"/>
  <c r="Q634" i="17" s="1"/>
  <c r="W634" i="17" s="1"/>
  <c r="Y746" i="17"/>
  <c r="Q746" i="17" s="1"/>
  <c r="W746" i="17" s="1"/>
  <c r="Y796" i="17"/>
  <c r="Q796" i="17" s="1"/>
  <c r="W796" i="17" s="1"/>
  <c r="Y946" i="17"/>
  <c r="Q946" i="17" s="1"/>
  <c r="W946" i="17" s="1"/>
  <c r="Y272" i="17"/>
  <c r="Q272" i="17" s="1"/>
  <c r="W272" i="17" s="1"/>
  <c r="Y274" i="17"/>
  <c r="Q274" i="17" s="1"/>
  <c r="W274" i="17" s="1"/>
  <c r="Y276" i="17"/>
  <c r="Q276" i="17" s="1"/>
  <c r="W276" i="17" s="1"/>
  <c r="Y437" i="17"/>
  <c r="Q437" i="17" s="1"/>
  <c r="W437" i="17" s="1"/>
  <c r="Y439" i="17"/>
  <c r="Q439" i="17" s="1"/>
  <c r="W439" i="17" s="1"/>
  <c r="Y637" i="17"/>
  <c r="Q637" i="17" s="1"/>
  <c r="W637" i="17" s="1"/>
  <c r="Y639" i="17"/>
  <c r="Q639" i="17" s="1"/>
  <c r="W639" i="17" s="1"/>
  <c r="Y747" i="17"/>
  <c r="Q747" i="17" s="1"/>
  <c r="W747" i="17" s="1"/>
  <c r="Y847" i="17"/>
  <c r="Q847" i="17" s="1"/>
  <c r="W847" i="17" s="1"/>
  <c r="Y947" i="17"/>
  <c r="Q947" i="17" s="1"/>
  <c r="W947" i="17" s="1"/>
  <c r="Y278" i="17"/>
  <c r="Q278" i="17" s="1"/>
  <c r="W278" i="17" s="1"/>
  <c r="Y280" i="17"/>
  <c r="Q280" i="17" s="1"/>
  <c r="W280" i="17" s="1"/>
  <c r="Y282" i="17"/>
  <c r="Q282" i="17" s="1"/>
  <c r="W282" i="17" s="1"/>
  <c r="Y441" i="17"/>
  <c r="Q441" i="17" s="1"/>
  <c r="W441" i="17" s="1"/>
  <c r="Y442" i="17"/>
  <c r="Q442" i="17" s="1"/>
  <c r="W442" i="17" s="1"/>
  <c r="Y640" i="17"/>
  <c r="Q640" i="17" s="1"/>
  <c r="W640" i="17" s="1"/>
  <c r="Y642" i="17"/>
  <c r="Q642" i="17" s="1"/>
  <c r="W642" i="17" s="1"/>
  <c r="Y948" i="17"/>
  <c r="Q948" i="17" s="1"/>
  <c r="W948" i="17" s="1"/>
  <c r="Y286" i="17"/>
  <c r="Q286" i="17" s="1"/>
  <c r="W286" i="17" s="1"/>
  <c r="Y287" i="17"/>
  <c r="Q287" i="17" s="1"/>
  <c r="W287" i="17" s="1"/>
  <c r="Y288" i="17"/>
  <c r="Q288" i="17" s="1"/>
  <c r="W288" i="17" s="1"/>
  <c r="Y443" i="17"/>
  <c r="Q443" i="17" s="1"/>
  <c r="W443" i="17" s="1"/>
  <c r="Y643" i="17"/>
  <c r="Q643" i="17" s="1"/>
  <c r="W643" i="17" s="1"/>
  <c r="Y644" i="17"/>
  <c r="Q644" i="17" s="1"/>
  <c r="W644" i="17" s="1"/>
  <c r="Y749" i="17"/>
  <c r="Q749" i="17" s="1"/>
  <c r="W749" i="17" s="1"/>
  <c r="Y949" i="17"/>
  <c r="Q949" i="17" s="1"/>
  <c r="W949" i="17" s="1"/>
  <c r="Y999" i="17"/>
  <c r="Q999" i="17" s="1"/>
  <c r="W999" i="17" s="1"/>
  <c r="Y292" i="17"/>
  <c r="Q292" i="17" s="1"/>
  <c r="W292" i="17" s="1"/>
  <c r="Y446" i="17"/>
  <c r="Q446" i="17" s="1"/>
  <c r="W446" i="17" s="1"/>
  <c r="Y648" i="17"/>
  <c r="Q648" i="17" s="1"/>
  <c r="W648" i="17" s="1"/>
  <c r="Y750" i="17"/>
  <c r="Q750" i="17" s="1"/>
  <c r="W750" i="17" s="1"/>
  <c r="Y850" i="17"/>
  <c r="Q850" i="17" s="1"/>
  <c r="W850" i="17" s="1"/>
  <c r="Y296" i="17"/>
  <c r="Q296" i="17" s="1"/>
  <c r="W296" i="17" s="1"/>
  <c r="Y298" i="17"/>
  <c r="Q298" i="17" s="1"/>
  <c r="W298" i="17" s="1"/>
  <c r="Y451" i="17"/>
  <c r="Q451" i="17" s="1"/>
  <c r="W451" i="17" s="1"/>
  <c r="Y650" i="17"/>
  <c r="Q650" i="17" s="1"/>
  <c r="W650" i="17" s="1"/>
  <c r="Y651" i="17"/>
  <c r="Q651" i="17" s="1"/>
  <c r="W651" i="17" s="1"/>
  <c r="Y851" i="17"/>
  <c r="Q851" i="17" s="1"/>
  <c r="W851" i="17" s="1"/>
  <c r="G2" i="16"/>
  <c r="L31" i="22"/>
  <c r="K31" i="22"/>
  <c r="L30" i="22"/>
  <c r="K30" i="22"/>
  <c r="L29" i="22"/>
  <c r="K29" i="22"/>
  <c r="L28" i="22"/>
  <c r="K28" i="22"/>
  <c r="L27" i="22"/>
  <c r="K27" i="22"/>
  <c r="L26" i="22"/>
  <c r="K26" i="22"/>
  <c r="G24" i="22"/>
  <c r="G28" i="22"/>
  <c r="H28" i="22"/>
  <c r="H24" i="22"/>
  <c r="N818" i="20" l="1"/>
  <c r="N849" i="20"/>
  <c r="N836" i="20"/>
  <c r="N833" i="20"/>
  <c r="N820" i="20"/>
  <c r="N230" i="20"/>
  <c r="N210" i="20"/>
  <c r="N188" i="20"/>
  <c r="R597" i="18"/>
  <c r="U597" i="18" s="1"/>
  <c r="R565" i="18"/>
  <c r="U565" i="18" s="1"/>
  <c r="R580" i="18"/>
  <c r="U580" i="18" s="1"/>
  <c r="R486" i="18"/>
  <c r="U486" i="18" s="1"/>
  <c r="R390" i="18"/>
  <c r="U390" i="18" s="1"/>
  <c r="R586" i="18"/>
  <c r="U586" i="18" s="1"/>
  <c r="R596" i="18"/>
  <c r="U596" i="18" s="1"/>
  <c r="R564" i="18"/>
  <c r="U564" i="18" s="1"/>
  <c r="R518" i="18"/>
  <c r="U518" i="18" s="1"/>
  <c r="R454" i="18"/>
  <c r="U454" i="18" s="1"/>
  <c r="R598" i="18"/>
  <c r="U598" i="18" s="1"/>
  <c r="R584" i="18"/>
  <c r="U584" i="18" s="1"/>
  <c r="R570" i="18"/>
  <c r="U570" i="18" s="1"/>
  <c r="R566" i="18"/>
  <c r="U566" i="18" s="1"/>
  <c r="R422" i="18"/>
  <c r="U422" i="18" s="1"/>
  <c r="R504" i="18"/>
  <c r="U504" i="18" s="1"/>
  <c r="R472" i="18"/>
  <c r="U472" i="18" s="1"/>
  <c r="R440" i="18"/>
  <c r="U440" i="18" s="1"/>
  <c r="R408" i="18"/>
  <c r="U408" i="18" s="1"/>
  <c r="R376" i="18"/>
  <c r="U376" i="18" s="1"/>
  <c r="R337" i="18"/>
  <c r="U337" i="18" s="1"/>
  <c r="R17" i="18"/>
  <c r="U17" i="18" s="1"/>
  <c r="R593" i="18"/>
  <c r="U593" i="18" s="1"/>
  <c r="R581" i="18"/>
  <c r="U581" i="18" s="1"/>
  <c r="R561" i="18"/>
  <c r="U561" i="18" s="1"/>
  <c r="R529" i="18"/>
  <c r="U529" i="18" s="1"/>
  <c r="R497" i="18"/>
  <c r="U497" i="18" s="1"/>
  <c r="R465" i="18"/>
  <c r="U465" i="18" s="1"/>
  <c r="R433" i="18"/>
  <c r="U433" i="18" s="1"/>
  <c r="R401" i="18"/>
  <c r="U401" i="18" s="1"/>
  <c r="R545" i="18"/>
  <c r="U545" i="18" s="1"/>
  <c r="R58" i="18"/>
  <c r="U58" i="18" s="1"/>
  <c r="R52" i="18"/>
  <c r="U52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nesto\OneDrive - Universidad de la Sabana\universidad\2025-1\simulación\puntos del taller\414 pacientesprioridad\pacientesprioridad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nesto\OneDrive - Universidad de la Sabana\universidad\2025-1\simulación\puntos del taller\414 pacientesprioridad\pacientesprioridad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nesto\OneDrive - Universidad de la Sabana\universidad\2025-1\simulación\puntos del taller\414 pacientesprioridad\pacientesprioridad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nesto\OneDrive - Universidad de la Sabana\universidad\2025-1\simulación\puntos del taller\414 pacientesprioridad\pacientesprioridad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nesto\OneDrive - Universidad de la Sabana\universidad\2025-1\simulación\puntos del taller\414 pacientesprioridad\pacientesprioridad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nesto\OneDrive - Universidad de la Sabana\universidad\2025-1\simulación\puntos del taller\414 pacientesprioridad\pacientesprioridad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<sst xmlns="http://schemas.openxmlformats.org/spreadsheetml/2006/main" count="12557" uniqueCount="138">
  <si>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</si>
  <si>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</si>
  <si>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</si>
  <si>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</si>
  <si>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</si>
  <si>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</si>
  <si>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</si>
  <si>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</si>
  <si>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</si>
  <si>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</si>
  <si>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</si>
  <si>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</si>
  <si>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</si>
  <si>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</si>
  <si>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</si>
  <si>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</si>
  <si>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</si>
  <si>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</si>
  <si>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</si>
  <si>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</si>
  <si>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</si>
  <si>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</si>
  <si>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</si>
  <si>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</si>
  <si>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</si>
  <si>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</si>
  <si>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</si>
  <si>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</si>
  <si>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</si>
  <si>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</si>
  <si>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</si>
  <si>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</si>
  <si>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</si>
  <si>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</si>
  <si>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</si>
  <si>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</si>
  <si>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</si>
  <si>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</si>
  <si>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</si>
  <si>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</si>
  <si>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</si>
  <si>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</si>
  <si>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</si>
  <si>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</si>
  <si>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</si>
  <si>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</si>
  <si>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</si>
  <si>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</si>
  <si>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</si>
  <si>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</si>
  <si>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</si>
  <si>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</si>
  <si>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</si>
  <si>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</si>
  <si>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</si>
  <si>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</si>
  <si>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</si>
  <si>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</si>
  <si>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</si>
  <si>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</si>
  <si>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</si>
  <si>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</si>
  <si>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</si>
  <si>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</si>
  <si>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</si>
  <si>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</si>
  <si>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</si>
  <si>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</si>
  <si>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Pacientes</t>
  </si>
  <si>
    <t>C:\Users\nesto\OneDrive - Universidad de la Sabana\Universidad\2025-1\Simulación\Puntos del taller\414 PacientesPrioridad\PacientesPrioridad.p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</si>
  <si>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</si>
  <si>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</si>
  <si>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</si>
  <si>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</si>
  <si>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</si>
  <si>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</si>
  <si>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</si>
  <si>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</si>
  <si>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 2</t>
  </si>
  <si>
    <t>Total Time Per Entity</t>
  </si>
  <si>
    <t>Process</t>
  </si>
  <si>
    <t>VA Time Per Entity</t>
  </si>
  <si>
    <t>Wait Time Per Entity</t>
  </si>
  <si>
    <t>Process 2.Queue</t>
  </si>
  <si>
    <t>Waiting Time</t>
  </si>
  <si>
    <t>Queue</t>
  </si>
  <si>
    <t>Registro</t>
  </si>
  <si>
    <t>Registro.Queue</t>
  </si>
  <si>
    <t>TiempoTipo1</t>
  </si>
  <si>
    <t>None</t>
  </si>
  <si>
    <t>User Specified</t>
  </si>
  <si>
    <t>TiempoTipo2</t>
  </si>
  <si>
    <t>TiempoTipo3</t>
  </si>
  <si>
    <t>TiempoTipo4</t>
  </si>
  <si>
    <t>TiempoTipo5</t>
  </si>
  <si>
    <t>WIP</t>
  </si>
  <si>
    <t>Number Waiting</t>
  </si>
  <si>
    <t>rCamas</t>
  </si>
  <si>
    <t>Instantaneous Utilization</t>
  </si>
  <si>
    <t>Resource</t>
  </si>
  <si>
    <t>Number Busy</t>
  </si>
  <si>
    <t>Number Scheduled</t>
  </si>
  <si>
    <t>rMedico</t>
  </si>
  <si>
    <t>rRegistradora</t>
  </si>
  <si>
    <t>Entity 1.NumberIn</t>
  </si>
  <si>
    <t>Number In</t>
  </si>
  <si>
    <t>Entity 1.NumberOut</t>
  </si>
  <si>
    <t>Number Out</t>
  </si>
  <si>
    <t>Process 2 Accum VA Time</t>
  </si>
  <si>
    <t>Accum VA Time</t>
  </si>
  <si>
    <t>Process 2 Accum Wait Time</t>
  </si>
  <si>
    <t>Accum Wait Time</t>
  </si>
  <si>
    <t>Process 2 Number In</t>
  </si>
  <si>
    <t>Process 2 Number Out</t>
  </si>
  <si>
    <t>Registro Accum VA Time</t>
  </si>
  <si>
    <t>Registro Accum Wait Time</t>
  </si>
  <si>
    <t>Registro Number In</t>
  </si>
  <si>
    <t>Registro Number Out</t>
  </si>
  <si>
    <t>System.NumberOut</t>
  </si>
  <si>
    <t>System</t>
  </si>
  <si>
    <t>rCamas.NumberSeized</t>
  </si>
  <si>
    <t>Total Number Seized</t>
  </si>
  <si>
    <t>rCamas.ScheduledUtilization</t>
  </si>
  <si>
    <t>Scheduled Utilization</t>
  </si>
  <si>
    <t>rMedico.NumberSeized</t>
  </si>
  <si>
    <t>rMedico.ScheduledUtilization</t>
  </si>
  <si>
    <t>rRegistradora.NumberSeized</t>
  </si>
  <si>
    <t>rRegistradora.ScheduledUtilization</t>
  </si>
  <si>
    <t>Average number of patients waiting for registration</t>
  </si>
  <si>
    <t>Utilization of beds</t>
  </si>
  <si>
    <t>System time of each type of patient and overall</t>
  </si>
  <si>
    <t>2025-05-22 00:30:31</t>
  </si>
  <si>
    <t>TiempoSistema</t>
  </si>
  <si>
    <t>Interval</t>
  </si>
  <si>
    <t>Tipo</t>
  </si>
  <si>
    <t>Li</t>
  </si>
  <si>
    <t>LS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</si>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</sst>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1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NumberFormat="1"/>
    <xf numFmtId="0" fontId="3" fillId="0" borderId="0" xfId="0" applyFont="1" applyAlignment="1"/>
    <xf numFmtId="0" fontId="3" fillId="0" borderId="1" xfId="0" applyFont="1" applyBorder="1" applyAlignment="1">
      <alignment horizontal="center"/>
    </xf>
    <xf numFmtId="180" fontId="0" fillId="0" borderId="1" xfId="0" applyNumberFormat="1" applyBorder="1"/>
    <xf numFmtId="0" fontId="0" fillId="0" borderId="1" xfId="0" applyBorder="1" applyAlignment="1">
      <alignment horizontal="left" indent="18"/>
    </xf>
  </cellXfs>
  <cellStyles count="1"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21465509257" createdVersion="7" refreshedVersion="8" minRefreshableVersion="3" recordCount="60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Paciente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9">
        <s v="Entity 1"/>
        <s v="Process 2.Queue"/>
        <s v="Registro.Queue"/>
        <s v="rCamas"/>
        <s v="rMedico"/>
        <s v="rRegistradora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.172815232766103" maxValue="6.9386840633215803"/>
    </cacheField>
    <cacheField name="BatchMeansHalfWidth" numFmtId="0">
      <sharedItems containsSemiMixedTypes="0" containsString="0" containsNumber="1" minValue="1.21273623038579E-2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minValue="0.66666666666666696" maxValue="43"/>
    </cacheField>
    <cacheField name="LastRecordedValue" numFmtId="0">
      <sharedItems containsSemiMixedTypes="0" containsString="0" containsNumber="1" minValue="0" maxValue="1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.2141917500690991" maxValue="5.0291450407150116"/>
    </cacheField>
    <cacheField name="StDevOfAverage" numFmtId="0">
      <sharedItems containsSemiMixedTypes="0" containsString="0" containsNumber="1" minValue="0" maxValue="0.775188282106195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22030607219171747"/>
    </cacheField>
    <cacheField name="MinimumAverage" numFmtId="0">
      <sharedItems containsSemiMixedTypes="0" containsString="0" containsNumber="1" minValue="0.172815232766103" maxValue="3.9757448048151298"/>
    </cacheField>
    <cacheField name="MaximumAverage" numFmtId="0">
      <sharedItems containsSemiMixedTypes="0" containsString="0" containsNumber="1" minValue="0.24783514900621301" maxValue="6.9386840633215803"/>
    </cacheField>
    <cacheField name="SummaryHalfWidth" numFmtId="0">
      <sharedItems containsSemiMixedTypes="0" containsString="0" containsNumber="1" minValue="0" maxValue="0.220306072191717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2146574074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21466203703" createdVersion="7" refreshedVersion="8" minRefreshableVersion="3" recordCount="100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Paciente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9">
        <s v="Entity 1"/>
        <s v="Process 2"/>
        <s v="Process 2.Queue"/>
        <s v="Registro"/>
        <s v="Registro.Queue"/>
        <s v="TiempoSistema"/>
        <s v="TiempoTipo1"/>
        <s v="TiempoTipo2"/>
        <s v="TiempoTipo3"/>
        <s v="TiempoTipo4"/>
        <s v="TiempoTipo5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3">
        <s v="NVA Time"/>
        <s v="Other Time"/>
        <s v="Total Time"/>
        <s v="Transfer Time"/>
        <s v="VA Time"/>
        <s v="Wait Time"/>
        <s v="Total Time Per Entity"/>
        <s v="VA Time Per Entity"/>
        <s v="Wait Time Per Entity"/>
        <s v="Waiting Time"/>
        <s v="Interval"/>
        <s v="None"/>
        <m u="1"/>
      </sharedItems>
    </cacheField>
    <cacheField name="Source" numFmtId="0">
      <sharedItems containsBlank="1" count="5">
        <s v="Entity"/>
        <s v="Process"/>
        <s v="Queue"/>
        <s v="User Specified"/>
        <m u="1"/>
      </sharedItems>
    </cacheField>
    <cacheField name="Average" numFmtId="0">
      <sharedItems containsSemiMixedTypes="0" containsString="0" containsNumber="1" minValue="0" maxValue="3.7741600797505002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96876268484896899"/>
    </cacheField>
    <cacheField name="Maximum" numFmtId="0">
      <sharedItems containsSemiMixedTypes="0" containsString="0" containsNumber="1" minValue="0" maxValue="29.554686467573401"/>
    </cacheField>
    <cacheField name="NumberObservations" numFmtId="0">
      <sharedItems containsSemiMixedTypes="0" containsString="0" containsNumber="1" containsInteger="1" minValue="121" maxValue="2506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2.205174161750556"/>
    </cacheField>
    <cacheField name="StDevOfAverage" numFmtId="0">
      <sharedItems containsSemiMixedTypes="0" containsString="0" containsNumber="1" minValue="0" maxValue="0.5273999213603440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4988539923930494"/>
    </cacheField>
    <cacheField name="MinimumAverage" numFmtId="0">
      <sharedItems containsSemiMixedTypes="0" containsString="0" containsNumber="1" minValue="0" maxValue="1.50461510232873"/>
    </cacheField>
    <cacheField name="MaximumAverage" numFmtId="0">
      <sharedItems containsSemiMixedTypes="0" containsString="0" containsNumber="1" minValue="0" maxValue="3.7741600797505002"/>
    </cacheField>
    <cacheField name="OverallMinimum" numFmtId="0">
      <sharedItems containsSemiMixedTypes="0" containsString="0" containsNumber="1" minValue="0" maxValue="0.82883063937214296"/>
    </cacheField>
    <cacheField name="OverallMaximum" numFmtId="0">
      <sharedItems containsSemiMixedTypes="0" containsString="0" containsNumber="1" minValue="0" maxValue="29.554686467573401"/>
    </cacheField>
    <cacheField name="AverageNumberObservations" numFmtId="0">
      <sharedItems containsSemiMixedTypes="0" containsString="0" containsNumber="1" minValue="141.32" maxValue="2401.9"/>
    </cacheField>
    <cacheField name="SummaryHalfWidth" numFmtId="0">
      <sharedItems containsSemiMixedTypes="0" containsString="0" containsNumber="1" minValue="0" maxValue="0.14988539923930494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21466666665" createdVersion="7" refreshedVersion="8" minRefreshableVersion="3" recordCount="8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Paciente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93">
        <s v="Entity 1.NumberIn"/>
        <s v="Entity 1.NumberOut"/>
        <s v="Process 2 Accum VA Time"/>
        <s v="Process 2 Accum Wait Time"/>
        <s v="Process 2 Number In"/>
        <s v="Process 2 Number Out"/>
        <s v="Registro Accum VA Time"/>
        <s v="Registro Accum Wait Time"/>
        <s v="Registro Number In"/>
        <s v="Registro Number Out"/>
        <s v="System.NumberOut"/>
        <s v="rCamas.NumberSeized"/>
        <s v="rCamas.ScheduledUtilization"/>
        <s v="rMedico.NumberSeized"/>
        <s v="rMedico.ScheduledUtilization"/>
        <s v="rRegistradora.NumberSeized"/>
        <s v="rRegistradora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Accum VA Time"/>
        <s v="Accum Wait Time"/>
        <s v="Total Number Seized"/>
        <s v="Scheduled Utilization"/>
        <m u="1"/>
      </sharedItems>
    </cacheField>
    <cacheField name="Source" numFmtId="0">
      <sharedItems containsBlank="1" count="5">
        <s v="Entity"/>
        <s v="Process"/>
        <s v="System"/>
        <s v="Resource"/>
        <m u="1"/>
      </sharedItems>
    </cacheField>
    <cacheField name="RecordedValue" numFmtId="0">
      <sharedItems containsSemiMixedTypes="0" containsString="0" containsNumber="1" minValue="0.452397944183905" maxValue="3269.085800288380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.47162762933545666" maxValue="2404.8200000000002"/>
    </cacheField>
    <cacheField name="StandardDeviation" numFmtId="0">
      <sharedItems containsSemiMixedTypes="0" containsString="0" containsNumber="1" minValue="9.6615227076777797E-3" maxValue="534.0339624183823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7457743728226142E-3" maxValue="151.77077284722898"/>
    </cacheField>
    <cacheField name="Minimum" numFmtId="0">
      <sharedItems containsSemiMixedTypes="0" containsString="0" containsNumber="1" minValue="0.452397944183905" maxValue="2307"/>
    </cacheField>
    <cacheField name="Maximum" numFmtId="0">
      <sharedItems containsSemiMixedTypes="0" containsString="0" containsNumber="1" minValue="0.49691123629694001" maxValue="3269.08580028838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214668981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x v="0"/>
    <s v="2025-05-22 00:30:31"/>
    <n v="1"/>
    <x v="0"/>
    <x v="0"/>
    <x v="0"/>
    <n v="5.4796101334594596"/>
    <n v="1.1862788268342701"/>
    <n v="0"/>
    <n v="30"/>
    <n v="5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"/>
    <x v="1"/>
    <x v="1"/>
    <x v="1"/>
    <n v="3.1330622291468302"/>
    <n v="1.0670938084999899"/>
    <n v="0"/>
    <n v="27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"/>
    <x v="2"/>
    <x v="1"/>
    <x v="1"/>
    <n v="0.21374299767067501"/>
    <n v="4.6911710595199503E-2"/>
    <n v="0"/>
    <n v="8"/>
    <n v="1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"/>
    <x v="3"/>
    <x v="2"/>
    <x v="2"/>
    <n v="0.55361951090148698"/>
    <n v="2.97898511690005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"/>
    <x v="3"/>
    <x v="3"/>
    <x v="2"/>
    <n v="1.66085853270446"/>
    <n v="8.9369553507001501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"/>
    <x v="4"/>
    <x v="2"/>
    <x v="2"/>
    <n v="0.83042926635223202"/>
    <n v="4.46847767535007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"/>
    <x v="4"/>
    <x v="3"/>
    <x v="2"/>
    <n v="1.66085853270446"/>
    <n v="8.9369553507001501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"/>
    <x v="5"/>
    <x v="2"/>
    <x v="2"/>
    <n v="0.471946373937492"/>
    <n v="2.4679879982887301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"/>
    <x v="5"/>
    <x v="3"/>
    <x v="2"/>
    <n v="0.471946373937492"/>
    <n v="2.4679879982887301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"/>
    <x v="0"/>
    <x v="0"/>
    <x v="0"/>
    <n v="4.2444993457534297"/>
    <n v="0.70220257810651299"/>
    <n v="0"/>
    <n v="18"/>
    <n v="4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"/>
    <x v="1"/>
    <x v="1"/>
    <x v="1"/>
    <n v="1.94599336328638"/>
    <n v="0.65100224909037097"/>
    <n v="0"/>
    <n v="14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"/>
    <x v="2"/>
    <x v="1"/>
    <x v="1"/>
    <n v="0.20429174386377"/>
    <n v="2.4443456094377002E-2"/>
    <n v="0"/>
    <n v="4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"/>
    <x v="3"/>
    <x v="2"/>
    <x v="2"/>
    <n v="0.54004048802791205"/>
    <n v="1.80293054506370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"/>
    <x v="3"/>
    <x v="3"/>
    <x v="2"/>
    <n v="1.62012146408374"/>
    <n v="5.4087916351911403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"/>
    <x v="4"/>
    <x v="2"/>
    <x v="2"/>
    <n v="0.81006073204186801"/>
    <n v="2.7043958175955701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"/>
    <x v="4"/>
    <x v="3"/>
    <x v="2"/>
    <n v="1.62012146408374"/>
    <n v="5.4087916351911403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"/>
    <x v="5"/>
    <x v="2"/>
    <x v="2"/>
    <n v="0.474092774519558"/>
    <n v="1.97985088250992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"/>
    <x v="5"/>
    <x v="3"/>
    <x v="2"/>
    <n v="0.474092774519558"/>
    <n v="1.97985088250992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"/>
    <x v="0"/>
    <x v="0"/>
    <x v="0"/>
    <n v="4.2858969774836702"/>
    <n v="0.88743637787726803"/>
    <n v="0"/>
    <n v="22"/>
    <n v="5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"/>
    <x v="1"/>
    <x v="1"/>
    <x v="1"/>
    <n v="2.0392772402728401"/>
    <n v="0.81178046699665396"/>
    <n v="0"/>
    <n v="18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"/>
    <x v="2"/>
    <x v="1"/>
    <x v="1"/>
    <n v="0.172815232766103"/>
    <n v="2.4247356248625999E-2"/>
    <n v="0"/>
    <n v="4"/>
    <n v="1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"/>
    <x v="3"/>
    <x v="2"/>
    <x v="2"/>
    <n v="0.53825197371438505"/>
    <n v="2.08285048463370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"/>
    <x v="3"/>
    <x v="3"/>
    <x v="2"/>
    <n v="1.6147559211431599"/>
    <n v="6.24855145390113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"/>
    <x v="4"/>
    <x v="2"/>
    <x v="2"/>
    <n v="0.80737796057157996"/>
    <n v="3.1242757269505698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"/>
    <x v="4"/>
    <x v="3"/>
    <x v="2"/>
    <n v="1.6147559211431599"/>
    <n v="6.24855145390113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"/>
    <x v="5"/>
    <x v="2"/>
    <x v="2"/>
    <n v="0.45904858330157"/>
    <n v="2.1947724912223399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"/>
    <x v="5"/>
    <x v="3"/>
    <x v="2"/>
    <n v="0.45904858330157"/>
    <n v="2.1947724912223399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"/>
    <x v="0"/>
    <x v="0"/>
    <x v="0"/>
    <n v="5.2790564276834901"/>
    <n v="1.54390988438322"/>
    <n v="0"/>
    <n v="32"/>
    <n v="4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"/>
    <x v="1"/>
    <x v="1"/>
    <x v="1"/>
    <n v="2.97642879648253"/>
    <n v="1.45706792087547"/>
    <n v="0"/>
    <n v="30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"/>
    <x v="2"/>
    <x v="1"/>
    <x v="1"/>
    <n v="0.194292055854283"/>
    <n v="3.2622979021267803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"/>
    <x v="3"/>
    <x v="2"/>
    <x v="2"/>
    <n v="0.54818436022974204"/>
    <n v="2.84009726008768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"/>
    <x v="3"/>
    <x v="3"/>
    <x v="2"/>
    <n v="1.6445530806892199"/>
    <n v="8.5202917802630299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"/>
    <x v="4"/>
    <x v="2"/>
    <x v="2"/>
    <n v="0.82227654034461095"/>
    <n v="4.2601458901315101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"/>
    <x v="4"/>
    <x v="3"/>
    <x v="2"/>
    <n v="1.6445530806892199"/>
    <n v="8.5202917802630299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"/>
    <x v="5"/>
    <x v="2"/>
    <x v="2"/>
    <n v="0.46378249465744398"/>
    <n v="2.0395468365528399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"/>
    <x v="5"/>
    <x v="3"/>
    <x v="2"/>
    <n v="0.46378249465744398"/>
    <n v="2.0395468365528399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5"/>
    <x v="0"/>
    <x v="0"/>
    <x v="0"/>
    <n v="4.3218680927470903"/>
    <n v="1.0269961547820301"/>
    <n v="0"/>
    <n v="24"/>
    <n v="3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5"/>
    <x v="1"/>
    <x v="1"/>
    <x v="1"/>
    <n v="2.0957381636740702"/>
    <n v="0.93243275653186697"/>
    <n v="0"/>
    <n v="21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5"/>
    <x v="2"/>
    <x v="1"/>
    <x v="1"/>
    <n v="0.19170268393329201"/>
    <n v="3.1304884728189902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5"/>
    <x v="3"/>
    <x v="2"/>
    <x v="2"/>
    <n v="0.52571085737109402"/>
    <n v="2.73162034011628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5"/>
    <x v="3"/>
    <x v="3"/>
    <x v="2"/>
    <n v="1.5771325721132801"/>
    <n v="8.1948610203488703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5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5"/>
    <x v="4"/>
    <x v="2"/>
    <x v="2"/>
    <n v="0.78856628605664203"/>
    <n v="4.0974305101744303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5"/>
    <x v="4"/>
    <x v="3"/>
    <x v="2"/>
    <n v="1.5771325721132801"/>
    <n v="8.1948610203488703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5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5"/>
    <x v="5"/>
    <x v="2"/>
    <x v="2"/>
    <n v="0.457294673026444"/>
    <n v="2.1951212866183501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5"/>
    <x v="5"/>
    <x v="3"/>
    <x v="2"/>
    <n v="0.457294673026444"/>
    <n v="2.1951212866183501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5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6"/>
    <x v="0"/>
    <x v="0"/>
    <x v="0"/>
    <n v="5.4866396805800299"/>
    <n v="0.96908411735125899"/>
    <n v="0"/>
    <n v="27"/>
    <n v="14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6"/>
    <x v="1"/>
    <x v="1"/>
    <x v="1"/>
    <n v="3.0427132949199001"/>
    <n v="0.90371444693127401"/>
    <n v="0"/>
    <n v="23"/>
    <n v="12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6"/>
    <x v="2"/>
    <x v="1"/>
    <x v="1"/>
    <n v="0.24783514900621301"/>
    <n v="4.4367476563348197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6"/>
    <x v="3"/>
    <x v="2"/>
    <x v="2"/>
    <n v="0.56639333345232001"/>
    <n v="2.3676457019366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6"/>
    <x v="3"/>
    <x v="3"/>
    <x v="2"/>
    <n v="1.6991800003569599"/>
    <n v="7.1029371058098395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6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6"/>
    <x v="4"/>
    <x v="2"/>
    <x v="2"/>
    <n v="0.84959000017848096"/>
    <n v="3.5514685529049198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6"/>
    <x v="4"/>
    <x v="3"/>
    <x v="2"/>
    <n v="1.6991800003569599"/>
    <n v="7.1029371058098395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6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6"/>
    <x v="5"/>
    <x v="2"/>
    <x v="2"/>
    <n v="0.49691123629694001"/>
    <n v="1.66611007926784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6"/>
    <x v="5"/>
    <x v="3"/>
    <x v="2"/>
    <n v="0.49691123629694001"/>
    <n v="1.66611007926784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6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7"/>
    <x v="0"/>
    <x v="0"/>
    <x v="0"/>
    <n v="4.7708710782443502"/>
    <n v="0.94957275005792396"/>
    <n v="0"/>
    <n v="21"/>
    <n v="0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7"/>
    <x v="1"/>
    <x v="1"/>
    <x v="1"/>
    <n v="2.4062942234090401"/>
    <n v="0.84759230887519599"/>
    <n v="0"/>
    <n v="18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7"/>
    <x v="2"/>
    <x v="1"/>
    <x v="1"/>
    <n v="0.24674246571420499"/>
    <n v="4.5733596880675E-2"/>
    <n v="0"/>
    <n v="8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7"/>
    <x v="3"/>
    <x v="2"/>
    <x v="2"/>
    <n v="0.54914734727032"/>
    <n v="2.49488764473626E-2"/>
    <n v="0"/>
    <n v="0.66666666666666696"/>
    <n v="0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7"/>
    <x v="3"/>
    <x v="3"/>
    <x v="2"/>
    <n v="1.6474420418109601"/>
    <n v="7.4846629342087898E-2"/>
    <n v="0"/>
    <n v="2"/>
    <n v="0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7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7"/>
    <x v="4"/>
    <x v="2"/>
    <x v="2"/>
    <n v="0.82372102090548105"/>
    <n v="3.7423314671043997E-2"/>
    <n v="0"/>
    <n v="1"/>
    <n v="0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7"/>
    <x v="4"/>
    <x v="3"/>
    <x v="2"/>
    <n v="1.6474420418109601"/>
    <n v="7.4846629342087898E-2"/>
    <n v="0"/>
    <n v="2"/>
    <n v="0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7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7"/>
    <x v="5"/>
    <x v="2"/>
    <x v="2"/>
    <n v="0.47039234731014501"/>
    <n v="2.4933266046930299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7"/>
    <x v="5"/>
    <x v="3"/>
    <x v="2"/>
    <n v="0.47039234731014501"/>
    <n v="2.4933266046930299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7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8"/>
    <x v="0"/>
    <x v="0"/>
    <x v="0"/>
    <n v="4.76676046340787"/>
    <n v="0.87975790796251097"/>
    <n v="0"/>
    <n v="24"/>
    <n v="3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8"/>
    <x v="1"/>
    <x v="1"/>
    <x v="1"/>
    <n v="2.4142800251833298"/>
    <n v="0.76454967267375695"/>
    <n v="0"/>
    <n v="19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8"/>
    <x v="2"/>
    <x v="1"/>
    <x v="1"/>
    <n v="0.23270865862731999"/>
    <n v="6.1929346608664698E-2"/>
    <n v="0"/>
    <n v="7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8"/>
    <x v="3"/>
    <x v="2"/>
    <x v="2"/>
    <n v="0.54784356510118204"/>
    <n v="2.4180279978126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8"/>
    <x v="3"/>
    <x v="3"/>
    <x v="2"/>
    <n v="1.64353069530355"/>
    <n v="7.2540839934378501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8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8"/>
    <x v="4"/>
    <x v="2"/>
    <x v="2"/>
    <n v="0.821765347651774"/>
    <n v="3.6270419967189202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8"/>
    <x v="4"/>
    <x v="3"/>
    <x v="2"/>
    <n v="1.64353069530355"/>
    <n v="7.2540839934378501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8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8"/>
    <x v="5"/>
    <x v="2"/>
    <x v="2"/>
    <n v="0.476241084293693"/>
    <n v="2.2033147090968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8"/>
    <x v="5"/>
    <x v="3"/>
    <x v="2"/>
    <n v="0.476241084293693"/>
    <n v="2.2033147090968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8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9"/>
    <x v="0"/>
    <x v="0"/>
    <x v="0"/>
    <n v="6.4384277664377398"/>
    <n v="1.79979578914806"/>
    <n v="0"/>
    <n v="33"/>
    <n v="2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9"/>
    <x v="1"/>
    <x v="1"/>
    <x v="1"/>
    <n v="4.0591162449544997"/>
    <n v="1.7307152455607699"/>
    <n v="0"/>
    <n v="31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9"/>
    <x v="2"/>
    <x v="1"/>
    <x v="1"/>
    <n v="0.219184933726462"/>
    <n v="3.7534585551623902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9"/>
    <x v="3"/>
    <x v="2"/>
    <x v="2"/>
    <n v="0.56439564516810503"/>
    <n v="2.7168891547419999E-2"/>
    <n v="0"/>
    <n v="0.66666666666666696"/>
    <n v="0.33333333333333298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9"/>
    <x v="3"/>
    <x v="3"/>
    <x v="2"/>
    <n v="1.6931869355043101"/>
    <n v="8.1506674642259996E-2"/>
    <n v="0"/>
    <n v="2"/>
    <n v="1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9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9"/>
    <x v="4"/>
    <x v="2"/>
    <x v="2"/>
    <n v="0.84659346775215705"/>
    <n v="4.0753337321129998E-2"/>
    <n v="0"/>
    <n v="1"/>
    <n v="0.5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9"/>
    <x v="4"/>
    <x v="3"/>
    <x v="2"/>
    <n v="1.6931869355043101"/>
    <n v="8.1506674642259996E-2"/>
    <n v="0"/>
    <n v="2"/>
    <n v="1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9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9"/>
    <x v="5"/>
    <x v="2"/>
    <x v="2"/>
    <n v="0.46693965225248202"/>
    <n v="3E+20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9"/>
    <x v="5"/>
    <x v="3"/>
    <x v="2"/>
    <n v="0.46693965225248202"/>
    <n v="3E+20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9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10"/>
    <x v="0"/>
    <x v="0"/>
    <x v="0"/>
    <n v="5.8624488409022097"/>
    <n v="1.2927697102446001"/>
    <n v="0"/>
    <n v="25"/>
    <n v="2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0"/>
    <x v="1"/>
    <x v="1"/>
    <x v="1"/>
    <n v="3.43793305784894"/>
    <n v="1.21679454327805"/>
    <n v="0"/>
    <n v="22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0"/>
    <x v="2"/>
    <x v="1"/>
    <x v="1"/>
    <n v="0.23287765115130701"/>
    <n v="3.7915202232852198E-2"/>
    <n v="0"/>
    <n v="4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0"/>
    <x v="3"/>
    <x v="2"/>
    <x v="2"/>
    <n v="0.56584322880080595"/>
    <n v="2.28557639437472E-2"/>
    <n v="0"/>
    <n v="0.66666666666666696"/>
    <n v="0.33333333333333298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0"/>
    <x v="3"/>
    <x v="3"/>
    <x v="2"/>
    <n v="1.6975296864024201"/>
    <n v="6.8567291831241606E-2"/>
    <n v="0"/>
    <n v="2"/>
    <n v="1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0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0"/>
    <x v="4"/>
    <x v="2"/>
    <x v="2"/>
    <n v="0.84876484320121104"/>
    <n v="3.4283645915620803E-2"/>
    <n v="0"/>
    <n v="1"/>
    <n v="0.5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0"/>
    <x v="4"/>
    <x v="3"/>
    <x v="2"/>
    <n v="1.6975296864024201"/>
    <n v="6.8567291831241606E-2"/>
    <n v="0"/>
    <n v="2"/>
    <n v="1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0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0"/>
    <x v="5"/>
    <x v="2"/>
    <x v="2"/>
    <n v="0.49410844549952299"/>
    <n v="1.91314352770025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0"/>
    <x v="5"/>
    <x v="3"/>
    <x v="2"/>
    <n v="0.49410844549952299"/>
    <n v="1.91314352770025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0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11"/>
    <x v="0"/>
    <x v="0"/>
    <x v="0"/>
    <n v="5.2534202498105902"/>
    <n v="1.23092746198013"/>
    <n v="0"/>
    <n v="36"/>
    <n v="1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1"/>
    <x v="1"/>
    <x v="1"/>
    <x v="1"/>
    <n v="2.9022922375882598"/>
    <n v="1.1485029528347599"/>
    <n v="0"/>
    <n v="34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1"/>
    <x v="2"/>
    <x v="1"/>
    <x v="1"/>
    <n v="0.213912841037392"/>
    <n v="4.1083623567929002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1"/>
    <x v="3"/>
    <x v="2"/>
    <x v="2"/>
    <n v="0.55194103502505998"/>
    <n v="2.7499318737751001E-2"/>
    <n v="0"/>
    <n v="0.66666666666666696"/>
    <n v="0.33333333333333298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1"/>
    <x v="3"/>
    <x v="3"/>
    <x v="2"/>
    <n v="1.6558231050751799"/>
    <n v="8.2497956213253107E-2"/>
    <n v="0"/>
    <n v="2"/>
    <n v="1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1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1"/>
    <x v="4"/>
    <x v="2"/>
    <x v="2"/>
    <n v="0.82791155253758997"/>
    <n v="4.1248978106626498E-2"/>
    <n v="0"/>
    <n v="1"/>
    <n v="0.5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1"/>
    <x v="4"/>
    <x v="3"/>
    <x v="2"/>
    <n v="1.6558231050751799"/>
    <n v="8.2497956213253107E-2"/>
    <n v="0"/>
    <n v="2"/>
    <n v="1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1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1"/>
    <x v="5"/>
    <x v="2"/>
    <x v="2"/>
    <n v="0.48139206610975199"/>
    <n v="1.9898872393942901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1"/>
    <x v="5"/>
    <x v="3"/>
    <x v="2"/>
    <n v="0.48139206610975199"/>
    <n v="1.9898872393942901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1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12"/>
    <x v="0"/>
    <x v="0"/>
    <x v="0"/>
    <n v="5.7613424960204496"/>
    <n v="1.0762806828865501"/>
    <n v="0"/>
    <n v="24"/>
    <n v="11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2"/>
    <x v="1"/>
    <x v="1"/>
    <x v="1"/>
    <n v="3.3892463098761798"/>
    <n v="0.97733020745044596"/>
    <n v="0"/>
    <n v="21"/>
    <n v="9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2"/>
    <x v="2"/>
    <x v="1"/>
    <x v="1"/>
    <n v="0.22714079684833699"/>
    <n v="4.3117804926938598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2"/>
    <x v="3"/>
    <x v="2"/>
    <x v="2"/>
    <n v="0.55822409183268296"/>
    <n v="2.21405067258901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2"/>
    <x v="3"/>
    <x v="3"/>
    <x v="2"/>
    <n v="1.6746722754980501"/>
    <n v="6.6421520177670501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2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2"/>
    <x v="4"/>
    <x v="2"/>
    <x v="2"/>
    <n v="0.83733613774902305"/>
    <n v="3.3210760088835202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2"/>
    <x v="4"/>
    <x v="3"/>
    <x v="2"/>
    <n v="1.6746722754980501"/>
    <n v="6.6421520177670501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2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2"/>
    <x v="5"/>
    <x v="2"/>
    <x v="2"/>
    <n v="0.47028311379787702"/>
    <n v="2.15011755005203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2"/>
    <x v="5"/>
    <x v="3"/>
    <x v="2"/>
    <n v="0.47028311379787702"/>
    <n v="2.15011755005203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2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13"/>
    <x v="0"/>
    <x v="0"/>
    <x v="0"/>
    <n v="4.7720214880398704"/>
    <n v="0.763231510896895"/>
    <n v="0"/>
    <n v="26"/>
    <n v="6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3"/>
    <x v="1"/>
    <x v="1"/>
    <x v="1"/>
    <n v="2.4239545308550698"/>
    <n v="0.69749092601068197"/>
    <n v="0"/>
    <n v="22"/>
    <n v="3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3"/>
    <x v="2"/>
    <x v="1"/>
    <x v="1"/>
    <n v="0.236161777764858"/>
    <n v="4.0897383252940102E-2"/>
    <n v="0"/>
    <n v="7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3"/>
    <x v="3"/>
    <x v="2"/>
    <x v="2"/>
    <n v="0.54648401929514101"/>
    <n v="2.51710121357519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3"/>
    <x v="3"/>
    <x v="3"/>
    <x v="2"/>
    <n v="1.6394520578854199"/>
    <n v="7.5513036407255901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3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3"/>
    <x v="4"/>
    <x v="2"/>
    <x v="2"/>
    <n v="0.81972602894270996"/>
    <n v="3.7756518203627902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3"/>
    <x v="4"/>
    <x v="3"/>
    <x v="2"/>
    <n v="1.6394520578854199"/>
    <n v="7.5513036407255901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3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3"/>
    <x v="5"/>
    <x v="2"/>
    <x v="2"/>
    <n v="0.47245312153450197"/>
    <n v="2.1639482609308199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3"/>
    <x v="5"/>
    <x v="3"/>
    <x v="2"/>
    <n v="0.47245312153450197"/>
    <n v="2.1639482609308199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3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14"/>
    <x v="0"/>
    <x v="0"/>
    <x v="0"/>
    <n v="4.7258537445708297"/>
    <n v="1.03322565027095"/>
    <n v="0"/>
    <n v="22"/>
    <n v="13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4"/>
    <x v="1"/>
    <x v="1"/>
    <x v="1"/>
    <n v="2.3904987763364201"/>
    <n v="0.93592948127258102"/>
    <n v="0"/>
    <n v="19"/>
    <n v="1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4"/>
    <x v="2"/>
    <x v="1"/>
    <x v="1"/>
    <n v="0.23749694237135799"/>
    <n v="5.0668652429914897E-2"/>
    <n v="0"/>
    <n v="8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4"/>
    <x v="3"/>
    <x v="2"/>
    <x v="2"/>
    <n v="0.54171372881238"/>
    <n v="2.8450365597458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4"/>
    <x v="3"/>
    <x v="3"/>
    <x v="2"/>
    <n v="1.6251411864371399"/>
    <n v="8.5351096792376596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4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4"/>
    <x v="4"/>
    <x v="2"/>
    <x v="2"/>
    <n v="0.81257059321857195"/>
    <n v="4.2675548396188298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4"/>
    <x v="4"/>
    <x v="3"/>
    <x v="2"/>
    <n v="1.6251411864371399"/>
    <n v="8.5351096792376596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4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4"/>
    <x v="5"/>
    <x v="2"/>
    <x v="2"/>
    <n v="0.47271683942592402"/>
    <n v="1.93362693933967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4"/>
    <x v="5"/>
    <x v="3"/>
    <x v="2"/>
    <n v="0.47271683942592402"/>
    <n v="1.93362693933967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4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15"/>
    <x v="0"/>
    <x v="0"/>
    <x v="0"/>
    <n v="6.4224285369499503"/>
    <n v="1.4583617154936399"/>
    <n v="0"/>
    <n v="27"/>
    <n v="5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5"/>
    <x v="1"/>
    <x v="1"/>
    <x v="1"/>
    <n v="4.0078527743618899"/>
    <n v="1.3630383279829399"/>
    <n v="0"/>
    <n v="24"/>
    <n v="3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5"/>
    <x v="2"/>
    <x v="1"/>
    <x v="1"/>
    <n v="0.218783417767517"/>
    <n v="3.89731656645863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5"/>
    <x v="3"/>
    <x v="2"/>
    <x v="2"/>
    <n v="0.56747047867564104"/>
    <n v="2.64403543877342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5"/>
    <x v="3"/>
    <x v="3"/>
    <x v="2"/>
    <n v="1.70241143602692"/>
    <n v="7.9321063163202907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5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5"/>
    <x v="4"/>
    <x v="2"/>
    <x v="2"/>
    <n v="0.85120571801346201"/>
    <n v="3.9660531581601398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5"/>
    <x v="4"/>
    <x v="3"/>
    <x v="2"/>
    <n v="1.70241143602692"/>
    <n v="7.9321063163202907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5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5"/>
    <x v="5"/>
    <x v="2"/>
    <x v="2"/>
    <n v="0.49338090879359398"/>
    <n v="2.3576586810140899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5"/>
    <x v="5"/>
    <x v="3"/>
    <x v="2"/>
    <n v="0.49338090879359398"/>
    <n v="2.3576586810140899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5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16"/>
    <x v="0"/>
    <x v="0"/>
    <x v="0"/>
    <n v="5.9639495941831999"/>
    <n v="3E+20"/>
    <n v="0"/>
    <n v="38"/>
    <n v="2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6"/>
    <x v="1"/>
    <x v="1"/>
    <x v="1"/>
    <n v="3.68462672133216"/>
    <n v="3E+20"/>
    <n v="0"/>
    <n v="35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6"/>
    <x v="2"/>
    <x v="1"/>
    <x v="1"/>
    <n v="0.211001900239393"/>
    <n v="3.4717980981171501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6"/>
    <x v="3"/>
    <x v="2"/>
    <x v="2"/>
    <n v="0.53652139538430299"/>
    <n v="2.5979146262739901E-2"/>
    <n v="0"/>
    <n v="0.66666666666666696"/>
    <n v="0.33333333333333298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6"/>
    <x v="3"/>
    <x v="3"/>
    <x v="2"/>
    <n v="1.6095641861529"/>
    <n v="7.7937438788219598E-2"/>
    <n v="0"/>
    <n v="2"/>
    <n v="1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6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6"/>
    <x v="4"/>
    <x v="2"/>
    <x v="2"/>
    <n v="0.80478209307645199"/>
    <n v="3.8968719394109799E-2"/>
    <n v="0"/>
    <n v="1"/>
    <n v="0.5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6"/>
    <x v="4"/>
    <x v="3"/>
    <x v="2"/>
    <n v="1.6095641861529"/>
    <n v="7.7937438788219598E-2"/>
    <n v="0"/>
    <n v="2"/>
    <n v="1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6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6"/>
    <x v="5"/>
    <x v="2"/>
    <x v="2"/>
    <n v="0.45875678645874901"/>
    <n v="2.14061666069774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6"/>
    <x v="5"/>
    <x v="3"/>
    <x v="2"/>
    <n v="0.45875678645874901"/>
    <n v="2.14061666069774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6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17"/>
    <x v="0"/>
    <x v="0"/>
    <x v="0"/>
    <n v="4.5311400811908902"/>
    <n v="0.9156596411472"/>
    <n v="0"/>
    <n v="21"/>
    <n v="3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7"/>
    <x v="1"/>
    <x v="1"/>
    <x v="1"/>
    <n v="2.2167046468439899"/>
    <n v="0.80651614303161001"/>
    <n v="0"/>
    <n v="18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7"/>
    <x v="2"/>
    <x v="1"/>
    <x v="1"/>
    <n v="0.213640767084985"/>
    <n v="4.1865038571756302E-2"/>
    <n v="0"/>
    <n v="7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7"/>
    <x v="3"/>
    <x v="2"/>
    <x v="2"/>
    <n v="0.54389099707331301"/>
    <n v="2.32933033469969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7"/>
    <x v="3"/>
    <x v="3"/>
    <x v="2"/>
    <n v="1.6316729912199399"/>
    <n v="6.9879910040990798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7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7"/>
    <x v="4"/>
    <x v="2"/>
    <x v="2"/>
    <n v="0.81583649560997096"/>
    <n v="3.49399550204953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7"/>
    <x v="4"/>
    <x v="3"/>
    <x v="2"/>
    <n v="1.6316729912199399"/>
    <n v="6.9879910040990798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7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7"/>
    <x v="5"/>
    <x v="2"/>
    <x v="2"/>
    <n v="0.46912167604198701"/>
    <n v="2.3088891078323799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7"/>
    <x v="5"/>
    <x v="3"/>
    <x v="2"/>
    <n v="0.46912167604198701"/>
    <n v="2.3088891078323799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7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18"/>
    <x v="0"/>
    <x v="0"/>
    <x v="0"/>
    <n v="4.1776686430409198"/>
    <n v="0.70587009815280799"/>
    <n v="0"/>
    <n v="21"/>
    <n v="2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8"/>
    <x v="1"/>
    <x v="1"/>
    <x v="1"/>
    <n v="1.90187988951856"/>
    <n v="0.63115807183654304"/>
    <n v="0"/>
    <n v="16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8"/>
    <x v="2"/>
    <x v="1"/>
    <x v="1"/>
    <n v="0.205274475495695"/>
    <n v="2.9676494447635999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8"/>
    <x v="3"/>
    <x v="2"/>
    <x v="2"/>
    <n v="0.53613999991366101"/>
    <n v="1.95120154906507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8"/>
    <x v="3"/>
    <x v="3"/>
    <x v="2"/>
    <n v="1.60841999974099"/>
    <n v="5.8536046471952097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8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8"/>
    <x v="4"/>
    <x v="2"/>
    <x v="2"/>
    <n v="0.80420999987049302"/>
    <n v="2.9268023235976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8"/>
    <x v="4"/>
    <x v="3"/>
    <x v="2"/>
    <n v="1.60841999974099"/>
    <n v="5.8536046471952097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8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8"/>
    <x v="5"/>
    <x v="2"/>
    <x v="2"/>
    <n v="0.462094278285689"/>
    <n v="1.5878024215699699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8"/>
    <x v="5"/>
    <x v="3"/>
    <x v="2"/>
    <n v="0.462094278285689"/>
    <n v="1.5878024215699699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8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19"/>
    <x v="0"/>
    <x v="0"/>
    <x v="0"/>
    <n v="4.5681480882452803"/>
    <n v="0.65153780897243496"/>
    <n v="0"/>
    <n v="24"/>
    <n v="12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19"/>
    <x v="1"/>
    <x v="1"/>
    <x v="1"/>
    <n v="2.2849013801727001"/>
    <n v="0.591789784602616"/>
    <n v="0"/>
    <n v="21"/>
    <n v="1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19"/>
    <x v="2"/>
    <x v="1"/>
    <x v="1"/>
    <n v="0.20769313745130999"/>
    <n v="3.3025380156973698E-2"/>
    <n v="0"/>
    <n v="7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19"/>
    <x v="3"/>
    <x v="2"/>
    <x v="2"/>
    <n v="0.53656337843661195"/>
    <n v="1.91248309741468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19"/>
    <x v="3"/>
    <x v="3"/>
    <x v="2"/>
    <n v="1.6096901353098401"/>
    <n v="5.7374492922440498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9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19"/>
    <x v="4"/>
    <x v="2"/>
    <x v="2"/>
    <n v="0.80484506765492003"/>
    <n v="2.8687246461220301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19"/>
    <x v="4"/>
    <x v="3"/>
    <x v="2"/>
    <n v="1.6096901353098401"/>
    <n v="5.7374492922440498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19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19"/>
    <x v="5"/>
    <x v="2"/>
    <x v="2"/>
    <n v="0.46586343531142199"/>
    <n v="1.96056779113341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9"/>
    <x v="5"/>
    <x v="3"/>
    <x v="2"/>
    <n v="0.46586343531142199"/>
    <n v="1.96056779113341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19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0"/>
    <x v="0"/>
    <x v="0"/>
    <x v="0"/>
    <n v="4.2913384614969896"/>
    <n v="0.72376329669328499"/>
    <n v="0"/>
    <n v="25"/>
    <n v="9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0"/>
    <x v="1"/>
    <x v="1"/>
    <x v="1"/>
    <n v="1.98021527496129"/>
    <n v="0.65349358013535297"/>
    <n v="0"/>
    <n v="21"/>
    <n v="6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0"/>
    <x v="2"/>
    <x v="1"/>
    <x v="1"/>
    <n v="0.196204550655182"/>
    <n v="3.4035342050721999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0"/>
    <x v="3"/>
    <x v="2"/>
    <x v="2"/>
    <n v="0.54789093462021599"/>
    <n v="2.4134686620376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0"/>
    <x v="3"/>
    <x v="3"/>
    <x v="2"/>
    <n v="1.6436728038606601"/>
    <n v="7.2404059861127898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0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0"/>
    <x v="4"/>
    <x v="2"/>
    <x v="2"/>
    <n v="0.82183640193032803"/>
    <n v="3.6202029930563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0"/>
    <x v="4"/>
    <x v="3"/>
    <x v="2"/>
    <n v="1.6436728038606601"/>
    <n v="7.2404059861127898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0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0"/>
    <x v="5"/>
    <x v="2"/>
    <x v="2"/>
    <n v="0.47124583201987402"/>
    <n v="2.54296892352457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0"/>
    <x v="5"/>
    <x v="3"/>
    <x v="2"/>
    <n v="0.47124583201987402"/>
    <n v="2.54296892352457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0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1"/>
    <x v="0"/>
    <x v="0"/>
    <x v="0"/>
    <n v="4.1960787841634799"/>
    <n v="0.95463512291074204"/>
    <n v="0"/>
    <n v="25"/>
    <n v="2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1"/>
    <x v="1"/>
    <x v="1"/>
    <x v="1"/>
    <n v="1.9719778989162799"/>
    <n v="0.87036116815945996"/>
    <n v="0"/>
    <n v="22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1"/>
    <x v="2"/>
    <x v="1"/>
    <x v="1"/>
    <n v="0.19758368573255999"/>
    <n v="3.0394373053990401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1"/>
    <x v="3"/>
    <x v="2"/>
    <x v="2"/>
    <n v="0.52470641844357602"/>
    <n v="2.5964098719697001E-2"/>
    <n v="0"/>
    <n v="0.66666666666666696"/>
    <n v="0.33333333333333298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1"/>
    <x v="3"/>
    <x v="3"/>
    <x v="2"/>
    <n v="1.5741192553307399"/>
    <n v="7.7892296159091101E-2"/>
    <n v="0"/>
    <n v="2"/>
    <n v="1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1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1"/>
    <x v="4"/>
    <x v="2"/>
    <x v="2"/>
    <n v="0.78705962766536897"/>
    <n v="3.8946148079545502E-2"/>
    <n v="0"/>
    <n v="1"/>
    <n v="0.5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1"/>
    <x v="4"/>
    <x v="3"/>
    <x v="2"/>
    <n v="1.5741192553307399"/>
    <n v="7.7892296159091101E-2"/>
    <n v="0"/>
    <n v="2"/>
    <n v="1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1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1"/>
    <x v="5"/>
    <x v="2"/>
    <x v="2"/>
    <n v="0.452397944183905"/>
    <n v="1.7532749928888799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1"/>
    <x v="5"/>
    <x v="3"/>
    <x v="2"/>
    <n v="0.452397944183905"/>
    <n v="1.7532749928888799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1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2"/>
    <x v="0"/>
    <x v="0"/>
    <x v="0"/>
    <n v="5.8157090796215503"/>
    <n v="1.12922599383277"/>
    <n v="0"/>
    <n v="28"/>
    <n v="3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2"/>
    <x v="1"/>
    <x v="1"/>
    <x v="1"/>
    <n v="3.44811746825749"/>
    <n v="1.0134450558843999"/>
    <n v="0"/>
    <n v="26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2"/>
    <x v="2"/>
    <x v="1"/>
    <x v="1"/>
    <n v="0.215491186941596"/>
    <n v="4.6372292983794201E-2"/>
    <n v="0"/>
    <n v="8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2"/>
    <x v="3"/>
    <x v="2"/>
    <x v="2"/>
    <n v="0.55953771135449504"/>
    <n v="2.99308262184114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2"/>
    <x v="3"/>
    <x v="3"/>
    <x v="2"/>
    <n v="1.67861313406349"/>
    <n v="8.9792478655234098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2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2"/>
    <x v="4"/>
    <x v="2"/>
    <x v="2"/>
    <n v="0.839306567031743"/>
    <n v="4.4896239327617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2"/>
    <x v="4"/>
    <x v="3"/>
    <x v="2"/>
    <n v="1.67861313406349"/>
    <n v="8.9792478655234098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2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2"/>
    <x v="5"/>
    <x v="2"/>
    <x v="2"/>
    <n v="0.47348729035896903"/>
    <n v="1.8100470845672199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2"/>
    <x v="5"/>
    <x v="3"/>
    <x v="2"/>
    <n v="0.47348729035896903"/>
    <n v="1.8100470845672199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2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3"/>
    <x v="0"/>
    <x v="0"/>
    <x v="0"/>
    <n v="5.0369203349705396"/>
    <n v="1.0900035105708801"/>
    <n v="0"/>
    <n v="21"/>
    <n v="5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3"/>
    <x v="1"/>
    <x v="1"/>
    <x v="1"/>
    <n v="2.72154876586576"/>
    <n v="0.99510240321153598"/>
    <n v="0"/>
    <n v="17"/>
    <n v="2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3"/>
    <x v="2"/>
    <x v="1"/>
    <x v="1"/>
    <n v="0.20749445113936399"/>
    <n v="3.5494613804842999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3"/>
    <x v="3"/>
    <x v="2"/>
    <x v="2"/>
    <n v="0.547173311687843"/>
    <n v="2.77989783617443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3"/>
    <x v="3"/>
    <x v="3"/>
    <x v="2"/>
    <n v="1.6415199350635401"/>
    <n v="8.3396935085232896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3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3"/>
    <x v="4"/>
    <x v="2"/>
    <x v="2"/>
    <n v="0.82075996753176805"/>
    <n v="4.16984675426163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3"/>
    <x v="4"/>
    <x v="3"/>
    <x v="2"/>
    <n v="1.6415199350635401"/>
    <n v="8.3396935085232896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3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3"/>
    <x v="5"/>
    <x v="2"/>
    <x v="2"/>
    <n v="0.46635718290189099"/>
    <n v="2.1756786479295302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3"/>
    <x v="5"/>
    <x v="3"/>
    <x v="2"/>
    <n v="0.46635718290189099"/>
    <n v="2.1756786479295302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3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4"/>
    <x v="0"/>
    <x v="0"/>
    <x v="0"/>
    <n v="6.6888493336744599"/>
    <n v="3E+20"/>
    <n v="0"/>
    <n v="43"/>
    <n v="3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4"/>
    <x v="1"/>
    <x v="1"/>
    <x v="1"/>
    <n v="4.3326810163181797"/>
    <n v="3E+20"/>
    <n v="0"/>
    <n v="40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4"/>
    <x v="2"/>
    <x v="1"/>
    <x v="1"/>
    <n v="0.22541893074615099"/>
    <n v="4.3722116273557099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4"/>
    <x v="3"/>
    <x v="2"/>
    <x v="2"/>
    <n v="0.55149324326832105"/>
    <n v="2.96913200696113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4"/>
    <x v="3"/>
    <x v="3"/>
    <x v="2"/>
    <n v="1.6544797298049601"/>
    <n v="8.9073960208833694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4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4"/>
    <x v="4"/>
    <x v="2"/>
    <x v="2"/>
    <n v="0.82723986490247903"/>
    <n v="4.4536980104416903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4"/>
    <x v="4"/>
    <x v="3"/>
    <x v="2"/>
    <n v="1.6544797298049601"/>
    <n v="8.9073960208833694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4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4"/>
    <x v="5"/>
    <x v="2"/>
    <x v="2"/>
    <n v="0.47626965680515199"/>
    <n v="2.5748341031930699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4"/>
    <x v="5"/>
    <x v="3"/>
    <x v="2"/>
    <n v="0.47626965680515199"/>
    <n v="2.5748341031930699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4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5"/>
    <x v="0"/>
    <x v="0"/>
    <x v="0"/>
    <n v="6.4987958570390099"/>
    <n v="1.2676523524568"/>
    <n v="0"/>
    <n v="28"/>
    <n v="5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5"/>
    <x v="1"/>
    <x v="1"/>
    <x v="1"/>
    <n v="4.0523180077033603"/>
    <n v="1.1906810713398499"/>
    <n v="0"/>
    <n v="26"/>
    <n v="3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5"/>
    <x v="2"/>
    <x v="1"/>
    <x v="1"/>
    <n v="0.245168261049964"/>
    <n v="3.6759291280501503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5"/>
    <x v="3"/>
    <x v="2"/>
    <x v="2"/>
    <n v="0.57005812966092095"/>
    <n v="2.11578129317607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5"/>
    <x v="3"/>
    <x v="3"/>
    <x v="2"/>
    <n v="1.7101743889827701"/>
    <n v="6.3473438795282097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5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5"/>
    <x v="4"/>
    <x v="2"/>
    <x v="2"/>
    <n v="0.85508719449138504"/>
    <n v="3.1736719397641097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5"/>
    <x v="4"/>
    <x v="3"/>
    <x v="2"/>
    <n v="1.7101743889827701"/>
    <n v="6.3473438795282097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5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5"/>
    <x v="5"/>
    <x v="2"/>
    <x v="2"/>
    <n v="0.49113519930291"/>
    <n v="3E+20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5"/>
    <x v="5"/>
    <x v="3"/>
    <x v="2"/>
    <n v="0.49113519930291"/>
    <n v="3E+20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5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6"/>
    <x v="0"/>
    <x v="0"/>
    <x v="0"/>
    <n v="4.5980091936834402"/>
    <n v="0.85780082621397002"/>
    <n v="0"/>
    <n v="22"/>
    <n v="16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6"/>
    <x v="1"/>
    <x v="1"/>
    <x v="1"/>
    <n v="2.3091315440795399"/>
    <n v="0.78978522244086102"/>
    <n v="0"/>
    <n v="20"/>
    <n v="13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6"/>
    <x v="2"/>
    <x v="1"/>
    <x v="1"/>
    <n v="0.20310923202134501"/>
    <n v="2.7005353855131701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6"/>
    <x v="3"/>
    <x v="2"/>
    <x v="2"/>
    <n v="0.53968806803205205"/>
    <n v="2.2652014750037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6"/>
    <x v="3"/>
    <x v="3"/>
    <x v="2"/>
    <n v="1.61906420409615"/>
    <n v="6.7956044250111397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6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6"/>
    <x v="4"/>
    <x v="2"/>
    <x v="2"/>
    <n v="0.80953210204807702"/>
    <n v="3.39780221250556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6"/>
    <x v="4"/>
    <x v="3"/>
    <x v="2"/>
    <n v="1.61906420409615"/>
    <n v="6.7956044250111397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6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6"/>
    <x v="5"/>
    <x v="2"/>
    <x v="2"/>
    <n v="0.46670421348638402"/>
    <n v="1.55768549532812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6"/>
    <x v="5"/>
    <x v="3"/>
    <x v="2"/>
    <n v="0.46670421348638402"/>
    <n v="1.55768549532812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6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7"/>
    <x v="0"/>
    <x v="0"/>
    <x v="0"/>
    <n v="6.9386840633215803"/>
    <n v="2.1053974675537499"/>
    <n v="0"/>
    <n v="33"/>
    <n v="10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7"/>
    <x v="1"/>
    <x v="1"/>
    <x v="1"/>
    <n v="4.5543512780988502"/>
    <n v="2.0044095716635701"/>
    <n v="0"/>
    <n v="30"/>
    <n v="7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7"/>
    <x v="2"/>
    <x v="1"/>
    <x v="1"/>
    <n v="0.227480699376367"/>
    <n v="4.4626317679695097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7"/>
    <x v="3"/>
    <x v="2"/>
    <x v="2"/>
    <n v="0.56090856573397396"/>
    <n v="3E+20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7"/>
    <x v="3"/>
    <x v="3"/>
    <x v="2"/>
    <n v="1.68272569720192"/>
    <n v="3E+20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7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7"/>
    <x v="4"/>
    <x v="2"/>
    <x v="2"/>
    <n v="0.841362848600961"/>
    <n v="3E+20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7"/>
    <x v="4"/>
    <x v="3"/>
    <x v="2"/>
    <n v="1.68272569720192"/>
    <n v="3E+20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7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7"/>
    <x v="5"/>
    <x v="2"/>
    <x v="2"/>
    <n v="0.47412638864444301"/>
    <n v="2.0630455197794901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7"/>
    <x v="5"/>
    <x v="3"/>
    <x v="2"/>
    <n v="0.47412638864444301"/>
    <n v="2.0630455197794901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7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8"/>
    <x v="0"/>
    <x v="0"/>
    <x v="0"/>
    <n v="5.2250737526786102"/>
    <n v="1.0698400029805799"/>
    <n v="0"/>
    <n v="24"/>
    <n v="1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8"/>
    <x v="1"/>
    <x v="1"/>
    <x v="1"/>
    <n v="2.9267580635819801"/>
    <n v="1.00099295533235"/>
    <n v="0"/>
    <n v="21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8"/>
    <x v="2"/>
    <x v="1"/>
    <x v="1"/>
    <n v="0.21552916012370801"/>
    <n v="3.3650844264438103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8"/>
    <x v="3"/>
    <x v="2"/>
    <x v="2"/>
    <n v="0.54166771731551699"/>
    <n v="2.1544117312407199E-2"/>
    <n v="0"/>
    <n v="0.66666666666666696"/>
    <n v="0.33333333333333298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8"/>
    <x v="3"/>
    <x v="3"/>
    <x v="2"/>
    <n v="1.62500315194655"/>
    <n v="6.4632351937221597E-2"/>
    <n v="0"/>
    <n v="2"/>
    <n v="1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8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8"/>
    <x v="4"/>
    <x v="2"/>
    <x v="2"/>
    <n v="0.81250157597327599"/>
    <n v="3.2316175968610798E-2"/>
    <n v="0"/>
    <n v="1"/>
    <n v="0.5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8"/>
    <x v="4"/>
    <x v="3"/>
    <x v="2"/>
    <n v="1.62500315194655"/>
    <n v="6.4632351937221597E-2"/>
    <n v="0"/>
    <n v="2"/>
    <n v="1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8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8"/>
    <x v="5"/>
    <x v="2"/>
    <x v="2"/>
    <n v="0.457783377026382"/>
    <n v="2.52085135711929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8"/>
    <x v="5"/>
    <x v="3"/>
    <x v="2"/>
    <n v="0.457783377026382"/>
    <n v="2.52085135711929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8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29"/>
    <x v="0"/>
    <x v="0"/>
    <x v="0"/>
    <n v="5.5079998720866197"/>
    <n v="2.0296657181862798"/>
    <n v="0"/>
    <n v="33"/>
    <n v="7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29"/>
    <x v="1"/>
    <x v="1"/>
    <x v="1"/>
    <n v="3.1519352156101399"/>
    <n v="1.93403401349861"/>
    <n v="0"/>
    <n v="29"/>
    <n v="4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29"/>
    <x v="2"/>
    <x v="1"/>
    <x v="1"/>
    <n v="0.22663873822644701"/>
    <n v="4.8097569659209798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29"/>
    <x v="3"/>
    <x v="2"/>
    <x v="2"/>
    <n v="0.54841394856834202"/>
    <n v="2.77500755971499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29"/>
    <x v="3"/>
    <x v="3"/>
    <x v="2"/>
    <n v="1.64524184570502"/>
    <n v="8.3250226791449694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9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29"/>
    <x v="4"/>
    <x v="2"/>
    <x v="2"/>
    <n v="0.82262092285251198"/>
    <n v="4.1625113395724798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29"/>
    <x v="4"/>
    <x v="3"/>
    <x v="2"/>
    <n v="1.64524184570502"/>
    <n v="8.3250226791449694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29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29"/>
    <x v="5"/>
    <x v="2"/>
    <x v="2"/>
    <n v="0.484184072545007"/>
    <n v="2.54487864928131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9"/>
    <x v="5"/>
    <x v="3"/>
    <x v="2"/>
    <n v="0.484184072545007"/>
    <n v="2.54487864928131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29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0"/>
    <x v="0"/>
    <x v="0"/>
    <x v="0"/>
    <n v="5.8429689462675096"/>
    <n v="1.65703600162117"/>
    <n v="0"/>
    <n v="30"/>
    <n v="1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0"/>
    <x v="1"/>
    <x v="1"/>
    <x v="1"/>
    <n v="3.49792067295208"/>
    <n v="1.58525151539524"/>
    <n v="0"/>
    <n v="28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0"/>
    <x v="2"/>
    <x v="1"/>
    <x v="1"/>
    <n v="0.208625371368683"/>
    <n v="4.6939485076096701E-2"/>
    <n v="0"/>
    <n v="7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0"/>
    <x v="3"/>
    <x v="2"/>
    <x v="2"/>
    <n v="0.55485137541002705"/>
    <n v="2.5604756810942798E-2"/>
    <n v="0"/>
    <n v="0.66666666666666696"/>
    <n v="0.33333333333333298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0"/>
    <x v="3"/>
    <x v="3"/>
    <x v="2"/>
    <n v="1.66455412623008"/>
    <n v="7.6814270432828402E-2"/>
    <n v="0"/>
    <n v="2"/>
    <n v="1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0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0"/>
    <x v="4"/>
    <x v="2"/>
    <x v="2"/>
    <n v="0.83227706311503802"/>
    <n v="3.8407135216414201E-2"/>
    <n v="0"/>
    <n v="1"/>
    <n v="0.5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0"/>
    <x v="4"/>
    <x v="3"/>
    <x v="2"/>
    <n v="1.66455412623008"/>
    <n v="7.6814270432828402E-2"/>
    <n v="0"/>
    <n v="2"/>
    <n v="1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0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0"/>
    <x v="5"/>
    <x v="2"/>
    <x v="2"/>
    <n v="0.47186877571667701"/>
    <n v="2.1459809764335799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0"/>
    <x v="5"/>
    <x v="3"/>
    <x v="2"/>
    <n v="0.47186877571667701"/>
    <n v="2.1459809764335799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0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1"/>
    <x v="0"/>
    <x v="0"/>
    <x v="0"/>
    <n v="3.9757448048151298"/>
    <n v="0.52094597332121295"/>
    <n v="0"/>
    <n v="17"/>
    <n v="5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1"/>
    <x v="1"/>
    <x v="1"/>
    <x v="1"/>
    <n v="1.72570567489848"/>
    <n v="0.45182205859359698"/>
    <n v="0"/>
    <n v="14"/>
    <n v="3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1"/>
    <x v="2"/>
    <x v="1"/>
    <x v="1"/>
    <n v="0.194191569314453"/>
    <n v="2.8198831924723899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1"/>
    <x v="3"/>
    <x v="2"/>
    <x v="2"/>
    <n v="0.53082203310107601"/>
    <n v="2.142644522448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1"/>
    <x v="3"/>
    <x v="3"/>
    <x v="2"/>
    <n v="1.59246609930323"/>
    <n v="6.4279335673440199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1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1"/>
    <x v="4"/>
    <x v="2"/>
    <x v="2"/>
    <n v="0.79623304965161501"/>
    <n v="3.21396678367201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1"/>
    <x v="4"/>
    <x v="3"/>
    <x v="2"/>
    <n v="1.59246609930323"/>
    <n v="6.4279335673440199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1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1"/>
    <x v="5"/>
    <x v="2"/>
    <x v="2"/>
    <n v="0.46338146129896401"/>
    <n v="1.91233706360073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1"/>
    <x v="5"/>
    <x v="3"/>
    <x v="2"/>
    <n v="0.46338146129896401"/>
    <n v="1.91233706360073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1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2"/>
    <x v="0"/>
    <x v="0"/>
    <x v="0"/>
    <n v="4.1690578846990904"/>
    <n v="0.57104474121860804"/>
    <n v="0"/>
    <n v="17"/>
    <n v="7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2"/>
    <x v="1"/>
    <x v="1"/>
    <x v="1"/>
    <n v="1.87364646672215"/>
    <n v="0.52767464068008896"/>
    <n v="0"/>
    <n v="13"/>
    <n v="2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2"/>
    <x v="2"/>
    <x v="1"/>
    <x v="1"/>
    <n v="0.20707372708980001"/>
    <n v="2.58853587593934E-2"/>
    <n v="0"/>
    <n v="6"/>
    <n v="2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2"/>
    <x v="3"/>
    <x v="2"/>
    <x v="2"/>
    <n v="0.54334923049978101"/>
    <n v="1.85040450675048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2"/>
    <x v="3"/>
    <x v="3"/>
    <x v="2"/>
    <n v="1.63004769149935"/>
    <n v="5.5512135202514301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2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2"/>
    <x v="4"/>
    <x v="2"/>
    <x v="2"/>
    <n v="0.81502384574967301"/>
    <n v="2.77560676012571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2"/>
    <x v="4"/>
    <x v="3"/>
    <x v="2"/>
    <n v="1.63004769149935"/>
    <n v="5.5512135202514301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2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2"/>
    <x v="5"/>
    <x v="2"/>
    <x v="2"/>
    <n v="0.45828999938777898"/>
    <n v="1.21273623038579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2"/>
    <x v="5"/>
    <x v="3"/>
    <x v="2"/>
    <n v="0.45828999938777898"/>
    <n v="1.21273623038579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2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3"/>
    <x v="0"/>
    <x v="0"/>
    <x v="0"/>
    <n v="4.6810442992559604"/>
    <n v="0.79599109413255198"/>
    <n v="0"/>
    <n v="19"/>
    <n v="2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3"/>
    <x v="1"/>
    <x v="1"/>
    <x v="1"/>
    <n v="2.3468698688050602"/>
    <n v="0.70592687134325904"/>
    <n v="0"/>
    <n v="16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3"/>
    <x v="2"/>
    <x v="1"/>
    <x v="1"/>
    <n v="0.206923684528805"/>
    <n v="3.1671999406637702E-2"/>
    <n v="0"/>
    <n v="4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3"/>
    <x v="3"/>
    <x v="2"/>
    <x v="2"/>
    <n v="0.55132248861278299"/>
    <n v="2.1456809339754801E-2"/>
    <n v="0"/>
    <n v="0.66666666666666696"/>
    <n v="0.33333333333333298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3"/>
    <x v="3"/>
    <x v="3"/>
    <x v="2"/>
    <n v="1.6539674658383401"/>
    <n v="6.4370428019264403E-2"/>
    <n v="0"/>
    <n v="2"/>
    <n v="1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3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3"/>
    <x v="4"/>
    <x v="2"/>
    <x v="2"/>
    <n v="0.82698373291917204"/>
    <n v="3.2185214009632201E-2"/>
    <n v="0"/>
    <n v="1"/>
    <n v="0.5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3"/>
    <x v="4"/>
    <x v="3"/>
    <x v="2"/>
    <n v="1.6539674658383401"/>
    <n v="6.4370428019264403E-2"/>
    <n v="0"/>
    <n v="2"/>
    <n v="1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3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3"/>
    <x v="5"/>
    <x v="2"/>
    <x v="2"/>
    <n v="0.47328328008376203"/>
    <n v="1.6962270053101001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3"/>
    <x v="5"/>
    <x v="3"/>
    <x v="2"/>
    <n v="0.47328328008376203"/>
    <n v="1.6962270053101001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3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4"/>
    <x v="0"/>
    <x v="0"/>
    <x v="0"/>
    <n v="4.9122794771054998"/>
    <n v="1.28158264360636"/>
    <n v="0"/>
    <n v="24"/>
    <n v="6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4"/>
    <x v="1"/>
    <x v="1"/>
    <x v="1"/>
    <n v="2.5893612633920098"/>
    <n v="1.20761802845725"/>
    <n v="0"/>
    <n v="21"/>
    <n v="3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4"/>
    <x v="2"/>
    <x v="1"/>
    <x v="1"/>
    <n v="0.20709202413563599"/>
    <n v="3.5365915104645602E-2"/>
    <n v="0"/>
    <n v="7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4"/>
    <x v="3"/>
    <x v="2"/>
    <x v="2"/>
    <n v="0.54743260742877298"/>
    <n v="2.55771230732835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4"/>
    <x v="3"/>
    <x v="3"/>
    <x v="2"/>
    <n v="1.64229782228632"/>
    <n v="7.6731369219850507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4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4"/>
    <x v="4"/>
    <x v="2"/>
    <x v="2"/>
    <n v="0.82114891114316102"/>
    <n v="3.8365684609925302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4"/>
    <x v="4"/>
    <x v="3"/>
    <x v="2"/>
    <n v="1.64229782228632"/>
    <n v="7.6731369219850507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4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4"/>
    <x v="5"/>
    <x v="2"/>
    <x v="2"/>
    <n v="0.47352836729153203"/>
    <n v="1.85778587692682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4"/>
    <x v="5"/>
    <x v="3"/>
    <x v="2"/>
    <n v="0.47352836729153203"/>
    <n v="1.85778587692682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4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5"/>
    <x v="0"/>
    <x v="0"/>
    <x v="0"/>
    <n v="4.6379154635196604"/>
    <n v="0.58541149116556102"/>
    <n v="0"/>
    <n v="22"/>
    <n v="4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5"/>
    <x v="1"/>
    <x v="1"/>
    <x v="1"/>
    <n v="2.2859806707793902"/>
    <n v="0.508668970289891"/>
    <n v="0"/>
    <n v="20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5"/>
    <x v="2"/>
    <x v="1"/>
    <x v="1"/>
    <n v="0.23495628087621201"/>
    <n v="4.8041757233949198E-2"/>
    <n v="0"/>
    <n v="7"/>
    <n v="1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5"/>
    <x v="3"/>
    <x v="2"/>
    <x v="2"/>
    <n v="0.54564134375843798"/>
    <n v="1.93582065887887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5"/>
    <x v="3"/>
    <x v="3"/>
    <x v="2"/>
    <n v="1.6369240312753199"/>
    <n v="5.8074619766365902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5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5"/>
    <x v="4"/>
    <x v="2"/>
    <x v="2"/>
    <n v="0.81846201563765797"/>
    <n v="2.9037309883183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5"/>
    <x v="4"/>
    <x v="3"/>
    <x v="2"/>
    <n v="1.6369240312753199"/>
    <n v="5.8074619766365902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5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5"/>
    <x v="5"/>
    <x v="2"/>
    <x v="2"/>
    <n v="0.48005448058873701"/>
    <n v="2.03422136785903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5"/>
    <x v="5"/>
    <x v="3"/>
    <x v="2"/>
    <n v="0.48005448058873701"/>
    <n v="2.03422136785903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5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6"/>
    <x v="0"/>
    <x v="0"/>
    <x v="0"/>
    <n v="4.0560686384473197"/>
    <n v="0.53014391032307895"/>
    <n v="0"/>
    <n v="20"/>
    <n v="7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6"/>
    <x v="1"/>
    <x v="1"/>
    <x v="1"/>
    <n v="1.7200278735122601"/>
    <n v="0.45015292356171499"/>
    <n v="0"/>
    <n v="17"/>
    <n v="5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6"/>
    <x v="2"/>
    <x v="1"/>
    <x v="1"/>
    <n v="0.22736428285982799"/>
    <n v="4.2742887320794898E-2"/>
    <n v="0"/>
    <n v="8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6"/>
    <x v="3"/>
    <x v="2"/>
    <x v="2"/>
    <n v="0.54547665804661505"/>
    <n v="2.17881901155442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6"/>
    <x v="3"/>
    <x v="3"/>
    <x v="2"/>
    <n v="1.63642997413986"/>
    <n v="6.5364570346632997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6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6"/>
    <x v="4"/>
    <x v="2"/>
    <x v="2"/>
    <n v="0.81821498706992801"/>
    <n v="3.2682285173316498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6"/>
    <x v="4"/>
    <x v="3"/>
    <x v="2"/>
    <n v="1.63642997413986"/>
    <n v="6.5364570346632997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6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6"/>
    <x v="5"/>
    <x v="2"/>
    <x v="2"/>
    <n v="0.472246507935358"/>
    <n v="1.62032428081295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6"/>
    <x v="5"/>
    <x v="3"/>
    <x v="2"/>
    <n v="0.472246507935358"/>
    <n v="1.62032428081295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6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7"/>
    <x v="0"/>
    <x v="0"/>
    <x v="0"/>
    <n v="5.6280367747233102"/>
    <n v="3E+20"/>
    <n v="0"/>
    <n v="35"/>
    <n v="2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7"/>
    <x v="1"/>
    <x v="1"/>
    <x v="1"/>
    <n v="3.2945728823343901"/>
    <n v="3E+20"/>
    <n v="0"/>
    <n v="33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7"/>
    <x v="2"/>
    <x v="1"/>
    <x v="1"/>
    <n v="0.211544416384015"/>
    <n v="3.5736214967948897E-2"/>
    <n v="0"/>
    <n v="7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7"/>
    <x v="3"/>
    <x v="2"/>
    <x v="2"/>
    <n v="0.54846216086076405"/>
    <n v="2.50787052934829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7"/>
    <x v="3"/>
    <x v="3"/>
    <x v="2"/>
    <n v="1.6453864825822899"/>
    <n v="7.5236115880448706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7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7"/>
    <x v="4"/>
    <x v="2"/>
    <x v="2"/>
    <n v="0.82269324129114596"/>
    <n v="3.7618057940224402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7"/>
    <x v="4"/>
    <x v="3"/>
    <x v="2"/>
    <n v="1.6453864825822899"/>
    <n v="7.5236115880448706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7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7"/>
    <x v="5"/>
    <x v="2"/>
    <x v="2"/>
    <n v="0.47653299342261601"/>
    <n v="1.7395712008857402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7"/>
    <x v="5"/>
    <x v="3"/>
    <x v="2"/>
    <n v="0.47653299342261601"/>
    <n v="1.7395712008857402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7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8"/>
    <x v="0"/>
    <x v="0"/>
    <x v="0"/>
    <n v="4.7224769913825497"/>
    <n v="0.76834101698501001"/>
    <n v="0"/>
    <n v="23"/>
    <n v="0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8"/>
    <x v="1"/>
    <x v="1"/>
    <x v="1"/>
    <n v="2.3823749648444901"/>
    <n v="0.70288084555701502"/>
    <n v="0"/>
    <n v="20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8"/>
    <x v="2"/>
    <x v="1"/>
    <x v="1"/>
    <n v="0.218930616162717"/>
    <n v="4.3858007641466301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8"/>
    <x v="3"/>
    <x v="2"/>
    <x v="2"/>
    <n v="0.54957336565632797"/>
    <n v="1.9814428084992598E-2"/>
    <n v="0"/>
    <n v="0.66666666666666696"/>
    <n v="0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8"/>
    <x v="3"/>
    <x v="3"/>
    <x v="2"/>
    <n v="1.6487200969689899"/>
    <n v="5.9443284254977802E-2"/>
    <n v="0"/>
    <n v="2"/>
    <n v="0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8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8"/>
    <x v="4"/>
    <x v="2"/>
    <x v="2"/>
    <n v="0.82436004848449695"/>
    <n v="2.9721642127488901E-2"/>
    <n v="0"/>
    <n v="1"/>
    <n v="0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8"/>
    <x v="4"/>
    <x v="3"/>
    <x v="2"/>
    <n v="1.6487200969689899"/>
    <n v="5.9443284254977802E-2"/>
    <n v="0"/>
    <n v="2"/>
    <n v="0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8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8"/>
    <x v="5"/>
    <x v="2"/>
    <x v="2"/>
    <n v="0.47245131340633401"/>
    <n v="1.5461901261792799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8"/>
    <x v="5"/>
    <x v="3"/>
    <x v="2"/>
    <n v="0.47245131340633401"/>
    <n v="1.5461901261792799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8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39"/>
    <x v="0"/>
    <x v="0"/>
    <x v="0"/>
    <n v="4.1355368936425796"/>
    <n v="3E+20"/>
    <n v="0"/>
    <n v="15"/>
    <n v="3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39"/>
    <x v="1"/>
    <x v="1"/>
    <x v="1"/>
    <n v="1.8262269647343099"/>
    <n v="0.40071427027219902"/>
    <n v="0"/>
    <n v="13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39"/>
    <x v="2"/>
    <x v="1"/>
    <x v="1"/>
    <n v="0.19482045013837401"/>
    <n v="2.7927324605248501E-2"/>
    <n v="0"/>
    <n v="4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39"/>
    <x v="3"/>
    <x v="2"/>
    <x v="2"/>
    <n v="0.54802089990047698"/>
    <n v="2.0258002322220602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39"/>
    <x v="3"/>
    <x v="3"/>
    <x v="2"/>
    <n v="1.64406269970143"/>
    <n v="6.0774006966661999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9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39"/>
    <x v="4"/>
    <x v="2"/>
    <x v="2"/>
    <n v="0.82203134985071702"/>
    <n v="3.03870034833309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39"/>
    <x v="4"/>
    <x v="3"/>
    <x v="2"/>
    <n v="1.64406269970143"/>
    <n v="6.0774006966661999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39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39"/>
    <x v="5"/>
    <x v="2"/>
    <x v="2"/>
    <n v="0.47042677906846803"/>
    <n v="3E+20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9"/>
    <x v="5"/>
    <x v="3"/>
    <x v="2"/>
    <n v="0.47042677906846803"/>
    <n v="3E+20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39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0"/>
    <x v="0"/>
    <x v="0"/>
    <x v="0"/>
    <n v="4.4108157239998897"/>
    <n v="3E+20"/>
    <n v="0"/>
    <n v="25"/>
    <n v="8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0"/>
    <x v="1"/>
    <x v="1"/>
    <x v="1"/>
    <n v="2.1105564109806401"/>
    <n v="3E+20"/>
    <n v="0"/>
    <n v="22"/>
    <n v="6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0"/>
    <x v="2"/>
    <x v="1"/>
    <x v="1"/>
    <n v="0.212909064828506"/>
    <n v="3.01327214380228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0"/>
    <x v="3"/>
    <x v="2"/>
    <x v="2"/>
    <n v="0.53840184739885599"/>
    <n v="1.7952498369148001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0"/>
    <x v="3"/>
    <x v="3"/>
    <x v="2"/>
    <n v="1.6152055421965601"/>
    <n v="5.3857495107444198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0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0"/>
    <x v="4"/>
    <x v="2"/>
    <x v="2"/>
    <n v="0.80760277109827905"/>
    <n v="2.69287475537220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0"/>
    <x v="4"/>
    <x v="3"/>
    <x v="2"/>
    <n v="1.6152055421965601"/>
    <n v="5.3857495107444198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0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0"/>
    <x v="5"/>
    <x v="2"/>
    <x v="2"/>
    <n v="0.47214470599420499"/>
    <n v="2.1278870568846201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0"/>
    <x v="5"/>
    <x v="3"/>
    <x v="2"/>
    <n v="0.47214470599420499"/>
    <n v="2.1278870568846201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0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1"/>
    <x v="0"/>
    <x v="0"/>
    <x v="0"/>
    <n v="4.2516376487153398"/>
    <n v="0.88070655543943099"/>
    <n v="0"/>
    <n v="21"/>
    <n v="2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1"/>
    <x v="1"/>
    <x v="1"/>
    <x v="1"/>
    <n v="2.00654298538482"/>
    <n v="0.77505763581004306"/>
    <n v="0"/>
    <n v="18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1"/>
    <x v="2"/>
    <x v="1"/>
    <x v="1"/>
    <n v="0.185526985643447"/>
    <n v="3.49782734258577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1"/>
    <x v="3"/>
    <x v="2"/>
    <x v="2"/>
    <n v="0.53251692726377597"/>
    <n v="2.8494575705561499E-2"/>
    <n v="0"/>
    <n v="0.66666666666666696"/>
    <n v="0.33333333333333298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1"/>
    <x v="3"/>
    <x v="3"/>
    <x v="2"/>
    <n v="1.5975507817913299"/>
    <n v="8.5483727116684505E-2"/>
    <n v="0"/>
    <n v="2"/>
    <n v="1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1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1"/>
    <x v="4"/>
    <x v="2"/>
    <x v="2"/>
    <n v="0.79877539089566596"/>
    <n v="4.2741863558342197E-2"/>
    <n v="0"/>
    <n v="1"/>
    <n v="0.5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1"/>
    <x v="4"/>
    <x v="3"/>
    <x v="2"/>
    <n v="1.5975507817913299"/>
    <n v="8.5483727116684505E-2"/>
    <n v="0"/>
    <n v="2"/>
    <n v="1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1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1"/>
    <x v="5"/>
    <x v="2"/>
    <x v="2"/>
    <n v="0.46201689589575901"/>
    <n v="2.1239636681443901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1"/>
    <x v="5"/>
    <x v="3"/>
    <x v="2"/>
    <n v="0.46201689589575901"/>
    <n v="2.1239636681443901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1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2"/>
    <x v="0"/>
    <x v="0"/>
    <x v="0"/>
    <n v="4.7406125492398496"/>
    <n v="1.2732787987435501"/>
    <n v="0"/>
    <n v="22"/>
    <n v="4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2"/>
    <x v="1"/>
    <x v="1"/>
    <x v="1"/>
    <n v="2.4120750936048099"/>
    <n v="1.1876059091753901"/>
    <n v="0"/>
    <n v="19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2"/>
    <x v="2"/>
    <x v="1"/>
    <x v="1"/>
    <n v="0.23171457027130499"/>
    <n v="4.9160043501282301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2"/>
    <x v="3"/>
    <x v="2"/>
    <x v="2"/>
    <n v="0.54028749766639395"/>
    <n v="2.7359412945551598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2"/>
    <x v="3"/>
    <x v="3"/>
    <x v="2"/>
    <n v="1.6208624929991899"/>
    <n v="8.2078238836654896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2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2"/>
    <x v="4"/>
    <x v="2"/>
    <x v="2"/>
    <n v="0.81043124649959397"/>
    <n v="4.10391194183273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2"/>
    <x v="4"/>
    <x v="3"/>
    <x v="2"/>
    <n v="1.6208624929991899"/>
    <n v="8.2078238836654896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2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2"/>
    <x v="5"/>
    <x v="2"/>
    <x v="2"/>
    <n v="0.47596039236453802"/>
    <n v="2.30243985429643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2"/>
    <x v="5"/>
    <x v="3"/>
    <x v="2"/>
    <n v="0.47596039236453802"/>
    <n v="2.30243985429643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2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3"/>
    <x v="0"/>
    <x v="0"/>
    <x v="0"/>
    <n v="4.6289406023235102"/>
    <n v="0.79665196335775901"/>
    <n v="0"/>
    <n v="19"/>
    <n v="0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3"/>
    <x v="1"/>
    <x v="1"/>
    <x v="1"/>
    <n v="2.3567875443218198"/>
    <n v="0.70903331167983996"/>
    <n v="0"/>
    <n v="16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3"/>
    <x v="2"/>
    <x v="1"/>
    <x v="1"/>
    <n v="0.19516406518689899"/>
    <n v="3.07073149270469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3"/>
    <x v="3"/>
    <x v="2"/>
    <x v="2"/>
    <n v="0.53735480289380999"/>
    <n v="2.4701378823153399E-2"/>
    <n v="0"/>
    <n v="0.66666666666666696"/>
    <n v="0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3"/>
    <x v="3"/>
    <x v="3"/>
    <x v="2"/>
    <n v="1.61206440868143"/>
    <n v="7.4104136469460194E-2"/>
    <n v="0"/>
    <n v="2"/>
    <n v="0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3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3"/>
    <x v="4"/>
    <x v="2"/>
    <x v="2"/>
    <n v="0.80603220434071399"/>
    <n v="3.7052068234730097E-2"/>
    <n v="0"/>
    <n v="1"/>
    <n v="0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3"/>
    <x v="4"/>
    <x v="3"/>
    <x v="2"/>
    <n v="1.61206440868143"/>
    <n v="7.4104136469460194E-2"/>
    <n v="0"/>
    <n v="2"/>
    <n v="0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3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3"/>
    <x v="5"/>
    <x v="2"/>
    <x v="2"/>
    <n v="0.46492458413333898"/>
    <n v="2.32781975647279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3"/>
    <x v="5"/>
    <x v="3"/>
    <x v="2"/>
    <n v="0.46492458413333898"/>
    <n v="2.32781975647279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3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4"/>
    <x v="0"/>
    <x v="0"/>
    <x v="0"/>
    <n v="4.1392463272019802"/>
    <n v="0.68339136121077004"/>
    <n v="0"/>
    <n v="20"/>
    <n v="7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4"/>
    <x v="1"/>
    <x v="1"/>
    <x v="1"/>
    <n v="1.8681009319297199"/>
    <n v="0.57826806483984405"/>
    <n v="0"/>
    <n v="16"/>
    <n v="4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4"/>
    <x v="2"/>
    <x v="1"/>
    <x v="1"/>
    <n v="0.209288322711976"/>
    <n v="4.5537844857646101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4"/>
    <x v="3"/>
    <x v="2"/>
    <x v="2"/>
    <n v="0.53419504857548294"/>
    <n v="2.6525020339835802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4"/>
    <x v="3"/>
    <x v="3"/>
    <x v="2"/>
    <n v="1.60258514572644"/>
    <n v="7.9575061019507398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4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4"/>
    <x v="4"/>
    <x v="2"/>
    <x v="2"/>
    <n v="0.80129257286322197"/>
    <n v="3.97875305097536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4"/>
    <x v="4"/>
    <x v="3"/>
    <x v="2"/>
    <n v="1.60258514572644"/>
    <n v="7.9575061019507398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4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4"/>
    <x v="5"/>
    <x v="2"/>
    <x v="2"/>
    <n v="0.45927192683384199"/>
    <n v="2.81280678737236E-2"/>
    <n v="0"/>
    <n v="1"/>
    <n v="1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4"/>
    <x v="5"/>
    <x v="3"/>
    <x v="2"/>
    <n v="0.45927192683384199"/>
    <n v="2.81280678737236E-2"/>
    <n v="0"/>
    <n v="1"/>
    <n v="1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4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5"/>
    <x v="0"/>
    <x v="0"/>
    <x v="0"/>
    <n v="4.7428214576312504"/>
    <n v="0.84346405243404998"/>
    <n v="0"/>
    <n v="23"/>
    <n v="0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5"/>
    <x v="1"/>
    <x v="1"/>
    <x v="1"/>
    <n v="2.4194988718279302"/>
    <n v="0.76432885169154696"/>
    <n v="0"/>
    <n v="19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5"/>
    <x v="2"/>
    <x v="1"/>
    <x v="1"/>
    <n v="0.20719297536630699"/>
    <n v="4.4027031394583499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5"/>
    <x v="3"/>
    <x v="2"/>
    <x v="2"/>
    <n v="0.54713352051235098"/>
    <n v="2.09156739537378E-2"/>
    <n v="0"/>
    <n v="0.66666666666666696"/>
    <n v="0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5"/>
    <x v="3"/>
    <x v="3"/>
    <x v="2"/>
    <n v="1.6414005615370499"/>
    <n v="6.2747021861213198E-2"/>
    <n v="0"/>
    <n v="2"/>
    <n v="0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5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5"/>
    <x v="4"/>
    <x v="2"/>
    <x v="2"/>
    <n v="0.82070028076852297"/>
    <n v="3.1373510930606599E-2"/>
    <n v="0"/>
    <n v="1"/>
    <n v="0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5"/>
    <x v="4"/>
    <x v="3"/>
    <x v="2"/>
    <n v="1.6414005615370499"/>
    <n v="6.2747021861213198E-2"/>
    <n v="0"/>
    <n v="2"/>
    <n v="0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5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5"/>
    <x v="5"/>
    <x v="2"/>
    <x v="2"/>
    <n v="0.47472904889996997"/>
    <n v="2.12014915395424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5"/>
    <x v="5"/>
    <x v="3"/>
    <x v="2"/>
    <n v="0.47472904889996997"/>
    <n v="2.12014915395424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5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6"/>
    <x v="0"/>
    <x v="0"/>
    <x v="0"/>
    <n v="5.0564636064156803"/>
    <n v="1.14249413895732"/>
    <n v="0"/>
    <n v="21"/>
    <n v="0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6"/>
    <x v="1"/>
    <x v="1"/>
    <x v="1"/>
    <n v="2.71793816507342"/>
    <n v="1.05170772388985"/>
    <n v="0"/>
    <n v="18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6"/>
    <x v="2"/>
    <x v="1"/>
    <x v="1"/>
    <n v="0.211796039218377"/>
    <n v="3E+20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6"/>
    <x v="3"/>
    <x v="2"/>
    <x v="2"/>
    <n v="0.55181178454025803"/>
    <n v="2.4658042352337199E-2"/>
    <n v="0"/>
    <n v="0.66666666666666696"/>
    <n v="0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6"/>
    <x v="3"/>
    <x v="3"/>
    <x v="2"/>
    <n v="1.65543535362077"/>
    <n v="7.3974127057011702E-2"/>
    <n v="0"/>
    <n v="2"/>
    <n v="0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6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6"/>
    <x v="4"/>
    <x v="2"/>
    <x v="2"/>
    <n v="0.82771767681038699"/>
    <n v="3.6987063528505802E-2"/>
    <n v="0"/>
    <n v="1"/>
    <n v="0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6"/>
    <x v="4"/>
    <x v="3"/>
    <x v="2"/>
    <n v="1.65543535362077"/>
    <n v="7.3974127057011702E-2"/>
    <n v="0"/>
    <n v="2"/>
    <n v="0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6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6"/>
    <x v="5"/>
    <x v="2"/>
    <x v="2"/>
    <n v="0.47129404850311701"/>
    <n v="2.32742746099826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6"/>
    <x v="5"/>
    <x v="3"/>
    <x v="2"/>
    <n v="0.47129404850311701"/>
    <n v="2.32742746099826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6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7"/>
    <x v="0"/>
    <x v="0"/>
    <x v="0"/>
    <n v="5.6899935925130496"/>
    <n v="2.2438711890574798"/>
    <n v="0"/>
    <n v="38"/>
    <n v="3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7"/>
    <x v="1"/>
    <x v="1"/>
    <x v="1"/>
    <n v="3.3100108600040898"/>
    <n v="2.1653907720728101"/>
    <n v="0"/>
    <n v="35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7"/>
    <x v="2"/>
    <x v="1"/>
    <x v="1"/>
    <n v="0.23868206153021601"/>
    <n v="3.6761070061146699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7"/>
    <x v="3"/>
    <x v="2"/>
    <x v="2"/>
    <n v="0.55285426515054004"/>
    <n v="2.50182471582311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7"/>
    <x v="3"/>
    <x v="3"/>
    <x v="2"/>
    <n v="1.65856279545161"/>
    <n v="7.5054741474693695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7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7"/>
    <x v="4"/>
    <x v="2"/>
    <x v="2"/>
    <n v="0.829281397725807"/>
    <n v="3.7527370737346903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7"/>
    <x v="4"/>
    <x v="3"/>
    <x v="2"/>
    <n v="1.65856279545161"/>
    <n v="7.5054741474693695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7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7"/>
    <x v="5"/>
    <x v="2"/>
    <x v="2"/>
    <n v="0.48273787552710801"/>
    <n v="1.7255041831376002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7"/>
    <x v="5"/>
    <x v="3"/>
    <x v="2"/>
    <n v="0.48273787552710801"/>
    <n v="1.7255041831376002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7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8"/>
    <x v="0"/>
    <x v="0"/>
    <x v="0"/>
    <n v="4.4581456756120099"/>
    <n v="0.85834116268606098"/>
    <n v="0"/>
    <n v="23"/>
    <n v="3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8"/>
    <x v="1"/>
    <x v="1"/>
    <x v="1"/>
    <n v="2.1336513408731301"/>
    <n v="0.80085249490156796"/>
    <n v="0"/>
    <n v="20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8"/>
    <x v="2"/>
    <x v="1"/>
    <x v="1"/>
    <n v="0.21272546128382699"/>
    <n v="3.05472478874174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8"/>
    <x v="3"/>
    <x v="2"/>
    <x v="2"/>
    <n v="0.54537828923069498"/>
    <n v="1.75242194165266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8"/>
    <x v="3"/>
    <x v="3"/>
    <x v="2"/>
    <n v="1.6361348676920899"/>
    <n v="5.2572658249580101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8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8"/>
    <x v="4"/>
    <x v="2"/>
    <x v="2"/>
    <n v="0.81806743384604297"/>
    <n v="2.62863291247900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8"/>
    <x v="4"/>
    <x v="3"/>
    <x v="2"/>
    <n v="1.6361348676920899"/>
    <n v="5.2572658249580101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8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8"/>
    <x v="5"/>
    <x v="2"/>
    <x v="2"/>
    <n v="0.47563400576298598"/>
    <n v="1.77854626105436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8"/>
    <x v="5"/>
    <x v="3"/>
    <x v="2"/>
    <n v="0.47563400576298598"/>
    <n v="1.77854626105436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8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49"/>
    <x v="0"/>
    <x v="0"/>
    <x v="0"/>
    <n v="4.6944311485364398"/>
    <n v="0.93075921758899005"/>
    <n v="0"/>
    <n v="22"/>
    <n v="3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49"/>
    <x v="1"/>
    <x v="1"/>
    <x v="1"/>
    <n v="2.4066952952078999"/>
    <n v="0.86817537657279498"/>
    <n v="0"/>
    <n v="19"/>
    <n v="1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49"/>
    <x v="2"/>
    <x v="1"/>
    <x v="1"/>
    <n v="0.18461900250466501"/>
    <n v="2.5275187183599598E-2"/>
    <n v="0"/>
    <n v="5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49"/>
    <x v="3"/>
    <x v="2"/>
    <x v="2"/>
    <n v="0.54657586793108004"/>
    <n v="1.95876072193532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49"/>
    <x v="3"/>
    <x v="3"/>
    <x v="2"/>
    <n v="1.63972760379324"/>
    <n v="5.8762821658059898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9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49"/>
    <x v="4"/>
    <x v="2"/>
    <x v="2"/>
    <n v="0.819863801896619"/>
    <n v="2.93814108290299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49"/>
    <x v="4"/>
    <x v="3"/>
    <x v="2"/>
    <n v="1.63972760379324"/>
    <n v="5.8762821658059898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49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49"/>
    <x v="5"/>
    <x v="2"/>
    <x v="2"/>
    <n v="0.46338924703065998"/>
    <n v="1.9414963520791501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9"/>
    <x v="5"/>
    <x v="3"/>
    <x v="2"/>
    <n v="0.46338924703065998"/>
    <n v="1.9414963520791501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49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  <r>
    <x v="0"/>
    <s v="2025-05-22 00:30:31"/>
    <n v="50"/>
    <x v="0"/>
    <x v="0"/>
    <x v="0"/>
    <n v="5.9735030682153702"/>
    <n v="1.5721380155895399"/>
    <n v="0"/>
    <n v="25"/>
    <n v="2"/>
    <n v="0"/>
    <s v="PacientesEntity 1WIPEntity"/>
    <n v="50"/>
    <n v="5.0291450407150116"/>
    <n v="0.7751882821061955"/>
    <n v="0.95"/>
    <n v="0.22030607219171747"/>
    <n v="3.9757448048151298"/>
    <n v="6.9386840633215803"/>
    <n v="0.22030607219171747"/>
  </r>
  <r>
    <x v="0"/>
    <s v="2025-05-22 00:30:31"/>
    <n v="50"/>
    <x v="1"/>
    <x v="1"/>
    <x v="1"/>
    <n v="3.6239677853075101"/>
    <n v="1.49106729491408"/>
    <n v="0"/>
    <n v="23"/>
    <n v="0"/>
    <n v="0"/>
    <s v="PacientesProcess 2.QueueNumber WaitingQueue"/>
    <n v="50"/>
    <n v="2.7022068205389371"/>
    <n v="0.74037523736278754"/>
    <n v="0.95"/>
    <n v="0.21041231434540877"/>
    <n v="1.7200278735122601"/>
    <n v="4.5543512780988502"/>
    <n v="0.21041231434540877"/>
  </r>
  <r>
    <x v="0"/>
    <s v="2025-05-22 00:30:31"/>
    <n v="50"/>
    <x v="2"/>
    <x v="1"/>
    <x v="1"/>
    <n v="0.221028007663743"/>
    <n v="4.7872672912236597E-2"/>
    <n v="0"/>
    <n v="6"/>
    <n v="0"/>
    <n v="0"/>
    <s v="PacientesRegistro.QueueNumber WaitingQueue"/>
    <n v="50"/>
    <n v="0.2141917500690991"/>
    <n v="1.680838772884146E-2"/>
    <n v="0.95"/>
    <n v="4.7768909384897544E-3"/>
    <n v="0.172815232766103"/>
    <n v="0.24783514900621301"/>
    <n v="4.7768909384897544E-3"/>
  </r>
  <r>
    <x v="0"/>
    <s v="2025-05-22 00:30:31"/>
    <n v="50"/>
    <x v="3"/>
    <x v="2"/>
    <x v="2"/>
    <n v="0.55060118191558305"/>
    <n v="2.8417665006706699E-2"/>
    <n v="0"/>
    <n v="0.66666666666666696"/>
    <n v="0.66666666666666696"/>
    <n v="0"/>
    <s v="PacientesrCamasInstantaneous UtilizationResource"/>
    <n v="50"/>
    <n v="0.54703961359050579"/>
    <n v="1.0221170008030573E-2"/>
    <n v="0.95"/>
    <n v="2.9048243757695521E-3"/>
    <n v="0.52470641844357602"/>
    <n v="0.57005812966092095"/>
    <n v="2.9048243757695521E-3"/>
  </r>
  <r>
    <x v="0"/>
    <s v="2025-05-22 00:30:31"/>
    <n v="50"/>
    <x v="3"/>
    <x v="3"/>
    <x v="2"/>
    <n v="1.6518035457467499"/>
    <n v="8.5252995020120195E-2"/>
    <n v="0"/>
    <n v="2"/>
    <n v="2"/>
    <n v="0"/>
    <s v="PacientesrCamas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50"/>
    <x v="3"/>
    <x v="4"/>
    <x v="2"/>
    <n v="3"/>
    <n v="2E+20"/>
    <n v="3"/>
    <n v="3"/>
    <n v="3"/>
    <n v="0"/>
    <s v="PacientesrCamasNumber ScheduledResource"/>
    <n v="50"/>
    <n v="3"/>
    <n v="0"/>
    <n v="0.95"/>
    <n v="0"/>
    <n v="3"/>
    <n v="3"/>
    <n v="0"/>
  </r>
  <r>
    <x v="0"/>
    <s v="2025-05-22 00:30:31"/>
    <n v="50"/>
    <x v="4"/>
    <x v="2"/>
    <x v="2"/>
    <n v="0.82590177287337396"/>
    <n v="4.2626497510060098E-2"/>
    <n v="0"/>
    <n v="1"/>
    <n v="1"/>
    <n v="0"/>
    <s v="PacientesrMedicoInstantaneous UtilizationResource"/>
    <n v="50"/>
    <n v="0.82055942038575935"/>
    <n v="1.5331755012045719E-2"/>
    <n v="0.95"/>
    <n v="4.3572365636542886E-3"/>
    <n v="0.78705962766536897"/>
    <n v="0.85508719449138504"/>
    <n v="4.3572365636542886E-3"/>
  </r>
  <r>
    <x v="0"/>
    <s v="2025-05-22 00:30:31"/>
    <n v="50"/>
    <x v="4"/>
    <x v="3"/>
    <x v="2"/>
    <n v="1.6518035457467499"/>
    <n v="8.5252995020120195E-2"/>
    <n v="0"/>
    <n v="2"/>
    <n v="2"/>
    <n v="0"/>
    <s v="PacientesrMedicoNumber BusyResource"/>
    <n v="50"/>
    <n v="1.6411188407715187"/>
    <n v="3.066351002409114E-2"/>
    <n v="0.95"/>
    <n v="8.7144731273084922E-3"/>
    <n v="1.5741192553307399"/>
    <n v="1.7101743889827701"/>
    <n v="8.7144731273084922E-3"/>
  </r>
  <r>
    <x v="0"/>
    <s v="2025-05-22 00:30:31"/>
    <n v="50"/>
    <x v="4"/>
    <x v="4"/>
    <x v="2"/>
    <n v="2"/>
    <n v="2E+20"/>
    <n v="2"/>
    <n v="2"/>
    <n v="2"/>
    <n v="0"/>
    <s v="PacientesrMedicoNumber ScheduledResource"/>
    <n v="50"/>
    <n v="2"/>
    <n v="0"/>
    <n v="0.95"/>
    <n v="0"/>
    <n v="2"/>
    <n v="2"/>
    <n v="0"/>
  </r>
  <r>
    <x v="0"/>
    <s v="2025-05-22 00:30:31"/>
    <n v="50"/>
    <x v="5"/>
    <x v="2"/>
    <x v="2"/>
    <n v="0.47670372949737699"/>
    <n v="2.1938791465121898E-2"/>
    <n v="0"/>
    <n v="1"/>
    <n v="0"/>
    <n v="0"/>
    <s v="PacientesrRegistradoraInstantaneous Utilization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50"/>
    <x v="5"/>
    <x v="3"/>
    <x v="2"/>
    <n v="0.47670372949737699"/>
    <n v="2.1938791465121898E-2"/>
    <n v="0"/>
    <n v="1"/>
    <n v="0"/>
    <n v="0"/>
    <s v="PacientesrRegistradoraNumber BusyResource"/>
    <n v="50"/>
    <n v="0.47162762933545666"/>
    <n v="9.6615227076777797E-3"/>
    <n v="0.95"/>
    <n v="2.7457743728226142E-3"/>
    <n v="0.452397944183905"/>
    <n v="0.49691123629694001"/>
    <n v="2.7457743728226142E-3"/>
  </r>
  <r>
    <x v="0"/>
    <s v="2025-05-22 00:30:31"/>
    <n v="50"/>
    <x v="5"/>
    <x v="4"/>
    <x v="2"/>
    <n v="1"/>
    <n v="2E+20"/>
    <n v="1"/>
    <n v="1"/>
    <n v="1"/>
    <n v="0"/>
    <s v="PacientesrRegistradoraNumber ScheduledResource"/>
    <n v="50"/>
    <n v="1"/>
    <n v="0"/>
    <n v="0.95"/>
    <n v="0"/>
    <n v="1"/>
    <n v="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s v="2025-05-22 00:30:31"/>
    <n v="1"/>
    <x v="0"/>
    <x v="0"/>
    <x v="0"/>
    <n v="0"/>
    <n v="0"/>
    <n v="0"/>
    <n v="0"/>
    <n v="2423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"/>
    <x v="0"/>
    <x v="1"/>
    <x v="0"/>
    <n v="0"/>
    <n v="0"/>
    <n v="0"/>
    <n v="0"/>
    <n v="2423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"/>
    <x v="0"/>
    <x v="2"/>
    <x v="0"/>
    <n v="1.62742875461073"/>
    <n v="0.33025859689451997"/>
    <n v="0.24569792864633699"/>
    <n v="17.289202716166201"/>
    <n v="2423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"/>
    <x v="0"/>
    <x v="3"/>
    <x v="0"/>
    <n v="0"/>
    <n v="0"/>
    <n v="0"/>
    <n v="0"/>
    <n v="2423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"/>
    <x v="0"/>
    <x v="4"/>
    <x v="0"/>
    <n v="0.633298047503562"/>
    <n v="1.4339807497983199E-2"/>
    <n v="0.228585451020137"/>
    <n v="1.57885572992268"/>
    <n v="2423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"/>
    <x v="0"/>
    <x v="5"/>
    <x v="0"/>
    <n v="0.99413070710717"/>
    <n v="0.33030075966549"/>
    <n v="0"/>
    <n v="16.9647332810598"/>
    <n v="2423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"/>
    <x v="0"/>
    <x v="0"/>
    <x v="0"/>
    <n v="0"/>
    <n v="0"/>
    <n v="0"/>
    <n v="0"/>
    <n v="2398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"/>
    <x v="0"/>
    <x v="1"/>
    <x v="0"/>
    <n v="0"/>
    <n v="0"/>
    <n v="0"/>
    <n v="0"/>
    <n v="2398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"/>
    <x v="0"/>
    <x v="2"/>
    <x v="0"/>
    <n v="1.2740048509709201"/>
    <n v="3E+20"/>
    <n v="0.24090578776761601"/>
    <n v="9.3870565269969894"/>
    <n v="2398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"/>
    <x v="0"/>
    <x v="3"/>
    <x v="0"/>
    <n v="0"/>
    <n v="0"/>
    <n v="0"/>
    <n v="0"/>
    <n v="2398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"/>
    <x v="0"/>
    <x v="4"/>
    <x v="0"/>
    <n v="0.62845150920168003"/>
    <n v="1.0129826605511099E-2"/>
    <n v="0.22520283454406401"/>
    <n v="1.5394248170907201"/>
    <n v="2398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"/>
    <x v="0"/>
    <x v="5"/>
    <x v="0"/>
    <n v="0.64555334176924495"/>
    <n v="3E+20"/>
    <n v="0"/>
    <n v="8.8206529199490795"/>
    <n v="2398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"/>
    <x v="0"/>
    <x v="0"/>
    <x v="0"/>
    <n v="0"/>
    <n v="0"/>
    <n v="0"/>
    <n v="0"/>
    <n v="2361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"/>
    <x v="0"/>
    <x v="1"/>
    <x v="0"/>
    <n v="0"/>
    <n v="0"/>
    <n v="0"/>
    <n v="0"/>
    <n v="2361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"/>
    <x v="0"/>
    <x v="2"/>
    <x v="0"/>
    <n v="1.30607988272722"/>
    <n v="0.21084686703837999"/>
    <n v="0.21677352216357801"/>
    <n v="12.5668743600623"/>
    <n v="2361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"/>
    <x v="0"/>
    <x v="3"/>
    <x v="0"/>
    <n v="0"/>
    <n v="0"/>
    <n v="0"/>
    <n v="0"/>
    <n v="2361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"/>
    <x v="0"/>
    <x v="4"/>
    <x v="0"/>
    <n v="0.63186555392768295"/>
    <n v="1.07459211835492E-2"/>
    <n v="0.21677352216357801"/>
    <n v="1.50386972809883"/>
    <n v="2361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"/>
    <x v="0"/>
    <x v="5"/>
    <x v="0"/>
    <n v="0.67421432879953502"/>
    <n v="0.210339415645799"/>
    <n v="0"/>
    <n v="12.0484373472722"/>
    <n v="2361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"/>
    <x v="0"/>
    <x v="0"/>
    <x v="0"/>
    <n v="0"/>
    <n v="0"/>
    <n v="0"/>
    <n v="0"/>
    <n v="2371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"/>
    <x v="0"/>
    <x v="1"/>
    <x v="0"/>
    <n v="0"/>
    <n v="0"/>
    <n v="0"/>
    <n v="0"/>
    <n v="2371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"/>
    <x v="0"/>
    <x v="2"/>
    <x v="0"/>
    <n v="1.6022225536824"/>
    <n v="0.38949152391181402"/>
    <n v="0.23955856428921199"/>
    <n v="19.872147986401"/>
    <n v="2371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"/>
    <x v="0"/>
    <x v="3"/>
    <x v="0"/>
    <n v="0"/>
    <n v="0"/>
    <n v="0"/>
    <n v="0"/>
    <n v="2371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"/>
    <x v="0"/>
    <x v="4"/>
    <x v="0"/>
    <n v="0.63981221154748102"/>
    <n v="1.19967613873015E-2"/>
    <n v="0.22476677744362"/>
    <n v="1.54675827868198"/>
    <n v="2371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"/>
    <x v="0"/>
    <x v="5"/>
    <x v="0"/>
    <n v="0.96241034213492005"/>
    <n v="0.39233747786419298"/>
    <n v="0"/>
    <n v="19.337749756444001"/>
    <n v="2371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5"/>
    <x v="0"/>
    <x v="0"/>
    <x v="0"/>
    <n v="0"/>
    <n v="0"/>
    <n v="0"/>
    <n v="0"/>
    <n v="2336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5"/>
    <x v="0"/>
    <x v="1"/>
    <x v="0"/>
    <n v="0"/>
    <n v="0"/>
    <n v="0"/>
    <n v="0"/>
    <n v="2336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5"/>
    <x v="0"/>
    <x v="2"/>
    <x v="0"/>
    <n v="1.33154793093313"/>
    <n v="3E+20"/>
    <n v="0.22737467353891799"/>
    <n v="14.4932557652953"/>
    <n v="2336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5"/>
    <x v="0"/>
    <x v="3"/>
    <x v="0"/>
    <n v="0"/>
    <n v="0"/>
    <n v="0"/>
    <n v="0"/>
    <n v="2336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5"/>
    <x v="0"/>
    <x v="4"/>
    <x v="0"/>
    <n v="0.62657189269840696"/>
    <n v="1.1743444091711E-2"/>
    <n v="0.2205899532551"/>
    <n v="1.5589092886503799"/>
    <n v="2336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5"/>
    <x v="0"/>
    <x v="5"/>
    <x v="0"/>
    <n v="0.70497603823471999"/>
    <n v="3E+20"/>
    <n v="0"/>
    <n v="14.1674275247751"/>
    <n v="2336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6"/>
    <x v="0"/>
    <x v="0"/>
    <x v="0"/>
    <n v="0"/>
    <n v="0"/>
    <n v="0"/>
    <n v="0"/>
    <n v="2504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6"/>
    <x v="0"/>
    <x v="1"/>
    <x v="0"/>
    <n v="0"/>
    <n v="0"/>
    <n v="0"/>
    <n v="0"/>
    <n v="2504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6"/>
    <x v="0"/>
    <x v="2"/>
    <x v="0"/>
    <n v="1.55450247197532"/>
    <n v="0.25103246155707198"/>
    <n v="0.25328199532430101"/>
    <n v="12.3347031709779"/>
    <n v="2504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6"/>
    <x v="0"/>
    <x v="3"/>
    <x v="0"/>
    <n v="0"/>
    <n v="0"/>
    <n v="0"/>
    <n v="0"/>
    <n v="2504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6"/>
    <x v="0"/>
    <x v="4"/>
    <x v="0"/>
    <n v="0.63050587555205395"/>
    <n v="3E+20"/>
    <n v="0.23036282865598401"/>
    <n v="1.5790046793385999"/>
    <n v="2504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6"/>
    <x v="0"/>
    <x v="5"/>
    <x v="0"/>
    <n v="0.92399659642325804"/>
    <n v="0.25386336744800497"/>
    <n v="0"/>
    <n v="12.0027247906438"/>
    <n v="2504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7"/>
    <x v="0"/>
    <x v="0"/>
    <x v="0"/>
    <n v="0"/>
    <n v="0"/>
    <n v="0"/>
    <n v="0"/>
    <n v="2394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7"/>
    <x v="0"/>
    <x v="1"/>
    <x v="0"/>
    <n v="0"/>
    <n v="0"/>
    <n v="0"/>
    <n v="0"/>
    <n v="2394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7"/>
    <x v="0"/>
    <x v="2"/>
    <x v="0"/>
    <n v="1.43484844458477"/>
    <n v="0.221979306487883"/>
    <n v="0.25221005455790602"/>
    <n v="14.7359788524615"/>
    <n v="2394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7"/>
    <x v="0"/>
    <x v="3"/>
    <x v="0"/>
    <n v="0"/>
    <n v="0"/>
    <n v="0"/>
    <n v="0"/>
    <n v="2394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7"/>
    <x v="0"/>
    <x v="4"/>
    <x v="0"/>
    <n v="0.63694267341988298"/>
    <n v="1.10951921542926E-2"/>
    <n v="0.22329450620583199"/>
    <n v="1.5131609728709901"/>
    <n v="2394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7"/>
    <x v="0"/>
    <x v="5"/>
    <x v="0"/>
    <n v="0.79790577116488703"/>
    <n v="0.22015745520920299"/>
    <n v="0"/>
    <n v="14.3681831855307"/>
    <n v="2394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8"/>
    <x v="0"/>
    <x v="0"/>
    <x v="0"/>
    <n v="0"/>
    <n v="0"/>
    <n v="0"/>
    <n v="0"/>
    <n v="2403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8"/>
    <x v="0"/>
    <x v="1"/>
    <x v="0"/>
    <n v="0"/>
    <n v="0"/>
    <n v="0"/>
    <n v="0"/>
    <n v="2403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8"/>
    <x v="0"/>
    <x v="2"/>
    <x v="0"/>
    <n v="1.4277982365641699"/>
    <n v="0.21978549231637801"/>
    <n v="0.203133309337034"/>
    <n v="10.0898139807387"/>
    <n v="2403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8"/>
    <x v="0"/>
    <x v="3"/>
    <x v="0"/>
    <n v="0"/>
    <n v="0"/>
    <n v="0"/>
    <n v="0"/>
    <n v="2403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8"/>
    <x v="0"/>
    <x v="4"/>
    <x v="0"/>
    <n v="0.63469301295049496"/>
    <n v="1.0599371307323E-2"/>
    <n v="0.203133309337034"/>
    <n v="1.5939517145847"/>
    <n v="2403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8"/>
    <x v="0"/>
    <x v="5"/>
    <x v="0"/>
    <n v="0.79310522361367497"/>
    <n v="0.22065781465666001"/>
    <n v="0"/>
    <n v="9.7164911897571002"/>
    <n v="2403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9"/>
    <x v="0"/>
    <x v="0"/>
    <x v="0"/>
    <n v="0"/>
    <n v="0"/>
    <n v="0"/>
    <n v="0"/>
    <n v="2429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9"/>
    <x v="0"/>
    <x v="1"/>
    <x v="0"/>
    <n v="0"/>
    <n v="0"/>
    <n v="0"/>
    <n v="0"/>
    <n v="2429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9"/>
    <x v="0"/>
    <x v="2"/>
    <x v="0"/>
    <n v="1.90819944816471"/>
    <n v="3E+20"/>
    <n v="0.28046973229794497"/>
    <n v="18.771074116146298"/>
    <n v="2429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9"/>
    <x v="0"/>
    <x v="3"/>
    <x v="0"/>
    <n v="0"/>
    <n v="0"/>
    <n v="0"/>
    <n v="0"/>
    <n v="2429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9"/>
    <x v="0"/>
    <x v="4"/>
    <x v="0"/>
    <n v="0.64003567843128994"/>
    <n v="3E+20"/>
    <n v="0.20777222090021"/>
    <n v="1.5762216879650199"/>
    <n v="2429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9"/>
    <x v="0"/>
    <x v="5"/>
    <x v="0"/>
    <n v="1.26816376973342"/>
    <n v="3E+20"/>
    <n v="0"/>
    <n v="18.320581850236898"/>
    <n v="2429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0"/>
    <x v="0"/>
    <x v="0"/>
    <x v="0"/>
    <n v="0"/>
    <n v="0"/>
    <n v="0"/>
    <n v="0"/>
    <n v="2502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0"/>
    <x v="0"/>
    <x v="1"/>
    <x v="0"/>
    <n v="0"/>
    <n v="0"/>
    <n v="0"/>
    <n v="0"/>
    <n v="2502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0"/>
    <x v="0"/>
    <x v="2"/>
    <x v="0"/>
    <n v="1.68679802162334"/>
    <n v="0.31050581323780102"/>
    <n v="0.24344814900564399"/>
    <n v="18.334100703269801"/>
    <n v="2502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0"/>
    <x v="0"/>
    <x v="3"/>
    <x v="0"/>
    <n v="0"/>
    <n v="0"/>
    <n v="0"/>
    <n v="0"/>
    <n v="2502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0"/>
    <x v="0"/>
    <x v="4"/>
    <x v="0"/>
    <n v="0.630525208810092"/>
    <n v="1.02667409011729E-2"/>
    <n v="0.24344814900564399"/>
    <n v="1.58899663566206"/>
    <n v="2502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0"/>
    <x v="0"/>
    <x v="5"/>
    <x v="0"/>
    <n v="1.0562728128132499"/>
    <n v="0.310491967212567"/>
    <n v="0"/>
    <n v="17.838706874162298"/>
    <n v="2502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1"/>
    <x v="0"/>
    <x v="0"/>
    <x v="0"/>
    <n v="0"/>
    <n v="0"/>
    <n v="0"/>
    <n v="0"/>
    <n v="2446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1"/>
    <x v="0"/>
    <x v="1"/>
    <x v="0"/>
    <n v="0"/>
    <n v="0"/>
    <n v="0"/>
    <n v="0"/>
    <n v="2446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1"/>
    <x v="0"/>
    <x v="2"/>
    <x v="0"/>
    <n v="1.5461174275696401"/>
    <n v="0.365667892712982"/>
    <n v="0.25291142575252901"/>
    <n v="17.454852447716402"/>
    <n v="2446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1"/>
    <x v="0"/>
    <x v="3"/>
    <x v="0"/>
    <n v="0"/>
    <n v="0"/>
    <n v="0"/>
    <n v="0"/>
    <n v="2446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1"/>
    <x v="0"/>
    <x v="4"/>
    <x v="0"/>
    <n v="0.62888765006771596"/>
    <n v="1.19808637642229E-2"/>
    <n v="0.22500569688611599"/>
    <n v="1.5492412223048"/>
    <n v="2446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1"/>
    <x v="0"/>
    <x v="5"/>
    <x v="0"/>
    <n v="0.91722977750192902"/>
    <n v="0.36547477884247098"/>
    <n v="0"/>
    <n v="17.010629711953001"/>
    <n v="2446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2"/>
    <x v="0"/>
    <x v="0"/>
    <x v="0"/>
    <n v="0"/>
    <n v="0"/>
    <n v="0"/>
    <n v="0"/>
    <n v="2400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2"/>
    <x v="0"/>
    <x v="1"/>
    <x v="0"/>
    <n v="0"/>
    <n v="0"/>
    <n v="0"/>
    <n v="0"/>
    <n v="2400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2"/>
    <x v="0"/>
    <x v="2"/>
    <x v="0"/>
    <n v="1.7141539297874"/>
    <n v="0.29086539711008402"/>
    <n v="0.26404548710593201"/>
    <n v="15.072334208210499"/>
    <n v="2400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2"/>
    <x v="0"/>
    <x v="3"/>
    <x v="0"/>
    <n v="0"/>
    <n v="0"/>
    <n v="0"/>
    <n v="0"/>
    <n v="2400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2"/>
    <x v="0"/>
    <x v="4"/>
    <x v="0"/>
    <n v="0.64252733232259496"/>
    <n v="1.32837389880352E-2"/>
    <n v="0.23997313981732299"/>
    <n v="1.58846123926355"/>
    <n v="2400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2"/>
    <x v="0"/>
    <x v="5"/>
    <x v="0"/>
    <n v="1.0716265974648"/>
    <n v="0.28881688602947098"/>
    <n v="0"/>
    <n v="14.568521981048001"/>
    <n v="2400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3"/>
    <x v="0"/>
    <x v="0"/>
    <x v="0"/>
    <n v="0"/>
    <n v="0"/>
    <n v="0"/>
    <n v="0"/>
    <n v="2406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3"/>
    <x v="0"/>
    <x v="1"/>
    <x v="0"/>
    <n v="0"/>
    <n v="0"/>
    <n v="0"/>
    <n v="0"/>
    <n v="2406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3"/>
    <x v="0"/>
    <x v="2"/>
    <x v="0"/>
    <n v="1.4246960564115601"/>
    <n v="0.238181521223012"/>
    <n v="0.27081192516368402"/>
    <n v="13.594601015219199"/>
    <n v="2406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3"/>
    <x v="0"/>
    <x v="3"/>
    <x v="0"/>
    <n v="0"/>
    <n v="0"/>
    <n v="0"/>
    <n v="0"/>
    <n v="2406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3"/>
    <x v="0"/>
    <x v="4"/>
    <x v="0"/>
    <n v="0.631531448370662"/>
    <n v="1.14409865412351E-2"/>
    <n v="0.22679047285572601"/>
    <n v="1.57001723309213"/>
    <n v="2406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3"/>
    <x v="0"/>
    <x v="5"/>
    <x v="0"/>
    <n v="0.79316460804089395"/>
    <n v="0.23752605611385899"/>
    <n v="0"/>
    <n v="13.053026296216"/>
    <n v="2406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4"/>
    <x v="0"/>
    <x v="0"/>
    <x v="0"/>
    <n v="0"/>
    <n v="0"/>
    <n v="0"/>
    <n v="0"/>
    <n v="2370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4"/>
    <x v="0"/>
    <x v="1"/>
    <x v="0"/>
    <n v="0"/>
    <n v="0"/>
    <n v="0"/>
    <n v="0"/>
    <n v="2370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4"/>
    <x v="0"/>
    <x v="2"/>
    <x v="0"/>
    <n v="1.4071991674147599"/>
    <n v="3E+20"/>
    <n v="0.23269038907210399"/>
    <n v="14.155157162755"/>
    <n v="2370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4"/>
    <x v="0"/>
    <x v="3"/>
    <x v="0"/>
    <n v="0"/>
    <n v="0"/>
    <n v="0"/>
    <n v="0"/>
    <n v="2370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4"/>
    <x v="0"/>
    <x v="4"/>
    <x v="0"/>
    <n v="0.63612959408587699"/>
    <n v="3E+20"/>
    <n v="0.218565213069041"/>
    <n v="1.5623631887578999"/>
    <n v="2370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4"/>
    <x v="0"/>
    <x v="5"/>
    <x v="0"/>
    <n v="0.77106957332888504"/>
    <n v="3E+20"/>
    <n v="0"/>
    <n v="13.7803564164576"/>
    <n v="2370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5"/>
    <x v="0"/>
    <x v="0"/>
    <x v="0"/>
    <n v="0"/>
    <n v="0"/>
    <n v="0"/>
    <n v="0"/>
    <n v="2503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5"/>
    <x v="0"/>
    <x v="1"/>
    <x v="0"/>
    <n v="0"/>
    <n v="0"/>
    <n v="0"/>
    <n v="0"/>
    <n v="2503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5"/>
    <x v="0"/>
    <x v="2"/>
    <x v="0"/>
    <n v="1.84495595309161"/>
    <n v="0.369635139422824"/>
    <n v="0.23983496785717801"/>
    <n v="16.405426129444201"/>
    <n v="2503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5"/>
    <x v="0"/>
    <x v="3"/>
    <x v="0"/>
    <n v="0"/>
    <n v="0"/>
    <n v="0"/>
    <n v="0"/>
    <n v="2503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5"/>
    <x v="0"/>
    <x v="4"/>
    <x v="0"/>
    <n v="0.63112185081377203"/>
    <n v="1.24854779937648E-2"/>
    <n v="0.221073013733424"/>
    <n v="1.58304763024844"/>
    <n v="2503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5"/>
    <x v="0"/>
    <x v="5"/>
    <x v="0"/>
    <n v="1.2138341022778301"/>
    <n v="0.36898241908204998"/>
    <n v="0"/>
    <n v="16.0214899048745"/>
    <n v="2503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6"/>
    <x v="0"/>
    <x v="0"/>
    <x v="0"/>
    <n v="0"/>
    <n v="0"/>
    <n v="0"/>
    <n v="0"/>
    <n v="2358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6"/>
    <x v="0"/>
    <x v="1"/>
    <x v="0"/>
    <n v="0"/>
    <n v="0"/>
    <n v="0"/>
    <n v="0"/>
    <n v="2358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6"/>
    <x v="0"/>
    <x v="2"/>
    <x v="0"/>
    <n v="1.8208771780639701"/>
    <n v="3E+20"/>
    <n v="0.24200645872957699"/>
    <n v="22.449885649638201"/>
    <n v="2358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6"/>
    <x v="0"/>
    <x v="3"/>
    <x v="0"/>
    <n v="0"/>
    <n v="0"/>
    <n v="0"/>
    <n v="0"/>
    <n v="2358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6"/>
    <x v="0"/>
    <x v="4"/>
    <x v="0"/>
    <n v="0.63141175227142898"/>
    <n v="9.1509489779300797E-3"/>
    <n v="0.24200645872957699"/>
    <n v="1.5404229619316501"/>
    <n v="2358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6"/>
    <x v="0"/>
    <x v="5"/>
    <x v="0"/>
    <n v="1.1894654257925401"/>
    <n v="3E+20"/>
    <n v="0"/>
    <n v="21.971451775742299"/>
    <n v="2358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7"/>
    <x v="0"/>
    <x v="0"/>
    <x v="0"/>
    <n v="0"/>
    <n v="0"/>
    <n v="0"/>
    <n v="0"/>
    <n v="2381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7"/>
    <x v="0"/>
    <x v="1"/>
    <x v="0"/>
    <n v="0"/>
    <n v="0"/>
    <n v="0"/>
    <n v="0"/>
    <n v="2381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7"/>
    <x v="0"/>
    <x v="2"/>
    <x v="0"/>
    <n v="1.36944296488853"/>
    <n v="0.21040033889739701"/>
    <n v="0.225434982354869"/>
    <n v="10.653650381020601"/>
    <n v="2381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7"/>
    <x v="0"/>
    <x v="3"/>
    <x v="0"/>
    <n v="0"/>
    <n v="0"/>
    <n v="0"/>
    <n v="0"/>
    <n v="2381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7"/>
    <x v="0"/>
    <x v="4"/>
    <x v="0"/>
    <n v="0.63495443451040701"/>
    <n v="1.17870823292763E-2"/>
    <n v="0.225434982354869"/>
    <n v="1.5720599353703599"/>
    <n v="2381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7"/>
    <x v="0"/>
    <x v="5"/>
    <x v="0"/>
    <n v="0.73448853037812101"/>
    <n v="0.211684360718986"/>
    <n v="0"/>
    <n v="10.1664870836904"/>
    <n v="2381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8"/>
    <x v="0"/>
    <x v="0"/>
    <x v="0"/>
    <n v="0"/>
    <n v="0"/>
    <n v="0"/>
    <n v="0"/>
    <n v="2349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8"/>
    <x v="0"/>
    <x v="1"/>
    <x v="0"/>
    <n v="0"/>
    <n v="0"/>
    <n v="0"/>
    <n v="0"/>
    <n v="2349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8"/>
    <x v="0"/>
    <x v="2"/>
    <x v="0"/>
    <n v="1.2801425119912"/>
    <n v="0.175536136166457"/>
    <n v="0.26875556797904199"/>
    <n v="9.1173603752845302"/>
    <n v="2349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8"/>
    <x v="0"/>
    <x v="3"/>
    <x v="0"/>
    <n v="0"/>
    <n v="0"/>
    <n v="0"/>
    <n v="0"/>
    <n v="2349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8"/>
    <x v="0"/>
    <x v="4"/>
    <x v="0"/>
    <n v="0.63427144225503396"/>
    <n v="7.38749869188532E-3"/>
    <n v="0.23465296950035999"/>
    <n v="1.52748928112618"/>
    <n v="2349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8"/>
    <x v="0"/>
    <x v="5"/>
    <x v="0"/>
    <n v="0.64587106973617103"/>
    <n v="0.17469516419478701"/>
    <n v="0"/>
    <n v="8.5989585689053492"/>
    <n v="2349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9"/>
    <x v="0"/>
    <x v="0"/>
    <x v="0"/>
    <n v="0"/>
    <n v="0"/>
    <n v="0"/>
    <n v="0"/>
    <n v="2352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9"/>
    <x v="0"/>
    <x v="1"/>
    <x v="0"/>
    <n v="0"/>
    <n v="0"/>
    <n v="0"/>
    <n v="0"/>
    <n v="2352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9"/>
    <x v="0"/>
    <x v="2"/>
    <x v="0"/>
    <n v="1.37037969098456"/>
    <n v="0.159939919782906"/>
    <n v="0.235242064692784"/>
    <n v="13.5714911561272"/>
    <n v="2352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9"/>
    <x v="0"/>
    <x v="3"/>
    <x v="0"/>
    <n v="0"/>
    <n v="0"/>
    <n v="0"/>
    <n v="0"/>
    <n v="2352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19"/>
    <x v="0"/>
    <x v="4"/>
    <x v="0"/>
    <n v="0.63429554485638096"/>
    <n v="1.33109620818947E-2"/>
    <n v="0.226610753973773"/>
    <n v="1.5570814840717699"/>
    <n v="2352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19"/>
    <x v="0"/>
    <x v="5"/>
    <x v="0"/>
    <n v="0.73608414612817596"/>
    <n v="0.162042389381681"/>
    <n v="0"/>
    <n v="13.1265483090024"/>
    <n v="2352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0"/>
    <x v="0"/>
    <x v="0"/>
    <x v="0"/>
    <n v="0"/>
    <n v="0"/>
    <n v="0"/>
    <n v="0"/>
    <n v="2411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0"/>
    <x v="0"/>
    <x v="1"/>
    <x v="0"/>
    <n v="0"/>
    <n v="0"/>
    <n v="0"/>
    <n v="0"/>
    <n v="2411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0"/>
    <x v="0"/>
    <x v="2"/>
    <x v="0"/>
    <n v="1.27665447312062"/>
    <n v="0.16064088666132201"/>
    <n v="0.25312886827214198"/>
    <n v="10.791703986837801"/>
    <n v="2411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0"/>
    <x v="0"/>
    <x v="3"/>
    <x v="0"/>
    <n v="0"/>
    <n v="0"/>
    <n v="0"/>
    <n v="0"/>
    <n v="2411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0"/>
    <x v="0"/>
    <x v="4"/>
    <x v="0"/>
    <n v="0.63078564229309297"/>
    <n v="7.4048155778924504E-3"/>
    <n v="0.23190527215989201"/>
    <n v="1.53163785937193"/>
    <n v="2411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0"/>
    <x v="0"/>
    <x v="5"/>
    <x v="0"/>
    <n v="0.645868830827522"/>
    <n v="0.162683592511044"/>
    <n v="0"/>
    <n v="10.288556630026401"/>
    <n v="2411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1"/>
    <x v="0"/>
    <x v="0"/>
    <x v="0"/>
    <n v="0"/>
    <n v="0"/>
    <n v="0"/>
    <n v="0"/>
    <n v="2305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1"/>
    <x v="0"/>
    <x v="1"/>
    <x v="0"/>
    <n v="0"/>
    <n v="0"/>
    <n v="0"/>
    <n v="0"/>
    <n v="2305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1"/>
    <x v="0"/>
    <x v="2"/>
    <x v="0"/>
    <n v="1.31052666107267"/>
    <n v="0.223195097670184"/>
    <n v="0.24767259257788499"/>
    <n v="13.183630137863"/>
    <n v="2305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1"/>
    <x v="0"/>
    <x v="3"/>
    <x v="0"/>
    <n v="0"/>
    <n v="0"/>
    <n v="0"/>
    <n v="0"/>
    <n v="2305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1"/>
    <x v="0"/>
    <x v="4"/>
    <x v="0"/>
    <n v="0.63284044206884105"/>
    <n v="1.21560567307657E-2"/>
    <n v="0.22984420740257899"/>
    <n v="1.57592258101738"/>
    <n v="2305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1"/>
    <x v="0"/>
    <x v="5"/>
    <x v="0"/>
    <n v="0.67768621900382497"/>
    <n v="0.22205849400543901"/>
    <n v="0"/>
    <n v="12.647789137893101"/>
    <n v="2305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2"/>
    <x v="0"/>
    <x v="0"/>
    <x v="0"/>
    <n v="0"/>
    <n v="0"/>
    <n v="0"/>
    <n v="0"/>
    <n v="2428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2"/>
    <x v="0"/>
    <x v="1"/>
    <x v="0"/>
    <n v="0"/>
    <n v="0"/>
    <n v="0"/>
    <n v="0"/>
    <n v="2428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2"/>
    <x v="0"/>
    <x v="2"/>
    <x v="0"/>
    <n v="1.7233879808416499"/>
    <n v="0.26562644213818598"/>
    <n v="0.24649430687509299"/>
    <n v="12.280484162270101"/>
    <n v="2428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2"/>
    <x v="0"/>
    <x v="3"/>
    <x v="0"/>
    <n v="0"/>
    <n v="0"/>
    <n v="0"/>
    <n v="0"/>
    <n v="2428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2"/>
    <x v="0"/>
    <x v="4"/>
    <x v="0"/>
    <n v="0.63782080588455703"/>
    <n v="9.5708013189873993E-3"/>
    <n v="0.23442360903624099"/>
    <n v="1.5738430201558899"/>
    <n v="2428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2"/>
    <x v="0"/>
    <x v="5"/>
    <x v="0"/>
    <n v="1.0855671749570901"/>
    <n v="0.26000742442978497"/>
    <n v="0"/>
    <n v="11.7271874389236"/>
    <n v="2428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3"/>
    <x v="0"/>
    <x v="0"/>
    <x v="0"/>
    <n v="0"/>
    <n v="0"/>
    <n v="0"/>
    <n v="0"/>
    <n v="2377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3"/>
    <x v="0"/>
    <x v="1"/>
    <x v="0"/>
    <n v="0"/>
    <n v="0"/>
    <n v="0"/>
    <n v="0"/>
    <n v="2377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3"/>
    <x v="0"/>
    <x v="2"/>
    <x v="0"/>
    <n v="1.52481024786151"/>
    <n v="0.26612583856831801"/>
    <n v="0.25537359107277202"/>
    <n v="12.334827344051501"/>
    <n v="2377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3"/>
    <x v="0"/>
    <x v="3"/>
    <x v="0"/>
    <n v="0"/>
    <n v="0"/>
    <n v="0"/>
    <n v="0"/>
    <n v="2377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3"/>
    <x v="0"/>
    <x v="4"/>
    <x v="0"/>
    <n v="0.63784939478220604"/>
    <n v="1.4247619199609899E-2"/>
    <n v="0.23060606555364399"/>
    <n v="1.5509330429197099"/>
    <n v="2377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3"/>
    <x v="0"/>
    <x v="5"/>
    <x v="0"/>
    <n v="0.88696085307929995"/>
    <n v="0.26427326583948002"/>
    <n v="0"/>
    <n v="11.9195551942883"/>
    <n v="2377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4"/>
    <x v="0"/>
    <x v="0"/>
    <x v="0"/>
    <n v="0"/>
    <n v="0"/>
    <n v="0"/>
    <n v="0"/>
    <n v="2420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4"/>
    <x v="0"/>
    <x v="1"/>
    <x v="0"/>
    <n v="0"/>
    <n v="0"/>
    <n v="0"/>
    <n v="0"/>
    <n v="2420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4"/>
    <x v="0"/>
    <x v="2"/>
    <x v="0"/>
    <n v="1.989772475788"/>
    <n v="3E+20"/>
    <n v="0.26692020674048"/>
    <n v="29.554686467573401"/>
    <n v="2420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4"/>
    <x v="0"/>
    <x v="3"/>
    <x v="0"/>
    <n v="0"/>
    <n v="0"/>
    <n v="0"/>
    <n v="0"/>
    <n v="2420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4"/>
    <x v="0"/>
    <x v="4"/>
    <x v="0"/>
    <n v="0.63375809798851801"/>
    <n v="1.29179463256223E-2"/>
    <n v="0.22281845662212199"/>
    <n v="1.58856216126094"/>
    <n v="2420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4"/>
    <x v="0"/>
    <x v="5"/>
    <x v="0"/>
    <n v="1.35601437779948"/>
    <n v="3E+20"/>
    <n v="0"/>
    <n v="28.983199492767199"/>
    <n v="2420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5"/>
    <x v="0"/>
    <x v="0"/>
    <x v="0"/>
    <n v="0"/>
    <n v="0"/>
    <n v="0"/>
    <n v="0"/>
    <n v="2504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5"/>
    <x v="0"/>
    <x v="1"/>
    <x v="0"/>
    <n v="0"/>
    <n v="0"/>
    <n v="0"/>
    <n v="0"/>
    <n v="2504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5"/>
    <x v="0"/>
    <x v="2"/>
    <x v="0"/>
    <n v="1.8669068192460201"/>
    <n v="0.35112895172354802"/>
    <n v="0.24872380162798199"/>
    <n v="15.133604010751901"/>
    <n v="2504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5"/>
    <x v="0"/>
    <x v="3"/>
    <x v="0"/>
    <n v="0"/>
    <n v="0"/>
    <n v="0"/>
    <n v="0"/>
    <n v="2504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5"/>
    <x v="0"/>
    <x v="4"/>
    <x v="0"/>
    <n v="0.63252530943820695"/>
    <n v="3E+20"/>
    <n v="0.21624754011895"/>
    <n v="1.5512023696334201"/>
    <n v="2504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5"/>
    <x v="0"/>
    <x v="5"/>
    <x v="0"/>
    <n v="1.2343815098078199"/>
    <n v="0.34867589792709502"/>
    <n v="0"/>
    <n v="14.607905646756601"/>
    <n v="2504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6"/>
    <x v="0"/>
    <x v="0"/>
    <x v="0"/>
    <n v="0"/>
    <n v="0"/>
    <n v="0"/>
    <n v="0"/>
    <n v="2350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6"/>
    <x v="0"/>
    <x v="1"/>
    <x v="0"/>
    <n v="0"/>
    <n v="0"/>
    <n v="0"/>
    <n v="0"/>
    <n v="2350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6"/>
    <x v="0"/>
    <x v="2"/>
    <x v="0"/>
    <n v="1.37883858039588"/>
    <n v="0.19569383168662799"/>
    <n v="0.26669007181510601"/>
    <n v="10.460423694364501"/>
    <n v="2350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6"/>
    <x v="0"/>
    <x v="3"/>
    <x v="0"/>
    <n v="0"/>
    <n v="0"/>
    <n v="0"/>
    <n v="0"/>
    <n v="2350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6"/>
    <x v="0"/>
    <x v="4"/>
    <x v="0"/>
    <n v="0.63794252857376499"/>
    <n v="1.0010309760943499E-2"/>
    <n v="0.22163147016090101"/>
    <n v="1.58901720882542"/>
    <n v="2350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6"/>
    <x v="0"/>
    <x v="5"/>
    <x v="0"/>
    <n v="0.74089605182210905"/>
    <n v="0.19157375122148301"/>
    <n v="0"/>
    <n v="9.8950223480855506"/>
    <n v="2350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7"/>
    <x v="0"/>
    <x v="0"/>
    <x v="0"/>
    <n v="0"/>
    <n v="0"/>
    <n v="0"/>
    <n v="0"/>
    <n v="2414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7"/>
    <x v="0"/>
    <x v="1"/>
    <x v="0"/>
    <n v="0"/>
    <n v="0"/>
    <n v="0"/>
    <n v="0"/>
    <n v="2414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7"/>
    <x v="0"/>
    <x v="2"/>
    <x v="0"/>
    <n v="2.06387223343107"/>
    <n v="0.57167525624932802"/>
    <n v="0.254713097965521"/>
    <n v="22.955794108810998"/>
    <n v="2414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7"/>
    <x v="0"/>
    <x v="3"/>
    <x v="0"/>
    <n v="0"/>
    <n v="0"/>
    <n v="0"/>
    <n v="0"/>
    <n v="2414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7"/>
    <x v="0"/>
    <x v="4"/>
    <x v="0"/>
    <n v="0.64246554023518698"/>
    <n v="1.2957409116188E-2"/>
    <n v="0.23259053494635401"/>
    <n v="1.5453958274611399"/>
    <n v="2414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7"/>
    <x v="0"/>
    <x v="5"/>
    <x v="0"/>
    <n v="1.42140669319588"/>
    <n v="0.57457809232825297"/>
    <n v="0"/>
    <n v="22.561154385941101"/>
    <n v="2414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8"/>
    <x v="0"/>
    <x v="0"/>
    <x v="0"/>
    <n v="0"/>
    <n v="0"/>
    <n v="0"/>
    <n v="0"/>
    <n v="2339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8"/>
    <x v="0"/>
    <x v="1"/>
    <x v="0"/>
    <n v="0"/>
    <n v="0"/>
    <n v="0"/>
    <n v="0"/>
    <n v="2339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8"/>
    <x v="0"/>
    <x v="2"/>
    <x v="0"/>
    <n v="1.60827089837508"/>
    <n v="0.26517449667618898"/>
    <n v="0.27535644402513498"/>
    <n v="11.369615117517601"/>
    <n v="2339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8"/>
    <x v="0"/>
    <x v="3"/>
    <x v="0"/>
    <n v="0"/>
    <n v="0"/>
    <n v="0"/>
    <n v="0"/>
    <n v="2339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8"/>
    <x v="0"/>
    <x v="4"/>
    <x v="0"/>
    <n v="0.64099992741821998"/>
    <n v="1.2491986991203199E-2"/>
    <n v="0.22644285815692899"/>
    <n v="1.56565028516866"/>
    <n v="2339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8"/>
    <x v="0"/>
    <x v="5"/>
    <x v="0"/>
    <n v="0.96727097095685799"/>
    <n v="0.265325898971011"/>
    <n v="0"/>
    <n v="10.963434696895"/>
    <n v="2339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29"/>
    <x v="0"/>
    <x v="0"/>
    <x v="0"/>
    <n v="0"/>
    <n v="0"/>
    <n v="0"/>
    <n v="0"/>
    <n v="2440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9"/>
    <x v="0"/>
    <x v="1"/>
    <x v="0"/>
    <n v="0"/>
    <n v="0"/>
    <n v="0"/>
    <n v="0"/>
    <n v="2440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9"/>
    <x v="0"/>
    <x v="2"/>
    <x v="0"/>
    <n v="1.62322746355013"/>
    <n v="3E+20"/>
    <n v="0.264062188716366"/>
    <n v="23.5430291492147"/>
    <n v="2440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9"/>
    <x v="0"/>
    <x v="3"/>
    <x v="0"/>
    <n v="0"/>
    <n v="0"/>
    <n v="0"/>
    <n v="0"/>
    <n v="2440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29"/>
    <x v="0"/>
    <x v="4"/>
    <x v="0"/>
    <n v="0.62771327333248605"/>
    <n v="8.7162120361059404E-3"/>
    <n v="0.22675398032996"/>
    <n v="1.54368548908866"/>
    <n v="2440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29"/>
    <x v="0"/>
    <x v="5"/>
    <x v="0"/>
    <n v="0.99551419021764198"/>
    <n v="3E+20"/>
    <n v="0"/>
    <n v="22.98766664547"/>
    <n v="2440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0"/>
    <x v="0"/>
    <x v="0"/>
    <x v="0"/>
    <n v="0"/>
    <n v="0"/>
    <n v="0"/>
    <n v="0"/>
    <n v="2416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0"/>
    <x v="0"/>
    <x v="1"/>
    <x v="0"/>
    <n v="0"/>
    <n v="0"/>
    <n v="0"/>
    <n v="0"/>
    <n v="2416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0"/>
    <x v="0"/>
    <x v="2"/>
    <x v="0"/>
    <n v="1.74095527196454"/>
    <n v="3E+20"/>
    <n v="0.25317126017483799"/>
    <n v="19.533541523756899"/>
    <n v="2416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0"/>
    <x v="0"/>
    <x v="3"/>
    <x v="0"/>
    <n v="0"/>
    <n v="0"/>
    <n v="0"/>
    <n v="0"/>
    <n v="2416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0"/>
    <x v="0"/>
    <x v="4"/>
    <x v="0"/>
    <n v="0.63635545743186195"/>
    <n v="1.1735000669970099E-2"/>
    <n v="0.22559864507763899"/>
    <n v="1.53916577788124"/>
    <n v="2416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0"/>
    <x v="0"/>
    <x v="5"/>
    <x v="0"/>
    <n v="1.1045998145326801"/>
    <n v="3E+20"/>
    <n v="0"/>
    <n v="19.077497712210501"/>
    <n v="2416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1"/>
    <x v="0"/>
    <x v="0"/>
    <x v="0"/>
    <n v="0"/>
    <n v="0"/>
    <n v="0"/>
    <n v="0"/>
    <n v="2344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1"/>
    <x v="0"/>
    <x v="1"/>
    <x v="0"/>
    <n v="0"/>
    <n v="0"/>
    <n v="0"/>
    <n v="0"/>
    <n v="2344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1"/>
    <x v="0"/>
    <x v="2"/>
    <x v="0"/>
    <n v="1.2189608124892199"/>
    <n v="0.14489808483758501"/>
    <n v="0.235540746690624"/>
    <n v="10.5148892281978"/>
    <n v="2344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1"/>
    <x v="0"/>
    <x v="3"/>
    <x v="0"/>
    <n v="0"/>
    <n v="0"/>
    <n v="0"/>
    <n v="0"/>
    <n v="2344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1"/>
    <x v="0"/>
    <x v="4"/>
    <x v="0"/>
    <n v="0.63068249372138196"/>
    <n v="1.22808866016438E-2"/>
    <n v="0.22449073441680401"/>
    <n v="1.5279800180429099"/>
    <n v="2344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1"/>
    <x v="0"/>
    <x v="5"/>
    <x v="0"/>
    <n v="0.58827831876784298"/>
    <n v="0.142383901494059"/>
    <n v="0"/>
    <n v="10.0860973824902"/>
    <n v="2344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2"/>
    <x v="0"/>
    <x v="0"/>
    <x v="0"/>
    <n v="0"/>
    <n v="0"/>
    <n v="0"/>
    <n v="0"/>
    <n v="2331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2"/>
    <x v="0"/>
    <x v="1"/>
    <x v="0"/>
    <n v="0"/>
    <n v="0"/>
    <n v="0"/>
    <n v="0"/>
    <n v="2331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2"/>
    <x v="0"/>
    <x v="2"/>
    <x v="0"/>
    <n v="1.2864924362621499"/>
    <n v="0.14879511694414399"/>
    <n v="0.23018746572927301"/>
    <n v="11.749548532490101"/>
    <n v="2331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2"/>
    <x v="0"/>
    <x v="3"/>
    <x v="0"/>
    <n v="0"/>
    <n v="0"/>
    <n v="0"/>
    <n v="0"/>
    <n v="2331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2"/>
    <x v="0"/>
    <x v="4"/>
    <x v="0"/>
    <n v="0.64452003514622502"/>
    <n v="1.3123721763838501E-2"/>
    <n v="0.23018746572927301"/>
    <n v="1.5496264333860099"/>
    <n v="2331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2"/>
    <x v="0"/>
    <x v="5"/>
    <x v="0"/>
    <n v="0.64197240111592102"/>
    <n v="0.14661569720307499"/>
    <n v="0"/>
    <n v="11.3815978892868"/>
    <n v="2331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3"/>
    <x v="0"/>
    <x v="0"/>
    <x v="0"/>
    <n v="0"/>
    <n v="0"/>
    <n v="0"/>
    <n v="0"/>
    <n v="2414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3"/>
    <x v="0"/>
    <x v="1"/>
    <x v="0"/>
    <n v="0"/>
    <n v="0"/>
    <n v="0"/>
    <n v="0"/>
    <n v="2414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3"/>
    <x v="0"/>
    <x v="2"/>
    <x v="0"/>
    <n v="1.39613516729193"/>
    <n v="0.18405682165880899"/>
    <n v="0.246016273962709"/>
    <n v="10.6142811553326"/>
    <n v="2414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3"/>
    <x v="0"/>
    <x v="3"/>
    <x v="0"/>
    <n v="0"/>
    <n v="0"/>
    <n v="0"/>
    <n v="0"/>
    <n v="2414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3"/>
    <x v="0"/>
    <x v="4"/>
    <x v="0"/>
    <n v="0.634440321227147"/>
    <n v="1.1376710549458E-2"/>
    <n v="0.24568975232818999"/>
    <n v="1.5134749540174"/>
    <n v="2414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3"/>
    <x v="0"/>
    <x v="5"/>
    <x v="0"/>
    <n v="0.761694846064778"/>
    <n v="0.17982512330449699"/>
    <n v="0"/>
    <n v="10.171091633084"/>
    <n v="2414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4"/>
    <x v="0"/>
    <x v="0"/>
    <x v="0"/>
    <n v="0"/>
    <n v="0"/>
    <n v="0"/>
    <n v="0"/>
    <n v="2412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4"/>
    <x v="0"/>
    <x v="1"/>
    <x v="0"/>
    <n v="0"/>
    <n v="0"/>
    <n v="0"/>
    <n v="0"/>
    <n v="2412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4"/>
    <x v="0"/>
    <x v="2"/>
    <x v="0"/>
    <n v="1.46454755903288"/>
    <n v="0.27465390096683601"/>
    <n v="0.26885543374333998"/>
    <n v="17.730339065876802"/>
    <n v="2412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4"/>
    <x v="0"/>
    <x v="3"/>
    <x v="0"/>
    <n v="0"/>
    <n v="0"/>
    <n v="0"/>
    <n v="0"/>
    <n v="2412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4"/>
    <x v="0"/>
    <x v="4"/>
    <x v="0"/>
    <n v="0.63121709768971901"/>
    <n v="1.2435497289459099E-2"/>
    <n v="0.237077872110007"/>
    <n v="1.5809501284135199"/>
    <n v="2412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4"/>
    <x v="0"/>
    <x v="5"/>
    <x v="0"/>
    <n v="0.83333046134316102"/>
    <n v="0.27307566021195401"/>
    <n v="0"/>
    <n v="17.304532129059101"/>
    <n v="2412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5"/>
    <x v="0"/>
    <x v="0"/>
    <x v="0"/>
    <n v="0"/>
    <n v="0"/>
    <n v="0"/>
    <n v="0"/>
    <n v="2436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5"/>
    <x v="0"/>
    <x v="1"/>
    <x v="0"/>
    <n v="0"/>
    <n v="0"/>
    <n v="0"/>
    <n v="0"/>
    <n v="2436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5"/>
    <x v="0"/>
    <x v="2"/>
    <x v="0"/>
    <n v="1.3703574372540399"/>
    <n v="0.19413262448975499"/>
    <n v="0.24786367069259499"/>
    <n v="13.7369407914641"/>
    <n v="2436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5"/>
    <x v="0"/>
    <x v="3"/>
    <x v="0"/>
    <n v="0"/>
    <n v="0"/>
    <n v="0"/>
    <n v="0"/>
    <n v="2436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5"/>
    <x v="0"/>
    <x v="4"/>
    <x v="0"/>
    <n v="0.62541854041178302"/>
    <n v="9.4651690135781601E-3"/>
    <n v="0.22626935468918"/>
    <n v="1.57709260516094"/>
    <n v="2436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5"/>
    <x v="0"/>
    <x v="5"/>
    <x v="0"/>
    <n v="0.74493889684225401"/>
    <n v="0.19353221409812599"/>
    <n v="0"/>
    <n v="13.2942085569052"/>
    <n v="2436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6"/>
    <x v="0"/>
    <x v="0"/>
    <x v="0"/>
    <n v="0"/>
    <n v="0"/>
    <n v="0"/>
    <n v="0"/>
    <n v="2393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6"/>
    <x v="0"/>
    <x v="1"/>
    <x v="0"/>
    <n v="0"/>
    <n v="0"/>
    <n v="0"/>
    <n v="0"/>
    <n v="2393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6"/>
    <x v="0"/>
    <x v="2"/>
    <x v="0"/>
    <n v="1.21830768607881"/>
    <n v="0.123333552213824"/>
    <n v="0.25267791701713799"/>
    <n v="8.7766043892596599"/>
    <n v="2393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6"/>
    <x v="0"/>
    <x v="3"/>
    <x v="0"/>
    <n v="0"/>
    <n v="0"/>
    <n v="0"/>
    <n v="0"/>
    <n v="2393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6"/>
    <x v="0"/>
    <x v="4"/>
    <x v="0"/>
    <n v="0.63399514304266202"/>
    <n v="1.3370120716038599E-2"/>
    <n v="0.207099599537585"/>
    <n v="1.55078414169964"/>
    <n v="2393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6"/>
    <x v="0"/>
    <x v="5"/>
    <x v="0"/>
    <n v="0.58431254303614699"/>
    <n v="0.122255872204711"/>
    <n v="0"/>
    <n v="8.3881460223777804"/>
    <n v="2393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7"/>
    <x v="0"/>
    <x v="0"/>
    <x v="0"/>
    <n v="0"/>
    <n v="0"/>
    <n v="0"/>
    <n v="0"/>
    <n v="2409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7"/>
    <x v="0"/>
    <x v="1"/>
    <x v="0"/>
    <n v="0"/>
    <n v="0"/>
    <n v="0"/>
    <n v="0"/>
    <n v="2409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7"/>
    <x v="0"/>
    <x v="2"/>
    <x v="0"/>
    <n v="1.6815804756222701"/>
    <n v="3E+20"/>
    <n v="0.240195896727016"/>
    <n v="25.838501022951501"/>
    <n v="2409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7"/>
    <x v="0"/>
    <x v="3"/>
    <x v="0"/>
    <n v="0"/>
    <n v="0"/>
    <n v="0"/>
    <n v="0"/>
    <n v="2409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7"/>
    <x v="0"/>
    <x v="4"/>
    <x v="0"/>
    <n v="0.63376629200343804"/>
    <n v="1.38363019489456E-2"/>
    <n v="0.23649552964985801"/>
    <n v="1.5462050772792999"/>
    <n v="2409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7"/>
    <x v="0"/>
    <x v="5"/>
    <x v="0"/>
    <n v="1.0478141836188299"/>
    <n v="3E+20"/>
    <n v="0"/>
    <n v="25.386798754721799"/>
    <n v="2409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8"/>
    <x v="0"/>
    <x v="0"/>
    <x v="0"/>
    <n v="0"/>
    <n v="0"/>
    <n v="0"/>
    <n v="0"/>
    <n v="2407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8"/>
    <x v="0"/>
    <x v="1"/>
    <x v="0"/>
    <n v="0"/>
    <n v="0"/>
    <n v="0"/>
    <n v="0"/>
    <n v="2407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8"/>
    <x v="0"/>
    <x v="2"/>
    <x v="0"/>
    <n v="1.41262294715223"/>
    <n v="0.197370449662993"/>
    <n v="0.23788649934084599"/>
    <n v="14.375775347160999"/>
    <n v="2407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8"/>
    <x v="0"/>
    <x v="3"/>
    <x v="0"/>
    <n v="0"/>
    <n v="0"/>
    <n v="0"/>
    <n v="0"/>
    <n v="2407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8"/>
    <x v="0"/>
    <x v="4"/>
    <x v="0"/>
    <n v="0.63450079579154195"/>
    <n v="1.11075837464791E-2"/>
    <n v="0.23037728189592599"/>
    <n v="1.5592639660715699"/>
    <n v="2407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8"/>
    <x v="0"/>
    <x v="5"/>
    <x v="0"/>
    <n v="0.77812215136069096"/>
    <n v="0.197954626780669"/>
    <n v="0"/>
    <n v="14.036465061938999"/>
    <n v="2407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39"/>
    <x v="0"/>
    <x v="0"/>
    <x v="0"/>
    <n v="0"/>
    <n v="0"/>
    <n v="0"/>
    <n v="0"/>
    <n v="2400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9"/>
    <x v="0"/>
    <x v="1"/>
    <x v="0"/>
    <n v="0"/>
    <n v="0"/>
    <n v="0"/>
    <n v="0"/>
    <n v="2400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9"/>
    <x v="0"/>
    <x v="2"/>
    <x v="0"/>
    <n v="1.24029061995464"/>
    <n v="0.102355640921583"/>
    <n v="0.22971885375182"/>
    <n v="7.5706155695615402"/>
    <n v="2400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9"/>
    <x v="0"/>
    <x v="3"/>
    <x v="0"/>
    <n v="0"/>
    <n v="0"/>
    <n v="0"/>
    <n v="0"/>
    <n v="2400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39"/>
    <x v="0"/>
    <x v="4"/>
    <x v="0"/>
    <n v="0.634007558219288"/>
    <n v="1.0621766747144301E-2"/>
    <n v="0.21888096981894001"/>
    <n v="1.5579367239951101"/>
    <n v="2400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39"/>
    <x v="0"/>
    <x v="5"/>
    <x v="0"/>
    <n v="0.60628306173534596"/>
    <n v="9.8707707654308197E-2"/>
    <n v="0"/>
    <n v="7.1435050219068899"/>
    <n v="2400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0"/>
    <x v="0"/>
    <x v="0"/>
    <x v="0"/>
    <n v="0"/>
    <n v="0"/>
    <n v="0"/>
    <n v="0"/>
    <n v="2378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0"/>
    <x v="0"/>
    <x v="1"/>
    <x v="0"/>
    <n v="0"/>
    <n v="0"/>
    <n v="0"/>
    <n v="0"/>
    <n v="2378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0"/>
    <x v="0"/>
    <x v="2"/>
    <x v="0"/>
    <n v="1.3315453444355201"/>
    <n v="3E+20"/>
    <n v="0.23885971800285699"/>
    <n v="14.5456892848898"/>
    <n v="2378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0"/>
    <x v="0"/>
    <x v="3"/>
    <x v="0"/>
    <n v="0"/>
    <n v="0"/>
    <n v="0"/>
    <n v="0"/>
    <n v="2378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0"/>
    <x v="0"/>
    <x v="4"/>
    <x v="0"/>
    <n v="0.631181037528047"/>
    <n v="1.2111802347504299E-2"/>
    <n v="0.23885971800285699"/>
    <n v="1.54986673647011"/>
    <n v="2378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0"/>
    <x v="0"/>
    <x v="5"/>
    <x v="0"/>
    <n v="0.70036430690747198"/>
    <n v="3E+20"/>
    <n v="0"/>
    <n v="13.945092025807"/>
    <n v="2378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1"/>
    <x v="0"/>
    <x v="0"/>
    <x v="0"/>
    <n v="0"/>
    <n v="0"/>
    <n v="0"/>
    <n v="0"/>
    <n v="2335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1"/>
    <x v="0"/>
    <x v="1"/>
    <x v="0"/>
    <n v="0"/>
    <n v="0"/>
    <n v="0"/>
    <n v="0"/>
    <n v="2335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1"/>
    <x v="0"/>
    <x v="2"/>
    <x v="0"/>
    <n v="1.31070450560719"/>
    <n v="0.204042606942649"/>
    <n v="0.231158987675258"/>
    <n v="12.758218320237001"/>
    <n v="2335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1"/>
    <x v="0"/>
    <x v="3"/>
    <x v="0"/>
    <n v="0"/>
    <n v="0"/>
    <n v="0"/>
    <n v="0"/>
    <n v="2335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1"/>
    <x v="0"/>
    <x v="4"/>
    <x v="0"/>
    <n v="0.63479825023405201"/>
    <n v="1.1249270237789899E-2"/>
    <n v="0.218493438563996"/>
    <n v="1.5658119214538899"/>
    <n v="2335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1"/>
    <x v="0"/>
    <x v="5"/>
    <x v="0"/>
    <n v="0.67590625537313997"/>
    <n v="0.20204799189243"/>
    <n v="0"/>
    <n v="12.4666541367666"/>
    <n v="2335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2"/>
    <x v="0"/>
    <x v="0"/>
    <x v="0"/>
    <n v="0"/>
    <n v="0"/>
    <n v="0"/>
    <n v="0"/>
    <n v="2421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2"/>
    <x v="0"/>
    <x v="1"/>
    <x v="0"/>
    <n v="0"/>
    <n v="0"/>
    <n v="0"/>
    <n v="0"/>
    <n v="2421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2"/>
    <x v="0"/>
    <x v="2"/>
    <x v="0"/>
    <n v="1.4093685831470899"/>
    <n v="3E+20"/>
    <n v="0.27286426164494099"/>
    <n v="15.4434518189065"/>
    <n v="2421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2"/>
    <x v="0"/>
    <x v="3"/>
    <x v="0"/>
    <n v="0"/>
    <n v="0"/>
    <n v="0"/>
    <n v="0"/>
    <n v="2421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2"/>
    <x v="0"/>
    <x v="4"/>
    <x v="0"/>
    <n v="0.62319357082308402"/>
    <n v="3E+20"/>
    <n v="0.234216268599653"/>
    <n v="1.5718712749341499"/>
    <n v="2421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2"/>
    <x v="0"/>
    <x v="5"/>
    <x v="0"/>
    <n v="0.786175012324005"/>
    <n v="3E+20"/>
    <n v="0"/>
    <n v="15.103764369289699"/>
    <n v="2421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3"/>
    <x v="0"/>
    <x v="0"/>
    <x v="0"/>
    <n v="0"/>
    <n v="0"/>
    <n v="0"/>
    <n v="0"/>
    <n v="2363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3"/>
    <x v="0"/>
    <x v="1"/>
    <x v="0"/>
    <n v="0"/>
    <n v="0"/>
    <n v="0"/>
    <n v="0"/>
    <n v="2363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3"/>
    <x v="0"/>
    <x v="2"/>
    <x v="0"/>
    <n v="1.4104262520833299"/>
    <n v="3E+20"/>
    <n v="0.24585752805967301"/>
    <n v="13.518838976587"/>
    <n v="2363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3"/>
    <x v="0"/>
    <x v="3"/>
    <x v="0"/>
    <n v="0"/>
    <n v="0"/>
    <n v="0"/>
    <n v="0"/>
    <n v="2363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3"/>
    <x v="0"/>
    <x v="4"/>
    <x v="0"/>
    <n v="0.63285318443784599"/>
    <n v="9.4957417074081896E-3"/>
    <n v="0.22999436193038"/>
    <n v="1.5910602431404199"/>
    <n v="2363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3"/>
    <x v="0"/>
    <x v="5"/>
    <x v="0"/>
    <n v="0.77757306764548495"/>
    <n v="3E+20"/>
    <n v="0"/>
    <n v="12.889516356199399"/>
    <n v="2363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4"/>
    <x v="0"/>
    <x v="0"/>
    <x v="0"/>
    <n v="0"/>
    <n v="0"/>
    <n v="0"/>
    <n v="0"/>
    <n v="2339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4"/>
    <x v="0"/>
    <x v="1"/>
    <x v="0"/>
    <n v="0"/>
    <n v="0"/>
    <n v="0"/>
    <n v="0"/>
    <n v="2339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4"/>
    <x v="0"/>
    <x v="2"/>
    <x v="0"/>
    <n v="1.2718915560381501"/>
    <n v="0.147268572357931"/>
    <n v="0.27501313414586498"/>
    <n v="10.548453602206701"/>
    <n v="2339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4"/>
    <x v="0"/>
    <x v="3"/>
    <x v="0"/>
    <n v="0"/>
    <n v="0"/>
    <n v="0"/>
    <n v="0"/>
    <n v="2339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4"/>
    <x v="0"/>
    <x v="4"/>
    <x v="0"/>
    <n v="0.63362208475852699"/>
    <n v="1.0806328786110301E-2"/>
    <n v="0.22486979849327299"/>
    <n v="1.5590144139370199"/>
    <n v="2339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4"/>
    <x v="0"/>
    <x v="5"/>
    <x v="0"/>
    <n v="0.63826947127961997"/>
    <n v="0.146744262473331"/>
    <n v="0"/>
    <n v="10.0620030411724"/>
    <n v="2339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5"/>
    <x v="0"/>
    <x v="0"/>
    <x v="0"/>
    <n v="0"/>
    <n v="0"/>
    <n v="0"/>
    <n v="0"/>
    <n v="2434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5"/>
    <x v="0"/>
    <x v="1"/>
    <x v="0"/>
    <n v="0"/>
    <n v="0"/>
    <n v="0"/>
    <n v="0"/>
    <n v="2434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5"/>
    <x v="0"/>
    <x v="2"/>
    <x v="0"/>
    <n v="1.4029710145827901"/>
    <n v="0.211073628443574"/>
    <n v="0.242929417660775"/>
    <n v="11.3052200021875"/>
    <n v="2434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5"/>
    <x v="0"/>
    <x v="3"/>
    <x v="0"/>
    <n v="0"/>
    <n v="0"/>
    <n v="0"/>
    <n v="0"/>
    <n v="2434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5"/>
    <x v="0"/>
    <x v="4"/>
    <x v="0"/>
    <n v="0.62597096118104001"/>
    <n v="3E+20"/>
    <n v="0.206656846826718"/>
    <n v="1.58542891481758"/>
    <n v="2434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5"/>
    <x v="0"/>
    <x v="5"/>
    <x v="0"/>
    <n v="0.77700005340174405"/>
    <n v="0.212835444420055"/>
    <n v="0"/>
    <n v="10.843649403675601"/>
    <n v="2434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6"/>
    <x v="0"/>
    <x v="0"/>
    <x v="0"/>
    <n v="0"/>
    <n v="0"/>
    <n v="0"/>
    <n v="0"/>
    <n v="2429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6"/>
    <x v="0"/>
    <x v="1"/>
    <x v="0"/>
    <n v="0"/>
    <n v="0"/>
    <n v="0"/>
    <n v="0"/>
    <n v="2429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6"/>
    <x v="0"/>
    <x v="2"/>
    <x v="0"/>
    <n v="1.4988282406831199"/>
    <n v="3E+20"/>
    <n v="0.25740903482147798"/>
    <n v="13.274833947345099"/>
    <n v="2429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6"/>
    <x v="0"/>
    <x v="3"/>
    <x v="0"/>
    <n v="0"/>
    <n v="0"/>
    <n v="0"/>
    <n v="0"/>
    <n v="2429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6"/>
    <x v="0"/>
    <x v="4"/>
    <x v="0"/>
    <n v="0.63040146954681098"/>
    <n v="1.22817102688521E-2"/>
    <n v="0.21011364257788001"/>
    <n v="1.5655964972007701"/>
    <n v="2429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6"/>
    <x v="0"/>
    <x v="5"/>
    <x v="0"/>
    <n v="0.86842677113630995"/>
    <n v="3E+20"/>
    <n v="0"/>
    <n v="12.692403519834899"/>
    <n v="2429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7"/>
    <x v="0"/>
    <x v="0"/>
    <x v="0"/>
    <n v="0"/>
    <n v="0"/>
    <n v="0"/>
    <n v="0"/>
    <n v="2450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7"/>
    <x v="0"/>
    <x v="1"/>
    <x v="0"/>
    <n v="0"/>
    <n v="0"/>
    <n v="0"/>
    <n v="0"/>
    <n v="2450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7"/>
    <x v="0"/>
    <x v="2"/>
    <x v="0"/>
    <n v="1.6715362898562001"/>
    <n v="3E+20"/>
    <n v="0.248490123703277"/>
    <n v="24.642408099828401"/>
    <n v="2450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7"/>
    <x v="0"/>
    <x v="3"/>
    <x v="0"/>
    <n v="0"/>
    <n v="0"/>
    <n v="0"/>
    <n v="0"/>
    <n v="2450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7"/>
    <x v="0"/>
    <x v="4"/>
    <x v="0"/>
    <n v="0.62899096145131195"/>
    <n v="1.2368324129796601E-2"/>
    <n v="0.23837595009592899"/>
    <n v="1.57088833727698"/>
    <n v="2450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7"/>
    <x v="0"/>
    <x v="5"/>
    <x v="0"/>
    <n v="1.04254532840489"/>
    <n v="3E+20"/>
    <n v="0"/>
    <n v="24.241349171041801"/>
    <n v="2450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8"/>
    <x v="0"/>
    <x v="0"/>
    <x v="0"/>
    <n v="0"/>
    <n v="0"/>
    <n v="0"/>
    <n v="0"/>
    <n v="2413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8"/>
    <x v="0"/>
    <x v="1"/>
    <x v="0"/>
    <n v="0"/>
    <n v="0"/>
    <n v="0"/>
    <n v="0"/>
    <n v="2413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8"/>
    <x v="0"/>
    <x v="2"/>
    <x v="0"/>
    <n v="1.32921062936687"/>
    <n v="0.22382798837387999"/>
    <n v="0.231873147989063"/>
    <n v="14.8474430211882"/>
    <n v="2413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8"/>
    <x v="0"/>
    <x v="3"/>
    <x v="0"/>
    <n v="0"/>
    <n v="0"/>
    <n v="0"/>
    <n v="0"/>
    <n v="2413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8"/>
    <x v="0"/>
    <x v="4"/>
    <x v="0"/>
    <n v="0.62969512594589305"/>
    <n v="1.2981723039055299E-2"/>
    <n v="0.231873147989063"/>
    <n v="1.57745961460603"/>
    <n v="2413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8"/>
    <x v="0"/>
    <x v="5"/>
    <x v="0"/>
    <n v="0.69951550342098001"/>
    <n v="0.21924906306285399"/>
    <n v="0"/>
    <n v="14.426057510744499"/>
    <n v="2413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49"/>
    <x v="0"/>
    <x v="0"/>
    <x v="0"/>
    <n v="0"/>
    <n v="0"/>
    <n v="0"/>
    <n v="0"/>
    <n v="2385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9"/>
    <x v="0"/>
    <x v="1"/>
    <x v="0"/>
    <n v="0"/>
    <n v="0"/>
    <n v="0"/>
    <n v="0"/>
    <n v="2385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9"/>
    <x v="0"/>
    <x v="2"/>
    <x v="0"/>
    <n v="1.4165043639487001"/>
    <n v="0.20992983757747899"/>
    <n v="0.22914863277776501"/>
    <n v="12.295049315713101"/>
    <n v="2385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9"/>
    <x v="0"/>
    <x v="3"/>
    <x v="0"/>
    <n v="0"/>
    <n v="0"/>
    <n v="0"/>
    <n v="0"/>
    <n v="2385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49"/>
    <x v="0"/>
    <x v="4"/>
    <x v="0"/>
    <n v="0.63454245523786101"/>
    <n v="1.17830903776563E-2"/>
    <n v="0.22914863277776501"/>
    <n v="1.5687777921322901"/>
    <n v="2385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49"/>
    <x v="0"/>
    <x v="5"/>
    <x v="0"/>
    <n v="0.78196190871083904"/>
    <n v="0.206537910038395"/>
    <n v="0"/>
    <n v="11.8456561494501"/>
    <n v="2385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50"/>
    <x v="0"/>
    <x v="0"/>
    <x v="0"/>
    <n v="0"/>
    <n v="0"/>
    <n v="0"/>
    <n v="0"/>
    <n v="2431"/>
    <s v="PacientesEntity 1NVA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50"/>
    <x v="0"/>
    <x v="1"/>
    <x v="0"/>
    <n v="0"/>
    <n v="0"/>
    <n v="0"/>
    <n v="0"/>
    <n v="2431"/>
    <s v="PacientesEntity 1Oth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50"/>
    <x v="0"/>
    <x v="2"/>
    <x v="0"/>
    <n v="1.7689298518047201"/>
    <n v="3E+20"/>
    <n v="0.23986953287840199"/>
    <n v="19.1491845365926"/>
    <n v="2431"/>
    <s v="PacientesEntity 1Total TimeEntity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50"/>
    <x v="0"/>
    <x v="3"/>
    <x v="0"/>
    <n v="0"/>
    <n v="0"/>
    <n v="0"/>
    <n v="0"/>
    <n v="2431"/>
    <s v="PacientesEntity 1Transfer TimeEntity"/>
    <n v="50"/>
    <n v="0"/>
    <n v="0"/>
    <n v="0.95"/>
    <n v="0"/>
    <n v="0"/>
    <n v="0"/>
    <n v="0"/>
    <n v="0"/>
    <n v="2400.2800000000002"/>
    <n v="0"/>
    <n v="50"/>
    <n v="1"/>
  </r>
  <r>
    <x v="0"/>
    <s v="2025-05-22 00:30:31"/>
    <n v="50"/>
    <x v="0"/>
    <x v="4"/>
    <x v="0"/>
    <n v="0.63019204465101197"/>
    <n v="1.42947575236172E-2"/>
    <n v="0.23060976486681301"/>
    <n v="1.5367657655886"/>
    <n v="2431"/>
    <s v="PacientesEntity 1VA TimeEntity"/>
    <n v="50"/>
    <n v="0.63333757112184219"/>
    <n v="4.4927606057736597E-3"/>
    <n v="0.95"/>
    <n v="1.276828436655964E-3"/>
    <n v="0.62319357082308402"/>
    <n v="0.64452003514622502"/>
    <n v="0.203133309337034"/>
    <n v="1.5939517145847"/>
    <n v="2400.2800000000002"/>
    <n v="1.276828436655964E-3"/>
    <n v="50"/>
    <n v="1"/>
  </r>
  <r>
    <x v="0"/>
    <s v="2025-05-22 00:30:31"/>
    <n v="50"/>
    <x v="0"/>
    <x v="5"/>
    <x v="0"/>
    <n v="1.13873780715371"/>
    <n v="3E+20"/>
    <n v="0"/>
    <n v="18.776916858284899"/>
    <n v="2431"/>
    <s v="PacientesEntity 1Wait TimeEntity"/>
    <n v="50"/>
    <n v="0.86965903596573602"/>
    <n v="0.21433022753287986"/>
    <n v="0.95"/>
    <n v="6.0911976702528743E-2"/>
    <n v="0.58431254303614699"/>
    <n v="1.42140669319588"/>
    <n v="0"/>
    <n v="28.983199492767199"/>
    <n v="2400.2800000000002"/>
    <n v="6.0911976702528743E-2"/>
    <n v="50"/>
    <n v="1"/>
  </r>
  <r>
    <x v="0"/>
    <s v="2025-05-22 00:30:31"/>
    <n v="1"/>
    <x v="1"/>
    <x v="6"/>
    <x v="1"/>
    <n v="1.4240124232093501"/>
    <n v="0.32535634117114798"/>
    <n v="0.124268373543032"/>
    <n v="16.936927264534901"/>
    <n v="2423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"/>
    <x v="1"/>
    <x v="7"/>
    <x v="1"/>
    <n v="0.49323834793927002"/>
    <n v="1.55373558625575E-2"/>
    <n v="0.11275453129297799"/>
    <n v="1.57885572992268"/>
    <n v="2423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"/>
    <x v="1"/>
    <x v="8"/>
    <x v="1"/>
    <n v="0.93077407527008005"/>
    <n v="0.32552488192529899"/>
    <n v="0"/>
    <n v="16.752914155724099"/>
    <n v="2423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"/>
    <x v="1"/>
    <x v="6"/>
    <x v="1"/>
    <n v="1.07052465125858"/>
    <n v="3E+20"/>
    <n v="0.109178375090778"/>
    <n v="9.1646277646826206"/>
    <n v="2398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"/>
    <x v="1"/>
    <x v="7"/>
    <x v="1"/>
    <n v="0.48625295562694099"/>
    <n v="1.04454986110754E-2"/>
    <n v="0.109178375090778"/>
    <n v="1.5394248170907201"/>
    <n v="2398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"/>
    <x v="1"/>
    <x v="8"/>
    <x v="1"/>
    <n v="0.58427169563163095"/>
    <n v="3E+20"/>
    <n v="0"/>
    <n v="8.7900931728595104"/>
    <n v="2398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"/>
    <x v="1"/>
    <x v="6"/>
    <x v="1"/>
    <n v="1.1139220420556"/>
    <n v="0.210430122492065"/>
    <n v="0.108065369076854"/>
    <n v="12.351670176330501"/>
    <n v="2361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"/>
    <x v="1"/>
    <x v="7"/>
    <x v="1"/>
    <n v="0.49212418987464301"/>
    <n v="1.1365735372608101E-2"/>
    <n v="0.101748731497707"/>
    <n v="1.50386972809883"/>
    <n v="2361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"/>
    <x v="1"/>
    <x v="8"/>
    <x v="1"/>
    <n v="0.62179785218095496"/>
    <n v="0.20952623487048899"/>
    <n v="0"/>
    <n v="11.9700919824074"/>
    <n v="2361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"/>
    <x v="1"/>
    <x v="6"/>
    <x v="1"/>
    <n v="1.4028125079384"/>
    <n v="0.38803327026048201"/>
    <n v="0.119429277887871"/>
    <n v="19.2497131671118"/>
    <n v="2371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"/>
    <x v="1"/>
    <x v="7"/>
    <x v="1"/>
    <n v="0.49925528118518703"/>
    <n v="1.23741857637054E-2"/>
    <n v="0.112682235921284"/>
    <n v="1.54675827868198"/>
    <n v="2371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"/>
    <x v="1"/>
    <x v="8"/>
    <x v="1"/>
    <n v="0.90355722675321204"/>
    <n v="0.39079442312477403"/>
    <n v="0"/>
    <n v="18.924775423345601"/>
    <n v="2371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5"/>
    <x v="1"/>
    <x v="6"/>
    <x v="1"/>
    <n v="1.1315923981268901"/>
    <n v="3E+20"/>
    <n v="0.11440544179123401"/>
    <n v="14.1474023357365"/>
    <n v="2336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5"/>
    <x v="1"/>
    <x v="7"/>
    <x v="1"/>
    <n v="0.48570280357023599"/>
    <n v="1.31575034956331E-2"/>
    <n v="0.107339686293756"/>
    <n v="1.5589092886503799"/>
    <n v="2336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5"/>
    <x v="1"/>
    <x v="8"/>
    <x v="1"/>
    <n v="0.64588959455665096"/>
    <n v="3E+20"/>
    <n v="0"/>
    <n v="13.9940305381404"/>
    <n v="2336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6"/>
    <x v="1"/>
    <x v="6"/>
    <x v="1"/>
    <n v="1.34199182088411"/>
    <n v="0.25004719510345902"/>
    <n v="0.109358563528531"/>
    <n v="12.183617923257801"/>
    <n v="2504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6"/>
    <x v="1"/>
    <x v="7"/>
    <x v="1"/>
    <n v="0.48841142357568001"/>
    <n v="1.5035549222198101E-2"/>
    <n v="0.109358563528531"/>
    <n v="1.5790046793385999"/>
    <n v="2504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6"/>
    <x v="1"/>
    <x v="8"/>
    <x v="1"/>
    <n v="0.85358039730842605"/>
    <n v="0.25249736668739797"/>
    <n v="0"/>
    <n v="11.995100015942301"/>
    <n v="2504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7"/>
    <x v="1"/>
    <x v="6"/>
    <x v="1"/>
    <n v="1.21916880156992"/>
    <n v="0.21857110158523699"/>
    <n v="0.12088753651128301"/>
    <n v="14.592723724835"/>
    <n v="2394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7"/>
    <x v="1"/>
    <x v="7"/>
    <x v="1"/>
    <n v="0.49547129077021401"/>
    <n v="1.2152956040802999E-2"/>
    <n v="0.119962347798051"/>
    <n v="1.5131609728709901"/>
    <n v="2394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7"/>
    <x v="1"/>
    <x v="8"/>
    <x v="1"/>
    <n v="0.72369751079971301"/>
    <n v="0.21665164939456399"/>
    <n v="0"/>
    <n v="14.3681831855307"/>
    <n v="2394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8"/>
    <x v="1"/>
    <x v="6"/>
    <x v="1"/>
    <n v="1.2155352600626701"/>
    <n v="0.21179960106869"/>
    <n v="0.10260384490715101"/>
    <n v="9.8944889123131201"/>
    <n v="2403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8"/>
    <x v="1"/>
    <x v="7"/>
    <x v="1"/>
    <n v="0.492155477236212"/>
    <n v="1.1634517344510001E-2"/>
    <n v="0.10260384490715101"/>
    <n v="1.5939517145847"/>
    <n v="2403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8"/>
    <x v="1"/>
    <x v="8"/>
    <x v="1"/>
    <n v="0.72337978282646198"/>
    <n v="0.21205206351012901"/>
    <n v="0"/>
    <n v="9.5887786895350793"/>
    <n v="2403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9"/>
    <x v="1"/>
    <x v="6"/>
    <x v="1"/>
    <n v="1.7049057372434699"/>
    <n v="3E+20"/>
    <n v="0.13732100905224301"/>
    <n v="18.511159086152698"/>
    <n v="2429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9"/>
    <x v="1"/>
    <x v="7"/>
    <x v="1"/>
    <n v="0.50171238837585597"/>
    <n v="1.18988661650829E-2"/>
    <n v="0.1031412299061"/>
    <n v="1.5762216879650199"/>
    <n v="2429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9"/>
    <x v="1"/>
    <x v="8"/>
    <x v="1"/>
    <n v="1.2031933488676101"/>
    <n v="3E+20"/>
    <n v="0"/>
    <n v="18.219088962396398"/>
    <n v="2429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0"/>
    <x v="1"/>
    <x v="6"/>
    <x v="1"/>
    <n v="1.47773853032626"/>
    <n v="0.30787985885997998"/>
    <n v="0.127374748372972"/>
    <n v="18.0317948573989"/>
    <n v="2502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0"/>
    <x v="1"/>
    <x v="7"/>
    <x v="1"/>
    <n v="0.48841161803570798"/>
    <n v="1.08171321985402E-2"/>
    <n v="0.112447286517408"/>
    <n v="1.58899663566206"/>
    <n v="2502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0"/>
    <x v="1"/>
    <x v="8"/>
    <x v="1"/>
    <n v="0.98932691229055603"/>
    <n v="0.30757449804164799"/>
    <n v="0"/>
    <n v="17.7238412625919"/>
    <n v="2502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1"/>
    <x v="1"/>
    <x v="6"/>
    <x v="1"/>
    <n v="1.34153330135291"/>
    <n v="0.364459472998935"/>
    <n v="0.13567328621161301"/>
    <n v="17.171373555620701"/>
    <n v="2446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1"/>
    <x v="1"/>
    <x v="7"/>
    <x v="1"/>
    <n v="0.48725416986771802"/>
    <n v="1.2841564068428599E-2"/>
    <n v="0.110427906266523"/>
    <n v="1.5492412223048"/>
    <n v="2446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1"/>
    <x v="1"/>
    <x v="8"/>
    <x v="1"/>
    <n v="0.85427913148518797"/>
    <n v="0.36431983525203598"/>
    <n v="0"/>
    <n v="16.836187242911102"/>
    <n v="2446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2"/>
    <x v="1"/>
    <x v="6"/>
    <x v="1"/>
    <n v="1.50574311020873"/>
    <n v="0.28690317102701901"/>
    <n v="0.134178612152795"/>
    <n v="14.960898394639599"/>
    <n v="2400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2"/>
    <x v="1"/>
    <x v="7"/>
    <x v="1"/>
    <n v="0.50210359559062301"/>
    <n v="1.46413645757468E-2"/>
    <n v="0.112143190153915"/>
    <n v="1.58846123926355"/>
    <n v="2400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2"/>
    <x v="1"/>
    <x v="8"/>
    <x v="1"/>
    <n v="1.0036395146181001"/>
    <n v="0.284871756294098"/>
    <n v="0"/>
    <n v="14.568521981048001"/>
    <n v="2400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3"/>
    <x v="1"/>
    <x v="6"/>
    <x v="1"/>
    <n v="1.21316254096131"/>
    <n v="0.23393305365077999"/>
    <n v="0.110346358717266"/>
    <n v="13.2945385581718"/>
    <n v="2406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3"/>
    <x v="1"/>
    <x v="7"/>
    <x v="1"/>
    <n v="0.49044849308962501"/>
    <n v="1.2281618962880001E-2"/>
    <n v="0.10781235099077"/>
    <n v="1.57001723309213"/>
    <n v="2406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3"/>
    <x v="1"/>
    <x v="8"/>
    <x v="1"/>
    <n v="0.72271404787168603"/>
    <n v="0.23332583148592201"/>
    <n v="0"/>
    <n v="12.9125324924824"/>
    <n v="2406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4"/>
    <x v="1"/>
    <x v="6"/>
    <x v="1"/>
    <n v="1.192095538754"/>
    <n v="3E+20"/>
    <n v="0.11679821193772"/>
    <n v="13.8747812304891"/>
    <n v="2370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4"/>
    <x v="1"/>
    <x v="7"/>
    <x v="1"/>
    <n v="0.49316872168563403"/>
    <n v="3E+20"/>
    <n v="0.10697336067727301"/>
    <n v="1.5623631887578999"/>
    <n v="2370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4"/>
    <x v="1"/>
    <x v="8"/>
    <x v="1"/>
    <n v="0.69892681706836302"/>
    <n v="3E+20"/>
    <n v="0"/>
    <n v="13.693583513401601"/>
    <n v="2370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5"/>
    <x v="1"/>
    <x v="6"/>
    <x v="1"/>
    <n v="1.64052163649941"/>
    <n v="0.366512070030659"/>
    <n v="0.114870600889958"/>
    <n v="15.828915812719501"/>
    <n v="2503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5"/>
    <x v="1"/>
    <x v="7"/>
    <x v="1"/>
    <n v="0.48950266589571401"/>
    <n v="1.34467833187324E-2"/>
    <n v="0.11123558673011"/>
    <n v="1.58304763024844"/>
    <n v="2503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5"/>
    <x v="1"/>
    <x v="8"/>
    <x v="1"/>
    <n v="1.1510189706037"/>
    <n v="0.36549139632508199"/>
    <n v="0"/>
    <n v="15.5377565321104"/>
    <n v="2503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6"/>
    <x v="1"/>
    <x v="6"/>
    <x v="1"/>
    <n v="1.61651678051315"/>
    <n v="3E+20"/>
    <n v="0.118890406431888"/>
    <n v="22.248050695425601"/>
    <n v="2358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6"/>
    <x v="1"/>
    <x v="7"/>
    <x v="1"/>
    <n v="0.49143991903767897"/>
    <n v="9.8728653109119401E-3"/>
    <n v="0.118890406431888"/>
    <n v="1.5404229619316501"/>
    <n v="2358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6"/>
    <x v="1"/>
    <x v="8"/>
    <x v="1"/>
    <n v="1.12507686147547"/>
    <n v="3E+20"/>
    <n v="0"/>
    <n v="21.971451775742299"/>
    <n v="2358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7"/>
    <x v="1"/>
    <x v="6"/>
    <x v="1"/>
    <n v="1.1632602050861001"/>
    <n v="0.206142278890771"/>
    <n v="0.10351618391746301"/>
    <n v="10.4702088204823"/>
    <n v="2381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7"/>
    <x v="1"/>
    <x v="7"/>
    <x v="1"/>
    <n v="0.49328499835990602"/>
    <n v="1.29162956127696E-2"/>
    <n v="0.102972002778529"/>
    <n v="1.5720599353703599"/>
    <n v="2381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7"/>
    <x v="1"/>
    <x v="8"/>
    <x v="1"/>
    <n v="0.66997520672619904"/>
    <n v="0.20724483511729"/>
    <n v="0"/>
    <n v="10.1664870836904"/>
    <n v="2381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8"/>
    <x v="1"/>
    <x v="6"/>
    <x v="1"/>
    <n v="1.0756664215265801"/>
    <n v="0.174314693126491"/>
    <n v="0.12165550632050801"/>
    <n v="8.7615678106697299"/>
    <n v="2349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8"/>
    <x v="1"/>
    <x v="7"/>
    <x v="1"/>
    <n v="0.49271473125269299"/>
    <n v="7.9968088188020602E-3"/>
    <n v="0.112255848013476"/>
    <n v="1.52748928112618"/>
    <n v="2349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8"/>
    <x v="1"/>
    <x v="8"/>
    <x v="1"/>
    <n v="0.58295169027388805"/>
    <n v="0.172949419658876"/>
    <n v="0"/>
    <n v="8.5728594917944196"/>
    <n v="2349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9"/>
    <x v="1"/>
    <x v="6"/>
    <x v="1"/>
    <n v="1.1652529795273301"/>
    <n v="0.158566776124068"/>
    <n v="0.10299868892417401"/>
    <n v="13.4624030038994"/>
    <n v="2352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19"/>
    <x v="1"/>
    <x v="7"/>
    <x v="1"/>
    <n v="0.492460531403836"/>
    <n v="3E+20"/>
    <n v="0.10299868892417401"/>
    <n v="1.5570814840717699"/>
    <n v="2352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19"/>
    <x v="1"/>
    <x v="8"/>
    <x v="1"/>
    <n v="0.67279244812349803"/>
    <n v="0.160462898518756"/>
    <n v="0"/>
    <n v="13.1265483090024"/>
    <n v="2352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0"/>
    <x v="1"/>
    <x v="6"/>
    <x v="1"/>
    <n v="1.0782762146412599"/>
    <n v="0.159467694255986"/>
    <n v="0.11057019515305901"/>
    <n v="10.425992223139399"/>
    <n v="2411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0"/>
    <x v="1"/>
    <x v="7"/>
    <x v="1"/>
    <n v="0.49057674870384499"/>
    <n v="7.88185452608158E-3"/>
    <n v="0.11057019515305901"/>
    <n v="1.53163785937193"/>
    <n v="2411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0"/>
    <x v="1"/>
    <x v="8"/>
    <x v="1"/>
    <n v="0.58769946593741595"/>
    <n v="0.16125570833971101"/>
    <n v="0"/>
    <n v="10.192027379187"/>
    <n v="2411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1"/>
    <x v="1"/>
    <x v="6"/>
    <x v="1"/>
    <n v="1.10762269431838"/>
    <n v="0.22055153993290999"/>
    <n v="0.117589570760742"/>
    <n v="13.018522134067901"/>
    <n v="2305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1"/>
    <x v="1"/>
    <x v="7"/>
    <x v="1"/>
    <n v="0.49164695148986398"/>
    <n v="1.33809454137476E-2"/>
    <n v="0.105090564622202"/>
    <n v="1.57592258101738"/>
    <n v="2305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1"/>
    <x v="1"/>
    <x v="8"/>
    <x v="1"/>
    <n v="0.61597574282851197"/>
    <n v="0.21879291996044101"/>
    <n v="0"/>
    <n v="12.647789137893101"/>
    <n v="2305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2"/>
    <x v="1"/>
    <x v="6"/>
    <x v="1"/>
    <n v="1.5193704759819799"/>
    <n v="0.26191297789573298"/>
    <n v="0.127858071211676"/>
    <n v="11.9674748990812"/>
    <n v="2428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2"/>
    <x v="1"/>
    <x v="7"/>
    <x v="1"/>
    <n v="0.49758726566811401"/>
    <n v="1.03052438217944E-2"/>
    <n v="0.119942596913404"/>
    <n v="1.5738430201558899"/>
    <n v="2428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2"/>
    <x v="1"/>
    <x v="8"/>
    <x v="1"/>
    <n v="1.02178321031387"/>
    <n v="0.25533472103273303"/>
    <n v="0"/>
    <n v="11.549424164035299"/>
    <n v="2428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3"/>
    <x v="1"/>
    <x v="6"/>
    <x v="1"/>
    <n v="1.3211222360210799"/>
    <n v="0.26518143863730198"/>
    <n v="0.121256885329331"/>
    <n v="12.174944268933499"/>
    <n v="2377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3"/>
    <x v="1"/>
    <x v="7"/>
    <x v="1"/>
    <n v="0.49684617376840301"/>
    <n v="1.5599996413397901E-2"/>
    <n v="0.10470951758441099"/>
    <n v="1.5509330429197099"/>
    <n v="2377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3"/>
    <x v="1"/>
    <x v="8"/>
    <x v="1"/>
    <n v="0.82427606225267702"/>
    <n v="0.26284390564902699"/>
    <n v="0"/>
    <n v="11.9195551942883"/>
    <n v="2377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4"/>
    <x v="1"/>
    <x v="6"/>
    <x v="1"/>
    <n v="1.78111295156802"/>
    <n v="3E+20"/>
    <n v="0.14498422227504201"/>
    <n v="29.378397097512401"/>
    <n v="2420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4"/>
    <x v="1"/>
    <x v="7"/>
    <x v="1"/>
    <n v="0.492125579673105"/>
    <n v="1.3990263090595E-2"/>
    <n v="0.104378237359569"/>
    <n v="1.58856216126094"/>
    <n v="2420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4"/>
    <x v="1"/>
    <x v="8"/>
    <x v="1"/>
    <n v="1.2889873718949201"/>
    <n v="3E+20"/>
    <n v="0"/>
    <n v="28.983199492767199"/>
    <n v="2420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5"/>
    <x v="1"/>
    <x v="6"/>
    <x v="1"/>
    <n v="1.65600158259923"/>
    <n v="0.34799476007943703"/>
    <n v="0.12360024519221501"/>
    <n v="15.019948151181399"/>
    <n v="2504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5"/>
    <x v="1"/>
    <x v="7"/>
    <x v="1"/>
    <n v="0.491593182400551"/>
    <n v="3E+20"/>
    <n v="0.112589118323925"/>
    <n v="1.5512023696334201"/>
    <n v="2504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5"/>
    <x v="1"/>
    <x v="8"/>
    <x v="1"/>
    <n v="1.1644084001986701"/>
    <n v="0.34548976415138399"/>
    <n v="0"/>
    <n v="14.607905646756601"/>
    <n v="2504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6"/>
    <x v="1"/>
    <x v="6"/>
    <x v="1"/>
    <n v="1.1749302627434901"/>
    <n v="0.19576898480056601"/>
    <n v="0.12346590130587699"/>
    <n v="10.2745252679146"/>
    <n v="2350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6"/>
    <x v="1"/>
    <x v="7"/>
    <x v="1"/>
    <n v="0.49589008346438102"/>
    <n v="1.1181804433989299E-2"/>
    <n v="0.107854196365452"/>
    <n v="1.58901720882542"/>
    <n v="2350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6"/>
    <x v="1"/>
    <x v="8"/>
    <x v="1"/>
    <n v="0.67904017927911497"/>
    <n v="0.19087585047432901"/>
    <n v="0"/>
    <n v="9.8950223480855506"/>
    <n v="2350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7"/>
    <x v="1"/>
    <x v="6"/>
    <x v="1"/>
    <n v="1.85589832994621"/>
    <n v="0.569165157906383"/>
    <n v="0.120169383800089"/>
    <n v="22.2391051252484"/>
    <n v="2414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7"/>
    <x v="1"/>
    <x v="7"/>
    <x v="1"/>
    <n v="0.50167886006701001"/>
    <n v="1.40954831044122E-2"/>
    <n v="0.114355521891866"/>
    <n v="1.5453958274611399"/>
    <n v="2414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7"/>
    <x v="1"/>
    <x v="8"/>
    <x v="1"/>
    <n v="1.3542194698792001"/>
    <n v="0.57229460564690704"/>
    <n v="0"/>
    <n v="21.901400545917301"/>
    <n v="2414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8"/>
    <x v="1"/>
    <x v="6"/>
    <x v="1"/>
    <n v="1.40106900868605"/>
    <n v="0.26364615731277002"/>
    <n v="0.11320056770881599"/>
    <n v="11.1139080105765"/>
    <n v="2339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8"/>
    <x v="1"/>
    <x v="7"/>
    <x v="1"/>
    <n v="0.50014305495409905"/>
    <n v="1.39516615362709E-2"/>
    <n v="0.11320056770881599"/>
    <n v="1.56565028516866"/>
    <n v="2339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8"/>
    <x v="1"/>
    <x v="8"/>
    <x v="1"/>
    <n v="0.90092595373194695"/>
    <n v="0.263649116704258"/>
    <n v="0"/>
    <n v="10.7831082440727"/>
    <n v="2339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29"/>
    <x v="1"/>
    <x v="6"/>
    <x v="1"/>
    <n v="1.4139379425070699"/>
    <n v="3E+20"/>
    <n v="0.110316164291191"/>
    <n v="22.896279994886601"/>
    <n v="2440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29"/>
    <x v="1"/>
    <x v="7"/>
    <x v="1"/>
    <n v="0.48515963648757099"/>
    <n v="9.90487419322926E-3"/>
    <n v="0.105530923109313"/>
    <n v="1.54368548908866"/>
    <n v="2440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29"/>
    <x v="1"/>
    <x v="8"/>
    <x v="1"/>
    <n v="0.92877830601950195"/>
    <n v="3E+20"/>
    <n v="0"/>
    <n v="22.5156669692396"/>
    <n v="2440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0"/>
    <x v="1"/>
    <x v="6"/>
    <x v="1"/>
    <n v="1.53823683222807"/>
    <n v="3E+20"/>
    <n v="0.119994205039802"/>
    <n v="19.3872452159872"/>
    <n v="2416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0"/>
    <x v="1"/>
    <x v="7"/>
    <x v="1"/>
    <n v="0.49581014161320702"/>
    <n v="1.28323205457256E-2"/>
    <n v="0.111329442692977"/>
    <n v="1.53916577788124"/>
    <n v="2416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0"/>
    <x v="1"/>
    <x v="8"/>
    <x v="1"/>
    <n v="1.04242669061486"/>
    <n v="3E+20"/>
    <n v="0"/>
    <n v="19.077497712210501"/>
    <n v="2416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1"/>
    <x v="1"/>
    <x v="6"/>
    <x v="1"/>
    <n v="1.0173021698343501"/>
    <n v="0.14409958937037801"/>
    <n v="0.114973601562234"/>
    <n v="9.8717069545815797"/>
    <n v="2344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1"/>
    <x v="1"/>
    <x v="7"/>
    <x v="1"/>
    <n v="0.48860494314905201"/>
    <n v="1.30734641174608E-2"/>
    <n v="0.11273734085699499"/>
    <n v="1.5279800180429099"/>
    <n v="2344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1"/>
    <x v="1"/>
    <x v="8"/>
    <x v="1"/>
    <n v="0.52869722668530195"/>
    <n v="0.14086995710959499"/>
    <n v="0"/>
    <n v="9.5695252275513099"/>
    <n v="2344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2"/>
    <x v="1"/>
    <x v="6"/>
    <x v="1"/>
    <n v="1.08151987755123"/>
    <n v="0.14995567282713801"/>
    <n v="0.11571373582137"/>
    <n v="11.586482176075"/>
    <n v="2331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2"/>
    <x v="1"/>
    <x v="7"/>
    <x v="1"/>
    <n v="0.50324408220295003"/>
    <n v="1.37785959286314E-2"/>
    <n v="0.114048332776491"/>
    <n v="1.5496264333860099"/>
    <n v="2331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2"/>
    <x v="1"/>
    <x v="8"/>
    <x v="1"/>
    <n v="0.578275795348282"/>
    <n v="0.14714700625664101"/>
    <n v="0"/>
    <n v="11.228891736928199"/>
    <n v="2331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3"/>
    <x v="1"/>
    <x v="6"/>
    <x v="1"/>
    <n v="1.1932702387123"/>
    <n v="0.18207030940983401"/>
    <n v="0.11517131210001701"/>
    <n v="10.2918185996344"/>
    <n v="2414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3"/>
    <x v="1"/>
    <x v="7"/>
    <x v="1"/>
    <n v="0.49329248165362799"/>
    <n v="1.20114404451361E-2"/>
    <n v="0.109106623355501"/>
    <n v="1.5134749540174"/>
    <n v="2414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3"/>
    <x v="1"/>
    <x v="8"/>
    <x v="1"/>
    <n v="0.69997775705867404"/>
    <n v="0.17688966272735299"/>
    <n v="0"/>
    <n v="10.0353186465625"/>
    <n v="2414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4"/>
    <x v="1"/>
    <x v="6"/>
    <x v="1"/>
    <n v="1.26188435750314"/>
    <n v="0.27250329263976197"/>
    <n v="0.13444790855368199"/>
    <n v="17.421996884329701"/>
    <n v="2412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4"/>
    <x v="1"/>
    <x v="7"/>
    <x v="1"/>
    <n v="0.49020679298945702"/>
    <n v="1.3564869243588301E-2"/>
    <n v="0.12007678785829499"/>
    <n v="1.5809501284135199"/>
    <n v="2412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4"/>
    <x v="1"/>
    <x v="8"/>
    <x v="1"/>
    <n v="0.77167756451367997"/>
    <n v="0.27033499414891199"/>
    <n v="0"/>
    <n v="17.1306313892748"/>
    <n v="2412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5"/>
    <x v="1"/>
    <x v="6"/>
    <x v="1"/>
    <n v="1.1593368122129599"/>
    <n v="0.19012712983261201"/>
    <n v="0.114013169610388"/>
    <n v="13.6179752800294"/>
    <n v="2436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5"/>
    <x v="1"/>
    <x v="7"/>
    <x v="1"/>
    <n v="0.48367750065255"/>
    <n v="1.02708486362331E-2"/>
    <n v="0.109138875963026"/>
    <n v="1.57709260516094"/>
    <n v="2436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5"/>
    <x v="1"/>
    <x v="8"/>
    <x v="1"/>
    <n v="0.67565931156041303"/>
    <n v="0.18956110123193401"/>
    <n v="0"/>
    <n v="13.2942085569052"/>
    <n v="2436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6"/>
    <x v="1"/>
    <x v="6"/>
    <x v="1"/>
    <n v="1.00825666115094"/>
    <n v="0.120057131224478"/>
    <n v="0.13658288557411399"/>
    <n v="8.6179514365368295"/>
    <n v="2393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6"/>
    <x v="1"/>
    <x v="7"/>
    <x v="1"/>
    <n v="0.49226969939869097"/>
    <n v="1.4182607252454901E-2"/>
    <n v="0.104297796574855"/>
    <n v="1.55078414169964"/>
    <n v="2393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6"/>
    <x v="1"/>
    <x v="8"/>
    <x v="1"/>
    <n v="0.515986961752252"/>
    <n v="0.118674500824011"/>
    <n v="0"/>
    <n v="8.3881460223777804"/>
    <n v="2393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7"/>
    <x v="1"/>
    <x v="6"/>
    <x v="1"/>
    <n v="1.47609111009472"/>
    <n v="3E+20"/>
    <n v="0.117797905647819"/>
    <n v="25.403160177567798"/>
    <n v="2409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7"/>
    <x v="1"/>
    <x v="7"/>
    <x v="1"/>
    <n v="0.49147371275954299"/>
    <n v="1.50985152848176E-2"/>
    <n v="0.115616575413526"/>
    <n v="1.5462050772792999"/>
    <n v="2409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7"/>
    <x v="1"/>
    <x v="8"/>
    <x v="1"/>
    <n v="0.98461739733518205"/>
    <n v="3E+20"/>
    <n v="0"/>
    <n v="25.109038353632599"/>
    <n v="2409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8"/>
    <x v="1"/>
    <x v="6"/>
    <x v="1"/>
    <n v="1.2058115681369801"/>
    <n v="0.19494024481702499"/>
    <n v="0.112521058141112"/>
    <n v="14.268800422745301"/>
    <n v="2407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8"/>
    <x v="1"/>
    <x v="7"/>
    <x v="1"/>
    <n v="0.493177594440247"/>
    <n v="1.2052186512356001E-2"/>
    <n v="0.112270059769656"/>
    <n v="1.5592639660715699"/>
    <n v="2407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8"/>
    <x v="1"/>
    <x v="8"/>
    <x v="1"/>
    <n v="0.71263397369672898"/>
    <n v="0.19517861240586001"/>
    <n v="0"/>
    <n v="14.036465061938999"/>
    <n v="2407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39"/>
    <x v="1"/>
    <x v="6"/>
    <x v="1"/>
    <n v="1.04084595503136"/>
    <n v="0.102078296880958"/>
    <n v="0.11685573848669201"/>
    <n v="7.1538192851957101"/>
    <n v="2400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39"/>
    <x v="1"/>
    <x v="7"/>
    <x v="1"/>
    <n v="0.49300902833752103"/>
    <n v="1.19645734842596E-2"/>
    <n v="0.11624208212308"/>
    <n v="1.5579367239951101"/>
    <n v="2400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39"/>
    <x v="1"/>
    <x v="8"/>
    <x v="1"/>
    <n v="0.54783692669383299"/>
    <n v="9.7852095120540605E-2"/>
    <n v="0"/>
    <n v="6.8680030951784898"/>
    <n v="2400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0"/>
    <x v="1"/>
    <x v="6"/>
    <x v="1"/>
    <n v="1.12485593609541"/>
    <n v="3E+20"/>
    <n v="0.12783958908403301"/>
    <n v="14.0348274638914"/>
    <n v="2378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0"/>
    <x v="1"/>
    <x v="7"/>
    <x v="1"/>
    <n v="0.488685797759769"/>
    <n v="1.32724434328951E-2"/>
    <n v="0.106999395241772"/>
    <n v="1.54986673647011"/>
    <n v="2378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0"/>
    <x v="1"/>
    <x v="8"/>
    <x v="1"/>
    <n v="0.63617013833563596"/>
    <n v="3E+20"/>
    <n v="0"/>
    <n v="13.6593345275468"/>
    <n v="2378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1"/>
    <x v="1"/>
    <x v="6"/>
    <x v="1"/>
    <n v="1.11115053689756"/>
    <n v="0.20211089590474399"/>
    <n v="0.11192689259746701"/>
    <n v="12.5992018897165"/>
    <n v="2335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1"/>
    <x v="1"/>
    <x v="7"/>
    <x v="1"/>
    <n v="0.49243064418789101"/>
    <n v="1.23574110453415E-2"/>
    <n v="0.102474533341592"/>
    <n v="1.5658119214538899"/>
    <n v="2335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1"/>
    <x v="1"/>
    <x v="8"/>
    <x v="1"/>
    <n v="0.61871989270966399"/>
    <n v="0.19992292692972899"/>
    <n v="0"/>
    <n v="12.4475482909905"/>
    <n v="2335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2"/>
    <x v="1"/>
    <x v="6"/>
    <x v="1"/>
    <n v="1.1990123643368"/>
    <n v="3E+20"/>
    <n v="0.111062882130454"/>
    <n v="15.3195631144015"/>
    <n v="2421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2"/>
    <x v="1"/>
    <x v="7"/>
    <x v="1"/>
    <n v="0.481748748376016"/>
    <n v="3E+20"/>
    <n v="0.10889027573483601"/>
    <n v="1.5718712749341499"/>
    <n v="2421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2"/>
    <x v="1"/>
    <x v="8"/>
    <x v="1"/>
    <n v="0.71726361596079102"/>
    <n v="3E+20"/>
    <n v="0"/>
    <n v="15.103764369289699"/>
    <n v="2421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3"/>
    <x v="1"/>
    <x v="6"/>
    <x v="1"/>
    <n v="1.2092989446307001"/>
    <n v="3E+20"/>
    <n v="0.12504087031959399"/>
    <n v="13.224555477398001"/>
    <n v="2363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3"/>
    <x v="1"/>
    <x v="7"/>
    <x v="1"/>
    <n v="0.49119186383860702"/>
    <n v="1.05774645966903E-2"/>
    <n v="0.10551814347223901"/>
    <n v="1.5910602431404199"/>
    <n v="2363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3"/>
    <x v="1"/>
    <x v="8"/>
    <x v="1"/>
    <n v="0.71810708079209096"/>
    <n v="3E+20"/>
    <n v="0"/>
    <n v="12.795156442757699"/>
    <n v="2363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4"/>
    <x v="1"/>
    <x v="6"/>
    <x v="1"/>
    <n v="1.06680215649789"/>
    <n v="0.14558426075539599"/>
    <n v="0.121578042291276"/>
    <n v="10.3878989152395"/>
    <n v="2339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4"/>
    <x v="1"/>
    <x v="7"/>
    <x v="1"/>
    <n v="0.49261755151707598"/>
    <n v="1.1995551185222299E-2"/>
    <n v="0.113829813925584"/>
    <n v="1.5590144139370199"/>
    <n v="2339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4"/>
    <x v="1"/>
    <x v="8"/>
    <x v="1"/>
    <n v="0.57418460498082102"/>
    <n v="0.144584088393583"/>
    <n v="0"/>
    <n v="10.036848257655"/>
    <n v="2339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5"/>
    <x v="1"/>
    <x v="6"/>
    <x v="1"/>
    <n v="1.20125209203894"/>
    <n v="0.20826498042045699"/>
    <n v="0.11030437472459199"/>
    <n v="11.0008540144799"/>
    <n v="2434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5"/>
    <x v="1"/>
    <x v="7"/>
    <x v="1"/>
    <n v="0.48554166158860901"/>
    <n v="1.1482292226680801E-2"/>
    <n v="0.105628355010481"/>
    <n v="1.58542891481758"/>
    <n v="2434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5"/>
    <x v="1"/>
    <x v="8"/>
    <x v="1"/>
    <n v="0.715710430450331"/>
    <n v="0.209809768091928"/>
    <n v="0"/>
    <n v="10.736648954708899"/>
    <n v="2434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6"/>
    <x v="1"/>
    <x v="6"/>
    <x v="1"/>
    <n v="1.2963478523918599"/>
    <n v="3E+20"/>
    <n v="0.123726489206092"/>
    <n v="12.9419652278551"/>
    <n v="2429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6"/>
    <x v="1"/>
    <x v="7"/>
    <x v="1"/>
    <n v="0.490701298726619"/>
    <n v="1.32898990060447E-2"/>
    <n v="0.104162535460603"/>
    <n v="1.5655964972007701"/>
    <n v="2429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6"/>
    <x v="1"/>
    <x v="8"/>
    <x v="1"/>
    <n v="0.80564655366523896"/>
    <n v="3E+20"/>
    <n v="0"/>
    <n v="12.5134906635228"/>
    <n v="2429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7"/>
    <x v="1"/>
    <x v="6"/>
    <x v="1"/>
    <n v="1.4597773686095901"/>
    <n v="3E+20"/>
    <n v="0.110963228897901"/>
    <n v="24.1853898195535"/>
    <n v="2450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7"/>
    <x v="1"/>
    <x v="7"/>
    <x v="1"/>
    <n v="0.487308215227437"/>
    <n v="1.33474303912611E-2"/>
    <n v="0.105562497457811"/>
    <n v="1.57088833727698"/>
    <n v="2450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7"/>
    <x v="1"/>
    <x v="8"/>
    <x v="1"/>
    <n v="0.972469153382155"/>
    <n v="3E+20"/>
    <n v="0"/>
    <n v="23.894291668634001"/>
    <n v="2450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8"/>
    <x v="1"/>
    <x v="6"/>
    <x v="1"/>
    <n v="1.1240577544309001"/>
    <n v="0.22370673635589799"/>
    <n v="0.120294396240695"/>
    <n v="14.661140665307499"/>
    <n v="2413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8"/>
    <x v="1"/>
    <x v="7"/>
    <x v="1"/>
    <n v="0.487944623143517"/>
    <n v="1.38471516097159E-2"/>
    <n v="0.113007597460296"/>
    <n v="1.57745961460603"/>
    <n v="2413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8"/>
    <x v="1"/>
    <x v="8"/>
    <x v="1"/>
    <n v="0.63611313128737701"/>
    <n v="0.218888071558693"/>
    <n v="0"/>
    <n v="14.424010074673401"/>
    <n v="2413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49"/>
    <x v="1"/>
    <x v="6"/>
    <x v="1"/>
    <n v="1.2210485668065501"/>
    <n v="0.20935530192909599"/>
    <n v="0.128763608989061"/>
    <n v="12.1508305189734"/>
    <n v="2385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49"/>
    <x v="1"/>
    <x v="7"/>
    <x v="1"/>
    <n v="0.49481357064850401"/>
    <n v="1.28469705568351E-2"/>
    <n v="0.10527522358881899"/>
    <n v="1.5687777921322901"/>
    <n v="2385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49"/>
    <x v="1"/>
    <x v="8"/>
    <x v="1"/>
    <n v="0.72623499615804898"/>
    <n v="0.20529675748617801"/>
    <n v="0"/>
    <n v="11.8312658329769"/>
    <n v="2385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50"/>
    <x v="1"/>
    <x v="6"/>
    <x v="1"/>
    <n v="1.56246636365172"/>
    <n v="3E+20"/>
    <n v="0.104746052617884"/>
    <n v="18.928622767171699"/>
    <n v="2431"/>
    <s v="PacientesProcess 2Total Time Per EntityProcess"/>
    <n v="50"/>
    <n v="1.2976784780992308"/>
    <n v="0.214255822712483"/>
    <n v="0.95"/>
    <n v="6.0890831086538234E-2"/>
    <n v="1.00825666115094"/>
    <n v="1.85589832994621"/>
    <n v="0.10260384490715101"/>
    <n v="29.378397097512401"/>
    <n v="2400.2800000000002"/>
    <n v="6.0890831086538234E-2"/>
    <n v="50"/>
    <n v="1"/>
  </r>
  <r>
    <x v="0"/>
    <s v="2025-05-22 00:30:31"/>
    <n v="50"/>
    <x v="1"/>
    <x v="7"/>
    <x v="1"/>
    <n v="0.48913982913037202"/>
    <n v="1.59394895044534E-2"/>
    <n v="0.104746052617884"/>
    <n v="1.5367657655886"/>
    <n v="2431"/>
    <s v="PacientesProcess 2VA Time Per EntityProcess"/>
    <n v="50"/>
    <n v="0.49210501840783172"/>
    <n v="4.7795299599228038E-3"/>
    <n v="0.95"/>
    <n v="1.3583273853576923E-3"/>
    <n v="0.481748748376016"/>
    <n v="0.50324408220295003"/>
    <n v="0.101748731497707"/>
    <n v="1.5939517145847"/>
    <n v="2400.2800000000002"/>
    <n v="1.3583273853576923E-3"/>
    <n v="50"/>
    <n v="1"/>
  </r>
  <r>
    <x v="0"/>
    <s v="2025-05-22 00:30:31"/>
    <n v="50"/>
    <x v="1"/>
    <x v="8"/>
    <x v="1"/>
    <n v="1.0733265345213501"/>
    <n v="3E+20"/>
    <n v="0"/>
    <n v="18.6682802403873"/>
    <n v="2431"/>
    <s v="PacientesProcess 2Wait Time Per EntityProcess"/>
    <n v="50"/>
    <n v="0.80557345969139849"/>
    <n v="0.21295136958685271"/>
    <n v="0.95"/>
    <n v="6.0520109610092528E-2"/>
    <n v="0.515986961752252"/>
    <n v="1.3542194698792001"/>
    <n v="0"/>
    <n v="28.983199492767199"/>
    <n v="2400.2800000000002"/>
    <n v="6.0520109610092528E-2"/>
    <n v="50"/>
    <n v="1"/>
  </r>
  <r>
    <x v="0"/>
    <s v="2025-05-22 00:30:31"/>
    <n v="1"/>
    <x v="2"/>
    <x v="9"/>
    <x v="2"/>
    <n v="0.93018992264089295"/>
    <n v="0.32565170478405903"/>
    <n v="0"/>
    <n v="16.752914155724099"/>
    <n v="2425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"/>
    <x v="2"/>
    <x v="9"/>
    <x v="2"/>
    <n v="0.58378480255193799"/>
    <n v="3E+20"/>
    <n v="0"/>
    <n v="8.7900931728595104"/>
    <n v="2400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"/>
    <x v="2"/>
    <x v="9"/>
    <x v="2"/>
    <n v="0.62130115960236898"/>
    <n v="0.213672695964641"/>
    <n v="0"/>
    <n v="11.9700919824074"/>
    <n v="2363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"/>
    <x v="2"/>
    <x v="9"/>
    <x v="2"/>
    <n v="0.90301871539353096"/>
    <n v="0.39092949170205299"/>
    <n v="0"/>
    <n v="18.924775423345601"/>
    <n v="2373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5"/>
    <x v="2"/>
    <x v="9"/>
    <x v="2"/>
    <n v="0.64539413081494201"/>
    <n v="3E+20"/>
    <n v="0"/>
    <n v="13.9940305381404"/>
    <n v="2338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6"/>
    <x v="2"/>
    <x v="9"/>
    <x v="2"/>
    <n v="0.85599881766464303"/>
    <n v="0.25399109509388401"/>
    <n v="0"/>
    <n v="11.995100015942301"/>
    <n v="2506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7"/>
    <x v="2"/>
    <x v="9"/>
    <x v="2"/>
    <n v="0.72369751079971301"/>
    <n v="0.22150019172260499"/>
    <n v="0"/>
    <n v="14.3681831855307"/>
    <n v="2394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8"/>
    <x v="2"/>
    <x v="9"/>
    <x v="2"/>
    <n v="0.72277821959750199"/>
    <n v="0.20957599883591599"/>
    <n v="0"/>
    <n v="9.5887786895350793"/>
    <n v="2405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9"/>
    <x v="2"/>
    <x v="9"/>
    <x v="2"/>
    <n v="1.20270110961615"/>
    <n v="0.42146113886333397"/>
    <n v="0"/>
    <n v="18.219088962396398"/>
    <n v="2430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0"/>
    <x v="2"/>
    <x v="9"/>
    <x v="2"/>
    <n v="0.988937995066415"/>
    <n v="0.30823110317331498"/>
    <n v="0"/>
    <n v="17.7238412625919"/>
    <n v="2503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1"/>
    <x v="2"/>
    <x v="9"/>
    <x v="2"/>
    <n v="0.85396420558379504"/>
    <n v="0.36444693273867401"/>
    <n v="0"/>
    <n v="16.836187242911102"/>
    <n v="2447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2"/>
    <x v="2"/>
    <x v="9"/>
    <x v="2"/>
    <n v="1.0029160702364299"/>
    <n v="0.28427863003728998"/>
    <n v="0"/>
    <n v="14.568521981048001"/>
    <n v="2402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3"/>
    <x v="2"/>
    <x v="9"/>
    <x v="2"/>
    <n v="0.72401388980539905"/>
    <n v="0.233460600799309"/>
    <n v="0"/>
    <n v="12.9125324924824"/>
    <n v="2408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4"/>
    <x v="2"/>
    <x v="9"/>
    <x v="2"/>
    <n v="0.69867734243709601"/>
    <n v="3E+20"/>
    <n v="0"/>
    <n v="13.693583513401601"/>
    <n v="2372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5"/>
    <x v="2"/>
    <x v="9"/>
    <x v="2"/>
    <n v="1.15079937875463"/>
    <n v="0.36380801182795802"/>
    <n v="0"/>
    <n v="15.5377565321104"/>
    <n v="2505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6"/>
    <x v="2"/>
    <x v="9"/>
    <x v="2"/>
    <n v="1.12459993190299"/>
    <n v="3E+20"/>
    <n v="0"/>
    <n v="21.971451775742299"/>
    <n v="2359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7"/>
    <x v="2"/>
    <x v="9"/>
    <x v="2"/>
    <n v="0.66968933403963204"/>
    <n v="0.20701766973612001"/>
    <n v="0"/>
    <n v="10.1664870836904"/>
    <n v="2383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8"/>
    <x v="2"/>
    <x v="9"/>
    <x v="2"/>
    <n v="0.58245577220474798"/>
    <n v="0.17232031771581099"/>
    <n v="0"/>
    <n v="8.5728594917944196"/>
    <n v="2351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9"/>
    <x v="2"/>
    <x v="9"/>
    <x v="2"/>
    <n v="0.67649461120815702"/>
    <n v="0.16201366152238"/>
    <n v="0"/>
    <n v="13.1265483090024"/>
    <n v="2354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0"/>
    <x v="2"/>
    <x v="9"/>
    <x v="2"/>
    <n v="0.58893659034881696"/>
    <n v="0.16296836098812501"/>
    <n v="0"/>
    <n v="10.192027379187"/>
    <n v="2413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1"/>
    <x v="2"/>
    <x v="9"/>
    <x v="2"/>
    <n v="0.61570862411956695"/>
    <n v="0.218710969691742"/>
    <n v="0"/>
    <n v="12.647789137893101"/>
    <n v="2306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2"/>
    <x v="2"/>
    <x v="9"/>
    <x v="2"/>
    <n v="1.0215442325024899"/>
    <n v="0.25329279273237798"/>
    <n v="0"/>
    <n v="11.549424164035299"/>
    <n v="2430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3"/>
    <x v="2"/>
    <x v="9"/>
    <x v="2"/>
    <n v="0.82358310213308605"/>
    <n v="0.26595068866704702"/>
    <n v="0"/>
    <n v="11.9195551942883"/>
    <n v="2379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4"/>
    <x v="2"/>
    <x v="9"/>
    <x v="2"/>
    <n v="1.28799765968171"/>
    <n v="3E+20"/>
    <n v="0"/>
    <n v="28.983199492767199"/>
    <n v="2422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5"/>
    <x v="2"/>
    <x v="9"/>
    <x v="2"/>
    <n v="1.1638103140092899"/>
    <n v="0.34551861003377199"/>
    <n v="0"/>
    <n v="14.607905646756601"/>
    <n v="2506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6"/>
    <x v="2"/>
    <x v="9"/>
    <x v="2"/>
    <n v="0.67854014302016197"/>
    <n v="0.190874230772141"/>
    <n v="0"/>
    <n v="9.8950223480855506"/>
    <n v="2352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7"/>
    <x v="2"/>
    <x v="9"/>
    <x v="2"/>
    <n v="1.35362284384225"/>
    <n v="0.57382425842198503"/>
    <n v="0"/>
    <n v="21.901400545917301"/>
    <n v="2416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8"/>
    <x v="2"/>
    <x v="9"/>
    <x v="2"/>
    <n v="0.90054094264060902"/>
    <n v="0.26680878958175902"/>
    <n v="0"/>
    <n v="10.7831082440727"/>
    <n v="2340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29"/>
    <x v="2"/>
    <x v="9"/>
    <x v="2"/>
    <n v="0.92842961399800294"/>
    <n v="3E+20"/>
    <n v="0"/>
    <n v="22.5156669692396"/>
    <n v="2442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0"/>
    <x v="2"/>
    <x v="9"/>
    <x v="2"/>
    <n v="1.04199540112764"/>
    <n v="3E+20"/>
    <n v="0"/>
    <n v="19.077497712210501"/>
    <n v="2417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1"/>
    <x v="2"/>
    <x v="9"/>
    <x v="2"/>
    <n v="0.52833241769049499"/>
    <n v="0.14027199450688299"/>
    <n v="0"/>
    <n v="9.5695252275513099"/>
    <n v="2346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2"/>
    <x v="2"/>
    <x v="9"/>
    <x v="2"/>
    <n v="0.577961793288995"/>
    <n v="0.147531689834494"/>
    <n v="0"/>
    <n v="11.228891736928199"/>
    <n v="2333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3"/>
    <x v="2"/>
    <x v="9"/>
    <x v="2"/>
    <n v="0.69968791119653895"/>
    <n v="0.17390055491525899"/>
    <n v="0"/>
    <n v="10.0353186465625"/>
    <n v="2415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4"/>
    <x v="2"/>
    <x v="9"/>
    <x v="2"/>
    <n v="0.77125772038194995"/>
    <n v="0.26749460831201"/>
    <n v="0"/>
    <n v="17.1306313892748"/>
    <n v="2414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5"/>
    <x v="2"/>
    <x v="9"/>
    <x v="2"/>
    <n v="0.67510503813009204"/>
    <n v="0.18731074784959201"/>
    <n v="0"/>
    <n v="13.2942085569052"/>
    <n v="2438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6"/>
    <x v="2"/>
    <x v="9"/>
    <x v="2"/>
    <n v="0.51658298033119898"/>
    <n v="0.11865234857786899"/>
    <n v="0"/>
    <n v="8.3881460223777804"/>
    <n v="2395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7"/>
    <x v="2"/>
    <x v="9"/>
    <x v="2"/>
    <n v="0.98386249493187705"/>
    <n v="3E+20"/>
    <n v="0"/>
    <n v="25.109038353632599"/>
    <n v="2411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8"/>
    <x v="2"/>
    <x v="9"/>
    <x v="2"/>
    <n v="0.71263397369672798"/>
    <n v="0.191533995750443"/>
    <n v="0"/>
    <n v="14.036465061938999"/>
    <n v="2407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39"/>
    <x v="2"/>
    <x v="9"/>
    <x v="2"/>
    <n v="0.54738077604712698"/>
    <n v="9.7247741518263403E-2"/>
    <n v="0"/>
    <n v="6.8680030951784898"/>
    <n v="2402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0"/>
    <x v="2"/>
    <x v="9"/>
    <x v="2"/>
    <n v="0.63633402189139798"/>
    <n v="3E+20"/>
    <n v="0"/>
    <n v="13.6593345275468"/>
    <n v="2380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1"/>
    <x v="2"/>
    <x v="9"/>
    <x v="2"/>
    <n v="0.61845502974189503"/>
    <n v="0.200015949697608"/>
    <n v="0"/>
    <n v="12.4475482909905"/>
    <n v="2336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2"/>
    <x v="2"/>
    <x v="9"/>
    <x v="2"/>
    <n v="0.71667787055880905"/>
    <n v="3E+20"/>
    <n v="0"/>
    <n v="15.103764369289699"/>
    <n v="2423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3"/>
    <x v="2"/>
    <x v="9"/>
    <x v="2"/>
    <n v="0.71810708079209096"/>
    <n v="3E+20"/>
    <n v="0"/>
    <n v="12.795156442757699"/>
    <n v="2363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4"/>
    <x v="2"/>
    <x v="9"/>
    <x v="2"/>
    <n v="0.57391708433746702"/>
    <n v="0.14653585227291799"/>
    <n v="0"/>
    <n v="10.036848257655"/>
    <n v="2341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5"/>
    <x v="2"/>
    <x v="9"/>
    <x v="2"/>
    <n v="0.715710430450332"/>
    <n v="0.209833775510995"/>
    <n v="0"/>
    <n v="10.736648954708899"/>
    <n v="2434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6"/>
    <x v="2"/>
    <x v="9"/>
    <x v="2"/>
    <n v="0.80564655366523896"/>
    <n v="3E+20"/>
    <n v="0"/>
    <n v="12.5134906635228"/>
    <n v="2429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7"/>
    <x v="2"/>
    <x v="9"/>
    <x v="2"/>
    <n v="0.97184437862664697"/>
    <n v="3E+20"/>
    <n v="0"/>
    <n v="23.894291668634001"/>
    <n v="2452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8"/>
    <x v="2"/>
    <x v="9"/>
    <x v="2"/>
    <n v="0.635897221843164"/>
    <n v="0.219173177239397"/>
    <n v="0"/>
    <n v="14.424010074673401"/>
    <n v="2415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49"/>
    <x v="2"/>
    <x v="9"/>
    <x v="2"/>
    <n v="0.72592172313497905"/>
    <n v="0.20537226618222401"/>
    <n v="0"/>
    <n v="11.8312658329769"/>
    <n v="2387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50"/>
    <x v="2"/>
    <x v="9"/>
    <x v="2"/>
    <n v="1.07244422746461"/>
    <n v="3E+20"/>
    <n v="0"/>
    <n v="18.6682802403873"/>
    <n v="2433"/>
    <s v="PacientesProcess 2.QueueWaiting TimeQueue"/>
    <n v="50"/>
    <n v="0.80539766231092458"/>
    <n v="0.2127393519392447"/>
    <n v="0.95"/>
    <n v="6.0459854861332728E-2"/>
    <n v="0.51658298033119898"/>
    <n v="1.35362284384225"/>
    <n v="0"/>
    <n v="28.983199492767199"/>
    <n v="2401.9"/>
    <n v="6.0459854861332728E-2"/>
    <n v="50"/>
    <n v="1"/>
  </r>
  <r>
    <x v="0"/>
    <s v="2025-05-22 00:30:31"/>
    <n v="1"/>
    <x v="3"/>
    <x v="6"/>
    <x v="1"/>
    <n v="0.217026927371366"/>
    <n v="1.16556042925006E-2"/>
    <n v="0.100086427460894"/>
    <n v="1.1581003970189001"/>
    <n v="2273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"/>
    <x v="3"/>
    <x v="7"/>
    <x v="1"/>
    <n v="0.14945321014229501"/>
    <n v="9.9969251376637899E-4"/>
    <n v="0.100086427460894"/>
    <n v="0.19993172171194801"/>
    <n v="2273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"/>
    <x v="3"/>
    <x v="8"/>
    <x v="1"/>
    <n v="6.7573717229070795E-2"/>
    <n v="1.15330201428595E-2"/>
    <n v="0"/>
    <n v="1.02693100144771"/>
    <n v="2273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"/>
    <x v="3"/>
    <x v="6"/>
    <x v="1"/>
    <n v="0.21416998452316599"/>
    <n v="8.4753002713491999E-3"/>
    <n v="0.100144671679118"/>
    <n v="0.69238610113165999"/>
    <n v="2280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"/>
    <x v="3"/>
    <x v="7"/>
    <x v="1"/>
    <n v="0.14969960623357001"/>
    <n v="1.4411964704666999E-3"/>
    <n v="0.100010975311079"/>
    <n v="0.19995964758368201"/>
    <n v="2280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"/>
    <x v="3"/>
    <x v="8"/>
    <x v="1"/>
    <n v="6.4470378289596106E-2"/>
    <n v="7.8499405028640001E-3"/>
    <n v="0"/>
    <n v="0.53847934231134797"/>
    <n v="2280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"/>
    <x v="3"/>
    <x v="6"/>
    <x v="1"/>
    <n v="0.204996218905765"/>
    <n v="6.9949626063962999E-3"/>
    <n v="0.10001262009666299"/>
    <n v="0.78083206549599604"/>
    <n v="2216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"/>
    <x v="3"/>
    <x v="7"/>
    <x v="1"/>
    <n v="0.14908393823153501"/>
    <n v="1.19953888881872E-3"/>
    <n v="0.10001262009666299"/>
    <n v="0.19989683357496599"/>
    <n v="2216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"/>
    <x v="3"/>
    <x v="8"/>
    <x v="1"/>
    <n v="5.591228067423E-2"/>
    <n v="6.6923641798625E-3"/>
    <n v="0"/>
    <n v="0.60456890138667896"/>
    <n v="2216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"/>
    <x v="3"/>
    <x v="6"/>
    <x v="1"/>
    <n v="0.212346211757828"/>
    <n v="8.7247232778707804E-3"/>
    <n v="0.10003203370298799"/>
    <n v="0.820923664478585"/>
    <n v="2230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"/>
    <x v="3"/>
    <x v="7"/>
    <x v="1"/>
    <n v="0.14966729789900701"/>
    <n v="3E+20"/>
    <n v="0.10003203370298799"/>
    <n v="0.19997057036818"/>
    <n v="2230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"/>
    <x v="3"/>
    <x v="8"/>
    <x v="1"/>
    <n v="6.26789138588216E-2"/>
    <n v="8.3178778207005696E-3"/>
    <n v="0"/>
    <n v="0.65232100428784201"/>
    <n v="2230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5"/>
    <x v="3"/>
    <x v="6"/>
    <x v="1"/>
    <n v="0.21238087035964401"/>
    <n v="9.1844364294511194E-3"/>
    <n v="0.100108923093103"/>
    <n v="0.782558679239994"/>
    <n v="2200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5"/>
    <x v="3"/>
    <x v="7"/>
    <x v="1"/>
    <n v="0.149641810163295"/>
    <n v="1.18311712626569E-3"/>
    <n v="0.10001018063681499"/>
    <n v="0.19998926396897301"/>
    <n v="2200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5"/>
    <x v="3"/>
    <x v="8"/>
    <x v="1"/>
    <n v="6.2739060196350005E-2"/>
    <n v="8.9819236120082108E-3"/>
    <n v="0"/>
    <n v="0.62007862755060095"/>
    <n v="2200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6"/>
    <x v="3"/>
    <x v="6"/>
    <x v="1"/>
    <n v="0.224734868993407"/>
    <n v="1.1791981671617701E-2"/>
    <n v="0.100065634332992"/>
    <n v="0.85140505169929503"/>
    <n v="2386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6"/>
    <x v="3"/>
    <x v="7"/>
    <x v="1"/>
    <n v="0.149948067952136"/>
    <n v="1.2023453883060599E-3"/>
    <n v="0.100065634332992"/>
    <n v="0.19994072229312099"/>
    <n v="2386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6"/>
    <x v="3"/>
    <x v="8"/>
    <x v="1"/>
    <n v="7.4786801041271306E-2"/>
    <n v="1.1634777018962201E-2"/>
    <n v="0"/>
    <n v="0.72150975886023605"/>
    <n v="2386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7"/>
    <x v="3"/>
    <x v="6"/>
    <x v="1"/>
    <n v="0.22907589413377599"/>
    <n v="1.1629696034311399E-2"/>
    <n v="0.100001990352865"/>
    <n v="1.1989748044199"/>
    <n v="2254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7"/>
    <x v="3"/>
    <x v="7"/>
    <x v="1"/>
    <n v="0.15025842505026801"/>
    <n v="1.50656842406216E-3"/>
    <n v="0.100001990352865"/>
    <n v="0.19998860366121099"/>
    <n v="2254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7"/>
    <x v="3"/>
    <x v="8"/>
    <x v="1"/>
    <n v="7.8817469083508104E-2"/>
    <n v="1.16143910487784E-2"/>
    <n v="0"/>
    <n v="1.00890483460083"/>
    <n v="2254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8"/>
    <x v="3"/>
    <x v="6"/>
    <x v="1"/>
    <n v="0.22528901099823601"/>
    <n v="1.8156196869696901E-2"/>
    <n v="0.100104558240105"/>
    <n v="1.0901729557211901"/>
    <n v="2265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8"/>
    <x v="3"/>
    <x v="7"/>
    <x v="1"/>
    <n v="0.15131539765975"/>
    <n v="1.27813550361658E-3"/>
    <n v="0.10009603347165801"/>
    <n v="0.19993318926683601"/>
    <n v="2265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8"/>
    <x v="3"/>
    <x v="8"/>
    <x v="1"/>
    <n v="7.3973613338485705E-2"/>
    <n v="1.80332558073713E-2"/>
    <n v="0"/>
    <n v="0.95707773954825404"/>
    <n v="2265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9"/>
    <x v="3"/>
    <x v="6"/>
    <x v="1"/>
    <n v="0.21925337515825"/>
    <n v="9.4794302058523999E-3"/>
    <n v="0.100000577163883"/>
    <n v="0.88470133701480302"/>
    <n v="2253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9"/>
    <x v="3"/>
    <x v="7"/>
    <x v="1"/>
    <n v="0.14920759074499901"/>
    <n v="1.12805800231917E-3"/>
    <n v="0.100000577163883"/>
    <n v="0.19991807441294901"/>
    <n v="2253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9"/>
    <x v="3"/>
    <x v="8"/>
    <x v="1"/>
    <n v="7.0045784413250406E-2"/>
    <n v="9.1562860835176802E-3"/>
    <n v="0"/>
    <n v="0.77925978802812801"/>
    <n v="2253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0"/>
    <x v="3"/>
    <x v="6"/>
    <x v="1"/>
    <n v="0.22074710161469799"/>
    <n v="9.1963906005873806E-3"/>
    <n v="0.10008577648966401"/>
    <n v="0.78596471705225202"/>
    <n v="2371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0"/>
    <x v="3"/>
    <x v="7"/>
    <x v="1"/>
    <n v="0.15002929949367699"/>
    <n v="1.4931565344277701E-3"/>
    <n v="0.100068209277083"/>
    <n v="0.19997444890782401"/>
    <n v="2371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0"/>
    <x v="3"/>
    <x v="8"/>
    <x v="1"/>
    <n v="7.0717802121021106E-2"/>
    <n v="9.1926129259966502E-3"/>
    <n v="0"/>
    <n v="0.64159900266133696"/>
    <n v="2371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1"/>
    <x v="3"/>
    <x v="6"/>
    <x v="1"/>
    <n v="0.216906210201881"/>
    <n v="1.08667888573448E-2"/>
    <n v="0.10000086273071"/>
    <n v="0.99374983527030702"/>
    <n v="2308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1"/>
    <x v="3"/>
    <x v="7"/>
    <x v="1"/>
    <n v="0.150174301386058"/>
    <n v="3E+20"/>
    <n v="0.10000086273071"/>
    <n v="0.19990468238950099"/>
    <n v="2308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1"/>
    <x v="3"/>
    <x v="8"/>
    <x v="1"/>
    <n v="6.6731908815824095E-2"/>
    <n v="1.05431418170272E-2"/>
    <n v="0"/>
    <n v="0.79820374490742596"/>
    <n v="2308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2"/>
    <x v="3"/>
    <x v="6"/>
    <x v="1"/>
    <n v="0.22277959878672299"/>
    <n v="1.0768147528368899E-2"/>
    <n v="0.10005446647093701"/>
    <n v="1.0161312761969199"/>
    <n v="2254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2"/>
    <x v="3"/>
    <x v="7"/>
    <x v="1"/>
    <n v="0.15022353235779501"/>
    <n v="1.03715275450751E-3"/>
    <n v="0.10005446647093701"/>
    <n v="0.199942402166357"/>
    <n v="2254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2"/>
    <x v="3"/>
    <x v="8"/>
    <x v="1"/>
    <n v="7.2556066428927701E-2"/>
    <n v="1.07272633331528E-2"/>
    <n v="0"/>
    <n v="0.86756515045607296"/>
    <n v="2254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3"/>
    <x v="3"/>
    <x v="6"/>
    <x v="1"/>
    <n v="0.22524586870410099"/>
    <n v="1.35206949539646E-2"/>
    <n v="0.100108048488039"/>
    <n v="1.0534018236974101"/>
    <n v="2265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3"/>
    <x v="3"/>
    <x v="7"/>
    <x v="1"/>
    <n v="0.15017457510997401"/>
    <n v="1.1835466206834601E-3"/>
    <n v="0.10002315694112"/>
    <n v="0.19994517049951799"/>
    <n v="2265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3"/>
    <x v="3"/>
    <x v="8"/>
    <x v="1"/>
    <n v="7.5071293594126995E-2"/>
    <n v="1.3138030489798801E-2"/>
    <n v="0"/>
    <n v="0.91752881282695897"/>
    <n v="2265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4"/>
    <x v="3"/>
    <x v="6"/>
    <x v="1"/>
    <n v="0.22777457589935099"/>
    <n v="1.54520900352035E-2"/>
    <n v="0.100077695799115"/>
    <n v="1.41452080991047"/>
    <n v="2245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4"/>
    <x v="3"/>
    <x v="7"/>
    <x v="1"/>
    <n v="0.151606291486265"/>
    <n v="1.45650242984494E-3"/>
    <n v="0.100077695799115"/>
    <n v="0.19998484044259601"/>
    <n v="2245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4"/>
    <x v="3"/>
    <x v="8"/>
    <x v="1"/>
    <n v="7.6168284413085902E-2"/>
    <n v="1.53750796060299E-2"/>
    <n v="0"/>
    <n v="1.2170108122512"/>
    <n v="2245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5"/>
    <x v="3"/>
    <x v="6"/>
    <x v="1"/>
    <n v="0.21589823794694801"/>
    <n v="8.41932341115878E-3"/>
    <n v="0.10018342697020401"/>
    <n v="0.82522276172215903"/>
    <n v="2375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5"/>
    <x v="3"/>
    <x v="7"/>
    <x v="1"/>
    <n v="0.14957231761321599"/>
    <n v="9.4006693913669E-4"/>
    <n v="0.10007403949634899"/>
    <n v="0.19996484077830201"/>
    <n v="2375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5"/>
    <x v="3"/>
    <x v="8"/>
    <x v="1"/>
    <n v="6.6325920333731497E-2"/>
    <n v="8.4540327576469697E-3"/>
    <n v="0"/>
    <n v="0.68532684579798797"/>
    <n v="2375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6"/>
    <x v="3"/>
    <x v="6"/>
    <x v="1"/>
    <n v="0.218029052903984"/>
    <n v="9.8379075614046293E-3"/>
    <n v="0.100018323702699"/>
    <n v="0.98102994386682196"/>
    <n v="2211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6"/>
    <x v="3"/>
    <x v="7"/>
    <x v="1"/>
    <n v="0.14935956640029699"/>
    <n v="1.0784981491168901E-3"/>
    <n v="0.100018323702699"/>
    <n v="0.19999993084929499"/>
    <n v="2211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6"/>
    <x v="3"/>
    <x v="8"/>
    <x v="1"/>
    <n v="6.8669486503686802E-2"/>
    <n v="9.9814062227798796E-3"/>
    <n v="0"/>
    <n v="0.83811610181250995"/>
    <n v="2211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7"/>
    <x v="3"/>
    <x v="6"/>
    <x v="1"/>
    <n v="0.21897058309640099"/>
    <n v="8.6856703734119606E-3"/>
    <n v="0.100005696271808"/>
    <n v="0.984442199978389"/>
    <n v="2245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7"/>
    <x v="3"/>
    <x v="7"/>
    <x v="1"/>
    <n v="0.150453276948878"/>
    <n v="3E+20"/>
    <n v="0.100005696271808"/>
    <n v="0.199977335705256"/>
    <n v="2245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7"/>
    <x v="3"/>
    <x v="8"/>
    <x v="1"/>
    <n v="6.8517306147522994E-2"/>
    <n v="8.7181239766424903E-3"/>
    <n v="0"/>
    <n v="0.84840047524232898"/>
    <n v="2245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8"/>
    <x v="3"/>
    <x v="6"/>
    <x v="1"/>
    <n v="0.21712855974812301"/>
    <n v="9.4638431969524001E-3"/>
    <n v="0.100008549238964"/>
    <n v="0.84509843797105999"/>
    <n v="2213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8"/>
    <x v="3"/>
    <x v="7"/>
    <x v="1"/>
    <n v="0.150342467404291"/>
    <n v="1.5309741063541499E-3"/>
    <n v="0.100008549238964"/>
    <n v="0.199963474155538"/>
    <n v="2213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8"/>
    <x v="3"/>
    <x v="8"/>
    <x v="1"/>
    <n v="6.6786092343832107E-2"/>
    <n v="9.3563575510636106E-3"/>
    <n v="0"/>
    <n v="0.73578625045254897"/>
    <n v="2213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9"/>
    <x v="3"/>
    <x v="6"/>
    <x v="1"/>
    <n v="0.216887626292114"/>
    <n v="8.5849468355635797E-3"/>
    <n v="0.10005897616790101"/>
    <n v="1.0458046117073001"/>
    <n v="2236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19"/>
    <x v="3"/>
    <x v="7"/>
    <x v="1"/>
    <n v="0.150009692944644"/>
    <n v="1.1996484099372599E-3"/>
    <n v="0.10005897616790101"/>
    <n v="0.199856639297224"/>
    <n v="2236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19"/>
    <x v="3"/>
    <x v="8"/>
    <x v="1"/>
    <n v="6.6877933347470095E-2"/>
    <n v="8.2899702786000205E-3"/>
    <n v="0"/>
    <n v="0.90852746779518201"/>
    <n v="2236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0"/>
    <x v="3"/>
    <x v="6"/>
    <x v="1"/>
    <n v="0.21138440397854599"/>
    <n v="8.1139524198198098E-3"/>
    <n v="0.10010110051859999"/>
    <n v="0.84997783380504199"/>
    <n v="2272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0"/>
    <x v="3"/>
    <x v="7"/>
    <x v="1"/>
    <n v="0.149330271800514"/>
    <n v="1.0894248987147199E-3"/>
    <n v="0.100072258830792"/>
    <n v="0.19999940628179"/>
    <n v="2272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0"/>
    <x v="3"/>
    <x v="8"/>
    <x v="1"/>
    <n v="6.2054132178032899E-2"/>
    <n v="7.7604388601089603E-3"/>
    <n v="0"/>
    <n v="0.698950926645864"/>
    <n v="2272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1"/>
    <x v="3"/>
    <x v="6"/>
    <x v="1"/>
    <n v="0.21549955170083601"/>
    <n v="9.3529660301052506E-3"/>
    <n v="0.100164574974775"/>
    <n v="0.86920836596436901"/>
    <n v="2171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1"/>
    <x v="3"/>
    <x v="7"/>
    <x v="1"/>
    <n v="0.14998013779752101"/>
    <n v="1.00257892748992E-3"/>
    <n v="0.10003710102935801"/>
    <n v="0.19994591045860899"/>
    <n v="2171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1"/>
    <x v="3"/>
    <x v="8"/>
    <x v="1"/>
    <n v="6.5519413903314602E-2"/>
    <n v="9.1148222072788207E-3"/>
    <n v="0"/>
    <n v="0.71438996521408205"/>
    <n v="2171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2"/>
    <x v="3"/>
    <x v="6"/>
    <x v="1"/>
    <n v="0.21747676617992401"/>
    <n v="1.35616975916366E-2"/>
    <n v="0.100028512302288"/>
    <n v="1.1946985508616901"/>
    <n v="2281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2"/>
    <x v="3"/>
    <x v="7"/>
    <x v="1"/>
    <n v="0.14945675101203801"/>
    <n v="1.4641050993344799E-3"/>
    <n v="0.100028512302288"/>
    <n v="0.19998027651939801"/>
    <n v="2281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2"/>
    <x v="3"/>
    <x v="8"/>
    <x v="1"/>
    <n v="6.8020015167886499E-2"/>
    <n v="1.3040415999138201E-2"/>
    <n v="0"/>
    <n v="1.0922908228650401"/>
    <n v="2281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3"/>
    <x v="3"/>
    <x v="6"/>
    <x v="1"/>
    <n v="0.21722009553688101"/>
    <n v="9.7458121742952201E-3"/>
    <n v="0.100019307924441"/>
    <n v="0.94847821857629799"/>
    <n v="2233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3"/>
    <x v="3"/>
    <x v="7"/>
    <x v="1"/>
    <n v="0.150367037520689"/>
    <n v="9.9840217027403707E-4"/>
    <n v="0.100019307924441"/>
    <n v="0.199904486788441"/>
    <n v="2233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3"/>
    <x v="3"/>
    <x v="8"/>
    <x v="1"/>
    <n v="6.6853058016192499E-2"/>
    <n v="9.3005539565691794E-3"/>
    <n v="0"/>
    <n v="0.77795412547746401"/>
    <n v="2233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4"/>
    <x v="3"/>
    <x v="6"/>
    <x v="1"/>
    <n v="0.22138642638366701"/>
    <n v="8.96554981608144E-3"/>
    <n v="0.100061543870879"/>
    <n v="0.883118092208804"/>
    <n v="2282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4"/>
    <x v="3"/>
    <x v="7"/>
    <x v="1"/>
    <n v="0.150263889075503"/>
    <n v="1.38132031939367E-3"/>
    <n v="0.100061543870879"/>
    <n v="0.19993982303128599"/>
    <n v="2282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4"/>
    <x v="3"/>
    <x v="8"/>
    <x v="1"/>
    <n v="7.11225373081633E-2"/>
    <n v="9.0663462060967797E-3"/>
    <n v="0"/>
    <n v="0.708280305541507"/>
    <n v="2282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5"/>
    <x v="3"/>
    <x v="6"/>
    <x v="1"/>
    <n v="0.22434976362846801"/>
    <n v="1.16741928849517E-2"/>
    <n v="0.10005395238079"/>
    <n v="1.0121690279404001"/>
    <n v="2363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5"/>
    <x v="3"/>
    <x v="7"/>
    <x v="1"/>
    <n v="0.14964762737964199"/>
    <n v="1.5027230734313501E-3"/>
    <n v="0.10005395238079"/>
    <n v="0.19999456799097001"/>
    <n v="2363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5"/>
    <x v="3"/>
    <x v="8"/>
    <x v="1"/>
    <n v="7.4702136248825296E-2"/>
    <n v="1.12926639218208E-2"/>
    <n v="0"/>
    <n v="0.85690707971304603"/>
    <n v="2363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6"/>
    <x v="3"/>
    <x v="6"/>
    <x v="1"/>
    <n v="0.21689211775767001"/>
    <n v="3E+20"/>
    <n v="0.100300358134035"/>
    <n v="0.99944075015039902"/>
    <n v="2222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6"/>
    <x v="3"/>
    <x v="7"/>
    <x v="1"/>
    <n v="0.151188670036458"/>
    <n v="1.04981288916369E-3"/>
    <n v="0.10006806122009899"/>
    <n v="0.19995545933272801"/>
    <n v="2222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6"/>
    <x v="3"/>
    <x v="8"/>
    <x v="1"/>
    <n v="6.5703447721212602E-2"/>
    <n v="3E+20"/>
    <n v="0"/>
    <n v="0.82012182052898197"/>
    <n v="2222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7"/>
    <x v="3"/>
    <x v="6"/>
    <x v="1"/>
    <n v="0.22233872984781999"/>
    <n v="1.1338291167961201E-2"/>
    <n v="0.100310413857187"/>
    <n v="0.99060160775036399"/>
    <n v="2272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7"/>
    <x v="3"/>
    <x v="7"/>
    <x v="1"/>
    <n v="0.15024977582009799"/>
    <n v="1.3288556580183799E-3"/>
    <n v="0.100270485402206"/>
    <n v="0.199985234578378"/>
    <n v="2272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7"/>
    <x v="3"/>
    <x v="8"/>
    <x v="1"/>
    <n v="7.2088954027721905E-2"/>
    <n v="1.13096610545132E-2"/>
    <n v="0"/>
    <n v="0.79177746179016095"/>
    <n v="2272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8"/>
    <x v="3"/>
    <x v="6"/>
    <x v="1"/>
    <n v="0.22116105234857"/>
    <n v="7.7918602554042102E-3"/>
    <n v="0.10008717228618"/>
    <n v="0.90426730723038395"/>
    <n v="2192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8"/>
    <x v="3"/>
    <x v="7"/>
    <x v="1"/>
    <n v="0.15036680267289901"/>
    <n v="1.2876492482473999E-3"/>
    <n v="0.10008717228618"/>
    <n v="0.19999992246738399"/>
    <n v="2192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8"/>
    <x v="3"/>
    <x v="8"/>
    <x v="1"/>
    <n v="7.0794249675670301E-2"/>
    <n v="7.3965281094457401E-3"/>
    <n v="0"/>
    <n v="0.72903218385124502"/>
    <n v="2192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29"/>
    <x v="3"/>
    <x v="6"/>
    <x v="1"/>
    <n v="0.22115686566089801"/>
    <n v="1.07815849782986E-2"/>
    <n v="0.100062618733631"/>
    <n v="0.90710012976910503"/>
    <n v="2313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29"/>
    <x v="3"/>
    <x v="7"/>
    <x v="1"/>
    <n v="0.150694103618119"/>
    <n v="3E+20"/>
    <n v="0.100038863045199"/>
    <n v="0.19990104527195701"/>
    <n v="2313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29"/>
    <x v="3"/>
    <x v="8"/>
    <x v="1"/>
    <n v="7.0462762042779306E-2"/>
    <n v="1.0326481008171099E-2"/>
    <n v="0"/>
    <n v="0.74518958977805005"/>
    <n v="2313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0"/>
    <x v="3"/>
    <x v="6"/>
    <x v="1"/>
    <n v="0.21650719659808099"/>
    <n v="1.38998559977732E-2"/>
    <n v="0.100262670394727"/>
    <n v="1.03481791241785"/>
    <n v="2263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0"/>
    <x v="3"/>
    <x v="7"/>
    <x v="1"/>
    <n v="0.15013058705965901"/>
    <n v="1.4444815712476801E-3"/>
    <n v="0.100076034296251"/>
    <n v="0.19997561741502101"/>
    <n v="2263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0"/>
    <x v="3"/>
    <x v="8"/>
    <x v="1"/>
    <n v="6.6376609538423406E-2"/>
    <n v="1.3478424523588901E-2"/>
    <n v="0"/>
    <n v="0.88415136918433701"/>
    <n v="2263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1"/>
    <x v="3"/>
    <x v="6"/>
    <x v="1"/>
    <n v="0.21345923446422899"/>
    <n v="7.0909594163913701E-3"/>
    <n v="0.100126685953342"/>
    <n v="0.85156877431199995"/>
    <n v="2218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1"/>
    <x v="3"/>
    <x v="7"/>
    <x v="1"/>
    <n v="0.15042139410967301"/>
    <n v="1.46014123891683E-3"/>
    <n v="0.100126685953342"/>
    <n v="0.19998781848642"/>
    <n v="2218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1"/>
    <x v="3"/>
    <x v="8"/>
    <x v="1"/>
    <n v="6.3037840354556299E-2"/>
    <n v="6.7468688866899398E-3"/>
    <n v="0"/>
    <n v="0.72105721404955103"/>
    <n v="2218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2"/>
    <x v="3"/>
    <x v="6"/>
    <x v="1"/>
    <n v="0.21827050912013199"/>
    <n v="9.9757881797797199E-3"/>
    <n v="0.100015891390683"/>
    <n v="0.89319463440514801"/>
    <n v="2192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2"/>
    <x v="3"/>
    <x v="7"/>
    <x v="1"/>
    <n v="0.15047295918356701"/>
    <n v="1.3704268371373301E-3"/>
    <n v="0.100009359140401"/>
    <n v="0.199961751185356"/>
    <n v="2192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2"/>
    <x v="3"/>
    <x v="8"/>
    <x v="1"/>
    <n v="6.7797549936565005E-2"/>
    <n v="9.4797136369696305E-3"/>
    <n v="0"/>
    <n v="0.73697631924486695"/>
    <n v="2192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3"/>
    <x v="3"/>
    <x v="6"/>
    <x v="1"/>
    <n v="0.21573389321198999"/>
    <n v="8.38982262108714E-3"/>
    <n v="0.10005685952768301"/>
    <n v="0.73090224118550395"/>
    <n v="2270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3"/>
    <x v="3"/>
    <x v="7"/>
    <x v="1"/>
    <n v="0.15010171133501199"/>
    <n v="1.2830702730214801E-3"/>
    <n v="0.100025029225549"/>
    <n v="0.19997640587274601"/>
    <n v="2270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3"/>
    <x v="3"/>
    <x v="8"/>
    <x v="1"/>
    <n v="6.5632181876977905E-2"/>
    <n v="8.0810988775662194E-3"/>
    <n v="0"/>
    <n v="0.59601976952286895"/>
    <n v="2270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4"/>
    <x v="3"/>
    <x v="6"/>
    <x v="1"/>
    <n v="0.21473008697589699"/>
    <n v="1.10556545271253E-2"/>
    <n v="0.100008288585059"/>
    <n v="0.98532614633290905"/>
    <n v="2281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4"/>
    <x v="3"/>
    <x v="7"/>
    <x v="1"/>
    <n v="0.149420188419917"/>
    <n v="1.0396413909087099E-3"/>
    <n v="0.100008288585059"/>
    <n v="0.19999923105342499"/>
    <n v="2281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4"/>
    <x v="3"/>
    <x v="8"/>
    <x v="1"/>
    <n v="6.5309898555979407E-2"/>
    <n v="1.0969671115584299E-2"/>
    <n v="0"/>
    <n v="0.87702435119342703"/>
    <n v="2281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5"/>
    <x v="3"/>
    <x v="6"/>
    <x v="1"/>
    <n v="0.223171507705687"/>
    <n v="1.34297732691819E-2"/>
    <n v="0.100088094854357"/>
    <n v="1.1227165877130301"/>
    <n v="2305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5"/>
    <x v="3"/>
    <x v="7"/>
    <x v="1"/>
    <n v="0.14990477625901599"/>
    <n v="1.3480080900284E-3"/>
    <n v="0.100088094854357"/>
    <n v="0.19999866450666601"/>
    <n v="2305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5"/>
    <x v="3"/>
    <x v="8"/>
    <x v="1"/>
    <n v="7.3266731446670702E-2"/>
    <n v="1.28621122650606E-2"/>
    <n v="0"/>
    <n v="0.95490986707056902"/>
    <n v="2305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6"/>
    <x v="3"/>
    <x v="6"/>
    <x v="1"/>
    <n v="0.22258938107491599"/>
    <n v="1.21243141838848E-2"/>
    <n v="0.100281004737781"/>
    <n v="1.1813615890670199"/>
    <n v="2263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6"/>
    <x v="3"/>
    <x v="7"/>
    <x v="1"/>
    <n v="0.15025076699666701"/>
    <n v="9.70450612333597E-4"/>
    <n v="0.100281004737781"/>
    <n v="0.19999034479212699"/>
    <n v="2263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6"/>
    <x v="3"/>
    <x v="8"/>
    <x v="1"/>
    <n v="7.2338614078248695E-2"/>
    <n v="1.2198095575528501E-2"/>
    <n v="0"/>
    <n v="1.05431619392266"/>
    <n v="2263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7"/>
    <x v="3"/>
    <x v="6"/>
    <x v="1"/>
    <n v="0.217382946494416"/>
    <n v="1.28418546608136E-2"/>
    <n v="0.10002880625100399"/>
    <n v="1.2505418548163301"/>
    <n v="2279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7"/>
    <x v="3"/>
    <x v="7"/>
    <x v="1"/>
    <n v="0.150550133946592"/>
    <n v="1.69891694488716E-3"/>
    <n v="0.10002880625100399"/>
    <n v="0.199924946176878"/>
    <n v="2279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7"/>
    <x v="3"/>
    <x v="8"/>
    <x v="1"/>
    <n v="6.6832812547823903E-2"/>
    <n v="1.2218572783164201E-2"/>
    <n v="0"/>
    <n v="1.0976406710825599"/>
    <n v="2279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8"/>
    <x v="3"/>
    <x v="6"/>
    <x v="1"/>
    <n v="0.22016585107904399"/>
    <n v="1.36870683281994E-2"/>
    <n v="0.10019501481224299"/>
    <n v="0.97580465568270802"/>
    <n v="2261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8"/>
    <x v="3"/>
    <x v="7"/>
    <x v="1"/>
    <n v="0.15044889237176501"/>
    <n v="1.39406552767437E-3"/>
    <n v="0.10019501481224299"/>
    <n v="0.19997441288887799"/>
    <n v="2261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8"/>
    <x v="3"/>
    <x v="8"/>
    <x v="1"/>
    <n v="6.9716958707278495E-2"/>
    <n v="1.33215432238704E-2"/>
    <n v="0"/>
    <n v="0.80614505692230398"/>
    <n v="2261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39"/>
    <x v="3"/>
    <x v="6"/>
    <x v="1"/>
    <n v="0.212312945491545"/>
    <n v="8.1560638626663896E-3"/>
    <n v="0.10016966190551101"/>
    <n v="0.70410981700490505"/>
    <n v="2256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39"/>
    <x v="3"/>
    <x v="7"/>
    <x v="1"/>
    <n v="0.15013620608568101"/>
    <n v="1.1217203204686001E-3"/>
    <n v="0.10016966190551101"/>
    <n v="0.199990388866922"/>
    <n v="2256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39"/>
    <x v="3"/>
    <x v="8"/>
    <x v="1"/>
    <n v="6.2176739405864101E-2"/>
    <n v="7.7345856601585897E-3"/>
    <n v="0"/>
    <n v="0.56896884410738802"/>
    <n v="2256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0"/>
    <x v="3"/>
    <x v="6"/>
    <x v="1"/>
    <n v="0.218634182177461"/>
    <n v="7.8145094913226899E-3"/>
    <n v="0.100009422842845"/>
    <n v="1.11878229294047"/>
    <n v="2256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0"/>
    <x v="3"/>
    <x v="7"/>
    <x v="1"/>
    <n v="0.15068448063644899"/>
    <n v="1.0394039543597899E-3"/>
    <n v="0.100009422842845"/>
    <n v="0.19990123561103701"/>
    <n v="2256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0"/>
    <x v="3"/>
    <x v="8"/>
    <x v="1"/>
    <n v="6.7949701541012902E-2"/>
    <n v="7.4079095647682997E-3"/>
    <n v="0"/>
    <n v="0.98661305285054401"/>
    <n v="2256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1"/>
    <x v="3"/>
    <x v="6"/>
    <x v="1"/>
    <n v="0.21083904902654499"/>
    <n v="7.6057423834077504E-3"/>
    <n v="0.10001862947922301"/>
    <n v="1.00960350345099"/>
    <n v="2211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1"/>
    <x v="3"/>
    <x v="7"/>
    <x v="1"/>
    <n v="0.15042320566911399"/>
    <n v="1.25506778011057E-3"/>
    <n v="0.10001862947922301"/>
    <n v="0.19999569018815999"/>
    <n v="2211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1"/>
    <x v="3"/>
    <x v="8"/>
    <x v="1"/>
    <n v="6.0415843357431699E-2"/>
    <n v="3E+20"/>
    <n v="0"/>
    <n v="0.84073249498726499"/>
    <n v="2211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2"/>
    <x v="3"/>
    <x v="6"/>
    <x v="1"/>
    <n v="0.222937273380413"/>
    <n v="1.25972080757519E-2"/>
    <n v="0.100042043651626"/>
    <n v="0.972517091851273"/>
    <n v="2285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2"/>
    <x v="3"/>
    <x v="7"/>
    <x v="1"/>
    <n v="0.14992436721177399"/>
    <n v="3E+20"/>
    <n v="0.100037630998486"/>
    <n v="0.19998248529071799"/>
    <n v="2285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2"/>
    <x v="3"/>
    <x v="8"/>
    <x v="1"/>
    <n v="7.30129061686388E-2"/>
    <n v="1.2616265455194699E-2"/>
    <n v="0"/>
    <n v="0.84432274578364297"/>
    <n v="2285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3"/>
    <x v="3"/>
    <x v="6"/>
    <x v="1"/>
    <n v="0.21350576258336501"/>
    <n v="7.28552340756616E-3"/>
    <n v="0.100044864790831"/>
    <n v="0.76316421447518201"/>
    <n v="2226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3"/>
    <x v="3"/>
    <x v="7"/>
    <x v="1"/>
    <n v="0.150379919396228"/>
    <n v="3E+20"/>
    <n v="0.100044864790831"/>
    <n v="0.199985727899957"/>
    <n v="2226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3"/>
    <x v="3"/>
    <x v="8"/>
    <x v="1"/>
    <n v="6.3125843187137098E-2"/>
    <n v="7.0902686894228802E-3"/>
    <n v="0"/>
    <n v="0.66233602153960203"/>
    <n v="2226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4"/>
    <x v="3"/>
    <x v="6"/>
    <x v="1"/>
    <n v="0.219670386466602"/>
    <n v="1.2709428600088399E-2"/>
    <n v="0.100063712618635"/>
    <n v="0.89952436146833703"/>
    <n v="2189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4"/>
    <x v="3"/>
    <x v="7"/>
    <x v="1"/>
    <n v="0.15099569972056201"/>
    <n v="1.19863155682409E-3"/>
    <n v="0.100063712618635"/>
    <n v="0.19995217264863599"/>
    <n v="2189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4"/>
    <x v="3"/>
    <x v="8"/>
    <x v="1"/>
    <n v="6.8674686746040395E-2"/>
    <n v="1.21056284137871E-2"/>
    <n v="0"/>
    <n v="0.74316777530668798"/>
    <n v="2189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5"/>
    <x v="3"/>
    <x v="6"/>
    <x v="1"/>
    <n v="0.21421634270144899"/>
    <n v="1.13342837407833E-2"/>
    <n v="0.100038701297763"/>
    <n v="0.87639477273342004"/>
    <n v="2292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5"/>
    <x v="3"/>
    <x v="7"/>
    <x v="1"/>
    <n v="0.14912954415705901"/>
    <n v="1.14895237359508E-3"/>
    <n v="0.100038701297763"/>
    <n v="0.19988249411699099"/>
    <n v="2292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5"/>
    <x v="3"/>
    <x v="8"/>
    <x v="1"/>
    <n v="6.5086798544389798E-2"/>
    <n v="1.13652362511301E-2"/>
    <n v="0"/>
    <n v="0.68972426305083401"/>
    <n v="2292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6"/>
    <x v="3"/>
    <x v="6"/>
    <x v="1"/>
    <n v="0.215429199807042"/>
    <n v="9.3418503195618098E-3"/>
    <n v="0.100062397404827"/>
    <n v="0.79675679250590303"/>
    <n v="2283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6"/>
    <x v="3"/>
    <x v="7"/>
    <x v="1"/>
    <n v="0.14863412830584499"/>
    <n v="1.07458038405567E-3"/>
    <n v="0.10001855981624901"/>
    <n v="0.19995912324901599"/>
    <n v="2283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6"/>
    <x v="3"/>
    <x v="8"/>
    <x v="1"/>
    <n v="6.6795071501196401E-2"/>
    <n v="9.4575531212910697E-3"/>
    <n v="0"/>
    <n v="0.65130237752543996"/>
    <n v="2283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7"/>
    <x v="3"/>
    <x v="6"/>
    <x v="1"/>
    <n v="0.22427562810072199"/>
    <n v="9.6142887720308302E-3"/>
    <n v="0.10002577027899"/>
    <n v="0.87500031845377202"/>
    <n v="2316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7"/>
    <x v="3"/>
    <x v="7"/>
    <x v="1"/>
    <n v="0.15007395094107001"/>
    <n v="9.981972184388429E-4"/>
    <n v="0.10002577027899"/>
    <n v="0.199982017510621"/>
    <n v="2316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7"/>
    <x v="3"/>
    <x v="8"/>
    <x v="1"/>
    <n v="7.4201677159652701E-2"/>
    <n v="9.2218129857270098E-3"/>
    <n v="0"/>
    <n v="0.72955494173498903"/>
    <n v="2316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8"/>
    <x v="3"/>
    <x v="6"/>
    <x v="1"/>
    <n v="0.217854424735695"/>
    <n v="7.7718622799603397E-3"/>
    <n v="0.100143646269544"/>
    <n v="0.90980554084001097"/>
    <n v="2275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8"/>
    <x v="3"/>
    <x v="7"/>
    <x v="1"/>
    <n v="0.150530322703011"/>
    <n v="1.4355339715560801E-3"/>
    <n v="0.10007806313603899"/>
    <n v="0.19998783715936999"/>
    <n v="2275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8"/>
    <x v="3"/>
    <x v="8"/>
    <x v="1"/>
    <n v="6.7324102032683797E-2"/>
    <n v="7.0210655360831197E-3"/>
    <n v="0"/>
    <n v="0.74535274404490803"/>
    <n v="2275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49"/>
    <x v="3"/>
    <x v="6"/>
    <x v="1"/>
    <n v="0.20838139332980499"/>
    <n v="5.6801605912489197E-3"/>
    <n v="0.100061016462973"/>
    <n v="0.80256890730014196"/>
    <n v="2239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49"/>
    <x v="3"/>
    <x v="7"/>
    <x v="1"/>
    <n v="0.14901306737921999"/>
    <n v="1.10802321127361E-3"/>
    <n v="0.100061016462973"/>
    <n v="0.19996467605062701"/>
    <n v="2239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49"/>
    <x v="3"/>
    <x v="8"/>
    <x v="1"/>
    <n v="5.9368325950584597E-2"/>
    <n v="5.4321399696575998E-3"/>
    <n v="0"/>
    <n v="0.65880988933959395"/>
    <n v="2239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50"/>
    <x v="3"/>
    <x v="6"/>
    <x v="1"/>
    <n v="0.21918274465794299"/>
    <n v="1.20194238361145E-2"/>
    <n v="0.100008251634847"/>
    <n v="0.90689236695379805"/>
    <n v="2292"/>
    <s v="PacientesRegistroTotal Time Per EntityProcess"/>
    <n v="50"/>
    <n v="0.21815512979204044"/>
    <n v="4.9005087946529672E-3"/>
    <n v="0.95"/>
    <n v="1.3927091897695423E-3"/>
    <n v="0.204996218905765"/>
    <n v="0.22907589413377599"/>
    <n v="0.100000577163883"/>
    <n v="1.41452080991047"/>
    <n v="2262.66"/>
    <n v="1.3927091897695423E-3"/>
    <n v="50"/>
    <n v="1"/>
  </r>
  <r>
    <x v="0"/>
    <s v="2025-05-22 00:30:31"/>
    <n v="50"/>
    <x v="3"/>
    <x v="7"/>
    <x v="1"/>
    <n v="0.14974986266933299"/>
    <n v="1.2697792999660201E-3"/>
    <n v="0.100008251634847"/>
    <n v="0.199982094717257"/>
    <n v="2292"/>
    <s v="PacientesRegistroVA Time Per EntityProcess"/>
    <n v="50"/>
    <n v="0.15006283793025285"/>
    <n v="5.9871963179078413E-4"/>
    <n v="0.95"/>
    <n v="1.7015423667850204E-4"/>
    <n v="0.14863412830584499"/>
    <n v="0.151606291486265"/>
    <n v="0.100000577163883"/>
    <n v="0.19999993084929499"/>
    <n v="2262.66"/>
    <n v="1.7015423667850204E-4"/>
    <n v="50"/>
    <n v="1"/>
  </r>
  <r>
    <x v="0"/>
    <s v="2025-05-22 00:30:31"/>
    <n v="50"/>
    <x v="3"/>
    <x v="8"/>
    <x v="1"/>
    <n v="6.9432881988610196E-2"/>
    <n v="1.17671893383828E-2"/>
    <n v="0"/>
    <n v="0.77893442727810203"/>
    <n v="2292"/>
    <s v="PacientesRegistroWait Time Per EntityProcess"/>
    <n v="50"/>
    <n v="6.8092291861787557E-2"/>
    <n v="4.6523106421894759E-3"/>
    <n v="0.95"/>
    <n v="1.3221720552995685E-3"/>
    <n v="5.591228067423E-2"/>
    <n v="7.8817469083508104E-2"/>
    <n v="0"/>
    <n v="1.2170108122512"/>
    <n v="2262.66"/>
    <n v="1.3221720552995685E-3"/>
    <n v="50"/>
    <n v="1"/>
  </r>
  <r>
    <x v="0"/>
    <s v="2025-05-22 00:30:31"/>
    <n v="1"/>
    <x v="4"/>
    <x v="9"/>
    <x v="2"/>
    <n v="6.7626622789115395E-2"/>
    <n v="1.15330201428595E-2"/>
    <n v="0"/>
    <n v="1.02693100144771"/>
    <n v="2274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"/>
    <x v="4"/>
    <x v="9"/>
    <x v="2"/>
    <n v="6.4484899422145803E-2"/>
    <n v="7.8499405028640001E-3"/>
    <n v="0"/>
    <n v="0.53847934231134797"/>
    <n v="2281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"/>
    <x v="4"/>
    <x v="9"/>
    <x v="2"/>
    <n v="5.5993386493398203E-2"/>
    <n v="6.6923641798625E-3"/>
    <n v="0"/>
    <n v="0.60456890138667896"/>
    <n v="2217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"/>
    <x v="4"/>
    <x v="9"/>
    <x v="2"/>
    <n v="6.2702949446474004E-2"/>
    <n v="8.3178778207005696E-3"/>
    <n v="0"/>
    <n v="0.65232100428784201"/>
    <n v="2231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5"/>
    <x v="4"/>
    <x v="9"/>
    <x v="2"/>
    <n v="6.27105553984416E-2"/>
    <n v="8.9819236120082108E-3"/>
    <n v="0"/>
    <n v="0.62007862755060095"/>
    <n v="2201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6"/>
    <x v="4"/>
    <x v="9"/>
    <x v="2"/>
    <n v="7.4786801041271306E-2"/>
    <n v="1.1634777018962201E-2"/>
    <n v="0"/>
    <n v="0.72150975886023605"/>
    <n v="2386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7"/>
    <x v="4"/>
    <x v="9"/>
    <x v="2"/>
    <n v="7.8817469083508104E-2"/>
    <n v="1.16143910487784E-2"/>
    <n v="0"/>
    <n v="1.00890483460083"/>
    <n v="2254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8"/>
    <x v="4"/>
    <x v="9"/>
    <x v="2"/>
    <n v="7.3940968319360201E-2"/>
    <n v="1.80332558073713E-2"/>
    <n v="0"/>
    <n v="0.95707773954825404"/>
    <n v="2266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9"/>
    <x v="4"/>
    <x v="9"/>
    <x v="2"/>
    <n v="7.0014708200112297E-2"/>
    <n v="9.1562860835176802E-3"/>
    <n v="0"/>
    <n v="0.77925978802812801"/>
    <n v="2254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0"/>
    <x v="4"/>
    <x v="9"/>
    <x v="2"/>
    <n v="7.0687988545084804E-2"/>
    <n v="9.1926129259966502E-3"/>
    <n v="0"/>
    <n v="0.64159900266133696"/>
    <n v="2372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1"/>
    <x v="4"/>
    <x v="9"/>
    <x v="2"/>
    <n v="6.6731908815824095E-2"/>
    <n v="1.05431418170272E-2"/>
    <n v="0"/>
    <n v="0.79820374490742596"/>
    <n v="2308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2"/>
    <x v="4"/>
    <x v="9"/>
    <x v="2"/>
    <n v="7.2556066428927701E-2"/>
    <n v="1.07272633331528E-2"/>
    <n v="0"/>
    <n v="0.86756515045607296"/>
    <n v="2254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3"/>
    <x v="4"/>
    <x v="9"/>
    <x v="2"/>
    <n v="7.5038164161826001E-2"/>
    <n v="1.3138030489798801E-2"/>
    <n v="0"/>
    <n v="0.91752881282695897"/>
    <n v="2266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4"/>
    <x v="4"/>
    <x v="9"/>
    <x v="2"/>
    <n v="7.6168284413085902E-2"/>
    <n v="1.53750796060299E-2"/>
    <n v="0"/>
    <n v="1.2170108122512"/>
    <n v="2245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5"/>
    <x v="4"/>
    <x v="9"/>
    <x v="2"/>
    <n v="6.6325920333731497E-2"/>
    <n v="8.4540327576469697E-3"/>
    <n v="0"/>
    <n v="0.68532684579798797"/>
    <n v="2375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6"/>
    <x v="4"/>
    <x v="9"/>
    <x v="2"/>
    <n v="6.8680546190037703E-2"/>
    <n v="9.9814062227798796E-3"/>
    <n v="0"/>
    <n v="0.83811610181250995"/>
    <n v="2212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7"/>
    <x v="4"/>
    <x v="9"/>
    <x v="2"/>
    <n v="6.8517306147522994E-2"/>
    <n v="8.7181239766424903E-3"/>
    <n v="0"/>
    <n v="0.84840047524232898"/>
    <n v="2245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8"/>
    <x v="4"/>
    <x v="9"/>
    <x v="2"/>
    <n v="6.6786092343832107E-2"/>
    <n v="9.3563575510636106E-3"/>
    <n v="0"/>
    <n v="0.73578625045254897"/>
    <n v="2213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9"/>
    <x v="4"/>
    <x v="9"/>
    <x v="2"/>
    <n v="6.6877933347470095E-2"/>
    <n v="8.2899702786000205E-3"/>
    <n v="0"/>
    <n v="0.90852746779518201"/>
    <n v="2236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0"/>
    <x v="4"/>
    <x v="9"/>
    <x v="2"/>
    <n v="6.2150143630326303E-2"/>
    <n v="7.7604388601089603E-3"/>
    <n v="0"/>
    <n v="0.698950926645864"/>
    <n v="2273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1"/>
    <x v="4"/>
    <x v="9"/>
    <x v="2"/>
    <n v="6.5497354386483894E-2"/>
    <n v="9.1148222072788207E-3"/>
    <n v="0"/>
    <n v="0.71438996521408205"/>
    <n v="2172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2"/>
    <x v="4"/>
    <x v="9"/>
    <x v="2"/>
    <n v="6.8020015167886499E-2"/>
    <n v="1.3040415999138201E-2"/>
    <n v="0"/>
    <n v="1.0922908228650401"/>
    <n v="2281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3"/>
    <x v="4"/>
    <x v="9"/>
    <x v="2"/>
    <n v="6.6873771181890002E-2"/>
    <n v="9.3005539565691794E-3"/>
    <n v="0"/>
    <n v="0.77795412547746401"/>
    <n v="2234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4"/>
    <x v="4"/>
    <x v="9"/>
    <x v="2"/>
    <n v="7.1091384203779598E-2"/>
    <n v="9.0663462060967797E-3"/>
    <n v="0"/>
    <n v="0.708280305541507"/>
    <n v="2283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5"/>
    <x v="4"/>
    <x v="9"/>
    <x v="2"/>
    <n v="7.4702136248825296E-2"/>
    <n v="1.12926639218208E-2"/>
    <n v="0"/>
    <n v="0.85690707971304603"/>
    <n v="2363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6"/>
    <x v="4"/>
    <x v="9"/>
    <x v="2"/>
    <n v="6.5784366646589501E-2"/>
    <n v="3E+20"/>
    <n v="0"/>
    <n v="0.82012182052898197"/>
    <n v="2223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7"/>
    <x v="4"/>
    <x v="9"/>
    <x v="2"/>
    <n v="7.2057238693789799E-2"/>
    <n v="1.13096610545132E-2"/>
    <n v="0"/>
    <n v="0.79177746179016095"/>
    <n v="2273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8"/>
    <x v="4"/>
    <x v="9"/>
    <x v="2"/>
    <n v="7.0794249675670301E-2"/>
    <n v="7.3965281094457401E-3"/>
    <n v="0"/>
    <n v="0.72903218385124502"/>
    <n v="2192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29"/>
    <x v="4"/>
    <x v="9"/>
    <x v="2"/>
    <n v="7.05185356625075E-2"/>
    <n v="1.0326481008171099E-2"/>
    <n v="0"/>
    <n v="0.74518958977805005"/>
    <n v="2314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0"/>
    <x v="4"/>
    <x v="9"/>
    <x v="2"/>
    <n v="6.6376609538423406E-2"/>
    <n v="1.3478424523588901E-2"/>
    <n v="0"/>
    <n v="0.88415136918433701"/>
    <n v="2263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1"/>
    <x v="4"/>
    <x v="9"/>
    <x v="2"/>
    <n v="6.3037840354556299E-2"/>
    <n v="6.7468688866899398E-3"/>
    <n v="0"/>
    <n v="0.72105721404955103"/>
    <n v="2218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2"/>
    <x v="4"/>
    <x v="9"/>
    <x v="2"/>
    <n v="6.7816182302448902E-2"/>
    <n v="9.4797136369696305E-3"/>
    <n v="0"/>
    <n v="0.73697631924486695"/>
    <n v="2193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3"/>
    <x v="4"/>
    <x v="9"/>
    <x v="2"/>
    <n v="6.5603281752857706E-2"/>
    <n v="8.0810988775662194E-3"/>
    <n v="0"/>
    <n v="0.59601976952286895"/>
    <n v="2271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4"/>
    <x v="4"/>
    <x v="9"/>
    <x v="2"/>
    <n v="6.5340165371454206E-2"/>
    <n v="1.0969671115584299E-2"/>
    <n v="0"/>
    <n v="0.87702435119342703"/>
    <n v="2282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5"/>
    <x v="4"/>
    <x v="9"/>
    <x v="2"/>
    <n v="7.3293051864446096E-2"/>
    <n v="1.28621122650606E-2"/>
    <n v="0"/>
    <n v="0.95490986707056902"/>
    <n v="2306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6"/>
    <x v="4"/>
    <x v="9"/>
    <x v="2"/>
    <n v="7.2338614078248695E-2"/>
    <n v="1.2198095575528501E-2"/>
    <n v="0"/>
    <n v="1.05431619392266"/>
    <n v="2263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7"/>
    <x v="4"/>
    <x v="9"/>
    <x v="2"/>
    <n v="6.6832812547823903E-2"/>
    <n v="1.2218572783164201E-2"/>
    <n v="0"/>
    <n v="1.0976406710825599"/>
    <n v="2279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8"/>
    <x v="4"/>
    <x v="9"/>
    <x v="2"/>
    <n v="6.9716958707278495E-2"/>
    <n v="1.33215432238704E-2"/>
    <n v="0"/>
    <n v="0.80614505692230398"/>
    <n v="2261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39"/>
    <x v="4"/>
    <x v="9"/>
    <x v="2"/>
    <n v="6.2176739405864101E-2"/>
    <n v="7.7345856601585897E-3"/>
    <n v="0"/>
    <n v="0.56896884410738802"/>
    <n v="2256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0"/>
    <x v="4"/>
    <x v="9"/>
    <x v="2"/>
    <n v="6.7949701541012902E-2"/>
    <n v="7.4079095647682997E-3"/>
    <n v="0"/>
    <n v="0.98661305285054401"/>
    <n v="2256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1"/>
    <x v="4"/>
    <x v="9"/>
    <x v="2"/>
    <n v="6.0388530589187001E-2"/>
    <n v="3E+20"/>
    <n v="0"/>
    <n v="0.84073249498726499"/>
    <n v="2212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2"/>
    <x v="4"/>
    <x v="9"/>
    <x v="2"/>
    <n v="7.29809670145843E-2"/>
    <n v="1.2616265455194699E-2"/>
    <n v="0"/>
    <n v="0.84432274578364297"/>
    <n v="2286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3"/>
    <x v="4"/>
    <x v="9"/>
    <x v="2"/>
    <n v="6.3125843187137098E-2"/>
    <n v="7.0902686894228802E-3"/>
    <n v="0"/>
    <n v="0.66233602153960203"/>
    <n v="2226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4"/>
    <x v="4"/>
    <x v="9"/>
    <x v="2"/>
    <n v="6.8807119795718102E-2"/>
    <n v="1.21056284137871E-2"/>
    <n v="0"/>
    <n v="0.74316777530668798"/>
    <n v="2190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5"/>
    <x v="4"/>
    <x v="9"/>
    <x v="2"/>
    <n v="6.5086798544389798E-2"/>
    <n v="1.13652362511301E-2"/>
    <n v="0"/>
    <n v="0.68972426305083401"/>
    <n v="2292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6"/>
    <x v="4"/>
    <x v="9"/>
    <x v="2"/>
    <n v="6.6795071501196401E-2"/>
    <n v="9.4575531212910697E-3"/>
    <n v="0"/>
    <n v="0.65130237752543996"/>
    <n v="2283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7"/>
    <x v="4"/>
    <x v="9"/>
    <x v="2"/>
    <n v="7.4201677159652701E-2"/>
    <n v="9.2218129857270098E-3"/>
    <n v="0"/>
    <n v="0.72955494173498903"/>
    <n v="2316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8"/>
    <x v="4"/>
    <x v="9"/>
    <x v="2"/>
    <n v="6.7324102032683797E-2"/>
    <n v="7.0210655360831197E-3"/>
    <n v="0"/>
    <n v="0.74535274404490803"/>
    <n v="2275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49"/>
    <x v="4"/>
    <x v="9"/>
    <x v="2"/>
    <n v="5.9368325950584597E-2"/>
    <n v="5.4321399696575998E-3"/>
    <n v="0"/>
    <n v="0.65880988933959395"/>
    <n v="2239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50"/>
    <x v="4"/>
    <x v="9"/>
    <x v="2"/>
    <n v="6.9432881988610196E-2"/>
    <n v="1.17671893383828E-2"/>
    <n v="0"/>
    <n v="0.77893442727810203"/>
    <n v="2292"/>
    <s v="PacientesRegistro.QueueWaiting TimeQueue"/>
    <n v="50"/>
    <n v="6.8098620832941548E-2"/>
    <n v="4.6428415306316098E-3"/>
    <n v="0.95"/>
    <n v="1.3194809635704845E-3"/>
    <n v="5.5993386493398203E-2"/>
    <n v="7.8817469083508104E-2"/>
    <n v="0"/>
    <n v="1.2170108122512"/>
    <n v="2263.14"/>
    <n v="1.3194809635704845E-3"/>
    <n v="50"/>
    <n v="1"/>
  </r>
  <r>
    <x v="0"/>
    <s v="2025-05-22 00:30:31"/>
    <n v="1"/>
    <x v="5"/>
    <x v="10"/>
    <x v="3"/>
    <n v="1.62742875461073"/>
    <n v="0.33025859689451997"/>
    <n v="0.24569792864633699"/>
    <n v="17.289202716166201"/>
    <n v="2423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"/>
    <x v="5"/>
    <x v="10"/>
    <x v="3"/>
    <n v="1.2740048509709201"/>
    <n v="3E+20"/>
    <n v="0.24090578776761601"/>
    <n v="9.3870565269969894"/>
    <n v="2398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"/>
    <x v="5"/>
    <x v="10"/>
    <x v="3"/>
    <n v="1.30607988272722"/>
    <n v="0.21084686703837999"/>
    <n v="0.21677352216357801"/>
    <n v="12.5668743600623"/>
    <n v="2361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"/>
    <x v="5"/>
    <x v="10"/>
    <x v="3"/>
    <n v="1.6022225536824"/>
    <n v="0.38949152391181402"/>
    <n v="0.23955856428921199"/>
    <n v="19.872147986401"/>
    <n v="2371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5"/>
    <x v="5"/>
    <x v="10"/>
    <x v="3"/>
    <n v="1.33154793093313"/>
    <n v="3E+20"/>
    <n v="0.22737467353891799"/>
    <n v="14.4932557652953"/>
    <n v="2336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6"/>
    <x v="5"/>
    <x v="10"/>
    <x v="3"/>
    <n v="1.55450247197532"/>
    <n v="0.25103246155707198"/>
    <n v="0.25328199532430101"/>
    <n v="12.3347031709779"/>
    <n v="2504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7"/>
    <x v="5"/>
    <x v="10"/>
    <x v="3"/>
    <n v="1.43484844458477"/>
    <n v="0.221979306487883"/>
    <n v="0.25221005455790602"/>
    <n v="14.7359788524615"/>
    <n v="2394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8"/>
    <x v="5"/>
    <x v="10"/>
    <x v="3"/>
    <n v="1.4277982365641699"/>
    <n v="0.21978549231637801"/>
    <n v="0.203133309337034"/>
    <n v="10.0898139807387"/>
    <n v="2403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9"/>
    <x v="5"/>
    <x v="10"/>
    <x v="3"/>
    <n v="1.90819944816471"/>
    <n v="3E+20"/>
    <n v="0.28046973229794497"/>
    <n v="18.771074116146298"/>
    <n v="2429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0"/>
    <x v="5"/>
    <x v="10"/>
    <x v="3"/>
    <n v="1.68679802162334"/>
    <n v="0.31050581323780102"/>
    <n v="0.24344814900564399"/>
    <n v="18.334100703269801"/>
    <n v="2502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1"/>
    <x v="5"/>
    <x v="10"/>
    <x v="3"/>
    <n v="1.5461174275696401"/>
    <n v="0.365667892712982"/>
    <n v="0.25291142575252901"/>
    <n v="17.454852447716402"/>
    <n v="2446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2"/>
    <x v="5"/>
    <x v="10"/>
    <x v="3"/>
    <n v="1.7141539297874"/>
    <n v="0.29086539711008402"/>
    <n v="0.26404548710593201"/>
    <n v="15.072334208210499"/>
    <n v="2400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3"/>
    <x v="5"/>
    <x v="10"/>
    <x v="3"/>
    <n v="1.4246960564115601"/>
    <n v="0.238181521223012"/>
    <n v="0.27081192516368402"/>
    <n v="13.594601015219199"/>
    <n v="2406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4"/>
    <x v="5"/>
    <x v="10"/>
    <x v="3"/>
    <n v="1.4071991674147599"/>
    <n v="3E+20"/>
    <n v="0.23269038907210399"/>
    <n v="14.155157162755"/>
    <n v="2370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5"/>
    <x v="5"/>
    <x v="10"/>
    <x v="3"/>
    <n v="1.84495595309161"/>
    <n v="0.369635139422824"/>
    <n v="0.23983496785717801"/>
    <n v="16.405426129444201"/>
    <n v="2503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6"/>
    <x v="5"/>
    <x v="10"/>
    <x v="3"/>
    <n v="1.8208771780639701"/>
    <n v="3E+20"/>
    <n v="0.24200645872957699"/>
    <n v="22.449885649638201"/>
    <n v="2358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7"/>
    <x v="5"/>
    <x v="10"/>
    <x v="3"/>
    <n v="1.36944296488853"/>
    <n v="0.21040033889739701"/>
    <n v="0.225434982354869"/>
    <n v="10.653650381020601"/>
    <n v="2381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8"/>
    <x v="5"/>
    <x v="10"/>
    <x v="3"/>
    <n v="1.2801425119912"/>
    <n v="0.175536136166457"/>
    <n v="0.26875556797904199"/>
    <n v="9.1173603752845302"/>
    <n v="2349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9"/>
    <x v="5"/>
    <x v="10"/>
    <x v="3"/>
    <n v="1.37037969098456"/>
    <n v="0.159939919782906"/>
    <n v="0.235242064692784"/>
    <n v="13.5714911561272"/>
    <n v="2352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0"/>
    <x v="5"/>
    <x v="10"/>
    <x v="3"/>
    <n v="1.27665447312062"/>
    <n v="0.16064088666132201"/>
    <n v="0.25312886827214198"/>
    <n v="10.791703986837801"/>
    <n v="2411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1"/>
    <x v="5"/>
    <x v="10"/>
    <x v="3"/>
    <n v="1.31052666107267"/>
    <n v="0.223195097670184"/>
    <n v="0.24767259257788499"/>
    <n v="13.183630137863"/>
    <n v="2305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2"/>
    <x v="5"/>
    <x v="10"/>
    <x v="3"/>
    <n v="1.7233879808416499"/>
    <n v="0.26562644213818598"/>
    <n v="0.24649430687509299"/>
    <n v="12.280484162270101"/>
    <n v="2428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3"/>
    <x v="5"/>
    <x v="10"/>
    <x v="3"/>
    <n v="1.52481024786151"/>
    <n v="0.26612583856831801"/>
    <n v="0.25537359107277202"/>
    <n v="12.334827344051501"/>
    <n v="2377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4"/>
    <x v="5"/>
    <x v="10"/>
    <x v="3"/>
    <n v="1.989772475788"/>
    <n v="3E+20"/>
    <n v="0.26692020674048"/>
    <n v="29.554686467573401"/>
    <n v="2420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5"/>
    <x v="5"/>
    <x v="10"/>
    <x v="3"/>
    <n v="1.8669068192460201"/>
    <n v="0.35112895172354802"/>
    <n v="0.24872380162798199"/>
    <n v="15.133604010751901"/>
    <n v="2504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6"/>
    <x v="5"/>
    <x v="10"/>
    <x v="3"/>
    <n v="1.37883858039588"/>
    <n v="0.19569383168662799"/>
    <n v="0.26669007181510601"/>
    <n v="10.460423694364501"/>
    <n v="2350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7"/>
    <x v="5"/>
    <x v="10"/>
    <x v="3"/>
    <n v="2.06387223343107"/>
    <n v="0.57167525624932802"/>
    <n v="0.254713097965521"/>
    <n v="22.955794108810998"/>
    <n v="2414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8"/>
    <x v="5"/>
    <x v="10"/>
    <x v="3"/>
    <n v="1.60827089837508"/>
    <n v="0.26517449667618898"/>
    <n v="0.27535644402513498"/>
    <n v="11.369615117517601"/>
    <n v="2339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29"/>
    <x v="5"/>
    <x v="10"/>
    <x v="3"/>
    <n v="1.62322746355013"/>
    <n v="3E+20"/>
    <n v="0.264062188716366"/>
    <n v="23.5430291492147"/>
    <n v="2440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0"/>
    <x v="5"/>
    <x v="10"/>
    <x v="3"/>
    <n v="1.74095527196454"/>
    <n v="3E+20"/>
    <n v="0.25317126017483799"/>
    <n v="19.533541523756899"/>
    <n v="2416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1"/>
    <x v="5"/>
    <x v="10"/>
    <x v="3"/>
    <n v="1.2189608124892199"/>
    <n v="0.14489808483758501"/>
    <n v="0.235540746690624"/>
    <n v="10.5148892281978"/>
    <n v="2344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2"/>
    <x v="5"/>
    <x v="10"/>
    <x v="3"/>
    <n v="1.2864924362621499"/>
    <n v="0.14879511694414399"/>
    <n v="0.23018746572927301"/>
    <n v="11.749548532490101"/>
    <n v="2331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3"/>
    <x v="5"/>
    <x v="10"/>
    <x v="3"/>
    <n v="1.39613516729193"/>
    <n v="0.18405682165880899"/>
    <n v="0.246016273962709"/>
    <n v="10.6142811553326"/>
    <n v="2414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4"/>
    <x v="5"/>
    <x v="10"/>
    <x v="3"/>
    <n v="1.46454755903288"/>
    <n v="0.27465390096683601"/>
    <n v="0.26885543374333998"/>
    <n v="17.730339065876802"/>
    <n v="2412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5"/>
    <x v="5"/>
    <x v="10"/>
    <x v="3"/>
    <n v="1.3703574372540399"/>
    <n v="0.19413262448975499"/>
    <n v="0.24786367069259499"/>
    <n v="13.7369407914641"/>
    <n v="2436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6"/>
    <x v="5"/>
    <x v="10"/>
    <x v="3"/>
    <n v="1.21830768607881"/>
    <n v="0.123333552213824"/>
    <n v="0.25267791701713799"/>
    <n v="8.7766043892596599"/>
    <n v="2393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7"/>
    <x v="5"/>
    <x v="10"/>
    <x v="3"/>
    <n v="1.6815804756222701"/>
    <n v="3E+20"/>
    <n v="0.240195896727016"/>
    <n v="25.838501022951501"/>
    <n v="2409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8"/>
    <x v="5"/>
    <x v="10"/>
    <x v="3"/>
    <n v="1.41262294715223"/>
    <n v="0.197370449662993"/>
    <n v="0.23788649934084599"/>
    <n v="14.375775347160999"/>
    <n v="2407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39"/>
    <x v="5"/>
    <x v="10"/>
    <x v="3"/>
    <n v="1.24029061995464"/>
    <n v="0.102355640921583"/>
    <n v="0.22971885375182"/>
    <n v="7.5706155695615402"/>
    <n v="2400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0"/>
    <x v="5"/>
    <x v="10"/>
    <x v="3"/>
    <n v="1.3315453444355201"/>
    <n v="3E+20"/>
    <n v="0.23885971800285699"/>
    <n v="14.5456892848898"/>
    <n v="2378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1"/>
    <x v="5"/>
    <x v="10"/>
    <x v="3"/>
    <n v="1.31070450560719"/>
    <n v="0.204042606942649"/>
    <n v="0.231158987675258"/>
    <n v="12.758218320237001"/>
    <n v="2335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2"/>
    <x v="5"/>
    <x v="10"/>
    <x v="3"/>
    <n v="1.4093685831470899"/>
    <n v="3E+20"/>
    <n v="0.27286426164494099"/>
    <n v="15.4434518189065"/>
    <n v="2421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3"/>
    <x v="5"/>
    <x v="10"/>
    <x v="3"/>
    <n v="1.4104262520833299"/>
    <n v="3E+20"/>
    <n v="0.24585752805967301"/>
    <n v="13.518838976587"/>
    <n v="2363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4"/>
    <x v="5"/>
    <x v="10"/>
    <x v="3"/>
    <n v="1.2718915560381501"/>
    <n v="0.147268572357931"/>
    <n v="0.27501313414586498"/>
    <n v="10.548453602206701"/>
    <n v="2339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5"/>
    <x v="5"/>
    <x v="10"/>
    <x v="3"/>
    <n v="1.4029710145827901"/>
    <n v="0.211073628443574"/>
    <n v="0.242929417660775"/>
    <n v="11.3052200021875"/>
    <n v="2434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6"/>
    <x v="5"/>
    <x v="10"/>
    <x v="3"/>
    <n v="1.4988282406831199"/>
    <n v="3E+20"/>
    <n v="0.25740903482147798"/>
    <n v="13.274833947345099"/>
    <n v="2429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7"/>
    <x v="5"/>
    <x v="10"/>
    <x v="3"/>
    <n v="1.6715362898562001"/>
    <n v="3E+20"/>
    <n v="0.248490123703277"/>
    <n v="24.642408099828401"/>
    <n v="2450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8"/>
    <x v="5"/>
    <x v="10"/>
    <x v="3"/>
    <n v="1.32921062936687"/>
    <n v="0.22382798837387999"/>
    <n v="0.231873147989063"/>
    <n v="14.8474430211882"/>
    <n v="2413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49"/>
    <x v="5"/>
    <x v="10"/>
    <x v="3"/>
    <n v="1.4165043639487001"/>
    <n v="0.20992983757747899"/>
    <n v="0.22914863277776501"/>
    <n v="12.295049315713101"/>
    <n v="2385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50"/>
    <x v="5"/>
    <x v="10"/>
    <x v="3"/>
    <n v="1.7689298518047201"/>
    <n v="3E+20"/>
    <n v="0.23986953287840199"/>
    <n v="19.1491845365926"/>
    <n v="2431"/>
    <s v="PacientesTiempoSistemaIntervalUser Specified"/>
    <n v="50"/>
    <n v="1.5029966070875795"/>
    <n v="0.21536222065849123"/>
    <n v="0.95"/>
    <n v="6.1205265903720704E-2"/>
    <n v="1.21830768607881"/>
    <n v="2.06387223343107"/>
    <n v="0.203133309337034"/>
    <n v="29.554686467573401"/>
    <n v="2400.2800000000002"/>
    <n v="6.1205265903720704E-2"/>
    <n v="50"/>
    <n v="1"/>
  </r>
  <r>
    <x v="0"/>
    <s v="2025-05-22 00:30:31"/>
    <n v="1"/>
    <x v="6"/>
    <x v="11"/>
    <x v="3"/>
    <n v="1.3435438791269201"/>
    <n v="2E+20"/>
    <n v="0.90853253007458101"/>
    <n v="2.2804859862650302"/>
    <n v="152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"/>
    <x v="6"/>
    <x v="11"/>
    <x v="3"/>
    <n v="1.3092696914117301"/>
    <n v="2E+20"/>
    <n v="0.87619786636179198"/>
    <n v="2.00076569681005"/>
    <n v="121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"/>
    <x v="6"/>
    <x v="11"/>
    <x v="3"/>
    <n v="1.3314927125860601"/>
    <n v="2E+20"/>
    <n v="0.84709824524605903"/>
    <n v="2.1099508695996301"/>
    <n v="148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"/>
    <x v="6"/>
    <x v="11"/>
    <x v="3"/>
    <n v="1.3451425318535799"/>
    <n v="2E+20"/>
    <n v="0.87717213804535299"/>
    <n v="2.48314742749039"/>
    <n v="144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5"/>
    <x v="6"/>
    <x v="11"/>
    <x v="3"/>
    <n v="1.3257769105233099"/>
    <n v="2E+20"/>
    <n v="0.82129535633845296"/>
    <n v="1.9355578690472199"/>
    <n v="137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6"/>
    <x v="6"/>
    <x v="11"/>
    <x v="3"/>
    <n v="1.32941078409942"/>
    <n v="2E+20"/>
    <n v="0.87227069600396601"/>
    <n v="2.4485712299993998"/>
    <n v="132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7"/>
    <x v="6"/>
    <x v="11"/>
    <x v="3"/>
    <n v="1.32907361555083"/>
    <n v="2E+20"/>
    <n v="0.81707812139489999"/>
    <n v="1.97257160492657"/>
    <n v="140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8"/>
    <x v="6"/>
    <x v="11"/>
    <x v="3"/>
    <n v="1.35116624791575"/>
    <n v="2E+20"/>
    <n v="0.91125972456325099"/>
    <n v="1.9539248372918201"/>
    <n v="140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9"/>
    <x v="6"/>
    <x v="11"/>
    <x v="3"/>
    <n v="1.3788835757915401"/>
    <n v="2E+20"/>
    <n v="0.89964519323669701"/>
    <n v="2.1833252205105498"/>
    <n v="177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0"/>
    <x v="6"/>
    <x v="11"/>
    <x v="3"/>
    <n v="1.32943489410565"/>
    <n v="2E+20"/>
    <n v="0.86490478156977701"/>
    <n v="1.9138711595273901"/>
    <n v="132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1"/>
    <x v="6"/>
    <x v="11"/>
    <x v="3"/>
    <n v="1.33804876693758"/>
    <n v="2E+20"/>
    <n v="0.88175904677482497"/>
    <n v="2.1588517144051602"/>
    <n v="139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2"/>
    <x v="6"/>
    <x v="11"/>
    <x v="3"/>
    <n v="1.36773550406796"/>
    <n v="2E+20"/>
    <n v="0.82871012983463299"/>
    <n v="2.0184985985189301"/>
    <n v="157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3"/>
    <x v="6"/>
    <x v="11"/>
    <x v="3"/>
    <n v="1.3241496737245799"/>
    <n v="2E+20"/>
    <n v="0.88052690230386998"/>
    <n v="2.26902595268706"/>
    <n v="146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4"/>
    <x v="6"/>
    <x v="11"/>
    <x v="3"/>
    <n v="1.3596275058712599"/>
    <n v="2E+20"/>
    <n v="0.831343945484605"/>
    <n v="2.57045502554206"/>
    <n v="137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5"/>
    <x v="6"/>
    <x v="11"/>
    <x v="3"/>
    <n v="1.31910000398255"/>
    <n v="2E+20"/>
    <n v="0.82883014761159801"/>
    <n v="2.2711064083417201"/>
    <n v="133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6"/>
    <x v="6"/>
    <x v="11"/>
    <x v="3"/>
    <n v="1.3565049724235601"/>
    <n v="2E+20"/>
    <n v="0.88688093023751002"/>
    <n v="2.1436623623404798"/>
    <n v="148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7"/>
    <x v="6"/>
    <x v="11"/>
    <x v="3"/>
    <n v="1.3423088204893601"/>
    <n v="2E+20"/>
    <n v="0.81279832598784196"/>
    <n v="1.9284673425160199"/>
    <n v="139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8"/>
    <x v="6"/>
    <x v="11"/>
    <x v="3"/>
    <n v="1.33449399410811"/>
    <n v="2E+20"/>
    <n v="0.92600364937067103"/>
    <n v="2.6529733763024002"/>
    <n v="137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9"/>
    <x v="6"/>
    <x v="11"/>
    <x v="3"/>
    <n v="1.3100850393719401"/>
    <n v="2E+20"/>
    <n v="0.82149464327483201"/>
    <n v="1.8589197459420499"/>
    <n v="128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0"/>
    <x v="6"/>
    <x v="11"/>
    <x v="3"/>
    <n v="1.3384062573767199"/>
    <n v="2E+20"/>
    <n v="0.89210470618809301"/>
    <n v="1.95290613718146"/>
    <n v="147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1"/>
    <x v="6"/>
    <x v="11"/>
    <x v="3"/>
    <n v="1.3275598104987001"/>
    <n v="2E+20"/>
    <n v="0.90881023226100399"/>
    <n v="1.9980471578469099"/>
    <n v="135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2"/>
    <x v="6"/>
    <x v="11"/>
    <x v="3"/>
    <n v="1.3767718347356299"/>
    <n v="2E+20"/>
    <n v="0.85087201274239999"/>
    <n v="2.24765798901214"/>
    <n v="150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3"/>
    <x v="6"/>
    <x v="11"/>
    <x v="3"/>
    <n v="1.3629557129463701"/>
    <n v="2E+20"/>
    <n v="0.94317982221028995"/>
    <n v="2.1000424217067999"/>
    <n v="148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4"/>
    <x v="6"/>
    <x v="11"/>
    <x v="3"/>
    <n v="1.36476978433575"/>
    <n v="2E+20"/>
    <n v="0.87199667261302205"/>
    <n v="2.1270398952281102"/>
    <n v="139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5"/>
    <x v="6"/>
    <x v="11"/>
    <x v="3"/>
    <n v="1.34778569925461"/>
    <n v="2E+20"/>
    <n v="0.88689069121130604"/>
    <n v="2.8790847793122198"/>
    <n v="146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6"/>
    <x v="6"/>
    <x v="11"/>
    <x v="3"/>
    <n v="1.35108055279949"/>
    <n v="2E+20"/>
    <n v="0.86823123422584603"/>
    <n v="2.0437352391543899"/>
    <n v="143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7"/>
    <x v="6"/>
    <x v="11"/>
    <x v="3"/>
    <n v="1.3377064600975399"/>
    <n v="2E+20"/>
    <n v="0.81540602101540605"/>
    <n v="2.0558150128829902"/>
    <n v="151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8"/>
    <x v="6"/>
    <x v="11"/>
    <x v="3"/>
    <n v="1.3885490468497199"/>
    <n v="2E+20"/>
    <n v="0.96876268484896899"/>
    <n v="2.2648641585757998"/>
    <n v="148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29"/>
    <x v="6"/>
    <x v="11"/>
    <x v="3"/>
    <n v="1.33264566070958"/>
    <n v="2E+20"/>
    <n v="0.89240167057414499"/>
    <n v="1.9378063401783301"/>
    <n v="132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0"/>
    <x v="6"/>
    <x v="11"/>
    <x v="3"/>
    <n v="1.31675287024304"/>
    <n v="2E+20"/>
    <n v="0.83634802146588105"/>
    <n v="1.9487382939384501"/>
    <n v="154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1"/>
    <x v="6"/>
    <x v="11"/>
    <x v="3"/>
    <n v="1.3354359454229501"/>
    <n v="2E+20"/>
    <n v="0.89461481634964501"/>
    <n v="2.3293483784973401"/>
    <n v="130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2"/>
    <x v="6"/>
    <x v="11"/>
    <x v="3"/>
    <n v="1.33467174723722"/>
    <n v="2E+20"/>
    <n v="0.84968915250215105"/>
    <n v="1.9565160127532999"/>
    <n v="143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3"/>
    <x v="6"/>
    <x v="11"/>
    <x v="3"/>
    <n v="1.3178035389720799"/>
    <n v="2E+20"/>
    <n v="0.86388895386778597"/>
    <n v="2.06163205834654"/>
    <n v="144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4"/>
    <x v="6"/>
    <x v="11"/>
    <x v="3"/>
    <n v="1.33337199397988"/>
    <n v="2E+20"/>
    <n v="0.83688319483769602"/>
    <n v="2.2478793964413599"/>
    <n v="136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5"/>
    <x v="6"/>
    <x v="11"/>
    <x v="3"/>
    <n v="1.3287387006887701"/>
    <n v="2E+20"/>
    <n v="0.82940644509415096"/>
    <n v="2.0429898054111999"/>
    <n v="133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6"/>
    <x v="6"/>
    <x v="11"/>
    <x v="3"/>
    <n v="1.29733858670444"/>
    <n v="2E+20"/>
    <n v="0.83511187805544296"/>
    <n v="1.9617933665613201"/>
    <n v="136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7"/>
    <x v="6"/>
    <x v="11"/>
    <x v="3"/>
    <n v="1.3750780673207601"/>
    <n v="2E+20"/>
    <n v="0.83170450615500602"/>
    <n v="2.7576036120476601"/>
    <n v="132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8"/>
    <x v="6"/>
    <x v="11"/>
    <x v="3"/>
    <n v="1.3154738900535801"/>
    <n v="2E+20"/>
    <n v="0.86816440791759697"/>
    <n v="1.90166456084421"/>
    <n v="146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39"/>
    <x v="6"/>
    <x v="11"/>
    <x v="3"/>
    <n v="1.35526257878761"/>
    <n v="2E+20"/>
    <n v="0.86599779556669898"/>
    <n v="2.1727958788791901"/>
    <n v="146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0"/>
    <x v="6"/>
    <x v="11"/>
    <x v="3"/>
    <n v="1.30083908224449"/>
    <n v="2E+20"/>
    <n v="0.83858919936602705"/>
    <n v="2.1655414120896701"/>
    <n v="130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1"/>
    <x v="6"/>
    <x v="11"/>
    <x v="3"/>
    <n v="1.32409323537576"/>
    <n v="2E+20"/>
    <n v="0.86567940206447203"/>
    <n v="1.9562625648159699"/>
    <n v="125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2"/>
    <x v="6"/>
    <x v="11"/>
    <x v="3"/>
    <n v="1.3450182788826499"/>
    <n v="2E+20"/>
    <n v="0.86633087361082095"/>
    <n v="2.1332667141603401"/>
    <n v="137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3"/>
    <x v="6"/>
    <x v="11"/>
    <x v="3"/>
    <n v="1.3385754921594799"/>
    <n v="2E+20"/>
    <n v="0.86421141279316804"/>
    <n v="1.9500729068802201"/>
    <n v="137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4"/>
    <x v="6"/>
    <x v="11"/>
    <x v="3"/>
    <n v="1.3199750973392199"/>
    <n v="2E+20"/>
    <n v="0.82169602149502896"/>
    <n v="2.06019339534339"/>
    <n v="155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5"/>
    <x v="6"/>
    <x v="11"/>
    <x v="3"/>
    <n v="1.35805459890233"/>
    <n v="2E+20"/>
    <n v="0.85505384219652603"/>
    <n v="2.09523251662119"/>
    <n v="142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6"/>
    <x v="6"/>
    <x v="11"/>
    <x v="3"/>
    <n v="1.3335648535155999"/>
    <n v="2E+20"/>
    <n v="0.86358951650640803"/>
    <n v="2.2871178154238399"/>
    <n v="146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7"/>
    <x v="6"/>
    <x v="11"/>
    <x v="3"/>
    <n v="1.3970236913396601"/>
    <n v="2E+20"/>
    <n v="0.87916037004038095"/>
    <n v="2.5446492483106899"/>
    <n v="137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8"/>
    <x v="6"/>
    <x v="11"/>
    <x v="3"/>
    <n v="1.33190929270731"/>
    <n v="2E+20"/>
    <n v="0.85905661629195196"/>
    <n v="2.0057270491487298"/>
    <n v="141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49"/>
    <x v="6"/>
    <x v="11"/>
    <x v="3"/>
    <n v="1.3563999524186801"/>
    <n v="2E+20"/>
    <n v="0.90784267044705302"/>
    <n v="2.3933165515201198"/>
    <n v="149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50"/>
    <x v="6"/>
    <x v="11"/>
    <x v="3"/>
    <n v="1.33763312197127"/>
    <n v="2E+20"/>
    <n v="0.83050935754507604"/>
    <n v="2.1205279187796902"/>
    <n v="141"/>
    <s v="PacientesTiempoTipo1NoneUser Specified"/>
    <n v="50"/>
    <n v="1.3401298911962516"/>
    <n v="2.1593609362650531E-2"/>
    <n v="0.95"/>
    <n v="6.1368358796684312E-3"/>
    <n v="1.29733858670444"/>
    <n v="1.3970236913396601"/>
    <n v="0.81279832598784196"/>
    <n v="2.8790847793122198"/>
    <n v="141.32"/>
    <n v="6.1368358796684312E-3"/>
    <n v="50"/>
    <n v="1"/>
  </r>
  <r>
    <x v="0"/>
    <s v="2025-05-22 00:30:31"/>
    <n v="1"/>
    <x v="7"/>
    <x v="11"/>
    <x v="3"/>
    <n v="1.2765742057897"/>
    <n v="2E+20"/>
    <n v="0.92060723871478001"/>
    <n v="2.1229089627323701"/>
    <n v="172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"/>
    <x v="7"/>
    <x v="11"/>
    <x v="3"/>
    <n v="1.3053045351246999"/>
    <n v="2E+20"/>
    <n v="0.86504340155251203"/>
    <n v="2.2810519548916899"/>
    <n v="199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"/>
    <x v="7"/>
    <x v="11"/>
    <x v="3"/>
    <n v="1.2731014645362699"/>
    <n v="2E+20"/>
    <n v="0.888999696324277"/>
    <n v="2.67486302238092"/>
    <n v="179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"/>
    <x v="7"/>
    <x v="11"/>
    <x v="3"/>
    <n v="1.2865981351223099"/>
    <n v="2E+20"/>
    <n v="0.86632543304585896"/>
    <n v="2.13781221944532"/>
    <n v="202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5"/>
    <x v="7"/>
    <x v="11"/>
    <x v="3"/>
    <n v="1.27166836996309"/>
    <n v="2E+20"/>
    <n v="0.90180952460943298"/>
    <n v="2.2205242001054999"/>
    <n v="166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6"/>
    <x v="7"/>
    <x v="11"/>
    <x v="3"/>
    <n v="1.33702572465267"/>
    <n v="2E+20"/>
    <n v="0.90419800745266299"/>
    <n v="2.5290819353771798"/>
    <n v="202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7"/>
    <x v="7"/>
    <x v="11"/>
    <x v="3"/>
    <n v="1.3098231545535399"/>
    <n v="2E+20"/>
    <n v="0.87035810837801397"/>
    <n v="2.7820709211761701"/>
    <n v="205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8"/>
    <x v="7"/>
    <x v="11"/>
    <x v="3"/>
    <n v="1.3145306481137"/>
    <n v="2E+20"/>
    <n v="0.92357678547605804"/>
    <n v="2.3000274472356099"/>
    <n v="183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9"/>
    <x v="7"/>
    <x v="11"/>
    <x v="3"/>
    <n v="1.3243328206701299"/>
    <n v="2E+20"/>
    <n v="0.83681889646004504"/>
    <n v="3.0421682918002899"/>
    <n v="191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0"/>
    <x v="7"/>
    <x v="11"/>
    <x v="3"/>
    <n v="1.30292951516884"/>
    <n v="2E+20"/>
    <n v="0.87094368074321005"/>
    <n v="2.4929903057222398"/>
    <n v="189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1"/>
    <x v="7"/>
    <x v="11"/>
    <x v="3"/>
    <n v="1.3268072218371401"/>
    <n v="2E+20"/>
    <n v="0.86678671979160504"/>
    <n v="3.7385284063050199"/>
    <n v="192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2"/>
    <x v="7"/>
    <x v="11"/>
    <x v="3"/>
    <n v="1.3171428146995601"/>
    <n v="2E+20"/>
    <n v="0.85977937863569298"/>
    <n v="2.84309591339218"/>
    <n v="197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3"/>
    <x v="7"/>
    <x v="11"/>
    <x v="3"/>
    <n v="1.31170984480442"/>
    <n v="2E+20"/>
    <n v="0.88099015202614295"/>
    <n v="2.9397652695614398"/>
    <n v="180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4"/>
    <x v="7"/>
    <x v="11"/>
    <x v="3"/>
    <n v="1.3300452107571299"/>
    <n v="2E+20"/>
    <n v="0.89066321908842405"/>
    <n v="3.3653317406477798"/>
    <n v="195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5"/>
    <x v="7"/>
    <x v="11"/>
    <x v="3"/>
    <n v="1.3422708208666001"/>
    <n v="2E+20"/>
    <n v="0.87205239431506198"/>
    <n v="2.67732273770716"/>
    <n v="198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6"/>
    <x v="7"/>
    <x v="11"/>
    <x v="3"/>
    <n v="1.2929335257107499"/>
    <n v="2E+20"/>
    <n v="0.85187542323717502"/>
    <n v="3.2061168827170299"/>
    <n v="177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7"/>
    <x v="7"/>
    <x v="11"/>
    <x v="3"/>
    <n v="1.2901229649435499"/>
    <n v="2E+20"/>
    <n v="0.875917481211275"/>
    <n v="2.5396352330374201"/>
    <n v="202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8"/>
    <x v="7"/>
    <x v="11"/>
    <x v="3"/>
    <n v="1.2797570373635401"/>
    <n v="2E+20"/>
    <n v="0.88735215142987101"/>
    <n v="2.8691921485720102"/>
    <n v="197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9"/>
    <x v="7"/>
    <x v="11"/>
    <x v="3"/>
    <n v="1.26932501644064"/>
    <n v="2E+20"/>
    <n v="0.913599690728915"/>
    <n v="2.0880991806270699"/>
    <n v="194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0"/>
    <x v="7"/>
    <x v="11"/>
    <x v="3"/>
    <n v="1.27280709106973"/>
    <n v="2E+20"/>
    <n v="0.90283079616850903"/>
    <n v="2.9751251947239998"/>
    <n v="192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1"/>
    <x v="7"/>
    <x v="11"/>
    <x v="3"/>
    <n v="1.2434623099776301"/>
    <n v="2E+20"/>
    <n v="0.83690913785460497"/>
    <n v="2.61631972057185"/>
    <n v="191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2"/>
    <x v="7"/>
    <x v="11"/>
    <x v="3"/>
    <n v="1.3092875994547699"/>
    <n v="2E+20"/>
    <n v="0.87452023625393605"/>
    <n v="2.9457489112327302"/>
    <n v="201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3"/>
    <x v="7"/>
    <x v="11"/>
    <x v="3"/>
    <n v="1.3392206008898599"/>
    <n v="2E+20"/>
    <n v="0.88453975741555302"/>
    <n v="2.4756899655982401"/>
    <n v="179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4"/>
    <x v="7"/>
    <x v="11"/>
    <x v="3"/>
    <n v="1.2913689280870499"/>
    <n v="2E+20"/>
    <n v="0.86359495961752197"/>
    <n v="2.3317034243451098"/>
    <n v="179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5"/>
    <x v="7"/>
    <x v="11"/>
    <x v="3"/>
    <n v="1.31776276003763"/>
    <n v="2E+20"/>
    <n v="0.88389200227335596"/>
    <n v="2.64533047337039"/>
    <n v="194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6"/>
    <x v="7"/>
    <x v="11"/>
    <x v="3"/>
    <n v="1.2902550282320999"/>
    <n v="2E+20"/>
    <n v="0.86303943145816198"/>
    <n v="3.4089638612739201"/>
    <n v="194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7"/>
    <x v="7"/>
    <x v="11"/>
    <x v="3"/>
    <n v="1.3253801371045"/>
    <n v="2E+20"/>
    <n v="0.90341486432214402"/>
    <n v="3.3603416137467499"/>
    <n v="208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8"/>
    <x v="7"/>
    <x v="11"/>
    <x v="3"/>
    <n v="1.34511985766981"/>
    <n v="2E+20"/>
    <n v="0.87053445833453202"/>
    <n v="3.3809637961939001"/>
    <n v="177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29"/>
    <x v="7"/>
    <x v="11"/>
    <x v="3"/>
    <n v="1.2906152239350599"/>
    <n v="2E+20"/>
    <n v="0.894237964087779"/>
    <n v="2.7750391171305799"/>
    <n v="184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0"/>
    <x v="7"/>
    <x v="11"/>
    <x v="3"/>
    <n v="1.2779523646936699"/>
    <n v="2E+20"/>
    <n v="0.88459188023909996"/>
    <n v="2.4610041417002999"/>
    <n v="191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1"/>
    <x v="7"/>
    <x v="11"/>
    <x v="3"/>
    <n v="1.3057698073202799"/>
    <n v="2E+20"/>
    <n v="0.88358414852893896"/>
    <n v="2.6899106948887899"/>
    <n v="182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2"/>
    <x v="7"/>
    <x v="11"/>
    <x v="3"/>
    <n v="1.2829989795872601"/>
    <n v="2E+20"/>
    <n v="0.91937746908558904"/>
    <n v="2.3147084116877701"/>
    <n v="206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3"/>
    <x v="7"/>
    <x v="11"/>
    <x v="3"/>
    <n v="1.29200049101422"/>
    <n v="2E+20"/>
    <n v="0.87207038865005904"/>
    <n v="2.3821818365845502"/>
    <n v="204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4"/>
    <x v="7"/>
    <x v="11"/>
    <x v="3"/>
    <n v="1.3127309806377501"/>
    <n v="2E+20"/>
    <n v="0.85977707818312898"/>
    <n v="2.8456360091257702"/>
    <n v="199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5"/>
    <x v="7"/>
    <x v="11"/>
    <x v="3"/>
    <n v="1.2657595217063"/>
    <n v="2E+20"/>
    <n v="0.88864051527860999"/>
    <n v="2.7916517005788801"/>
    <n v="178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6"/>
    <x v="7"/>
    <x v="11"/>
    <x v="3"/>
    <n v="1.2751993562096"/>
    <n v="2E+20"/>
    <n v="0.84213879910987499"/>
    <n v="2.6898940174848498"/>
    <n v="194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7"/>
    <x v="7"/>
    <x v="11"/>
    <x v="3"/>
    <n v="1.2903704626606001"/>
    <n v="2E+20"/>
    <n v="0.82883063937214296"/>
    <n v="2.9254801875991299"/>
    <n v="213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8"/>
    <x v="7"/>
    <x v="11"/>
    <x v="3"/>
    <n v="1.2892687243012499"/>
    <n v="2E+20"/>
    <n v="0.880699678380097"/>
    <n v="2.3378083855913601"/>
    <n v="185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39"/>
    <x v="7"/>
    <x v="11"/>
    <x v="3"/>
    <n v="1.2606145746451201"/>
    <n v="2E+20"/>
    <n v="0.87237581808568598"/>
    <n v="2.12997346833856"/>
    <n v="180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0"/>
    <x v="7"/>
    <x v="11"/>
    <x v="3"/>
    <n v="1.3031754333124099"/>
    <n v="2E+20"/>
    <n v="0.86630155695743805"/>
    <n v="2.8418889843296098"/>
    <n v="183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1"/>
    <x v="7"/>
    <x v="11"/>
    <x v="3"/>
    <n v="1.2572129776527901"/>
    <n v="2E+20"/>
    <n v="0.90973732508007299"/>
    <n v="2.3773040950045501"/>
    <n v="189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2"/>
    <x v="7"/>
    <x v="11"/>
    <x v="3"/>
    <n v="1.2652579203494201"/>
    <n v="2E+20"/>
    <n v="0.86048301020309703"/>
    <n v="2.8969413965459698"/>
    <n v="177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3"/>
    <x v="7"/>
    <x v="11"/>
    <x v="3"/>
    <n v="1.2576091481953899"/>
    <n v="2E+20"/>
    <n v="0.91693321779757797"/>
    <n v="2.0833883992029301"/>
    <n v="186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4"/>
    <x v="7"/>
    <x v="11"/>
    <x v="3"/>
    <n v="1.3019319183937399"/>
    <n v="2E+20"/>
    <n v="0.89983113169307705"/>
    <n v="2.54315122805765"/>
    <n v="169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5"/>
    <x v="7"/>
    <x v="11"/>
    <x v="3"/>
    <n v="1.27455653273598"/>
    <n v="2E+20"/>
    <n v="0.86036227098020401"/>
    <n v="2.3721732666208499"/>
    <n v="175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6"/>
    <x v="7"/>
    <x v="11"/>
    <x v="3"/>
    <n v="1.3031452322232999"/>
    <n v="2E+20"/>
    <n v="0.84766275334499097"/>
    <n v="2.6518576207222999"/>
    <n v="181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7"/>
    <x v="7"/>
    <x v="11"/>
    <x v="3"/>
    <n v="1.3448554309054099"/>
    <n v="2E+20"/>
    <n v="0.92433600206146604"/>
    <n v="3.0083750117078099"/>
    <n v="185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8"/>
    <x v="7"/>
    <x v="11"/>
    <x v="3"/>
    <n v="1.3058308850712199"/>
    <n v="2E+20"/>
    <n v="0.86090859184244595"/>
    <n v="2.6508721700534998"/>
    <n v="186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49"/>
    <x v="7"/>
    <x v="11"/>
    <x v="3"/>
    <n v="1.2614680248771799"/>
    <n v="2E+20"/>
    <n v="0.91752924755610399"/>
    <n v="2.45331835400179"/>
    <n v="194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50"/>
    <x v="7"/>
    <x v="11"/>
    <x v="3"/>
    <n v="1.2854339601244"/>
    <n v="2E+20"/>
    <n v="0.86067890235662503"/>
    <n v="2.50515856373312"/>
    <n v="195"/>
    <s v="PacientesTiempoTipo2NoneUser Specified"/>
    <n v="50"/>
    <n v="1.2960085058838744"/>
    <n v="2.5453427235258695E-2"/>
    <n v="0.95"/>
    <n v="7.2337839818498884E-3"/>
    <n v="1.2434623099776301"/>
    <n v="1.34511985766981"/>
    <n v="0.82883063937214296"/>
    <n v="3.7385284063050199"/>
    <n v="189.42"/>
    <n v="7.2337839818498884E-3"/>
    <n v="50"/>
    <n v="1"/>
  </r>
  <r>
    <x v="0"/>
    <s v="2025-05-22 00:30:31"/>
    <n v="1"/>
    <x v="8"/>
    <x v="11"/>
    <x v="3"/>
    <n v="1.0189767592861001"/>
    <n v="6.1542033634002402E-2"/>
    <n v="0.541403655028034"/>
    <n v="3.0831459710423799"/>
    <n v="482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"/>
    <x v="8"/>
    <x v="11"/>
    <x v="3"/>
    <n v="1.0157029127006401"/>
    <n v="6.6314720369056404E-2"/>
    <n v="0.55862353980546697"/>
    <n v="3.8252296621686201"/>
    <n v="419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"/>
    <x v="8"/>
    <x v="11"/>
    <x v="3"/>
    <n v="1.0055156346903"/>
    <n v="7.2281728429299294E-2"/>
    <n v="0.54138298242696703"/>
    <n v="4.64585583547046"/>
    <n v="423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"/>
    <x v="8"/>
    <x v="11"/>
    <x v="3"/>
    <n v="1.0736877981739601"/>
    <n v="7.3037334431382703E-2"/>
    <n v="0.56315496960593203"/>
    <n v="4.08325936233551"/>
    <n v="457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5"/>
    <x v="8"/>
    <x v="11"/>
    <x v="3"/>
    <n v="0.95501634543056202"/>
    <n v="3.4705958133107E-2"/>
    <n v="0.56996385911361402"/>
    <n v="2.3233739441041599"/>
    <n v="440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6"/>
    <x v="8"/>
    <x v="11"/>
    <x v="3"/>
    <n v="1.0273350720148899"/>
    <n v="6.1083720224049801E-2"/>
    <n v="0.58060829411783699"/>
    <n v="3.3940578216316601"/>
    <n v="474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7"/>
    <x v="8"/>
    <x v="11"/>
    <x v="3"/>
    <n v="1.04503180562674"/>
    <n v="5.3685043034145299E-2"/>
    <n v="0.57610983272897398"/>
    <n v="3.4815049556539202"/>
    <n v="416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8"/>
    <x v="8"/>
    <x v="11"/>
    <x v="3"/>
    <n v="0.99856818630489197"/>
    <n v="5.9249139614849899E-2"/>
    <n v="0.53890770951511502"/>
    <n v="2.87104276191178"/>
    <n v="430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9"/>
    <x v="8"/>
    <x v="11"/>
    <x v="3"/>
    <n v="1.06556897138257"/>
    <n v="9.8175309845270398E-2"/>
    <n v="0.52516841054853103"/>
    <n v="4.7527741487962203"/>
    <n v="429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0"/>
    <x v="8"/>
    <x v="11"/>
    <x v="3"/>
    <n v="1.01195733636614"/>
    <n v="5.3493182086211198E-2"/>
    <n v="0.57858454246917301"/>
    <n v="3.0968418235890498"/>
    <n v="471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1"/>
    <x v="8"/>
    <x v="11"/>
    <x v="3"/>
    <n v="0.99935144145042099"/>
    <n v="4.50214238615365E-2"/>
    <n v="0.56822214906947"/>
    <n v="3.4490059419188701"/>
    <n v="429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2"/>
    <x v="8"/>
    <x v="11"/>
    <x v="3"/>
    <n v="1.0635402426823899"/>
    <n v="7.0464941981188994E-2"/>
    <n v="0.59102911616002995"/>
    <n v="3.1617656432246699"/>
    <n v="439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3"/>
    <x v="8"/>
    <x v="11"/>
    <x v="3"/>
    <n v="1.0102354013730599"/>
    <n v="4.8228708452953101E-2"/>
    <n v="0.53362094055796705"/>
    <n v="2.8218596331918002"/>
    <n v="419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4"/>
    <x v="8"/>
    <x v="11"/>
    <x v="3"/>
    <n v="1.03684404692863"/>
    <n v="8.73624685114366E-2"/>
    <n v="0.54244488335552898"/>
    <n v="3.6941013364577202"/>
    <n v="433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5"/>
    <x v="8"/>
    <x v="11"/>
    <x v="3"/>
    <n v="1.06945778837811"/>
    <n v="8.4274916445168893E-2"/>
    <n v="0.57050536023842802"/>
    <n v="3.4658766040484998"/>
    <n v="499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6"/>
    <x v="8"/>
    <x v="11"/>
    <x v="3"/>
    <n v="1.0141181870392"/>
    <n v="6.9015979864265706E-2"/>
    <n v="0.56128911117536995"/>
    <n v="3.8089472504210602"/>
    <n v="407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7"/>
    <x v="8"/>
    <x v="11"/>
    <x v="3"/>
    <n v="1.01673018717625"/>
    <n v="7.1006049420158701E-2"/>
    <n v="0.565833217790214"/>
    <n v="3.2703740840354998"/>
    <n v="430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8"/>
    <x v="8"/>
    <x v="11"/>
    <x v="3"/>
    <n v="0.996905872297143"/>
    <n v="5.91465294238867E-2"/>
    <n v="0.55014010827034099"/>
    <n v="2.7074286549300299"/>
    <n v="421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9"/>
    <x v="8"/>
    <x v="11"/>
    <x v="3"/>
    <n v="0.99203530199499601"/>
    <n v="3.8468786947459199E-2"/>
    <n v="0.51401222690765302"/>
    <n v="2.6583691228910298"/>
    <n v="462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0"/>
    <x v="8"/>
    <x v="11"/>
    <x v="3"/>
    <n v="0.98322118939105096"/>
    <n v="4.7929433211533402E-2"/>
    <n v="0.52398989717951105"/>
    <n v="2.6969001237970001"/>
    <n v="415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1"/>
    <x v="8"/>
    <x v="11"/>
    <x v="3"/>
    <n v="0.99169070461944098"/>
    <n v="4.39342158851877E-2"/>
    <n v="0.56806632055861395"/>
    <n v="5.8546620722510996"/>
    <n v="430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2"/>
    <x v="8"/>
    <x v="11"/>
    <x v="3"/>
    <n v="1.07235747410381"/>
    <n v="0.104908404888426"/>
    <n v="0.59053000552667401"/>
    <n v="5.1724003860062497"/>
    <n v="438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3"/>
    <x v="8"/>
    <x v="11"/>
    <x v="3"/>
    <n v="1.0039224740255299"/>
    <n v="4.8160000536292297E-2"/>
    <n v="0.54578516813060696"/>
    <n v="3.0279172359533302"/>
    <n v="422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4"/>
    <x v="8"/>
    <x v="11"/>
    <x v="3"/>
    <n v="1.0780351018935601"/>
    <n v="8.5888942992609393E-2"/>
    <n v="0.54572539241371498"/>
    <n v="3.0121857429785499"/>
    <n v="445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5"/>
    <x v="8"/>
    <x v="11"/>
    <x v="3"/>
    <n v="1.0712070901016699"/>
    <n v="7.55767880098661E-2"/>
    <n v="0.58182127956183605"/>
    <n v="3.7533257090527701"/>
    <n v="487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6"/>
    <x v="8"/>
    <x v="11"/>
    <x v="3"/>
    <n v="1.02320674807996"/>
    <n v="7.8205785351149401E-2"/>
    <n v="0.58033209173066802"/>
    <n v="3.7296608716878801"/>
    <n v="433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7"/>
    <x v="8"/>
    <x v="11"/>
    <x v="3"/>
    <n v="1.04803224261156"/>
    <n v="5.3821681765876699E-2"/>
    <n v="0.56462889909761305"/>
    <n v="3.1538970260554602"/>
    <n v="461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8"/>
    <x v="8"/>
    <x v="11"/>
    <x v="3"/>
    <n v="1.10769496585296"/>
    <n v="9.9630795612499004E-2"/>
    <n v="0.56975677076536602"/>
    <n v="5.2908845486305696"/>
    <n v="434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29"/>
    <x v="8"/>
    <x v="11"/>
    <x v="3"/>
    <n v="0.99868318945402601"/>
    <n v="4.92080231405774E-2"/>
    <n v="0.54769584505540803"/>
    <n v="2.59804047071884"/>
    <n v="462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0"/>
    <x v="8"/>
    <x v="11"/>
    <x v="3"/>
    <n v="1.05971783602713"/>
    <n v="8.9689528627353604E-2"/>
    <n v="0.57904434252560599"/>
    <n v="4.0936347001549498"/>
    <n v="427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1"/>
    <x v="8"/>
    <x v="11"/>
    <x v="3"/>
    <n v="1.01751146724786"/>
    <n v="8.4204576096185202E-2"/>
    <n v="0.56827018267489404"/>
    <n v="4.2635657634704103"/>
    <n v="437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2"/>
    <x v="8"/>
    <x v="11"/>
    <x v="3"/>
    <n v="0.98584617353806403"/>
    <n v="3.9127409931465303E-2"/>
    <n v="0.53976788676305898"/>
    <n v="3.33235207012146"/>
    <n v="440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3"/>
    <x v="8"/>
    <x v="11"/>
    <x v="3"/>
    <n v="1.00440217919046"/>
    <n v="5.6546722079600598E-2"/>
    <n v="0.55496964688180095"/>
    <n v="3.3131650617685899"/>
    <n v="426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4"/>
    <x v="8"/>
    <x v="11"/>
    <x v="3"/>
    <n v="1.0007949490966801"/>
    <n v="5.8213935218318802E-2"/>
    <n v="0.54834937551566998"/>
    <n v="3.48045802194815"/>
    <n v="423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5"/>
    <x v="8"/>
    <x v="11"/>
    <x v="3"/>
    <n v="1.0068010618377801"/>
    <n v="4.1707730691211198E-2"/>
    <n v="0.58147248618490699"/>
    <n v="2.8430431432607302"/>
    <n v="445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6"/>
    <x v="8"/>
    <x v="11"/>
    <x v="3"/>
    <n v="0.98105337691968897"/>
    <n v="3.44630931435808E-2"/>
    <n v="0.57924423073632203"/>
    <n v="2.8311195865123899"/>
    <n v="398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7"/>
    <x v="8"/>
    <x v="11"/>
    <x v="3"/>
    <n v="1.02650908296264"/>
    <n v="0.10699603755537"/>
    <n v="0.52544568897697597"/>
    <n v="4.6715920091706398"/>
    <n v="430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8"/>
    <x v="8"/>
    <x v="11"/>
    <x v="3"/>
    <n v="1.0364881741215"/>
    <n v="7.9960658697953199E-2"/>
    <n v="0.57879967350032802"/>
    <n v="3.9515028017525"/>
    <n v="422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39"/>
    <x v="8"/>
    <x v="11"/>
    <x v="3"/>
    <n v="1.0195730272658099"/>
    <n v="5.9299555658905899E-2"/>
    <n v="0.54600869338168201"/>
    <n v="3.65458178425382"/>
    <n v="453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0"/>
    <x v="8"/>
    <x v="11"/>
    <x v="3"/>
    <n v="0.98069034771585695"/>
    <n v="4.3190484528400797E-2"/>
    <n v="0.56804898106670298"/>
    <n v="2.9121633277982801"/>
    <n v="456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1"/>
    <x v="8"/>
    <x v="11"/>
    <x v="3"/>
    <n v="0.999233372437351"/>
    <n v="5.97045989444119E-2"/>
    <n v="0.59009801878664803"/>
    <n v="4.42151037645203"/>
    <n v="433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2"/>
    <x v="8"/>
    <x v="11"/>
    <x v="3"/>
    <n v="0.971100321676028"/>
    <n v="4.6475362845889399E-2"/>
    <n v="0.52705006138245403"/>
    <n v="3.0016864896414299"/>
    <n v="408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3"/>
    <x v="8"/>
    <x v="11"/>
    <x v="3"/>
    <n v="1.0121934737979701"/>
    <n v="5.10899960059834E-2"/>
    <n v="0.552795647858495"/>
    <n v="2.9581787810957998"/>
    <n v="431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4"/>
    <x v="8"/>
    <x v="11"/>
    <x v="3"/>
    <n v="0.98286591789816102"/>
    <n v="4.4436718453377801E-2"/>
    <n v="0.53556285409149496"/>
    <n v="2.6845711893081998"/>
    <n v="430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5"/>
    <x v="8"/>
    <x v="11"/>
    <x v="3"/>
    <n v="1.00643482187432"/>
    <n v="5.9885997001370601E-2"/>
    <n v="0.57758153410099999"/>
    <n v="3.4823974264848498"/>
    <n v="444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6"/>
    <x v="8"/>
    <x v="11"/>
    <x v="3"/>
    <n v="1.01180939312624"/>
    <n v="5.9617576872942502E-2"/>
    <n v="0.54934849147949205"/>
    <n v="3.4099522922747401"/>
    <n v="433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7"/>
    <x v="8"/>
    <x v="11"/>
    <x v="3"/>
    <n v="1.01098922102829"/>
    <n v="3E+20"/>
    <n v="0.59150110027900404"/>
    <n v="3.3375917384713598"/>
    <n v="416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8"/>
    <x v="8"/>
    <x v="11"/>
    <x v="3"/>
    <n v="1.0103643723258799"/>
    <n v="4.8902379397537797E-2"/>
    <n v="0.59887684718422896"/>
    <n v="3.1514376094350198"/>
    <n v="425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49"/>
    <x v="8"/>
    <x v="11"/>
    <x v="3"/>
    <n v="1.0185806894454901"/>
    <n v="7.0990511454229396E-2"/>
    <n v="0.55001455949002298"/>
    <n v="3.6021588303301"/>
    <n v="430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50"/>
    <x v="8"/>
    <x v="11"/>
    <x v="3"/>
    <n v="1.0448470128574801"/>
    <n v="5.8766831669726599E-2"/>
    <n v="0.52406253892821997"/>
    <n v="4.4462258535650996"/>
    <n v="461"/>
    <s v="PacientesTiempoTipo3NoneUser Specified"/>
    <n v="50"/>
    <n v="1.0196487348764249"/>
    <n v="3.1758697374048607E-2"/>
    <n v="0.95"/>
    <n v="9.0257219283451061E-3"/>
    <n v="0.95501634543056202"/>
    <n v="1.10769496585296"/>
    <n v="0.51401222690765302"/>
    <n v="5.8546620722510996"/>
    <n v="437.5"/>
    <n v="9.0257219283451061E-3"/>
    <n v="50"/>
    <n v="1"/>
  </r>
  <r>
    <x v="0"/>
    <s v="2025-05-22 00:30:31"/>
    <n v="1"/>
    <x v="9"/>
    <x v="11"/>
    <x v="3"/>
    <n v="1.1533873133675701"/>
    <n v="0.20925953660250399"/>
    <n v="0.37198757846181302"/>
    <n v="7.6287695156000996"/>
    <n v="757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"/>
    <x v="9"/>
    <x v="11"/>
    <x v="3"/>
    <n v="0.98788238933767103"/>
    <n v="0.100884701239255"/>
    <n v="0.31806625622363099"/>
    <n v="4.0134119518272398"/>
    <n v="798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"/>
    <x v="9"/>
    <x v="11"/>
    <x v="3"/>
    <n v="1.0071537013334499"/>
    <n v="8.4944603088132301E-2"/>
    <n v="0.34663813655868803"/>
    <n v="7.1301610742308403"/>
    <n v="796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"/>
    <x v="9"/>
    <x v="11"/>
    <x v="3"/>
    <n v="1.24155053601065"/>
    <n v="0.22168137853124401"/>
    <n v="0.343445517110396"/>
    <n v="7.4136088673914697"/>
    <n v="759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5"/>
    <x v="9"/>
    <x v="11"/>
    <x v="3"/>
    <n v="0.99268591157069397"/>
    <n v="0.119126362205006"/>
    <n v="0.37661458220442501"/>
    <n v="5.0657055760133298"/>
    <n v="769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6"/>
    <x v="9"/>
    <x v="11"/>
    <x v="3"/>
    <n v="1.22456553720553"/>
    <n v="0.18203054269119001"/>
    <n v="0.37173604882229899"/>
    <n v="5.7689762655251098"/>
    <n v="851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7"/>
    <x v="9"/>
    <x v="11"/>
    <x v="3"/>
    <n v="1.07177067149438"/>
    <n v="0.116983699393767"/>
    <n v="0.342232136836287"/>
    <n v="4.5907546919930802"/>
    <n v="803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8"/>
    <x v="9"/>
    <x v="11"/>
    <x v="3"/>
    <n v="1.11718462338508"/>
    <n v="0.13654547133700001"/>
    <n v="0.33215962270423899"/>
    <n v="5.4640723671520801"/>
    <n v="815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9"/>
    <x v="9"/>
    <x v="11"/>
    <x v="3"/>
    <n v="1.36564593117694"/>
    <n v="0.31833494501498399"/>
    <n v="0.38612352794035598"/>
    <n v="8.3248243966916107"/>
    <n v="786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0"/>
    <x v="9"/>
    <x v="11"/>
    <x v="3"/>
    <n v="1.2044445578543099"/>
    <n v="0.18319206854973499"/>
    <n v="0.35233983364943799"/>
    <n v="6.09622682742972"/>
    <n v="843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1"/>
    <x v="9"/>
    <x v="11"/>
    <x v="3"/>
    <n v="1.0656477398856301"/>
    <n v="0.104361819038696"/>
    <n v="0.35054686705183302"/>
    <n v="4.9453977999027101"/>
    <n v="789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2"/>
    <x v="9"/>
    <x v="11"/>
    <x v="3"/>
    <n v="1.4337360021363801"/>
    <n v="0.249670870597375"/>
    <n v="0.35515926444949703"/>
    <n v="8.1688815043713703"/>
    <n v="792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3"/>
    <x v="9"/>
    <x v="11"/>
    <x v="3"/>
    <n v="1.0605058448799201"/>
    <n v="0.141865306212758"/>
    <n v="0.34264425644789798"/>
    <n v="6.5117907662970502"/>
    <n v="812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4"/>
    <x v="9"/>
    <x v="11"/>
    <x v="3"/>
    <n v="1.0680127546120399"/>
    <n v="3E+20"/>
    <n v="0.34000596814490802"/>
    <n v="8.12703007598952"/>
    <n v="761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5"/>
    <x v="9"/>
    <x v="11"/>
    <x v="3"/>
    <n v="1.2150754207294401"/>
    <n v="0.18467916804617299"/>
    <n v="0.33320251186182798"/>
    <n v="8.2043897551600402"/>
    <n v="793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6"/>
    <x v="9"/>
    <x v="11"/>
    <x v="3"/>
    <n v="1.07854336652963"/>
    <n v="0.15190657769570801"/>
    <n v="0.34379451649672899"/>
    <n v="5.7411560588266202"/>
    <n v="808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7"/>
    <x v="9"/>
    <x v="11"/>
    <x v="3"/>
    <n v="1.01382061811746"/>
    <n v="8.1353911430342901E-2"/>
    <n v="0.34676547245953798"/>
    <n v="5.2944097385076798"/>
    <n v="803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8"/>
    <x v="9"/>
    <x v="11"/>
    <x v="3"/>
    <n v="1.0257764546257599"/>
    <n v="0.107789586984585"/>
    <n v="0.33663019984089698"/>
    <n v="5.5077742237678002"/>
    <n v="780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9"/>
    <x v="9"/>
    <x v="11"/>
    <x v="3"/>
    <n v="1.1106583197795099"/>
    <n v="0.16960477295850401"/>
    <n v="0.35781173265149802"/>
    <n v="5.8134234363688204"/>
    <n v="780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0"/>
    <x v="9"/>
    <x v="11"/>
    <x v="3"/>
    <n v="0.98235581603876798"/>
    <n v="9.1252634836662905E-2"/>
    <n v="0.34865090069160898"/>
    <n v="4.8174424761253603"/>
    <n v="789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1"/>
    <x v="9"/>
    <x v="11"/>
    <x v="3"/>
    <n v="0.97990039911451099"/>
    <n v="8.3666323730393899E-2"/>
    <n v="0.35540743355022603"/>
    <n v="4.5479572530917398"/>
    <n v="736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2"/>
    <x v="9"/>
    <x v="11"/>
    <x v="3"/>
    <n v="1.3298169675159801"/>
    <n v="0.243067653022915"/>
    <n v="0.341236500933363"/>
    <n v="8.9896360774577602"/>
    <n v="769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3"/>
    <x v="9"/>
    <x v="11"/>
    <x v="3"/>
    <n v="1.11133672685725"/>
    <n v="0.13916474755000399"/>
    <n v="0.35865547303688999"/>
    <n v="6.1748100176026801"/>
    <n v="800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4"/>
    <x v="9"/>
    <x v="11"/>
    <x v="3"/>
    <n v="1.3136085296759901"/>
    <n v="3E+20"/>
    <n v="0.339504066426628"/>
    <n v="9.9062151562119993"/>
    <n v="803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5"/>
    <x v="9"/>
    <x v="11"/>
    <x v="3"/>
    <n v="1.3033822689319501"/>
    <n v="0.206055743454756"/>
    <n v="0.35373050594546401"/>
    <n v="6.42723733766391"/>
    <n v="820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6"/>
    <x v="9"/>
    <x v="11"/>
    <x v="3"/>
    <n v="1.1105676991292901"/>
    <n v="9.5395209849652204E-2"/>
    <n v="0.32117102404231401"/>
    <n v="7.2949912250162496"/>
    <n v="758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7"/>
    <x v="9"/>
    <x v="11"/>
    <x v="3"/>
    <n v="1.3085986416094699"/>
    <n v="0.25832160279418198"/>
    <n v="0.32014179808903998"/>
    <n v="7.1221849369499104"/>
    <n v="809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8"/>
    <x v="9"/>
    <x v="11"/>
    <x v="3"/>
    <n v="1.14737515434433"/>
    <n v="0.13970682290702099"/>
    <n v="0.36066275189392599"/>
    <n v="7.4779027571021297"/>
    <n v="773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29"/>
    <x v="9"/>
    <x v="11"/>
    <x v="3"/>
    <n v="1.1142713344130999"/>
    <n v="0.168851721493605"/>
    <n v="0.39888939026721498"/>
    <n v="5.6361267053417201"/>
    <n v="784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0"/>
    <x v="9"/>
    <x v="11"/>
    <x v="3"/>
    <n v="1.1494497350930799"/>
    <n v="0.181693847878593"/>
    <n v="0.352409343809029"/>
    <n v="8.0359334712708694"/>
    <n v="788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1"/>
    <x v="9"/>
    <x v="11"/>
    <x v="3"/>
    <n v="0.99499076375561002"/>
    <n v="8.3388720434108998E-2"/>
    <n v="0.34244475774299599"/>
    <n v="4.8182596534439304"/>
    <n v="782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2"/>
    <x v="9"/>
    <x v="11"/>
    <x v="3"/>
    <n v="1.05906642991735"/>
    <n v="0.105470019775516"/>
    <n v="0.35998986535105398"/>
    <n v="5.4847075395336402"/>
    <n v="777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3"/>
    <x v="9"/>
    <x v="11"/>
    <x v="3"/>
    <n v="1.06472571821952"/>
    <n v="0.11346181696379599"/>
    <n v="0.38047297581817902"/>
    <n v="6.80749781378017"/>
    <n v="776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4"/>
    <x v="9"/>
    <x v="11"/>
    <x v="3"/>
    <n v="1.0931877946786099"/>
    <n v="0.165187167368952"/>
    <n v="0.34702176242612398"/>
    <n v="6.5876654931868197"/>
    <n v="815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5"/>
    <x v="9"/>
    <x v="11"/>
    <x v="3"/>
    <n v="1.0529522212445099"/>
    <n v="0.11342254573749801"/>
    <n v="0.360154885216389"/>
    <n v="4.7656360269998004"/>
    <n v="821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6"/>
    <x v="9"/>
    <x v="11"/>
    <x v="3"/>
    <n v="1.02174501894101"/>
    <n v="8.2476215067297506E-2"/>
    <n v="0.34333550025507997"/>
    <n v="3.70121421370655"/>
    <n v="841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7"/>
    <x v="9"/>
    <x v="11"/>
    <x v="3"/>
    <n v="1.17480388618118"/>
    <n v="0.23002151960879499"/>
    <n v="0.34001064908244399"/>
    <n v="8.5619357728030501"/>
    <n v="822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8"/>
    <x v="9"/>
    <x v="11"/>
    <x v="3"/>
    <n v="1.0769288009007301"/>
    <n v="0.12227208853952"/>
    <n v="0.35956885445978098"/>
    <n v="5.9600512493514097"/>
    <n v="838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39"/>
    <x v="9"/>
    <x v="11"/>
    <x v="3"/>
    <n v="1.0271464746291299"/>
    <n v="9.6510695224403101E-2"/>
    <n v="0.35978833842079899"/>
    <n v="5.4000722046087599"/>
    <n v="773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0"/>
    <x v="9"/>
    <x v="11"/>
    <x v="3"/>
    <n v="0.96897044521179598"/>
    <n v="7.6161679573592198E-2"/>
    <n v="0.37427238544387398"/>
    <n v="4.5434233693869697"/>
    <n v="764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1"/>
    <x v="9"/>
    <x v="11"/>
    <x v="3"/>
    <n v="1.0048207645581799"/>
    <n v="0.10926235175742199"/>
    <n v="0.37429717510406102"/>
    <n v="5.1808968940704396"/>
    <n v="787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2"/>
    <x v="9"/>
    <x v="11"/>
    <x v="3"/>
    <n v="1.04596116733717"/>
    <n v="3E+20"/>
    <n v="0.362406877711066"/>
    <n v="6.3958542619265604"/>
    <n v="819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3"/>
    <x v="9"/>
    <x v="11"/>
    <x v="3"/>
    <n v="1.0378994208087899"/>
    <n v="8.6968193830171001E-2"/>
    <n v="0.36589666733084403"/>
    <n v="4.3822941616817799"/>
    <n v="775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4"/>
    <x v="9"/>
    <x v="11"/>
    <x v="3"/>
    <n v="0.99913050741759901"/>
    <n v="7.5451740461303804E-2"/>
    <n v="0.35373341217052701"/>
    <n v="4.6849296113753702"/>
    <n v="770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5"/>
    <x v="9"/>
    <x v="11"/>
    <x v="3"/>
    <n v="1.0600329670275099"/>
    <n v="0.107852643524495"/>
    <n v="0.35574106641979603"/>
    <n v="4.92665630858491"/>
    <n v="791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6"/>
    <x v="9"/>
    <x v="11"/>
    <x v="3"/>
    <n v="1.0278805465486001"/>
    <n v="0.11099330177177601"/>
    <n v="0.36441278401093802"/>
    <n v="5.1988567474909404"/>
    <n v="846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7"/>
    <x v="9"/>
    <x v="11"/>
    <x v="3"/>
    <n v="1.1645306162048199"/>
    <n v="0.19746524870843801"/>
    <n v="0.34065289584316399"/>
    <n v="7.0378274976915201"/>
    <n v="885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8"/>
    <x v="9"/>
    <x v="11"/>
    <x v="3"/>
    <n v="1.0507556553320201"/>
    <n v="0.13769108325878199"/>
    <n v="0.34948425008804002"/>
    <n v="5.2688192271549497"/>
    <n v="783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49"/>
    <x v="9"/>
    <x v="11"/>
    <x v="3"/>
    <n v="1.1049008652335599"/>
    <n v="0.138780664475771"/>
    <n v="0.35014217654474999"/>
    <n v="8.5889567802985898"/>
    <n v="768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50"/>
    <x v="9"/>
    <x v="11"/>
    <x v="3"/>
    <n v="1.19319147158196"/>
    <n v="0.156643434276282"/>
    <n v="0.34946274403307598"/>
    <n v="5.7339079548295002"/>
    <n v="761"/>
    <s v="PacientesTiempoTipo4NoneUser Specified"/>
    <n v="50"/>
    <n v="1.1102466500497086"/>
    <n v="0.11121646290597645"/>
    <n v="0.95"/>
    <n v="3.1607369037235981E-2"/>
    <n v="0.96897044521179598"/>
    <n v="1.4337360021363801"/>
    <n v="0.31806625622363099"/>
    <n v="9.9062151562119993"/>
    <n v="794.36"/>
    <n v="3.1607369037235981E-2"/>
    <n v="50"/>
    <n v="1"/>
  </r>
  <r>
    <x v="0"/>
    <s v="2025-05-22 00:30:31"/>
    <n v="1"/>
    <x v="10"/>
    <x v="11"/>
    <x v="3"/>
    <n v="2.5060574944226999"/>
    <n v="0.85659112600537302"/>
    <n v="0.24569792864633699"/>
    <n v="17.289202716166201"/>
    <n v="860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"/>
    <x v="10"/>
    <x v="11"/>
    <x v="3"/>
    <n v="1.6527023581470599"/>
    <n v="0.41041064246088499"/>
    <n v="0.24090578776761601"/>
    <n v="9.3870565269969894"/>
    <n v="861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"/>
    <x v="10"/>
    <x v="11"/>
    <x v="3"/>
    <n v="1.75666387701695"/>
    <n v="0.51897344196914996"/>
    <n v="0.21677352216357801"/>
    <n v="12.5668743600623"/>
    <n v="815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"/>
    <x v="10"/>
    <x v="11"/>
    <x v="3"/>
    <n v="2.3637381289267898"/>
    <n v="0.87910922910944"/>
    <n v="0.23955856428921199"/>
    <n v="19.872147986401"/>
    <n v="809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5"/>
    <x v="10"/>
    <x v="11"/>
    <x v="3"/>
    <n v="1.86187490596712"/>
    <n v="0.72399634330996898"/>
    <n v="0.22737467353891799"/>
    <n v="14.4932557652953"/>
    <n v="824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6"/>
    <x v="10"/>
    <x v="11"/>
    <x v="3"/>
    <n v="2.26964576763107"/>
    <n v="0.66568226958578103"/>
    <n v="0.25328199532430101"/>
    <n v="12.3347031709779"/>
    <n v="845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7"/>
    <x v="10"/>
    <x v="11"/>
    <x v="3"/>
    <n v="2.0302145097887201"/>
    <n v="0.60370273951580899"/>
    <n v="0.25221005455790602"/>
    <n v="14.7359788524615"/>
    <n v="830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8"/>
    <x v="10"/>
    <x v="11"/>
    <x v="3"/>
    <n v="1.98968501913861"/>
    <n v="0.50168995188596699"/>
    <n v="0.203133309337034"/>
    <n v="10.0898139807387"/>
    <n v="835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9"/>
    <x v="10"/>
    <x v="11"/>
    <x v="3"/>
    <n v="3.0821273135943299"/>
    <n v="1.0440991845783101"/>
    <n v="0.28046973229794497"/>
    <n v="18.771074116146298"/>
    <n v="846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10"/>
    <x v="10"/>
    <x v="11"/>
    <x v="3"/>
    <n v="2.6604969988617202"/>
    <n v="0.68967704284394005"/>
    <n v="0.24344814900564399"/>
    <n v="18.334100703269801"/>
    <n v="867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11"/>
    <x v="10"/>
    <x v="11"/>
    <x v="3"/>
    <n v="2.3094198745666601"/>
    <n v="0.84847308577208302"/>
    <n v="0.25291142575252901"/>
    <n v="17.454852447716402"/>
    <n v="897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12"/>
    <x v="10"/>
    <x v="11"/>
    <x v="3"/>
    <n v="2.4998095001542202"/>
    <n v="0.65829420439299902"/>
    <n v="0.26404548710593201"/>
    <n v="15.072334208210499"/>
    <n v="815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13"/>
    <x v="10"/>
    <x v="11"/>
    <x v="3"/>
    <n v="2.0188053098702201"/>
    <n v="0.47500326239409502"/>
    <n v="0.27081192516368402"/>
    <n v="13.594601015219199"/>
    <n v="849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14"/>
    <x v="10"/>
    <x v="11"/>
    <x v="3"/>
    <n v="1.9285818291364001"/>
    <n v="0.59691878507804297"/>
    <n v="0.23269038907210399"/>
    <n v="14.155157162755"/>
    <n v="844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15"/>
    <x v="10"/>
    <x v="11"/>
    <x v="3"/>
    <n v="3.0448870255544298"/>
    <n v="0.97609560246624405"/>
    <n v="0.23983496785717801"/>
    <n v="16.405426129444201"/>
    <n v="880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16"/>
    <x v="10"/>
    <x v="11"/>
    <x v="3"/>
    <n v="3.1537986230127899"/>
    <n v="3E+20"/>
    <n v="0.24200645872957699"/>
    <n v="22.449885649638201"/>
    <n v="818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17"/>
    <x v="10"/>
    <x v="11"/>
    <x v="3"/>
    <n v="1.93576951375324"/>
    <n v="0.52832553211102995"/>
    <n v="0.225434982354869"/>
    <n v="10.653650381020601"/>
    <n v="807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18"/>
    <x v="10"/>
    <x v="11"/>
    <x v="3"/>
    <n v="1.6613193369394601"/>
    <n v="0.36945222844209102"/>
    <n v="0.26875556797904199"/>
    <n v="9.1173603752845302"/>
    <n v="814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19"/>
    <x v="10"/>
    <x v="11"/>
    <x v="3"/>
    <n v="1.8839584974833401"/>
    <n v="0.43087883817341799"/>
    <n v="0.235242064692784"/>
    <n v="13.5714911561272"/>
    <n v="788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0"/>
    <x v="10"/>
    <x v="11"/>
    <x v="3"/>
    <n v="1.67485451719144"/>
    <n v="0.41064493968563998"/>
    <n v="0.25312886827214198"/>
    <n v="10.791703986837801"/>
    <n v="868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1"/>
    <x v="10"/>
    <x v="11"/>
    <x v="3"/>
    <n v="1.79140022314245"/>
    <n v="0.55309910981457899"/>
    <n v="0.24767259257788499"/>
    <n v="13.183630137863"/>
    <n v="813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2"/>
    <x v="10"/>
    <x v="11"/>
    <x v="3"/>
    <n v="2.5544616242592202"/>
    <n v="0.58071049810261499"/>
    <n v="0.24649430687509299"/>
    <n v="12.280484162270101"/>
    <n v="870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3"/>
    <x v="10"/>
    <x v="11"/>
    <x v="3"/>
    <n v="2.2588301456121802"/>
    <n v="0.61991811587766499"/>
    <n v="0.25537359107277202"/>
    <n v="12.334827344051501"/>
    <n v="828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4"/>
    <x v="10"/>
    <x v="11"/>
    <x v="3"/>
    <n v="3.3487565381548698"/>
    <n v="3E+20"/>
    <n v="0.26692020674048"/>
    <n v="29.554686467573401"/>
    <n v="854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5"/>
    <x v="10"/>
    <x v="11"/>
    <x v="3"/>
    <n v="3.0710159561841999"/>
    <n v="0.69799203166930701"/>
    <n v="0.24872380162798199"/>
    <n v="15.133604010751901"/>
    <n v="857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6"/>
    <x v="10"/>
    <x v="11"/>
    <x v="3"/>
    <n v="1.83929176586901"/>
    <n v="0.51953671663829204"/>
    <n v="0.26669007181510601"/>
    <n v="10.460423694364501"/>
    <n v="822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7"/>
    <x v="10"/>
    <x v="11"/>
    <x v="3"/>
    <n v="3.7741600797505002"/>
    <n v="1.6193131462818999"/>
    <n v="0.254713097965521"/>
    <n v="22.955794108810998"/>
    <n v="785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8"/>
    <x v="10"/>
    <x v="11"/>
    <x v="3"/>
    <n v="2.4169684610528401"/>
    <n v="0.610718564911505"/>
    <n v="0.27535644402513498"/>
    <n v="11.369615117517601"/>
    <n v="807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29"/>
    <x v="10"/>
    <x v="11"/>
    <x v="3"/>
    <n v="2.5197177937778701"/>
    <n v="1.2839672223685901"/>
    <n v="0.264062188716366"/>
    <n v="23.5430291492147"/>
    <n v="878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0"/>
    <x v="10"/>
    <x v="11"/>
    <x v="3"/>
    <n v="2.8049219464433102"/>
    <n v="1.15296769087805"/>
    <n v="0.25317126017483799"/>
    <n v="19.533541523756899"/>
    <n v="856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1"/>
    <x v="10"/>
    <x v="11"/>
    <x v="3"/>
    <n v="1.50461510232873"/>
    <n v="0.28206358036221102"/>
    <n v="0.235540746690624"/>
    <n v="10.5148892281978"/>
    <n v="813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2"/>
    <x v="10"/>
    <x v="11"/>
    <x v="3"/>
    <n v="1.6823412900321999"/>
    <n v="0.37346949488815201"/>
    <n v="0.23018746572927301"/>
    <n v="11.749548532490101"/>
    <n v="765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3"/>
    <x v="10"/>
    <x v="11"/>
    <x v="3"/>
    <n v="1.9245787018406799"/>
    <n v="0.41734862795755501"/>
    <n v="0.246016273962709"/>
    <n v="10.6142811553326"/>
    <n v="864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4"/>
    <x v="10"/>
    <x v="11"/>
    <x v="3"/>
    <n v="2.1163675088536"/>
    <n v="0.71313927383778997"/>
    <n v="0.26885543374333998"/>
    <n v="17.730339065876802"/>
    <n v="839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5"/>
    <x v="10"/>
    <x v="11"/>
    <x v="3"/>
    <n v="1.8901781477717701"/>
    <n v="0.50364901425862296"/>
    <n v="0.24786367069259499"/>
    <n v="13.7369407914641"/>
    <n v="859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6"/>
    <x v="10"/>
    <x v="11"/>
    <x v="3"/>
    <n v="1.5070834526052199"/>
    <n v="0.28873393591351099"/>
    <n v="0.25267791701713799"/>
    <n v="8.7766043892596599"/>
    <n v="824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7"/>
    <x v="10"/>
    <x v="11"/>
    <x v="3"/>
    <n v="2.6939414436282298"/>
    <n v="3E+20"/>
    <n v="0.240195896727016"/>
    <n v="25.838501022951501"/>
    <n v="812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8"/>
    <x v="10"/>
    <x v="11"/>
    <x v="3"/>
    <n v="1.9972367490414"/>
    <n v="0.44934959481582198"/>
    <n v="0.23788649934084599"/>
    <n v="14.375775347160999"/>
    <n v="816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39"/>
    <x v="10"/>
    <x v="11"/>
    <x v="3"/>
    <n v="1.5283817473022301"/>
    <n v="0.22018159628357101"/>
    <n v="0.22971885375182"/>
    <n v="7.5706155695615402"/>
    <n v="848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0"/>
    <x v="10"/>
    <x v="11"/>
    <x v="3"/>
    <n v="1.85956973417688"/>
    <n v="0.71452913122372297"/>
    <n v="0.23885971800285699"/>
    <n v="14.5456892848898"/>
    <n v="845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1"/>
    <x v="10"/>
    <x v="11"/>
    <x v="3"/>
    <n v="1.7901474674429301"/>
    <n v="0.459584058277897"/>
    <n v="0.231158987675258"/>
    <n v="12.758218320237001"/>
    <n v="801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2"/>
    <x v="10"/>
    <x v="11"/>
    <x v="3"/>
    <n v="1.98978642772428"/>
    <n v="0.77584827431885905"/>
    <n v="0.27286426164494099"/>
    <n v="15.4434518189065"/>
    <n v="880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3"/>
    <x v="10"/>
    <x v="11"/>
    <x v="3"/>
    <n v="2.0082849536558598"/>
    <n v="0.557095714194346"/>
    <n v="0.24585752805967301"/>
    <n v="13.518838976587"/>
    <n v="834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4"/>
    <x v="10"/>
    <x v="11"/>
    <x v="3"/>
    <n v="1.66671028204827"/>
    <n v="0.36546164155037197"/>
    <n v="0.27501313414586498"/>
    <n v="10.548453602206701"/>
    <n v="815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5"/>
    <x v="10"/>
    <x v="11"/>
    <x v="3"/>
    <n v="1.9428539290143001"/>
    <n v="0.43016863770613101"/>
    <n v="0.242929417660775"/>
    <n v="11.3052200021875"/>
    <n v="882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6"/>
    <x v="10"/>
    <x v="11"/>
    <x v="3"/>
    <n v="2.3115232458928698"/>
    <n v="0.65568058689379005"/>
    <n v="0.25740903482147798"/>
    <n v="13.274833947345099"/>
    <n v="823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7"/>
    <x v="10"/>
    <x v="11"/>
    <x v="3"/>
    <n v="2.66492418189556"/>
    <n v="1.3682796132764601"/>
    <n v="0.248490123703277"/>
    <n v="24.642408099828401"/>
    <n v="827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8"/>
    <x v="10"/>
    <x v="11"/>
    <x v="3"/>
    <n v="1.73639516788588"/>
    <n v="0.50456250263921998"/>
    <n v="0.231873147989063"/>
    <n v="14.8474430211882"/>
    <n v="878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49"/>
    <x v="10"/>
    <x v="11"/>
    <x v="3"/>
    <n v="1.9490295702845499"/>
    <n v="3E+20"/>
    <n v="0.22914863277776501"/>
    <n v="12.295049315713101"/>
    <n v="844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  <r>
    <x v="0"/>
    <s v="2025-05-22 00:30:31"/>
    <n v="50"/>
    <x v="10"/>
    <x v="11"/>
    <x v="3"/>
    <n v="2.83082404869862"/>
    <n v="1.0754888610123501"/>
    <n v="0.23986953287840199"/>
    <n v="19.1491845365926"/>
    <n v="873"/>
    <s v="PacientesTiempoTipo5NoneUser Specified"/>
    <n v="50"/>
    <n v="2.205174161750556"/>
    <n v="0.52739992136034408"/>
    <n v="0.95"/>
    <n v="0.14988539923930494"/>
    <n v="1.50461510232873"/>
    <n v="3.7741600797505002"/>
    <n v="0.203133309337034"/>
    <n v="29.554686467573401"/>
    <n v="837.68"/>
    <n v="0.14988539923930494"/>
    <n v="5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0">
  <r>
    <x v="0"/>
    <s v="2025-05-22 00:30:31"/>
    <n v="1"/>
    <x v="0"/>
    <x v="0"/>
    <x v="0"/>
    <n v="2428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"/>
    <x v="1"/>
    <x v="1"/>
    <x v="0"/>
    <n v="2423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"/>
    <x v="2"/>
    <x v="2"/>
    <x v="1"/>
    <n v="1195.11651705684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"/>
    <x v="3"/>
    <x v="3"/>
    <x v="1"/>
    <n v="2255.2655843794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"/>
    <x v="4"/>
    <x v="0"/>
    <x v="1"/>
    <n v="2426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"/>
    <x v="5"/>
    <x v="1"/>
    <x v="1"/>
    <n v="2423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"/>
    <x v="6"/>
    <x v="2"/>
    <x v="1"/>
    <n v="339.70714665343797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"/>
    <x v="7"/>
    <x v="3"/>
    <x v="1"/>
    <n v="153.595059261677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"/>
    <x v="8"/>
    <x v="0"/>
    <x v="1"/>
    <n v="2275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"/>
    <x v="9"/>
    <x v="1"/>
    <x v="1"/>
    <n v="2273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"/>
    <x v="10"/>
    <x v="1"/>
    <x v="2"/>
    <n v="2423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"/>
    <x v="11"/>
    <x v="4"/>
    <x v="3"/>
    <n v="2425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"/>
    <x v="12"/>
    <x v="5"/>
    <x v="3"/>
    <n v="0.55361951090148798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"/>
    <x v="13"/>
    <x v="4"/>
    <x v="3"/>
    <n v="2425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"/>
    <x v="14"/>
    <x v="5"/>
    <x v="3"/>
    <n v="0.83042926635223202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"/>
    <x v="15"/>
    <x v="4"/>
    <x v="3"/>
    <n v="2274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"/>
    <x v="16"/>
    <x v="5"/>
    <x v="3"/>
    <n v="0.471946373937492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"/>
    <x v="0"/>
    <x v="0"/>
    <x v="0"/>
    <n v="2402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"/>
    <x v="1"/>
    <x v="1"/>
    <x v="0"/>
    <n v="2398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"/>
    <x v="2"/>
    <x v="2"/>
    <x v="1"/>
    <n v="1166.03458759339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"/>
    <x v="3"/>
    <x v="3"/>
    <x v="1"/>
    <n v="1401.08352612465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"/>
    <x v="4"/>
    <x v="0"/>
    <x v="1"/>
    <n v="2401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"/>
    <x v="5"/>
    <x v="1"/>
    <x v="1"/>
    <n v="2398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"/>
    <x v="6"/>
    <x v="2"/>
    <x v="1"/>
    <n v="341.31510221253899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"/>
    <x v="7"/>
    <x v="3"/>
    <x v="1"/>
    <n v="146.99246250027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"/>
    <x v="8"/>
    <x v="0"/>
    <x v="1"/>
    <n v="2281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"/>
    <x v="9"/>
    <x v="1"/>
    <x v="1"/>
    <n v="2280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"/>
    <x v="10"/>
    <x v="1"/>
    <x v="2"/>
    <n v="2398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"/>
    <x v="11"/>
    <x v="4"/>
    <x v="3"/>
    <n v="2400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"/>
    <x v="12"/>
    <x v="5"/>
    <x v="3"/>
    <n v="0.5400404880279120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"/>
    <x v="13"/>
    <x v="4"/>
    <x v="3"/>
    <n v="2400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"/>
    <x v="14"/>
    <x v="5"/>
    <x v="3"/>
    <n v="0.81006073204186801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"/>
    <x v="15"/>
    <x v="4"/>
    <x v="3"/>
    <n v="2281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"/>
    <x v="16"/>
    <x v="5"/>
    <x v="3"/>
    <n v="0.474092774519558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"/>
    <x v="0"/>
    <x v="0"/>
    <x v="0"/>
    <n v="2366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"/>
    <x v="1"/>
    <x v="1"/>
    <x v="0"/>
    <n v="2361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"/>
    <x v="2"/>
    <x v="2"/>
    <x v="1"/>
    <n v="1161.90521229403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"/>
    <x v="3"/>
    <x v="3"/>
    <x v="1"/>
    <n v="1468.064728999230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"/>
    <x v="4"/>
    <x v="0"/>
    <x v="1"/>
    <n v="2364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"/>
    <x v="5"/>
    <x v="1"/>
    <x v="1"/>
    <n v="2361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"/>
    <x v="6"/>
    <x v="2"/>
    <x v="1"/>
    <n v="330.370007121081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"/>
    <x v="7"/>
    <x v="3"/>
    <x v="1"/>
    <n v="123.901613974094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"/>
    <x v="8"/>
    <x v="0"/>
    <x v="1"/>
    <n v="2218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"/>
    <x v="9"/>
    <x v="1"/>
    <x v="1"/>
    <n v="2216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"/>
    <x v="10"/>
    <x v="1"/>
    <x v="2"/>
    <n v="2361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"/>
    <x v="11"/>
    <x v="4"/>
    <x v="3"/>
    <n v="2363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"/>
    <x v="12"/>
    <x v="5"/>
    <x v="3"/>
    <n v="0.53825197371438604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"/>
    <x v="13"/>
    <x v="4"/>
    <x v="3"/>
    <n v="2363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"/>
    <x v="14"/>
    <x v="5"/>
    <x v="3"/>
    <n v="0.80737796057157996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"/>
    <x v="15"/>
    <x v="4"/>
    <x v="3"/>
    <n v="2217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"/>
    <x v="16"/>
    <x v="5"/>
    <x v="3"/>
    <n v="0.45904858330157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"/>
    <x v="0"/>
    <x v="0"/>
    <x v="0"/>
    <n v="2375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"/>
    <x v="1"/>
    <x v="1"/>
    <x v="0"/>
    <n v="2371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"/>
    <x v="2"/>
    <x v="2"/>
    <x v="1"/>
    <n v="1183.73427169008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"/>
    <x v="3"/>
    <x v="3"/>
    <x v="1"/>
    <n v="2142.33418463186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"/>
    <x v="4"/>
    <x v="0"/>
    <x v="1"/>
    <n v="2374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"/>
    <x v="5"/>
    <x v="1"/>
    <x v="1"/>
    <n v="2371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"/>
    <x v="6"/>
    <x v="2"/>
    <x v="1"/>
    <n v="333.7580743147850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"/>
    <x v="7"/>
    <x v="3"/>
    <x v="1"/>
    <n v="139.773977905171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"/>
    <x v="8"/>
    <x v="0"/>
    <x v="1"/>
    <n v="2231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"/>
    <x v="9"/>
    <x v="1"/>
    <x v="1"/>
    <n v="2230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"/>
    <x v="10"/>
    <x v="1"/>
    <x v="2"/>
    <n v="2371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"/>
    <x v="11"/>
    <x v="4"/>
    <x v="3"/>
    <n v="2373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"/>
    <x v="12"/>
    <x v="5"/>
    <x v="3"/>
    <n v="0.54818436022974104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"/>
    <x v="13"/>
    <x v="4"/>
    <x v="3"/>
    <n v="2373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"/>
    <x v="14"/>
    <x v="5"/>
    <x v="3"/>
    <n v="0.82227654034461095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"/>
    <x v="15"/>
    <x v="4"/>
    <x v="3"/>
    <n v="2231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"/>
    <x v="16"/>
    <x v="5"/>
    <x v="3"/>
    <n v="0.46378249465744398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5"/>
    <x v="0"/>
    <x v="0"/>
    <x v="0"/>
    <n v="2339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5"/>
    <x v="1"/>
    <x v="1"/>
    <x v="0"/>
    <n v="2336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5"/>
    <x v="2"/>
    <x v="2"/>
    <x v="1"/>
    <n v="1134.60174914007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5"/>
    <x v="3"/>
    <x v="3"/>
    <x v="1"/>
    <n v="1508.79809288433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5"/>
    <x v="4"/>
    <x v="0"/>
    <x v="1"/>
    <n v="2338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5"/>
    <x v="5"/>
    <x v="1"/>
    <x v="1"/>
    <n v="2336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5"/>
    <x v="6"/>
    <x v="2"/>
    <x v="1"/>
    <n v="329.211982359249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5"/>
    <x v="7"/>
    <x v="3"/>
    <x v="1"/>
    <n v="138.025932431970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5"/>
    <x v="8"/>
    <x v="0"/>
    <x v="1"/>
    <n v="2201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5"/>
    <x v="9"/>
    <x v="1"/>
    <x v="1"/>
    <n v="2200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5"/>
    <x v="10"/>
    <x v="1"/>
    <x v="2"/>
    <n v="2336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5"/>
    <x v="11"/>
    <x v="4"/>
    <x v="3"/>
    <n v="2338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5"/>
    <x v="12"/>
    <x v="5"/>
    <x v="3"/>
    <n v="0.52571085737109402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5"/>
    <x v="13"/>
    <x v="4"/>
    <x v="3"/>
    <n v="2338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5"/>
    <x v="14"/>
    <x v="5"/>
    <x v="3"/>
    <n v="0.78856628605664203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5"/>
    <x v="15"/>
    <x v="4"/>
    <x v="3"/>
    <n v="2201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5"/>
    <x v="16"/>
    <x v="5"/>
    <x v="3"/>
    <n v="0.457294673026444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6"/>
    <x v="0"/>
    <x v="0"/>
    <x v="0"/>
    <n v="2518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6"/>
    <x v="1"/>
    <x v="1"/>
    <x v="0"/>
    <n v="2504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6"/>
    <x v="2"/>
    <x v="2"/>
    <x v="1"/>
    <n v="1222.9822046335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6"/>
    <x v="3"/>
    <x v="3"/>
    <x v="1"/>
    <n v="2137.3653148602998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6"/>
    <x v="4"/>
    <x v="0"/>
    <x v="1"/>
    <n v="2518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6"/>
    <x v="5"/>
    <x v="1"/>
    <x v="1"/>
    <n v="2504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6"/>
    <x v="6"/>
    <x v="2"/>
    <x v="1"/>
    <n v="357.77609013379703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6"/>
    <x v="7"/>
    <x v="3"/>
    <x v="1"/>
    <n v="178.441307284473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6"/>
    <x v="8"/>
    <x v="0"/>
    <x v="1"/>
    <n v="2386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6"/>
    <x v="9"/>
    <x v="1"/>
    <x v="1"/>
    <n v="2386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6"/>
    <x v="10"/>
    <x v="1"/>
    <x v="2"/>
    <n v="2504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6"/>
    <x v="11"/>
    <x v="4"/>
    <x v="3"/>
    <n v="2506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6"/>
    <x v="12"/>
    <x v="5"/>
    <x v="3"/>
    <n v="0.56639333345232001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6"/>
    <x v="13"/>
    <x v="4"/>
    <x v="3"/>
    <n v="2506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6"/>
    <x v="14"/>
    <x v="5"/>
    <x v="3"/>
    <n v="0.84959000017848096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6"/>
    <x v="15"/>
    <x v="4"/>
    <x v="3"/>
    <n v="2386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6"/>
    <x v="16"/>
    <x v="5"/>
    <x v="3"/>
    <n v="0.496911236296940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7"/>
    <x v="0"/>
    <x v="0"/>
    <x v="0"/>
    <n v="2394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7"/>
    <x v="1"/>
    <x v="1"/>
    <x v="0"/>
    <n v="2394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7"/>
    <x v="2"/>
    <x v="2"/>
    <x v="1"/>
    <n v="1186.15827010389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7"/>
    <x v="3"/>
    <x v="3"/>
    <x v="1"/>
    <n v="1732.53184085450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7"/>
    <x v="4"/>
    <x v="0"/>
    <x v="1"/>
    <n v="2394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7"/>
    <x v="5"/>
    <x v="1"/>
    <x v="1"/>
    <n v="2394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7"/>
    <x v="6"/>
    <x v="2"/>
    <x v="1"/>
    <n v="338.68249006330399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7"/>
    <x v="7"/>
    <x v="3"/>
    <x v="1"/>
    <n v="177.654575314227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7"/>
    <x v="8"/>
    <x v="0"/>
    <x v="1"/>
    <n v="2254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7"/>
    <x v="9"/>
    <x v="1"/>
    <x v="1"/>
    <n v="2254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7"/>
    <x v="10"/>
    <x v="1"/>
    <x v="2"/>
    <n v="2394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7"/>
    <x v="11"/>
    <x v="4"/>
    <x v="3"/>
    <n v="2394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7"/>
    <x v="12"/>
    <x v="5"/>
    <x v="3"/>
    <n v="0.54914734727032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7"/>
    <x v="13"/>
    <x v="4"/>
    <x v="3"/>
    <n v="2394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7"/>
    <x v="14"/>
    <x v="5"/>
    <x v="3"/>
    <n v="0.82372102090548105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7"/>
    <x v="15"/>
    <x v="4"/>
    <x v="3"/>
    <n v="2254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7"/>
    <x v="16"/>
    <x v="5"/>
    <x v="3"/>
    <n v="0.470392347310145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8"/>
    <x v="0"/>
    <x v="0"/>
    <x v="0"/>
    <n v="2406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8"/>
    <x v="1"/>
    <x v="1"/>
    <x v="0"/>
    <n v="2403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8"/>
    <x v="2"/>
    <x v="2"/>
    <x v="1"/>
    <n v="1182.64961179862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8"/>
    <x v="3"/>
    <x v="3"/>
    <x v="1"/>
    <n v="1738.28161813198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8"/>
    <x v="4"/>
    <x v="0"/>
    <x v="1"/>
    <n v="2405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8"/>
    <x v="5"/>
    <x v="1"/>
    <x v="1"/>
    <n v="2403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8"/>
    <x v="6"/>
    <x v="2"/>
    <x v="1"/>
    <n v="342.7293756993340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8"/>
    <x v="7"/>
    <x v="3"/>
    <x v="1"/>
    <n v="167.550234211669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8"/>
    <x v="8"/>
    <x v="0"/>
    <x v="1"/>
    <n v="2266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8"/>
    <x v="9"/>
    <x v="1"/>
    <x v="1"/>
    <n v="2265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8"/>
    <x v="10"/>
    <x v="1"/>
    <x v="2"/>
    <n v="2403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8"/>
    <x v="11"/>
    <x v="4"/>
    <x v="3"/>
    <n v="2405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8"/>
    <x v="12"/>
    <x v="5"/>
    <x v="3"/>
    <n v="0.54784356510118304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8"/>
    <x v="13"/>
    <x v="4"/>
    <x v="3"/>
    <n v="2405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8"/>
    <x v="14"/>
    <x v="5"/>
    <x v="3"/>
    <n v="0.821765347651774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8"/>
    <x v="15"/>
    <x v="4"/>
    <x v="3"/>
    <n v="2266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8"/>
    <x v="16"/>
    <x v="5"/>
    <x v="3"/>
    <n v="0.476241084293693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9"/>
    <x v="0"/>
    <x v="0"/>
    <x v="0"/>
    <n v="2431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9"/>
    <x v="1"/>
    <x v="1"/>
    <x v="0"/>
    <n v="2429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9"/>
    <x v="2"/>
    <x v="2"/>
    <x v="1"/>
    <n v="1218.65939136494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9"/>
    <x v="3"/>
    <x v="3"/>
    <x v="1"/>
    <n v="2922.5566443994298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9"/>
    <x v="4"/>
    <x v="0"/>
    <x v="1"/>
    <n v="2430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9"/>
    <x v="5"/>
    <x v="1"/>
    <x v="1"/>
    <n v="2429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9"/>
    <x v="6"/>
    <x v="2"/>
    <x v="1"/>
    <n v="336.1647019484839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9"/>
    <x v="7"/>
    <x v="3"/>
    <x v="1"/>
    <n v="157.813152283053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9"/>
    <x v="8"/>
    <x v="0"/>
    <x v="1"/>
    <n v="2254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9"/>
    <x v="9"/>
    <x v="1"/>
    <x v="1"/>
    <n v="2253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9"/>
    <x v="10"/>
    <x v="1"/>
    <x v="2"/>
    <n v="2429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9"/>
    <x v="11"/>
    <x v="4"/>
    <x v="3"/>
    <n v="2430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9"/>
    <x v="12"/>
    <x v="5"/>
    <x v="3"/>
    <n v="0.56439564516810503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9"/>
    <x v="13"/>
    <x v="4"/>
    <x v="3"/>
    <n v="2430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9"/>
    <x v="14"/>
    <x v="5"/>
    <x v="3"/>
    <n v="0.84659346775215705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9"/>
    <x v="15"/>
    <x v="4"/>
    <x v="3"/>
    <n v="2254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9"/>
    <x v="16"/>
    <x v="5"/>
    <x v="3"/>
    <n v="0.46693965225248202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10"/>
    <x v="0"/>
    <x v="0"/>
    <x v="0"/>
    <n v="2504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0"/>
    <x v="1"/>
    <x v="1"/>
    <x v="0"/>
    <n v="2502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0"/>
    <x v="2"/>
    <x v="2"/>
    <x v="1"/>
    <n v="1222.00586832534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0"/>
    <x v="3"/>
    <x v="3"/>
    <x v="1"/>
    <n v="2475.2959345509698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0"/>
    <x v="4"/>
    <x v="0"/>
    <x v="1"/>
    <n v="2503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0"/>
    <x v="5"/>
    <x v="1"/>
    <x v="1"/>
    <n v="2502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0"/>
    <x v="6"/>
    <x v="2"/>
    <x v="1"/>
    <n v="355.7194690995090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0"/>
    <x v="7"/>
    <x v="3"/>
    <x v="1"/>
    <n v="167.671908828941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0"/>
    <x v="8"/>
    <x v="0"/>
    <x v="1"/>
    <n v="2372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0"/>
    <x v="9"/>
    <x v="1"/>
    <x v="1"/>
    <n v="2371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0"/>
    <x v="10"/>
    <x v="1"/>
    <x v="2"/>
    <n v="2502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0"/>
    <x v="11"/>
    <x v="4"/>
    <x v="3"/>
    <n v="2503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0"/>
    <x v="12"/>
    <x v="5"/>
    <x v="3"/>
    <n v="0.5658432288008069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0"/>
    <x v="13"/>
    <x v="4"/>
    <x v="3"/>
    <n v="2503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0"/>
    <x v="14"/>
    <x v="5"/>
    <x v="3"/>
    <n v="0.84876484320121104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0"/>
    <x v="15"/>
    <x v="4"/>
    <x v="3"/>
    <n v="2372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0"/>
    <x v="16"/>
    <x v="5"/>
    <x v="3"/>
    <n v="0.49410844549952299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11"/>
    <x v="0"/>
    <x v="0"/>
    <x v="0"/>
    <n v="2447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1"/>
    <x v="1"/>
    <x v="1"/>
    <x v="0"/>
    <n v="2446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1"/>
    <x v="2"/>
    <x v="2"/>
    <x v="1"/>
    <n v="1191.82369949644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1"/>
    <x v="3"/>
    <x v="3"/>
    <x v="1"/>
    <n v="2089.566755612770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1"/>
    <x v="4"/>
    <x v="0"/>
    <x v="1"/>
    <n v="2447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1"/>
    <x v="5"/>
    <x v="1"/>
    <x v="1"/>
    <n v="2446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1"/>
    <x v="6"/>
    <x v="2"/>
    <x v="1"/>
    <n v="346.60228759902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1"/>
    <x v="7"/>
    <x v="3"/>
    <x v="1"/>
    <n v="154.017245546922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1"/>
    <x v="8"/>
    <x v="0"/>
    <x v="1"/>
    <n v="2308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1"/>
    <x v="9"/>
    <x v="1"/>
    <x v="1"/>
    <n v="2308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1"/>
    <x v="10"/>
    <x v="1"/>
    <x v="2"/>
    <n v="2446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1"/>
    <x v="11"/>
    <x v="4"/>
    <x v="3"/>
    <n v="2447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1"/>
    <x v="12"/>
    <x v="5"/>
    <x v="3"/>
    <n v="0.55194103502505998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1"/>
    <x v="13"/>
    <x v="4"/>
    <x v="3"/>
    <n v="2447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1"/>
    <x v="14"/>
    <x v="5"/>
    <x v="3"/>
    <n v="0.82791155253758997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1"/>
    <x v="15"/>
    <x v="4"/>
    <x v="3"/>
    <n v="2308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1"/>
    <x v="16"/>
    <x v="5"/>
    <x v="3"/>
    <n v="0.48139206610975199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12"/>
    <x v="0"/>
    <x v="0"/>
    <x v="0"/>
    <n v="2411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2"/>
    <x v="1"/>
    <x v="1"/>
    <x v="0"/>
    <n v="2400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2"/>
    <x v="2"/>
    <x v="2"/>
    <x v="1"/>
    <n v="1205.0486294174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2"/>
    <x v="3"/>
    <x v="3"/>
    <x v="1"/>
    <n v="2408.73483508345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2"/>
    <x v="4"/>
    <x v="0"/>
    <x v="1"/>
    <n v="2411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2"/>
    <x v="5"/>
    <x v="1"/>
    <x v="1"/>
    <n v="2400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2"/>
    <x v="6"/>
    <x v="2"/>
    <x v="1"/>
    <n v="338.6038419344710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2"/>
    <x v="7"/>
    <x v="3"/>
    <x v="1"/>
    <n v="163.541373730803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2"/>
    <x v="8"/>
    <x v="0"/>
    <x v="1"/>
    <n v="2254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2"/>
    <x v="9"/>
    <x v="1"/>
    <x v="1"/>
    <n v="2254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2"/>
    <x v="10"/>
    <x v="1"/>
    <x v="2"/>
    <n v="2400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2"/>
    <x v="11"/>
    <x v="4"/>
    <x v="3"/>
    <n v="2402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2"/>
    <x v="12"/>
    <x v="5"/>
    <x v="3"/>
    <n v="0.55822409183268196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2"/>
    <x v="13"/>
    <x v="4"/>
    <x v="3"/>
    <n v="2402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2"/>
    <x v="14"/>
    <x v="5"/>
    <x v="3"/>
    <n v="0.83733613774902305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2"/>
    <x v="15"/>
    <x v="4"/>
    <x v="3"/>
    <n v="2254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2"/>
    <x v="16"/>
    <x v="5"/>
    <x v="3"/>
    <n v="0.47028311379787702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13"/>
    <x v="0"/>
    <x v="0"/>
    <x v="0"/>
    <n v="2412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3"/>
    <x v="1"/>
    <x v="1"/>
    <x v="0"/>
    <n v="2406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3"/>
    <x v="2"/>
    <x v="2"/>
    <x v="1"/>
    <n v="1180.01907437364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3"/>
    <x v="3"/>
    <x v="3"/>
    <x v="1"/>
    <n v="1738.849999179270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3"/>
    <x v="4"/>
    <x v="0"/>
    <x v="1"/>
    <n v="2411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3"/>
    <x v="5"/>
    <x v="1"/>
    <x v="1"/>
    <n v="2406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3"/>
    <x v="6"/>
    <x v="2"/>
    <x v="1"/>
    <n v="340.14541262409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3"/>
    <x v="7"/>
    <x v="3"/>
    <x v="1"/>
    <n v="170.036479990698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3"/>
    <x v="8"/>
    <x v="0"/>
    <x v="1"/>
    <n v="2266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3"/>
    <x v="9"/>
    <x v="1"/>
    <x v="1"/>
    <n v="2265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3"/>
    <x v="10"/>
    <x v="1"/>
    <x v="2"/>
    <n v="2406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3"/>
    <x v="11"/>
    <x v="4"/>
    <x v="3"/>
    <n v="2408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3"/>
    <x v="12"/>
    <x v="5"/>
    <x v="3"/>
    <n v="0.54648401929514001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3"/>
    <x v="13"/>
    <x v="4"/>
    <x v="3"/>
    <n v="2408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3"/>
    <x v="14"/>
    <x v="5"/>
    <x v="3"/>
    <n v="0.81972602894270996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3"/>
    <x v="15"/>
    <x v="4"/>
    <x v="3"/>
    <n v="2266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3"/>
    <x v="16"/>
    <x v="5"/>
    <x v="3"/>
    <n v="0.47245312153450197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14"/>
    <x v="0"/>
    <x v="0"/>
    <x v="0"/>
    <n v="2383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4"/>
    <x v="1"/>
    <x v="1"/>
    <x v="0"/>
    <n v="2370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4"/>
    <x v="2"/>
    <x v="2"/>
    <x v="1"/>
    <n v="1168.80987039494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4"/>
    <x v="3"/>
    <x v="3"/>
    <x v="1"/>
    <n v="1656.456556452010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4"/>
    <x v="4"/>
    <x v="0"/>
    <x v="1"/>
    <n v="2383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4"/>
    <x v="5"/>
    <x v="1"/>
    <x v="1"/>
    <n v="2370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4"/>
    <x v="6"/>
    <x v="2"/>
    <x v="1"/>
    <n v="340.35612438666499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4"/>
    <x v="7"/>
    <x v="3"/>
    <x v="1"/>
    <n v="170.997798507378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4"/>
    <x v="8"/>
    <x v="0"/>
    <x v="1"/>
    <n v="2245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4"/>
    <x v="9"/>
    <x v="1"/>
    <x v="1"/>
    <n v="2245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4"/>
    <x v="10"/>
    <x v="1"/>
    <x v="2"/>
    <n v="2370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4"/>
    <x v="11"/>
    <x v="4"/>
    <x v="3"/>
    <n v="2372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4"/>
    <x v="12"/>
    <x v="5"/>
    <x v="3"/>
    <n v="0.541713728812381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4"/>
    <x v="13"/>
    <x v="4"/>
    <x v="3"/>
    <n v="2372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4"/>
    <x v="14"/>
    <x v="5"/>
    <x v="3"/>
    <n v="0.81257059321857195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4"/>
    <x v="15"/>
    <x v="4"/>
    <x v="3"/>
    <n v="2245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4"/>
    <x v="16"/>
    <x v="5"/>
    <x v="3"/>
    <n v="0.47271683942592402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15"/>
    <x v="0"/>
    <x v="0"/>
    <x v="0"/>
    <n v="2508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5"/>
    <x v="1"/>
    <x v="1"/>
    <x v="0"/>
    <n v="2503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5"/>
    <x v="2"/>
    <x v="2"/>
    <x v="1"/>
    <n v="1225.22517273697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5"/>
    <x v="3"/>
    <x v="3"/>
    <x v="1"/>
    <n v="2881.00048342106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5"/>
    <x v="4"/>
    <x v="0"/>
    <x v="1"/>
    <n v="2508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5"/>
    <x v="5"/>
    <x v="1"/>
    <x v="1"/>
    <n v="2503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5"/>
    <x v="6"/>
    <x v="2"/>
    <x v="1"/>
    <n v="355.23425433138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5"/>
    <x v="7"/>
    <x v="3"/>
    <x v="1"/>
    <n v="157.524060792612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5"/>
    <x v="8"/>
    <x v="0"/>
    <x v="1"/>
    <n v="2375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5"/>
    <x v="9"/>
    <x v="1"/>
    <x v="1"/>
    <n v="2375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5"/>
    <x v="10"/>
    <x v="1"/>
    <x v="2"/>
    <n v="2503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5"/>
    <x v="11"/>
    <x v="4"/>
    <x v="3"/>
    <n v="2505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5"/>
    <x v="12"/>
    <x v="5"/>
    <x v="3"/>
    <n v="0.56747047867564104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5"/>
    <x v="13"/>
    <x v="4"/>
    <x v="3"/>
    <n v="2505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5"/>
    <x v="14"/>
    <x v="5"/>
    <x v="3"/>
    <n v="0.85120571801346201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5"/>
    <x v="15"/>
    <x v="4"/>
    <x v="3"/>
    <n v="2375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5"/>
    <x v="16"/>
    <x v="5"/>
    <x v="3"/>
    <n v="0.49338090879359398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16"/>
    <x v="0"/>
    <x v="0"/>
    <x v="0"/>
    <n v="2360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6"/>
    <x v="1"/>
    <x v="1"/>
    <x v="0"/>
    <n v="2358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6"/>
    <x v="2"/>
    <x v="2"/>
    <x v="1"/>
    <n v="1158.81532909084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6"/>
    <x v="3"/>
    <x v="3"/>
    <x v="1"/>
    <n v="2652.93123935914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6"/>
    <x v="4"/>
    <x v="0"/>
    <x v="1"/>
    <n v="2359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6"/>
    <x v="5"/>
    <x v="1"/>
    <x v="1"/>
    <n v="2358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6"/>
    <x v="6"/>
    <x v="2"/>
    <x v="1"/>
    <n v="330.2340013110559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6"/>
    <x v="7"/>
    <x v="3"/>
    <x v="1"/>
    <n v="151.82823465965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6"/>
    <x v="8"/>
    <x v="0"/>
    <x v="1"/>
    <n v="2212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6"/>
    <x v="9"/>
    <x v="1"/>
    <x v="1"/>
    <n v="2211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6"/>
    <x v="10"/>
    <x v="1"/>
    <x v="2"/>
    <n v="2358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6"/>
    <x v="11"/>
    <x v="4"/>
    <x v="3"/>
    <n v="2359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6"/>
    <x v="12"/>
    <x v="5"/>
    <x v="3"/>
    <n v="0.53652139538430099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6"/>
    <x v="13"/>
    <x v="4"/>
    <x v="3"/>
    <n v="2359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6"/>
    <x v="14"/>
    <x v="5"/>
    <x v="3"/>
    <n v="0.80478209307645199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6"/>
    <x v="15"/>
    <x v="4"/>
    <x v="3"/>
    <n v="2212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6"/>
    <x v="16"/>
    <x v="5"/>
    <x v="3"/>
    <n v="0.458756786458749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17"/>
    <x v="0"/>
    <x v="0"/>
    <x v="0"/>
    <n v="2384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7"/>
    <x v="1"/>
    <x v="1"/>
    <x v="0"/>
    <n v="2381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7"/>
    <x v="2"/>
    <x v="2"/>
    <x v="1"/>
    <n v="1174.51158109494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7"/>
    <x v="3"/>
    <x v="3"/>
    <x v="1"/>
    <n v="1595.21096721508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7"/>
    <x v="4"/>
    <x v="0"/>
    <x v="1"/>
    <n v="2384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7"/>
    <x v="5"/>
    <x v="1"/>
    <x v="1"/>
    <n v="2381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7"/>
    <x v="6"/>
    <x v="2"/>
    <x v="1"/>
    <n v="337.767606750230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7"/>
    <x v="7"/>
    <x v="3"/>
    <x v="1"/>
    <n v="153.821352301188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7"/>
    <x v="8"/>
    <x v="0"/>
    <x v="1"/>
    <n v="2245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7"/>
    <x v="9"/>
    <x v="1"/>
    <x v="1"/>
    <n v="2245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7"/>
    <x v="10"/>
    <x v="1"/>
    <x v="2"/>
    <n v="2381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7"/>
    <x v="11"/>
    <x v="4"/>
    <x v="3"/>
    <n v="2383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7"/>
    <x v="12"/>
    <x v="5"/>
    <x v="3"/>
    <n v="0.54389099707331401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7"/>
    <x v="13"/>
    <x v="4"/>
    <x v="3"/>
    <n v="2383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7"/>
    <x v="14"/>
    <x v="5"/>
    <x v="3"/>
    <n v="0.81583649560997096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7"/>
    <x v="15"/>
    <x v="4"/>
    <x v="3"/>
    <n v="2245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7"/>
    <x v="16"/>
    <x v="5"/>
    <x v="3"/>
    <n v="0.469121676041987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18"/>
    <x v="0"/>
    <x v="0"/>
    <x v="0"/>
    <n v="2351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8"/>
    <x v="1"/>
    <x v="1"/>
    <x v="0"/>
    <n v="2349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8"/>
    <x v="2"/>
    <x v="2"/>
    <x v="1"/>
    <n v="1157.38690371258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8"/>
    <x v="3"/>
    <x v="3"/>
    <x v="1"/>
    <n v="1369.35352045337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8"/>
    <x v="4"/>
    <x v="0"/>
    <x v="1"/>
    <n v="2351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8"/>
    <x v="5"/>
    <x v="1"/>
    <x v="1"/>
    <n v="2349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8"/>
    <x v="6"/>
    <x v="2"/>
    <x v="1"/>
    <n v="332.7078803656959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8"/>
    <x v="7"/>
    <x v="3"/>
    <x v="1"/>
    <n v="147.797622356900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8"/>
    <x v="8"/>
    <x v="0"/>
    <x v="1"/>
    <n v="2213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8"/>
    <x v="9"/>
    <x v="1"/>
    <x v="1"/>
    <n v="2213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8"/>
    <x v="10"/>
    <x v="1"/>
    <x v="2"/>
    <n v="2349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8"/>
    <x v="11"/>
    <x v="4"/>
    <x v="3"/>
    <n v="2351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8"/>
    <x v="12"/>
    <x v="5"/>
    <x v="3"/>
    <n v="0.53613999991366201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8"/>
    <x v="13"/>
    <x v="4"/>
    <x v="3"/>
    <n v="2351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8"/>
    <x v="14"/>
    <x v="5"/>
    <x v="3"/>
    <n v="0.80420999987049302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8"/>
    <x v="15"/>
    <x v="4"/>
    <x v="3"/>
    <n v="2213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8"/>
    <x v="16"/>
    <x v="5"/>
    <x v="3"/>
    <n v="0.462094278285689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19"/>
    <x v="0"/>
    <x v="0"/>
    <x v="0"/>
    <n v="2364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19"/>
    <x v="1"/>
    <x v="1"/>
    <x v="0"/>
    <n v="2352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19"/>
    <x v="2"/>
    <x v="2"/>
    <x v="1"/>
    <n v="1158.26716986182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19"/>
    <x v="3"/>
    <x v="3"/>
    <x v="1"/>
    <n v="1582.40783798647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19"/>
    <x v="4"/>
    <x v="0"/>
    <x v="1"/>
    <n v="2364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19"/>
    <x v="5"/>
    <x v="1"/>
    <x v="1"/>
    <n v="2352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19"/>
    <x v="6"/>
    <x v="2"/>
    <x v="1"/>
    <n v="335.421673424224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19"/>
    <x v="7"/>
    <x v="3"/>
    <x v="1"/>
    <n v="149.539058964943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19"/>
    <x v="8"/>
    <x v="0"/>
    <x v="1"/>
    <n v="2236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19"/>
    <x v="9"/>
    <x v="1"/>
    <x v="1"/>
    <n v="2236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19"/>
    <x v="10"/>
    <x v="1"/>
    <x v="2"/>
    <n v="2352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19"/>
    <x v="11"/>
    <x v="4"/>
    <x v="3"/>
    <n v="2354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19"/>
    <x v="12"/>
    <x v="5"/>
    <x v="3"/>
    <n v="0.5365633784366129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19"/>
    <x v="13"/>
    <x v="4"/>
    <x v="3"/>
    <n v="2354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19"/>
    <x v="14"/>
    <x v="5"/>
    <x v="3"/>
    <n v="0.80484506765492003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19"/>
    <x v="15"/>
    <x v="4"/>
    <x v="3"/>
    <n v="2236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19"/>
    <x v="16"/>
    <x v="5"/>
    <x v="3"/>
    <n v="0.46586343531142199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0"/>
    <x v="0"/>
    <x v="0"/>
    <x v="0"/>
    <n v="2420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0"/>
    <x v="1"/>
    <x v="1"/>
    <x v="0"/>
    <n v="2411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0"/>
    <x v="2"/>
    <x v="2"/>
    <x v="1"/>
    <n v="1182.78054112496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0"/>
    <x v="3"/>
    <x v="3"/>
    <x v="1"/>
    <n v="1416.9434123751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0"/>
    <x v="4"/>
    <x v="0"/>
    <x v="1"/>
    <n v="2419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0"/>
    <x v="5"/>
    <x v="1"/>
    <x v="1"/>
    <n v="2411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0"/>
    <x v="6"/>
    <x v="2"/>
    <x v="1"/>
    <n v="339.278377530766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0"/>
    <x v="7"/>
    <x v="3"/>
    <x v="1"/>
    <n v="140.9869883084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0"/>
    <x v="8"/>
    <x v="0"/>
    <x v="1"/>
    <n v="2273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0"/>
    <x v="9"/>
    <x v="1"/>
    <x v="1"/>
    <n v="2272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0"/>
    <x v="10"/>
    <x v="1"/>
    <x v="2"/>
    <n v="2411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0"/>
    <x v="11"/>
    <x v="4"/>
    <x v="3"/>
    <n v="2413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0"/>
    <x v="12"/>
    <x v="5"/>
    <x v="3"/>
    <n v="0.54789093462021798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0"/>
    <x v="13"/>
    <x v="4"/>
    <x v="3"/>
    <n v="2413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0"/>
    <x v="14"/>
    <x v="5"/>
    <x v="3"/>
    <n v="0.82183640193032803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0"/>
    <x v="15"/>
    <x v="4"/>
    <x v="3"/>
    <n v="2273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0"/>
    <x v="16"/>
    <x v="5"/>
    <x v="3"/>
    <n v="0.47124583201987402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1"/>
    <x v="0"/>
    <x v="0"/>
    <x v="0"/>
    <n v="2307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1"/>
    <x v="1"/>
    <x v="1"/>
    <x v="0"/>
    <n v="2305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1"/>
    <x v="2"/>
    <x v="2"/>
    <x v="1"/>
    <n v="1133.24622318414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1"/>
    <x v="3"/>
    <x v="3"/>
    <x v="1"/>
    <n v="1419.82408721972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1"/>
    <x v="4"/>
    <x v="0"/>
    <x v="1"/>
    <n v="2306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1"/>
    <x v="5"/>
    <x v="1"/>
    <x v="1"/>
    <n v="2305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1"/>
    <x v="6"/>
    <x v="2"/>
    <x v="1"/>
    <n v="325.60687915841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1"/>
    <x v="7"/>
    <x v="3"/>
    <x v="1"/>
    <n v="142.242647584096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1"/>
    <x v="8"/>
    <x v="0"/>
    <x v="1"/>
    <n v="2172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1"/>
    <x v="9"/>
    <x v="1"/>
    <x v="1"/>
    <n v="2171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1"/>
    <x v="10"/>
    <x v="1"/>
    <x v="2"/>
    <n v="2305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1"/>
    <x v="11"/>
    <x v="4"/>
    <x v="3"/>
    <n v="2306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1"/>
    <x v="12"/>
    <x v="5"/>
    <x v="3"/>
    <n v="0.52470641844357901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1"/>
    <x v="13"/>
    <x v="4"/>
    <x v="3"/>
    <n v="2306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1"/>
    <x v="14"/>
    <x v="5"/>
    <x v="3"/>
    <n v="0.78705962766536897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1"/>
    <x v="15"/>
    <x v="4"/>
    <x v="3"/>
    <n v="2172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1"/>
    <x v="16"/>
    <x v="5"/>
    <x v="3"/>
    <n v="0.452397944183905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2"/>
    <x v="0"/>
    <x v="0"/>
    <x v="0"/>
    <n v="2431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2"/>
    <x v="1"/>
    <x v="1"/>
    <x v="0"/>
    <n v="2428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2"/>
    <x v="2"/>
    <x v="2"/>
    <x v="1"/>
    <n v="1208.14188104218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2"/>
    <x v="3"/>
    <x v="3"/>
    <x v="1"/>
    <n v="2480.8896346420902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2"/>
    <x v="4"/>
    <x v="0"/>
    <x v="1"/>
    <n v="2431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2"/>
    <x v="5"/>
    <x v="1"/>
    <x v="1"/>
    <n v="2428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2"/>
    <x v="6"/>
    <x v="2"/>
    <x v="1"/>
    <n v="340.9108490584579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2"/>
    <x v="7"/>
    <x v="3"/>
    <x v="1"/>
    <n v="155.153654597948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2"/>
    <x v="8"/>
    <x v="0"/>
    <x v="1"/>
    <n v="2281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2"/>
    <x v="9"/>
    <x v="1"/>
    <x v="1"/>
    <n v="2281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2"/>
    <x v="10"/>
    <x v="1"/>
    <x v="2"/>
    <n v="2428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2"/>
    <x v="11"/>
    <x v="4"/>
    <x v="3"/>
    <n v="2430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2"/>
    <x v="12"/>
    <x v="5"/>
    <x v="3"/>
    <n v="0.55953771135449504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2"/>
    <x v="13"/>
    <x v="4"/>
    <x v="3"/>
    <n v="2430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2"/>
    <x v="14"/>
    <x v="5"/>
    <x v="3"/>
    <n v="0.839306567031743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2"/>
    <x v="15"/>
    <x v="4"/>
    <x v="3"/>
    <n v="2281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2"/>
    <x v="16"/>
    <x v="5"/>
    <x v="3"/>
    <n v="0.47348729035896903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3"/>
    <x v="0"/>
    <x v="0"/>
    <x v="0"/>
    <n v="2382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3"/>
    <x v="1"/>
    <x v="1"/>
    <x v="0"/>
    <n v="2377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3"/>
    <x v="2"/>
    <x v="2"/>
    <x v="1"/>
    <n v="1181.0033550474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3"/>
    <x v="3"/>
    <x v="3"/>
    <x v="1"/>
    <n v="1959.30419997460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3"/>
    <x v="4"/>
    <x v="0"/>
    <x v="1"/>
    <n v="2381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3"/>
    <x v="5"/>
    <x v="1"/>
    <x v="1"/>
    <n v="2377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3"/>
    <x v="6"/>
    <x v="2"/>
    <x v="1"/>
    <n v="335.7695947836979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3"/>
    <x v="7"/>
    <x v="3"/>
    <x v="1"/>
    <n v="149.282878550157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3"/>
    <x v="8"/>
    <x v="0"/>
    <x v="1"/>
    <n v="2234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3"/>
    <x v="9"/>
    <x v="1"/>
    <x v="1"/>
    <n v="2233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3"/>
    <x v="10"/>
    <x v="1"/>
    <x v="2"/>
    <n v="2377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3"/>
    <x v="11"/>
    <x v="4"/>
    <x v="3"/>
    <n v="2379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3"/>
    <x v="12"/>
    <x v="5"/>
    <x v="3"/>
    <n v="0.547173311687846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3"/>
    <x v="13"/>
    <x v="4"/>
    <x v="3"/>
    <n v="2379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3"/>
    <x v="14"/>
    <x v="5"/>
    <x v="3"/>
    <n v="0.82075996753176805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3"/>
    <x v="15"/>
    <x v="4"/>
    <x v="3"/>
    <n v="2234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3"/>
    <x v="16"/>
    <x v="5"/>
    <x v="3"/>
    <n v="0.46635718290189099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4"/>
    <x v="0"/>
    <x v="0"/>
    <x v="0"/>
    <n v="2423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4"/>
    <x v="1"/>
    <x v="1"/>
    <x v="0"/>
    <n v="2420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4"/>
    <x v="2"/>
    <x v="2"/>
    <x v="1"/>
    <n v="1190.9439028089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4"/>
    <x v="3"/>
    <x v="3"/>
    <x v="1"/>
    <n v="3119.3494399857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4"/>
    <x v="4"/>
    <x v="0"/>
    <x v="1"/>
    <n v="2422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4"/>
    <x v="5"/>
    <x v="1"/>
    <x v="1"/>
    <n v="2420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4"/>
    <x v="6"/>
    <x v="2"/>
    <x v="1"/>
    <n v="342.9021948702990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4"/>
    <x v="7"/>
    <x v="3"/>
    <x v="1"/>
    <n v="162.301630137229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4"/>
    <x v="8"/>
    <x v="0"/>
    <x v="1"/>
    <n v="2283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4"/>
    <x v="9"/>
    <x v="1"/>
    <x v="1"/>
    <n v="2282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4"/>
    <x v="10"/>
    <x v="1"/>
    <x v="2"/>
    <n v="2420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4"/>
    <x v="11"/>
    <x v="4"/>
    <x v="3"/>
    <n v="2422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4"/>
    <x v="12"/>
    <x v="5"/>
    <x v="3"/>
    <n v="0.55149324326831894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4"/>
    <x v="13"/>
    <x v="4"/>
    <x v="3"/>
    <n v="2422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4"/>
    <x v="14"/>
    <x v="5"/>
    <x v="3"/>
    <n v="0.82723986490247903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4"/>
    <x v="15"/>
    <x v="4"/>
    <x v="3"/>
    <n v="2283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4"/>
    <x v="16"/>
    <x v="5"/>
    <x v="3"/>
    <n v="0.47626965680515199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5"/>
    <x v="0"/>
    <x v="0"/>
    <x v="0"/>
    <n v="2509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5"/>
    <x v="1"/>
    <x v="1"/>
    <x v="0"/>
    <n v="2504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5"/>
    <x v="2"/>
    <x v="2"/>
    <x v="1"/>
    <n v="1230.94932873097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5"/>
    <x v="3"/>
    <x v="3"/>
    <x v="1"/>
    <n v="2915.67863409748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5"/>
    <x v="4"/>
    <x v="0"/>
    <x v="1"/>
    <n v="2509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5"/>
    <x v="5"/>
    <x v="1"/>
    <x v="1"/>
    <n v="2504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5"/>
    <x v="6"/>
    <x v="2"/>
    <x v="1"/>
    <n v="353.6173434980950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5"/>
    <x v="7"/>
    <x v="3"/>
    <x v="1"/>
    <n v="176.521147955973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5"/>
    <x v="8"/>
    <x v="0"/>
    <x v="1"/>
    <n v="2363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5"/>
    <x v="9"/>
    <x v="1"/>
    <x v="1"/>
    <n v="2363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5"/>
    <x v="10"/>
    <x v="1"/>
    <x v="2"/>
    <n v="2504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5"/>
    <x v="11"/>
    <x v="4"/>
    <x v="3"/>
    <n v="2506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5"/>
    <x v="12"/>
    <x v="5"/>
    <x v="3"/>
    <n v="0.5700581296609229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5"/>
    <x v="13"/>
    <x v="4"/>
    <x v="3"/>
    <n v="2506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5"/>
    <x v="14"/>
    <x v="5"/>
    <x v="3"/>
    <n v="0.85508719449138504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5"/>
    <x v="15"/>
    <x v="4"/>
    <x v="3"/>
    <n v="2363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5"/>
    <x v="16"/>
    <x v="5"/>
    <x v="3"/>
    <n v="0.4911351993029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6"/>
    <x v="0"/>
    <x v="0"/>
    <x v="0"/>
    <n v="2366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6"/>
    <x v="1"/>
    <x v="1"/>
    <x v="0"/>
    <n v="2350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6"/>
    <x v="2"/>
    <x v="2"/>
    <x v="1"/>
    <n v="1165.3416961412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6"/>
    <x v="3"/>
    <x v="3"/>
    <x v="1"/>
    <n v="1595.74442130592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6"/>
    <x v="4"/>
    <x v="0"/>
    <x v="1"/>
    <n v="2365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6"/>
    <x v="5"/>
    <x v="1"/>
    <x v="1"/>
    <n v="2350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6"/>
    <x v="6"/>
    <x v="2"/>
    <x v="1"/>
    <n v="335.94122482100897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6"/>
    <x v="7"/>
    <x v="3"/>
    <x v="1"/>
    <n v="145.993060836534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6"/>
    <x v="8"/>
    <x v="0"/>
    <x v="1"/>
    <n v="2223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6"/>
    <x v="9"/>
    <x v="1"/>
    <x v="1"/>
    <n v="2222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6"/>
    <x v="10"/>
    <x v="1"/>
    <x v="2"/>
    <n v="2350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6"/>
    <x v="11"/>
    <x v="4"/>
    <x v="3"/>
    <n v="2352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6"/>
    <x v="12"/>
    <x v="5"/>
    <x v="3"/>
    <n v="0.5396880680320510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6"/>
    <x v="13"/>
    <x v="4"/>
    <x v="3"/>
    <n v="2352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6"/>
    <x v="14"/>
    <x v="5"/>
    <x v="3"/>
    <n v="0.80953210204807702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6"/>
    <x v="15"/>
    <x v="4"/>
    <x v="3"/>
    <n v="2223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6"/>
    <x v="16"/>
    <x v="5"/>
    <x v="3"/>
    <n v="0.46670421348638402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7"/>
    <x v="0"/>
    <x v="0"/>
    <x v="0"/>
    <n v="2424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7"/>
    <x v="1"/>
    <x v="1"/>
    <x v="0"/>
    <n v="2414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7"/>
    <x v="2"/>
    <x v="2"/>
    <x v="1"/>
    <n v="1211.05276820176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7"/>
    <x v="3"/>
    <x v="3"/>
    <x v="1"/>
    <n v="3269.085800288380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7"/>
    <x v="4"/>
    <x v="0"/>
    <x v="1"/>
    <n v="2423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7"/>
    <x v="5"/>
    <x v="1"/>
    <x v="1"/>
    <n v="2414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7"/>
    <x v="6"/>
    <x v="2"/>
    <x v="1"/>
    <n v="341.36749066326399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7"/>
    <x v="7"/>
    <x v="3"/>
    <x v="1"/>
    <n v="163.786103550984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7"/>
    <x v="8"/>
    <x v="0"/>
    <x v="1"/>
    <n v="2273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7"/>
    <x v="9"/>
    <x v="1"/>
    <x v="1"/>
    <n v="2272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7"/>
    <x v="10"/>
    <x v="1"/>
    <x v="2"/>
    <n v="2414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7"/>
    <x v="11"/>
    <x v="4"/>
    <x v="3"/>
    <n v="2416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7"/>
    <x v="12"/>
    <x v="5"/>
    <x v="3"/>
    <n v="0.56090856573397396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7"/>
    <x v="13"/>
    <x v="4"/>
    <x v="3"/>
    <n v="2416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7"/>
    <x v="14"/>
    <x v="5"/>
    <x v="3"/>
    <n v="0.841362848600961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7"/>
    <x v="15"/>
    <x v="4"/>
    <x v="3"/>
    <n v="2273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7"/>
    <x v="16"/>
    <x v="5"/>
    <x v="3"/>
    <n v="0.474126388644443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8"/>
    <x v="0"/>
    <x v="0"/>
    <x v="0"/>
    <n v="2340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8"/>
    <x v="1"/>
    <x v="1"/>
    <x v="0"/>
    <n v="2339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8"/>
    <x v="2"/>
    <x v="2"/>
    <x v="1"/>
    <n v="1169.83460553764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8"/>
    <x v="3"/>
    <x v="3"/>
    <x v="1"/>
    <n v="2107.26580577902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8"/>
    <x v="4"/>
    <x v="0"/>
    <x v="1"/>
    <n v="2340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8"/>
    <x v="5"/>
    <x v="1"/>
    <x v="1"/>
    <n v="2339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8"/>
    <x v="6"/>
    <x v="2"/>
    <x v="1"/>
    <n v="329.604031458995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8"/>
    <x v="7"/>
    <x v="3"/>
    <x v="1"/>
    <n v="155.180995289070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8"/>
    <x v="8"/>
    <x v="0"/>
    <x v="1"/>
    <n v="2192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8"/>
    <x v="9"/>
    <x v="1"/>
    <x v="1"/>
    <n v="2192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8"/>
    <x v="10"/>
    <x v="1"/>
    <x v="2"/>
    <n v="2339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8"/>
    <x v="11"/>
    <x v="4"/>
    <x v="3"/>
    <n v="2340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8"/>
    <x v="12"/>
    <x v="5"/>
    <x v="3"/>
    <n v="0.54166771731551699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8"/>
    <x v="13"/>
    <x v="4"/>
    <x v="3"/>
    <n v="2340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8"/>
    <x v="14"/>
    <x v="5"/>
    <x v="3"/>
    <n v="0.81250157597327599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8"/>
    <x v="15"/>
    <x v="4"/>
    <x v="3"/>
    <n v="2192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8"/>
    <x v="16"/>
    <x v="5"/>
    <x v="3"/>
    <n v="0.457783377026382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29"/>
    <x v="0"/>
    <x v="0"/>
    <x v="0"/>
    <n v="2447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29"/>
    <x v="1"/>
    <x v="1"/>
    <x v="0"/>
    <n v="2440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29"/>
    <x v="2"/>
    <x v="2"/>
    <x v="1"/>
    <n v="1183.78951302967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29"/>
    <x v="3"/>
    <x v="3"/>
    <x v="1"/>
    <n v="2266.21906668757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29"/>
    <x v="4"/>
    <x v="0"/>
    <x v="1"/>
    <n v="2446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29"/>
    <x v="5"/>
    <x v="1"/>
    <x v="1"/>
    <n v="2440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29"/>
    <x v="6"/>
    <x v="2"/>
    <x v="1"/>
    <n v="348.5554616687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29"/>
    <x v="7"/>
    <x v="3"/>
    <x v="1"/>
    <n v="162.980368604948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29"/>
    <x v="8"/>
    <x v="0"/>
    <x v="1"/>
    <n v="2314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29"/>
    <x v="9"/>
    <x v="1"/>
    <x v="1"/>
    <n v="2313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29"/>
    <x v="10"/>
    <x v="1"/>
    <x v="2"/>
    <n v="2440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29"/>
    <x v="11"/>
    <x v="4"/>
    <x v="3"/>
    <n v="2442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29"/>
    <x v="12"/>
    <x v="5"/>
    <x v="3"/>
    <n v="0.54841394856834103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29"/>
    <x v="13"/>
    <x v="4"/>
    <x v="3"/>
    <n v="2442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29"/>
    <x v="14"/>
    <x v="5"/>
    <x v="3"/>
    <n v="0.82262092285251198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29"/>
    <x v="15"/>
    <x v="4"/>
    <x v="3"/>
    <n v="2314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29"/>
    <x v="16"/>
    <x v="5"/>
    <x v="3"/>
    <n v="0.484184072545007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0"/>
    <x v="0"/>
    <x v="0"/>
    <x v="0"/>
    <n v="2417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0"/>
    <x v="1"/>
    <x v="1"/>
    <x v="0"/>
    <n v="2416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0"/>
    <x v="2"/>
    <x v="2"/>
    <x v="1"/>
    <n v="1197.8773021375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0"/>
    <x v="3"/>
    <x v="3"/>
    <x v="1"/>
    <n v="2518.502884525490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0"/>
    <x v="4"/>
    <x v="0"/>
    <x v="1"/>
    <n v="2417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0"/>
    <x v="5"/>
    <x v="1"/>
    <x v="1"/>
    <n v="2416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0"/>
    <x v="6"/>
    <x v="2"/>
    <x v="1"/>
    <n v="339.745518516007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0"/>
    <x v="7"/>
    <x v="3"/>
    <x v="1"/>
    <n v="150.210267385452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0"/>
    <x v="8"/>
    <x v="0"/>
    <x v="1"/>
    <n v="2263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0"/>
    <x v="9"/>
    <x v="1"/>
    <x v="1"/>
    <n v="2263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0"/>
    <x v="10"/>
    <x v="1"/>
    <x v="2"/>
    <n v="2416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0"/>
    <x v="11"/>
    <x v="4"/>
    <x v="3"/>
    <n v="2417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0"/>
    <x v="12"/>
    <x v="5"/>
    <x v="3"/>
    <n v="0.5548513754100250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0"/>
    <x v="13"/>
    <x v="4"/>
    <x v="3"/>
    <n v="2417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0"/>
    <x v="14"/>
    <x v="5"/>
    <x v="3"/>
    <n v="0.83227706311503802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0"/>
    <x v="15"/>
    <x v="4"/>
    <x v="3"/>
    <n v="2263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0"/>
    <x v="16"/>
    <x v="5"/>
    <x v="3"/>
    <n v="0.471868775716677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1"/>
    <x v="0"/>
    <x v="0"/>
    <x v="0"/>
    <n v="2349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1"/>
    <x v="1"/>
    <x v="1"/>
    <x v="0"/>
    <n v="2344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1"/>
    <x v="2"/>
    <x v="2"/>
    <x v="1"/>
    <n v="1145.28998674137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1"/>
    <x v="3"/>
    <x v="3"/>
    <x v="1"/>
    <n v="1239.26629935035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1"/>
    <x v="4"/>
    <x v="0"/>
    <x v="1"/>
    <n v="2349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1"/>
    <x v="5"/>
    <x v="1"/>
    <x v="1"/>
    <n v="2344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1"/>
    <x v="6"/>
    <x v="2"/>
    <x v="1"/>
    <n v="333.63465213525399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1"/>
    <x v="7"/>
    <x v="3"/>
    <x v="1"/>
    <n v="139.817929906405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1"/>
    <x v="8"/>
    <x v="0"/>
    <x v="1"/>
    <n v="2218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1"/>
    <x v="9"/>
    <x v="1"/>
    <x v="1"/>
    <n v="2218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1"/>
    <x v="10"/>
    <x v="1"/>
    <x v="2"/>
    <n v="2344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1"/>
    <x v="11"/>
    <x v="4"/>
    <x v="3"/>
    <n v="2346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1"/>
    <x v="12"/>
    <x v="5"/>
    <x v="3"/>
    <n v="0.53082203310107701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1"/>
    <x v="13"/>
    <x v="4"/>
    <x v="3"/>
    <n v="2346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1"/>
    <x v="14"/>
    <x v="5"/>
    <x v="3"/>
    <n v="0.79623304965161501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1"/>
    <x v="15"/>
    <x v="4"/>
    <x v="3"/>
    <n v="2218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1"/>
    <x v="16"/>
    <x v="5"/>
    <x v="3"/>
    <n v="0.463381461298964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2"/>
    <x v="0"/>
    <x v="0"/>
    <x v="0"/>
    <n v="2338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2"/>
    <x v="1"/>
    <x v="1"/>
    <x v="0"/>
    <n v="2331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2"/>
    <x v="2"/>
    <x v="2"/>
    <x v="1"/>
    <n v="1173.06195561507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2"/>
    <x v="3"/>
    <x v="3"/>
    <x v="1"/>
    <n v="1347.96087895683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2"/>
    <x v="4"/>
    <x v="0"/>
    <x v="1"/>
    <n v="2335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2"/>
    <x v="5"/>
    <x v="1"/>
    <x v="1"/>
    <n v="2331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2"/>
    <x v="6"/>
    <x v="2"/>
    <x v="1"/>
    <n v="329.836726530379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2"/>
    <x v="7"/>
    <x v="3"/>
    <x v="1"/>
    <n v="148.61222946095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2"/>
    <x v="8"/>
    <x v="0"/>
    <x v="1"/>
    <n v="2195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2"/>
    <x v="9"/>
    <x v="1"/>
    <x v="1"/>
    <n v="2192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2"/>
    <x v="10"/>
    <x v="1"/>
    <x v="2"/>
    <n v="2331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2"/>
    <x v="11"/>
    <x v="4"/>
    <x v="3"/>
    <n v="2333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2"/>
    <x v="12"/>
    <x v="5"/>
    <x v="3"/>
    <n v="0.54334923049978201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2"/>
    <x v="13"/>
    <x v="4"/>
    <x v="3"/>
    <n v="2333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2"/>
    <x v="14"/>
    <x v="5"/>
    <x v="3"/>
    <n v="0.81502384574967301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2"/>
    <x v="15"/>
    <x v="4"/>
    <x v="3"/>
    <n v="2193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2"/>
    <x v="16"/>
    <x v="5"/>
    <x v="3"/>
    <n v="0.45828999938777898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3"/>
    <x v="0"/>
    <x v="0"/>
    <x v="0"/>
    <n v="2416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3"/>
    <x v="1"/>
    <x v="1"/>
    <x v="0"/>
    <n v="2414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3"/>
    <x v="2"/>
    <x v="2"/>
    <x v="1"/>
    <n v="1190.80805071185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3"/>
    <x v="3"/>
    <x v="3"/>
    <x v="1"/>
    <n v="1689.74630553963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3"/>
    <x v="4"/>
    <x v="0"/>
    <x v="1"/>
    <n v="2415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3"/>
    <x v="5"/>
    <x v="1"/>
    <x v="1"/>
    <n v="2414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3"/>
    <x v="6"/>
    <x v="2"/>
    <x v="1"/>
    <n v="340.7308847304780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3"/>
    <x v="7"/>
    <x v="3"/>
    <x v="1"/>
    <n v="148.985052860740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3"/>
    <x v="8"/>
    <x v="0"/>
    <x v="1"/>
    <n v="2271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3"/>
    <x v="9"/>
    <x v="1"/>
    <x v="1"/>
    <n v="2270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3"/>
    <x v="10"/>
    <x v="1"/>
    <x v="2"/>
    <n v="2414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3"/>
    <x v="11"/>
    <x v="4"/>
    <x v="3"/>
    <n v="2415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3"/>
    <x v="12"/>
    <x v="5"/>
    <x v="3"/>
    <n v="0.55132248861278099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3"/>
    <x v="13"/>
    <x v="4"/>
    <x v="3"/>
    <n v="2415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3"/>
    <x v="14"/>
    <x v="5"/>
    <x v="3"/>
    <n v="0.82698373291917204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3"/>
    <x v="15"/>
    <x v="4"/>
    <x v="3"/>
    <n v="2271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3"/>
    <x v="16"/>
    <x v="5"/>
    <x v="3"/>
    <n v="0.47328328008376203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4"/>
    <x v="0"/>
    <x v="0"/>
    <x v="0"/>
    <n v="2418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4"/>
    <x v="1"/>
    <x v="1"/>
    <x v="0"/>
    <n v="2412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4"/>
    <x v="2"/>
    <x v="2"/>
    <x v="1"/>
    <n v="1182.37878469057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4"/>
    <x v="3"/>
    <x v="3"/>
    <x v="1"/>
    <n v="1861.286285607000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4"/>
    <x v="4"/>
    <x v="0"/>
    <x v="1"/>
    <n v="2417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4"/>
    <x v="5"/>
    <x v="1"/>
    <x v="1"/>
    <n v="2412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4"/>
    <x v="6"/>
    <x v="2"/>
    <x v="1"/>
    <n v="340.827449785832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4"/>
    <x v="7"/>
    <x v="3"/>
    <x v="1"/>
    <n v="148.971878606188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4"/>
    <x v="8"/>
    <x v="0"/>
    <x v="1"/>
    <n v="2282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4"/>
    <x v="9"/>
    <x v="1"/>
    <x v="1"/>
    <n v="2281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4"/>
    <x v="10"/>
    <x v="1"/>
    <x v="2"/>
    <n v="2412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4"/>
    <x v="11"/>
    <x v="4"/>
    <x v="3"/>
    <n v="2414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4"/>
    <x v="12"/>
    <x v="5"/>
    <x v="3"/>
    <n v="0.54743260742877398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4"/>
    <x v="13"/>
    <x v="4"/>
    <x v="3"/>
    <n v="2414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4"/>
    <x v="14"/>
    <x v="5"/>
    <x v="3"/>
    <n v="0.82114891114316102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4"/>
    <x v="15"/>
    <x v="4"/>
    <x v="3"/>
    <n v="2282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4"/>
    <x v="16"/>
    <x v="5"/>
    <x v="3"/>
    <n v="0.47352836729153203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5"/>
    <x v="0"/>
    <x v="0"/>
    <x v="0"/>
    <n v="2440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5"/>
    <x v="1"/>
    <x v="1"/>
    <x v="0"/>
    <n v="2436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5"/>
    <x v="2"/>
    <x v="2"/>
    <x v="1"/>
    <n v="1178.2383915896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5"/>
    <x v="3"/>
    <x v="3"/>
    <x v="1"/>
    <n v="1645.90608296116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5"/>
    <x v="4"/>
    <x v="0"/>
    <x v="1"/>
    <n v="2438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5"/>
    <x v="5"/>
    <x v="1"/>
    <x v="1"/>
    <n v="2436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5"/>
    <x v="6"/>
    <x v="2"/>
    <x v="1"/>
    <n v="345.530509277032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5"/>
    <x v="7"/>
    <x v="3"/>
    <x v="1"/>
    <n v="168.879815984576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5"/>
    <x v="8"/>
    <x v="0"/>
    <x v="1"/>
    <n v="2307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5"/>
    <x v="9"/>
    <x v="1"/>
    <x v="1"/>
    <n v="2305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5"/>
    <x v="10"/>
    <x v="1"/>
    <x v="2"/>
    <n v="2436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5"/>
    <x v="11"/>
    <x v="4"/>
    <x v="3"/>
    <n v="2438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5"/>
    <x v="12"/>
    <x v="5"/>
    <x v="3"/>
    <n v="0.54564134375843898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5"/>
    <x v="13"/>
    <x v="4"/>
    <x v="3"/>
    <n v="2438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5"/>
    <x v="14"/>
    <x v="5"/>
    <x v="3"/>
    <n v="0.81846201563765797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5"/>
    <x v="15"/>
    <x v="4"/>
    <x v="3"/>
    <n v="2306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5"/>
    <x v="16"/>
    <x v="5"/>
    <x v="3"/>
    <n v="0.480054480588737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6"/>
    <x v="0"/>
    <x v="0"/>
    <x v="0"/>
    <n v="2400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6"/>
    <x v="1"/>
    <x v="1"/>
    <x v="0"/>
    <n v="2393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6"/>
    <x v="2"/>
    <x v="2"/>
    <x v="1"/>
    <n v="1178.00139066107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6"/>
    <x v="3"/>
    <x v="3"/>
    <x v="1"/>
    <n v="1234.756799473140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6"/>
    <x v="4"/>
    <x v="0"/>
    <x v="1"/>
    <n v="2400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6"/>
    <x v="5"/>
    <x v="1"/>
    <x v="1"/>
    <n v="2393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6"/>
    <x v="6"/>
    <x v="2"/>
    <x v="1"/>
    <n v="340.01748571345797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6"/>
    <x v="7"/>
    <x v="3"/>
    <x v="1"/>
    <n v="163.702283659077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6"/>
    <x v="8"/>
    <x v="0"/>
    <x v="1"/>
    <n v="2263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6"/>
    <x v="9"/>
    <x v="1"/>
    <x v="1"/>
    <n v="2263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6"/>
    <x v="10"/>
    <x v="1"/>
    <x v="2"/>
    <n v="2393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6"/>
    <x v="11"/>
    <x v="4"/>
    <x v="3"/>
    <n v="2395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6"/>
    <x v="12"/>
    <x v="5"/>
    <x v="3"/>
    <n v="0.5454766580466180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6"/>
    <x v="13"/>
    <x v="4"/>
    <x v="3"/>
    <n v="2395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6"/>
    <x v="14"/>
    <x v="5"/>
    <x v="3"/>
    <n v="0.81821498706992801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6"/>
    <x v="15"/>
    <x v="4"/>
    <x v="3"/>
    <n v="2263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6"/>
    <x v="16"/>
    <x v="5"/>
    <x v="3"/>
    <n v="0.472246507935358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7"/>
    <x v="0"/>
    <x v="0"/>
    <x v="0"/>
    <n v="2411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7"/>
    <x v="1"/>
    <x v="1"/>
    <x v="0"/>
    <n v="2409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7"/>
    <x v="2"/>
    <x v="2"/>
    <x v="1"/>
    <n v="1183.96017403774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7"/>
    <x v="3"/>
    <x v="3"/>
    <x v="1"/>
    <n v="2371.9433101804502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7"/>
    <x v="4"/>
    <x v="0"/>
    <x v="1"/>
    <n v="2411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7"/>
    <x v="5"/>
    <x v="1"/>
    <x v="1"/>
    <n v="2409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7"/>
    <x v="6"/>
    <x v="2"/>
    <x v="1"/>
    <n v="343.103755264284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7"/>
    <x v="7"/>
    <x v="3"/>
    <x v="1"/>
    <n v="152.311979796490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7"/>
    <x v="8"/>
    <x v="0"/>
    <x v="1"/>
    <n v="2279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7"/>
    <x v="9"/>
    <x v="1"/>
    <x v="1"/>
    <n v="2279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7"/>
    <x v="10"/>
    <x v="1"/>
    <x v="2"/>
    <n v="2409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7"/>
    <x v="11"/>
    <x v="4"/>
    <x v="3"/>
    <n v="2411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7"/>
    <x v="12"/>
    <x v="5"/>
    <x v="3"/>
    <n v="0.5484621608607640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7"/>
    <x v="13"/>
    <x v="4"/>
    <x v="3"/>
    <n v="2411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7"/>
    <x v="14"/>
    <x v="5"/>
    <x v="3"/>
    <n v="0.82269324129114596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7"/>
    <x v="15"/>
    <x v="4"/>
    <x v="3"/>
    <n v="2279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7"/>
    <x v="16"/>
    <x v="5"/>
    <x v="3"/>
    <n v="0.476532993422616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8"/>
    <x v="0"/>
    <x v="0"/>
    <x v="0"/>
    <n v="2407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8"/>
    <x v="1"/>
    <x v="1"/>
    <x v="0"/>
    <n v="2407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8"/>
    <x v="2"/>
    <x v="2"/>
    <x v="1"/>
    <n v="1187.07846981767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8"/>
    <x v="3"/>
    <x v="3"/>
    <x v="1"/>
    <n v="1715.30997468803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8"/>
    <x v="4"/>
    <x v="0"/>
    <x v="1"/>
    <n v="2407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8"/>
    <x v="5"/>
    <x v="1"/>
    <x v="1"/>
    <n v="2407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8"/>
    <x v="6"/>
    <x v="2"/>
    <x v="1"/>
    <n v="340.164945652561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8"/>
    <x v="7"/>
    <x v="3"/>
    <x v="1"/>
    <n v="157.630043637156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8"/>
    <x v="8"/>
    <x v="0"/>
    <x v="1"/>
    <n v="2261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8"/>
    <x v="9"/>
    <x v="1"/>
    <x v="1"/>
    <n v="2261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8"/>
    <x v="10"/>
    <x v="1"/>
    <x v="2"/>
    <n v="2407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8"/>
    <x v="11"/>
    <x v="4"/>
    <x v="3"/>
    <n v="2407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8"/>
    <x v="12"/>
    <x v="5"/>
    <x v="3"/>
    <n v="0.54957336565633097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8"/>
    <x v="13"/>
    <x v="4"/>
    <x v="3"/>
    <n v="2407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8"/>
    <x v="14"/>
    <x v="5"/>
    <x v="3"/>
    <n v="0.82436004848449695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8"/>
    <x v="15"/>
    <x v="4"/>
    <x v="3"/>
    <n v="2261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8"/>
    <x v="16"/>
    <x v="5"/>
    <x v="3"/>
    <n v="0.472451313406334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39"/>
    <x v="0"/>
    <x v="0"/>
    <x v="0"/>
    <n v="2403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39"/>
    <x v="1"/>
    <x v="1"/>
    <x v="0"/>
    <n v="2400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39"/>
    <x v="2"/>
    <x v="2"/>
    <x v="1"/>
    <n v="1183.22166801005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39"/>
    <x v="3"/>
    <x v="3"/>
    <x v="1"/>
    <n v="1314.808624065200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39"/>
    <x v="4"/>
    <x v="0"/>
    <x v="1"/>
    <n v="2403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39"/>
    <x v="5"/>
    <x v="1"/>
    <x v="1"/>
    <n v="2400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39"/>
    <x v="6"/>
    <x v="2"/>
    <x v="1"/>
    <n v="338.70728092929699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39"/>
    <x v="7"/>
    <x v="3"/>
    <x v="1"/>
    <n v="140.270724099629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39"/>
    <x v="8"/>
    <x v="0"/>
    <x v="1"/>
    <n v="2256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39"/>
    <x v="9"/>
    <x v="1"/>
    <x v="1"/>
    <n v="2256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39"/>
    <x v="10"/>
    <x v="1"/>
    <x v="2"/>
    <n v="2400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39"/>
    <x v="11"/>
    <x v="4"/>
    <x v="3"/>
    <n v="2402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39"/>
    <x v="12"/>
    <x v="5"/>
    <x v="3"/>
    <n v="0.54802089990047798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39"/>
    <x v="13"/>
    <x v="4"/>
    <x v="3"/>
    <n v="2402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39"/>
    <x v="14"/>
    <x v="5"/>
    <x v="3"/>
    <n v="0.82203134985071702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39"/>
    <x v="15"/>
    <x v="4"/>
    <x v="3"/>
    <n v="2256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39"/>
    <x v="16"/>
    <x v="5"/>
    <x v="3"/>
    <n v="0.47042677906846803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0"/>
    <x v="0"/>
    <x v="0"/>
    <x v="0"/>
    <n v="2386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0"/>
    <x v="1"/>
    <x v="1"/>
    <x v="0"/>
    <n v="2378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0"/>
    <x v="2"/>
    <x v="2"/>
    <x v="1"/>
    <n v="1162.09482707272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0"/>
    <x v="3"/>
    <x v="3"/>
    <x v="1"/>
    <n v="1512.81258896214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0"/>
    <x v="4"/>
    <x v="0"/>
    <x v="1"/>
    <n v="2386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0"/>
    <x v="5"/>
    <x v="1"/>
    <x v="1"/>
    <n v="2378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0"/>
    <x v="6"/>
    <x v="2"/>
    <x v="1"/>
    <n v="339.94418831582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0"/>
    <x v="7"/>
    <x v="3"/>
    <x v="1"/>
    <n v="153.294526676525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0"/>
    <x v="8"/>
    <x v="0"/>
    <x v="1"/>
    <n v="2256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0"/>
    <x v="9"/>
    <x v="1"/>
    <x v="1"/>
    <n v="2256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0"/>
    <x v="10"/>
    <x v="1"/>
    <x v="2"/>
    <n v="2378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0"/>
    <x v="11"/>
    <x v="4"/>
    <x v="3"/>
    <n v="2380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0"/>
    <x v="12"/>
    <x v="5"/>
    <x v="3"/>
    <n v="0.538401847398853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0"/>
    <x v="13"/>
    <x v="4"/>
    <x v="3"/>
    <n v="2380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0"/>
    <x v="14"/>
    <x v="5"/>
    <x v="3"/>
    <n v="0.80760277109827905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0"/>
    <x v="15"/>
    <x v="4"/>
    <x v="3"/>
    <n v="2256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0"/>
    <x v="16"/>
    <x v="5"/>
    <x v="3"/>
    <n v="0.47214470599420499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1"/>
    <x v="0"/>
    <x v="0"/>
    <x v="0"/>
    <n v="2337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1"/>
    <x v="1"/>
    <x v="1"/>
    <x v="0"/>
    <n v="2335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1"/>
    <x v="2"/>
    <x v="2"/>
    <x v="1"/>
    <n v="1149.82555417872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1"/>
    <x v="3"/>
    <x v="3"/>
    <x v="1"/>
    <n v="1444.71094947707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1"/>
    <x v="4"/>
    <x v="0"/>
    <x v="1"/>
    <n v="2336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1"/>
    <x v="5"/>
    <x v="1"/>
    <x v="1"/>
    <n v="2335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1"/>
    <x v="6"/>
    <x v="2"/>
    <x v="1"/>
    <n v="332.585707734411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1"/>
    <x v="7"/>
    <x v="3"/>
    <x v="1"/>
    <n v="133.579429663282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1"/>
    <x v="8"/>
    <x v="0"/>
    <x v="1"/>
    <n v="2212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1"/>
    <x v="9"/>
    <x v="1"/>
    <x v="1"/>
    <n v="2211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1"/>
    <x v="10"/>
    <x v="1"/>
    <x v="2"/>
    <n v="2335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1"/>
    <x v="11"/>
    <x v="4"/>
    <x v="3"/>
    <n v="2336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1"/>
    <x v="12"/>
    <x v="5"/>
    <x v="3"/>
    <n v="0.53251692726377697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1"/>
    <x v="13"/>
    <x v="4"/>
    <x v="3"/>
    <n v="2336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1"/>
    <x v="14"/>
    <x v="5"/>
    <x v="3"/>
    <n v="0.79877539089566596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1"/>
    <x v="15"/>
    <x v="4"/>
    <x v="3"/>
    <n v="2212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1"/>
    <x v="16"/>
    <x v="5"/>
    <x v="3"/>
    <n v="0.462016895895759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2"/>
    <x v="0"/>
    <x v="0"/>
    <x v="0"/>
    <n v="2425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2"/>
    <x v="1"/>
    <x v="1"/>
    <x v="0"/>
    <n v="2421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2"/>
    <x v="2"/>
    <x v="2"/>
    <x v="1"/>
    <n v="1166.31371981832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2"/>
    <x v="3"/>
    <x v="3"/>
    <x v="1"/>
    <n v="1736.49521424108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2"/>
    <x v="4"/>
    <x v="0"/>
    <x v="1"/>
    <n v="2424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2"/>
    <x v="5"/>
    <x v="1"/>
    <x v="1"/>
    <n v="2421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2"/>
    <x v="6"/>
    <x v="2"/>
    <x v="1"/>
    <n v="342.5771790789040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2"/>
    <x v="7"/>
    <x v="3"/>
    <x v="1"/>
    <n v="166.834490595339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2"/>
    <x v="8"/>
    <x v="0"/>
    <x v="1"/>
    <n v="2286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2"/>
    <x v="9"/>
    <x v="1"/>
    <x v="1"/>
    <n v="2285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2"/>
    <x v="10"/>
    <x v="1"/>
    <x v="2"/>
    <n v="2421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2"/>
    <x v="11"/>
    <x v="4"/>
    <x v="3"/>
    <n v="2423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2"/>
    <x v="12"/>
    <x v="5"/>
    <x v="3"/>
    <n v="0.5402874976663960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2"/>
    <x v="13"/>
    <x v="4"/>
    <x v="3"/>
    <n v="2423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2"/>
    <x v="14"/>
    <x v="5"/>
    <x v="3"/>
    <n v="0.81043124649959397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2"/>
    <x v="15"/>
    <x v="4"/>
    <x v="3"/>
    <n v="2286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2"/>
    <x v="16"/>
    <x v="5"/>
    <x v="3"/>
    <n v="0.47596039236453802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3"/>
    <x v="0"/>
    <x v="0"/>
    <x v="0"/>
    <n v="2363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3"/>
    <x v="1"/>
    <x v="1"/>
    <x v="0"/>
    <n v="2363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3"/>
    <x v="2"/>
    <x v="2"/>
    <x v="1"/>
    <n v="1160.68637425063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3"/>
    <x v="3"/>
    <x v="3"/>
    <x v="1"/>
    <n v="1696.88703191172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3"/>
    <x v="4"/>
    <x v="0"/>
    <x v="1"/>
    <n v="2363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3"/>
    <x v="5"/>
    <x v="1"/>
    <x v="1"/>
    <n v="2363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3"/>
    <x v="6"/>
    <x v="2"/>
    <x v="1"/>
    <n v="334.74570057600403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3"/>
    <x v="7"/>
    <x v="3"/>
    <x v="1"/>
    <n v="140.518126934566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3"/>
    <x v="8"/>
    <x v="0"/>
    <x v="1"/>
    <n v="2226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3"/>
    <x v="9"/>
    <x v="1"/>
    <x v="1"/>
    <n v="2226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3"/>
    <x v="10"/>
    <x v="1"/>
    <x v="2"/>
    <n v="2363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3"/>
    <x v="11"/>
    <x v="4"/>
    <x v="3"/>
    <n v="2363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3"/>
    <x v="12"/>
    <x v="5"/>
    <x v="3"/>
    <n v="0.53735480289380899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3"/>
    <x v="13"/>
    <x v="4"/>
    <x v="3"/>
    <n v="2363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3"/>
    <x v="14"/>
    <x v="5"/>
    <x v="3"/>
    <n v="0.80603220434071399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3"/>
    <x v="15"/>
    <x v="4"/>
    <x v="3"/>
    <n v="2226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3"/>
    <x v="16"/>
    <x v="5"/>
    <x v="3"/>
    <n v="0.46492458413333898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4"/>
    <x v="0"/>
    <x v="0"/>
    <x v="0"/>
    <n v="2346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4"/>
    <x v="1"/>
    <x v="1"/>
    <x v="0"/>
    <n v="2339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4"/>
    <x v="2"/>
    <x v="2"/>
    <x v="1"/>
    <n v="1152.23245299844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4"/>
    <x v="3"/>
    <x v="3"/>
    <x v="1"/>
    <n v="1343.01779105014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4"/>
    <x v="4"/>
    <x v="0"/>
    <x v="1"/>
    <n v="2345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4"/>
    <x v="5"/>
    <x v="1"/>
    <x v="1"/>
    <n v="2339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4"/>
    <x v="6"/>
    <x v="2"/>
    <x v="1"/>
    <n v="330.52958668831002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4"/>
    <x v="7"/>
    <x v="3"/>
    <x v="1"/>
    <n v="150.328889287083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4"/>
    <x v="8"/>
    <x v="0"/>
    <x v="1"/>
    <n v="2190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4"/>
    <x v="9"/>
    <x v="1"/>
    <x v="1"/>
    <n v="2189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4"/>
    <x v="10"/>
    <x v="1"/>
    <x v="2"/>
    <n v="2339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4"/>
    <x v="11"/>
    <x v="4"/>
    <x v="3"/>
    <n v="2341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4"/>
    <x v="12"/>
    <x v="5"/>
    <x v="3"/>
    <n v="0.5341950485754809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4"/>
    <x v="13"/>
    <x v="4"/>
    <x v="3"/>
    <n v="2341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4"/>
    <x v="14"/>
    <x v="5"/>
    <x v="3"/>
    <n v="0.80129257286322197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4"/>
    <x v="15"/>
    <x v="4"/>
    <x v="3"/>
    <n v="2190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4"/>
    <x v="16"/>
    <x v="5"/>
    <x v="3"/>
    <n v="0.45927192683384199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5"/>
    <x v="0"/>
    <x v="0"/>
    <x v="0"/>
    <n v="2434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5"/>
    <x v="1"/>
    <x v="1"/>
    <x v="0"/>
    <n v="2434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5"/>
    <x v="2"/>
    <x v="2"/>
    <x v="1"/>
    <n v="1181.80840430666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5"/>
    <x v="3"/>
    <x v="3"/>
    <x v="1"/>
    <n v="1742.0391877161101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5"/>
    <x v="4"/>
    <x v="0"/>
    <x v="1"/>
    <n v="2434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5"/>
    <x v="5"/>
    <x v="1"/>
    <x v="1"/>
    <n v="2434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5"/>
    <x v="6"/>
    <x v="2"/>
    <x v="1"/>
    <n v="341.8049152079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5"/>
    <x v="7"/>
    <x v="3"/>
    <x v="1"/>
    <n v="149.178942263740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5"/>
    <x v="8"/>
    <x v="0"/>
    <x v="1"/>
    <n v="2292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5"/>
    <x v="9"/>
    <x v="1"/>
    <x v="1"/>
    <n v="2292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5"/>
    <x v="10"/>
    <x v="1"/>
    <x v="2"/>
    <n v="2434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5"/>
    <x v="11"/>
    <x v="4"/>
    <x v="3"/>
    <n v="2434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5"/>
    <x v="12"/>
    <x v="5"/>
    <x v="3"/>
    <n v="0.54713352051234898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5"/>
    <x v="13"/>
    <x v="4"/>
    <x v="3"/>
    <n v="2434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5"/>
    <x v="14"/>
    <x v="5"/>
    <x v="3"/>
    <n v="0.82070028076852297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5"/>
    <x v="15"/>
    <x v="4"/>
    <x v="3"/>
    <n v="2292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5"/>
    <x v="16"/>
    <x v="5"/>
    <x v="3"/>
    <n v="0.47472904889996997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6"/>
    <x v="0"/>
    <x v="0"/>
    <x v="0"/>
    <n v="2429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6"/>
    <x v="1"/>
    <x v="1"/>
    <x v="0"/>
    <n v="2429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6"/>
    <x v="2"/>
    <x v="2"/>
    <x v="1"/>
    <n v="1191.91345460694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6"/>
    <x v="3"/>
    <x v="3"/>
    <x v="1"/>
    <n v="1956.91547885285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6"/>
    <x v="4"/>
    <x v="0"/>
    <x v="1"/>
    <n v="2429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6"/>
    <x v="5"/>
    <x v="1"/>
    <x v="1"/>
    <n v="2429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6"/>
    <x v="6"/>
    <x v="2"/>
    <x v="1"/>
    <n v="339.3317149222439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6"/>
    <x v="7"/>
    <x v="3"/>
    <x v="1"/>
    <n v="152.4931482372319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6"/>
    <x v="8"/>
    <x v="0"/>
    <x v="1"/>
    <n v="2283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6"/>
    <x v="9"/>
    <x v="1"/>
    <x v="1"/>
    <n v="2283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6"/>
    <x v="10"/>
    <x v="1"/>
    <x v="2"/>
    <n v="2429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6"/>
    <x v="11"/>
    <x v="4"/>
    <x v="3"/>
    <n v="2429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6"/>
    <x v="12"/>
    <x v="5"/>
    <x v="3"/>
    <n v="0.55181178454025803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6"/>
    <x v="13"/>
    <x v="4"/>
    <x v="3"/>
    <n v="2429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6"/>
    <x v="14"/>
    <x v="5"/>
    <x v="3"/>
    <n v="0.82771767681038699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6"/>
    <x v="15"/>
    <x v="4"/>
    <x v="3"/>
    <n v="2283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6"/>
    <x v="16"/>
    <x v="5"/>
    <x v="3"/>
    <n v="0.471294048503117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7"/>
    <x v="0"/>
    <x v="0"/>
    <x v="0"/>
    <n v="2453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7"/>
    <x v="1"/>
    <x v="1"/>
    <x v="0"/>
    <n v="2450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7"/>
    <x v="2"/>
    <x v="2"/>
    <x v="1"/>
    <n v="1193.90512730722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7"/>
    <x v="3"/>
    <x v="3"/>
    <x v="1"/>
    <n v="2382.5494257862802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7"/>
    <x v="4"/>
    <x v="0"/>
    <x v="1"/>
    <n v="2453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7"/>
    <x v="5"/>
    <x v="1"/>
    <x v="1"/>
    <n v="2450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7"/>
    <x v="6"/>
    <x v="2"/>
    <x v="1"/>
    <n v="347.57127037951801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7"/>
    <x v="7"/>
    <x v="3"/>
    <x v="1"/>
    <n v="171.851084301756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7"/>
    <x v="8"/>
    <x v="0"/>
    <x v="1"/>
    <n v="2316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7"/>
    <x v="9"/>
    <x v="1"/>
    <x v="1"/>
    <n v="2316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7"/>
    <x v="10"/>
    <x v="1"/>
    <x v="2"/>
    <n v="2450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7"/>
    <x v="11"/>
    <x v="4"/>
    <x v="3"/>
    <n v="2452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7"/>
    <x v="12"/>
    <x v="5"/>
    <x v="3"/>
    <n v="0.55285426515053804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7"/>
    <x v="13"/>
    <x v="4"/>
    <x v="3"/>
    <n v="2452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7"/>
    <x v="14"/>
    <x v="5"/>
    <x v="3"/>
    <n v="0.829281397725807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7"/>
    <x v="15"/>
    <x v="4"/>
    <x v="3"/>
    <n v="2316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7"/>
    <x v="16"/>
    <x v="5"/>
    <x v="3"/>
    <n v="0.48273787552710801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8"/>
    <x v="0"/>
    <x v="0"/>
    <x v="0"/>
    <n v="2416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8"/>
    <x v="1"/>
    <x v="1"/>
    <x v="0"/>
    <n v="2413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8"/>
    <x v="2"/>
    <x v="2"/>
    <x v="1"/>
    <n v="1177.4103756453001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8"/>
    <x v="3"/>
    <x v="3"/>
    <x v="1"/>
    <n v="1534.9409857964399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8"/>
    <x v="4"/>
    <x v="0"/>
    <x v="1"/>
    <n v="2416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8"/>
    <x v="5"/>
    <x v="1"/>
    <x v="1"/>
    <n v="2413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8"/>
    <x v="6"/>
    <x v="2"/>
    <x v="1"/>
    <n v="342.45648414934999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8"/>
    <x v="7"/>
    <x v="3"/>
    <x v="1"/>
    <n v="153.162332124355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8"/>
    <x v="8"/>
    <x v="0"/>
    <x v="1"/>
    <n v="2275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8"/>
    <x v="9"/>
    <x v="1"/>
    <x v="1"/>
    <n v="2275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8"/>
    <x v="10"/>
    <x v="1"/>
    <x v="2"/>
    <n v="2413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8"/>
    <x v="11"/>
    <x v="4"/>
    <x v="3"/>
    <n v="2415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8"/>
    <x v="12"/>
    <x v="5"/>
    <x v="3"/>
    <n v="0.54537828923069498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8"/>
    <x v="13"/>
    <x v="4"/>
    <x v="3"/>
    <n v="2415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8"/>
    <x v="14"/>
    <x v="5"/>
    <x v="3"/>
    <n v="0.81806743384604297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8"/>
    <x v="15"/>
    <x v="4"/>
    <x v="3"/>
    <n v="2275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8"/>
    <x v="16"/>
    <x v="5"/>
    <x v="3"/>
    <n v="0.47563400576298598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49"/>
    <x v="0"/>
    <x v="0"/>
    <x v="0"/>
    <n v="2388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49"/>
    <x v="1"/>
    <x v="1"/>
    <x v="0"/>
    <n v="2385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49"/>
    <x v="2"/>
    <x v="2"/>
    <x v="1"/>
    <n v="1180.1303659966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49"/>
    <x v="3"/>
    <x v="3"/>
    <x v="1"/>
    <n v="1732.07046583695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49"/>
    <x v="4"/>
    <x v="0"/>
    <x v="1"/>
    <n v="2388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49"/>
    <x v="5"/>
    <x v="1"/>
    <x v="1"/>
    <n v="2385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49"/>
    <x v="6"/>
    <x v="2"/>
    <x v="1"/>
    <n v="333.64025786207498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49"/>
    <x v="7"/>
    <x v="3"/>
    <x v="1"/>
    <n v="132.925681803359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49"/>
    <x v="8"/>
    <x v="0"/>
    <x v="1"/>
    <n v="2239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49"/>
    <x v="9"/>
    <x v="1"/>
    <x v="1"/>
    <n v="2239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49"/>
    <x v="10"/>
    <x v="1"/>
    <x v="2"/>
    <n v="2385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49"/>
    <x v="11"/>
    <x v="4"/>
    <x v="3"/>
    <n v="2387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49"/>
    <x v="12"/>
    <x v="5"/>
    <x v="3"/>
    <n v="0.54657586793108004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49"/>
    <x v="13"/>
    <x v="4"/>
    <x v="3"/>
    <n v="2387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49"/>
    <x v="14"/>
    <x v="5"/>
    <x v="3"/>
    <n v="0.819863801896619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49"/>
    <x v="15"/>
    <x v="4"/>
    <x v="3"/>
    <n v="2239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49"/>
    <x v="16"/>
    <x v="5"/>
    <x v="3"/>
    <n v="0.46338924703065998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  <r>
    <x v="0"/>
    <s v="2025-05-22 00:30:31"/>
    <n v="50"/>
    <x v="0"/>
    <x v="0"/>
    <x v="0"/>
    <n v="2433"/>
    <n v="0"/>
    <s v="PacientesEntity 1.NumberInNumber InEntity"/>
    <n v="50"/>
    <n v="2404.8200000000002"/>
    <n v="46.42953405595474"/>
    <n v="0.95"/>
    <n v="13.195127580834233"/>
    <n v="2307"/>
    <n v="2518"/>
  </r>
  <r>
    <x v="0"/>
    <s v="2025-05-22 00:30:31"/>
    <n v="50"/>
    <x v="1"/>
    <x v="1"/>
    <x v="0"/>
    <n v="2431"/>
    <n v="0"/>
    <s v="PacientesEntity 1.NumberOutNumber OutEntity"/>
    <n v="50"/>
    <n v="2400.2800000000002"/>
    <n v="46.409024456676619"/>
    <n v="0.95"/>
    <n v="13.189298817211915"/>
    <n v="2305"/>
    <n v="2504"/>
  </r>
  <r>
    <x v="0"/>
    <s v="2025-05-22 00:30:31"/>
    <n v="50"/>
    <x v="2"/>
    <x v="2"/>
    <x v="1"/>
    <n v="1189.0989246159399"/>
    <n v="0"/>
    <s v="PacientesProcess 2 Accum VA TimeAccum VA TimeProcess"/>
    <n v="50"/>
    <n v="1181.1234936767919"/>
    <n v="22.169313666927575"/>
    <n v="0.95"/>
    <n v="6.3004492326393233"/>
    <n v="1133.24622318414"/>
    <n v="1230.9493287309799"/>
  </r>
  <r>
    <x v="0"/>
    <s v="2025-05-22 00:30:31"/>
    <n v="50"/>
    <x v="3"/>
    <x v="3"/>
    <x v="1"/>
    <n v="2609.2568054213998"/>
    <n v="0"/>
    <s v="PacientesProcess 2 Accum Wait TimeAccum Wait TimeProcess"/>
    <n v="50"/>
    <n v="1938.7515507466894"/>
    <n v="534.03396241838232"/>
    <n v="0.95"/>
    <n v="151.77077284722898"/>
    <n v="1234.7567994731401"/>
    <n v="3269.0858002883801"/>
  </r>
  <r>
    <x v="0"/>
    <s v="2025-05-22 00:30:31"/>
    <n v="50"/>
    <x v="4"/>
    <x v="0"/>
    <x v="1"/>
    <n v="2433"/>
    <n v="0"/>
    <s v="PacientesProcess 2 Number InNumber InProcess"/>
    <n v="50"/>
    <n v="2404.2399999999998"/>
    <n v="46.574303154053879"/>
    <n v="0.95"/>
    <n v="13.236270503286962"/>
    <n v="2306"/>
    <n v="2518"/>
  </r>
  <r>
    <x v="0"/>
    <s v="2025-05-22 00:30:31"/>
    <n v="50"/>
    <x v="5"/>
    <x v="1"/>
    <x v="1"/>
    <n v="2431"/>
    <n v="0"/>
    <s v="PacientesProcess 2 Number OutNumber OutProcess"/>
    <n v="50"/>
    <n v="2400.2800000000002"/>
    <n v="46.409024456676619"/>
    <n v="0.95"/>
    <n v="13.189298817211915"/>
    <n v="2305"/>
    <n v="2504"/>
  </r>
  <r>
    <x v="0"/>
    <s v="2025-05-22 00:30:31"/>
    <n v="50"/>
    <x v="6"/>
    <x v="2"/>
    <x v="1"/>
    <n v="343.22668523811097"/>
    <n v="0"/>
    <s v="PacientesRegistro Accum VA TimeAccum VA TimeProcess"/>
    <n v="50"/>
    <n v="339.53547737062786"/>
    <n v="6.9723666109353193"/>
    <n v="0.95"/>
    <n v="1.9815246661912362"/>
    <n v="325.606879158418"/>
    <n v="357.77609013379703"/>
  </r>
  <r>
    <x v="0"/>
    <s v="2025-05-22 00:30:31"/>
    <n v="50"/>
    <x v="7"/>
    <x v="3"/>
    <x v="1"/>
    <n v="159.14016551789501"/>
    <n v="0"/>
    <s v="PacientesRegistro Accum Wait TimeAccum Wait TimeProcess"/>
    <n v="50"/>
    <n v="154.15303898127775"/>
    <n v="12.141439184615397"/>
    <n v="0.95"/>
    <n v="3.4505588374603331"/>
    <n v="123.901613974094"/>
    <n v="178.441307284473"/>
  </r>
  <r>
    <x v="0"/>
    <s v="2025-05-22 00:30:31"/>
    <n v="50"/>
    <x v="8"/>
    <x v="0"/>
    <x v="1"/>
    <n v="2292"/>
    <n v="0"/>
    <s v="PacientesRegistro Number InNumber InProcess"/>
    <n v="50"/>
    <n v="2263.2399999999998"/>
    <n v="47.331035682472766"/>
    <n v="0.95"/>
    <n v="13.451331508314944"/>
    <n v="2172"/>
    <n v="2386"/>
  </r>
  <r>
    <x v="0"/>
    <s v="2025-05-22 00:30:31"/>
    <n v="50"/>
    <x v="9"/>
    <x v="1"/>
    <x v="1"/>
    <n v="2292"/>
    <n v="0"/>
    <s v="PacientesRegistro Number OutNumber OutProcess"/>
    <n v="50"/>
    <n v="2262.66"/>
    <n v="47.488176831454687"/>
    <n v="0.95"/>
    <n v="13.495990528724592"/>
    <n v="2171"/>
    <n v="2386"/>
  </r>
  <r>
    <x v="0"/>
    <s v="2025-05-22 00:30:31"/>
    <n v="50"/>
    <x v="10"/>
    <x v="1"/>
    <x v="2"/>
    <n v="2431"/>
    <n v="0"/>
    <s v="PacientesSystem.NumberOutNumber OutSystem"/>
    <n v="50"/>
    <n v="2400.2800000000002"/>
    <n v="46.409024456676619"/>
    <n v="0.95"/>
    <n v="13.189298817211915"/>
    <n v="2305"/>
    <n v="2504"/>
  </r>
  <r>
    <x v="0"/>
    <s v="2025-05-22 00:30:31"/>
    <n v="50"/>
    <x v="11"/>
    <x v="4"/>
    <x v="3"/>
    <n v="2433"/>
    <n v="0"/>
    <s v="PacientesrCamas.NumberSeizedTotal Number SeizedResource"/>
    <n v="50"/>
    <n v="2401.9"/>
    <n v="46.417031532903209"/>
    <n v="0.95"/>
    <n v="13.191574403097228"/>
    <n v="2306"/>
    <n v="2506"/>
  </r>
  <r>
    <x v="0"/>
    <s v="2025-05-22 00:30:31"/>
    <n v="50"/>
    <x v="12"/>
    <x v="5"/>
    <x v="3"/>
    <n v="0.55060118191558205"/>
    <n v="0"/>
    <s v="PacientesrCamas.ScheduledUtilizationScheduled UtilizationResource"/>
    <n v="50"/>
    <n v="0.54703961359050601"/>
    <n v="1.0221170008030479E-2"/>
    <n v="0.95"/>
    <n v="2.9048243757695252E-3"/>
    <n v="0.52470641844357901"/>
    <n v="0.57005812966092295"/>
  </r>
  <r>
    <x v="0"/>
    <s v="2025-05-22 00:30:31"/>
    <n v="50"/>
    <x v="13"/>
    <x v="4"/>
    <x v="3"/>
    <n v="2433"/>
    <n v="0"/>
    <s v="PacientesrMedico.NumberSeizedTotal Number SeizedResource"/>
    <n v="50"/>
    <n v="2401.9"/>
    <n v="46.417031532903209"/>
    <n v="0.95"/>
    <n v="13.191574403097228"/>
    <n v="2306"/>
    <n v="2506"/>
  </r>
  <r>
    <x v="0"/>
    <s v="2025-05-22 00:30:31"/>
    <n v="50"/>
    <x v="14"/>
    <x v="5"/>
    <x v="3"/>
    <n v="0.82590177287337396"/>
    <n v="0"/>
    <s v="PacientesrMedico.ScheduledUtilizationScheduled UtilizationResource"/>
    <n v="50"/>
    <n v="0.82055942038575935"/>
    <n v="1.5331755012045719E-2"/>
    <n v="0.95"/>
    <n v="4.3572365636542886E-3"/>
    <n v="0.78705962766536897"/>
    <n v="0.85508719449138504"/>
  </r>
  <r>
    <x v="0"/>
    <s v="2025-05-22 00:30:31"/>
    <n v="50"/>
    <x v="15"/>
    <x v="4"/>
    <x v="3"/>
    <n v="2292"/>
    <n v="0"/>
    <s v="PacientesrRegistradora.NumberSeizedTotal Number SeizedResource"/>
    <n v="50"/>
    <n v="2263.14"/>
    <n v="47.386818971575821"/>
    <n v="0.95"/>
    <n v="13.467184943667242"/>
    <n v="2172"/>
    <n v="2386"/>
  </r>
  <r>
    <x v="0"/>
    <s v="2025-05-22 00:30:31"/>
    <n v="50"/>
    <x v="16"/>
    <x v="5"/>
    <x v="3"/>
    <n v="0.47670372949737699"/>
    <n v="0"/>
    <s v="PacientesrRegistradora.ScheduledUtilizationScheduled UtilizationResource"/>
    <n v="50"/>
    <n v="0.47162762933545666"/>
    <n v="9.6615227076777797E-3"/>
    <n v="0.95"/>
    <n v="2.7457743728226142E-3"/>
    <n v="0.452397944183905"/>
    <n v="0.496911236296940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4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21"/>
        <item m="1" x="12"/>
        <item m="1" x="28"/>
        <item m="1" x="37"/>
        <item m="1" x="50"/>
        <item m="1" x="49"/>
        <item m="1" x="13"/>
        <item m="1" x="114"/>
        <item m="1" x="92"/>
        <item m="1" x="55"/>
        <item m="1" x="42"/>
        <item m="1" x="46"/>
        <item x="0"/>
        <item m="1" x="31"/>
        <item m="1" x="113"/>
        <item m="1" x="35"/>
        <item m="1" x="86"/>
        <item m="1" x="100"/>
        <item m="1" x="10"/>
        <item m="1" x="36"/>
        <item m="1" x="123"/>
        <item m="1" x="25"/>
        <item m="1" x="115"/>
        <item m="1" x="14"/>
        <item m="1" x="41"/>
        <item m="1" x="67"/>
        <item m="1" x="11"/>
        <item m="1" x="17"/>
        <item m="1" x="87"/>
        <item m="1" x="68"/>
        <item m="1" x="102"/>
        <item m="1" x="58"/>
        <item m="1" x="22"/>
        <item m="1" x="52"/>
        <item m="1" x="88"/>
        <item m="1" x="73"/>
        <item m="1" x="23"/>
        <item m="1" x="33"/>
        <item m="1" x="95"/>
        <item m="1" x="9"/>
        <item m="1" x="122"/>
        <item m="1" x="80"/>
        <item m="1" x="20"/>
        <item m="1" x="105"/>
        <item m="1" x="51"/>
        <item m="1" x="124"/>
        <item m="1" x="85"/>
        <item m="1" x="27"/>
        <item m="1" x="72"/>
        <item m="1" x="91"/>
        <item m="1" x="104"/>
        <item m="1" x="112"/>
        <item m="1" x="121"/>
        <item m="1" x="8"/>
        <item m="1" x="26"/>
        <item m="1" x="40"/>
        <item m="1" x="29"/>
        <item m="1" x="7"/>
        <item m="1" x="101"/>
        <item m="1" x="118"/>
        <item m="1" x="44"/>
        <item m="1" x="79"/>
        <item m="1" x="32"/>
        <item m="1" x="53"/>
        <item m="1" x="38"/>
        <item m="1" x="62"/>
        <item m="1" x="47"/>
        <item m="1" x="69"/>
        <item m="1" x="54"/>
        <item m="1" x="81"/>
        <item m="1" x="63"/>
        <item m="1" x="89"/>
        <item m="1" x="70"/>
        <item m="1" x="98"/>
        <item m="1" x="82"/>
        <item m="1" x="103"/>
        <item m="1" x="90"/>
        <item m="1" x="107"/>
        <item m="1" x="119"/>
        <item m="1" x="109"/>
        <item m="1" x="93"/>
        <item m="1" x="66"/>
        <item m="1" x="45"/>
        <item m="1" x="60"/>
        <item m="1" x="24"/>
        <item m="1" x="30"/>
        <item m="1" x="39"/>
        <item m="1" x="43"/>
        <item m="1" x="75"/>
        <item m="1" x="120"/>
        <item m="1" x="110"/>
        <item m="1" x="94"/>
        <item m="1" x="61"/>
        <item m="1" x="128"/>
        <item m="1" x="77"/>
        <item m="1" x="65"/>
        <item m="1" x="97"/>
        <item m="1" x="78"/>
        <item m="1" x="57"/>
        <item m="1" x="64"/>
        <item m="1" x="18"/>
        <item m="1" x="83"/>
        <item m="1" x="99"/>
        <item m="1" x="108"/>
        <item m="1" x="116"/>
        <item m="1" x="127"/>
        <item m="1" x="15"/>
        <item m="1" x="34"/>
        <item m="1" x="126"/>
        <item m="1" x="16"/>
        <item m="1" x="84"/>
        <item m="1" x="59"/>
        <item m="1" x="74"/>
        <item m="1" x="19"/>
        <item m="1" x="125"/>
        <item m="1" x="106"/>
        <item m="1" x="56"/>
        <item m="1" x="117"/>
        <item m="1" x="76"/>
        <item m="1" x="96"/>
        <item m="1" x="111"/>
        <item m="1" x="48"/>
        <item m="1" x="71"/>
        <item m="1" x="6"/>
        <item x="1"/>
        <item x="2"/>
        <item x="3"/>
        <item x="4"/>
        <item x="5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2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67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2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9">
        <item m="1" x="21"/>
        <item m="1" x="44"/>
        <item m="1" x="16"/>
        <item m="1" x="96"/>
        <item m="1" x="79"/>
        <item m="1" x="49"/>
        <item m="1" x="105"/>
        <item m="1" x="37"/>
        <item m="1" x="41"/>
        <item x="0"/>
        <item m="1" x="74"/>
        <item m="1" x="86"/>
        <item m="1" x="91"/>
        <item m="1" x="15"/>
        <item m="1" x="43"/>
        <item m="1" x="33"/>
        <item m="1" x="108"/>
        <item m="1" x="103"/>
        <item m="1" x="31"/>
        <item m="1" x="25"/>
        <item m="1" x="97"/>
        <item m="1" x="17"/>
        <item m="1" x="50"/>
        <item m="1" x="36"/>
        <item m="1" x="61"/>
        <item m="1" x="88"/>
        <item m="1" x="52"/>
        <item m="1" x="22"/>
        <item m="1" x="46"/>
        <item m="1" x="75"/>
        <item m="1" x="65"/>
        <item m="1" x="23"/>
        <item m="1" x="82"/>
        <item m="1" x="14"/>
        <item m="1" x="102"/>
        <item m="1" x="70"/>
        <item m="1" x="90"/>
        <item m="1" x="45"/>
        <item m="1" x="104"/>
        <item m="1" x="73"/>
        <item m="1" x="27"/>
        <item m="1" x="64"/>
        <item m="1" x="78"/>
        <item m="1" x="89"/>
        <item m="1" x="95"/>
        <item m="1" x="13"/>
        <item m="1" x="26"/>
        <item m="1" x="35"/>
        <item m="1" x="28"/>
        <item m="1" x="12"/>
        <item m="1" x="87"/>
        <item m="1" x="99"/>
        <item m="1" x="39"/>
        <item m="1" x="69"/>
        <item m="1" x="30"/>
        <item m="1" x="47"/>
        <item m="1" x="34"/>
        <item m="1" x="55"/>
        <item m="1" x="42"/>
        <item m="1" x="62"/>
        <item m="1" x="48"/>
        <item m="1" x="71"/>
        <item m="1" x="56"/>
        <item m="1" x="76"/>
        <item m="1" x="63"/>
        <item m="1" x="84"/>
        <item m="1" x="77"/>
        <item m="1" x="92"/>
        <item m="1" x="100"/>
        <item m="1" x="80"/>
        <item m="1" x="59"/>
        <item m="1" x="40"/>
        <item m="1" x="53"/>
        <item m="1" x="24"/>
        <item m="1" x="29"/>
        <item m="1" x="38"/>
        <item m="1" x="66"/>
        <item m="1" x="101"/>
        <item m="1" x="94"/>
        <item m="1" x="81"/>
        <item m="1" x="54"/>
        <item m="1" x="67"/>
        <item m="1" x="58"/>
        <item m="1" x="83"/>
        <item m="1" x="68"/>
        <item m="1" x="51"/>
        <item m="1" x="57"/>
        <item m="1" x="20"/>
        <item m="1" x="60"/>
        <item m="1" x="72"/>
        <item m="1" x="85"/>
        <item m="1" x="93"/>
        <item m="1" x="98"/>
        <item m="1" x="107"/>
        <item m="1" x="18"/>
        <item m="1" x="32"/>
        <item m="1" x="106"/>
        <item m="1" x="19"/>
        <item m="1" x="11"/>
        <item x="1"/>
        <item x="2"/>
        <item x="3"/>
        <item x="4"/>
        <item x="6"/>
        <item x="7"/>
        <item x="8"/>
        <item x="9"/>
        <item x="10"/>
        <item x="5"/>
      </items>
    </pivotField>
    <pivotField axis="axisRow" compact="0" outline="0" showAll="0" defaultSubtotal="0">
      <items count="13">
        <item x="10"/>
        <item x="0"/>
        <item x="1"/>
        <item x="2"/>
        <item x="3"/>
        <item x="4"/>
        <item x="5"/>
        <item x="9"/>
        <item x="6"/>
        <item x="7"/>
        <item x="8"/>
        <item m="1" x="12"/>
        <item x="11"/>
      </items>
    </pivotField>
    <pivotField axis="axisRow" compact="0" outline="0" showAll="0" defaultSubtotal="0">
      <items count="5">
        <item x="0"/>
        <item x="2"/>
        <item x="3"/>
        <item x="1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0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8"/>
      <x v="3"/>
    </i>
    <i r="2">
      <x v="9"/>
      <x v="3"/>
    </i>
    <i r="2">
      <x v="10"/>
      <x v="3"/>
    </i>
    <i r="1">
      <x v="100"/>
      <x v="7"/>
      <x v="1"/>
    </i>
    <i r="1">
      <x v="101"/>
      <x v="8"/>
      <x v="3"/>
    </i>
    <i r="2">
      <x v="9"/>
      <x v="3"/>
    </i>
    <i r="2">
      <x v="10"/>
      <x v="3"/>
    </i>
    <i r="1">
      <x v="102"/>
      <x v="7"/>
      <x v="1"/>
    </i>
    <i r="1">
      <x v="103"/>
      <x v="12"/>
      <x v="2"/>
    </i>
    <i r="1">
      <x v="104"/>
      <x v="12"/>
      <x v="2"/>
    </i>
    <i r="1">
      <x v="105"/>
      <x v="12"/>
      <x v="2"/>
    </i>
    <i r="1">
      <x v="106"/>
      <x v="12"/>
      <x v="2"/>
    </i>
    <i r="1">
      <x v="107"/>
      <x v="12"/>
      <x v="2"/>
    </i>
    <i r="1">
      <x v="108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9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3">
        <item m="1" x="42"/>
        <item m="1" x="18"/>
        <item m="1" x="43"/>
        <item m="1" x="19"/>
        <item m="1" x="44"/>
        <item m="1" x="20"/>
        <item m="1" x="45"/>
        <item m="1" x="21"/>
        <item m="1" x="77"/>
        <item m="1" x="32"/>
        <item x="10"/>
        <item m="1" x="76"/>
        <item m="1" x="63"/>
        <item m="1" x="80"/>
        <item m="1" x="65"/>
        <item x="0"/>
        <item x="1"/>
        <item m="1" x="57"/>
        <item m="1" x="25"/>
        <item m="1" x="74"/>
        <item m="1" x="64"/>
        <item m="1" x="62"/>
        <item m="1" x="28"/>
        <item m="1" x="72"/>
        <item m="1" x="37"/>
        <item m="1" x="73"/>
        <item m="1" x="38"/>
        <item m="1" x="71"/>
        <item m="1" x="89"/>
        <item m="1" x="31"/>
        <item m="1" x="92"/>
        <item m="1" x="59"/>
        <item m="1" x="26"/>
        <item m="1" x="87"/>
        <item m="1" x="83"/>
        <item m="1" x="60"/>
        <item m="1" x="27"/>
        <item m="1" x="88"/>
        <item m="1" x="84"/>
        <item m="1" x="22"/>
        <item m="1" x="56"/>
        <item m="1" x="40"/>
        <item m="1" x="30"/>
        <item m="1" x="81"/>
        <item m="1" x="52"/>
        <item m="1" x="82"/>
        <item m="1" x="53"/>
        <item m="1" x="39"/>
        <item m="1" x="34"/>
        <item m="1" x="61"/>
        <item m="1" x="36"/>
        <item m="1" x="91"/>
        <item m="1" x="85"/>
        <item m="1" x="35"/>
        <item m="1" x="33"/>
        <item m="1" x="78"/>
        <item m="1" x="86"/>
        <item m="1" x="23"/>
        <item m="1" x="41"/>
        <item m="1" x="54"/>
        <item m="1" x="75"/>
        <item m="1" x="90"/>
        <item m="1" x="24"/>
        <item m="1" x="51"/>
        <item m="1" x="55"/>
        <item m="1" x="79"/>
        <item m="1" x="58"/>
        <item m="1" x="29"/>
        <item m="1" x="46"/>
        <item m="1" x="66"/>
        <item m="1" x="47"/>
        <item m="1" x="67"/>
        <item m="1" x="48"/>
        <item m="1" x="68"/>
        <item m="1" x="49"/>
        <item m="1" x="69"/>
        <item m="1" x="50"/>
        <item m="1" x="70"/>
        <item m="1" x="17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7">
        <item x="0"/>
        <item x="1"/>
        <item x="5"/>
        <item x="4"/>
        <item x="2"/>
        <item x="3"/>
        <item m="1" x="6"/>
      </items>
    </pivotField>
    <pivotField axis="axisRow" compact="0" outline="0" showAll="0" defaultSubtotal="0">
      <items count="5">
        <item x="0"/>
        <item x="3"/>
        <item x="2"/>
        <item x="1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4"/>
      <x v="10"/>
      <x v="1"/>
      <x v="2"/>
    </i>
    <i r="1">
      <x v="15"/>
      <x/>
      <x/>
    </i>
    <i r="1">
      <x v="16"/>
      <x v="1"/>
      <x/>
    </i>
    <i r="1">
      <x v="79"/>
      <x v="4"/>
      <x v="3"/>
    </i>
    <i r="1">
      <x v="80"/>
      <x v="5"/>
      <x v="3"/>
    </i>
    <i r="1">
      <x v="81"/>
      <x/>
      <x v="3"/>
    </i>
    <i r="1">
      <x v="82"/>
      <x v="1"/>
      <x v="3"/>
    </i>
    <i r="1">
      <x v="83"/>
      <x v="4"/>
      <x v="3"/>
    </i>
    <i r="1">
      <x v="84"/>
      <x v="5"/>
      <x v="3"/>
    </i>
    <i r="1">
      <x v="85"/>
      <x/>
      <x v="3"/>
    </i>
    <i r="1">
      <x v="86"/>
      <x v="1"/>
      <x v="3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 v="3"/>
      <x v="1"/>
    </i>
    <i r="1">
      <x v="9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01" tableType="queryTable" totalsRowShown="0">
  <autoFilter ref="A1:Y1001" xr:uid="{C3D003CA-1AFF-426C-A03D-D3AF5760DF1A}"/>
  <sortState xmlns:xlrd2="http://schemas.microsoft.com/office/spreadsheetml/2017/richdata2" ref="A2:Y1001">
    <sortCondition ref="D1:D10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13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12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11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10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9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8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7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4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2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1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0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01" tableType="queryTable" totalsRowShown="0">
  <autoFilter ref="A1:U60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6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5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5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51" tableType="queryTable" totalsRowShown="0">
  <autoFilter ref="A1:P8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5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5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4.8554687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131</v>
      </c>
      <c r="D2">
        <v>3</v>
      </c>
      <c r="E2">
        <v>50</v>
      </c>
      <c r="F2">
        <v>720</v>
      </c>
      <c r="G2">
        <f>0.95</f>
        <v>0.95</v>
      </c>
    </row>
  </sheetData>
  <phoneticPr fontId="2" type="noConversion"/>
  <conditionalFormatting sqref="D2">
    <cfRule type="expression" dxfId="49" priority="1">
      <formula>D2=3</formula>
    </cfRule>
    <cfRule type="expression" dxfId="48" priority="2">
      <formula>D2=2</formula>
    </cfRule>
    <cfRule type="expression" dxfId="47" priority="3">
      <formula>D2=1</formula>
    </cfRule>
    <cfRule type="expression" dxfId="46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1"/>
  <sheetViews>
    <sheetView tabSelected="1" topLeftCell="A13" workbookViewId="0">
      <selection activeCell="M30" sqref="M30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70</v>
      </c>
      <c r="C3" t="s">
        <v>71</v>
      </c>
      <c r="D3" t="s">
        <v>72</v>
      </c>
      <c r="E3" s="7">
        <v>0</v>
      </c>
      <c r="F3" s="7">
        <v>1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2400.2800000000002</v>
      </c>
      <c r="O3" t="s">
        <v>68</v>
      </c>
      <c r="P3" t="s">
        <v>70</v>
      </c>
      <c r="Q3" t="s">
        <v>95</v>
      </c>
      <c r="R3" t="s">
        <v>72</v>
      </c>
      <c r="S3" s="7">
        <v>5.0291450407150116</v>
      </c>
      <c r="T3" s="7">
        <v>0.22030607219171747</v>
      </c>
      <c r="U3" s="7">
        <v>0.7751882821061955</v>
      </c>
      <c r="V3" s="7">
        <v>3.9757448048151298</v>
      </c>
      <c r="W3" s="7">
        <v>6.9386840633215803</v>
      </c>
      <c r="X3" s="7">
        <v>0</v>
      </c>
      <c r="Y3" s="7">
        <v>43</v>
      </c>
      <c r="AA3" t="s">
        <v>65</v>
      </c>
      <c r="AB3" t="s">
        <v>65</v>
      </c>
      <c r="AC3" t="s">
        <v>65</v>
      </c>
      <c r="AD3" t="s">
        <v>65</v>
      </c>
      <c r="AE3" s="7"/>
      <c r="AF3" s="7"/>
      <c r="AG3" s="7"/>
      <c r="AH3" s="7"/>
      <c r="AI3" s="7"/>
      <c r="AK3" t="s">
        <v>68</v>
      </c>
      <c r="AL3" t="s">
        <v>118</v>
      </c>
      <c r="AM3" t="s">
        <v>107</v>
      </c>
      <c r="AN3" t="s">
        <v>119</v>
      </c>
      <c r="AO3" s="7">
        <v>2400.2800000000002</v>
      </c>
      <c r="AP3" s="7">
        <v>13.189298817211915</v>
      </c>
      <c r="AQ3" s="7">
        <v>46.409024456676619</v>
      </c>
      <c r="AR3" s="7">
        <v>2305</v>
      </c>
      <c r="AS3" s="7">
        <v>2504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73</v>
      </c>
      <c r="D4" t="s">
        <v>72</v>
      </c>
      <c r="E4" s="7">
        <v>0</v>
      </c>
      <c r="F4" s="7">
        <v>1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2400.2800000000002</v>
      </c>
      <c r="P4" t="s">
        <v>83</v>
      </c>
      <c r="Q4" t="s">
        <v>96</v>
      </c>
      <c r="R4" t="s">
        <v>85</v>
      </c>
      <c r="S4" s="7">
        <v>2.7022068205389371</v>
      </c>
      <c r="T4" s="7">
        <v>0.21041231434540877</v>
      </c>
      <c r="U4" s="7">
        <v>0.74037523736278754</v>
      </c>
      <c r="V4" s="7">
        <v>1.7200278735122601</v>
      </c>
      <c r="W4" s="7">
        <v>4.5543512780988502</v>
      </c>
      <c r="X4" s="7">
        <v>0</v>
      </c>
      <c r="Y4" s="7">
        <v>40</v>
      </c>
      <c r="AL4" t="s">
        <v>104</v>
      </c>
      <c r="AM4" t="s">
        <v>105</v>
      </c>
      <c r="AN4" t="s">
        <v>72</v>
      </c>
      <c r="AO4" s="7">
        <v>2404.8200000000002</v>
      </c>
      <c r="AP4" s="7">
        <v>13.195127580834233</v>
      </c>
      <c r="AQ4" s="7">
        <v>46.42953405595474</v>
      </c>
      <c r="AR4" s="7">
        <v>2307</v>
      </c>
      <c r="AS4" s="7">
        <v>2518</v>
      </c>
    </row>
    <row r="5" spans="1:52" x14ac:dyDescent="0.25">
      <c r="C5" t="s">
        <v>74</v>
      </c>
      <c r="D5" t="s">
        <v>72</v>
      </c>
      <c r="E5" s="7">
        <v>1.5029966070875795</v>
      </c>
      <c r="F5" s="7">
        <v>1</v>
      </c>
      <c r="G5" s="7">
        <v>6.1205265903720704E-2</v>
      </c>
      <c r="H5" s="7">
        <v>0.21536222065849123</v>
      </c>
      <c r="I5" s="7">
        <v>1.21830768607881</v>
      </c>
      <c r="J5" s="7">
        <v>2.06387223343107</v>
      </c>
      <c r="K5" s="7">
        <v>0.203133309337034</v>
      </c>
      <c r="L5" s="7">
        <v>29.554686467573401</v>
      </c>
      <c r="M5" s="7">
        <v>2400.2800000000002</v>
      </c>
      <c r="P5" t="s">
        <v>87</v>
      </c>
      <c r="Q5" t="s">
        <v>96</v>
      </c>
      <c r="R5" t="s">
        <v>85</v>
      </c>
      <c r="S5" s="7">
        <v>0.2141917500690991</v>
      </c>
      <c r="T5" s="7">
        <v>4.7768909384897544E-3</v>
      </c>
      <c r="U5" s="7">
        <v>1.680838772884146E-2</v>
      </c>
      <c r="V5" s="7">
        <v>0.172815232766103</v>
      </c>
      <c r="W5" s="7">
        <v>0.24783514900621301</v>
      </c>
      <c r="X5" s="7">
        <v>0</v>
      </c>
      <c r="Y5" s="7">
        <v>8</v>
      </c>
      <c r="AL5" t="s">
        <v>106</v>
      </c>
      <c r="AM5" t="s">
        <v>107</v>
      </c>
      <c r="AN5" t="s">
        <v>72</v>
      </c>
      <c r="AO5" s="7">
        <v>2400.2800000000002</v>
      </c>
      <c r="AP5" s="7">
        <v>13.189298817211915</v>
      </c>
      <c r="AQ5" s="7">
        <v>46.409024456676619</v>
      </c>
      <c r="AR5" s="7">
        <v>2305</v>
      </c>
      <c r="AS5" s="7">
        <v>2504</v>
      </c>
    </row>
    <row r="6" spans="1:52" x14ac:dyDescent="0.25">
      <c r="C6" t="s">
        <v>75</v>
      </c>
      <c r="D6" t="s">
        <v>72</v>
      </c>
      <c r="E6" s="7">
        <v>0</v>
      </c>
      <c r="F6" s="7">
        <v>1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2400.2800000000002</v>
      </c>
      <c r="P6" t="s">
        <v>97</v>
      </c>
      <c r="Q6" t="s">
        <v>98</v>
      </c>
      <c r="R6" t="s">
        <v>99</v>
      </c>
      <c r="S6" s="7">
        <v>0.54703961359050579</v>
      </c>
      <c r="T6" s="7">
        <v>2.9048243757695521E-3</v>
      </c>
      <c r="U6" s="7">
        <v>1.0221170008030573E-2</v>
      </c>
      <c r="V6" s="7">
        <v>0.52470641844357602</v>
      </c>
      <c r="W6" s="7">
        <v>0.57005812966092095</v>
      </c>
      <c r="X6" s="7">
        <v>0</v>
      </c>
      <c r="Y6" s="7">
        <v>0.66666666666666696</v>
      </c>
      <c r="AL6" t="s">
        <v>108</v>
      </c>
      <c r="AM6" t="s">
        <v>109</v>
      </c>
      <c r="AN6" t="s">
        <v>80</v>
      </c>
      <c r="AO6" s="7">
        <v>1181.1234936767919</v>
      </c>
      <c r="AP6" s="7">
        <v>6.3004492326393233</v>
      </c>
      <c r="AQ6" s="7">
        <v>22.169313666927575</v>
      </c>
      <c r="AR6" s="7">
        <v>1133.24622318414</v>
      </c>
      <c r="AS6" s="7">
        <v>1230.9493287309799</v>
      </c>
    </row>
    <row r="7" spans="1:52" x14ac:dyDescent="0.25">
      <c r="C7" t="s">
        <v>76</v>
      </c>
      <c r="D7" t="s">
        <v>72</v>
      </c>
      <c r="E7" s="7">
        <v>0.63333757112184219</v>
      </c>
      <c r="F7" s="7">
        <v>1</v>
      </c>
      <c r="G7" s="7">
        <v>1.276828436655964E-3</v>
      </c>
      <c r="H7" s="7">
        <v>4.4927606057736597E-3</v>
      </c>
      <c r="I7" s="7">
        <v>0.62319357082308402</v>
      </c>
      <c r="J7" s="7">
        <v>0.64452003514622502</v>
      </c>
      <c r="K7" s="7">
        <v>0.203133309337034</v>
      </c>
      <c r="L7" s="7">
        <v>1.5939517145847</v>
      </c>
      <c r="M7" s="7">
        <v>2400.2800000000002</v>
      </c>
      <c r="Q7" t="s">
        <v>100</v>
      </c>
      <c r="R7" t="s">
        <v>99</v>
      </c>
      <c r="S7" s="7">
        <v>1.6411188407715187</v>
      </c>
      <c r="T7" s="7">
        <v>8.7144731273084922E-3</v>
      </c>
      <c r="U7" s="7">
        <v>3.066351002409114E-2</v>
      </c>
      <c r="V7" s="7">
        <v>1.5741192553307399</v>
      </c>
      <c r="W7" s="7">
        <v>1.7101743889827701</v>
      </c>
      <c r="X7" s="7">
        <v>0</v>
      </c>
      <c r="Y7" s="7">
        <v>2</v>
      </c>
      <c r="AL7" t="s">
        <v>110</v>
      </c>
      <c r="AM7" t="s">
        <v>111</v>
      </c>
      <c r="AN7" t="s">
        <v>80</v>
      </c>
      <c r="AO7" s="7">
        <v>1938.7515507466894</v>
      </c>
      <c r="AP7" s="7">
        <v>151.77077284722898</v>
      </c>
      <c r="AQ7" s="7">
        <v>534.03396241838232</v>
      </c>
      <c r="AR7" s="7">
        <v>1234.7567994731401</v>
      </c>
      <c r="AS7" s="7">
        <v>3269.0858002883801</v>
      </c>
    </row>
    <row r="8" spans="1:52" x14ac:dyDescent="0.25">
      <c r="C8" t="s">
        <v>77</v>
      </c>
      <c r="D8" t="s">
        <v>72</v>
      </c>
      <c r="E8" s="7">
        <v>0.86965903596573602</v>
      </c>
      <c r="F8" s="7">
        <v>1</v>
      </c>
      <c r="G8" s="7">
        <v>6.0911976702528743E-2</v>
      </c>
      <c r="H8" s="7">
        <v>0.21433022753287986</v>
      </c>
      <c r="I8" s="7">
        <v>0.58431254303614699</v>
      </c>
      <c r="J8" s="7">
        <v>1.42140669319588</v>
      </c>
      <c r="K8" s="7">
        <v>0</v>
      </c>
      <c r="L8" s="7">
        <v>28.983199492767199</v>
      </c>
      <c r="M8" s="7">
        <v>2400.2800000000002</v>
      </c>
      <c r="Q8" t="s">
        <v>101</v>
      </c>
      <c r="R8" t="s">
        <v>99</v>
      </c>
      <c r="S8" s="7">
        <v>3</v>
      </c>
      <c r="T8" s="7">
        <v>0</v>
      </c>
      <c r="U8" s="7">
        <v>0</v>
      </c>
      <c r="V8" s="7">
        <v>3</v>
      </c>
      <c r="W8" s="7">
        <v>3</v>
      </c>
      <c r="X8" s="7">
        <v>3</v>
      </c>
      <c r="Y8" s="7">
        <v>3</v>
      </c>
      <c r="AL8" t="s">
        <v>112</v>
      </c>
      <c r="AM8" t="s">
        <v>105</v>
      </c>
      <c r="AN8" t="s">
        <v>80</v>
      </c>
      <c r="AO8" s="7">
        <v>2404.2399999999998</v>
      </c>
      <c r="AP8" s="7">
        <v>13.236270503286962</v>
      </c>
      <c r="AQ8" s="7">
        <v>46.574303154053879</v>
      </c>
      <c r="AR8" s="7">
        <v>2306</v>
      </c>
      <c r="AS8" s="7">
        <v>2518</v>
      </c>
    </row>
    <row r="9" spans="1:52" x14ac:dyDescent="0.25">
      <c r="B9" t="s">
        <v>78</v>
      </c>
      <c r="C9" t="s">
        <v>79</v>
      </c>
      <c r="D9" t="s">
        <v>80</v>
      </c>
      <c r="E9" s="7">
        <v>1.2976784780992308</v>
      </c>
      <c r="F9" s="7">
        <v>1</v>
      </c>
      <c r="G9" s="7">
        <v>6.0890831086538234E-2</v>
      </c>
      <c r="H9" s="7">
        <v>0.214255822712483</v>
      </c>
      <c r="I9" s="7">
        <v>1.00825666115094</v>
      </c>
      <c r="J9" s="7">
        <v>1.85589832994621</v>
      </c>
      <c r="K9" s="7">
        <v>0.10260384490715101</v>
      </c>
      <c r="L9" s="7">
        <v>29.378397097512401</v>
      </c>
      <c r="M9" s="7">
        <v>2400.2800000000002</v>
      </c>
      <c r="P9" t="s">
        <v>102</v>
      </c>
      <c r="Q9" t="s">
        <v>98</v>
      </c>
      <c r="R9" t="s">
        <v>99</v>
      </c>
      <c r="S9" s="7">
        <v>0.82055942038575935</v>
      </c>
      <c r="T9" s="7">
        <v>4.3572365636542886E-3</v>
      </c>
      <c r="U9" s="7">
        <v>1.5331755012045719E-2</v>
      </c>
      <c r="V9" s="7">
        <v>0.78705962766536897</v>
      </c>
      <c r="W9" s="7">
        <v>0.85508719449138504</v>
      </c>
      <c r="X9" s="7">
        <v>0</v>
      </c>
      <c r="Y9" s="7">
        <v>1</v>
      </c>
      <c r="AL9" t="s">
        <v>113</v>
      </c>
      <c r="AM9" t="s">
        <v>107</v>
      </c>
      <c r="AN9" t="s">
        <v>80</v>
      </c>
      <c r="AO9" s="7">
        <v>2400.2800000000002</v>
      </c>
      <c r="AP9" s="7">
        <v>13.189298817211915</v>
      </c>
      <c r="AQ9" s="7">
        <v>46.409024456676619</v>
      </c>
      <c r="AR9" s="7">
        <v>2305</v>
      </c>
      <c r="AS9" s="7">
        <v>2504</v>
      </c>
    </row>
    <row r="10" spans="1:52" x14ac:dyDescent="0.25">
      <c r="C10" t="s">
        <v>81</v>
      </c>
      <c r="D10" t="s">
        <v>80</v>
      </c>
      <c r="E10" s="7">
        <v>0.49210501840783172</v>
      </c>
      <c r="F10" s="7">
        <v>1</v>
      </c>
      <c r="G10" s="7">
        <v>1.3583273853576923E-3</v>
      </c>
      <c r="H10" s="7">
        <v>4.7795299599228038E-3</v>
      </c>
      <c r="I10" s="7">
        <v>0.481748748376016</v>
      </c>
      <c r="J10" s="7">
        <v>0.50324408220295003</v>
      </c>
      <c r="K10" s="7">
        <v>0.101748731497707</v>
      </c>
      <c r="L10" s="7">
        <v>1.5939517145847</v>
      </c>
      <c r="M10" s="7">
        <v>2400.2800000000002</v>
      </c>
      <c r="Q10" t="s">
        <v>100</v>
      </c>
      <c r="R10" t="s">
        <v>99</v>
      </c>
      <c r="S10" s="7">
        <v>1.6411188407715187</v>
      </c>
      <c r="T10" s="7">
        <v>8.7144731273084922E-3</v>
      </c>
      <c r="U10" s="7">
        <v>3.066351002409114E-2</v>
      </c>
      <c r="V10" s="7">
        <v>1.5741192553307399</v>
      </c>
      <c r="W10" s="7">
        <v>1.7101743889827701</v>
      </c>
      <c r="X10" s="7">
        <v>0</v>
      </c>
      <c r="Y10" s="7">
        <v>2</v>
      </c>
      <c r="AL10" t="s">
        <v>114</v>
      </c>
      <c r="AM10" t="s">
        <v>109</v>
      </c>
      <c r="AN10" t="s">
        <v>80</v>
      </c>
      <c r="AO10" s="7">
        <v>339.53547737062786</v>
      </c>
      <c r="AP10" s="7">
        <v>1.9815246661912362</v>
      </c>
      <c r="AQ10" s="7">
        <v>6.9723666109353193</v>
      </c>
      <c r="AR10" s="7">
        <v>325.606879158418</v>
      </c>
      <c r="AS10" s="7">
        <v>357.77609013379703</v>
      </c>
    </row>
    <row r="11" spans="1:52" x14ac:dyDescent="0.25">
      <c r="C11" t="s">
        <v>82</v>
      </c>
      <c r="D11" t="s">
        <v>80</v>
      </c>
      <c r="E11" s="7">
        <v>0.80557345969139849</v>
      </c>
      <c r="F11" s="7">
        <v>1</v>
      </c>
      <c r="G11" s="7">
        <v>6.0520109610092528E-2</v>
      </c>
      <c r="H11" s="7">
        <v>0.21295136958685271</v>
      </c>
      <c r="I11" s="7">
        <v>0.515986961752252</v>
      </c>
      <c r="J11" s="7">
        <v>1.3542194698792001</v>
      </c>
      <c r="K11" s="7">
        <v>0</v>
      </c>
      <c r="L11" s="7">
        <v>28.983199492767199</v>
      </c>
      <c r="M11" s="7">
        <v>2400.2800000000002</v>
      </c>
      <c r="Q11" t="s">
        <v>101</v>
      </c>
      <c r="R11" t="s">
        <v>99</v>
      </c>
      <c r="S11" s="7">
        <v>2</v>
      </c>
      <c r="T11" s="7">
        <v>0</v>
      </c>
      <c r="U11" s="7">
        <v>0</v>
      </c>
      <c r="V11" s="7">
        <v>2</v>
      </c>
      <c r="W11" s="7">
        <v>2</v>
      </c>
      <c r="X11" s="7">
        <v>2</v>
      </c>
      <c r="Y11" s="7">
        <v>2</v>
      </c>
      <c r="AL11" t="s">
        <v>115</v>
      </c>
      <c r="AM11" t="s">
        <v>111</v>
      </c>
      <c r="AN11" t="s">
        <v>80</v>
      </c>
      <c r="AO11" s="7">
        <v>154.15303898127775</v>
      </c>
      <c r="AP11" s="7">
        <v>3.4505588374603331</v>
      </c>
      <c r="AQ11" s="7">
        <v>12.141439184615397</v>
      </c>
      <c r="AR11" s="7">
        <v>123.901613974094</v>
      </c>
      <c r="AS11" s="7">
        <v>178.441307284473</v>
      </c>
    </row>
    <row r="12" spans="1:52" x14ac:dyDescent="0.25">
      <c r="B12" t="s">
        <v>83</v>
      </c>
      <c r="C12" t="s">
        <v>84</v>
      </c>
      <c r="D12" t="s">
        <v>85</v>
      </c>
      <c r="E12" s="7">
        <v>0.80539766231092458</v>
      </c>
      <c r="F12" s="7">
        <v>1</v>
      </c>
      <c r="G12" s="7">
        <v>6.0459854861332728E-2</v>
      </c>
      <c r="H12" s="7">
        <v>0.2127393519392447</v>
      </c>
      <c r="I12" s="7">
        <v>0.51658298033119898</v>
      </c>
      <c r="J12" s="7">
        <v>1.35362284384225</v>
      </c>
      <c r="K12" s="7">
        <v>0</v>
      </c>
      <c r="L12" s="7">
        <v>28.983199492767199</v>
      </c>
      <c r="M12" s="7">
        <v>2401.9</v>
      </c>
      <c r="P12" t="s">
        <v>103</v>
      </c>
      <c r="Q12" t="s">
        <v>98</v>
      </c>
      <c r="R12" t="s">
        <v>99</v>
      </c>
      <c r="S12" s="7">
        <v>0.47162762933545666</v>
      </c>
      <c r="T12" s="7">
        <v>2.7457743728226142E-3</v>
      </c>
      <c r="U12" s="7">
        <v>9.6615227076777797E-3</v>
      </c>
      <c r="V12" s="7">
        <v>0.452397944183905</v>
      </c>
      <c r="W12" s="7">
        <v>0.49691123629694001</v>
      </c>
      <c r="X12" s="7">
        <v>0</v>
      </c>
      <c r="Y12" s="7">
        <v>1</v>
      </c>
      <c r="AL12" t="s">
        <v>116</v>
      </c>
      <c r="AM12" t="s">
        <v>105</v>
      </c>
      <c r="AN12" t="s">
        <v>80</v>
      </c>
      <c r="AO12" s="7">
        <v>2263.2399999999998</v>
      </c>
      <c r="AP12" s="7">
        <v>13.451331508314944</v>
      </c>
      <c r="AQ12" s="7">
        <v>47.331035682472766</v>
      </c>
      <c r="AR12" s="7">
        <v>2172</v>
      </c>
      <c r="AS12" s="7">
        <v>2386</v>
      </c>
    </row>
    <row r="13" spans="1:52" x14ac:dyDescent="0.25">
      <c r="B13" t="s">
        <v>86</v>
      </c>
      <c r="C13" t="s">
        <v>79</v>
      </c>
      <c r="D13" t="s">
        <v>80</v>
      </c>
      <c r="E13" s="7">
        <v>0.21815512979204044</v>
      </c>
      <c r="F13" s="7">
        <v>1</v>
      </c>
      <c r="G13" s="7">
        <v>1.3927091897695423E-3</v>
      </c>
      <c r="H13" s="7">
        <v>4.9005087946529672E-3</v>
      </c>
      <c r="I13" s="7">
        <v>0.204996218905765</v>
      </c>
      <c r="J13" s="7">
        <v>0.22907589413377599</v>
      </c>
      <c r="K13" s="7">
        <v>0.100000577163883</v>
      </c>
      <c r="L13" s="7">
        <v>1.41452080991047</v>
      </c>
      <c r="M13" s="7">
        <v>2262.66</v>
      </c>
      <c r="Q13" t="s">
        <v>100</v>
      </c>
      <c r="R13" t="s">
        <v>99</v>
      </c>
      <c r="S13" s="7">
        <v>0.47162762933545666</v>
      </c>
      <c r="T13" s="7">
        <v>2.7457743728226142E-3</v>
      </c>
      <c r="U13" s="7">
        <v>9.6615227076777797E-3</v>
      </c>
      <c r="V13" s="7">
        <v>0.452397944183905</v>
      </c>
      <c r="W13" s="7">
        <v>0.49691123629694001</v>
      </c>
      <c r="X13" s="7">
        <v>0</v>
      </c>
      <c r="Y13" s="7">
        <v>1</v>
      </c>
      <c r="AL13" t="s">
        <v>117</v>
      </c>
      <c r="AM13" t="s">
        <v>107</v>
      </c>
      <c r="AN13" t="s">
        <v>80</v>
      </c>
      <c r="AO13" s="7">
        <v>2262.66</v>
      </c>
      <c r="AP13" s="7">
        <v>13.495990528724592</v>
      </c>
      <c r="AQ13" s="7">
        <v>47.488176831454687</v>
      </c>
      <c r="AR13" s="7">
        <v>2171</v>
      </c>
      <c r="AS13" s="7">
        <v>2386</v>
      </c>
    </row>
    <row r="14" spans="1:52" x14ac:dyDescent="0.25">
      <c r="C14" t="s">
        <v>81</v>
      </c>
      <c r="D14" t="s">
        <v>80</v>
      </c>
      <c r="E14" s="7">
        <v>0.15006283793025285</v>
      </c>
      <c r="F14" s="7">
        <v>1</v>
      </c>
      <c r="G14" s="7">
        <v>1.7015423667850204E-4</v>
      </c>
      <c r="H14" s="7">
        <v>5.9871963179078413E-4</v>
      </c>
      <c r="I14" s="7">
        <v>0.14863412830584499</v>
      </c>
      <c r="J14" s="7">
        <v>0.151606291486265</v>
      </c>
      <c r="K14" s="7">
        <v>0.100000577163883</v>
      </c>
      <c r="L14" s="7">
        <v>0.19999993084929499</v>
      </c>
      <c r="M14" s="7">
        <v>2262.66</v>
      </c>
      <c r="Q14" t="s">
        <v>101</v>
      </c>
      <c r="R14" t="s">
        <v>99</v>
      </c>
      <c r="S14" s="7">
        <v>1</v>
      </c>
      <c r="T14" s="7">
        <v>0</v>
      </c>
      <c r="U14" s="7">
        <v>0</v>
      </c>
      <c r="V14" s="7">
        <v>1</v>
      </c>
      <c r="W14" s="7">
        <v>1</v>
      </c>
      <c r="X14" s="7">
        <v>1</v>
      </c>
      <c r="Y14" s="7">
        <v>1</v>
      </c>
      <c r="AL14" t="s">
        <v>120</v>
      </c>
      <c r="AM14" t="s">
        <v>121</v>
      </c>
      <c r="AN14" t="s">
        <v>99</v>
      </c>
      <c r="AO14" s="7">
        <v>2401.9</v>
      </c>
      <c r="AP14" s="7">
        <v>13.191574403097228</v>
      </c>
      <c r="AQ14" s="7">
        <v>46.417031532903209</v>
      </c>
      <c r="AR14" s="7">
        <v>2306</v>
      </c>
      <c r="AS14" s="7">
        <v>2506</v>
      </c>
    </row>
    <row r="15" spans="1:52" x14ac:dyDescent="0.25">
      <c r="C15" t="s">
        <v>82</v>
      </c>
      <c r="D15" t="s">
        <v>80</v>
      </c>
      <c r="E15" s="7">
        <v>6.8092291861787557E-2</v>
      </c>
      <c r="F15" s="7">
        <v>1</v>
      </c>
      <c r="G15" s="7">
        <v>1.3221720552995685E-3</v>
      </c>
      <c r="H15" s="7">
        <v>4.6523106421894759E-3</v>
      </c>
      <c r="I15" s="7">
        <v>5.591228067423E-2</v>
      </c>
      <c r="J15" s="7">
        <v>7.8817469083508104E-2</v>
      </c>
      <c r="K15" s="7">
        <v>0</v>
      </c>
      <c r="L15" s="7">
        <v>1.2170108122512</v>
      </c>
      <c r="M15" s="7">
        <v>2262.66</v>
      </c>
      <c r="AL15" t="s">
        <v>122</v>
      </c>
      <c r="AM15" t="s">
        <v>123</v>
      </c>
      <c r="AN15" t="s">
        <v>99</v>
      </c>
      <c r="AO15" s="7">
        <v>0.54703961359050601</v>
      </c>
      <c r="AP15" s="7">
        <v>2.9048243757695252E-3</v>
      </c>
      <c r="AQ15" s="7">
        <v>1.0221170008030479E-2</v>
      </c>
      <c r="AR15" s="7">
        <v>0.52470641844357901</v>
      </c>
      <c r="AS15" s="7">
        <v>0.57005812966092295</v>
      </c>
    </row>
    <row r="16" spans="1:52" x14ac:dyDescent="0.25">
      <c r="B16" t="s">
        <v>87</v>
      </c>
      <c r="C16" t="s">
        <v>84</v>
      </c>
      <c r="D16" t="s">
        <v>85</v>
      </c>
      <c r="E16" s="7">
        <v>6.8098620832941548E-2</v>
      </c>
      <c r="F16" s="7">
        <v>1</v>
      </c>
      <c r="G16" s="7">
        <v>1.3194809635704845E-3</v>
      </c>
      <c r="H16" s="7">
        <v>4.6428415306316098E-3</v>
      </c>
      <c r="I16" s="7">
        <v>5.5993386493398203E-2</v>
      </c>
      <c r="J16" s="7">
        <v>7.8817469083508104E-2</v>
      </c>
      <c r="K16" s="7">
        <v>0</v>
      </c>
      <c r="L16" s="7">
        <v>1.2170108122512</v>
      </c>
      <c r="M16" s="7">
        <v>2263.14</v>
      </c>
      <c r="AL16" t="s">
        <v>124</v>
      </c>
      <c r="AM16" t="s">
        <v>121</v>
      </c>
      <c r="AN16" t="s">
        <v>99</v>
      </c>
      <c r="AO16" s="7">
        <v>2401.9</v>
      </c>
      <c r="AP16" s="7">
        <v>13.191574403097228</v>
      </c>
      <c r="AQ16" s="7">
        <v>46.417031532903209</v>
      </c>
      <c r="AR16" s="7">
        <v>2306</v>
      </c>
      <c r="AS16" s="7">
        <v>2506</v>
      </c>
    </row>
    <row r="17" spans="2:45" x14ac:dyDescent="0.25">
      <c r="B17" t="s">
        <v>88</v>
      </c>
      <c r="C17" t="s">
        <v>89</v>
      </c>
      <c r="D17" t="s">
        <v>90</v>
      </c>
      <c r="E17" s="7">
        <v>1.3401298911962516</v>
      </c>
      <c r="F17" s="7">
        <v>1</v>
      </c>
      <c r="G17" s="7">
        <v>6.1368358796684312E-3</v>
      </c>
      <c r="H17" s="7">
        <v>2.1593609362650531E-2</v>
      </c>
      <c r="I17" s="7">
        <v>1.29733858670444</v>
      </c>
      <c r="J17" s="7">
        <v>1.3970236913396601</v>
      </c>
      <c r="K17" s="7">
        <v>0.81279832598784196</v>
      </c>
      <c r="L17" s="7">
        <v>2.8790847793122198</v>
      </c>
      <c r="M17" s="7">
        <v>141.32</v>
      </c>
      <c r="AL17" t="s">
        <v>125</v>
      </c>
      <c r="AM17" t="s">
        <v>123</v>
      </c>
      <c r="AN17" t="s">
        <v>99</v>
      </c>
      <c r="AO17" s="7">
        <v>0.82055942038575935</v>
      </c>
      <c r="AP17" s="7">
        <v>4.3572365636542886E-3</v>
      </c>
      <c r="AQ17" s="7">
        <v>1.5331755012045719E-2</v>
      </c>
      <c r="AR17" s="7">
        <v>0.78705962766536897</v>
      </c>
      <c r="AS17" s="7">
        <v>0.85508719449138504</v>
      </c>
    </row>
    <row r="18" spans="2:45" x14ac:dyDescent="0.25">
      <c r="B18" t="s">
        <v>91</v>
      </c>
      <c r="C18" t="s">
        <v>89</v>
      </c>
      <c r="D18" t="s">
        <v>90</v>
      </c>
      <c r="E18" s="7">
        <v>1.2960085058838744</v>
      </c>
      <c r="F18" s="7">
        <v>1</v>
      </c>
      <c r="G18" s="7">
        <v>7.2337839818498884E-3</v>
      </c>
      <c r="H18" s="7">
        <v>2.5453427235258695E-2</v>
      </c>
      <c r="I18" s="7">
        <v>1.2434623099776301</v>
      </c>
      <c r="J18" s="7">
        <v>1.34511985766981</v>
      </c>
      <c r="K18" s="7">
        <v>0.82883063937214296</v>
      </c>
      <c r="L18" s="7">
        <v>3.7385284063050199</v>
      </c>
      <c r="M18" s="7">
        <v>189.42</v>
      </c>
      <c r="AL18" t="s">
        <v>126</v>
      </c>
      <c r="AM18" t="s">
        <v>121</v>
      </c>
      <c r="AN18" t="s">
        <v>99</v>
      </c>
      <c r="AO18" s="7">
        <v>2263.14</v>
      </c>
      <c r="AP18" s="7">
        <v>13.467184943667242</v>
      </c>
      <c r="AQ18" s="7">
        <v>47.386818971575821</v>
      </c>
      <c r="AR18" s="7">
        <v>2172</v>
      </c>
      <c r="AS18" s="7">
        <v>2386</v>
      </c>
    </row>
    <row r="19" spans="2:45" x14ac:dyDescent="0.25">
      <c r="B19" t="s">
        <v>92</v>
      </c>
      <c r="C19" t="s">
        <v>89</v>
      </c>
      <c r="D19" t="s">
        <v>90</v>
      </c>
      <c r="E19" s="7">
        <v>1.0196487348764249</v>
      </c>
      <c r="F19" s="7">
        <v>1</v>
      </c>
      <c r="G19" s="7">
        <v>9.0257219283451061E-3</v>
      </c>
      <c r="H19" s="7">
        <v>3.1758697374048607E-2</v>
      </c>
      <c r="I19" s="7">
        <v>0.95501634543056202</v>
      </c>
      <c r="J19" s="7">
        <v>1.10769496585296</v>
      </c>
      <c r="K19" s="7">
        <v>0.51401222690765302</v>
      </c>
      <c r="L19" s="7">
        <v>5.8546620722510996</v>
      </c>
      <c r="M19" s="7">
        <v>437.5</v>
      </c>
      <c r="AL19" t="s">
        <v>127</v>
      </c>
      <c r="AM19" t="s">
        <v>123</v>
      </c>
      <c r="AN19" t="s">
        <v>99</v>
      </c>
      <c r="AO19" s="7">
        <v>0.47162762933545666</v>
      </c>
      <c r="AP19" s="7">
        <v>2.7457743728226142E-3</v>
      </c>
      <c r="AQ19" s="7">
        <v>9.6615227076777797E-3</v>
      </c>
      <c r="AR19" s="7">
        <v>0.452397944183905</v>
      </c>
      <c r="AS19" s="7">
        <v>0.49691123629694001</v>
      </c>
    </row>
    <row r="20" spans="2:45" x14ac:dyDescent="0.25">
      <c r="B20" t="s">
        <v>93</v>
      </c>
      <c r="C20" t="s">
        <v>89</v>
      </c>
      <c r="D20" t="s">
        <v>90</v>
      </c>
      <c r="E20" s="7">
        <v>1.1102466500497086</v>
      </c>
      <c r="F20" s="7">
        <v>1</v>
      </c>
      <c r="G20" s="7">
        <v>3.1607369037235981E-2</v>
      </c>
      <c r="H20" s="7">
        <v>0.11121646290597645</v>
      </c>
      <c r="I20" s="7">
        <v>0.96897044521179598</v>
      </c>
      <c r="J20" s="7">
        <v>1.4337360021363801</v>
      </c>
      <c r="K20" s="7">
        <v>0.31806625622363099</v>
      </c>
      <c r="L20" s="7">
        <v>9.9062151562119993</v>
      </c>
      <c r="M20" s="7">
        <v>794.36</v>
      </c>
    </row>
    <row r="21" spans="2:45" x14ac:dyDescent="0.25">
      <c r="B21" t="s">
        <v>94</v>
      </c>
      <c r="C21" t="s">
        <v>89</v>
      </c>
      <c r="D21" t="s">
        <v>90</v>
      </c>
      <c r="E21" s="7">
        <v>2.205174161750556</v>
      </c>
      <c r="F21" s="7">
        <v>1</v>
      </c>
      <c r="G21" s="7">
        <v>0.14988539923930494</v>
      </c>
      <c r="H21" s="7">
        <v>0.52739992136034408</v>
      </c>
      <c r="I21" s="7">
        <v>1.50461510232873</v>
      </c>
      <c r="J21" s="7">
        <v>3.7741600797505002</v>
      </c>
      <c r="K21" s="7">
        <v>0.203133309337034</v>
      </c>
      <c r="L21" s="7">
        <v>29.554686467573401</v>
      </c>
      <c r="M21" s="7">
        <v>837.68</v>
      </c>
    </row>
    <row r="22" spans="2:45" x14ac:dyDescent="0.25">
      <c r="B22" t="s">
        <v>132</v>
      </c>
      <c r="C22" t="s">
        <v>133</v>
      </c>
      <c r="D22" t="s">
        <v>90</v>
      </c>
      <c r="E22" s="7">
        <v>1.5029966070875795</v>
      </c>
      <c r="F22" s="7">
        <v>1</v>
      </c>
      <c r="G22" s="7">
        <v>6.1205265903720704E-2</v>
      </c>
      <c r="H22" s="7">
        <v>0.21536222065849123</v>
      </c>
      <c r="I22" s="7">
        <v>1.21830768607881</v>
      </c>
      <c r="J22" s="7">
        <v>2.06387223343107</v>
      </c>
      <c r="K22" s="7">
        <v>0.203133309337034</v>
      </c>
      <c r="L22" s="7">
        <v>29.554686467573401</v>
      </c>
      <c r="M22" s="7">
        <v>2400.2800000000002</v>
      </c>
    </row>
    <row r="24" spans="2:45" ht="30" customHeight="1" x14ac:dyDescent="0.25">
      <c r="E24" s="6" t="s">
        <v>128</v>
      </c>
      <c r="F24" s="6"/>
      <c r="G24" s="5">
        <f>GETPIVOTDATA("Average Of Replication Averages",$O$2,"Project Name","Pacientes","Name","Registro.Queue","Type","Number Waiting","Source","Queue")-GETPIVOTDATA("Half-Width",$O$2,"Project Name","Pacientes","Name","Registro.Queue","Type","Number Waiting","Source","Queue")</f>
        <v>0.20941485913060934</v>
      </c>
      <c r="H24" s="5">
        <f>GETPIVOTDATA("Average Of Replication Averages",$O$2,"Project Name","Pacientes","Name","Registro.Queue","Type","Number Waiting","Source","Queue")+GETPIVOTDATA("Half-Width",$O$2,"Project Name","Pacientes","Name","Registro.Queue","Type","Number Waiting","Source","Queue")</f>
        <v>0.21896864100758887</v>
      </c>
      <c r="J24" s="9" t="s">
        <v>130</v>
      </c>
      <c r="K24" s="9"/>
      <c r="L24" s="9"/>
      <c r="M24" s="8"/>
    </row>
    <row r="25" spans="2:45" x14ac:dyDescent="0.25">
      <c r="J25" s="5" t="s">
        <v>134</v>
      </c>
      <c r="K25" s="5" t="s">
        <v>135</v>
      </c>
      <c r="L25" s="5" t="s">
        <v>136</v>
      </c>
    </row>
    <row r="26" spans="2:45" x14ac:dyDescent="0.25">
      <c r="J26" s="5">
        <v>1</v>
      </c>
      <c r="K26" s="10">
        <f>GETPIVOTDATA("Average Of Replication Averages",$A$2,"Project Name","Pacientes","Name","TiempoTipo1","Type","None","Source","User Specified")-GETPIVOTDATA("Half-Width",$A$2,"Project Name","Pacientes","Name","TiempoTipo1","Type","None","Source","User Specified")</f>
        <v>1.3339930553165831</v>
      </c>
      <c r="L26" s="10">
        <f>GETPIVOTDATA("Average Of Replication Averages",$A$2,"Project Name","Pacientes","Name","TiempoTipo1","Type","None","Source","User Specified")+GETPIVOTDATA("Half-Width",$A$2,"Project Name","Pacientes","Name","TiempoTipo1","Type","None","Source","User Specified")</f>
        <v>1.3462667270759201</v>
      </c>
    </row>
    <row r="27" spans="2:45" x14ac:dyDescent="0.25">
      <c r="J27" s="5">
        <v>2</v>
      </c>
      <c r="K27" s="10">
        <f>GETPIVOTDATA("Average Of Replication Averages",$A$2,"Project Name","Pacientes","Name","TiempoTipo2","Type","None","Source","User Specified")-GETPIVOTDATA("Half-Width",$A$2,"Project Name","Pacientes","Name","TiempoTipo2","Type","None","Source","User Specified")</f>
        <v>1.2887747219020245</v>
      </c>
      <c r="L27" s="10">
        <f>GETPIVOTDATA("Average Of Replication Averages",$A$2,"Project Name","Pacientes","Name","TiempoTipo2","Type","None","Source","User Specified")+GETPIVOTDATA("Half-Width",$A$2,"Project Name","Pacientes","Name","TiempoTipo2","Type","None","Source","User Specified")</f>
        <v>1.3032422898657243</v>
      </c>
    </row>
    <row r="28" spans="2:45" x14ac:dyDescent="0.25">
      <c r="E28" s="6" t="s">
        <v>129</v>
      </c>
      <c r="F28" s="6"/>
      <c r="G28" s="5">
        <f>GETPIVOTDATA("Average Of Replication Averages",$O$2,"Project Name","Pacientes","Name","rCamas","Type","Instantaneous Utilization","Source","Resource")-GETPIVOTDATA("Half-Width",$O$2,"Project Name","Pacientes","Name","rCamas","Type","Instantaneous Utilization","Source","Resource")</f>
        <v>0.54413478921473624</v>
      </c>
      <c r="H28" s="5">
        <f>GETPIVOTDATA("Average Of Replication Averages",$O$2,"Project Name","Pacientes","Name","rCamas","Type","Instantaneous Utilization","Source","Resource")+GETPIVOTDATA("Half-Width",$O$2,"Project Name","Pacientes","Name","rCamas","Type","Instantaneous Utilization","Source","Resource")</f>
        <v>0.54994443796627535</v>
      </c>
      <c r="J28" s="5">
        <v>3</v>
      </c>
      <c r="K28" s="10">
        <f>GETPIVOTDATA("Average Of Replication Averages",$A$2,"Project Name","Pacientes","Name","TiempoTipo3","Type","None","Source","User Specified")-GETPIVOTDATA("Half-Width",$A$2,"Project Name","Pacientes","Name","TiempoTipo3","Type","None","Source","User Specified")</f>
        <v>1.0106230129480798</v>
      </c>
      <c r="L28" s="10">
        <f>GETPIVOTDATA("Average Of Replication Averages",$A$2,"Project Name","Pacientes","Name","TiempoTipo3","Type","None","Source","User Specified")+GETPIVOTDATA("Half-Width",$A$2,"Project Name","Pacientes","Name","TiempoTipo3","Type","None","Source","User Specified")</f>
        <v>1.0286744568047701</v>
      </c>
    </row>
    <row r="29" spans="2:45" x14ac:dyDescent="0.25">
      <c r="J29" s="5">
        <v>4</v>
      </c>
      <c r="K29" s="10">
        <f>GETPIVOTDATA("Average Of Replication Averages",$A$2,"Project Name","Pacientes","Name","TiempoTipo4","Type","None","Source","User Specified")-GETPIVOTDATA("Half-Width",$A$2,"Project Name","Pacientes","Name","TiempoTipo4","Type","None","Source","User Specified")</f>
        <v>1.0786392810124725</v>
      </c>
      <c r="L29" s="10">
        <f>GETPIVOTDATA("Average Of Replication Averages",$A$2,"Project Name","Pacientes","Name","TiempoTipo4","Type","None","Source","User Specified")+GETPIVOTDATA("Half-Width",$A$2,"Project Name","Pacientes","Name","TiempoTipo4","Type","None","Source","User Specified")</f>
        <v>1.1418540190869446</v>
      </c>
    </row>
    <row r="30" spans="2:45" x14ac:dyDescent="0.25">
      <c r="J30" s="5">
        <v>5</v>
      </c>
      <c r="K30" s="10">
        <f>GETPIVOTDATA("Average Of Replication Averages",$A$2,"Project Name","Pacientes","Name","TiempoTipo5","Type","None","Source","User Specified")-GETPIVOTDATA("Half-Width",$A$2,"Project Name","Pacientes","Name","TiempoTipo5","Type","None","Source","User Specified")</f>
        <v>2.055288762511251</v>
      </c>
      <c r="L30" s="10">
        <f>GETPIVOTDATA("Average Of Replication Averages",$A$2,"Project Name","Pacientes","Name","TiempoTipo5","Type","None","Source","User Specified")+GETPIVOTDATA("Half-Width",$A$2,"Project Name","Pacientes","Name","TiempoTipo5","Type","None","Source","User Specified")</f>
        <v>2.355059560989861</v>
      </c>
    </row>
    <row r="31" spans="2:45" x14ac:dyDescent="0.25">
      <c r="J31" s="11" t="s">
        <v>137</v>
      </c>
      <c r="K31" s="10">
        <f>GETPIVOTDATA("Average Of Replication Averages",$A$2,"Project Name","Pacientes","Name","TiempoSistema","Type","Interval","Source","User Specified")-GETPIVOTDATA("Half-Width",$A$2,"Project Name","Pacientes","Name","TiempoSistema","Type","Interval","Source","User Specified")</f>
        <v>1.4417913411838588</v>
      </c>
      <c r="L31" s="10">
        <f>GETPIVOTDATA("Average Of Replication Averages",$A$2,"Project Name","Pacientes","Name","TiempoSistema","Type","Interval","Source","User Specified")+GETPIVOTDATA("Half-Width",$A$2,"Project Name","Pacientes","Name","TiempoSistema","Type","Interval","Source","User Specified")</f>
        <v>1.5642018729913003</v>
      </c>
    </row>
  </sheetData>
  <dataConsolidate/>
  <mergeCells count="3">
    <mergeCell ref="E24:F24"/>
    <mergeCell ref="E28:F28"/>
    <mergeCell ref="J24:L24"/>
  </mergeCells>
  <conditionalFormatting pivot="1" sqref="G3:G22">
    <cfRule type="expression" dxfId="45" priority="14">
      <formula>G3=200000000000000000000</formula>
    </cfRule>
  </conditionalFormatting>
  <conditionalFormatting pivot="1" sqref="T3:T14">
    <cfRule type="expression" dxfId="44" priority="13">
      <formula>T3=200000000000000000000</formula>
    </cfRule>
  </conditionalFormatting>
  <conditionalFormatting pivot="1" sqref="T3:T14">
    <cfRule type="expression" dxfId="43" priority="12">
      <formula>T3=300000000000000000000</formula>
    </cfRule>
  </conditionalFormatting>
  <conditionalFormatting pivot="1" sqref="G3:G22">
    <cfRule type="expression" dxfId="42" priority="11">
      <formula>G3=300000000000000000000</formula>
    </cfRule>
  </conditionalFormatting>
  <conditionalFormatting pivot="1" sqref="F3:F22">
    <cfRule type="expression" dxfId="41" priority="10">
      <formula>F3=0</formula>
    </cfRule>
  </conditionalFormatting>
  <conditionalFormatting pivot="1" sqref="F3:F22">
    <cfRule type="expression" dxfId="40" priority="9">
      <formula>F3=1</formula>
    </cfRule>
  </conditionalFormatting>
  <conditionalFormatting pivot="1" sqref="T3:T14">
    <cfRule type="expression" dxfId="39" priority="8">
      <formula>T3=400000000000000000000</formula>
    </cfRule>
  </conditionalFormatting>
  <conditionalFormatting pivot="1" sqref="AP3:AP19">
    <cfRule type="expression" dxfId="38" priority="7">
      <formula>AP3=400000000000000000000</formula>
    </cfRule>
  </conditionalFormatting>
  <conditionalFormatting pivot="1" sqref="AF3">
    <cfRule type="expression" dxfId="37" priority="6">
      <formula>AF3=400000000000000000000</formula>
    </cfRule>
  </conditionalFormatting>
  <conditionalFormatting pivot="1" sqref="G3:G22">
    <cfRule type="expression" dxfId="36" priority="5">
      <formula>G3=400000000000000000000</formula>
    </cfRule>
  </conditionalFormatting>
  <conditionalFormatting pivot="1" sqref="AZ3">
    <cfRule type="expression" dxfId="35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01"/>
  <sheetViews>
    <sheetView workbookViewId="0">
      <selection activeCell="A2" sqref="A2:K6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15.85546875" bestFit="1" customWidth="1"/>
    <col min="5" max="5" width="19.57031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44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131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2423</v>
      </c>
      <c r="L2" t="str">
        <f>DiscreteStatsTable[[#This Row],[ProjectName]]&amp;DiscreteStatsTable[[#This Row],[Name]]&amp;DiscreteStatsTable[[#This Row],[Type]]&amp;DiscreteStatsTable[[#This Row],[Source]]</f>
        <v>PacientesEntity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131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2423</v>
      </c>
      <c r="L3" t="str">
        <f>DiscreteStatsTable[[#This Row],[ProjectName]]&amp;DiscreteStatsTable[[#This Row],[Name]]&amp;DiscreteStatsTable[[#This Row],[Type]]&amp;DiscreteStatsTable[[#This Row],[Source]]</f>
        <v>PacientesEntity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131</v>
      </c>
      <c r="C4">
        <v>1</v>
      </c>
      <c r="D4" t="s">
        <v>70</v>
      </c>
      <c r="E4" t="s">
        <v>74</v>
      </c>
      <c r="F4" t="s">
        <v>72</v>
      </c>
      <c r="G4">
        <v>1.62742875461073</v>
      </c>
      <c r="H4">
        <v>0.33025859689451997</v>
      </c>
      <c r="I4">
        <v>0.24569792864633699</v>
      </c>
      <c r="J4">
        <v>17.289202716166201</v>
      </c>
      <c r="K4">
        <v>2423</v>
      </c>
      <c r="L4" t="str">
        <f>DiscreteStatsTable[[#This Row],[ProjectName]]&amp;DiscreteStatsTable[[#This Row],[Name]]&amp;DiscreteStatsTable[[#This Row],[Type]]&amp;DiscreteStatsTable[[#This Row],[Source]]</f>
        <v>PacientesEntity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1.5029966070875795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1.21830768607881</v>
      </c>
      <c r="S4" cm="1">
        <f t="array" ref="S4">MAX(IF((DiscreteStatsTable[GroupByKey]=DiscreteStatsTable[[#This Row],[GroupByKey]]),(DiscreteStatsTable[GroupByKey]=DiscreteStatsTable[[#This Row],[GroupByKey]])*DiscreteStatsTable[Average]))</f>
        <v>2.06387223343107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0.203133309337034</v>
      </c>
      <c r="U4" cm="1">
        <f t="array" ref="U4">MAX(IF((DiscreteStatsTable[GroupByKey]=DiscreteStatsTable[[#This Row],[GroupByKey]]),(DiscreteStatsTable[GroupByKey]=DiscreteStatsTable[[#This Row],[GroupByKey]])*DiscreteStatsTable[Maximum]))</f>
        <v>29.554686467573401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">
        <f>IF((DiscreteStatsTable[[#This Row],[RepsRequested]]&gt;1),DiscreteStatsTable[[#This Row],[HalfWidth]],DiscreteStatsTable[[#This Row],[BatchMeansHalfWidth]])</f>
        <v>6.1205265903720704E-2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131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2423</v>
      </c>
      <c r="L5" t="str">
        <f>DiscreteStatsTable[[#This Row],[ProjectName]]&amp;DiscreteStatsTable[[#This Row],[Name]]&amp;DiscreteStatsTable[[#This Row],[Type]]&amp;DiscreteStatsTable[[#This Row],[Source]]</f>
        <v>PacientesEntity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131</v>
      </c>
      <c r="C6">
        <v>1</v>
      </c>
      <c r="D6" t="s">
        <v>70</v>
      </c>
      <c r="E6" t="s">
        <v>76</v>
      </c>
      <c r="F6" t="s">
        <v>72</v>
      </c>
      <c r="G6">
        <v>0.633298047503562</v>
      </c>
      <c r="H6">
        <v>1.4339807497983199E-2</v>
      </c>
      <c r="I6">
        <v>0.228585451020137</v>
      </c>
      <c r="J6">
        <v>1.57885572992268</v>
      </c>
      <c r="K6">
        <v>2423</v>
      </c>
      <c r="L6" t="str">
        <f>DiscreteStatsTable[[#This Row],[ProjectName]]&amp;DiscreteStatsTable[[#This Row],[Name]]&amp;DiscreteStatsTable[[#This Row],[Type]]&amp;DiscreteStatsTable[[#This Row],[Source]]</f>
        <v>PacientesEntity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0.63333757112184219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0.62319357082308402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0.64452003514622502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0.203133309337034</v>
      </c>
      <c r="U6" cm="1">
        <f t="array" ref="U6">MAX(IF((DiscreteStatsTable[GroupByKey]=DiscreteStatsTable[[#This Row],[GroupByKey]]),(DiscreteStatsTable[GroupByKey]=DiscreteStatsTable[[#This Row],[GroupByKey]])*DiscreteStatsTable[Maximum]))</f>
        <v>1.5939517145847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">
        <f>IF((DiscreteStatsTable[[#This Row],[RepsRequested]]&gt;1),DiscreteStatsTable[[#This Row],[HalfWidth]],DiscreteStatsTable[[#This Row],[BatchMeansHalfWidth]])</f>
        <v>1.276828436655964E-3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131</v>
      </c>
      <c r="C7">
        <v>1</v>
      </c>
      <c r="D7" t="s">
        <v>70</v>
      </c>
      <c r="E7" t="s">
        <v>77</v>
      </c>
      <c r="F7" t="s">
        <v>72</v>
      </c>
      <c r="G7">
        <v>0.99413070710717</v>
      </c>
      <c r="H7">
        <v>0.33030075966549</v>
      </c>
      <c r="I7">
        <v>0</v>
      </c>
      <c r="J7">
        <v>16.9647332810598</v>
      </c>
      <c r="K7">
        <v>2423</v>
      </c>
      <c r="L7" t="str">
        <f>DiscreteStatsTable[[#This Row],[ProjectName]]&amp;DiscreteStatsTable[[#This Row],[Name]]&amp;DiscreteStatsTable[[#This Row],[Type]]&amp;DiscreteStatsTable[[#This Row],[Source]]</f>
        <v>PacientesEntity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0.86965903596573602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0.21433022753287986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0.58431254303614699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1.42140669319588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28.983199492767199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">
        <f>IF((DiscreteStatsTable[[#This Row],[RepsRequested]]&gt;1),DiscreteStatsTable[[#This Row],[HalfWidth]],DiscreteStatsTable[[#This Row],[BatchMeansHalfWidth]])</f>
        <v>6.0911976702528743E-2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131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2398</v>
      </c>
      <c r="L8" t="str">
        <f>DiscreteStatsTable[[#This Row],[ProjectName]]&amp;DiscreteStatsTable[[#This Row],[Name]]&amp;DiscreteStatsTable[[#This Row],[Type]]&amp;DiscreteStatsTable[[#This Row],[Source]]</f>
        <v>PacientesEntity 1NVA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131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2398</v>
      </c>
      <c r="L9" t="str">
        <f>DiscreteStatsTable[[#This Row],[ProjectName]]&amp;DiscreteStatsTable[[#This Row],[Name]]&amp;DiscreteStatsTable[[#This Row],[Type]]&amp;DiscreteStatsTable[[#This Row],[Source]]</f>
        <v>PacientesEntity 1Other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131</v>
      </c>
      <c r="C10">
        <v>2</v>
      </c>
      <c r="D10" t="s">
        <v>70</v>
      </c>
      <c r="E10" t="s">
        <v>74</v>
      </c>
      <c r="F10" t="s">
        <v>72</v>
      </c>
      <c r="G10">
        <v>1.2740048509709201</v>
      </c>
      <c r="H10">
        <v>3E+20</v>
      </c>
      <c r="I10">
        <v>0.24090578776761601</v>
      </c>
      <c r="J10">
        <v>9.3870565269969894</v>
      </c>
      <c r="K10">
        <v>2398</v>
      </c>
      <c r="L10" t="str">
        <f>DiscreteStatsTable[[#This Row],[ProjectName]]&amp;DiscreteStatsTable[[#This Row],[Name]]&amp;DiscreteStatsTable[[#This Row],[Type]]&amp;DiscreteStatsTable[[#This Row],[Source]]</f>
        <v>PacientesEntity 1Total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1.5029966070875795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1.21830768607881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2.06387223343107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0.203133309337034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29.554686467573401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">
        <f>IF((DiscreteStatsTable[[#This Row],[RepsRequested]]&gt;1),DiscreteStatsTable[[#This Row],[HalfWidth]],DiscreteStatsTable[[#This Row],[BatchMeansHalfWidth]])</f>
        <v>6.1205265903720704E-2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131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2398</v>
      </c>
      <c r="L11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131</v>
      </c>
      <c r="C12">
        <v>2</v>
      </c>
      <c r="D12" t="s">
        <v>70</v>
      </c>
      <c r="E12" t="s">
        <v>76</v>
      </c>
      <c r="F12" t="s">
        <v>72</v>
      </c>
      <c r="G12">
        <v>0.62845150920168003</v>
      </c>
      <c r="H12">
        <v>1.0129826605511099E-2</v>
      </c>
      <c r="I12">
        <v>0.22520283454406401</v>
      </c>
      <c r="J12">
        <v>1.5394248170907201</v>
      </c>
      <c r="K12">
        <v>2398</v>
      </c>
      <c r="L12" t="str">
        <f>DiscreteStatsTable[[#This Row],[ProjectName]]&amp;DiscreteStatsTable[[#This Row],[Name]]&amp;DiscreteStatsTable[[#This Row],[Type]]&amp;DiscreteStatsTable[[#This Row],[Source]]</f>
        <v>PacientesEntity 1VA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0.63333757112184219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0.62319357082308402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0.64452003514622502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0.203133309337034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1.5939517145847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">
        <f>IF((DiscreteStatsTable[[#This Row],[RepsRequested]]&gt;1),DiscreteStatsTable[[#This Row],[HalfWidth]],DiscreteStatsTable[[#This Row],[BatchMeansHalfWidth]])</f>
        <v>1.276828436655964E-3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131</v>
      </c>
      <c r="C13">
        <v>2</v>
      </c>
      <c r="D13" t="s">
        <v>70</v>
      </c>
      <c r="E13" t="s">
        <v>77</v>
      </c>
      <c r="F13" t="s">
        <v>72</v>
      </c>
      <c r="G13">
        <v>0.64555334176924495</v>
      </c>
      <c r="H13">
        <v>3E+20</v>
      </c>
      <c r="I13">
        <v>0</v>
      </c>
      <c r="J13">
        <v>8.8206529199490795</v>
      </c>
      <c r="K13">
        <v>2398</v>
      </c>
      <c r="L13" t="str">
        <f>DiscreteStatsTable[[#This Row],[ProjectName]]&amp;DiscreteStatsTable[[#This Row],[Name]]&amp;DiscreteStatsTable[[#This Row],[Type]]&amp;DiscreteStatsTable[[#This Row],[Source]]</f>
        <v>PacientesEntity 1Wait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0.86965903596573602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0.58431254303614699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1.42140669319588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28.983199492767199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">
        <f>IF((DiscreteStatsTable[[#This Row],[RepsRequested]]&gt;1),DiscreteStatsTable[[#This Row],[HalfWidth]],DiscreteStatsTable[[#This Row],[BatchMeansHalfWidth]])</f>
        <v>6.0911976702528743E-2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131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2361</v>
      </c>
      <c r="L14" t="str">
        <f>DiscreteStatsTable[[#This Row],[ProjectName]]&amp;DiscreteStatsTable[[#This Row],[Name]]&amp;DiscreteStatsTable[[#This Row],[Type]]&amp;DiscreteStatsTable[[#This Row],[Source]]</f>
        <v>PacientesEntity 1NVA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131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2361</v>
      </c>
      <c r="L15" t="str">
        <f>DiscreteStatsTable[[#This Row],[ProjectName]]&amp;DiscreteStatsTable[[#This Row],[Name]]&amp;DiscreteStatsTable[[#This Row],[Type]]&amp;DiscreteStatsTable[[#This Row],[Source]]</f>
        <v>PacientesEntity 1Other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131</v>
      </c>
      <c r="C16">
        <v>3</v>
      </c>
      <c r="D16" t="s">
        <v>70</v>
      </c>
      <c r="E16" t="s">
        <v>74</v>
      </c>
      <c r="F16" t="s">
        <v>72</v>
      </c>
      <c r="G16">
        <v>1.30607988272722</v>
      </c>
      <c r="H16">
        <v>0.21084686703837999</v>
      </c>
      <c r="I16">
        <v>0.21677352216357801</v>
      </c>
      <c r="J16">
        <v>12.5668743600623</v>
      </c>
      <c r="K16">
        <v>2361</v>
      </c>
      <c r="L16" t="str">
        <f>DiscreteStatsTable[[#This Row],[ProjectName]]&amp;DiscreteStatsTable[[#This Row],[Name]]&amp;DiscreteStatsTable[[#This Row],[Type]]&amp;DiscreteStatsTable[[#This Row],[Source]]</f>
        <v>PacientesEntity 1Total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1.5029966070875795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1.21830768607881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2.06387223343107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0.203133309337034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29.554686467573401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">
        <f>IF((DiscreteStatsTable[[#This Row],[RepsRequested]]&gt;1),DiscreteStatsTable[[#This Row],[HalfWidth]],DiscreteStatsTable[[#This Row],[BatchMeansHalfWidth]])</f>
        <v>6.1205265903720704E-2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131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2361</v>
      </c>
      <c r="L17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131</v>
      </c>
      <c r="C18">
        <v>3</v>
      </c>
      <c r="D18" t="s">
        <v>70</v>
      </c>
      <c r="E18" t="s">
        <v>76</v>
      </c>
      <c r="F18" t="s">
        <v>72</v>
      </c>
      <c r="G18">
        <v>0.63186555392768295</v>
      </c>
      <c r="H18">
        <v>1.07459211835492E-2</v>
      </c>
      <c r="I18">
        <v>0.21677352216357801</v>
      </c>
      <c r="J18">
        <v>1.50386972809883</v>
      </c>
      <c r="K18">
        <v>2361</v>
      </c>
      <c r="L18" t="str">
        <f>DiscreteStatsTable[[#This Row],[ProjectName]]&amp;DiscreteStatsTable[[#This Row],[Name]]&amp;DiscreteStatsTable[[#This Row],[Type]]&amp;DiscreteStatsTable[[#This Row],[Source]]</f>
        <v>PacientesEntity 1VA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0.63333757112184219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0.62319357082308402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0.64452003514622502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0.203133309337034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1.5939517145847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">
        <f>IF((DiscreteStatsTable[[#This Row],[RepsRequested]]&gt;1),DiscreteStatsTable[[#This Row],[HalfWidth]],DiscreteStatsTable[[#This Row],[BatchMeansHalfWidth]])</f>
        <v>1.276828436655964E-3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131</v>
      </c>
      <c r="C19">
        <v>3</v>
      </c>
      <c r="D19" t="s">
        <v>70</v>
      </c>
      <c r="E19" t="s">
        <v>77</v>
      </c>
      <c r="F19" t="s">
        <v>72</v>
      </c>
      <c r="G19">
        <v>0.67421432879953502</v>
      </c>
      <c r="H19">
        <v>0.210339415645799</v>
      </c>
      <c r="I19">
        <v>0</v>
      </c>
      <c r="J19">
        <v>12.0484373472722</v>
      </c>
      <c r="K19">
        <v>2361</v>
      </c>
      <c r="L19" t="str">
        <f>DiscreteStatsTable[[#This Row],[ProjectName]]&amp;DiscreteStatsTable[[#This Row],[Name]]&amp;DiscreteStatsTable[[#This Row],[Type]]&amp;DiscreteStatsTable[[#This Row],[Source]]</f>
        <v>PacientesEntity 1Wait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0.86965903596573602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0.58431254303614699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1.42140669319588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28.983199492767199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">
        <f>IF((DiscreteStatsTable[[#This Row],[RepsRequested]]&gt;1),DiscreteStatsTable[[#This Row],[HalfWidth]],DiscreteStatsTable[[#This Row],[BatchMeansHalfWidth]])</f>
        <v>6.0911976702528743E-2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131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2371</v>
      </c>
      <c r="L20" t="str">
        <f>DiscreteStatsTable[[#This Row],[ProjectName]]&amp;DiscreteStatsTable[[#This Row],[Name]]&amp;DiscreteStatsTable[[#This Row],[Type]]&amp;DiscreteStatsTable[[#This Row],[Source]]</f>
        <v>PacientesEntity 1NVA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131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2371</v>
      </c>
      <c r="L21" t="str">
        <f>DiscreteStatsTable[[#This Row],[ProjectName]]&amp;DiscreteStatsTable[[#This Row],[Name]]&amp;DiscreteStatsTable[[#This Row],[Type]]&amp;DiscreteStatsTable[[#This Row],[Source]]</f>
        <v>PacientesEntity 1Other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131</v>
      </c>
      <c r="C22">
        <v>4</v>
      </c>
      <c r="D22" t="s">
        <v>70</v>
      </c>
      <c r="E22" t="s">
        <v>74</v>
      </c>
      <c r="F22" t="s">
        <v>72</v>
      </c>
      <c r="G22">
        <v>1.6022225536824</v>
      </c>
      <c r="H22">
        <v>0.38949152391181402</v>
      </c>
      <c r="I22">
        <v>0.23955856428921199</v>
      </c>
      <c r="J22">
        <v>19.872147986401</v>
      </c>
      <c r="K22">
        <v>2371</v>
      </c>
      <c r="L22" t="str">
        <f>DiscreteStatsTable[[#This Row],[ProjectName]]&amp;DiscreteStatsTable[[#This Row],[Name]]&amp;DiscreteStatsTable[[#This Row],[Type]]&amp;DiscreteStatsTable[[#This Row],[Source]]</f>
        <v>PacientesEntity 1Total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1.5029966070875795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1.21830768607881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2.06387223343107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0.203133309337034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29.554686467573401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">
        <f>IF((DiscreteStatsTable[[#This Row],[RepsRequested]]&gt;1),DiscreteStatsTable[[#This Row],[HalfWidth]],DiscreteStatsTable[[#This Row],[BatchMeansHalfWidth]])</f>
        <v>6.1205265903720704E-2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131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2371</v>
      </c>
      <c r="L23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131</v>
      </c>
      <c r="C24">
        <v>4</v>
      </c>
      <c r="D24" t="s">
        <v>70</v>
      </c>
      <c r="E24" t="s">
        <v>76</v>
      </c>
      <c r="F24" t="s">
        <v>72</v>
      </c>
      <c r="G24">
        <v>0.63981221154748102</v>
      </c>
      <c r="H24">
        <v>1.19967613873015E-2</v>
      </c>
      <c r="I24">
        <v>0.22476677744362</v>
      </c>
      <c r="J24">
        <v>1.54675827868198</v>
      </c>
      <c r="K24">
        <v>2371</v>
      </c>
      <c r="L24" t="str">
        <f>DiscreteStatsTable[[#This Row],[ProjectName]]&amp;DiscreteStatsTable[[#This Row],[Name]]&amp;DiscreteStatsTable[[#This Row],[Type]]&amp;DiscreteStatsTable[[#This Row],[Source]]</f>
        <v>PacientesEntity 1VA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0.63333757112184219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0.62319357082308402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0.64452003514622502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0.203133309337034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1.5939517145847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">
        <f>IF((DiscreteStatsTable[[#This Row],[RepsRequested]]&gt;1),DiscreteStatsTable[[#This Row],[HalfWidth]],DiscreteStatsTable[[#This Row],[BatchMeansHalfWidth]])</f>
        <v>1.276828436655964E-3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131</v>
      </c>
      <c r="C25">
        <v>4</v>
      </c>
      <c r="D25" t="s">
        <v>70</v>
      </c>
      <c r="E25" t="s">
        <v>77</v>
      </c>
      <c r="F25" t="s">
        <v>72</v>
      </c>
      <c r="G25">
        <v>0.96241034213492005</v>
      </c>
      <c r="H25">
        <v>0.39233747786419298</v>
      </c>
      <c r="I25">
        <v>0</v>
      </c>
      <c r="J25">
        <v>19.337749756444001</v>
      </c>
      <c r="K25">
        <v>2371</v>
      </c>
      <c r="L25" t="str">
        <f>DiscreteStatsTable[[#This Row],[ProjectName]]&amp;DiscreteStatsTable[[#This Row],[Name]]&amp;DiscreteStatsTable[[#This Row],[Type]]&amp;DiscreteStatsTable[[#This Row],[Source]]</f>
        <v>PacientesEntity 1Wait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0.86965903596573602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0.58431254303614699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1.42140669319588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28.983199492767199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">
        <f>IF((DiscreteStatsTable[[#This Row],[RepsRequested]]&gt;1),DiscreteStatsTable[[#This Row],[HalfWidth]],DiscreteStatsTable[[#This Row],[BatchMeansHalfWidth]])</f>
        <v>6.0911976702528743E-2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131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2336</v>
      </c>
      <c r="L26" t="str">
        <f>DiscreteStatsTable[[#This Row],[ProjectName]]&amp;DiscreteStatsTable[[#This Row],[Name]]&amp;DiscreteStatsTable[[#This Row],[Type]]&amp;DiscreteStatsTable[[#This Row],[Source]]</f>
        <v>PacientesEntity 1NVA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131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2336</v>
      </c>
      <c r="L27" t="str">
        <f>DiscreteStatsTable[[#This Row],[ProjectName]]&amp;DiscreteStatsTable[[#This Row],[Name]]&amp;DiscreteStatsTable[[#This Row],[Type]]&amp;DiscreteStatsTable[[#This Row],[Source]]</f>
        <v>PacientesEntity 1Other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131</v>
      </c>
      <c r="C28">
        <v>5</v>
      </c>
      <c r="D28" t="s">
        <v>70</v>
      </c>
      <c r="E28" t="s">
        <v>74</v>
      </c>
      <c r="F28" t="s">
        <v>72</v>
      </c>
      <c r="G28">
        <v>1.33154793093313</v>
      </c>
      <c r="H28">
        <v>3E+20</v>
      </c>
      <c r="I28">
        <v>0.22737467353891799</v>
      </c>
      <c r="J28">
        <v>14.4932557652953</v>
      </c>
      <c r="K28">
        <v>2336</v>
      </c>
      <c r="L28" t="str">
        <f>DiscreteStatsTable[[#This Row],[ProjectName]]&amp;DiscreteStatsTable[[#This Row],[Name]]&amp;DiscreteStatsTable[[#This Row],[Type]]&amp;DiscreteStatsTable[[#This Row],[Source]]</f>
        <v>PacientesEntity 1Total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1.5029966070875795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1.21830768607881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2.06387223343107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0.203133309337034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29.554686467573401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">
        <f>IF((DiscreteStatsTable[[#This Row],[RepsRequested]]&gt;1),DiscreteStatsTable[[#This Row],[HalfWidth]],DiscreteStatsTable[[#This Row],[BatchMeansHalfWidth]])</f>
        <v>6.1205265903720704E-2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131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0</v>
      </c>
      <c r="I29">
        <v>0</v>
      </c>
      <c r="J29">
        <v>0</v>
      </c>
      <c r="K29">
        <v>2336</v>
      </c>
      <c r="L29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131</v>
      </c>
      <c r="C30">
        <v>5</v>
      </c>
      <c r="D30" t="s">
        <v>70</v>
      </c>
      <c r="E30" t="s">
        <v>76</v>
      </c>
      <c r="F30" t="s">
        <v>72</v>
      </c>
      <c r="G30">
        <v>0.62657189269840696</v>
      </c>
      <c r="H30">
        <v>1.1743444091711E-2</v>
      </c>
      <c r="I30">
        <v>0.2205899532551</v>
      </c>
      <c r="J30">
        <v>1.5589092886503799</v>
      </c>
      <c r="K30">
        <v>2336</v>
      </c>
      <c r="L30" t="str">
        <f>DiscreteStatsTable[[#This Row],[ProjectName]]&amp;DiscreteStatsTable[[#This Row],[Name]]&amp;DiscreteStatsTable[[#This Row],[Type]]&amp;DiscreteStatsTable[[#This Row],[Source]]</f>
        <v>PacientesEntity 1VA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0.63333757112184219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0.62319357082308402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0.64452003514622502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0.203133309337034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1.5939517145847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">
        <f>IF((DiscreteStatsTable[[#This Row],[RepsRequested]]&gt;1),DiscreteStatsTable[[#This Row],[HalfWidth]],DiscreteStatsTable[[#This Row],[BatchMeansHalfWidth]])</f>
        <v>1.276828436655964E-3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131</v>
      </c>
      <c r="C31">
        <v>5</v>
      </c>
      <c r="D31" t="s">
        <v>70</v>
      </c>
      <c r="E31" t="s">
        <v>77</v>
      </c>
      <c r="F31" t="s">
        <v>72</v>
      </c>
      <c r="G31">
        <v>0.70497603823471999</v>
      </c>
      <c r="H31">
        <v>3E+20</v>
      </c>
      <c r="I31">
        <v>0</v>
      </c>
      <c r="J31">
        <v>14.1674275247751</v>
      </c>
      <c r="K31">
        <v>2336</v>
      </c>
      <c r="L31" t="str">
        <f>DiscreteStatsTable[[#This Row],[ProjectName]]&amp;DiscreteStatsTable[[#This Row],[Name]]&amp;DiscreteStatsTable[[#This Row],[Type]]&amp;DiscreteStatsTable[[#This Row],[Source]]</f>
        <v>PacientesEntity 1Wait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0.86965903596573602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0.21433022753287986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0.58431254303614699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1.42140669319588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28.983199492767199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">
        <f>IF((DiscreteStatsTable[[#This Row],[RepsRequested]]&gt;1),DiscreteStatsTable[[#This Row],[HalfWidth]],DiscreteStatsTable[[#This Row],[BatchMeansHalfWidth]])</f>
        <v>6.0911976702528743E-2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131</v>
      </c>
      <c r="C32">
        <v>6</v>
      </c>
      <c r="D32" t="s">
        <v>70</v>
      </c>
      <c r="E32" t="s">
        <v>71</v>
      </c>
      <c r="F32" t="s">
        <v>72</v>
      </c>
      <c r="G32">
        <v>0</v>
      </c>
      <c r="H32">
        <v>0</v>
      </c>
      <c r="I32">
        <v>0</v>
      </c>
      <c r="J32">
        <v>0</v>
      </c>
      <c r="K32">
        <v>2504</v>
      </c>
      <c r="L32" t="str">
        <f>DiscreteStatsTable[[#This Row],[ProjectName]]&amp;DiscreteStatsTable[[#This Row],[Name]]&amp;DiscreteStatsTable[[#This Row],[Type]]&amp;DiscreteStatsTable[[#This Row],[Source]]</f>
        <v>PacientesEntity 1NVA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131</v>
      </c>
      <c r="C33">
        <v>6</v>
      </c>
      <c r="D33" t="s">
        <v>70</v>
      </c>
      <c r="E33" t="s">
        <v>73</v>
      </c>
      <c r="F33" t="s">
        <v>72</v>
      </c>
      <c r="G33">
        <v>0</v>
      </c>
      <c r="H33">
        <v>0</v>
      </c>
      <c r="I33">
        <v>0</v>
      </c>
      <c r="J33">
        <v>0</v>
      </c>
      <c r="K33">
        <v>2504</v>
      </c>
      <c r="L33" t="str">
        <f>DiscreteStatsTable[[#This Row],[ProjectName]]&amp;DiscreteStatsTable[[#This Row],[Name]]&amp;DiscreteStatsTable[[#This Row],[Type]]&amp;DiscreteStatsTable[[#This Row],[Source]]</f>
        <v>PacientesEntity 1Other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131</v>
      </c>
      <c r="C34">
        <v>6</v>
      </c>
      <c r="D34" t="s">
        <v>70</v>
      </c>
      <c r="E34" t="s">
        <v>74</v>
      </c>
      <c r="F34" t="s">
        <v>72</v>
      </c>
      <c r="G34">
        <v>1.55450247197532</v>
      </c>
      <c r="H34">
        <v>0.25103246155707198</v>
      </c>
      <c r="I34">
        <v>0.25328199532430101</v>
      </c>
      <c r="J34">
        <v>12.3347031709779</v>
      </c>
      <c r="K34">
        <v>2504</v>
      </c>
      <c r="L34" t="str">
        <f>DiscreteStatsTable[[#This Row],[ProjectName]]&amp;DiscreteStatsTable[[#This Row],[Name]]&amp;DiscreteStatsTable[[#This Row],[Type]]&amp;DiscreteStatsTable[[#This Row],[Source]]</f>
        <v>PacientesEntity 1Total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1.5029966070875795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1.21830768607881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2.06387223343107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0.203133309337034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29.554686467573401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">
        <f>IF((DiscreteStatsTable[[#This Row],[RepsRequested]]&gt;1),DiscreteStatsTable[[#This Row],[HalfWidth]],DiscreteStatsTable[[#This Row],[BatchMeansHalfWidth]])</f>
        <v>6.1205265903720704E-2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131</v>
      </c>
      <c r="C35">
        <v>6</v>
      </c>
      <c r="D35" t="s">
        <v>70</v>
      </c>
      <c r="E35" t="s">
        <v>75</v>
      </c>
      <c r="F35" t="s">
        <v>72</v>
      </c>
      <c r="G35">
        <v>0</v>
      </c>
      <c r="H35">
        <v>0</v>
      </c>
      <c r="I35">
        <v>0</v>
      </c>
      <c r="J35">
        <v>0</v>
      </c>
      <c r="K35">
        <v>2504</v>
      </c>
      <c r="L35" t="str">
        <f>DiscreteStatsTable[[#This Row],[ProjectName]]&amp;DiscreteStatsTable[[#This Row],[Name]]&amp;DiscreteStatsTable[[#This Row],[Type]]&amp;DiscreteStatsTable[[#This Row],[Source]]</f>
        <v>PacientesEntity 1Transfer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131</v>
      </c>
      <c r="C36">
        <v>6</v>
      </c>
      <c r="D36" t="s">
        <v>70</v>
      </c>
      <c r="E36" t="s">
        <v>76</v>
      </c>
      <c r="F36" t="s">
        <v>72</v>
      </c>
      <c r="G36">
        <v>0.63050587555205395</v>
      </c>
      <c r="H36">
        <v>3E+20</v>
      </c>
      <c r="I36">
        <v>0.23036282865598401</v>
      </c>
      <c r="J36">
        <v>1.5790046793385999</v>
      </c>
      <c r="K36">
        <v>2504</v>
      </c>
      <c r="L36" t="str">
        <f>DiscreteStatsTable[[#This Row],[ProjectName]]&amp;DiscreteStatsTable[[#This Row],[Name]]&amp;DiscreteStatsTable[[#This Row],[Type]]&amp;DiscreteStatsTable[[#This Row],[Source]]</f>
        <v>PacientesEntity 1VA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0.63333757112184219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0.62319357082308402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0.64452003514622502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0.203133309337034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1.5939517145847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">
        <f>IF((DiscreteStatsTable[[#This Row],[RepsRequested]]&gt;1),DiscreteStatsTable[[#This Row],[HalfWidth]],DiscreteStatsTable[[#This Row],[BatchMeansHalfWidth]])</f>
        <v>1.276828436655964E-3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131</v>
      </c>
      <c r="C37">
        <v>6</v>
      </c>
      <c r="D37" t="s">
        <v>70</v>
      </c>
      <c r="E37" t="s">
        <v>77</v>
      </c>
      <c r="F37" t="s">
        <v>72</v>
      </c>
      <c r="G37">
        <v>0.92399659642325804</v>
      </c>
      <c r="H37">
        <v>0.25386336744800497</v>
      </c>
      <c r="I37">
        <v>0</v>
      </c>
      <c r="J37">
        <v>12.0027247906438</v>
      </c>
      <c r="K37">
        <v>2504</v>
      </c>
      <c r="L37" t="str">
        <f>DiscreteStatsTable[[#This Row],[ProjectName]]&amp;DiscreteStatsTable[[#This Row],[Name]]&amp;DiscreteStatsTable[[#This Row],[Type]]&amp;DiscreteStatsTable[[#This Row],[Source]]</f>
        <v>PacientesEntity 1Wait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0.86965903596573602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0.21433022753287986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0.58431254303614699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1.42140669319588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28.983199492767199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">
        <f>IF((DiscreteStatsTable[[#This Row],[RepsRequested]]&gt;1),DiscreteStatsTable[[#This Row],[HalfWidth]],DiscreteStatsTable[[#This Row],[BatchMeansHalfWidth]])</f>
        <v>6.0911976702528743E-2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131</v>
      </c>
      <c r="C38">
        <v>7</v>
      </c>
      <c r="D38" t="s">
        <v>70</v>
      </c>
      <c r="E38" t="s">
        <v>71</v>
      </c>
      <c r="F38" t="s">
        <v>72</v>
      </c>
      <c r="G38">
        <v>0</v>
      </c>
      <c r="H38">
        <v>0</v>
      </c>
      <c r="I38">
        <v>0</v>
      </c>
      <c r="J38">
        <v>0</v>
      </c>
      <c r="K38">
        <v>2394</v>
      </c>
      <c r="L38" t="str">
        <f>DiscreteStatsTable[[#This Row],[ProjectName]]&amp;DiscreteStatsTable[[#This Row],[Name]]&amp;DiscreteStatsTable[[#This Row],[Type]]&amp;DiscreteStatsTable[[#This Row],[Source]]</f>
        <v>PacientesEntity 1NVA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131</v>
      </c>
      <c r="C39">
        <v>7</v>
      </c>
      <c r="D39" t="s">
        <v>70</v>
      </c>
      <c r="E39" t="s">
        <v>73</v>
      </c>
      <c r="F39" t="s">
        <v>72</v>
      </c>
      <c r="G39">
        <v>0</v>
      </c>
      <c r="H39">
        <v>0</v>
      </c>
      <c r="I39">
        <v>0</v>
      </c>
      <c r="J39">
        <v>0</v>
      </c>
      <c r="K39">
        <v>2394</v>
      </c>
      <c r="L39" t="str">
        <f>DiscreteStatsTable[[#This Row],[ProjectName]]&amp;DiscreteStatsTable[[#This Row],[Name]]&amp;DiscreteStatsTable[[#This Row],[Type]]&amp;DiscreteStatsTable[[#This Row],[Source]]</f>
        <v>PacientesEntity 1Other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131</v>
      </c>
      <c r="C40">
        <v>7</v>
      </c>
      <c r="D40" t="s">
        <v>70</v>
      </c>
      <c r="E40" t="s">
        <v>74</v>
      </c>
      <c r="F40" t="s">
        <v>72</v>
      </c>
      <c r="G40">
        <v>1.43484844458477</v>
      </c>
      <c r="H40">
        <v>0.221979306487883</v>
      </c>
      <c r="I40">
        <v>0.25221005455790602</v>
      </c>
      <c r="J40">
        <v>14.7359788524615</v>
      </c>
      <c r="K40">
        <v>2394</v>
      </c>
      <c r="L40" t="str">
        <f>DiscreteStatsTable[[#This Row],[ProjectName]]&amp;DiscreteStatsTable[[#This Row],[Name]]&amp;DiscreteStatsTable[[#This Row],[Type]]&amp;DiscreteStatsTable[[#This Row],[Source]]</f>
        <v>PacientesEntity 1Total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1.5029966070875795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1.21830768607881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2.06387223343107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0.203133309337034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29.554686467573401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">
        <f>IF((DiscreteStatsTable[[#This Row],[RepsRequested]]&gt;1),DiscreteStatsTable[[#This Row],[HalfWidth]],DiscreteStatsTable[[#This Row],[BatchMeansHalfWidth]])</f>
        <v>6.1205265903720704E-2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131</v>
      </c>
      <c r="C41">
        <v>7</v>
      </c>
      <c r="D41" t="s">
        <v>70</v>
      </c>
      <c r="E41" t="s">
        <v>75</v>
      </c>
      <c r="F41" t="s">
        <v>72</v>
      </c>
      <c r="G41">
        <v>0</v>
      </c>
      <c r="H41">
        <v>0</v>
      </c>
      <c r="I41">
        <v>0</v>
      </c>
      <c r="J41">
        <v>0</v>
      </c>
      <c r="K41">
        <v>2394</v>
      </c>
      <c r="L41" t="str">
        <f>DiscreteStatsTable[[#This Row],[ProjectName]]&amp;DiscreteStatsTable[[#This Row],[Name]]&amp;DiscreteStatsTable[[#This Row],[Type]]&amp;DiscreteStatsTable[[#This Row],[Source]]</f>
        <v>PacientesEntity 1Transfer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131</v>
      </c>
      <c r="C42">
        <v>7</v>
      </c>
      <c r="D42" t="s">
        <v>70</v>
      </c>
      <c r="E42" t="s">
        <v>76</v>
      </c>
      <c r="F42" t="s">
        <v>72</v>
      </c>
      <c r="G42">
        <v>0.63694267341988298</v>
      </c>
      <c r="H42">
        <v>1.10951921542926E-2</v>
      </c>
      <c r="I42">
        <v>0.22329450620583199</v>
      </c>
      <c r="J42">
        <v>1.5131609728709901</v>
      </c>
      <c r="K42">
        <v>2394</v>
      </c>
      <c r="L42" t="str">
        <f>DiscreteStatsTable[[#This Row],[ProjectName]]&amp;DiscreteStatsTable[[#This Row],[Name]]&amp;DiscreteStatsTable[[#This Row],[Type]]&amp;DiscreteStatsTable[[#This Row],[Source]]</f>
        <v>PacientesEntity 1VA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0.63333757112184219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0.62319357082308402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0.64452003514622502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0.203133309337034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1.5939517145847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">
        <f>IF((DiscreteStatsTable[[#This Row],[RepsRequested]]&gt;1),DiscreteStatsTable[[#This Row],[HalfWidth]],DiscreteStatsTable[[#This Row],[BatchMeansHalfWidth]])</f>
        <v>1.276828436655964E-3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131</v>
      </c>
      <c r="C43">
        <v>7</v>
      </c>
      <c r="D43" t="s">
        <v>70</v>
      </c>
      <c r="E43" t="s">
        <v>77</v>
      </c>
      <c r="F43" t="s">
        <v>72</v>
      </c>
      <c r="G43">
        <v>0.79790577116488703</v>
      </c>
      <c r="H43">
        <v>0.22015745520920299</v>
      </c>
      <c r="I43">
        <v>0</v>
      </c>
      <c r="J43">
        <v>14.3681831855307</v>
      </c>
      <c r="K43">
        <v>2394</v>
      </c>
      <c r="L43" t="str">
        <f>DiscreteStatsTable[[#This Row],[ProjectName]]&amp;DiscreteStatsTable[[#This Row],[Name]]&amp;DiscreteStatsTable[[#This Row],[Type]]&amp;DiscreteStatsTable[[#This Row],[Source]]</f>
        <v>PacientesEntity 1Wait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0.86965903596573602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0.21433022753287986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0.58431254303614699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1.42140669319588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28.983199492767199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">
        <f>IF((DiscreteStatsTable[[#This Row],[RepsRequested]]&gt;1),DiscreteStatsTable[[#This Row],[HalfWidth]],DiscreteStatsTable[[#This Row],[BatchMeansHalfWidth]])</f>
        <v>6.0911976702528743E-2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131</v>
      </c>
      <c r="C44">
        <v>8</v>
      </c>
      <c r="D44" t="s">
        <v>70</v>
      </c>
      <c r="E44" t="s">
        <v>71</v>
      </c>
      <c r="F44" t="s">
        <v>72</v>
      </c>
      <c r="G44">
        <v>0</v>
      </c>
      <c r="H44">
        <v>0</v>
      </c>
      <c r="I44">
        <v>0</v>
      </c>
      <c r="J44">
        <v>0</v>
      </c>
      <c r="K44">
        <v>2403</v>
      </c>
      <c r="L44" t="str">
        <f>DiscreteStatsTable[[#This Row],[ProjectName]]&amp;DiscreteStatsTable[[#This Row],[Name]]&amp;DiscreteStatsTable[[#This Row],[Type]]&amp;DiscreteStatsTable[[#This Row],[Source]]</f>
        <v>PacientesEntity 1NVA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131</v>
      </c>
      <c r="C45">
        <v>8</v>
      </c>
      <c r="D45" t="s">
        <v>70</v>
      </c>
      <c r="E45" t="s">
        <v>73</v>
      </c>
      <c r="F45" t="s">
        <v>72</v>
      </c>
      <c r="G45">
        <v>0</v>
      </c>
      <c r="H45">
        <v>0</v>
      </c>
      <c r="I45">
        <v>0</v>
      </c>
      <c r="J45">
        <v>0</v>
      </c>
      <c r="K45">
        <v>2403</v>
      </c>
      <c r="L45" t="str">
        <f>DiscreteStatsTable[[#This Row],[ProjectName]]&amp;DiscreteStatsTable[[#This Row],[Name]]&amp;DiscreteStatsTable[[#This Row],[Type]]&amp;DiscreteStatsTable[[#This Row],[Source]]</f>
        <v>PacientesEntity 1Other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131</v>
      </c>
      <c r="C46">
        <v>8</v>
      </c>
      <c r="D46" t="s">
        <v>70</v>
      </c>
      <c r="E46" t="s">
        <v>74</v>
      </c>
      <c r="F46" t="s">
        <v>72</v>
      </c>
      <c r="G46">
        <v>1.4277982365641699</v>
      </c>
      <c r="H46">
        <v>0.21978549231637801</v>
      </c>
      <c r="I46">
        <v>0.203133309337034</v>
      </c>
      <c r="J46">
        <v>10.0898139807387</v>
      </c>
      <c r="K46">
        <v>2403</v>
      </c>
      <c r="L46" t="str">
        <f>DiscreteStatsTable[[#This Row],[ProjectName]]&amp;DiscreteStatsTable[[#This Row],[Name]]&amp;DiscreteStatsTable[[#This Row],[Type]]&amp;DiscreteStatsTable[[#This Row],[Source]]</f>
        <v>PacientesEntity 1Total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1.5029966070875795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1.21830768607881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2.06387223343107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0.203133309337034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29.554686467573401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6">
        <f>IF((DiscreteStatsTable[[#This Row],[RepsRequested]]&gt;1),DiscreteStatsTable[[#This Row],[HalfWidth]],DiscreteStatsTable[[#This Row],[BatchMeansHalfWidth]])</f>
        <v>6.1205265903720704E-2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131</v>
      </c>
      <c r="C47">
        <v>8</v>
      </c>
      <c r="D47" t="s">
        <v>70</v>
      </c>
      <c r="E47" t="s">
        <v>75</v>
      </c>
      <c r="F47" t="s">
        <v>72</v>
      </c>
      <c r="G47">
        <v>0</v>
      </c>
      <c r="H47">
        <v>0</v>
      </c>
      <c r="I47">
        <v>0</v>
      </c>
      <c r="J47">
        <v>0</v>
      </c>
      <c r="K47">
        <v>2403</v>
      </c>
      <c r="L47" t="str">
        <f>DiscreteStatsTable[[#This Row],[ProjectName]]&amp;DiscreteStatsTable[[#This Row],[Name]]&amp;DiscreteStatsTable[[#This Row],[Type]]&amp;DiscreteStatsTable[[#This Row],[Source]]</f>
        <v>PacientesEntity 1Transfer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131</v>
      </c>
      <c r="C48">
        <v>8</v>
      </c>
      <c r="D48" t="s">
        <v>70</v>
      </c>
      <c r="E48" t="s">
        <v>76</v>
      </c>
      <c r="F48" t="s">
        <v>72</v>
      </c>
      <c r="G48">
        <v>0.63469301295049496</v>
      </c>
      <c r="H48">
        <v>1.0599371307323E-2</v>
      </c>
      <c r="I48">
        <v>0.203133309337034</v>
      </c>
      <c r="J48">
        <v>1.5939517145847</v>
      </c>
      <c r="K48">
        <v>2403</v>
      </c>
      <c r="L48" t="str">
        <f>DiscreteStatsTable[[#This Row],[ProjectName]]&amp;DiscreteStatsTable[[#This Row],[Name]]&amp;DiscreteStatsTable[[#This Row],[Type]]&amp;DiscreteStatsTable[[#This Row],[Source]]</f>
        <v>PacientesEntity 1VA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0.63333757112184219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0.62319357082308402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0.64452003514622502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0.203133309337034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1.5939517145847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8">
        <f>IF((DiscreteStatsTable[[#This Row],[RepsRequested]]&gt;1),DiscreteStatsTable[[#This Row],[HalfWidth]],DiscreteStatsTable[[#This Row],[BatchMeansHalfWidth]])</f>
        <v>1.276828436655964E-3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131</v>
      </c>
      <c r="C49">
        <v>8</v>
      </c>
      <c r="D49" t="s">
        <v>70</v>
      </c>
      <c r="E49" t="s">
        <v>77</v>
      </c>
      <c r="F49" t="s">
        <v>72</v>
      </c>
      <c r="G49">
        <v>0.79310522361367497</v>
      </c>
      <c r="H49">
        <v>0.22065781465666001</v>
      </c>
      <c r="I49">
        <v>0</v>
      </c>
      <c r="J49">
        <v>9.7164911897571002</v>
      </c>
      <c r="K49">
        <v>2403</v>
      </c>
      <c r="L49" t="str">
        <f>DiscreteStatsTable[[#This Row],[ProjectName]]&amp;DiscreteStatsTable[[#This Row],[Name]]&amp;DiscreteStatsTable[[#This Row],[Type]]&amp;DiscreteStatsTable[[#This Row],[Source]]</f>
        <v>PacientesEntity 1Wait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0.86965903596573602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0.21433022753287986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0.58431254303614699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1.42140669319588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28.983199492767199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9">
        <f>IF((DiscreteStatsTable[[#This Row],[RepsRequested]]&gt;1),DiscreteStatsTable[[#This Row],[HalfWidth]],DiscreteStatsTable[[#This Row],[BatchMeansHalfWidth]])</f>
        <v>6.0911976702528743E-2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131</v>
      </c>
      <c r="C50">
        <v>9</v>
      </c>
      <c r="D50" t="s">
        <v>70</v>
      </c>
      <c r="E50" t="s">
        <v>71</v>
      </c>
      <c r="F50" t="s">
        <v>72</v>
      </c>
      <c r="G50">
        <v>0</v>
      </c>
      <c r="H50">
        <v>0</v>
      </c>
      <c r="I50">
        <v>0</v>
      </c>
      <c r="J50">
        <v>0</v>
      </c>
      <c r="K50">
        <v>2429</v>
      </c>
      <c r="L50" t="str">
        <f>DiscreteStatsTable[[#This Row],[ProjectName]]&amp;DiscreteStatsTable[[#This Row],[Name]]&amp;DiscreteStatsTable[[#This Row],[Type]]&amp;DiscreteStatsTable[[#This Row],[Source]]</f>
        <v>PacientesEntity 1NVA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131</v>
      </c>
      <c r="C51">
        <v>9</v>
      </c>
      <c r="D51" t="s">
        <v>70</v>
      </c>
      <c r="E51" t="s">
        <v>73</v>
      </c>
      <c r="F51" t="s">
        <v>72</v>
      </c>
      <c r="G51">
        <v>0</v>
      </c>
      <c r="H51">
        <v>0</v>
      </c>
      <c r="I51">
        <v>0</v>
      </c>
      <c r="J51">
        <v>0</v>
      </c>
      <c r="K51">
        <v>2429</v>
      </c>
      <c r="L51" t="str">
        <f>DiscreteStatsTable[[#This Row],[ProjectName]]&amp;DiscreteStatsTable[[#This Row],[Name]]&amp;DiscreteStatsTable[[#This Row],[Type]]&amp;DiscreteStatsTable[[#This Row],[Source]]</f>
        <v>PacientesEntity 1Other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131</v>
      </c>
      <c r="C52">
        <v>9</v>
      </c>
      <c r="D52" t="s">
        <v>70</v>
      </c>
      <c r="E52" t="s">
        <v>74</v>
      </c>
      <c r="F52" t="s">
        <v>72</v>
      </c>
      <c r="G52">
        <v>1.90819944816471</v>
      </c>
      <c r="H52">
        <v>3E+20</v>
      </c>
      <c r="I52">
        <v>0.28046973229794497</v>
      </c>
      <c r="J52">
        <v>18.771074116146298</v>
      </c>
      <c r="K52">
        <v>2429</v>
      </c>
      <c r="L52" t="str">
        <f>DiscreteStatsTable[[#This Row],[ProjectName]]&amp;DiscreteStatsTable[[#This Row],[Name]]&amp;DiscreteStatsTable[[#This Row],[Type]]&amp;DiscreteStatsTable[[#This Row],[Source]]</f>
        <v>PacientesEntity 1Total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1.5029966070875795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1.21830768607881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2.06387223343107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0.203133309337034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29.554686467573401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2">
        <f>IF((DiscreteStatsTable[[#This Row],[RepsRequested]]&gt;1),DiscreteStatsTable[[#This Row],[HalfWidth]],DiscreteStatsTable[[#This Row],[BatchMeansHalfWidth]])</f>
        <v>6.1205265903720704E-2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131</v>
      </c>
      <c r="C53">
        <v>9</v>
      </c>
      <c r="D53" t="s">
        <v>70</v>
      </c>
      <c r="E53" t="s">
        <v>75</v>
      </c>
      <c r="F53" t="s">
        <v>72</v>
      </c>
      <c r="G53">
        <v>0</v>
      </c>
      <c r="H53">
        <v>0</v>
      </c>
      <c r="I53">
        <v>0</v>
      </c>
      <c r="J53">
        <v>0</v>
      </c>
      <c r="K53">
        <v>2429</v>
      </c>
      <c r="L53" t="str">
        <f>DiscreteStatsTable[[#This Row],[ProjectName]]&amp;DiscreteStatsTable[[#This Row],[Name]]&amp;DiscreteStatsTable[[#This Row],[Type]]&amp;DiscreteStatsTable[[#This Row],[Source]]</f>
        <v>PacientesEntity 1Transfer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131</v>
      </c>
      <c r="C54">
        <v>9</v>
      </c>
      <c r="D54" t="s">
        <v>70</v>
      </c>
      <c r="E54" t="s">
        <v>76</v>
      </c>
      <c r="F54" t="s">
        <v>72</v>
      </c>
      <c r="G54">
        <v>0.64003567843128994</v>
      </c>
      <c r="H54">
        <v>3E+20</v>
      </c>
      <c r="I54">
        <v>0.20777222090021</v>
      </c>
      <c r="J54">
        <v>1.5762216879650199</v>
      </c>
      <c r="K54">
        <v>2429</v>
      </c>
      <c r="L54" t="str">
        <f>DiscreteStatsTable[[#This Row],[ProjectName]]&amp;DiscreteStatsTable[[#This Row],[Name]]&amp;DiscreteStatsTable[[#This Row],[Type]]&amp;DiscreteStatsTable[[#This Row],[Source]]</f>
        <v>PacientesEntity 1VA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0.63333757112184219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0.62319357082308402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0.64452003514622502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0.203133309337034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1.5939517145847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4">
        <f>IF((DiscreteStatsTable[[#This Row],[RepsRequested]]&gt;1),DiscreteStatsTable[[#This Row],[HalfWidth]],DiscreteStatsTable[[#This Row],[BatchMeansHalfWidth]])</f>
        <v>1.276828436655964E-3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131</v>
      </c>
      <c r="C55">
        <v>9</v>
      </c>
      <c r="D55" t="s">
        <v>70</v>
      </c>
      <c r="E55" t="s">
        <v>77</v>
      </c>
      <c r="F55" t="s">
        <v>72</v>
      </c>
      <c r="G55">
        <v>1.26816376973342</v>
      </c>
      <c r="H55">
        <v>3E+20</v>
      </c>
      <c r="I55">
        <v>0</v>
      </c>
      <c r="J55">
        <v>18.320581850236898</v>
      </c>
      <c r="K55">
        <v>2429</v>
      </c>
      <c r="L55" t="str">
        <f>DiscreteStatsTable[[#This Row],[ProjectName]]&amp;DiscreteStatsTable[[#This Row],[Name]]&amp;DiscreteStatsTable[[#This Row],[Type]]&amp;DiscreteStatsTable[[#This Row],[Source]]</f>
        <v>PacientesEntity 1Wait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0.86965903596573602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0.21433022753287986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0.58431254303614699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1.42140669319588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28.983199492767199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5">
        <f>IF((DiscreteStatsTable[[#This Row],[RepsRequested]]&gt;1),DiscreteStatsTable[[#This Row],[HalfWidth]],DiscreteStatsTable[[#This Row],[BatchMeansHalfWidth]])</f>
        <v>6.0911976702528743E-2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131</v>
      </c>
      <c r="C56">
        <v>10</v>
      </c>
      <c r="D56" t="s">
        <v>70</v>
      </c>
      <c r="E56" t="s">
        <v>71</v>
      </c>
      <c r="F56" t="s">
        <v>72</v>
      </c>
      <c r="G56">
        <v>0</v>
      </c>
      <c r="H56">
        <v>0</v>
      </c>
      <c r="I56">
        <v>0</v>
      </c>
      <c r="J56">
        <v>0</v>
      </c>
      <c r="K56">
        <v>2502</v>
      </c>
      <c r="L56" t="str">
        <f>DiscreteStatsTable[[#This Row],[ProjectName]]&amp;DiscreteStatsTable[[#This Row],[Name]]&amp;DiscreteStatsTable[[#This Row],[Type]]&amp;DiscreteStatsTable[[#This Row],[Source]]</f>
        <v>PacientesEntity 1NVA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131</v>
      </c>
      <c r="C57">
        <v>10</v>
      </c>
      <c r="D57" t="s">
        <v>70</v>
      </c>
      <c r="E57" t="s">
        <v>73</v>
      </c>
      <c r="F57" t="s">
        <v>72</v>
      </c>
      <c r="G57">
        <v>0</v>
      </c>
      <c r="H57">
        <v>0</v>
      </c>
      <c r="I57">
        <v>0</v>
      </c>
      <c r="J57">
        <v>0</v>
      </c>
      <c r="K57">
        <v>2502</v>
      </c>
      <c r="L57" t="str">
        <f>DiscreteStatsTable[[#This Row],[ProjectName]]&amp;DiscreteStatsTable[[#This Row],[Name]]&amp;DiscreteStatsTable[[#This Row],[Type]]&amp;DiscreteStatsTable[[#This Row],[Source]]</f>
        <v>PacientesEntity 1Other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131</v>
      </c>
      <c r="C58">
        <v>10</v>
      </c>
      <c r="D58" t="s">
        <v>70</v>
      </c>
      <c r="E58" t="s">
        <v>74</v>
      </c>
      <c r="F58" t="s">
        <v>72</v>
      </c>
      <c r="G58">
        <v>1.68679802162334</v>
      </c>
      <c r="H58">
        <v>0.31050581323780102</v>
      </c>
      <c r="I58">
        <v>0.24344814900564399</v>
      </c>
      <c r="J58">
        <v>18.334100703269801</v>
      </c>
      <c r="K58">
        <v>2502</v>
      </c>
      <c r="L58" t="str">
        <f>DiscreteStatsTable[[#This Row],[ProjectName]]&amp;DiscreteStatsTable[[#This Row],[Name]]&amp;DiscreteStatsTable[[#This Row],[Type]]&amp;DiscreteStatsTable[[#This Row],[Source]]</f>
        <v>PacientesEntity 1Total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1.5029966070875795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1.21830768607881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2.06387223343107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0.203133309337034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29.554686467573401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8">
        <f>IF((DiscreteStatsTable[[#This Row],[RepsRequested]]&gt;1),DiscreteStatsTable[[#This Row],[HalfWidth]],DiscreteStatsTable[[#This Row],[BatchMeansHalfWidth]])</f>
        <v>6.1205265903720704E-2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131</v>
      </c>
      <c r="C59">
        <v>10</v>
      </c>
      <c r="D59" t="s">
        <v>70</v>
      </c>
      <c r="E59" t="s">
        <v>75</v>
      </c>
      <c r="F59" t="s">
        <v>72</v>
      </c>
      <c r="G59">
        <v>0</v>
      </c>
      <c r="H59">
        <v>0</v>
      </c>
      <c r="I59">
        <v>0</v>
      </c>
      <c r="J59">
        <v>0</v>
      </c>
      <c r="K59">
        <v>2502</v>
      </c>
      <c r="L59" t="str">
        <f>DiscreteStatsTable[[#This Row],[ProjectName]]&amp;DiscreteStatsTable[[#This Row],[Name]]&amp;DiscreteStatsTable[[#This Row],[Type]]&amp;DiscreteStatsTable[[#This Row],[Source]]</f>
        <v>PacientesEntity 1Transfer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131</v>
      </c>
      <c r="C60">
        <v>10</v>
      </c>
      <c r="D60" t="s">
        <v>70</v>
      </c>
      <c r="E60" t="s">
        <v>76</v>
      </c>
      <c r="F60" t="s">
        <v>72</v>
      </c>
      <c r="G60">
        <v>0.630525208810092</v>
      </c>
      <c r="H60">
        <v>1.02667409011729E-2</v>
      </c>
      <c r="I60">
        <v>0.24344814900564399</v>
      </c>
      <c r="J60">
        <v>1.58899663566206</v>
      </c>
      <c r="K60">
        <v>2502</v>
      </c>
      <c r="L60" t="str">
        <f>DiscreteStatsTable[[#This Row],[ProjectName]]&amp;DiscreteStatsTable[[#This Row],[Name]]&amp;DiscreteStatsTable[[#This Row],[Type]]&amp;DiscreteStatsTable[[#This Row],[Source]]</f>
        <v>PacientesEntity 1VA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0.63333757112184219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0.62319357082308402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0.64452003514622502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0.203133309337034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1.5939517145847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0">
        <f>IF((DiscreteStatsTable[[#This Row],[RepsRequested]]&gt;1),DiscreteStatsTable[[#This Row],[HalfWidth]],DiscreteStatsTable[[#This Row],[BatchMeansHalfWidth]])</f>
        <v>1.276828436655964E-3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131</v>
      </c>
      <c r="C61">
        <v>10</v>
      </c>
      <c r="D61" t="s">
        <v>70</v>
      </c>
      <c r="E61" t="s">
        <v>77</v>
      </c>
      <c r="F61" t="s">
        <v>72</v>
      </c>
      <c r="G61">
        <v>1.0562728128132499</v>
      </c>
      <c r="H61">
        <v>0.310491967212567</v>
      </c>
      <c r="I61">
        <v>0</v>
      </c>
      <c r="J61">
        <v>17.838706874162298</v>
      </c>
      <c r="K61">
        <v>2502</v>
      </c>
      <c r="L61" t="str">
        <f>DiscreteStatsTable[[#This Row],[ProjectName]]&amp;DiscreteStatsTable[[#This Row],[Name]]&amp;DiscreteStatsTable[[#This Row],[Type]]&amp;DiscreteStatsTable[[#This Row],[Source]]</f>
        <v>PacientesEntity 1Wait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0.86965903596573602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0.21433022753287986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0.58431254303614699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1.42140669319588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28.983199492767199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1">
        <f>IF((DiscreteStatsTable[[#This Row],[RepsRequested]]&gt;1),DiscreteStatsTable[[#This Row],[HalfWidth]],DiscreteStatsTable[[#This Row],[BatchMeansHalfWidth]])</f>
        <v>6.0911976702528743E-2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131</v>
      </c>
      <c r="C62">
        <v>11</v>
      </c>
      <c r="D62" t="s">
        <v>70</v>
      </c>
      <c r="E62" t="s">
        <v>71</v>
      </c>
      <c r="F62" t="s">
        <v>72</v>
      </c>
      <c r="G62">
        <v>0</v>
      </c>
      <c r="H62">
        <v>0</v>
      </c>
      <c r="I62">
        <v>0</v>
      </c>
      <c r="J62">
        <v>0</v>
      </c>
      <c r="K62">
        <v>2446</v>
      </c>
      <c r="L62" t="str">
        <f>DiscreteStatsTable[[#This Row],[ProjectName]]&amp;DiscreteStatsTable[[#This Row],[Name]]&amp;DiscreteStatsTable[[#This Row],[Type]]&amp;DiscreteStatsTable[[#This Row],[Source]]</f>
        <v>PacientesEntity 1NVA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131</v>
      </c>
      <c r="C63">
        <v>11</v>
      </c>
      <c r="D63" t="s">
        <v>70</v>
      </c>
      <c r="E63" t="s">
        <v>73</v>
      </c>
      <c r="F63" t="s">
        <v>72</v>
      </c>
      <c r="G63">
        <v>0</v>
      </c>
      <c r="H63">
        <v>0</v>
      </c>
      <c r="I63">
        <v>0</v>
      </c>
      <c r="J63">
        <v>0</v>
      </c>
      <c r="K63">
        <v>2446</v>
      </c>
      <c r="L63" t="str">
        <f>DiscreteStatsTable[[#This Row],[ProjectName]]&amp;DiscreteStatsTable[[#This Row],[Name]]&amp;DiscreteStatsTable[[#This Row],[Type]]&amp;DiscreteStatsTable[[#This Row],[Source]]</f>
        <v>PacientesEntity 1Other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131</v>
      </c>
      <c r="C64">
        <v>11</v>
      </c>
      <c r="D64" t="s">
        <v>70</v>
      </c>
      <c r="E64" t="s">
        <v>74</v>
      </c>
      <c r="F64" t="s">
        <v>72</v>
      </c>
      <c r="G64">
        <v>1.5461174275696401</v>
      </c>
      <c r="H64">
        <v>0.365667892712982</v>
      </c>
      <c r="I64">
        <v>0.25291142575252901</v>
      </c>
      <c r="J64">
        <v>17.454852447716402</v>
      </c>
      <c r="K64">
        <v>2446</v>
      </c>
      <c r="L64" t="str">
        <f>DiscreteStatsTable[[#This Row],[ProjectName]]&amp;DiscreteStatsTable[[#This Row],[Name]]&amp;DiscreteStatsTable[[#This Row],[Type]]&amp;DiscreteStatsTable[[#This Row],[Source]]</f>
        <v>PacientesEntity 1Total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1.5029966070875795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1.21830768607881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2.06387223343107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0.203133309337034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29.554686467573401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4">
        <f>IF((DiscreteStatsTable[[#This Row],[RepsRequested]]&gt;1),DiscreteStatsTable[[#This Row],[HalfWidth]],DiscreteStatsTable[[#This Row],[BatchMeansHalfWidth]])</f>
        <v>6.1205265903720704E-2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131</v>
      </c>
      <c r="C65">
        <v>11</v>
      </c>
      <c r="D65" t="s">
        <v>70</v>
      </c>
      <c r="E65" t="s">
        <v>75</v>
      </c>
      <c r="F65" t="s">
        <v>72</v>
      </c>
      <c r="G65">
        <v>0</v>
      </c>
      <c r="H65">
        <v>0</v>
      </c>
      <c r="I65">
        <v>0</v>
      </c>
      <c r="J65">
        <v>0</v>
      </c>
      <c r="K65">
        <v>2446</v>
      </c>
      <c r="L65" t="str">
        <f>DiscreteStatsTable[[#This Row],[ProjectName]]&amp;DiscreteStatsTable[[#This Row],[Name]]&amp;DiscreteStatsTable[[#This Row],[Type]]&amp;DiscreteStatsTable[[#This Row],[Source]]</f>
        <v>PacientesEntity 1Transfer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131</v>
      </c>
      <c r="C66">
        <v>11</v>
      </c>
      <c r="D66" t="s">
        <v>70</v>
      </c>
      <c r="E66" t="s">
        <v>76</v>
      </c>
      <c r="F66" t="s">
        <v>72</v>
      </c>
      <c r="G66">
        <v>0.62888765006771596</v>
      </c>
      <c r="H66">
        <v>1.19808637642229E-2</v>
      </c>
      <c r="I66">
        <v>0.22500569688611599</v>
      </c>
      <c r="J66">
        <v>1.5492412223048</v>
      </c>
      <c r="K66">
        <v>2446</v>
      </c>
      <c r="L66" t="str">
        <f>DiscreteStatsTable[[#This Row],[ProjectName]]&amp;DiscreteStatsTable[[#This Row],[Name]]&amp;DiscreteStatsTable[[#This Row],[Type]]&amp;DiscreteStatsTable[[#This Row],[Source]]</f>
        <v>PacientesEntity 1VA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0.63333757112184219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0.62319357082308402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0.64452003514622502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0.203133309337034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1.5939517145847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6">
        <f>IF((DiscreteStatsTable[[#This Row],[RepsRequested]]&gt;1),DiscreteStatsTable[[#This Row],[HalfWidth]],DiscreteStatsTable[[#This Row],[BatchMeansHalfWidth]])</f>
        <v>1.276828436655964E-3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131</v>
      </c>
      <c r="C67">
        <v>11</v>
      </c>
      <c r="D67" t="s">
        <v>70</v>
      </c>
      <c r="E67" t="s">
        <v>77</v>
      </c>
      <c r="F67" t="s">
        <v>72</v>
      </c>
      <c r="G67">
        <v>0.91722977750192902</v>
      </c>
      <c r="H67">
        <v>0.36547477884247098</v>
      </c>
      <c r="I67">
        <v>0</v>
      </c>
      <c r="J67">
        <v>17.010629711953001</v>
      </c>
      <c r="K67">
        <v>2446</v>
      </c>
      <c r="L67" t="str">
        <f>DiscreteStatsTable[[#This Row],[ProjectName]]&amp;DiscreteStatsTable[[#This Row],[Name]]&amp;DiscreteStatsTable[[#This Row],[Type]]&amp;DiscreteStatsTable[[#This Row],[Source]]</f>
        <v>PacientesEntity 1Wait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0.86965903596573602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0.21433022753287986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0.58431254303614699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1.42140669319588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28.983199492767199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7">
        <f>IF((DiscreteStatsTable[[#This Row],[RepsRequested]]&gt;1),DiscreteStatsTable[[#This Row],[HalfWidth]],DiscreteStatsTable[[#This Row],[BatchMeansHalfWidth]])</f>
        <v>6.0911976702528743E-2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131</v>
      </c>
      <c r="C68">
        <v>12</v>
      </c>
      <c r="D68" t="s">
        <v>70</v>
      </c>
      <c r="E68" t="s">
        <v>71</v>
      </c>
      <c r="F68" t="s">
        <v>72</v>
      </c>
      <c r="G68">
        <v>0</v>
      </c>
      <c r="H68">
        <v>0</v>
      </c>
      <c r="I68">
        <v>0</v>
      </c>
      <c r="J68">
        <v>0</v>
      </c>
      <c r="K68">
        <v>2400</v>
      </c>
      <c r="L68" t="str">
        <f>DiscreteStatsTable[[#This Row],[ProjectName]]&amp;DiscreteStatsTable[[#This Row],[Name]]&amp;DiscreteStatsTable[[#This Row],[Type]]&amp;DiscreteStatsTable[[#This Row],[Source]]</f>
        <v>PacientesEntity 1NVA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131</v>
      </c>
      <c r="C69">
        <v>12</v>
      </c>
      <c r="D69" t="s">
        <v>70</v>
      </c>
      <c r="E69" t="s">
        <v>73</v>
      </c>
      <c r="F69" t="s">
        <v>72</v>
      </c>
      <c r="G69">
        <v>0</v>
      </c>
      <c r="H69">
        <v>0</v>
      </c>
      <c r="I69">
        <v>0</v>
      </c>
      <c r="J69">
        <v>0</v>
      </c>
      <c r="K69">
        <v>2400</v>
      </c>
      <c r="L69" t="str">
        <f>DiscreteStatsTable[[#This Row],[ProjectName]]&amp;DiscreteStatsTable[[#This Row],[Name]]&amp;DiscreteStatsTable[[#This Row],[Type]]&amp;DiscreteStatsTable[[#This Row],[Source]]</f>
        <v>PacientesEntity 1Other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131</v>
      </c>
      <c r="C70">
        <v>12</v>
      </c>
      <c r="D70" t="s">
        <v>70</v>
      </c>
      <c r="E70" t="s">
        <v>74</v>
      </c>
      <c r="F70" t="s">
        <v>72</v>
      </c>
      <c r="G70">
        <v>1.7141539297874</v>
      </c>
      <c r="H70">
        <v>0.29086539711008402</v>
      </c>
      <c r="I70">
        <v>0.26404548710593201</v>
      </c>
      <c r="J70">
        <v>15.072334208210499</v>
      </c>
      <c r="K70">
        <v>2400</v>
      </c>
      <c r="L70" t="str">
        <f>DiscreteStatsTable[[#This Row],[ProjectName]]&amp;DiscreteStatsTable[[#This Row],[Name]]&amp;DiscreteStatsTable[[#This Row],[Type]]&amp;DiscreteStatsTable[[#This Row],[Source]]</f>
        <v>PacientesEntity 1Total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1.5029966070875795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1.21830768607881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2.06387223343107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0.203133309337034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29.554686467573401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0">
        <f>IF((DiscreteStatsTable[[#This Row],[RepsRequested]]&gt;1),DiscreteStatsTable[[#This Row],[HalfWidth]],DiscreteStatsTable[[#This Row],[BatchMeansHalfWidth]])</f>
        <v>6.1205265903720704E-2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131</v>
      </c>
      <c r="C71">
        <v>12</v>
      </c>
      <c r="D71" t="s">
        <v>70</v>
      </c>
      <c r="E71" t="s">
        <v>75</v>
      </c>
      <c r="F71" t="s">
        <v>72</v>
      </c>
      <c r="G71">
        <v>0</v>
      </c>
      <c r="H71">
        <v>0</v>
      </c>
      <c r="I71">
        <v>0</v>
      </c>
      <c r="J71">
        <v>0</v>
      </c>
      <c r="K71">
        <v>2400</v>
      </c>
      <c r="L71" t="str">
        <f>DiscreteStatsTable[[#This Row],[ProjectName]]&amp;DiscreteStatsTable[[#This Row],[Name]]&amp;DiscreteStatsTable[[#This Row],[Type]]&amp;DiscreteStatsTable[[#This Row],[Source]]</f>
        <v>PacientesEntity 1Transfer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131</v>
      </c>
      <c r="C72">
        <v>12</v>
      </c>
      <c r="D72" t="s">
        <v>70</v>
      </c>
      <c r="E72" t="s">
        <v>76</v>
      </c>
      <c r="F72" t="s">
        <v>72</v>
      </c>
      <c r="G72">
        <v>0.64252733232259496</v>
      </c>
      <c r="H72">
        <v>1.32837389880352E-2</v>
      </c>
      <c r="I72">
        <v>0.23997313981732299</v>
      </c>
      <c r="J72">
        <v>1.58846123926355</v>
      </c>
      <c r="K72">
        <v>2400</v>
      </c>
      <c r="L72" t="str">
        <f>DiscreteStatsTable[[#This Row],[ProjectName]]&amp;DiscreteStatsTable[[#This Row],[Name]]&amp;DiscreteStatsTable[[#This Row],[Type]]&amp;DiscreteStatsTable[[#This Row],[Source]]</f>
        <v>PacientesEntity 1VA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0.63333757112184219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0.62319357082308402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0.64452003514622502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0.203133309337034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1.5939517145847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">
        <f>IF((DiscreteStatsTable[[#This Row],[RepsRequested]]&gt;1),DiscreteStatsTable[[#This Row],[HalfWidth]],DiscreteStatsTable[[#This Row],[BatchMeansHalfWidth]])</f>
        <v>1.276828436655964E-3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131</v>
      </c>
      <c r="C73">
        <v>12</v>
      </c>
      <c r="D73" t="s">
        <v>70</v>
      </c>
      <c r="E73" t="s">
        <v>77</v>
      </c>
      <c r="F73" t="s">
        <v>72</v>
      </c>
      <c r="G73">
        <v>1.0716265974648</v>
      </c>
      <c r="H73">
        <v>0.28881688602947098</v>
      </c>
      <c r="I73">
        <v>0</v>
      </c>
      <c r="J73">
        <v>14.568521981048001</v>
      </c>
      <c r="K73">
        <v>2400</v>
      </c>
      <c r="L73" t="str">
        <f>DiscreteStatsTable[[#This Row],[ProjectName]]&amp;DiscreteStatsTable[[#This Row],[Name]]&amp;DiscreteStatsTable[[#This Row],[Type]]&amp;DiscreteStatsTable[[#This Row],[Source]]</f>
        <v>PacientesEntity 1Wait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0.86965903596573602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0.21433022753287986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0.58431254303614699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1.42140669319588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28.983199492767199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">
        <f>IF((DiscreteStatsTable[[#This Row],[RepsRequested]]&gt;1),DiscreteStatsTable[[#This Row],[HalfWidth]],DiscreteStatsTable[[#This Row],[BatchMeansHalfWidth]])</f>
        <v>6.0911976702528743E-2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131</v>
      </c>
      <c r="C74">
        <v>13</v>
      </c>
      <c r="D74" t="s">
        <v>70</v>
      </c>
      <c r="E74" t="s">
        <v>71</v>
      </c>
      <c r="F74" t="s">
        <v>72</v>
      </c>
      <c r="G74">
        <v>0</v>
      </c>
      <c r="H74">
        <v>0</v>
      </c>
      <c r="I74">
        <v>0</v>
      </c>
      <c r="J74">
        <v>0</v>
      </c>
      <c r="K74">
        <v>2406</v>
      </c>
      <c r="L74" t="str">
        <f>DiscreteStatsTable[[#This Row],[ProjectName]]&amp;DiscreteStatsTable[[#This Row],[Name]]&amp;DiscreteStatsTable[[#This Row],[Type]]&amp;DiscreteStatsTable[[#This Row],[Source]]</f>
        <v>PacientesEntity 1NVA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131</v>
      </c>
      <c r="C75">
        <v>13</v>
      </c>
      <c r="D75" t="s">
        <v>70</v>
      </c>
      <c r="E75" t="s">
        <v>73</v>
      </c>
      <c r="F75" t="s">
        <v>72</v>
      </c>
      <c r="G75">
        <v>0</v>
      </c>
      <c r="H75">
        <v>0</v>
      </c>
      <c r="I75">
        <v>0</v>
      </c>
      <c r="J75">
        <v>0</v>
      </c>
      <c r="K75">
        <v>2406</v>
      </c>
      <c r="L75" t="str">
        <f>DiscreteStatsTable[[#This Row],[ProjectName]]&amp;DiscreteStatsTable[[#This Row],[Name]]&amp;DiscreteStatsTable[[#This Row],[Type]]&amp;DiscreteStatsTable[[#This Row],[Source]]</f>
        <v>PacientesEntity 1Other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131</v>
      </c>
      <c r="C76">
        <v>13</v>
      </c>
      <c r="D76" t="s">
        <v>70</v>
      </c>
      <c r="E76" t="s">
        <v>74</v>
      </c>
      <c r="F76" t="s">
        <v>72</v>
      </c>
      <c r="G76">
        <v>1.4246960564115601</v>
      </c>
      <c r="H76">
        <v>0.238181521223012</v>
      </c>
      <c r="I76">
        <v>0.27081192516368402</v>
      </c>
      <c r="J76">
        <v>13.594601015219199</v>
      </c>
      <c r="K76">
        <v>2406</v>
      </c>
      <c r="L76" t="str">
        <f>DiscreteStatsTable[[#This Row],[ProjectName]]&amp;DiscreteStatsTable[[#This Row],[Name]]&amp;DiscreteStatsTable[[#This Row],[Type]]&amp;DiscreteStatsTable[[#This Row],[Source]]</f>
        <v>PacientesEntity 1Total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1.5029966070875795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1.21830768607881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2.06387223343107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0.203133309337034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29.554686467573401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6">
        <f>IF((DiscreteStatsTable[[#This Row],[RepsRequested]]&gt;1),DiscreteStatsTable[[#This Row],[HalfWidth]],DiscreteStatsTable[[#This Row],[BatchMeansHalfWidth]])</f>
        <v>6.1205265903720704E-2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131</v>
      </c>
      <c r="C77">
        <v>13</v>
      </c>
      <c r="D77" t="s">
        <v>70</v>
      </c>
      <c r="E77" t="s">
        <v>75</v>
      </c>
      <c r="F77" t="s">
        <v>72</v>
      </c>
      <c r="G77">
        <v>0</v>
      </c>
      <c r="H77">
        <v>0</v>
      </c>
      <c r="I77">
        <v>0</v>
      </c>
      <c r="J77">
        <v>0</v>
      </c>
      <c r="K77">
        <v>2406</v>
      </c>
      <c r="L77" t="str">
        <f>DiscreteStatsTable[[#This Row],[ProjectName]]&amp;DiscreteStatsTable[[#This Row],[Name]]&amp;DiscreteStatsTable[[#This Row],[Type]]&amp;DiscreteStatsTable[[#This Row],[Source]]</f>
        <v>PacientesEntity 1Transfer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131</v>
      </c>
      <c r="C78">
        <v>13</v>
      </c>
      <c r="D78" t="s">
        <v>70</v>
      </c>
      <c r="E78" t="s">
        <v>76</v>
      </c>
      <c r="F78" t="s">
        <v>72</v>
      </c>
      <c r="G78">
        <v>0.631531448370662</v>
      </c>
      <c r="H78">
        <v>1.14409865412351E-2</v>
      </c>
      <c r="I78">
        <v>0.22679047285572601</v>
      </c>
      <c r="J78">
        <v>1.57001723309213</v>
      </c>
      <c r="K78">
        <v>2406</v>
      </c>
      <c r="L78" t="str">
        <f>DiscreteStatsTable[[#This Row],[ProjectName]]&amp;DiscreteStatsTable[[#This Row],[Name]]&amp;DiscreteStatsTable[[#This Row],[Type]]&amp;DiscreteStatsTable[[#This Row],[Source]]</f>
        <v>PacientesEntity 1VA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0.63333757112184219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0.62319357082308402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0.64452003514622502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0.203133309337034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1.5939517145847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8">
        <f>IF((DiscreteStatsTable[[#This Row],[RepsRequested]]&gt;1),DiscreteStatsTable[[#This Row],[HalfWidth]],DiscreteStatsTable[[#This Row],[BatchMeansHalfWidth]])</f>
        <v>1.276828436655964E-3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131</v>
      </c>
      <c r="C79">
        <v>13</v>
      </c>
      <c r="D79" t="s">
        <v>70</v>
      </c>
      <c r="E79" t="s">
        <v>77</v>
      </c>
      <c r="F79" t="s">
        <v>72</v>
      </c>
      <c r="G79">
        <v>0.79316460804089395</v>
      </c>
      <c r="H79">
        <v>0.23752605611385899</v>
      </c>
      <c r="I79">
        <v>0</v>
      </c>
      <c r="J79">
        <v>13.053026296216</v>
      </c>
      <c r="K79">
        <v>2406</v>
      </c>
      <c r="L79" t="str">
        <f>DiscreteStatsTable[[#This Row],[ProjectName]]&amp;DiscreteStatsTable[[#This Row],[Name]]&amp;DiscreteStatsTable[[#This Row],[Type]]&amp;DiscreteStatsTable[[#This Row],[Source]]</f>
        <v>PacientesEntity 1Wait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0.86965903596573602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0.21433022753287986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0.58431254303614699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1.42140669319588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28.983199492767199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9">
        <f>IF((DiscreteStatsTable[[#This Row],[RepsRequested]]&gt;1),DiscreteStatsTable[[#This Row],[HalfWidth]],DiscreteStatsTable[[#This Row],[BatchMeansHalfWidth]])</f>
        <v>6.0911976702528743E-2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131</v>
      </c>
      <c r="C80">
        <v>14</v>
      </c>
      <c r="D80" t="s">
        <v>70</v>
      </c>
      <c r="E80" t="s">
        <v>71</v>
      </c>
      <c r="F80" t="s">
        <v>72</v>
      </c>
      <c r="G80">
        <v>0</v>
      </c>
      <c r="H80">
        <v>0</v>
      </c>
      <c r="I80">
        <v>0</v>
      </c>
      <c r="J80">
        <v>0</v>
      </c>
      <c r="K80">
        <v>2370</v>
      </c>
      <c r="L80" t="str">
        <f>DiscreteStatsTable[[#This Row],[ProjectName]]&amp;DiscreteStatsTable[[#This Row],[Name]]&amp;DiscreteStatsTable[[#This Row],[Type]]&amp;DiscreteStatsTable[[#This Row],[Source]]</f>
        <v>PacientesEntity 1NVA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131</v>
      </c>
      <c r="C81">
        <v>14</v>
      </c>
      <c r="D81" t="s">
        <v>70</v>
      </c>
      <c r="E81" t="s">
        <v>73</v>
      </c>
      <c r="F81" t="s">
        <v>72</v>
      </c>
      <c r="G81">
        <v>0</v>
      </c>
      <c r="H81">
        <v>0</v>
      </c>
      <c r="I81">
        <v>0</v>
      </c>
      <c r="J81">
        <v>0</v>
      </c>
      <c r="K81">
        <v>2370</v>
      </c>
      <c r="L81" t="str">
        <f>DiscreteStatsTable[[#This Row],[ProjectName]]&amp;DiscreteStatsTable[[#This Row],[Name]]&amp;DiscreteStatsTable[[#This Row],[Type]]&amp;DiscreteStatsTable[[#This Row],[Source]]</f>
        <v>PacientesEntity 1Other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131</v>
      </c>
      <c r="C82">
        <v>14</v>
      </c>
      <c r="D82" t="s">
        <v>70</v>
      </c>
      <c r="E82" t="s">
        <v>74</v>
      </c>
      <c r="F82" t="s">
        <v>72</v>
      </c>
      <c r="G82">
        <v>1.4071991674147599</v>
      </c>
      <c r="H82">
        <v>3E+20</v>
      </c>
      <c r="I82">
        <v>0.23269038907210399</v>
      </c>
      <c r="J82">
        <v>14.155157162755</v>
      </c>
      <c r="K82">
        <v>2370</v>
      </c>
      <c r="L82" t="str">
        <f>DiscreteStatsTable[[#This Row],[ProjectName]]&amp;DiscreteStatsTable[[#This Row],[Name]]&amp;DiscreteStatsTable[[#This Row],[Type]]&amp;DiscreteStatsTable[[#This Row],[Source]]</f>
        <v>PacientesEntity 1Total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1.5029966070875795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1.21830768607881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2.06387223343107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0.203133309337034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29.554686467573401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2">
        <f>IF((DiscreteStatsTable[[#This Row],[RepsRequested]]&gt;1),DiscreteStatsTable[[#This Row],[HalfWidth]],DiscreteStatsTable[[#This Row],[BatchMeansHalfWidth]])</f>
        <v>6.1205265903720704E-2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131</v>
      </c>
      <c r="C83">
        <v>14</v>
      </c>
      <c r="D83" t="s">
        <v>70</v>
      </c>
      <c r="E83" t="s">
        <v>75</v>
      </c>
      <c r="F83" t="s">
        <v>72</v>
      </c>
      <c r="G83">
        <v>0</v>
      </c>
      <c r="H83">
        <v>0</v>
      </c>
      <c r="I83">
        <v>0</v>
      </c>
      <c r="J83">
        <v>0</v>
      </c>
      <c r="K83">
        <v>2370</v>
      </c>
      <c r="L83" t="str">
        <f>DiscreteStatsTable[[#This Row],[ProjectName]]&amp;DiscreteStatsTable[[#This Row],[Name]]&amp;DiscreteStatsTable[[#This Row],[Type]]&amp;DiscreteStatsTable[[#This Row],[Source]]</f>
        <v>PacientesEntity 1Transfer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131</v>
      </c>
      <c r="C84">
        <v>14</v>
      </c>
      <c r="D84" t="s">
        <v>70</v>
      </c>
      <c r="E84" t="s">
        <v>76</v>
      </c>
      <c r="F84" t="s">
        <v>72</v>
      </c>
      <c r="G84">
        <v>0.63612959408587699</v>
      </c>
      <c r="H84">
        <v>3E+20</v>
      </c>
      <c r="I84">
        <v>0.218565213069041</v>
      </c>
      <c r="J84">
        <v>1.5623631887578999</v>
      </c>
      <c r="K84">
        <v>2370</v>
      </c>
      <c r="L84" t="str">
        <f>DiscreteStatsTable[[#This Row],[ProjectName]]&amp;DiscreteStatsTable[[#This Row],[Name]]&amp;DiscreteStatsTable[[#This Row],[Type]]&amp;DiscreteStatsTable[[#This Row],[Source]]</f>
        <v>PacientesEntity 1VA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0.63333757112184219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0.62319357082308402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0.64452003514622502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0.203133309337034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1.5939517145847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4">
        <f>IF((DiscreteStatsTable[[#This Row],[RepsRequested]]&gt;1),DiscreteStatsTable[[#This Row],[HalfWidth]],DiscreteStatsTable[[#This Row],[BatchMeansHalfWidth]])</f>
        <v>1.276828436655964E-3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131</v>
      </c>
      <c r="C85">
        <v>14</v>
      </c>
      <c r="D85" t="s">
        <v>70</v>
      </c>
      <c r="E85" t="s">
        <v>77</v>
      </c>
      <c r="F85" t="s">
        <v>72</v>
      </c>
      <c r="G85">
        <v>0.77106957332888504</v>
      </c>
      <c r="H85">
        <v>3E+20</v>
      </c>
      <c r="I85">
        <v>0</v>
      </c>
      <c r="J85">
        <v>13.7803564164576</v>
      </c>
      <c r="K85">
        <v>2370</v>
      </c>
      <c r="L85" t="str">
        <f>DiscreteStatsTable[[#This Row],[ProjectName]]&amp;DiscreteStatsTable[[#This Row],[Name]]&amp;DiscreteStatsTable[[#This Row],[Type]]&amp;DiscreteStatsTable[[#This Row],[Source]]</f>
        <v>PacientesEntity 1Wait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0.86965903596573602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0.21433022753287986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0.58431254303614699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1.42140669319588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28.983199492767199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5">
        <f>IF((DiscreteStatsTable[[#This Row],[RepsRequested]]&gt;1),DiscreteStatsTable[[#This Row],[HalfWidth]],DiscreteStatsTable[[#This Row],[BatchMeansHalfWidth]])</f>
        <v>6.0911976702528743E-2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131</v>
      </c>
      <c r="C86">
        <v>15</v>
      </c>
      <c r="D86" t="s">
        <v>70</v>
      </c>
      <c r="E86" t="s">
        <v>71</v>
      </c>
      <c r="F86" t="s">
        <v>72</v>
      </c>
      <c r="G86">
        <v>0</v>
      </c>
      <c r="H86">
        <v>0</v>
      </c>
      <c r="I86">
        <v>0</v>
      </c>
      <c r="J86">
        <v>0</v>
      </c>
      <c r="K86">
        <v>2503</v>
      </c>
      <c r="L86" t="str">
        <f>DiscreteStatsTable[[#This Row],[ProjectName]]&amp;DiscreteStatsTable[[#This Row],[Name]]&amp;DiscreteStatsTable[[#This Row],[Type]]&amp;DiscreteStatsTable[[#This Row],[Source]]</f>
        <v>PacientesEntity 1NVA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131</v>
      </c>
      <c r="C87">
        <v>15</v>
      </c>
      <c r="D87" t="s">
        <v>70</v>
      </c>
      <c r="E87" t="s">
        <v>73</v>
      </c>
      <c r="F87" t="s">
        <v>72</v>
      </c>
      <c r="G87">
        <v>0</v>
      </c>
      <c r="H87">
        <v>0</v>
      </c>
      <c r="I87">
        <v>0</v>
      </c>
      <c r="J87">
        <v>0</v>
      </c>
      <c r="K87">
        <v>2503</v>
      </c>
      <c r="L87" t="str">
        <f>DiscreteStatsTable[[#This Row],[ProjectName]]&amp;DiscreteStatsTable[[#This Row],[Name]]&amp;DiscreteStatsTable[[#This Row],[Type]]&amp;DiscreteStatsTable[[#This Row],[Source]]</f>
        <v>PacientesEntity 1Other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131</v>
      </c>
      <c r="C88">
        <v>15</v>
      </c>
      <c r="D88" t="s">
        <v>70</v>
      </c>
      <c r="E88" t="s">
        <v>74</v>
      </c>
      <c r="F88" t="s">
        <v>72</v>
      </c>
      <c r="G88">
        <v>1.84495595309161</v>
      </c>
      <c r="H88">
        <v>0.369635139422824</v>
      </c>
      <c r="I88">
        <v>0.23983496785717801</v>
      </c>
      <c r="J88">
        <v>16.405426129444201</v>
      </c>
      <c r="K88">
        <v>2503</v>
      </c>
      <c r="L88" t="str">
        <f>DiscreteStatsTable[[#This Row],[ProjectName]]&amp;DiscreteStatsTable[[#This Row],[Name]]&amp;DiscreteStatsTable[[#This Row],[Type]]&amp;DiscreteStatsTable[[#This Row],[Source]]</f>
        <v>PacientesEntity 1Total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1.5029966070875795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1.21830768607881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2.06387223343107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0.203133309337034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29.554686467573401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8">
        <f>IF((DiscreteStatsTable[[#This Row],[RepsRequested]]&gt;1),DiscreteStatsTable[[#This Row],[HalfWidth]],DiscreteStatsTable[[#This Row],[BatchMeansHalfWidth]])</f>
        <v>6.1205265903720704E-2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131</v>
      </c>
      <c r="C89">
        <v>15</v>
      </c>
      <c r="D89" t="s">
        <v>70</v>
      </c>
      <c r="E89" t="s">
        <v>75</v>
      </c>
      <c r="F89" t="s">
        <v>72</v>
      </c>
      <c r="G89">
        <v>0</v>
      </c>
      <c r="H89">
        <v>0</v>
      </c>
      <c r="I89">
        <v>0</v>
      </c>
      <c r="J89">
        <v>0</v>
      </c>
      <c r="K89">
        <v>2503</v>
      </c>
      <c r="L89" t="str">
        <f>DiscreteStatsTable[[#This Row],[ProjectName]]&amp;DiscreteStatsTable[[#This Row],[Name]]&amp;DiscreteStatsTable[[#This Row],[Type]]&amp;DiscreteStatsTable[[#This Row],[Source]]</f>
        <v>PacientesEntity 1Transfer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131</v>
      </c>
      <c r="C90">
        <v>15</v>
      </c>
      <c r="D90" t="s">
        <v>70</v>
      </c>
      <c r="E90" t="s">
        <v>76</v>
      </c>
      <c r="F90" t="s">
        <v>72</v>
      </c>
      <c r="G90">
        <v>0.63112185081377203</v>
      </c>
      <c r="H90">
        <v>1.24854779937648E-2</v>
      </c>
      <c r="I90">
        <v>0.221073013733424</v>
      </c>
      <c r="J90">
        <v>1.58304763024844</v>
      </c>
      <c r="K90">
        <v>2503</v>
      </c>
      <c r="L90" t="str">
        <f>DiscreteStatsTable[[#This Row],[ProjectName]]&amp;DiscreteStatsTable[[#This Row],[Name]]&amp;DiscreteStatsTable[[#This Row],[Type]]&amp;DiscreteStatsTable[[#This Row],[Source]]</f>
        <v>PacientesEntity 1VA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0.63333757112184219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0.62319357082308402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0.64452003514622502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0.203133309337034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1.5939517145847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0">
        <f>IF((DiscreteStatsTable[[#This Row],[RepsRequested]]&gt;1),DiscreteStatsTable[[#This Row],[HalfWidth]],DiscreteStatsTable[[#This Row],[BatchMeansHalfWidth]])</f>
        <v>1.276828436655964E-3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131</v>
      </c>
      <c r="C91">
        <v>15</v>
      </c>
      <c r="D91" t="s">
        <v>70</v>
      </c>
      <c r="E91" t="s">
        <v>77</v>
      </c>
      <c r="F91" t="s">
        <v>72</v>
      </c>
      <c r="G91">
        <v>1.2138341022778301</v>
      </c>
      <c r="H91">
        <v>0.36898241908204998</v>
      </c>
      <c r="I91">
        <v>0</v>
      </c>
      <c r="J91">
        <v>16.0214899048745</v>
      </c>
      <c r="K91">
        <v>2503</v>
      </c>
      <c r="L91" t="str">
        <f>DiscreteStatsTable[[#This Row],[ProjectName]]&amp;DiscreteStatsTable[[#This Row],[Name]]&amp;DiscreteStatsTable[[#This Row],[Type]]&amp;DiscreteStatsTable[[#This Row],[Source]]</f>
        <v>PacientesEntity 1Wait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0.86965903596573602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0.21433022753287986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0.58431254303614699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1.42140669319588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28.983199492767199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1">
        <f>IF((DiscreteStatsTable[[#This Row],[RepsRequested]]&gt;1),DiscreteStatsTable[[#This Row],[HalfWidth]],DiscreteStatsTable[[#This Row],[BatchMeansHalfWidth]])</f>
        <v>6.0911976702528743E-2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131</v>
      </c>
      <c r="C92">
        <v>16</v>
      </c>
      <c r="D92" t="s">
        <v>70</v>
      </c>
      <c r="E92" t="s">
        <v>71</v>
      </c>
      <c r="F92" t="s">
        <v>72</v>
      </c>
      <c r="G92">
        <v>0</v>
      </c>
      <c r="H92">
        <v>0</v>
      </c>
      <c r="I92">
        <v>0</v>
      </c>
      <c r="J92">
        <v>0</v>
      </c>
      <c r="K92">
        <v>2358</v>
      </c>
      <c r="L92" t="str">
        <f>DiscreteStatsTable[[#This Row],[ProjectName]]&amp;DiscreteStatsTable[[#This Row],[Name]]&amp;DiscreteStatsTable[[#This Row],[Type]]&amp;DiscreteStatsTable[[#This Row],[Source]]</f>
        <v>PacientesEntity 1NVA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131</v>
      </c>
      <c r="C93">
        <v>16</v>
      </c>
      <c r="D93" t="s">
        <v>70</v>
      </c>
      <c r="E93" t="s">
        <v>73</v>
      </c>
      <c r="F93" t="s">
        <v>72</v>
      </c>
      <c r="G93">
        <v>0</v>
      </c>
      <c r="H93">
        <v>0</v>
      </c>
      <c r="I93">
        <v>0</v>
      </c>
      <c r="J93">
        <v>0</v>
      </c>
      <c r="K93">
        <v>2358</v>
      </c>
      <c r="L93" t="str">
        <f>DiscreteStatsTable[[#This Row],[ProjectName]]&amp;DiscreteStatsTable[[#This Row],[Name]]&amp;DiscreteStatsTable[[#This Row],[Type]]&amp;DiscreteStatsTable[[#This Row],[Source]]</f>
        <v>PacientesEntity 1Other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131</v>
      </c>
      <c r="C94">
        <v>16</v>
      </c>
      <c r="D94" t="s">
        <v>70</v>
      </c>
      <c r="E94" t="s">
        <v>74</v>
      </c>
      <c r="F94" t="s">
        <v>72</v>
      </c>
      <c r="G94">
        <v>1.8208771780639701</v>
      </c>
      <c r="H94">
        <v>3E+20</v>
      </c>
      <c r="I94">
        <v>0.24200645872957699</v>
      </c>
      <c r="J94">
        <v>22.449885649638201</v>
      </c>
      <c r="K94">
        <v>2358</v>
      </c>
      <c r="L94" t="str">
        <f>DiscreteStatsTable[[#This Row],[ProjectName]]&amp;DiscreteStatsTable[[#This Row],[Name]]&amp;DiscreteStatsTable[[#This Row],[Type]]&amp;DiscreteStatsTable[[#This Row],[Source]]</f>
        <v>PacientesEntity 1Total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1.5029966070875795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1.21830768607881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2.06387223343107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0.203133309337034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29.554686467573401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4">
        <f>IF((DiscreteStatsTable[[#This Row],[RepsRequested]]&gt;1),DiscreteStatsTable[[#This Row],[HalfWidth]],DiscreteStatsTable[[#This Row],[BatchMeansHalfWidth]])</f>
        <v>6.1205265903720704E-2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131</v>
      </c>
      <c r="C95">
        <v>16</v>
      </c>
      <c r="D95" t="s">
        <v>70</v>
      </c>
      <c r="E95" t="s">
        <v>75</v>
      </c>
      <c r="F95" t="s">
        <v>72</v>
      </c>
      <c r="G95">
        <v>0</v>
      </c>
      <c r="H95">
        <v>0</v>
      </c>
      <c r="I95">
        <v>0</v>
      </c>
      <c r="J95">
        <v>0</v>
      </c>
      <c r="K95">
        <v>2358</v>
      </c>
      <c r="L95" t="str">
        <f>DiscreteStatsTable[[#This Row],[ProjectName]]&amp;DiscreteStatsTable[[#This Row],[Name]]&amp;DiscreteStatsTable[[#This Row],[Type]]&amp;DiscreteStatsTable[[#This Row],[Source]]</f>
        <v>PacientesEntity 1Transfer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131</v>
      </c>
      <c r="C96">
        <v>16</v>
      </c>
      <c r="D96" t="s">
        <v>70</v>
      </c>
      <c r="E96" t="s">
        <v>76</v>
      </c>
      <c r="F96" t="s">
        <v>72</v>
      </c>
      <c r="G96">
        <v>0.63141175227142898</v>
      </c>
      <c r="H96">
        <v>9.1509489779300797E-3</v>
      </c>
      <c r="I96">
        <v>0.24200645872957699</v>
      </c>
      <c r="J96">
        <v>1.5404229619316501</v>
      </c>
      <c r="K96">
        <v>2358</v>
      </c>
      <c r="L96" t="str">
        <f>DiscreteStatsTable[[#This Row],[ProjectName]]&amp;DiscreteStatsTable[[#This Row],[Name]]&amp;DiscreteStatsTable[[#This Row],[Type]]&amp;DiscreteStatsTable[[#This Row],[Source]]</f>
        <v>PacientesEntity 1VA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0.63333757112184219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0.62319357082308402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0.64452003514622502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0.203133309337034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1.5939517145847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6">
        <f>IF((DiscreteStatsTable[[#This Row],[RepsRequested]]&gt;1),DiscreteStatsTable[[#This Row],[HalfWidth]],DiscreteStatsTable[[#This Row],[BatchMeansHalfWidth]])</f>
        <v>1.276828436655964E-3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131</v>
      </c>
      <c r="C97">
        <v>16</v>
      </c>
      <c r="D97" t="s">
        <v>70</v>
      </c>
      <c r="E97" t="s">
        <v>77</v>
      </c>
      <c r="F97" t="s">
        <v>72</v>
      </c>
      <c r="G97">
        <v>1.1894654257925401</v>
      </c>
      <c r="H97">
        <v>3E+20</v>
      </c>
      <c r="I97">
        <v>0</v>
      </c>
      <c r="J97">
        <v>21.971451775742299</v>
      </c>
      <c r="K97">
        <v>2358</v>
      </c>
      <c r="L97" t="str">
        <f>DiscreteStatsTable[[#This Row],[ProjectName]]&amp;DiscreteStatsTable[[#This Row],[Name]]&amp;DiscreteStatsTable[[#This Row],[Type]]&amp;DiscreteStatsTable[[#This Row],[Source]]</f>
        <v>PacientesEntity 1Wait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0.86965903596573602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0.21433022753287986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0.58431254303614699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1.42140669319588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28.983199492767199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7">
        <f>IF((DiscreteStatsTable[[#This Row],[RepsRequested]]&gt;1),DiscreteStatsTable[[#This Row],[HalfWidth]],DiscreteStatsTable[[#This Row],[BatchMeansHalfWidth]])</f>
        <v>6.0911976702528743E-2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131</v>
      </c>
      <c r="C98">
        <v>17</v>
      </c>
      <c r="D98" t="s">
        <v>70</v>
      </c>
      <c r="E98" t="s">
        <v>71</v>
      </c>
      <c r="F98" t="s">
        <v>72</v>
      </c>
      <c r="G98">
        <v>0</v>
      </c>
      <c r="H98">
        <v>0</v>
      </c>
      <c r="I98">
        <v>0</v>
      </c>
      <c r="J98">
        <v>0</v>
      </c>
      <c r="K98">
        <v>2381</v>
      </c>
      <c r="L98" t="str">
        <f>DiscreteStatsTable[[#This Row],[ProjectName]]&amp;DiscreteStatsTable[[#This Row],[Name]]&amp;DiscreteStatsTable[[#This Row],[Type]]&amp;DiscreteStatsTable[[#This Row],[Source]]</f>
        <v>PacientesEntity 1NVA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131</v>
      </c>
      <c r="C99">
        <v>17</v>
      </c>
      <c r="D99" t="s">
        <v>70</v>
      </c>
      <c r="E99" t="s">
        <v>73</v>
      </c>
      <c r="F99" t="s">
        <v>72</v>
      </c>
      <c r="G99">
        <v>0</v>
      </c>
      <c r="H99">
        <v>0</v>
      </c>
      <c r="I99">
        <v>0</v>
      </c>
      <c r="J99">
        <v>0</v>
      </c>
      <c r="K99">
        <v>2381</v>
      </c>
      <c r="L99" t="str">
        <f>DiscreteStatsTable[[#This Row],[ProjectName]]&amp;DiscreteStatsTable[[#This Row],[Name]]&amp;DiscreteStatsTable[[#This Row],[Type]]&amp;DiscreteStatsTable[[#This Row],[Source]]</f>
        <v>PacientesEntity 1Other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131</v>
      </c>
      <c r="C100">
        <v>17</v>
      </c>
      <c r="D100" t="s">
        <v>70</v>
      </c>
      <c r="E100" t="s">
        <v>74</v>
      </c>
      <c r="F100" t="s">
        <v>72</v>
      </c>
      <c r="G100">
        <v>1.36944296488853</v>
      </c>
      <c r="H100">
        <v>0.21040033889739701</v>
      </c>
      <c r="I100">
        <v>0.225434982354869</v>
      </c>
      <c r="J100">
        <v>10.653650381020601</v>
      </c>
      <c r="K100">
        <v>2381</v>
      </c>
      <c r="L100" t="str">
        <f>DiscreteStatsTable[[#This Row],[ProjectName]]&amp;DiscreteStatsTable[[#This Row],[Name]]&amp;DiscreteStatsTable[[#This Row],[Type]]&amp;DiscreteStatsTable[[#This Row],[Source]]</f>
        <v>PacientesEntity 1Total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1.5029966070875795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1.21830768607881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2.06387223343107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0.203133309337034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29.554686467573401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0">
        <f>IF((DiscreteStatsTable[[#This Row],[RepsRequested]]&gt;1),DiscreteStatsTable[[#This Row],[HalfWidth]],DiscreteStatsTable[[#This Row],[BatchMeansHalfWidth]])</f>
        <v>6.1205265903720704E-2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131</v>
      </c>
      <c r="C101">
        <v>17</v>
      </c>
      <c r="D101" t="s">
        <v>70</v>
      </c>
      <c r="E101" t="s">
        <v>75</v>
      </c>
      <c r="F101" t="s">
        <v>72</v>
      </c>
      <c r="G101">
        <v>0</v>
      </c>
      <c r="H101">
        <v>0</v>
      </c>
      <c r="I101">
        <v>0</v>
      </c>
      <c r="J101">
        <v>0</v>
      </c>
      <c r="K101">
        <v>2381</v>
      </c>
      <c r="L101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131</v>
      </c>
      <c r="C102">
        <v>17</v>
      </c>
      <c r="D102" t="s">
        <v>70</v>
      </c>
      <c r="E102" t="s">
        <v>76</v>
      </c>
      <c r="F102" t="s">
        <v>72</v>
      </c>
      <c r="G102">
        <v>0.63495443451040701</v>
      </c>
      <c r="H102">
        <v>1.17870823292763E-2</v>
      </c>
      <c r="I102">
        <v>0.225434982354869</v>
      </c>
      <c r="J102">
        <v>1.5720599353703599</v>
      </c>
      <c r="K102">
        <v>2381</v>
      </c>
      <c r="L102" t="str">
        <f>DiscreteStatsTable[[#This Row],[ProjectName]]&amp;DiscreteStatsTable[[#This Row],[Name]]&amp;DiscreteStatsTable[[#This Row],[Type]]&amp;DiscreteStatsTable[[#This Row],[Source]]</f>
        <v>PacientesEntity 1VA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0.63333757112184219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0.62319357082308402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0.64452003514622502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0.203133309337034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1.5939517145847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2">
        <f>IF((DiscreteStatsTable[[#This Row],[RepsRequested]]&gt;1),DiscreteStatsTable[[#This Row],[HalfWidth]],DiscreteStatsTable[[#This Row],[BatchMeansHalfWidth]])</f>
        <v>1.276828436655964E-3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131</v>
      </c>
      <c r="C103">
        <v>17</v>
      </c>
      <c r="D103" t="s">
        <v>70</v>
      </c>
      <c r="E103" t="s">
        <v>77</v>
      </c>
      <c r="F103" t="s">
        <v>72</v>
      </c>
      <c r="G103">
        <v>0.73448853037812101</v>
      </c>
      <c r="H103">
        <v>0.211684360718986</v>
      </c>
      <c r="I103">
        <v>0</v>
      </c>
      <c r="J103">
        <v>10.1664870836904</v>
      </c>
      <c r="K103">
        <v>2381</v>
      </c>
      <c r="L103" t="str">
        <f>DiscreteStatsTable[[#This Row],[ProjectName]]&amp;DiscreteStatsTable[[#This Row],[Name]]&amp;DiscreteStatsTable[[#This Row],[Type]]&amp;DiscreteStatsTable[[#This Row],[Source]]</f>
        <v>PacientesEntity 1Wait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0.86965903596573602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0.58431254303614699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1.42140669319588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28.983199492767199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3">
        <f>IF((DiscreteStatsTable[[#This Row],[RepsRequested]]&gt;1),DiscreteStatsTable[[#This Row],[HalfWidth]],DiscreteStatsTable[[#This Row],[BatchMeansHalfWidth]])</f>
        <v>6.0911976702528743E-2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131</v>
      </c>
      <c r="C104">
        <v>18</v>
      </c>
      <c r="D104" t="s">
        <v>70</v>
      </c>
      <c r="E104" t="s">
        <v>71</v>
      </c>
      <c r="F104" t="s">
        <v>72</v>
      </c>
      <c r="G104">
        <v>0</v>
      </c>
      <c r="H104">
        <v>0</v>
      </c>
      <c r="I104">
        <v>0</v>
      </c>
      <c r="J104">
        <v>0</v>
      </c>
      <c r="K104">
        <v>2349</v>
      </c>
      <c r="L104" t="str">
        <f>DiscreteStatsTable[[#This Row],[ProjectName]]&amp;DiscreteStatsTable[[#This Row],[Name]]&amp;DiscreteStatsTable[[#This Row],[Type]]&amp;DiscreteStatsTable[[#This Row],[Source]]</f>
        <v>PacientesEntity 1NVA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131</v>
      </c>
      <c r="C105">
        <v>18</v>
      </c>
      <c r="D105" t="s">
        <v>70</v>
      </c>
      <c r="E105" t="s">
        <v>73</v>
      </c>
      <c r="F105" t="s">
        <v>72</v>
      </c>
      <c r="G105">
        <v>0</v>
      </c>
      <c r="H105">
        <v>0</v>
      </c>
      <c r="I105">
        <v>0</v>
      </c>
      <c r="J105">
        <v>0</v>
      </c>
      <c r="K105">
        <v>2349</v>
      </c>
      <c r="L105" t="str">
        <f>DiscreteStatsTable[[#This Row],[ProjectName]]&amp;DiscreteStatsTable[[#This Row],[Name]]&amp;DiscreteStatsTable[[#This Row],[Type]]&amp;DiscreteStatsTable[[#This Row],[Source]]</f>
        <v>PacientesEntity 1Other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131</v>
      </c>
      <c r="C106">
        <v>18</v>
      </c>
      <c r="D106" t="s">
        <v>70</v>
      </c>
      <c r="E106" t="s">
        <v>74</v>
      </c>
      <c r="F106" t="s">
        <v>72</v>
      </c>
      <c r="G106">
        <v>1.2801425119912</v>
      </c>
      <c r="H106">
        <v>0.175536136166457</v>
      </c>
      <c r="I106">
        <v>0.26875556797904199</v>
      </c>
      <c r="J106">
        <v>9.1173603752845302</v>
      </c>
      <c r="K106">
        <v>2349</v>
      </c>
      <c r="L106" t="str">
        <f>DiscreteStatsTable[[#This Row],[ProjectName]]&amp;DiscreteStatsTable[[#This Row],[Name]]&amp;DiscreteStatsTable[[#This Row],[Type]]&amp;DiscreteStatsTable[[#This Row],[Source]]</f>
        <v>PacientesEntity 1Total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1.5029966070875795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1.21830768607881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2.06387223343107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0.203133309337034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29.554686467573401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6">
        <f>IF((DiscreteStatsTable[[#This Row],[RepsRequested]]&gt;1),DiscreteStatsTable[[#This Row],[HalfWidth]],DiscreteStatsTable[[#This Row],[BatchMeansHalfWidth]])</f>
        <v>6.1205265903720704E-2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131</v>
      </c>
      <c r="C107">
        <v>18</v>
      </c>
      <c r="D107" t="s">
        <v>70</v>
      </c>
      <c r="E107" t="s">
        <v>75</v>
      </c>
      <c r="F107" t="s">
        <v>72</v>
      </c>
      <c r="G107">
        <v>0</v>
      </c>
      <c r="H107">
        <v>0</v>
      </c>
      <c r="I107">
        <v>0</v>
      </c>
      <c r="J107">
        <v>0</v>
      </c>
      <c r="K107">
        <v>2349</v>
      </c>
      <c r="L107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131</v>
      </c>
      <c r="C108">
        <v>18</v>
      </c>
      <c r="D108" t="s">
        <v>70</v>
      </c>
      <c r="E108" t="s">
        <v>76</v>
      </c>
      <c r="F108" t="s">
        <v>72</v>
      </c>
      <c r="G108">
        <v>0.63427144225503396</v>
      </c>
      <c r="H108">
        <v>7.38749869188532E-3</v>
      </c>
      <c r="I108">
        <v>0.23465296950035999</v>
      </c>
      <c r="J108">
        <v>1.52748928112618</v>
      </c>
      <c r="K108">
        <v>2349</v>
      </c>
      <c r="L108" t="str">
        <f>DiscreteStatsTable[[#This Row],[ProjectName]]&amp;DiscreteStatsTable[[#This Row],[Name]]&amp;DiscreteStatsTable[[#This Row],[Type]]&amp;DiscreteStatsTable[[#This Row],[Source]]</f>
        <v>PacientesEntity 1VA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0.63333757112184219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0.62319357082308402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0.64452003514622502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0.203133309337034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1.5939517145847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8">
        <f>IF((DiscreteStatsTable[[#This Row],[RepsRequested]]&gt;1),DiscreteStatsTable[[#This Row],[HalfWidth]],DiscreteStatsTable[[#This Row],[BatchMeansHalfWidth]])</f>
        <v>1.276828436655964E-3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131</v>
      </c>
      <c r="C109">
        <v>18</v>
      </c>
      <c r="D109" t="s">
        <v>70</v>
      </c>
      <c r="E109" t="s">
        <v>77</v>
      </c>
      <c r="F109" t="s">
        <v>72</v>
      </c>
      <c r="G109">
        <v>0.64587106973617103</v>
      </c>
      <c r="H109">
        <v>0.17469516419478701</v>
      </c>
      <c r="I109">
        <v>0</v>
      </c>
      <c r="J109">
        <v>8.5989585689053492</v>
      </c>
      <c r="K109">
        <v>2349</v>
      </c>
      <c r="L109" t="str">
        <f>DiscreteStatsTable[[#This Row],[ProjectName]]&amp;DiscreteStatsTable[[#This Row],[Name]]&amp;DiscreteStatsTable[[#This Row],[Type]]&amp;DiscreteStatsTable[[#This Row],[Source]]</f>
        <v>PacientesEntity 1Wait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0.86965903596573602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0.58431254303614699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1.42140669319588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28.983199492767199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09">
        <f>IF((DiscreteStatsTable[[#This Row],[RepsRequested]]&gt;1),DiscreteStatsTable[[#This Row],[HalfWidth]],DiscreteStatsTable[[#This Row],[BatchMeansHalfWidth]])</f>
        <v>6.0911976702528743E-2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131</v>
      </c>
      <c r="C110">
        <v>19</v>
      </c>
      <c r="D110" t="s">
        <v>70</v>
      </c>
      <c r="E110" t="s">
        <v>71</v>
      </c>
      <c r="F110" t="s">
        <v>72</v>
      </c>
      <c r="G110">
        <v>0</v>
      </c>
      <c r="H110">
        <v>0</v>
      </c>
      <c r="I110">
        <v>0</v>
      </c>
      <c r="J110">
        <v>0</v>
      </c>
      <c r="K110">
        <v>2352</v>
      </c>
      <c r="L110" t="str">
        <f>DiscreteStatsTable[[#This Row],[ProjectName]]&amp;DiscreteStatsTable[[#This Row],[Name]]&amp;DiscreteStatsTable[[#This Row],[Type]]&amp;DiscreteStatsTable[[#This Row],[Source]]</f>
        <v>PacientesEntity 1NVA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131</v>
      </c>
      <c r="C111">
        <v>19</v>
      </c>
      <c r="D111" t="s">
        <v>70</v>
      </c>
      <c r="E111" t="s">
        <v>73</v>
      </c>
      <c r="F111" t="s">
        <v>72</v>
      </c>
      <c r="G111">
        <v>0</v>
      </c>
      <c r="H111">
        <v>0</v>
      </c>
      <c r="I111">
        <v>0</v>
      </c>
      <c r="J111">
        <v>0</v>
      </c>
      <c r="K111">
        <v>2352</v>
      </c>
      <c r="L111" t="str">
        <f>DiscreteStatsTable[[#This Row],[ProjectName]]&amp;DiscreteStatsTable[[#This Row],[Name]]&amp;DiscreteStatsTable[[#This Row],[Type]]&amp;DiscreteStatsTable[[#This Row],[Source]]</f>
        <v>PacientesEntity 1Other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131</v>
      </c>
      <c r="C112">
        <v>19</v>
      </c>
      <c r="D112" t="s">
        <v>70</v>
      </c>
      <c r="E112" t="s">
        <v>74</v>
      </c>
      <c r="F112" t="s">
        <v>72</v>
      </c>
      <c r="G112">
        <v>1.37037969098456</v>
      </c>
      <c r="H112">
        <v>0.159939919782906</v>
      </c>
      <c r="I112">
        <v>0.235242064692784</v>
      </c>
      <c r="J112">
        <v>13.5714911561272</v>
      </c>
      <c r="K112">
        <v>2352</v>
      </c>
      <c r="L112" t="str">
        <f>DiscreteStatsTable[[#This Row],[ProjectName]]&amp;DiscreteStatsTable[[#This Row],[Name]]&amp;DiscreteStatsTable[[#This Row],[Type]]&amp;DiscreteStatsTable[[#This Row],[Source]]</f>
        <v>PacientesEntity 1Total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1.5029966070875795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1.21830768607881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2.06387223343107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0.203133309337034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29.554686467573401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2">
        <f>IF((DiscreteStatsTable[[#This Row],[RepsRequested]]&gt;1),DiscreteStatsTable[[#This Row],[HalfWidth]],DiscreteStatsTable[[#This Row],[BatchMeansHalfWidth]])</f>
        <v>6.1205265903720704E-2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131</v>
      </c>
      <c r="C113">
        <v>19</v>
      </c>
      <c r="D113" t="s">
        <v>70</v>
      </c>
      <c r="E113" t="s">
        <v>75</v>
      </c>
      <c r="F113" t="s">
        <v>72</v>
      </c>
      <c r="G113">
        <v>0</v>
      </c>
      <c r="H113">
        <v>0</v>
      </c>
      <c r="I113">
        <v>0</v>
      </c>
      <c r="J113">
        <v>0</v>
      </c>
      <c r="K113">
        <v>2352</v>
      </c>
      <c r="L113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131</v>
      </c>
      <c r="C114">
        <v>19</v>
      </c>
      <c r="D114" t="s">
        <v>70</v>
      </c>
      <c r="E114" t="s">
        <v>76</v>
      </c>
      <c r="F114" t="s">
        <v>72</v>
      </c>
      <c r="G114">
        <v>0.63429554485638096</v>
      </c>
      <c r="H114">
        <v>1.33109620818947E-2</v>
      </c>
      <c r="I114">
        <v>0.226610753973773</v>
      </c>
      <c r="J114">
        <v>1.5570814840717699</v>
      </c>
      <c r="K114">
        <v>2352</v>
      </c>
      <c r="L114" t="str">
        <f>DiscreteStatsTable[[#This Row],[ProjectName]]&amp;DiscreteStatsTable[[#This Row],[Name]]&amp;DiscreteStatsTable[[#This Row],[Type]]&amp;DiscreteStatsTable[[#This Row],[Source]]</f>
        <v>PacientesEntity 1VA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0.63333757112184219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0.62319357082308402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0.64452003514622502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0.203133309337034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1.5939517145847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4">
        <f>IF((DiscreteStatsTable[[#This Row],[RepsRequested]]&gt;1),DiscreteStatsTable[[#This Row],[HalfWidth]],DiscreteStatsTable[[#This Row],[BatchMeansHalfWidth]])</f>
        <v>1.276828436655964E-3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131</v>
      </c>
      <c r="C115">
        <v>19</v>
      </c>
      <c r="D115" t="s">
        <v>70</v>
      </c>
      <c r="E115" t="s">
        <v>77</v>
      </c>
      <c r="F115" t="s">
        <v>72</v>
      </c>
      <c r="G115">
        <v>0.73608414612817596</v>
      </c>
      <c r="H115">
        <v>0.162042389381681</v>
      </c>
      <c r="I115">
        <v>0</v>
      </c>
      <c r="J115">
        <v>13.1265483090024</v>
      </c>
      <c r="K115">
        <v>2352</v>
      </c>
      <c r="L115" t="str">
        <f>DiscreteStatsTable[[#This Row],[ProjectName]]&amp;DiscreteStatsTable[[#This Row],[Name]]&amp;DiscreteStatsTable[[#This Row],[Type]]&amp;DiscreteStatsTable[[#This Row],[Source]]</f>
        <v>PacientesEntity 1Wait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0.86965903596573602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0.58431254303614699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1.42140669319588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28.983199492767199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5">
        <f>IF((DiscreteStatsTable[[#This Row],[RepsRequested]]&gt;1),DiscreteStatsTable[[#This Row],[HalfWidth]],DiscreteStatsTable[[#This Row],[BatchMeansHalfWidth]])</f>
        <v>6.0911976702528743E-2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131</v>
      </c>
      <c r="C116">
        <v>20</v>
      </c>
      <c r="D116" t="s">
        <v>70</v>
      </c>
      <c r="E116" t="s">
        <v>71</v>
      </c>
      <c r="F116" t="s">
        <v>72</v>
      </c>
      <c r="G116">
        <v>0</v>
      </c>
      <c r="H116">
        <v>0</v>
      </c>
      <c r="I116">
        <v>0</v>
      </c>
      <c r="J116">
        <v>0</v>
      </c>
      <c r="K116">
        <v>2411</v>
      </c>
      <c r="L116" t="str">
        <f>DiscreteStatsTable[[#This Row],[ProjectName]]&amp;DiscreteStatsTable[[#This Row],[Name]]&amp;DiscreteStatsTable[[#This Row],[Type]]&amp;DiscreteStatsTable[[#This Row],[Source]]</f>
        <v>PacientesEntity 1NVA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131</v>
      </c>
      <c r="C117">
        <v>20</v>
      </c>
      <c r="D117" t="s">
        <v>70</v>
      </c>
      <c r="E117" t="s">
        <v>73</v>
      </c>
      <c r="F117" t="s">
        <v>72</v>
      </c>
      <c r="G117">
        <v>0</v>
      </c>
      <c r="H117">
        <v>0</v>
      </c>
      <c r="I117">
        <v>0</v>
      </c>
      <c r="J117">
        <v>0</v>
      </c>
      <c r="K117">
        <v>2411</v>
      </c>
      <c r="L117" t="str">
        <f>DiscreteStatsTable[[#This Row],[ProjectName]]&amp;DiscreteStatsTable[[#This Row],[Name]]&amp;DiscreteStatsTable[[#This Row],[Type]]&amp;DiscreteStatsTable[[#This Row],[Source]]</f>
        <v>PacientesEntity 1Other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131</v>
      </c>
      <c r="C118">
        <v>20</v>
      </c>
      <c r="D118" t="s">
        <v>70</v>
      </c>
      <c r="E118" t="s">
        <v>74</v>
      </c>
      <c r="F118" t="s">
        <v>72</v>
      </c>
      <c r="G118">
        <v>1.27665447312062</v>
      </c>
      <c r="H118">
        <v>0.16064088666132201</v>
      </c>
      <c r="I118">
        <v>0.25312886827214198</v>
      </c>
      <c r="J118">
        <v>10.791703986837801</v>
      </c>
      <c r="K118">
        <v>2411</v>
      </c>
      <c r="L118" t="str">
        <f>DiscreteStatsTable[[#This Row],[ProjectName]]&amp;DiscreteStatsTable[[#This Row],[Name]]&amp;DiscreteStatsTable[[#This Row],[Type]]&amp;DiscreteStatsTable[[#This Row],[Source]]</f>
        <v>PacientesEntity 1Total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1.5029966070875795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1.21830768607881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2.06387223343107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0.203133309337034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29.554686467573401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8">
        <f>IF((DiscreteStatsTable[[#This Row],[RepsRequested]]&gt;1),DiscreteStatsTable[[#This Row],[HalfWidth]],DiscreteStatsTable[[#This Row],[BatchMeansHalfWidth]])</f>
        <v>6.1205265903720704E-2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131</v>
      </c>
      <c r="C119">
        <v>20</v>
      </c>
      <c r="D119" t="s">
        <v>70</v>
      </c>
      <c r="E119" t="s">
        <v>75</v>
      </c>
      <c r="F119" t="s">
        <v>72</v>
      </c>
      <c r="G119">
        <v>0</v>
      </c>
      <c r="H119">
        <v>0</v>
      </c>
      <c r="I119">
        <v>0</v>
      </c>
      <c r="J119">
        <v>0</v>
      </c>
      <c r="K119">
        <v>2411</v>
      </c>
      <c r="L119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131</v>
      </c>
      <c r="C120">
        <v>20</v>
      </c>
      <c r="D120" t="s">
        <v>70</v>
      </c>
      <c r="E120" t="s">
        <v>76</v>
      </c>
      <c r="F120" t="s">
        <v>72</v>
      </c>
      <c r="G120">
        <v>0.63078564229309297</v>
      </c>
      <c r="H120">
        <v>7.4048155778924504E-3</v>
      </c>
      <c r="I120">
        <v>0.23190527215989201</v>
      </c>
      <c r="J120">
        <v>1.53163785937193</v>
      </c>
      <c r="K120">
        <v>2411</v>
      </c>
      <c r="L120" t="str">
        <f>DiscreteStatsTable[[#This Row],[ProjectName]]&amp;DiscreteStatsTable[[#This Row],[Name]]&amp;DiscreteStatsTable[[#This Row],[Type]]&amp;DiscreteStatsTable[[#This Row],[Source]]</f>
        <v>PacientesEntity 1VA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0.63333757112184219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0.62319357082308402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0.64452003514622502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0.203133309337034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1.5939517145847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0">
        <f>IF((DiscreteStatsTable[[#This Row],[RepsRequested]]&gt;1),DiscreteStatsTable[[#This Row],[HalfWidth]],DiscreteStatsTable[[#This Row],[BatchMeansHalfWidth]])</f>
        <v>1.276828436655964E-3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131</v>
      </c>
      <c r="C121">
        <v>20</v>
      </c>
      <c r="D121" t="s">
        <v>70</v>
      </c>
      <c r="E121" t="s">
        <v>77</v>
      </c>
      <c r="F121" t="s">
        <v>72</v>
      </c>
      <c r="G121">
        <v>0.645868830827522</v>
      </c>
      <c r="H121">
        <v>0.162683592511044</v>
      </c>
      <c r="I121">
        <v>0</v>
      </c>
      <c r="J121">
        <v>10.288556630026401</v>
      </c>
      <c r="K121">
        <v>2411</v>
      </c>
      <c r="L121" t="str">
        <f>DiscreteStatsTable[[#This Row],[ProjectName]]&amp;DiscreteStatsTable[[#This Row],[Name]]&amp;DiscreteStatsTable[[#This Row],[Type]]&amp;DiscreteStatsTable[[#This Row],[Source]]</f>
        <v>PacientesEntity 1Wait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0.86965903596573602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0.58431254303614699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1.42140669319588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28.983199492767199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1">
        <f>IF((DiscreteStatsTable[[#This Row],[RepsRequested]]&gt;1),DiscreteStatsTable[[#This Row],[HalfWidth]],DiscreteStatsTable[[#This Row],[BatchMeansHalfWidth]])</f>
        <v>6.0911976702528743E-2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131</v>
      </c>
      <c r="C122">
        <v>21</v>
      </c>
      <c r="D122" t="s">
        <v>70</v>
      </c>
      <c r="E122" t="s">
        <v>71</v>
      </c>
      <c r="F122" t="s">
        <v>72</v>
      </c>
      <c r="G122">
        <v>0</v>
      </c>
      <c r="H122">
        <v>0</v>
      </c>
      <c r="I122">
        <v>0</v>
      </c>
      <c r="J122">
        <v>0</v>
      </c>
      <c r="K122">
        <v>2305</v>
      </c>
      <c r="L122" t="str">
        <f>DiscreteStatsTable[[#This Row],[ProjectName]]&amp;DiscreteStatsTable[[#This Row],[Name]]&amp;DiscreteStatsTable[[#This Row],[Type]]&amp;DiscreteStatsTable[[#This Row],[Source]]</f>
        <v>PacientesEntity 1NVA TimeEntity</v>
      </c>
      <c r="M122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cm="1">
        <f t="array" ref="V12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2">
        <f>IF((DiscreteStatsTable[[#This Row],[RepsRequested]]&gt;1),DiscreteStatsTable[[#This Row],[HalfWidth]],DiscreteStatsTable[[#This Row],[BatchMeansHalfWidth]])</f>
        <v>0</v>
      </c>
      <c r="X122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131</v>
      </c>
      <c r="C123">
        <v>21</v>
      </c>
      <c r="D123" t="s">
        <v>70</v>
      </c>
      <c r="E123" t="s">
        <v>73</v>
      </c>
      <c r="F123" t="s">
        <v>72</v>
      </c>
      <c r="G123">
        <v>0</v>
      </c>
      <c r="H123">
        <v>0</v>
      </c>
      <c r="I123">
        <v>0</v>
      </c>
      <c r="J123">
        <v>0</v>
      </c>
      <c r="K123">
        <v>2305</v>
      </c>
      <c r="L123" t="str">
        <f>DiscreteStatsTable[[#This Row],[ProjectName]]&amp;DiscreteStatsTable[[#This Row],[Name]]&amp;DiscreteStatsTable[[#This Row],[Type]]&amp;DiscreteStatsTable[[#This Row],[Source]]</f>
        <v>PacientesEntity 1Other TimeEntity</v>
      </c>
      <c r="M123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cm="1">
        <f t="array" ref="V12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3">
        <f>IF((DiscreteStatsTable[[#This Row],[RepsRequested]]&gt;1),DiscreteStatsTable[[#This Row],[HalfWidth]],DiscreteStatsTable[[#This Row],[BatchMeansHalfWidth]])</f>
        <v>0</v>
      </c>
      <c r="X123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131</v>
      </c>
      <c r="C124">
        <v>21</v>
      </c>
      <c r="D124" t="s">
        <v>70</v>
      </c>
      <c r="E124" t="s">
        <v>74</v>
      </c>
      <c r="F124" t="s">
        <v>72</v>
      </c>
      <c r="G124">
        <v>1.31052666107267</v>
      </c>
      <c r="H124">
        <v>0.223195097670184</v>
      </c>
      <c r="I124">
        <v>0.24767259257788499</v>
      </c>
      <c r="J124">
        <v>13.183630137863</v>
      </c>
      <c r="K124">
        <v>2305</v>
      </c>
      <c r="L124" t="str">
        <f>DiscreteStatsTable[[#This Row],[ProjectName]]&amp;DiscreteStatsTable[[#This Row],[Name]]&amp;DiscreteStatsTable[[#This Row],[Type]]&amp;DiscreteStatsTable[[#This Row],[Source]]</f>
        <v>PacientesEntity 1Total TimeEntity</v>
      </c>
      <c r="M124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cm="1">
        <f t="array" ref="N124">IFERROR(AVERAGE(IF((DiscreteStatsTable[GroupByKey]=DiscreteStatsTable[[#This Row],[GroupByKey]]),(DiscreteStatsTable[GroupByKey]=DiscreteStatsTable[[#This Row],[GroupByKey]])*DiscreteStatsTable[Average])),0)</f>
        <v>1.5029966070875795</v>
      </c>
      <c r="O124" cm="1">
        <f t="array" ref="O12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24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24" cm="1">
        <f t="array" ref="R124">MIN(IF((DiscreteStatsTable[GroupByKey]=DiscreteStatsTable[[#This Row],[GroupByKey]]),(DiscreteStatsTable[GroupByKey]=DiscreteStatsTable[[#This Row],[GroupByKey]])*DiscreteStatsTable[Average]))</f>
        <v>1.21830768607881</v>
      </c>
      <c r="S124" cm="1">
        <f t="array" ref="S124">MAX(IF((DiscreteStatsTable[GroupByKey]=DiscreteStatsTable[[#This Row],[GroupByKey]]),(DiscreteStatsTable[GroupByKey]=DiscreteStatsTable[[#This Row],[GroupByKey]])*DiscreteStatsTable[Average]))</f>
        <v>2.06387223343107</v>
      </c>
      <c r="T124" cm="1">
        <f t="array" ref="T124">MIN(IF((DiscreteStatsTable[GroupByKey]=DiscreteStatsTable[[#This Row],[GroupByKey]]),(DiscreteStatsTable[GroupByKey]=DiscreteStatsTable[[#This Row],[GroupByKey]])*DiscreteStatsTable[Minimum]))</f>
        <v>0.203133309337034</v>
      </c>
      <c r="U124" cm="1">
        <f t="array" ref="U124">MAX(IF((DiscreteStatsTable[GroupByKey]=DiscreteStatsTable[[#This Row],[GroupByKey]]),(DiscreteStatsTable[GroupByKey]=DiscreteStatsTable[[#This Row],[GroupByKey]])*DiscreteStatsTable[Maximum]))</f>
        <v>29.554686467573401</v>
      </c>
      <c r="V124" cm="1">
        <f t="array" ref="V12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4">
        <f>IF((DiscreteStatsTable[[#This Row],[RepsRequested]]&gt;1),DiscreteStatsTable[[#This Row],[HalfWidth]],DiscreteStatsTable[[#This Row],[BatchMeansHalfWidth]])</f>
        <v>6.1205265903720704E-2</v>
      </c>
      <c r="X124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131</v>
      </c>
      <c r="C125">
        <v>21</v>
      </c>
      <c r="D125" t="s">
        <v>70</v>
      </c>
      <c r="E125" t="s">
        <v>75</v>
      </c>
      <c r="F125" t="s">
        <v>72</v>
      </c>
      <c r="G125">
        <v>0</v>
      </c>
      <c r="H125">
        <v>0</v>
      </c>
      <c r="I125">
        <v>0</v>
      </c>
      <c r="J125">
        <v>0</v>
      </c>
      <c r="K125">
        <v>2305</v>
      </c>
      <c r="L125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2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cm="1">
        <f t="array" ref="V12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5">
        <f>IF((DiscreteStatsTable[[#This Row],[RepsRequested]]&gt;1),DiscreteStatsTable[[#This Row],[HalfWidth]],DiscreteStatsTable[[#This Row],[BatchMeansHalfWidth]])</f>
        <v>0</v>
      </c>
      <c r="X12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131</v>
      </c>
      <c r="C126">
        <v>21</v>
      </c>
      <c r="D126" t="s">
        <v>70</v>
      </c>
      <c r="E126" t="s">
        <v>76</v>
      </c>
      <c r="F126" t="s">
        <v>72</v>
      </c>
      <c r="G126">
        <v>0.63284044206884105</v>
      </c>
      <c r="H126">
        <v>1.21560567307657E-2</v>
      </c>
      <c r="I126">
        <v>0.22984420740257899</v>
      </c>
      <c r="J126">
        <v>1.57592258101738</v>
      </c>
      <c r="K126">
        <v>2305</v>
      </c>
      <c r="L126" t="str">
        <f>DiscreteStatsTable[[#This Row],[ProjectName]]&amp;DiscreteStatsTable[[#This Row],[Name]]&amp;DiscreteStatsTable[[#This Row],[Type]]&amp;DiscreteStatsTable[[#This Row],[Source]]</f>
        <v>PacientesEntity 1VA TimeEntity</v>
      </c>
      <c r="M126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cm="1">
        <f t="array" ref="N126">IFERROR(AVERAGE(IF((DiscreteStatsTable[GroupByKey]=DiscreteStatsTable[[#This Row],[GroupByKey]]),(DiscreteStatsTable[GroupByKey]=DiscreteStatsTable[[#This Row],[GroupByKey]])*DiscreteStatsTable[Average])),0)</f>
        <v>0.63333757112184219</v>
      </c>
      <c r="O126" cm="1">
        <f t="array" ref="O126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26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26" cm="1">
        <f t="array" ref="R126">MIN(IF((DiscreteStatsTable[GroupByKey]=DiscreteStatsTable[[#This Row],[GroupByKey]]),(DiscreteStatsTable[GroupByKey]=DiscreteStatsTable[[#This Row],[GroupByKey]])*DiscreteStatsTable[Average]))</f>
        <v>0.62319357082308402</v>
      </c>
      <c r="S126" cm="1">
        <f t="array" ref="S126">MAX(IF((DiscreteStatsTable[GroupByKey]=DiscreteStatsTable[[#This Row],[GroupByKey]]),(DiscreteStatsTable[GroupByKey]=DiscreteStatsTable[[#This Row],[GroupByKey]])*DiscreteStatsTable[Average]))</f>
        <v>0.64452003514622502</v>
      </c>
      <c r="T126" cm="1">
        <f t="array" ref="T126">MIN(IF((DiscreteStatsTable[GroupByKey]=DiscreteStatsTable[[#This Row],[GroupByKey]]),(DiscreteStatsTable[GroupByKey]=DiscreteStatsTable[[#This Row],[GroupByKey]])*DiscreteStatsTable[Minimum]))</f>
        <v>0.203133309337034</v>
      </c>
      <c r="U126" cm="1">
        <f t="array" ref="U126">MAX(IF((DiscreteStatsTable[GroupByKey]=DiscreteStatsTable[[#This Row],[GroupByKey]]),(DiscreteStatsTable[GroupByKey]=DiscreteStatsTable[[#This Row],[GroupByKey]])*DiscreteStatsTable[Maximum]))</f>
        <v>1.5939517145847</v>
      </c>
      <c r="V126" cm="1">
        <f t="array" ref="V12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6">
        <f>IF((DiscreteStatsTable[[#This Row],[RepsRequested]]&gt;1),DiscreteStatsTable[[#This Row],[HalfWidth]],DiscreteStatsTable[[#This Row],[BatchMeansHalfWidth]])</f>
        <v>1.276828436655964E-3</v>
      </c>
      <c r="X126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131</v>
      </c>
      <c r="C127">
        <v>21</v>
      </c>
      <c r="D127" t="s">
        <v>70</v>
      </c>
      <c r="E127" t="s">
        <v>77</v>
      </c>
      <c r="F127" t="s">
        <v>72</v>
      </c>
      <c r="G127">
        <v>0.67768621900382497</v>
      </c>
      <c r="H127">
        <v>0.22205849400543901</v>
      </c>
      <c r="I127">
        <v>0</v>
      </c>
      <c r="J127">
        <v>12.647789137893101</v>
      </c>
      <c r="K127">
        <v>2305</v>
      </c>
      <c r="L127" t="str">
        <f>DiscreteStatsTable[[#This Row],[ProjectName]]&amp;DiscreteStatsTable[[#This Row],[Name]]&amp;DiscreteStatsTable[[#This Row],[Type]]&amp;DiscreteStatsTable[[#This Row],[Source]]</f>
        <v>PacientesEntity 1Wait TimeEntity</v>
      </c>
      <c r="M127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cm="1">
        <f t="array" ref="N127">IFERROR(AVERAGE(IF((DiscreteStatsTable[GroupByKey]=DiscreteStatsTable[[#This Row],[GroupByKey]]),(DiscreteStatsTable[GroupByKey]=DiscreteStatsTable[[#This Row],[GroupByKey]])*DiscreteStatsTable[Average])),0)</f>
        <v>0.86965903596573602</v>
      </c>
      <c r="O127" cm="1">
        <f t="array" ref="O127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27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27" cm="1">
        <f t="array" ref="R127">MIN(IF((DiscreteStatsTable[GroupByKey]=DiscreteStatsTable[[#This Row],[GroupByKey]]),(DiscreteStatsTable[GroupByKey]=DiscreteStatsTable[[#This Row],[GroupByKey]])*DiscreteStatsTable[Average]))</f>
        <v>0.58431254303614699</v>
      </c>
      <c r="S127" cm="1">
        <f t="array" ref="S127">MAX(IF((DiscreteStatsTable[GroupByKey]=DiscreteStatsTable[[#This Row],[GroupByKey]]),(DiscreteStatsTable[GroupByKey]=DiscreteStatsTable[[#This Row],[GroupByKey]])*DiscreteStatsTable[Average]))</f>
        <v>1.42140669319588</v>
      </c>
      <c r="T127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cm="1">
        <f t="array" ref="U127">MAX(IF((DiscreteStatsTable[GroupByKey]=DiscreteStatsTable[[#This Row],[GroupByKey]]),(DiscreteStatsTable[GroupByKey]=DiscreteStatsTable[[#This Row],[GroupByKey]])*DiscreteStatsTable[Maximum]))</f>
        <v>28.983199492767199</v>
      </c>
      <c r="V127" cm="1">
        <f t="array" ref="V12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7">
        <f>IF((DiscreteStatsTable[[#This Row],[RepsRequested]]&gt;1),DiscreteStatsTable[[#This Row],[HalfWidth]],DiscreteStatsTable[[#This Row],[BatchMeansHalfWidth]])</f>
        <v>6.0911976702528743E-2</v>
      </c>
      <c r="X127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131</v>
      </c>
      <c r="C128">
        <v>22</v>
      </c>
      <c r="D128" t="s">
        <v>70</v>
      </c>
      <c r="E128" t="s">
        <v>71</v>
      </c>
      <c r="F128" t="s">
        <v>72</v>
      </c>
      <c r="G128">
        <v>0</v>
      </c>
      <c r="H128">
        <v>0</v>
      </c>
      <c r="I128">
        <v>0</v>
      </c>
      <c r="J128">
        <v>0</v>
      </c>
      <c r="K128">
        <v>2428</v>
      </c>
      <c r="L128" t="str">
        <f>DiscreteStatsTable[[#This Row],[ProjectName]]&amp;DiscreteStatsTable[[#This Row],[Name]]&amp;DiscreteStatsTable[[#This Row],[Type]]&amp;DiscreteStatsTable[[#This Row],[Source]]</f>
        <v>PacientesEntity 1NVA TimeEntity</v>
      </c>
      <c r="M128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cm="1">
        <f t="array" ref="V12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8">
        <f>IF((DiscreteStatsTable[[#This Row],[RepsRequested]]&gt;1),DiscreteStatsTable[[#This Row],[HalfWidth]],DiscreteStatsTable[[#This Row],[BatchMeansHalfWidth]])</f>
        <v>0</v>
      </c>
      <c r="X128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131</v>
      </c>
      <c r="C129">
        <v>22</v>
      </c>
      <c r="D129" t="s">
        <v>70</v>
      </c>
      <c r="E129" t="s">
        <v>73</v>
      </c>
      <c r="F129" t="s">
        <v>72</v>
      </c>
      <c r="G129">
        <v>0</v>
      </c>
      <c r="H129">
        <v>0</v>
      </c>
      <c r="I129">
        <v>0</v>
      </c>
      <c r="J129">
        <v>0</v>
      </c>
      <c r="K129">
        <v>2428</v>
      </c>
      <c r="L129" t="str">
        <f>DiscreteStatsTable[[#This Row],[ProjectName]]&amp;DiscreteStatsTable[[#This Row],[Name]]&amp;DiscreteStatsTable[[#This Row],[Type]]&amp;DiscreteStatsTable[[#This Row],[Source]]</f>
        <v>PacientesEntity 1Other TimeEntity</v>
      </c>
      <c r="M129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cm="1">
        <f t="array" ref="V12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29">
        <f>IF((DiscreteStatsTable[[#This Row],[RepsRequested]]&gt;1),DiscreteStatsTable[[#This Row],[HalfWidth]],DiscreteStatsTable[[#This Row],[BatchMeansHalfWidth]])</f>
        <v>0</v>
      </c>
      <c r="X129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131</v>
      </c>
      <c r="C130">
        <v>22</v>
      </c>
      <c r="D130" t="s">
        <v>70</v>
      </c>
      <c r="E130" t="s">
        <v>74</v>
      </c>
      <c r="F130" t="s">
        <v>72</v>
      </c>
      <c r="G130">
        <v>1.7233879808416499</v>
      </c>
      <c r="H130">
        <v>0.26562644213818598</v>
      </c>
      <c r="I130">
        <v>0.24649430687509299</v>
      </c>
      <c r="J130">
        <v>12.280484162270101</v>
      </c>
      <c r="K130">
        <v>2428</v>
      </c>
      <c r="L130" t="str">
        <f>DiscreteStatsTable[[#This Row],[ProjectName]]&amp;DiscreteStatsTable[[#This Row],[Name]]&amp;DiscreteStatsTable[[#This Row],[Type]]&amp;DiscreteStatsTable[[#This Row],[Source]]</f>
        <v>PacientesEntity 1Total TimeEntity</v>
      </c>
      <c r="M130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cm="1">
        <f t="array" ref="N130">IFERROR(AVERAGE(IF((DiscreteStatsTable[GroupByKey]=DiscreteStatsTable[[#This Row],[GroupByKey]]),(DiscreteStatsTable[GroupByKey]=DiscreteStatsTable[[#This Row],[GroupByKey]])*DiscreteStatsTable[Average])),0)</f>
        <v>1.5029966070875795</v>
      </c>
      <c r="O130" cm="1">
        <f t="array" ref="O13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30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30" cm="1">
        <f t="array" ref="R130">MIN(IF((DiscreteStatsTable[GroupByKey]=DiscreteStatsTable[[#This Row],[GroupByKey]]),(DiscreteStatsTable[GroupByKey]=DiscreteStatsTable[[#This Row],[GroupByKey]])*DiscreteStatsTable[Average]))</f>
        <v>1.21830768607881</v>
      </c>
      <c r="S130" cm="1">
        <f t="array" ref="S130">MAX(IF((DiscreteStatsTable[GroupByKey]=DiscreteStatsTable[[#This Row],[GroupByKey]]),(DiscreteStatsTable[GroupByKey]=DiscreteStatsTable[[#This Row],[GroupByKey]])*DiscreteStatsTable[Average]))</f>
        <v>2.06387223343107</v>
      </c>
      <c r="T130" cm="1">
        <f t="array" ref="T130">MIN(IF((DiscreteStatsTable[GroupByKey]=DiscreteStatsTable[[#This Row],[GroupByKey]]),(DiscreteStatsTable[GroupByKey]=DiscreteStatsTable[[#This Row],[GroupByKey]])*DiscreteStatsTable[Minimum]))</f>
        <v>0.203133309337034</v>
      </c>
      <c r="U130" cm="1">
        <f t="array" ref="U130">MAX(IF((DiscreteStatsTable[GroupByKey]=DiscreteStatsTable[[#This Row],[GroupByKey]]),(DiscreteStatsTable[GroupByKey]=DiscreteStatsTable[[#This Row],[GroupByKey]])*DiscreteStatsTable[Maximum]))</f>
        <v>29.554686467573401</v>
      </c>
      <c r="V130" cm="1">
        <f t="array" ref="V13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0">
        <f>IF((DiscreteStatsTable[[#This Row],[RepsRequested]]&gt;1),DiscreteStatsTable[[#This Row],[HalfWidth]],DiscreteStatsTable[[#This Row],[BatchMeansHalfWidth]])</f>
        <v>6.1205265903720704E-2</v>
      </c>
      <c r="X130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131</v>
      </c>
      <c r="C131">
        <v>22</v>
      </c>
      <c r="D131" t="s">
        <v>70</v>
      </c>
      <c r="E131" t="s">
        <v>75</v>
      </c>
      <c r="F131" t="s">
        <v>72</v>
      </c>
      <c r="G131">
        <v>0</v>
      </c>
      <c r="H131">
        <v>0</v>
      </c>
      <c r="I131">
        <v>0</v>
      </c>
      <c r="J131">
        <v>0</v>
      </c>
      <c r="K131">
        <v>2428</v>
      </c>
      <c r="L131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31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cm="1">
        <f t="array" ref="V13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1">
        <f>IF((DiscreteStatsTable[[#This Row],[RepsRequested]]&gt;1),DiscreteStatsTable[[#This Row],[HalfWidth]],DiscreteStatsTable[[#This Row],[BatchMeansHalfWidth]])</f>
        <v>0</v>
      </c>
      <c r="X131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131</v>
      </c>
      <c r="C132">
        <v>22</v>
      </c>
      <c r="D132" t="s">
        <v>70</v>
      </c>
      <c r="E132" t="s">
        <v>76</v>
      </c>
      <c r="F132" t="s">
        <v>72</v>
      </c>
      <c r="G132">
        <v>0.63782080588455703</v>
      </c>
      <c r="H132">
        <v>9.5708013189873993E-3</v>
      </c>
      <c r="I132">
        <v>0.23442360903624099</v>
      </c>
      <c r="J132">
        <v>1.5738430201558899</v>
      </c>
      <c r="K132">
        <v>2428</v>
      </c>
      <c r="L132" t="str">
        <f>DiscreteStatsTable[[#This Row],[ProjectName]]&amp;DiscreteStatsTable[[#This Row],[Name]]&amp;DiscreteStatsTable[[#This Row],[Type]]&amp;DiscreteStatsTable[[#This Row],[Source]]</f>
        <v>PacientesEntity 1VA TimeEntity</v>
      </c>
      <c r="M132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cm="1">
        <f t="array" ref="N132">IFERROR(AVERAGE(IF((DiscreteStatsTable[GroupByKey]=DiscreteStatsTable[[#This Row],[GroupByKey]]),(DiscreteStatsTable[GroupByKey]=DiscreteStatsTable[[#This Row],[GroupByKey]])*DiscreteStatsTable[Average])),0)</f>
        <v>0.63333757112184219</v>
      </c>
      <c r="O132" cm="1">
        <f t="array" ref="O132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32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32" cm="1">
        <f t="array" ref="R132">MIN(IF((DiscreteStatsTable[GroupByKey]=DiscreteStatsTable[[#This Row],[GroupByKey]]),(DiscreteStatsTable[GroupByKey]=DiscreteStatsTable[[#This Row],[GroupByKey]])*DiscreteStatsTable[Average]))</f>
        <v>0.62319357082308402</v>
      </c>
      <c r="S132" cm="1">
        <f t="array" ref="S132">MAX(IF((DiscreteStatsTable[GroupByKey]=DiscreteStatsTable[[#This Row],[GroupByKey]]),(DiscreteStatsTable[GroupByKey]=DiscreteStatsTable[[#This Row],[GroupByKey]])*DiscreteStatsTable[Average]))</f>
        <v>0.64452003514622502</v>
      </c>
      <c r="T132" cm="1">
        <f t="array" ref="T132">MIN(IF((DiscreteStatsTable[GroupByKey]=DiscreteStatsTable[[#This Row],[GroupByKey]]),(DiscreteStatsTable[GroupByKey]=DiscreteStatsTable[[#This Row],[GroupByKey]])*DiscreteStatsTable[Minimum]))</f>
        <v>0.203133309337034</v>
      </c>
      <c r="U132" cm="1">
        <f t="array" ref="U132">MAX(IF((DiscreteStatsTable[GroupByKey]=DiscreteStatsTable[[#This Row],[GroupByKey]]),(DiscreteStatsTable[GroupByKey]=DiscreteStatsTable[[#This Row],[GroupByKey]])*DiscreteStatsTable[Maximum]))</f>
        <v>1.5939517145847</v>
      </c>
      <c r="V132" cm="1">
        <f t="array" ref="V13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2">
        <f>IF((DiscreteStatsTable[[#This Row],[RepsRequested]]&gt;1),DiscreteStatsTable[[#This Row],[HalfWidth]],DiscreteStatsTable[[#This Row],[BatchMeansHalfWidth]])</f>
        <v>1.276828436655964E-3</v>
      </c>
      <c r="X132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131</v>
      </c>
      <c r="C133">
        <v>22</v>
      </c>
      <c r="D133" t="s">
        <v>70</v>
      </c>
      <c r="E133" t="s">
        <v>77</v>
      </c>
      <c r="F133" t="s">
        <v>72</v>
      </c>
      <c r="G133">
        <v>1.0855671749570901</v>
      </c>
      <c r="H133">
        <v>0.26000742442978497</v>
      </c>
      <c r="I133">
        <v>0</v>
      </c>
      <c r="J133">
        <v>11.7271874389236</v>
      </c>
      <c r="K133">
        <v>2428</v>
      </c>
      <c r="L133" t="str">
        <f>DiscreteStatsTable[[#This Row],[ProjectName]]&amp;DiscreteStatsTable[[#This Row],[Name]]&amp;DiscreteStatsTable[[#This Row],[Type]]&amp;DiscreteStatsTable[[#This Row],[Source]]</f>
        <v>PacientesEntity 1Wait TimeEntity</v>
      </c>
      <c r="M133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cm="1">
        <f t="array" ref="N133">IFERROR(AVERAGE(IF((DiscreteStatsTable[GroupByKey]=DiscreteStatsTable[[#This Row],[GroupByKey]]),(DiscreteStatsTable[GroupByKey]=DiscreteStatsTable[[#This Row],[GroupByKey]])*DiscreteStatsTable[Average])),0)</f>
        <v>0.86965903596573602</v>
      </c>
      <c r="O133" cm="1">
        <f t="array" ref="O133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33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33" cm="1">
        <f t="array" ref="R133">MIN(IF((DiscreteStatsTable[GroupByKey]=DiscreteStatsTable[[#This Row],[GroupByKey]]),(DiscreteStatsTable[GroupByKey]=DiscreteStatsTable[[#This Row],[GroupByKey]])*DiscreteStatsTable[Average]))</f>
        <v>0.58431254303614699</v>
      </c>
      <c r="S133" cm="1">
        <f t="array" ref="S133">MAX(IF((DiscreteStatsTable[GroupByKey]=DiscreteStatsTable[[#This Row],[GroupByKey]]),(DiscreteStatsTable[GroupByKey]=DiscreteStatsTable[[#This Row],[GroupByKey]])*DiscreteStatsTable[Average]))</f>
        <v>1.42140669319588</v>
      </c>
      <c r="T133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cm="1">
        <f t="array" ref="U133">MAX(IF((DiscreteStatsTable[GroupByKey]=DiscreteStatsTable[[#This Row],[GroupByKey]]),(DiscreteStatsTable[GroupByKey]=DiscreteStatsTable[[#This Row],[GroupByKey]])*DiscreteStatsTable[Maximum]))</f>
        <v>28.983199492767199</v>
      </c>
      <c r="V133" cm="1">
        <f t="array" ref="V13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3">
        <f>IF((DiscreteStatsTable[[#This Row],[RepsRequested]]&gt;1),DiscreteStatsTable[[#This Row],[HalfWidth]],DiscreteStatsTable[[#This Row],[BatchMeansHalfWidth]])</f>
        <v>6.0911976702528743E-2</v>
      </c>
      <c r="X133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131</v>
      </c>
      <c r="C134">
        <v>23</v>
      </c>
      <c r="D134" t="s">
        <v>70</v>
      </c>
      <c r="E134" t="s">
        <v>71</v>
      </c>
      <c r="F134" t="s">
        <v>72</v>
      </c>
      <c r="G134">
        <v>0</v>
      </c>
      <c r="H134">
        <v>0</v>
      </c>
      <c r="I134">
        <v>0</v>
      </c>
      <c r="J134">
        <v>0</v>
      </c>
      <c r="K134">
        <v>2377</v>
      </c>
      <c r="L134" t="str">
        <f>DiscreteStatsTable[[#This Row],[ProjectName]]&amp;DiscreteStatsTable[[#This Row],[Name]]&amp;DiscreteStatsTable[[#This Row],[Type]]&amp;DiscreteStatsTable[[#This Row],[Source]]</f>
        <v>PacientesEntity 1NVA TimeEntity</v>
      </c>
      <c r="M134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cm="1">
        <f t="array" ref="V13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4">
        <f>IF((DiscreteStatsTable[[#This Row],[RepsRequested]]&gt;1),DiscreteStatsTable[[#This Row],[HalfWidth]],DiscreteStatsTable[[#This Row],[BatchMeansHalfWidth]])</f>
        <v>0</v>
      </c>
      <c r="X134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131</v>
      </c>
      <c r="C135">
        <v>23</v>
      </c>
      <c r="D135" t="s">
        <v>70</v>
      </c>
      <c r="E135" t="s">
        <v>73</v>
      </c>
      <c r="F135" t="s">
        <v>72</v>
      </c>
      <c r="G135">
        <v>0</v>
      </c>
      <c r="H135">
        <v>0</v>
      </c>
      <c r="I135">
        <v>0</v>
      </c>
      <c r="J135">
        <v>0</v>
      </c>
      <c r="K135">
        <v>2377</v>
      </c>
      <c r="L135" t="str">
        <f>DiscreteStatsTable[[#This Row],[ProjectName]]&amp;DiscreteStatsTable[[#This Row],[Name]]&amp;DiscreteStatsTable[[#This Row],[Type]]&amp;DiscreteStatsTable[[#This Row],[Source]]</f>
        <v>PacientesEntity 1Other TimeEntity</v>
      </c>
      <c r="M13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cm="1">
        <f t="array" ref="V13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5">
        <f>IF((DiscreteStatsTable[[#This Row],[RepsRequested]]&gt;1),DiscreteStatsTable[[#This Row],[HalfWidth]],DiscreteStatsTable[[#This Row],[BatchMeansHalfWidth]])</f>
        <v>0</v>
      </c>
      <c r="X13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131</v>
      </c>
      <c r="C136">
        <v>23</v>
      </c>
      <c r="D136" t="s">
        <v>70</v>
      </c>
      <c r="E136" t="s">
        <v>74</v>
      </c>
      <c r="F136" t="s">
        <v>72</v>
      </c>
      <c r="G136">
        <v>1.52481024786151</v>
      </c>
      <c r="H136">
        <v>0.26612583856831801</v>
      </c>
      <c r="I136">
        <v>0.25537359107277202</v>
      </c>
      <c r="J136">
        <v>12.334827344051501</v>
      </c>
      <c r="K136">
        <v>2377</v>
      </c>
      <c r="L136" t="str">
        <f>DiscreteStatsTable[[#This Row],[ProjectName]]&amp;DiscreteStatsTable[[#This Row],[Name]]&amp;DiscreteStatsTable[[#This Row],[Type]]&amp;DiscreteStatsTable[[#This Row],[Source]]</f>
        <v>PacientesEntity 1Total TimeEntity</v>
      </c>
      <c r="M136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cm="1">
        <f t="array" ref="N136">IFERROR(AVERAGE(IF((DiscreteStatsTable[GroupByKey]=DiscreteStatsTable[[#This Row],[GroupByKey]]),(DiscreteStatsTable[GroupByKey]=DiscreteStatsTable[[#This Row],[GroupByKey]])*DiscreteStatsTable[Average])),0)</f>
        <v>1.5029966070875795</v>
      </c>
      <c r="O136" cm="1">
        <f t="array" ref="O13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36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36" cm="1">
        <f t="array" ref="R136">MIN(IF((DiscreteStatsTable[GroupByKey]=DiscreteStatsTable[[#This Row],[GroupByKey]]),(DiscreteStatsTable[GroupByKey]=DiscreteStatsTable[[#This Row],[GroupByKey]])*DiscreteStatsTable[Average]))</f>
        <v>1.21830768607881</v>
      </c>
      <c r="S136" cm="1">
        <f t="array" ref="S136">MAX(IF((DiscreteStatsTable[GroupByKey]=DiscreteStatsTable[[#This Row],[GroupByKey]]),(DiscreteStatsTable[GroupByKey]=DiscreteStatsTable[[#This Row],[GroupByKey]])*DiscreteStatsTable[Average]))</f>
        <v>2.06387223343107</v>
      </c>
      <c r="T136" cm="1">
        <f t="array" ref="T136">MIN(IF((DiscreteStatsTable[GroupByKey]=DiscreteStatsTable[[#This Row],[GroupByKey]]),(DiscreteStatsTable[GroupByKey]=DiscreteStatsTable[[#This Row],[GroupByKey]])*DiscreteStatsTable[Minimum]))</f>
        <v>0.203133309337034</v>
      </c>
      <c r="U136" cm="1">
        <f t="array" ref="U136">MAX(IF((DiscreteStatsTable[GroupByKey]=DiscreteStatsTable[[#This Row],[GroupByKey]]),(DiscreteStatsTable[GroupByKey]=DiscreteStatsTable[[#This Row],[GroupByKey]])*DiscreteStatsTable[Maximum]))</f>
        <v>29.554686467573401</v>
      </c>
      <c r="V136" cm="1">
        <f t="array" ref="V13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6">
        <f>IF((DiscreteStatsTable[[#This Row],[RepsRequested]]&gt;1),DiscreteStatsTable[[#This Row],[HalfWidth]],DiscreteStatsTable[[#This Row],[BatchMeansHalfWidth]])</f>
        <v>6.1205265903720704E-2</v>
      </c>
      <c r="X136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131</v>
      </c>
      <c r="C137">
        <v>23</v>
      </c>
      <c r="D137" t="s">
        <v>70</v>
      </c>
      <c r="E137" t="s">
        <v>75</v>
      </c>
      <c r="F137" t="s">
        <v>72</v>
      </c>
      <c r="G137">
        <v>0</v>
      </c>
      <c r="H137">
        <v>0</v>
      </c>
      <c r="I137">
        <v>0</v>
      </c>
      <c r="J137">
        <v>0</v>
      </c>
      <c r="K137">
        <v>2377</v>
      </c>
      <c r="L137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37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cm="1">
        <f t="array" ref="V13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7">
        <f>IF((DiscreteStatsTable[[#This Row],[RepsRequested]]&gt;1),DiscreteStatsTable[[#This Row],[HalfWidth]],DiscreteStatsTable[[#This Row],[BatchMeansHalfWidth]])</f>
        <v>0</v>
      </c>
      <c r="X137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131</v>
      </c>
      <c r="C138">
        <v>23</v>
      </c>
      <c r="D138" t="s">
        <v>70</v>
      </c>
      <c r="E138" t="s">
        <v>76</v>
      </c>
      <c r="F138" t="s">
        <v>72</v>
      </c>
      <c r="G138">
        <v>0.63784939478220604</v>
      </c>
      <c r="H138">
        <v>1.4247619199609899E-2</v>
      </c>
      <c r="I138">
        <v>0.23060606555364399</v>
      </c>
      <c r="J138">
        <v>1.5509330429197099</v>
      </c>
      <c r="K138">
        <v>2377</v>
      </c>
      <c r="L138" t="str">
        <f>DiscreteStatsTable[[#This Row],[ProjectName]]&amp;DiscreteStatsTable[[#This Row],[Name]]&amp;DiscreteStatsTable[[#This Row],[Type]]&amp;DiscreteStatsTable[[#This Row],[Source]]</f>
        <v>PacientesEntity 1VA TimeEntity</v>
      </c>
      <c r="M138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cm="1">
        <f t="array" ref="N138">IFERROR(AVERAGE(IF((DiscreteStatsTable[GroupByKey]=DiscreteStatsTable[[#This Row],[GroupByKey]]),(DiscreteStatsTable[GroupByKey]=DiscreteStatsTable[[#This Row],[GroupByKey]])*DiscreteStatsTable[Average])),0)</f>
        <v>0.63333757112184219</v>
      </c>
      <c r="O138" cm="1">
        <f t="array" ref="O138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38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38" cm="1">
        <f t="array" ref="R138">MIN(IF((DiscreteStatsTable[GroupByKey]=DiscreteStatsTable[[#This Row],[GroupByKey]]),(DiscreteStatsTable[GroupByKey]=DiscreteStatsTable[[#This Row],[GroupByKey]])*DiscreteStatsTable[Average]))</f>
        <v>0.62319357082308402</v>
      </c>
      <c r="S138" cm="1">
        <f t="array" ref="S138">MAX(IF((DiscreteStatsTable[GroupByKey]=DiscreteStatsTable[[#This Row],[GroupByKey]]),(DiscreteStatsTable[GroupByKey]=DiscreteStatsTable[[#This Row],[GroupByKey]])*DiscreteStatsTable[Average]))</f>
        <v>0.64452003514622502</v>
      </c>
      <c r="T138" cm="1">
        <f t="array" ref="T138">MIN(IF((DiscreteStatsTable[GroupByKey]=DiscreteStatsTable[[#This Row],[GroupByKey]]),(DiscreteStatsTable[GroupByKey]=DiscreteStatsTable[[#This Row],[GroupByKey]])*DiscreteStatsTable[Minimum]))</f>
        <v>0.203133309337034</v>
      </c>
      <c r="U138" cm="1">
        <f t="array" ref="U138">MAX(IF((DiscreteStatsTable[GroupByKey]=DiscreteStatsTable[[#This Row],[GroupByKey]]),(DiscreteStatsTable[GroupByKey]=DiscreteStatsTable[[#This Row],[GroupByKey]])*DiscreteStatsTable[Maximum]))</f>
        <v>1.5939517145847</v>
      </c>
      <c r="V138" cm="1">
        <f t="array" ref="V13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8">
        <f>IF((DiscreteStatsTable[[#This Row],[RepsRequested]]&gt;1),DiscreteStatsTable[[#This Row],[HalfWidth]],DiscreteStatsTable[[#This Row],[BatchMeansHalfWidth]])</f>
        <v>1.276828436655964E-3</v>
      </c>
      <c r="X138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131</v>
      </c>
      <c r="C139">
        <v>23</v>
      </c>
      <c r="D139" t="s">
        <v>70</v>
      </c>
      <c r="E139" t="s">
        <v>77</v>
      </c>
      <c r="F139" t="s">
        <v>72</v>
      </c>
      <c r="G139">
        <v>0.88696085307929995</v>
      </c>
      <c r="H139">
        <v>0.26427326583948002</v>
      </c>
      <c r="I139">
        <v>0</v>
      </c>
      <c r="J139">
        <v>11.9195551942883</v>
      </c>
      <c r="K139">
        <v>2377</v>
      </c>
      <c r="L139" t="str">
        <f>DiscreteStatsTable[[#This Row],[ProjectName]]&amp;DiscreteStatsTable[[#This Row],[Name]]&amp;DiscreteStatsTable[[#This Row],[Type]]&amp;DiscreteStatsTable[[#This Row],[Source]]</f>
        <v>PacientesEntity 1Wait TimeEntity</v>
      </c>
      <c r="M139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cm="1">
        <f t="array" ref="N139">IFERROR(AVERAGE(IF((DiscreteStatsTable[GroupByKey]=DiscreteStatsTable[[#This Row],[GroupByKey]]),(DiscreteStatsTable[GroupByKey]=DiscreteStatsTable[[#This Row],[GroupByKey]])*DiscreteStatsTable[Average])),0)</f>
        <v>0.86965903596573602</v>
      </c>
      <c r="O139" cm="1">
        <f t="array" ref="O139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39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39" cm="1">
        <f t="array" ref="R139">MIN(IF((DiscreteStatsTable[GroupByKey]=DiscreteStatsTable[[#This Row],[GroupByKey]]),(DiscreteStatsTable[GroupByKey]=DiscreteStatsTable[[#This Row],[GroupByKey]])*DiscreteStatsTable[Average]))</f>
        <v>0.58431254303614699</v>
      </c>
      <c r="S139" cm="1">
        <f t="array" ref="S139">MAX(IF((DiscreteStatsTable[GroupByKey]=DiscreteStatsTable[[#This Row],[GroupByKey]]),(DiscreteStatsTable[GroupByKey]=DiscreteStatsTable[[#This Row],[GroupByKey]])*DiscreteStatsTable[Average]))</f>
        <v>1.42140669319588</v>
      </c>
      <c r="T139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cm="1">
        <f t="array" ref="U139">MAX(IF((DiscreteStatsTable[GroupByKey]=DiscreteStatsTable[[#This Row],[GroupByKey]]),(DiscreteStatsTable[GroupByKey]=DiscreteStatsTable[[#This Row],[GroupByKey]])*DiscreteStatsTable[Maximum]))</f>
        <v>28.983199492767199</v>
      </c>
      <c r="V139" cm="1">
        <f t="array" ref="V13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39">
        <f>IF((DiscreteStatsTable[[#This Row],[RepsRequested]]&gt;1),DiscreteStatsTable[[#This Row],[HalfWidth]],DiscreteStatsTable[[#This Row],[BatchMeansHalfWidth]])</f>
        <v>6.0911976702528743E-2</v>
      </c>
      <c r="X139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131</v>
      </c>
      <c r="C140">
        <v>24</v>
      </c>
      <c r="D140" t="s">
        <v>70</v>
      </c>
      <c r="E140" t="s">
        <v>71</v>
      </c>
      <c r="F140" t="s">
        <v>72</v>
      </c>
      <c r="G140">
        <v>0</v>
      </c>
      <c r="H140">
        <v>0</v>
      </c>
      <c r="I140">
        <v>0</v>
      </c>
      <c r="J140">
        <v>0</v>
      </c>
      <c r="K140">
        <v>2420</v>
      </c>
      <c r="L140" t="str">
        <f>DiscreteStatsTable[[#This Row],[ProjectName]]&amp;DiscreteStatsTable[[#This Row],[Name]]&amp;DiscreteStatsTable[[#This Row],[Type]]&amp;DiscreteStatsTable[[#This Row],[Source]]</f>
        <v>PacientesEntity 1NVA TimeEntity</v>
      </c>
      <c r="M140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cm="1">
        <f t="array" ref="V14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0">
        <f>IF((DiscreteStatsTable[[#This Row],[RepsRequested]]&gt;1),DiscreteStatsTable[[#This Row],[HalfWidth]],DiscreteStatsTable[[#This Row],[BatchMeansHalfWidth]])</f>
        <v>0</v>
      </c>
      <c r="X140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131</v>
      </c>
      <c r="C141">
        <v>24</v>
      </c>
      <c r="D141" t="s">
        <v>70</v>
      </c>
      <c r="E141" t="s">
        <v>73</v>
      </c>
      <c r="F141" t="s">
        <v>72</v>
      </c>
      <c r="G141">
        <v>0</v>
      </c>
      <c r="H141">
        <v>0</v>
      </c>
      <c r="I141">
        <v>0</v>
      </c>
      <c r="J141">
        <v>0</v>
      </c>
      <c r="K141">
        <v>2420</v>
      </c>
      <c r="L141" t="str">
        <f>DiscreteStatsTable[[#This Row],[ProjectName]]&amp;DiscreteStatsTable[[#This Row],[Name]]&amp;DiscreteStatsTable[[#This Row],[Type]]&amp;DiscreteStatsTable[[#This Row],[Source]]</f>
        <v>PacientesEntity 1Other TimeEntity</v>
      </c>
      <c r="M141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cm="1">
        <f t="array" ref="V14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1">
        <f>IF((DiscreteStatsTable[[#This Row],[RepsRequested]]&gt;1),DiscreteStatsTable[[#This Row],[HalfWidth]],DiscreteStatsTable[[#This Row],[BatchMeansHalfWidth]])</f>
        <v>0</v>
      </c>
      <c r="X141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131</v>
      </c>
      <c r="C142">
        <v>24</v>
      </c>
      <c r="D142" t="s">
        <v>70</v>
      </c>
      <c r="E142" t="s">
        <v>74</v>
      </c>
      <c r="F142" t="s">
        <v>72</v>
      </c>
      <c r="G142">
        <v>1.989772475788</v>
      </c>
      <c r="H142">
        <v>3E+20</v>
      </c>
      <c r="I142">
        <v>0.26692020674048</v>
      </c>
      <c r="J142">
        <v>29.554686467573401</v>
      </c>
      <c r="K142">
        <v>2420</v>
      </c>
      <c r="L142" t="str">
        <f>DiscreteStatsTable[[#This Row],[ProjectName]]&amp;DiscreteStatsTable[[#This Row],[Name]]&amp;DiscreteStatsTable[[#This Row],[Type]]&amp;DiscreteStatsTable[[#This Row],[Source]]</f>
        <v>PacientesEntity 1Total TimeEntity</v>
      </c>
      <c r="M142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cm="1">
        <f t="array" ref="N142">IFERROR(AVERAGE(IF((DiscreteStatsTable[GroupByKey]=DiscreteStatsTable[[#This Row],[GroupByKey]]),(DiscreteStatsTable[GroupByKey]=DiscreteStatsTable[[#This Row],[GroupByKey]])*DiscreteStatsTable[Average])),0)</f>
        <v>1.5029966070875795</v>
      </c>
      <c r="O142" cm="1">
        <f t="array" ref="O14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42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42" cm="1">
        <f t="array" ref="R142">MIN(IF((DiscreteStatsTable[GroupByKey]=DiscreteStatsTable[[#This Row],[GroupByKey]]),(DiscreteStatsTable[GroupByKey]=DiscreteStatsTable[[#This Row],[GroupByKey]])*DiscreteStatsTable[Average]))</f>
        <v>1.21830768607881</v>
      </c>
      <c r="S142" cm="1">
        <f t="array" ref="S142">MAX(IF((DiscreteStatsTable[GroupByKey]=DiscreteStatsTable[[#This Row],[GroupByKey]]),(DiscreteStatsTable[GroupByKey]=DiscreteStatsTable[[#This Row],[GroupByKey]])*DiscreteStatsTable[Average]))</f>
        <v>2.06387223343107</v>
      </c>
      <c r="T142" cm="1">
        <f t="array" ref="T142">MIN(IF((DiscreteStatsTable[GroupByKey]=DiscreteStatsTable[[#This Row],[GroupByKey]]),(DiscreteStatsTable[GroupByKey]=DiscreteStatsTable[[#This Row],[GroupByKey]])*DiscreteStatsTable[Minimum]))</f>
        <v>0.203133309337034</v>
      </c>
      <c r="U142" cm="1">
        <f t="array" ref="U142">MAX(IF((DiscreteStatsTable[GroupByKey]=DiscreteStatsTable[[#This Row],[GroupByKey]]),(DiscreteStatsTable[GroupByKey]=DiscreteStatsTable[[#This Row],[GroupByKey]])*DiscreteStatsTable[Maximum]))</f>
        <v>29.554686467573401</v>
      </c>
      <c r="V142" cm="1">
        <f t="array" ref="V14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2">
        <f>IF((DiscreteStatsTable[[#This Row],[RepsRequested]]&gt;1),DiscreteStatsTable[[#This Row],[HalfWidth]],DiscreteStatsTable[[#This Row],[BatchMeansHalfWidth]])</f>
        <v>6.1205265903720704E-2</v>
      </c>
      <c r="X142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131</v>
      </c>
      <c r="C143">
        <v>24</v>
      </c>
      <c r="D143" t="s">
        <v>70</v>
      </c>
      <c r="E143" t="s">
        <v>75</v>
      </c>
      <c r="F143" t="s">
        <v>72</v>
      </c>
      <c r="G143">
        <v>0</v>
      </c>
      <c r="H143">
        <v>0</v>
      </c>
      <c r="I143">
        <v>0</v>
      </c>
      <c r="J143">
        <v>0</v>
      </c>
      <c r="K143">
        <v>2420</v>
      </c>
      <c r="L143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43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cm="1">
        <f t="array" ref="V14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3">
        <f>IF((DiscreteStatsTable[[#This Row],[RepsRequested]]&gt;1),DiscreteStatsTable[[#This Row],[HalfWidth]],DiscreteStatsTable[[#This Row],[BatchMeansHalfWidth]])</f>
        <v>0</v>
      </c>
      <c r="X143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131</v>
      </c>
      <c r="C144">
        <v>24</v>
      </c>
      <c r="D144" t="s">
        <v>70</v>
      </c>
      <c r="E144" t="s">
        <v>76</v>
      </c>
      <c r="F144" t="s">
        <v>72</v>
      </c>
      <c r="G144">
        <v>0.63375809798851801</v>
      </c>
      <c r="H144">
        <v>1.29179463256223E-2</v>
      </c>
      <c r="I144">
        <v>0.22281845662212199</v>
      </c>
      <c r="J144">
        <v>1.58856216126094</v>
      </c>
      <c r="K144">
        <v>2420</v>
      </c>
      <c r="L144" t="str">
        <f>DiscreteStatsTable[[#This Row],[ProjectName]]&amp;DiscreteStatsTable[[#This Row],[Name]]&amp;DiscreteStatsTable[[#This Row],[Type]]&amp;DiscreteStatsTable[[#This Row],[Source]]</f>
        <v>PacientesEntity 1VA TimeEntity</v>
      </c>
      <c r="M144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cm="1">
        <f t="array" ref="N144">IFERROR(AVERAGE(IF((DiscreteStatsTable[GroupByKey]=DiscreteStatsTable[[#This Row],[GroupByKey]]),(DiscreteStatsTable[GroupByKey]=DiscreteStatsTable[[#This Row],[GroupByKey]])*DiscreteStatsTable[Average])),0)</f>
        <v>0.63333757112184219</v>
      </c>
      <c r="O144" cm="1">
        <f t="array" ref="O144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44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44" cm="1">
        <f t="array" ref="R144">MIN(IF((DiscreteStatsTable[GroupByKey]=DiscreteStatsTable[[#This Row],[GroupByKey]]),(DiscreteStatsTable[GroupByKey]=DiscreteStatsTable[[#This Row],[GroupByKey]])*DiscreteStatsTable[Average]))</f>
        <v>0.62319357082308402</v>
      </c>
      <c r="S144" cm="1">
        <f t="array" ref="S144">MAX(IF((DiscreteStatsTable[GroupByKey]=DiscreteStatsTable[[#This Row],[GroupByKey]]),(DiscreteStatsTable[GroupByKey]=DiscreteStatsTable[[#This Row],[GroupByKey]])*DiscreteStatsTable[Average]))</f>
        <v>0.64452003514622502</v>
      </c>
      <c r="T144" cm="1">
        <f t="array" ref="T144">MIN(IF((DiscreteStatsTable[GroupByKey]=DiscreteStatsTable[[#This Row],[GroupByKey]]),(DiscreteStatsTable[GroupByKey]=DiscreteStatsTable[[#This Row],[GroupByKey]])*DiscreteStatsTable[Minimum]))</f>
        <v>0.203133309337034</v>
      </c>
      <c r="U144" cm="1">
        <f t="array" ref="U144">MAX(IF((DiscreteStatsTable[GroupByKey]=DiscreteStatsTable[[#This Row],[GroupByKey]]),(DiscreteStatsTable[GroupByKey]=DiscreteStatsTable[[#This Row],[GroupByKey]])*DiscreteStatsTable[Maximum]))</f>
        <v>1.5939517145847</v>
      </c>
      <c r="V144" cm="1">
        <f t="array" ref="V14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4">
        <f>IF((DiscreteStatsTable[[#This Row],[RepsRequested]]&gt;1),DiscreteStatsTable[[#This Row],[HalfWidth]],DiscreteStatsTable[[#This Row],[BatchMeansHalfWidth]])</f>
        <v>1.276828436655964E-3</v>
      </c>
      <c r="X144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131</v>
      </c>
      <c r="C145">
        <v>24</v>
      </c>
      <c r="D145" t="s">
        <v>70</v>
      </c>
      <c r="E145" t="s">
        <v>77</v>
      </c>
      <c r="F145" t="s">
        <v>72</v>
      </c>
      <c r="G145">
        <v>1.35601437779948</v>
      </c>
      <c r="H145">
        <v>3E+20</v>
      </c>
      <c r="I145">
        <v>0</v>
      </c>
      <c r="J145">
        <v>28.983199492767199</v>
      </c>
      <c r="K145">
        <v>2420</v>
      </c>
      <c r="L145" t="str">
        <f>DiscreteStatsTable[[#This Row],[ProjectName]]&amp;DiscreteStatsTable[[#This Row],[Name]]&amp;DiscreteStatsTable[[#This Row],[Type]]&amp;DiscreteStatsTable[[#This Row],[Source]]</f>
        <v>PacientesEntity 1Wait TimeEntity</v>
      </c>
      <c r="M14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cm="1">
        <f t="array" ref="N145">IFERROR(AVERAGE(IF((DiscreteStatsTable[GroupByKey]=DiscreteStatsTable[[#This Row],[GroupByKey]]),(DiscreteStatsTable[GroupByKey]=DiscreteStatsTable[[#This Row],[GroupByKey]])*DiscreteStatsTable[Average])),0)</f>
        <v>0.86965903596573602</v>
      </c>
      <c r="O145" cm="1">
        <f t="array" ref="O145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4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45" cm="1">
        <f t="array" ref="R145">MIN(IF((DiscreteStatsTable[GroupByKey]=DiscreteStatsTable[[#This Row],[GroupByKey]]),(DiscreteStatsTable[GroupByKey]=DiscreteStatsTable[[#This Row],[GroupByKey]])*DiscreteStatsTable[Average]))</f>
        <v>0.58431254303614699</v>
      </c>
      <c r="S145" cm="1">
        <f t="array" ref="S145">MAX(IF((DiscreteStatsTable[GroupByKey]=DiscreteStatsTable[[#This Row],[GroupByKey]]),(DiscreteStatsTable[GroupByKey]=DiscreteStatsTable[[#This Row],[GroupByKey]])*DiscreteStatsTable[Average]))</f>
        <v>1.42140669319588</v>
      </c>
      <c r="T14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cm="1">
        <f t="array" ref="U145">MAX(IF((DiscreteStatsTable[GroupByKey]=DiscreteStatsTable[[#This Row],[GroupByKey]]),(DiscreteStatsTable[GroupByKey]=DiscreteStatsTable[[#This Row],[GroupByKey]])*DiscreteStatsTable[Maximum]))</f>
        <v>28.983199492767199</v>
      </c>
      <c r="V145" cm="1">
        <f t="array" ref="V14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5">
        <f>IF((DiscreteStatsTable[[#This Row],[RepsRequested]]&gt;1),DiscreteStatsTable[[#This Row],[HalfWidth]],DiscreteStatsTable[[#This Row],[BatchMeansHalfWidth]])</f>
        <v>6.0911976702528743E-2</v>
      </c>
      <c r="X14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131</v>
      </c>
      <c r="C146">
        <v>25</v>
      </c>
      <c r="D146" t="s">
        <v>70</v>
      </c>
      <c r="E146" t="s">
        <v>71</v>
      </c>
      <c r="F146" t="s">
        <v>72</v>
      </c>
      <c r="G146">
        <v>0</v>
      </c>
      <c r="H146">
        <v>0</v>
      </c>
      <c r="I146">
        <v>0</v>
      </c>
      <c r="J146">
        <v>0</v>
      </c>
      <c r="K146">
        <v>2504</v>
      </c>
      <c r="L146" t="str">
        <f>DiscreteStatsTable[[#This Row],[ProjectName]]&amp;DiscreteStatsTable[[#This Row],[Name]]&amp;DiscreteStatsTable[[#This Row],[Type]]&amp;DiscreteStatsTable[[#This Row],[Source]]</f>
        <v>PacientesEntity 1NVA TimeEntity</v>
      </c>
      <c r="M146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cm="1">
        <f t="array" ref="V14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6">
        <f>IF((DiscreteStatsTable[[#This Row],[RepsRequested]]&gt;1),DiscreteStatsTable[[#This Row],[HalfWidth]],DiscreteStatsTable[[#This Row],[BatchMeansHalfWidth]])</f>
        <v>0</v>
      </c>
      <c r="X146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131</v>
      </c>
      <c r="C147">
        <v>25</v>
      </c>
      <c r="D147" t="s">
        <v>70</v>
      </c>
      <c r="E147" t="s">
        <v>73</v>
      </c>
      <c r="F147" t="s">
        <v>72</v>
      </c>
      <c r="G147">
        <v>0</v>
      </c>
      <c r="H147">
        <v>0</v>
      </c>
      <c r="I147">
        <v>0</v>
      </c>
      <c r="J147">
        <v>0</v>
      </c>
      <c r="K147">
        <v>2504</v>
      </c>
      <c r="L147" t="str">
        <f>DiscreteStatsTable[[#This Row],[ProjectName]]&amp;DiscreteStatsTable[[#This Row],[Name]]&amp;DiscreteStatsTable[[#This Row],[Type]]&amp;DiscreteStatsTable[[#This Row],[Source]]</f>
        <v>PacientesEntity 1Other TimeEntity</v>
      </c>
      <c r="M147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cm="1">
        <f t="array" ref="V14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7">
        <f>IF((DiscreteStatsTable[[#This Row],[RepsRequested]]&gt;1),DiscreteStatsTable[[#This Row],[HalfWidth]],DiscreteStatsTable[[#This Row],[BatchMeansHalfWidth]])</f>
        <v>0</v>
      </c>
      <c r="X147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131</v>
      </c>
      <c r="C148">
        <v>25</v>
      </c>
      <c r="D148" t="s">
        <v>70</v>
      </c>
      <c r="E148" t="s">
        <v>74</v>
      </c>
      <c r="F148" t="s">
        <v>72</v>
      </c>
      <c r="G148">
        <v>1.8669068192460201</v>
      </c>
      <c r="H148">
        <v>0.35112895172354802</v>
      </c>
      <c r="I148">
        <v>0.24872380162798199</v>
      </c>
      <c r="J148">
        <v>15.133604010751901</v>
      </c>
      <c r="K148">
        <v>2504</v>
      </c>
      <c r="L148" t="str">
        <f>DiscreteStatsTable[[#This Row],[ProjectName]]&amp;DiscreteStatsTable[[#This Row],[Name]]&amp;DiscreteStatsTable[[#This Row],[Type]]&amp;DiscreteStatsTable[[#This Row],[Source]]</f>
        <v>PacientesEntity 1Total TimeEntity</v>
      </c>
      <c r="M148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cm="1">
        <f t="array" ref="N148">IFERROR(AVERAGE(IF((DiscreteStatsTable[GroupByKey]=DiscreteStatsTable[[#This Row],[GroupByKey]]),(DiscreteStatsTable[GroupByKey]=DiscreteStatsTable[[#This Row],[GroupByKey]])*DiscreteStatsTable[Average])),0)</f>
        <v>1.5029966070875795</v>
      </c>
      <c r="O148" cm="1">
        <f t="array" ref="O14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48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48" cm="1">
        <f t="array" ref="R148">MIN(IF((DiscreteStatsTable[GroupByKey]=DiscreteStatsTable[[#This Row],[GroupByKey]]),(DiscreteStatsTable[GroupByKey]=DiscreteStatsTable[[#This Row],[GroupByKey]])*DiscreteStatsTable[Average]))</f>
        <v>1.21830768607881</v>
      </c>
      <c r="S148" cm="1">
        <f t="array" ref="S148">MAX(IF((DiscreteStatsTable[GroupByKey]=DiscreteStatsTable[[#This Row],[GroupByKey]]),(DiscreteStatsTable[GroupByKey]=DiscreteStatsTable[[#This Row],[GroupByKey]])*DiscreteStatsTable[Average]))</f>
        <v>2.06387223343107</v>
      </c>
      <c r="T148" cm="1">
        <f t="array" ref="T148">MIN(IF((DiscreteStatsTable[GroupByKey]=DiscreteStatsTable[[#This Row],[GroupByKey]]),(DiscreteStatsTable[GroupByKey]=DiscreteStatsTable[[#This Row],[GroupByKey]])*DiscreteStatsTable[Minimum]))</f>
        <v>0.203133309337034</v>
      </c>
      <c r="U148" cm="1">
        <f t="array" ref="U148">MAX(IF((DiscreteStatsTable[GroupByKey]=DiscreteStatsTable[[#This Row],[GroupByKey]]),(DiscreteStatsTable[GroupByKey]=DiscreteStatsTable[[#This Row],[GroupByKey]])*DiscreteStatsTable[Maximum]))</f>
        <v>29.554686467573401</v>
      </c>
      <c r="V148" cm="1">
        <f t="array" ref="V14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8">
        <f>IF((DiscreteStatsTable[[#This Row],[RepsRequested]]&gt;1),DiscreteStatsTable[[#This Row],[HalfWidth]],DiscreteStatsTable[[#This Row],[BatchMeansHalfWidth]])</f>
        <v>6.1205265903720704E-2</v>
      </c>
      <c r="X148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131</v>
      </c>
      <c r="C149">
        <v>25</v>
      </c>
      <c r="D149" t="s">
        <v>70</v>
      </c>
      <c r="E149" t="s">
        <v>75</v>
      </c>
      <c r="F149" t="s">
        <v>72</v>
      </c>
      <c r="G149">
        <v>0</v>
      </c>
      <c r="H149">
        <v>0</v>
      </c>
      <c r="I149">
        <v>0</v>
      </c>
      <c r="J149">
        <v>0</v>
      </c>
      <c r="K149">
        <v>2504</v>
      </c>
      <c r="L149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49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cm="1">
        <f t="array" ref="V14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49">
        <f>IF((DiscreteStatsTable[[#This Row],[RepsRequested]]&gt;1),DiscreteStatsTable[[#This Row],[HalfWidth]],DiscreteStatsTable[[#This Row],[BatchMeansHalfWidth]])</f>
        <v>0</v>
      </c>
      <c r="X149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131</v>
      </c>
      <c r="C150">
        <v>25</v>
      </c>
      <c r="D150" t="s">
        <v>70</v>
      </c>
      <c r="E150" t="s">
        <v>76</v>
      </c>
      <c r="F150" t="s">
        <v>72</v>
      </c>
      <c r="G150">
        <v>0.63252530943820695</v>
      </c>
      <c r="H150">
        <v>3E+20</v>
      </c>
      <c r="I150">
        <v>0.21624754011895</v>
      </c>
      <c r="J150">
        <v>1.5512023696334201</v>
      </c>
      <c r="K150">
        <v>2504</v>
      </c>
      <c r="L150" t="str">
        <f>DiscreteStatsTable[[#This Row],[ProjectName]]&amp;DiscreteStatsTable[[#This Row],[Name]]&amp;DiscreteStatsTable[[#This Row],[Type]]&amp;DiscreteStatsTable[[#This Row],[Source]]</f>
        <v>PacientesEntity 1VA TimeEntity</v>
      </c>
      <c r="M150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cm="1">
        <f t="array" ref="N150">IFERROR(AVERAGE(IF((DiscreteStatsTable[GroupByKey]=DiscreteStatsTable[[#This Row],[GroupByKey]]),(DiscreteStatsTable[GroupByKey]=DiscreteStatsTable[[#This Row],[GroupByKey]])*DiscreteStatsTable[Average])),0)</f>
        <v>0.63333757112184219</v>
      </c>
      <c r="O150" cm="1">
        <f t="array" ref="O150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50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50" cm="1">
        <f t="array" ref="R150">MIN(IF((DiscreteStatsTable[GroupByKey]=DiscreteStatsTable[[#This Row],[GroupByKey]]),(DiscreteStatsTable[GroupByKey]=DiscreteStatsTable[[#This Row],[GroupByKey]])*DiscreteStatsTable[Average]))</f>
        <v>0.62319357082308402</v>
      </c>
      <c r="S150" cm="1">
        <f t="array" ref="S150">MAX(IF((DiscreteStatsTable[GroupByKey]=DiscreteStatsTable[[#This Row],[GroupByKey]]),(DiscreteStatsTable[GroupByKey]=DiscreteStatsTable[[#This Row],[GroupByKey]])*DiscreteStatsTable[Average]))</f>
        <v>0.64452003514622502</v>
      </c>
      <c r="T150" cm="1">
        <f t="array" ref="T150">MIN(IF((DiscreteStatsTable[GroupByKey]=DiscreteStatsTable[[#This Row],[GroupByKey]]),(DiscreteStatsTable[GroupByKey]=DiscreteStatsTable[[#This Row],[GroupByKey]])*DiscreteStatsTable[Minimum]))</f>
        <v>0.203133309337034</v>
      </c>
      <c r="U150" cm="1">
        <f t="array" ref="U150">MAX(IF((DiscreteStatsTable[GroupByKey]=DiscreteStatsTable[[#This Row],[GroupByKey]]),(DiscreteStatsTable[GroupByKey]=DiscreteStatsTable[[#This Row],[GroupByKey]])*DiscreteStatsTable[Maximum]))</f>
        <v>1.5939517145847</v>
      </c>
      <c r="V150" cm="1">
        <f t="array" ref="V15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0">
        <f>IF((DiscreteStatsTable[[#This Row],[RepsRequested]]&gt;1),DiscreteStatsTable[[#This Row],[HalfWidth]],DiscreteStatsTable[[#This Row],[BatchMeansHalfWidth]])</f>
        <v>1.276828436655964E-3</v>
      </c>
      <c r="X150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131</v>
      </c>
      <c r="C151">
        <v>25</v>
      </c>
      <c r="D151" t="s">
        <v>70</v>
      </c>
      <c r="E151" t="s">
        <v>77</v>
      </c>
      <c r="F151" t="s">
        <v>72</v>
      </c>
      <c r="G151">
        <v>1.2343815098078199</v>
      </c>
      <c r="H151">
        <v>0.34867589792709502</v>
      </c>
      <c r="I151">
        <v>0</v>
      </c>
      <c r="J151">
        <v>14.607905646756601</v>
      </c>
      <c r="K151">
        <v>2504</v>
      </c>
      <c r="L151" t="str">
        <f>DiscreteStatsTable[[#This Row],[ProjectName]]&amp;DiscreteStatsTable[[#This Row],[Name]]&amp;DiscreteStatsTable[[#This Row],[Type]]&amp;DiscreteStatsTable[[#This Row],[Source]]</f>
        <v>PacientesEntity 1Wait TimeEntity</v>
      </c>
      <c r="M151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cm="1">
        <f t="array" ref="N151">IFERROR(AVERAGE(IF((DiscreteStatsTable[GroupByKey]=DiscreteStatsTable[[#This Row],[GroupByKey]]),(DiscreteStatsTable[GroupByKey]=DiscreteStatsTable[[#This Row],[GroupByKey]])*DiscreteStatsTable[Average])),0)</f>
        <v>0.86965903596573602</v>
      </c>
      <c r="O151" cm="1">
        <f t="array" ref="O151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51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51" cm="1">
        <f t="array" ref="R151">MIN(IF((DiscreteStatsTable[GroupByKey]=DiscreteStatsTable[[#This Row],[GroupByKey]]),(DiscreteStatsTable[GroupByKey]=DiscreteStatsTable[[#This Row],[GroupByKey]])*DiscreteStatsTable[Average]))</f>
        <v>0.58431254303614699</v>
      </c>
      <c r="S151" cm="1">
        <f t="array" ref="S151">MAX(IF((DiscreteStatsTable[GroupByKey]=DiscreteStatsTable[[#This Row],[GroupByKey]]),(DiscreteStatsTable[GroupByKey]=DiscreteStatsTable[[#This Row],[GroupByKey]])*DiscreteStatsTable[Average]))</f>
        <v>1.42140669319588</v>
      </c>
      <c r="T151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cm="1">
        <f t="array" ref="U151">MAX(IF((DiscreteStatsTable[GroupByKey]=DiscreteStatsTable[[#This Row],[GroupByKey]]),(DiscreteStatsTable[GroupByKey]=DiscreteStatsTable[[#This Row],[GroupByKey]])*DiscreteStatsTable[Maximum]))</f>
        <v>28.983199492767199</v>
      </c>
      <c r="V151" cm="1">
        <f t="array" ref="V15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1">
        <f>IF((DiscreteStatsTable[[#This Row],[RepsRequested]]&gt;1),DiscreteStatsTable[[#This Row],[HalfWidth]],DiscreteStatsTable[[#This Row],[BatchMeansHalfWidth]])</f>
        <v>6.0911976702528743E-2</v>
      </c>
      <c r="X151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131</v>
      </c>
      <c r="C152">
        <v>26</v>
      </c>
      <c r="D152" t="s">
        <v>70</v>
      </c>
      <c r="E152" t="s">
        <v>71</v>
      </c>
      <c r="F152" t="s">
        <v>72</v>
      </c>
      <c r="G152">
        <v>0</v>
      </c>
      <c r="H152">
        <v>0</v>
      </c>
      <c r="I152">
        <v>0</v>
      </c>
      <c r="J152">
        <v>0</v>
      </c>
      <c r="K152">
        <v>2350</v>
      </c>
      <c r="L152" t="str">
        <f>DiscreteStatsTable[[#This Row],[ProjectName]]&amp;DiscreteStatsTable[[#This Row],[Name]]&amp;DiscreteStatsTable[[#This Row],[Type]]&amp;DiscreteStatsTable[[#This Row],[Source]]</f>
        <v>PacientesEntity 1NVA TimeEntity</v>
      </c>
      <c r="M152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cm="1">
        <f t="array" ref="V15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2">
        <f>IF((DiscreteStatsTable[[#This Row],[RepsRequested]]&gt;1),DiscreteStatsTable[[#This Row],[HalfWidth]],DiscreteStatsTable[[#This Row],[BatchMeansHalfWidth]])</f>
        <v>0</v>
      </c>
      <c r="X152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131</v>
      </c>
      <c r="C153">
        <v>26</v>
      </c>
      <c r="D153" t="s">
        <v>70</v>
      </c>
      <c r="E153" t="s">
        <v>73</v>
      </c>
      <c r="F153" t="s">
        <v>72</v>
      </c>
      <c r="G153">
        <v>0</v>
      </c>
      <c r="H153">
        <v>0</v>
      </c>
      <c r="I153">
        <v>0</v>
      </c>
      <c r="J153">
        <v>0</v>
      </c>
      <c r="K153">
        <v>2350</v>
      </c>
      <c r="L153" t="str">
        <f>DiscreteStatsTable[[#This Row],[ProjectName]]&amp;DiscreteStatsTable[[#This Row],[Name]]&amp;DiscreteStatsTable[[#This Row],[Type]]&amp;DiscreteStatsTable[[#This Row],[Source]]</f>
        <v>PacientesEntity 1Other TimeEntity</v>
      </c>
      <c r="M153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cm="1">
        <f t="array" ref="V15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3">
        <f>IF((DiscreteStatsTable[[#This Row],[RepsRequested]]&gt;1),DiscreteStatsTable[[#This Row],[HalfWidth]],DiscreteStatsTable[[#This Row],[BatchMeansHalfWidth]])</f>
        <v>0</v>
      </c>
      <c r="X153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131</v>
      </c>
      <c r="C154">
        <v>26</v>
      </c>
      <c r="D154" t="s">
        <v>70</v>
      </c>
      <c r="E154" t="s">
        <v>74</v>
      </c>
      <c r="F154" t="s">
        <v>72</v>
      </c>
      <c r="G154">
        <v>1.37883858039588</v>
      </c>
      <c r="H154">
        <v>0.19569383168662799</v>
      </c>
      <c r="I154">
        <v>0.26669007181510601</v>
      </c>
      <c r="J154">
        <v>10.460423694364501</v>
      </c>
      <c r="K154">
        <v>2350</v>
      </c>
      <c r="L154" t="str">
        <f>DiscreteStatsTable[[#This Row],[ProjectName]]&amp;DiscreteStatsTable[[#This Row],[Name]]&amp;DiscreteStatsTable[[#This Row],[Type]]&amp;DiscreteStatsTable[[#This Row],[Source]]</f>
        <v>PacientesEntity 1Total TimeEntity</v>
      </c>
      <c r="M154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cm="1">
        <f t="array" ref="N154">IFERROR(AVERAGE(IF((DiscreteStatsTable[GroupByKey]=DiscreteStatsTable[[#This Row],[GroupByKey]]),(DiscreteStatsTable[GroupByKey]=DiscreteStatsTable[[#This Row],[GroupByKey]])*DiscreteStatsTable[Average])),0)</f>
        <v>1.5029966070875795</v>
      </c>
      <c r="O154" cm="1">
        <f t="array" ref="O15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54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54" cm="1">
        <f t="array" ref="R154">MIN(IF((DiscreteStatsTable[GroupByKey]=DiscreteStatsTable[[#This Row],[GroupByKey]]),(DiscreteStatsTable[GroupByKey]=DiscreteStatsTable[[#This Row],[GroupByKey]])*DiscreteStatsTable[Average]))</f>
        <v>1.21830768607881</v>
      </c>
      <c r="S154" cm="1">
        <f t="array" ref="S154">MAX(IF((DiscreteStatsTable[GroupByKey]=DiscreteStatsTable[[#This Row],[GroupByKey]]),(DiscreteStatsTable[GroupByKey]=DiscreteStatsTable[[#This Row],[GroupByKey]])*DiscreteStatsTable[Average]))</f>
        <v>2.06387223343107</v>
      </c>
      <c r="T154" cm="1">
        <f t="array" ref="T154">MIN(IF((DiscreteStatsTable[GroupByKey]=DiscreteStatsTable[[#This Row],[GroupByKey]]),(DiscreteStatsTable[GroupByKey]=DiscreteStatsTable[[#This Row],[GroupByKey]])*DiscreteStatsTable[Minimum]))</f>
        <v>0.203133309337034</v>
      </c>
      <c r="U154" cm="1">
        <f t="array" ref="U154">MAX(IF((DiscreteStatsTable[GroupByKey]=DiscreteStatsTable[[#This Row],[GroupByKey]]),(DiscreteStatsTable[GroupByKey]=DiscreteStatsTable[[#This Row],[GroupByKey]])*DiscreteStatsTable[Maximum]))</f>
        <v>29.554686467573401</v>
      </c>
      <c r="V154" cm="1">
        <f t="array" ref="V15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4">
        <f>IF((DiscreteStatsTable[[#This Row],[RepsRequested]]&gt;1),DiscreteStatsTable[[#This Row],[HalfWidth]],DiscreteStatsTable[[#This Row],[BatchMeansHalfWidth]])</f>
        <v>6.1205265903720704E-2</v>
      </c>
      <c r="X154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131</v>
      </c>
      <c r="C155">
        <v>26</v>
      </c>
      <c r="D155" t="s">
        <v>70</v>
      </c>
      <c r="E155" t="s">
        <v>75</v>
      </c>
      <c r="F155" t="s">
        <v>72</v>
      </c>
      <c r="G155">
        <v>0</v>
      </c>
      <c r="H155">
        <v>0</v>
      </c>
      <c r="I155">
        <v>0</v>
      </c>
      <c r="J155">
        <v>0</v>
      </c>
      <c r="K155">
        <v>2350</v>
      </c>
      <c r="L155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5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cm="1">
        <f t="array" ref="V15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5">
        <f>IF((DiscreteStatsTable[[#This Row],[RepsRequested]]&gt;1),DiscreteStatsTable[[#This Row],[HalfWidth]],DiscreteStatsTable[[#This Row],[BatchMeansHalfWidth]])</f>
        <v>0</v>
      </c>
      <c r="X15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131</v>
      </c>
      <c r="C156">
        <v>26</v>
      </c>
      <c r="D156" t="s">
        <v>70</v>
      </c>
      <c r="E156" t="s">
        <v>76</v>
      </c>
      <c r="F156" t="s">
        <v>72</v>
      </c>
      <c r="G156">
        <v>0.63794252857376499</v>
      </c>
      <c r="H156">
        <v>1.0010309760943499E-2</v>
      </c>
      <c r="I156">
        <v>0.22163147016090101</v>
      </c>
      <c r="J156">
        <v>1.58901720882542</v>
      </c>
      <c r="K156">
        <v>2350</v>
      </c>
      <c r="L156" t="str">
        <f>DiscreteStatsTable[[#This Row],[ProjectName]]&amp;DiscreteStatsTable[[#This Row],[Name]]&amp;DiscreteStatsTable[[#This Row],[Type]]&amp;DiscreteStatsTable[[#This Row],[Source]]</f>
        <v>PacientesEntity 1VA TimeEntity</v>
      </c>
      <c r="M156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cm="1">
        <f t="array" ref="N156">IFERROR(AVERAGE(IF((DiscreteStatsTable[GroupByKey]=DiscreteStatsTable[[#This Row],[GroupByKey]]),(DiscreteStatsTable[GroupByKey]=DiscreteStatsTable[[#This Row],[GroupByKey]])*DiscreteStatsTable[Average])),0)</f>
        <v>0.63333757112184219</v>
      </c>
      <c r="O156" cm="1">
        <f t="array" ref="O156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56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56" cm="1">
        <f t="array" ref="R156">MIN(IF((DiscreteStatsTable[GroupByKey]=DiscreteStatsTable[[#This Row],[GroupByKey]]),(DiscreteStatsTable[GroupByKey]=DiscreteStatsTable[[#This Row],[GroupByKey]])*DiscreteStatsTable[Average]))</f>
        <v>0.62319357082308402</v>
      </c>
      <c r="S156" cm="1">
        <f t="array" ref="S156">MAX(IF((DiscreteStatsTable[GroupByKey]=DiscreteStatsTable[[#This Row],[GroupByKey]]),(DiscreteStatsTable[GroupByKey]=DiscreteStatsTable[[#This Row],[GroupByKey]])*DiscreteStatsTable[Average]))</f>
        <v>0.64452003514622502</v>
      </c>
      <c r="T156" cm="1">
        <f t="array" ref="T156">MIN(IF((DiscreteStatsTable[GroupByKey]=DiscreteStatsTable[[#This Row],[GroupByKey]]),(DiscreteStatsTable[GroupByKey]=DiscreteStatsTable[[#This Row],[GroupByKey]])*DiscreteStatsTable[Minimum]))</f>
        <v>0.203133309337034</v>
      </c>
      <c r="U156" cm="1">
        <f t="array" ref="U156">MAX(IF((DiscreteStatsTable[GroupByKey]=DiscreteStatsTable[[#This Row],[GroupByKey]]),(DiscreteStatsTable[GroupByKey]=DiscreteStatsTable[[#This Row],[GroupByKey]])*DiscreteStatsTable[Maximum]))</f>
        <v>1.5939517145847</v>
      </c>
      <c r="V156" cm="1">
        <f t="array" ref="V15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6">
        <f>IF((DiscreteStatsTable[[#This Row],[RepsRequested]]&gt;1),DiscreteStatsTable[[#This Row],[HalfWidth]],DiscreteStatsTable[[#This Row],[BatchMeansHalfWidth]])</f>
        <v>1.276828436655964E-3</v>
      </c>
      <c r="X156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131</v>
      </c>
      <c r="C157">
        <v>26</v>
      </c>
      <c r="D157" t="s">
        <v>70</v>
      </c>
      <c r="E157" t="s">
        <v>77</v>
      </c>
      <c r="F157" t="s">
        <v>72</v>
      </c>
      <c r="G157">
        <v>0.74089605182210905</v>
      </c>
      <c r="H157">
        <v>0.19157375122148301</v>
      </c>
      <c r="I157">
        <v>0</v>
      </c>
      <c r="J157">
        <v>9.8950223480855506</v>
      </c>
      <c r="K157">
        <v>2350</v>
      </c>
      <c r="L157" t="str">
        <f>DiscreteStatsTable[[#This Row],[ProjectName]]&amp;DiscreteStatsTable[[#This Row],[Name]]&amp;DiscreteStatsTable[[#This Row],[Type]]&amp;DiscreteStatsTable[[#This Row],[Source]]</f>
        <v>PacientesEntity 1Wait TimeEntity</v>
      </c>
      <c r="M157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cm="1">
        <f t="array" ref="N157">IFERROR(AVERAGE(IF((DiscreteStatsTable[GroupByKey]=DiscreteStatsTable[[#This Row],[GroupByKey]]),(DiscreteStatsTable[GroupByKey]=DiscreteStatsTable[[#This Row],[GroupByKey]])*DiscreteStatsTable[Average])),0)</f>
        <v>0.86965903596573602</v>
      </c>
      <c r="O157" cm="1">
        <f t="array" ref="O157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57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57" cm="1">
        <f t="array" ref="R157">MIN(IF((DiscreteStatsTable[GroupByKey]=DiscreteStatsTable[[#This Row],[GroupByKey]]),(DiscreteStatsTable[GroupByKey]=DiscreteStatsTable[[#This Row],[GroupByKey]])*DiscreteStatsTable[Average]))</f>
        <v>0.58431254303614699</v>
      </c>
      <c r="S157" cm="1">
        <f t="array" ref="S157">MAX(IF((DiscreteStatsTable[GroupByKey]=DiscreteStatsTable[[#This Row],[GroupByKey]]),(DiscreteStatsTable[GroupByKey]=DiscreteStatsTable[[#This Row],[GroupByKey]])*DiscreteStatsTable[Average]))</f>
        <v>1.42140669319588</v>
      </c>
      <c r="T157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cm="1">
        <f t="array" ref="U157">MAX(IF((DiscreteStatsTable[GroupByKey]=DiscreteStatsTable[[#This Row],[GroupByKey]]),(DiscreteStatsTable[GroupByKey]=DiscreteStatsTable[[#This Row],[GroupByKey]])*DiscreteStatsTable[Maximum]))</f>
        <v>28.983199492767199</v>
      </c>
      <c r="V157" cm="1">
        <f t="array" ref="V15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7">
        <f>IF((DiscreteStatsTable[[#This Row],[RepsRequested]]&gt;1),DiscreteStatsTable[[#This Row],[HalfWidth]],DiscreteStatsTable[[#This Row],[BatchMeansHalfWidth]])</f>
        <v>6.0911976702528743E-2</v>
      </c>
      <c r="X157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131</v>
      </c>
      <c r="C158">
        <v>27</v>
      </c>
      <c r="D158" t="s">
        <v>70</v>
      </c>
      <c r="E158" t="s">
        <v>71</v>
      </c>
      <c r="F158" t="s">
        <v>72</v>
      </c>
      <c r="G158">
        <v>0</v>
      </c>
      <c r="H158">
        <v>0</v>
      </c>
      <c r="I158">
        <v>0</v>
      </c>
      <c r="J158">
        <v>0</v>
      </c>
      <c r="K158">
        <v>2414</v>
      </c>
      <c r="L158" t="str">
        <f>DiscreteStatsTable[[#This Row],[ProjectName]]&amp;DiscreteStatsTable[[#This Row],[Name]]&amp;DiscreteStatsTable[[#This Row],[Type]]&amp;DiscreteStatsTable[[#This Row],[Source]]</f>
        <v>PacientesEntity 1NVA TimeEntity</v>
      </c>
      <c r="M158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cm="1">
        <f t="array" ref="V15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8">
        <f>IF((DiscreteStatsTable[[#This Row],[RepsRequested]]&gt;1),DiscreteStatsTable[[#This Row],[HalfWidth]],DiscreteStatsTable[[#This Row],[BatchMeansHalfWidth]])</f>
        <v>0</v>
      </c>
      <c r="X158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131</v>
      </c>
      <c r="C159">
        <v>27</v>
      </c>
      <c r="D159" t="s">
        <v>70</v>
      </c>
      <c r="E159" t="s">
        <v>73</v>
      </c>
      <c r="F159" t="s">
        <v>72</v>
      </c>
      <c r="G159">
        <v>0</v>
      </c>
      <c r="H159">
        <v>0</v>
      </c>
      <c r="I159">
        <v>0</v>
      </c>
      <c r="J159">
        <v>0</v>
      </c>
      <c r="K159">
        <v>2414</v>
      </c>
      <c r="L159" t="str">
        <f>DiscreteStatsTable[[#This Row],[ProjectName]]&amp;DiscreteStatsTable[[#This Row],[Name]]&amp;DiscreteStatsTable[[#This Row],[Type]]&amp;DiscreteStatsTable[[#This Row],[Source]]</f>
        <v>PacientesEntity 1Other TimeEntity</v>
      </c>
      <c r="M159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cm="1">
        <f t="array" ref="V15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59">
        <f>IF((DiscreteStatsTable[[#This Row],[RepsRequested]]&gt;1),DiscreteStatsTable[[#This Row],[HalfWidth]],DiscreteStatsTable[[#This Row],[BatchMeansHalfWidth]])</f>
        <v>0</v>
      </c>
      <c r="X159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131</v>
      </c>
      <c r="C160">
        <v>27</v>
      </c>
      <c r="D160" t="s">
        <v>70</v>
      </c>
      <c r="E160" t="s">
        <v>74</v>
      </c>
      <c r="F160" t="s">
        <v>72</v>
      </c>
      <c r="G160">
        <v>2.06387223343107</v>
      </c>
      <c r="H160">
        <v>0.57167525624932802</v>
      </c>
      <c r="I160">
        <v>0.254713097965521</v>
      </c>
      <c r="J160">
        <v>22.955794108810998</v>
      </c>
      <c r="K160">
        <v>2414</v>
      </c>
      <c r="L160" t="str">
        <f>DiscreteStatsTable[[#This Row],[ProjectName]]&amp;DiscreteStatsTable[[#This Row],[Name]]&amp;DiscreteStatsTable[[#This Row],[Type]]&amp;DiscreteStatsTable[[#This Row],[Source]]</f>
        <v>PacientesEntity 1Total TimeEntity</v>
      </c>
      <c r="M160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cm="1">
        <f t="array" ref="N160">IFERROR(AVERAGE(IF((DiscreteStatsTable[GroupByKey]=DiscreteStatsTable[[#This Row],[GroupByKey]]),(DiscreteStatsTable[GroupByKey]=DiscreteStatsTable[[#This Row],[GroupByKey]])*DiscreteStatsTable[Average])),0)</f>
        <v>1.5029966070875795</v>
      </c>
      <c r="O160" cm="1">
        <f t="array" ref="O16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60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60" cm="1">
        <f t="array" ref="R160">MIN(IF((DiscreteStatsTable[GroupByKey]=DiscreteStatsTable[[#This Row],[GroupByKey]]),(DiscreteStatsTable[GroupByKey]=DiscreteStatsTable[[#This Row],[GroupByKey]])*DiscreteStatsTable[Average]))</f>
        <v>1.21830768607881</v>
      </c>
      <c r="S160" cm="1">
        <f t="array" ref="S160">MAX(IF((DiscreteStatsTable[GroupByKey]=DiscreteStatsTable[[#This Row],[GroupByKey]]),(DiscreteStatsTable[GroupByKey]=DiscreteStatsTable[[#This Row],[GroupByKey]])*DiscreteStatsTable[Average]))</f>
        <v>2.06387223343107</v>
      </c>
      <c r="T160" cm="1">
        <f t="array" ref="T160">MIN(IF((DiscreteStatsTable[GroupByKey]=DiscreteStatsTable[[#This Row],[GroupByKey]]),(DiscreteStatsTable[GroupByKey]=DiscreteStatsTable[[#This Row],[GroupByKey]])*DiscreteStatsTable[Minimum]))</f>
        <v>0.203133309337034</v>
      </c>
      <c r="U160" cm="1">
        <f t="array" ref="U160">MAX(IF((DiscreteStatsTable[GroupByKey]=DiscreteStatsTable[[#This Row],[GroupByKey]]),(DiscreteStatsTable[GroupByKey]=DiscreteStatsTable[[#This Row],[GroupByKey]])*DiscreteStatsTable[Maximum]))</f>
        <v>29.554686467573401</v>
      </c>
      <c r="V160" cm="1">
        <f t="array" ref="V16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0">
        <f>IF((DiscreteStatsTable[[#This Row],[RepsRequested]]&gt;1),DiscreteStatsTable[[#This Row],[HalfWidth]],DiscreteStatsTable[[#This Row],[BatchMeansHalfWidth]])</f>
        <v>6.1205265903720704E-2</v>
      </c>
      <c r="X160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131</v>
      </c>
      <c r="C161">
        <v>27</v>
      </c>
      <c r="D161" t="s">
        <v>70</v>
      </c>
      <c r="E161" t="s">
        <v>75</v>
      </c>
      <c r="F161" t="s">
        <v>72</v>
      </c>
      <c r="G161">
        <v>0</v>
      </c>
      <c r="H161">
        <v>0</v>
      </c>
      <c r="I161">
        <v>0</v>
      </c>
      <c r="J161">
        <v>0</v>
      </c>
      <c r="K161">
        <v>2414</v>
      </c>
      <c r="L161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61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cm="1">
        <f t="array" ref="V16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1">
        <f>IF((DiscreteStatsTable[[#This Row],[RepsRequested]]&gt;1),DiscreteStatsTable[[#This Row],[HalfWidth]],DiscreteStatsTable[[#This Row],[BatchMeansHalfWidth]])</f>
        <v>0</v>
      </c>
      <c r="X161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131</v>
      </c>
      <c r="C162">
        <v>27</v>
      </c>
      <c r="D162" t="s">
        <v>70</v>
      </c>
      <c r="E162" t="s">
        <v>76</v>
      </c>
      <c r="F162" t="s">
        <v>72</v>
      </c>
      <c r="G162">
        <v>0.64246554023518698</v>
      </c>
      <c r="H162">
        <v>1.2957409116188E-2</v>
      </c>
      <c r="I162">
        <v>0.23259053494635401</v>
      </c>
      <c r="J162">
        <v>1.5453958274611399</v>
      </c>
      <c r="K162">
        <v>2414</v>
      </c>
      <c r="L162" t="str">
        <f>DiscreteStatsTable[[#This Row],[ProjectName]]&amp;DiscreteStatsTable[[#This Row],[Name]]&amp;DiscreteStatsTable[[#This Row],[Type]]&amp;DiscreteStatsTable[[#This Row],[Source]]</f>
        <v>PacientesEntity 1VA TimeEntity</v>
      </c>
      <c r="M162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cm="1">
        <f t="array" ref="N162">IFERROR(AVERAGE(IF((DiscreteStatsTable[GroupByKey]=DiscreteStatsTable[[#This Row],[GroupByKey]]),(DiscreteStatsTable[GroupByKey]=DiscreteStatsTable[[#This Row],[GroupByKey]])*DiscreteStatsTable[Average])),0)</f>
        <v>0.63333757112184219</v>
      </c>
      <c r="O162" cm="1">
        <f t="array" ref="O162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62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62" cm="1">
        <f t="array" ref="R162">MIN(IF((DiscreteStatsTable[GroupByKey]=DiscreteStatsTable[[#This Row],[GroupByKey]]),(DiscreteStatsTable[GroupByKey]=DiscreteStatsTable[[#This Row],[GroupByKey]])*DiscreteStatsTable[Average]))</f>
        <v>0.62319357082308402</v>
      </c>
      <c r="S162" cm="1">
        <f t="array" ref="S162">MAX(IF((DiscreteStatsTable[GroupByKey]=DiscreteStatsTable[[#This Row],[GroupByKey]]),(DiscreteStatsTable[GroupByKey]=DiscreteStatsTable[[#This Row],[GroupByKey]])*DiscreteStatsTable[Average]))</f>
        <v>0.64452003514622502</v>
      </c>
      <c r="T162" cm="1">
        <f t="array" ref="T162">MIN(IF((DiscreteStatsTable[GroupByKey]=DiscreteStatsTable[[#This Row],[GroupByKey]]),(DiscreteStatsTable[GroupByKey]=DiscreteStatsTable[[#This Row],[GroupByKey]])*DiscreteStatsTable[Minimum]))</f>
        <v>0.203133309337034</v>
      </c>
      <c r="U162" cm="1">
        <f t="array" ref="U162">MAX(IF((DiscreteStatsTable[GroupByKey]=DiscreteStatsTable[[#This Row],[GroupByKey]]),(DiscreteStatsTable[GroupByKey]=DiscreteStatsTable[[#This Row],[GroupByKey]])*DiscreteStatsTable[Maximum]))</f>
        <v>1.5939517145847</v>
      </c>
      <c r="V162" cm="1">
        <f t="array" ref="V16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2">
        <f>IF((DiscreteStatsTable[[#This Row],[RepsRequested]]&gt;1),DiscreteStatsTable[[#This Row],[HalfWidth]],DiscreteStatsTable[[#This Row],[BatchMeansHalfWidth]])</f>
        <v>1.276828436655964E-3</v>
      </c>
      <c r="X162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131</v>
      </c>
      <c r="C163">
        <v>27</v>
      </c>
      <c r="D163" t="s">
        <v>70</v>
      </c>
      <c r="E163" t="s">
        <v>77</v>
      </c>
      <c r="F163" t="s">
        <v>72</v>
      </c>
      <c r="G163">
        <v>1.42140669319588</v>
      </c>
      <c r="H163">
        <v>0.57457809232825297</v>
      </c>
      <c r="I163">
        <v>0</v>
      </c>
      <c r="J163">
        <v>22.561154385941101</v>
      </c>
      <c r="K163">
        <v>2414</v>
      </c>
      <c r="L163" t="str">
        <f>DiscreteStatsTable[[#This Row],[ProjectName]]&amp;DiscreteStatsTable[[#This Row],[Name]]&amp;DiscreteStatsTable[[#This Row],[Type]]&amp;DiscreteStatsTable[[#This Row],[Source]]</f>
        <v>PacientesEntity 1Wait TimeEntity</v>
      </c>
      <c r="M163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cm="1">
        <f t="array" ref="N163">IFERROR(AVERAGE(IF((DiscreteStatsTable[GroupByKey]=DiscreteStatsTable[[#This Row],[GroupByKey]]),(DiscreteStatsTable[GroupByKey]=DiscreteStatsTable[[#This Row],[GroupByKey]])*DiscreteStatsTable[Average])),0)</f>
        <v>0.86965903596573602</v>
      </c>
      <c r="O163" cm="1">
        <f t="array" ref="O163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63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63" cm="1">
        <f t="array" ref="R163">MIN(IF((DiscreteStatsTable[GroupByKey]=DiscreteStatsTable[[#This Row],[GroupByKey]]),(DiscreteStatsTable[GroupByKey]=DiscreteStatsTable[[#This Row],[GroupByKey]])*DiscreteStatsTable[Average]))</f>
        <v>0.58431254303614699</v>
      </c>
      <c r="S163" cm="1">
        <f t="array" ref="S163">MAX(IF((DiscreteStatsTable[GroupByKey]=DiscreteStatsTable[[#This Row],[GroupByKey]]),(DiscreteStatsTable[GroupByKey]=DiscreteStatsTable[[#This Row],[GroupByKey]])*DiscreteStatsTable[Average]))</f>
        <v>1.42140669319588</v>
      </c>
      <c r="T163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cm="1">
        <f t="array" ref="U163">MAX(IF((DiscreteStatsTable[GroupByKey]=DiscreteStatsTable[[#This Row],[GroupByKey]]),(DiscreteStatsTable[GroupByKey]=DiscreteStatsTable[[#This Row],[GroupByKey]])*DiscreteStatsTable[Maximum]))</f>
        <v>28.983199492767199</v>
      </c>
      <c r="V163" cm="1">
        <f t="array" ref="V16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3">
        <f>IF((DiscreteStatsTable[[#This Row],[RepsRequested]]&gt;1),DiscreteStatsTable[[#This Row],[HalfWidth]],DiscreteStatsTable[[#This Row],[BatchMeansHalfWidth]])</f>
        <v>6.0911976702528743E-2</v>
      </c>
      <c r="X163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131</v>
      </c>
      <c r="C164">
        <v>28</v>
      </c>
      <c r="D164" t="s">
        <v>70</v>
      </c>
      <c r="E164" t="s">
        <v>71</v>
      </c>
      <c r="F164" t="s">
        <v>72</v>
      </c>
      <c r="G164">
        <v>0</v>
      </c>
      <c r="H164">
        <v>0</v>
      </c>
      <c r="I164">
        <v>0</v>
      </c>
      <c r="J164">
        <v>0</v>
      </c>
      <c r="K164">
        <v>2339</v>
      </c>
      <c r="L164" t="str">
        <f>DiscreteStatsTable[[#This Row],[ProjectName]]&amp;DiscreteStatsTable[[#This Row],[Name]]&amp;DiscreteStatsTable[[#This Row],[Type]]&amp;DiscreteStatsTable[[#This Row],[Source]]</f>
        <v>PacientesEntity 1NVA TimeEntity</v>
      </c>
      <c r="M164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cm="1">
        <f t="array" ref="V16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4">
        <f>IF((DiscreteStatsTable[[#This Row],[RepsRequested]]&gt;1),DiscreteStatsTable[[#This Row],[HalfWidth]],DiscreteStatsTable[[#This Row],[BatchMeansHalfWidth]])</f>
        <v>0</v>
      </c>
      <c r="X164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131</v>
      </c>
      <c r="C165">
        <v>28</v>
      </c>
      <c r="D165" t="s">
        <v>70</v>
      </c>
      <c r="E165" t="s">
        <v>73</v>
      </c>
      <c r="F165" t="s">
        <v>72</v>
      </c>
      <c r="G165">
        <v>0</v>
      </c>
      <c r="H165">
        <v>0</v>
      </c>
      <c r="I165">
        <v>0</v>
      </c>
      <c r="J165">
        <v>0</v>
      </c>
      <c r="K165">
        <v>2339</v>
      </c>
      <c r="L165" t="str">
        <f>DiscreteStatsTable[[#This Row],[ProjectName]]&amp;DiscreteStatsTable[[#This Row],[Name]]&amp;DiscreteStatsTable[[#This Row],[Type]]&amp;DiscreteStatsTable[[#This Row],[Source]]</f>
        <v>PacientesEntity 1Other TimeEntity</v>
      </c>
      <c r="M16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cm="1">
        <f t="array" ref="V16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5">
        <f>IF((DiscreteStatsTable[[#This Row],[RepsRequested]]&gt;1),DiscreteStatsTable[[#This Row],[HalfWidth]],DiscreteStatsTable[[#This Row],[BatchMeansHalfWidth]])</f>
        <v>0</v>
      </c>
      <c r="X16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131</v>
      </c>
      <c r="C166">
        <v>28</v>
      </c>
      <c r="D166" t="s">
        <v>70</v>
      </c>
      <c r="E166" t="s">
        <v>74</v>
      </c>
      <c r="F166" t="s">
        <v>72</v>
      </c>
      <c r="G166">
        <v>1.60827089837508</v>
      </c>
      <c r="H166">
        <v>0.26517449667618898</v>
      </c>
      <c r="I166">
        <v>0.27535644402513498</v>
      </c>
      <c r="J166">
        <v>11.369615117517601</v>
      </c>
      <c r="K166">
        <v>2339</v>
      </c>
      <c r="L166" t="str">
        <f>DiscreteStatsTable[[#This Row],[ProjectName]]&amp;DiscreteStatsTable[[#This Row],[Name]]&amp;DiscreteStatsTable[[#This Row],[Type]]&amp;DiscreteStatsTable[[#This Row],[Source]]</f>
        <v>PacientesEntity 1Total TimeEntity</v>
      </c>
      <c r="M166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cm="1">
        <f t="array" ref="N166">IFERROR(AVERAGE(IF((DiscreteStatsTable[GroupByKey]=DiscreteStatsTable[[#This Row],[GroupByKey]]),(DiscreteStatsTable[GroupByKey]=DiscreteStatsTable[[#This Row],[GroupByKey]])*DiscreteStatsTable[Average])),0)</f>
        <v>1.5029966070875795</v>
      </c>
      <c r="O166" cm="1">
        <f t="array" ref="O16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66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66" cm="1">
        <f t="array" ref="R166">MIN(IF((DiscreteStatsTable[GroupByKey]=DiscreteStatsTable[[#This Row],[GroupByKey]]),(DiscreteStatsTable[GroupByKey]=DiscreteStatsTable[[#This Row],[GroupByKey]])*DiscreteStatsTable[Average]))</f>
        <v>1.21830768607881</v>
      </c>
      <c r="S166" cm="1">
        <f t="array" ref="S166">MAX(IF((DiscreteStatsTable[GroupByKey]=DiscreteStatsTable[[#This Row],[GroupByKey]]),(DiscreteStatsTable[GroupByKey]=DiscreteStatsTable[[#This Row],[GroupByKey]])*DiscreteStatsTable[Average]))</f>
        <v>2.06387223343107</v>
      </c>
      <c r="T166" cm="1">
        <f t="array" ref="T166">MIN(IF((DiscreteStatsTable[GroupByKey]=DiscreteStatsTable[[#This Row],[GroupByKey]]),(DiscreteStatsTable[GroupByKey]=DiscreteStatsTable[[#This Row],[GroupByKey]])*DiscreteStatsTable[Minimum]))</f>
        <v>0.203133309337034</v>
      </c>
      <c r="U166" cm="1">
        <f t="array" ref="U166">MAX(IF((DiscreteStatsTable[GroupByKey]=DiscreteStatsTable[[#This Row],[GroupByKey]]),(DiscreteStatsTable[GroupByKey]=DiscreteStatsTable[[#This Row],[GroupByKey]])*DiscreteStatsTable[Maximum]))</f>
        <v>29.554686467573401</v>
      </c>
      <c r="V166" cm="1">
        <f t="array" ref="V16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6">
        <f>IF((DiscreteStatsTable[[#This Row],[RepsRequested]]&gt;1),DiscreteStatsTable[[#This Row],[HalfWidth]],DiscreteStatsTable[[#This Row],[BatchMeansHalfWidth]])</f>
        <v>6.1205265903720704E-2</v>
      </c>
      <c r="X166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131</v>
      </c>
      <c r="C167">
        <v>28</v>
      </c>
      <c r="D167" t="s">
        <v>70</v>
      </c>
      <c r="E167" t="s">
        <v>75</v>
      </c>
      <c r="F167" t="s">
        <v>72</v>
      </c>
      <c r="G167">
        <v>0</v>
      </c>
      <c r="H167">
        <v>0</v>
      </c>
      <c r="I167">
        <v>0</v>
      </c>
      <c r="J167">
        <v>0</v>
      </c>
      <c r="K167">
        <v>2339</v>
      </c>
      <c r="L167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67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cm="1">
        <f t="array" ref="V16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7">
        <f>IF((DiscreteStatsTable[[#This Row],[RepsRequested]]&gt;1),DiscreteStatsTable[[#This Row],[HalfWidth]],DiscreteStatsTable[[#This Row],[BatchMeansHalfWidth]])</f>
        <v>0</v>
      </c>
      <c r="X167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131</v>
      </c>
      <c r="C168">
        <v>28</v>
      </c>
      <c r="D168" t="s">
        <v>70</v>
      </c>
      <c r="E168" t="s">
        <v>76</v>
      </c>
      <c r="F168" t="s">
        <v>72</v>
      </c>
      <c r="G168">
        <v>0.64099992741821998</v>
      </c>
      <c r="H168">
        <v>1.2491986991203199E-2</v>
      </c>
      <c r="I168">
        <v>0.22644285815692899</v>
      </c>
      <c r="J168">
        <v>1.56565028516866</v>
      </c>
      <c r="K168">
        <v>2339</v>
      </c>
      <c r="L168" t="str">
        <f>DiscreteStatsTable[[#This Row],[ProjectName]]&amp;DiscreteStatsTable[[#This Row],[Name]]&amp;DiscreteStatsTable[[#This Row],[Type]]&amp;DiscreteStatsTable[[#This Row],[Source]]</f>
        <v>PacientesEntity 1VA TimeEntity</v>
      </c>
      <c r="M168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cm="1">
        <f t="array" ref="N168">IFERROR(AVERAGE(IF((DiscreteStatsTable[GroupByKey]=DiscreteStatsTable[[#This Row],[GroupByKey]]),(DiscreteStatsTable[GroupByKey]=DiscreteStatsTable[[#This Row],[GroupByKey]])*DiscreteStatsTable[Average])),0)</f>
        <v>0.63333757112184219</v>
      </c>
      <c r="O168" cm="1">
        <f t="array" ref="O168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68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68" cm="1">
        <f t="array" ref="R168">MIN(IF((DiscreteStatsTable[GroupByKey]=DiscreteStatsTable[[#This Row],[GroupByKey]]),(DiscreteStatsTable[GroupByKey]=DiscreteStatsTable[[#This Row],[GroupByKey]])*DiscreteStatsTable[Average]))</f>
        <v>0.62319357082308402</v>
      </c>
      <c r="S168" cm="1">
        <f t="array" ref="S168">MAX(IF((DiscreteStatsTable[GroupByKey]=DiscreteStatsTable[[#This Row],[GroupByKey]]),(DiscreteStatsTable[GroupByKey]=DiscreteStatsTable[[#This Row],[GroupByKey]])*DiscreteStatsTable[Average]))</f>
        <v>0.64452003514622502</v>
      </c>
      <c r="T168" cm="1">
        <f t="array" ref="T168">MIN(IF((DiscreteStatsTable[GroupByKey]=DiscreteStatsTable[[#This Row],[GroupByKey]]),(DiscreteStatsTable[GroupByKey]=DiscreteStatsTable[[#This Row],[GroupByKey]])*DiscreteStatsTable[Minimum]))</f>
        <v>0.203133309337034</v>
      </c>
      <c r="U168" cm="1">
        <f t="array" ref="U168">MAX(IF((DiscreteStatsTable[GroupByKey]=DiscreteStatsTable[[#This Row],[GroupByKey]]),(DiscreteStatsTable[GroupByKey]=DiscreteStatsTable[[#This Row],[GroupByKey]])*DiscreteStatsTable[Maximum]))</f>
        <v>1.5939517145847</v>
      </c>
      <c r="V168" cm="1">
        <f t="array" ref="V16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8">
        <f>IF((DiscreteStatsTable[[#This Row],[RepsRequested]]&gt;1),DiscreteStatsTable[[#This Row],[HalfWidth]],DiscreteStatsTable[[#This Row],[BatchMeansHalfWidth]])</f>
        <v>1.276828436655964E-3</v>
      </c>
      <c r="X168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131</v>
      </c>
      <c r="C169">
        <v>28</v>
      </c>
      <c r="D169" t="s">
        <v>70</v>
      </c>
      <c r="E169" t="s">
        <v>77</v>
      </c>
      <c r="F169" t="s">
        <v>72</v>
      </c>
      <c r="G169">
        <v>0.96727097095685799</v>
      </c>
      <c r="H169">
        <v>0.265325898971011</v>
      </c>
      <c r="I169">
        <v>0</v>
      </c>
      <c r="J169">
        <v>10.963434696895</v>
      </c>
      <c r="K169">
        <v>2339</v>
      </c>
      <c r="L169" t="str">
        <f>DiscreteStatsTable[[#This Row],[ProjectName]]&amp;DiscreteStatsTable[[#This Row],[Name]]&amp;DiscreteStatsTable[[#This Row],[Type]]&amp;DiscreteStatsTable[[#This Row],[Source]]</f>
        <v>PacientesEntity 1Wait TimeEntity</v>
      </c>
      <c r="M169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cm="1">
        <f t="array" ref="N169">IFERROR(AVERAGE(IF((DiscreteStatsTable[GroupByKey]=DiscreteStatsTable[[#This Row],[GroupByKey]]),(DiscreteStatsTable[GroupByKey]=DiscreteStatsTable[[#This Row],[GroupByKey]])*DiscreteStatsTable[Average])),0)</f>
        <v>0.86965903596573602</v>
      </c>
      <c r="O169" cm="1">
        <f t="array" ref="O169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69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69" cm="1">
        <f t="array" ref="R169">MIN(IF((DiscreteStatsTable[GroupByKey]=DiscreteStatsTable[[#This Row],[GroupByKey]]),(DiscreteStatsTable[GroupByKey]=DiscreteStatsTable[[#This Row],[GroupByKey]])*DiscreteStatsTable[Average]))</f>
        <v>0.58431254303614699</v>
      </c>
      <c r="S169" cm="1">
        <f t="array" ref="S169">MAX(IF((DiscreteStatsTable[GroupByKey]=DiscreteStatsTable[[#This Row],[GroupByKey]]),(DiscreteStatsTable[GroupByKey]=DiscreteStatsTable[[#This Row],[GroupByKey]])*DiscreteStatsTable[Average]))</f>
        <v>1.42140669319588</v>
      </c>
      <c r="T169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cm="1">
        <f t="array" ref="U169">MAX(IF((DiscreteStatsTable[GroupByKey]=DiscreteStatsTable[[#This Row],[GroupByKey]]),(DiscreteStatsTable[GroupByKey]=DiscreteStatsTable[[#This Row],[GroupByKey]])*DiscreteStatsTable[Maximum]))</f>
        <v>28.983199492767199</v>
      </c>
      <c r="V169" cm="1">
        <f t="array" ref="V16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69">
        <f>IF((DiscreteStatsTable[[#This Row],[RepsRequested]]&gt;1),DiscreteStatsTable[[#This Row],[HalfWidth]],DiscreteStatsTable[[#This Row],[BatchMeansHalfWidth]])</f>
        <v>6.0911976702528743E-2</v>
      </c>
      <c r="X169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131</v>
      </c>
      <c r="C170">
        <v>29</v>
      </c>
      <c r="D170" t="s">
        <v>70</v>
      </c>
      <c r="E170" t="s">
        <v>71</v>
      </c>
      <c r="F170" t="s">
        <v>72</v>
      </c>
      <c r="G170">
        <v>0</v>
      </c>
      <c r="H170">
        <v>0</v>
      </c>
      <c r="I170">
        <v>0</v>
      </c>
      <c r="J170">
        <v>0</v>
      </c>
      <c r="K170">
        <v>2440</v>
      </c>
      <c r="L170" t="str">
        <f>DiscreteStatsTable[[#This Row],[ProjectName]]&amp;DiscreteStatsTable[[#This Row],[Name]]&amp;DiscreteStatsTable[[#This Row],[Type]]&amp;DiscreteStatsTable[[#This Row],[Source]]</f>
        <v>PacientesEntity 1NVA TimeEntity</v>
      </c>
      <c r="M170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cm="1">
        <f t="array" ref="V17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0">
        <f>IF((DiscreteStatsTable[[#This Row],[RepsRequested]]&gt;1),DiscreteStatsTable[[#This Row],[HalfWidth]],DiscreteStatsTable[[#This Row],[BatchMeansHalfWidth]])</f>
        <v>0</v>
      </c>
      <c r="X170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131</v>
      </c>
      <c r="C171">
        <v>29</v>
      </c>
      <c r="D171" t="s">
        <v>70</v>
      </c>
      <c r="E171" t="s">
        <v>73</v>
      </c>
      <c r="F171" t="s">
        <v>72</v>
      </c>
      <c r="G171">
        <v>0</v>
      </c>
      <c r="H171">
        <v>0</v>
      </c>
      <c r="I171">
        <v>0</v>
      </c>
      <c r="J171">
        <v>0</v>
      </c>
      <c r="K171">
        <v>2440</v>
      </c>
      <c r="L171" t="str">
        <f>DiscreteStatsTable[[#This Row],[ProjectName]]&amp;DiscreteStatsTable[[#This Row],[Name]]&amp;DiscreteStatsTable[[#This Row],[Type]]&amp;DiscreteStatsTable[[#This Row],[Source]]</f>
        <v>PacientesEntity 1Other TimeEntity</v>
      </c>
      <c r="M171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cm="1">
        <f t="array" ref="V17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1">
        <f>IF((DiscreteStatsTable[[#This Row],[RepsRequested]]&gt;1),DiscreteStatsTable[[#This Row],[HalfWidth]],DiscreteStatsTable[[#This Row],[BatchMeansHalfWidth]])</f>
        <v>0</v>
      </c>
      <c r="X171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131</v>
      </c>
      <c r="C172">
        <v>29</v>
      </c>
      <c r="D172" t="s">
        <v>70</v>
      </c>
      <c r="E172" t="s">
        <v>74</v>
      </c>
      <c r="F172" t="s">
        <v>72</v>
      </c>
      <c r="G172">
        <v>1.62322746355013</v>
      </c>
      <c r="H172">
        <v>3E+20</v>
      </c>
      <c r="I172">
        <v>0.264062188716366</v>
      </c>
      <c r="J172">
        <v>23.5430291492147</v>
      </c>
      <c r="K172">
        <v>2440</v>
      </c>
      <c r="L172" t="str">
        <f>DiscreteStatsTable[[#This Row],[ProjectName]]&amp;DiscreteStatsTable[[#This Row],[Name]]&amp;DiscreteStatsTable[[#This Row],[Type]]&amp;DiscreteStatsTable[[#This Row],[Source]]</f>
        <v>PacientesEntity 1Total TimeEntity</v>
      </c>
      <c r="M172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cm="1">
        <f t="array" ref="N172">IFERROR(AVERAGE(IF((DiscreteStatsTable[GroupByKey]=DiscreteStatsTable[[#This Row],[GroupByKey]]),(DiscreteStatsTable[GroupByKey]=DiscreteStatsTable[[#This Row],[GroupByKey]])*DiscreteStatsTable[Average])),0)</f>
        <v>1.5029966070875795</v>
      </c>
      <c r="O172" cm="1">
        <f t="array" ref="O17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72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72" cm="1">
        <f t="array" ref="R172">MIN(IF((DiscreteStatsTable[GroupByKey]=DiscreteStatsTable[[#This Row],[GroupByKey]]),(DiscreteStatsTable[GroupByKey]=DiscreteStatsTable[[#This Row],[GroupByKey]])*DiscreteStatsTable[Average]))</f>
        <v>1.21830768607881</v>
      </c>
      <c r="S172" cm="1">
        <f t="array" ref="S172">MAX(IF((DiscreteStatsTable[GroupByKey]=DiscreteStatsTable[[#This Row],[GroupByKey]]),(DiscreteStatsTable[GroupByKey]=DiscreteStatsTable[[#This Row],[GroupByKey]])*DiscreteStatsTable[Average]))</f>
        <v>2.06387223343107</v>
      </c>
      <c r="T172" cm="1">
        <f t="array" ref="T172">MIN(IF((DiscreteStatsTable[GroupByKey]=DiscreteStatsTable[[#This Row],[GroupByKey]]),(DiscreteStatsTable[GroupByKey]=DiscreteStatsTable[[#This Row],[GroupByKey]])*DiscreteStatsTable[Minimum]))</f>
        <v>0.203133309337034</v>
      </c>
      <c r="U172" cm="1">
        <f t="array" ref="U172">MAX(IF((DiscreteStatsTable[GroupByKey]=DiscreteStatsTable[[#This Row],[GroupByKey]]),(DiscreteStatsTable[GroupByKey]=DiscreteStatsTable[[#This Row],[GroupByKey]])*DiscreteStatsTable[Maximum]))</f>
        <v>29.554686467573401</v>
      </c>
      <c r="V172" cm="1">
        <f t="array" ref="V17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2">
        <f>IF((DiscreteStatsTable[[#This Row],[RepsRequested]]&gt;1),DiscreteStatsTable[[#This Row],[HalfWidth]],DiscreteStatsTable[[#This Row],[BatchMeansHalfWidth]])</f>
        <v>6.1205265903720704E-2</v>
      </c>
      <c r="X172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131</v>
      </c>
      <c r="C173">
        <v>29</v>
      </c>
      <c r="D173" t="s">
        <v>70</v>
      </c>
      <c r="E173" t="s">
        <v>75</v>
      </c>
      <c r="F173" t="s">
        <v>72</v>
      </c>
      <c r="G173">
        <v>0</v>
      </c>
      <c r="H173">
        <v>0</v>
      </c>
      <c r="I173">
        <v>0</v>
      </c>
      <c r="J173">
        <v>0</v>
      </c>
      <c r="K173">
        <v>2440</v>
      </c>
      <c r="L173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73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cm="1">
        <f t="array" ref="V17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3">
        <f>IF((DiscreteStatsTable[[#This Row],[RepsRequested]]&gt;1),DiscreteStatsTable[[#This Row],[HalfWidth]],DiscreteStatsTable[[#This Row],[BatchMeansHalfWidth]])</f>
        <v>0</v>
      </c>
      <c r="X173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131</v>
      </c>
      <c r="C174">
        <v>29</v>
      </c>
      <c r="D174" t="s">
        <v>70</v>
      </c>
      <c r="E174" t="s">
        <v>76</v>
      </c>
      <c r="F174" t="s">
        <v>72</v>
      </c>
      <c r="G174">
        <v>0.62771327333248605</v>
      </c>
      <c r="H174">
        <v>8.7162120361059404E-3</v>
      </c>
      <c r="I174">
        <v>0.22675398032996</v>
      </c>
      <c r="J174">
        <v>1.54368548908866</v>
      </c>
      <c r="K174">
        <v>2440</v>
      </c>
      <c r="L174" t="str">
        <f>DiscreteStatsTable[[#This Row],[ProjectName]]&amp;DiscreteStatsTable[[#This Row],[Name]]&amp;DiscreteStatsTable[[#This Row],[Type]]&amp;DiscreteStatsTable[[#This Row],[Source]]</f>
        <v>PacientesEntity 1VA TimeEntity</v>
      </c>
      <c r="M174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cm="1">
        <f t="array" ref="N174">IFERROR(AVERAGE(IF((DiscreteStatsTable[GroupByKey]=DiscreteStatsTable[[#This Row],[GroupByKey]]),(DiscreteStatsTable[GroupByKey]=DiscreteStatsTable[[#This Row],[GroupByKey]])*DiscreteStatsTable[Average])),0)</f>
        <v>0.63333757112184219</v>
      </c>
      <c r="O174" cm="1">
        <f t="array" ref="O174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74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74" cm="1">
        <f t="array" ref="R174">MIN(IF((DiscreteStatsTable[GroupByKey]=DiscreteStatsTable[[#This Row],[GroupByKey]]),(DiscreteStatsTable[GroupByKey]=DiscreteStatsTable[[#This Row],[GroupByKey]])*DiscreteStatsTable[Average]))</f>
        <v>0.62319357082308402</v>
      </c>
      <c r="S174" cm="1">
        <f t="array" ref="S174">MAX(IF((DiscreteStatsTable[GroupByKey]=DiscreteStatsTable[[#This Row],[GroupByKey]]),(DiscreteStatsTable[GroupByKey]=DiscreteStatsTable[[#This Row],[GroupByKey]])*DiscreteStatsTable[Average]))</f>
        <v>0.64452003514622502</v>
      </c>
      <c r="T174" cm="1">
        <f t="array" ref="T174">MIN(IF((DiscreteStatsTable[GroupByKey]=DiscreteStatsTable[[#This Row],[GroupByKey]]),(DiscreteStatsTable[GroupByKey]=DiscreteStatsTable[[#This Row],[GroupByKey]])*DiscreteStatsTable[Minimum]))</f>
        <v>0.203133309337034</v>
      </c>
      <c r="U174" cm="1">
        <f t="array" ref="U174">MAX(IF((DiscreteStatsTable[GroupByKey]=DiscreteStatsTable[[#This Row],[GroupByKey]]),(DiscreteStatsTable[GroupByKey]=DiscreteStatsTable[[#This Row],[GroupByKey]])*DiscreteStatsTable[Maximum]))</f>
        <v>1.5939517145847</v>
      </c>
      <c r="V174" cm="1">
        <f t="array" ref="V17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4">
        <f>IF((DiscreteStatsTable[[#This Row],[RepsRequested]]&gt;1),DiscreteStatsTable[[#This Row],[HalfWidth]],DiscreteStatsTable[[#This Row],[BatchMeansHalfWidth]])</f>
        <v>1.276828436655964E-3</v>
      </c>
      <c r="X174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131</v>
      </c>
      <c r="C175">
        <v>29</v>
      </c>
      <c r="D175" t="s">
        <v>70</v>
      </c>
      <c r="E175" t="s">
        <v>77</v>
      </c>
      <c r="F175" t="s">
        <v>72</v>
      </c>
      <c r="G175">
        <v>0.99551419021764198</v>
      </c>
      <c r="H175">
        <v>3E+20</v>
      </c>
      <c r="I175">
        <v>0</v>
      </c>
      <c r="J175">
        <v>22.98766664547</v>
      </c>
      <c r="K175">
        <v>2440</v>
      </c>
      <c r="L175" t="str">
        <f>DiscreteStatsTable[[#This Row],[ProjectName]]&amp;DiscreteStatsTable[[#This Row],[Name]]&amp;DiscreteStatsTable[[#This Row],[Type]]&amp;DiscreteStatsTable[[#This Row],[Source]]</f>
        <v>PacientesEntity 1Wait TimeEntity</v>
      </c>
      <c r="M17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cm="1">
        <f t="array" ref="N175">IFERROR(AVERAGE(IF((DiscreteStatsTable[GroupByKey]=DiscreteStatsTable[[#This Row],[GroupByKey]]),(DiscreteStatsTable[GroupByKey]=DiscreteStatsTable[[#This Row],[GroupByKey]])*DiscreteStatsTable[Average])),0)</f>
        <v>0.86965903596573602</v>
      </c>
      <c r="O175" cm="1">
        <f t="array" ref="O175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7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75" cm="1">
        <f t="array" ref="R175">MIN(IF((DiscreteStatsTable[GroupByKey]=DiscreteStatsTable[[#This Row],[GroupByKey]]),(DiscreteStatsTable[GroupByKey]=DiscreteStatsTable[[#This Row],[GroupByKey]])*DiscreteStatsTable[Average]))</f>
        <v>0.58431254303614699</v>
      </c>
      <c r="S175" cm="1">
        <f t="array" ref="S175">MAX(IF((DiscreteStatsTable[GroupByKey]=DiscreteStatsTable[[#This Row],[GroupByKey]]),(DiscreteStatsTable[GroupByKey]=DiscreteStatsTable[[#This Row],[GroupByKey]])*DiscreteStatsTable[Average]))</f>
        <v>1.42140669319588</v>
      </c>
      <c r="T17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cm="1">
        <f t="array" ref="U175">MAX(IF((DiscreteStatsTable[GroupByKey]=DiscreteStatsTable[[#This Row],[GroupByKey]]),(DiscreteStatsTable[GroupByKey]=DiscreteStatsTable[[#This Row],[GroupByKey]])*DiscreteStatsTable[Maximum]))</f>
        <v>28.983199492767199</v>
      </c>
      <c r="V175" cm="1">
        <f t="array" ref="V17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5">
        <f>IF((DiscreteStatsTable[[#This Row],[RepsRequested]]&gt;1),DiscreteStatsTable[[#This Row],[HalfWidth]],DiscreteStatsTable[[#This Row],[BatchMeansHalfWidth]])</f>
        <v>6.0911976702528743E-2</v>
      </c>
      <c r="X17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131</v>
      </c>
      <c r="C176">
        <v>30</v>
      </c>
      <c r="D176" t="s">
        <v>70</v>
      </c>
      <c r="E176" t="s">
        <v>71</v>
      </c>
      <c r="F176" t="s">
        <v>72</v>
      </c>
      <c r="G176">
        <v>0</v>
      </c>
      <c r="H176">
        <v>0</v>
      </c>
      <c r="I176">
        <v>0</v>
      </c>
      <c r="J176">
        <v>0</v>
      </c>
      <c r="K176">
        <v>2416</v>
      </c>
      <c r="L176" t="str">
        <f>DiscreteStatsTable[[#This Row],[ProjectName]]&amp;DiscreteStatsTable[[#This Row],[Name]]&amp;DiscreteStatsTable[[#This Row],[Type]]&amp;DiscreteStatsTable[[#This Row],[Source]]</f>
        <v>PacientesEntity 1NVA TimeEntity</v>
      </c>
      <c r="M176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cm="1">
        <f t="array" ref="V17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6">
        <f>IF((DiscreteStatsTable[[#This Row],[RepsRequested]]&gt;1),DiscreteStatsTable[[#This Row],[HalfWidth]],DiscreteStatsTable[[#This Row],[BatchMeansHalfWidth]])</f>
        <v>0</v>
      </c>
      <c r="X176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131</v>
      </c>
      <c r="C177">
        <v>30</v>
      </c>
      <c r="D177" t="s">
        <v>70</v>
      </c>
      <c r="E177" t="s">
        <v>73</v>
      </c>
      <c r="F177" t="s">
        <v>72</v>
      </c>
      <c r="G177">
        <v>0</v>
      </c>
      <c r="H177">
        <v>0</v>
      </c>
      <c r="I177">
        <v>0</v>
      </c>
      <c r="J177">
        <v>0</v>
      </c>
      <c r="K177">
        <v>2416</v>
      </c>
      <c r="L177" t="str">
        <f>DiscreteStatsTable[[#This Row],[ProjectName]]&amp;DiscreteStatsTable[[#This Row],[Name]]&amp;DiscreteStatsTable[[#This Row],[Type]]&amp;DiscreteStatsTable[[#This Row],[Source]]</f>
        <v>PacientesEntity 1Other TimeEntity</v>
      </c>
      <c r="M177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cm="1">
        <f t="array" ref="V17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7">
        <f>IF((DiscreteStatsTable[[#This Row],[RepsRequested]]&gt;1),DiscreteStatsTable[[#This Row],[HalfWidth]],DiscreteStatsTable[[#This Row],[BatchMeansHalfWidth]])</f>
        <v>0</v>
      </c>
      <c r="X177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131</v>
      </c>
      <c r="C178">
        <v>30</v>
      </c>
      <c r="D178" t="s">
        <v>70</v>
      </c>
      <c r="E178" t="s">
        <v>74</v>
      </c>
      <c r="F178" t="s">
        <v>72</v>
      </c>
      <c r="G178">
        <v>1.74095527196454</v>
      </c>
      <c r="H178">
        <v>3E+20</v>
      </c>
      <c r="I178">
        <v>0.25317126017483799</v>
      </c>
      <c r="J178">
        <v>19.533541523756899</v>
      </c>
      <c r="K178">
        <v>2416</v>
      </c>
      <c r="L178" t="str">
        <f>DiscreteStatsTable[[#This Row],[ProjectName]]&amp;DiscreteStatsTable[[#This Row],[Name]]&amp;DiscreteStatsTable[[#This Row],[Type]]&amp;DiscreteStatsTable[[#This Row],[Source]]</f>
        <v>PacientesEntity 1Total TimeEntity</v>
      </c>
      <c r="M178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cm="1">
        <f t="array" ref="N178">IFERROR(AVERAGE(IF((DiscreteStatsTable[GroupByKey]=DiscreteStatsTable[[#This Row],[GroupByKey]]),(DiscreteStatsTable[GroupByKey]=DiscreteStatsTable[[#This Row],[GroupByKey]])*DiscreteStatsTable[Average])),0)</f>
        <v>1.5029966070875795</v>
      </c>
      <c r="O178" cm="1">
        <f t="array" ref="O17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78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78" cm="1">
        <f t="array" ref="R178">MIN(IF((DiscreteStatsTable[GroupByKey]=DiscreteStatsTable[[#This Row],[GroupByKey]]),(DiscreteStatsTable[GroupByKey]=DiscreteStatsTable[[#This Row],[GroupByKey]])*DiscreteStatsTable[Average]))</f>
        <v>1.21830768607881</v>
      </c>
      <c r="S178" cm="1">
        <f t="array" ref="S178">MAX(IF((DiscreteStatsTable[GroupByKey]=DiscreteStatsTable[[#This Row],[GroupByKey]]),(DiscreteStatsTable[GroupByKey]=DiscreteStatsTable[[#This Row],[GroupByKey]])*DiscreteStatsTable[Average]))</f>
        <v>2.06387223343107</v>
      </c>
      <c r="T178" cm="1">
        <f t="array" ref="T178">MIN(IF((DiscreteStatsTable[GroupByKey]=DiscreteStatsTable[[#This Row],[GroupByKey]]),(DiscreteStatsTable[GroupByKey]=DiscreteStatsTable[[#This Row],[GroupByKey]])*DiscreteStatsTable[Minimum]))</f>
        <v>0.203133309337034</v>
      </c>
      <c r="U178" cm="1">
        <f t="array" ref="U178">MAX(IF((DiscreteStatsTable[GroupByKey]=DiscreteStatsTable[[#This Row],[GroupByKey]]),(DiscreteStatsTable[GroupByKey]=DiscreteStatsTable[[#This Row],[GroupByKey]])*DiscreteStatsTable[Maximum]))</f>
        <v>29.554686467573401</v>
      </c>
      <c r="V178" cm="1">
        <f t="array" ref="V17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8">
        <f>IF((DiscreteStatsTable[[#This Row],[RepsRequested]]&gt;1),DiscreteStatsTable[[#This Row],[HalfWidth]],DiscreteStatsTable[[#This Row],[BatchMeansHalfWidth]])</f>
        <v>6.1205265903720704E-2</v>
      </c>
      <c r="X178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131</v>
      </c>
      <c r="C179">
        <v>30</v>
      </c>
      <c r="D179" t="s">
        <v>70</v>
      </c>
      <c r="E179" t="s">
        <v>75</v>
      </c>
      <c r="F179" t="s">
        <v>72</v>
      </c>
      <c r="G179">
        <v>0</v>
      </c>
      <c r="H179">
        <v>0</v>
      </c>
      <c r="I179">
        <v>0</v>
      </c>
      <c r="J179">
        <v>0</v>
      </c>
      <c r="K179">
        <v>2416</v>
      </c>
      <c r="L179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79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cm="1">
        <f t="array" ref="V17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79">
        <f>IF((DiscreteStatsTable[[#This Row],[RepsRequested]]&gt;1),DiscreteStatsTable[[#This Row],[HalfWidth]],DiscreteStatsTable[[#This Row],[BatchMeansHalfWidth]])</f>
        <v>0</v>
      </c>
      <c r="X179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131</v>
      </c>
      <c r="C180">
        <v>30</v>
      </c>
      <c r="D180" t="s">
        <v>70</v>
      </c>
      <c r="E180" t="s">
        <v>76</v>
      </c>
      <c r="F180" t="s">
        <v>72</v>
      </c>
      <c r="G180">
        <v>0.63635545743186195</v>
      </c>
      <c r="H180">
        <v>1.1735000669970099E-2</v>
      </c>
      <c r="I180">
        <v>0.22559864507763899</v>
      </c>
      <c r="J180">
        <v>1.53916577788124</v>
      </c>
      <c r="K180">
        <v>2416</v>
      </c>
      <c r="L180" t="str">
        <f>DiscreteStatsTable[[#This Row],[ProjectName]]&amp;DiscreteStatsTable[[#This Row],[Name]]&amp;DiscreteStatsTable[[#This Row],[Type]]&amp;DiscreteStatsTable[[#This Row],[Source]]</f>
        <v>PacientesEntity 1VA TimeEntity</v>
      </c>
      <c r="M180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cm="1">
        <f t="array" ref="N180">IFERROR(AVERAGE(IF((DiscreteStatsTable[GroupByKey]=DiscreteStatsTable[[#This Row],[GroupByKey]]),(DiscreteStatsTable[GroupByKey]=DiscreteStatsTable[[#This Row],[GroupByKey]])*DiscreteStatsTable[Average])),0)</f>
        <v>0.63333757112184219</v>
      </c>
      <c r="O180" cm="1">
        <f t="array" ref="O180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80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80" cm="1">
        <f t="array" ref="R180">MIN(IF((DiscreteStatsTable[GroupByKey]=DiscreteStatsTable[[#This Row],[GroupByKey]]),(DiscreteStatsTable[GroupByKey]=DiscreteStatsTable[[#This Row],[GroupByKey]])*DiscreteStatsTable[Average]))</f>
        <v>0.62319357082308402</v>
      </c>
      <c r="S180" cm="1">
        <f t="array" ref="S180">MAX(IF((DiscreteStatsTable[GroupByKey]=DiscreteStatsTable[[#This Row],[GroupByKey]]),(DiscreteStatsTable[GroupByKey]=DiscreteStatsTable[[#This Row],[GroupByKey]])*DiscreteStatsTable[Average]))</f>
        <v>0.64452003514622502</v>
      </c>
      <c r="T180" cm="1">
        <f t="array" ref="T180">MIN(IF((DiscreteStatsTable[GroupByKey]=DiscreteStatsTable[[#This Row],[GroupByKey]]),(DiscreteStatsTable[GroupByKey]=DiscreteStatsTable[[#This Row],[GroupByKey]])*DiscreteStatsTable[Minimum]))</f>
        <v>0.203133309337034</v>
      </c>
      <c r="U180" cm="1">
        <f t="array" ref="U180">MAX(IF((DiscreteStatsTable[GroupByKey]=DiscreteStatsTable[[#This Row],[GroupByKey]]),(DiscreteStatsTable[GroupByKey]=DiscreteStatsTable[[#This Row],[GroupByKey]])*DiscreteStatsTable[Maximum]))</f>
        <v>1.5939517145847</v>
      </c>
      <c r="V180" cm="1">
        <f t="array" ref="V18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0">
        <f>IF((DiscreteStatsTable[[#This Row],[RepsRequested]]&gt;1),DiscreteStatsTable[[#This Row],[HalfWidth]],DiscreteStatsTable[[#This Row],[BatchMeansHalfWidth]])</f>
        <v>1.276828436655964E-3</v>
      </c>
      <c r="X180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131</v>
      </c>
      <c r="C181">
        <v>30</v>
      </c>
      <c r="D181" t="s">
        <v>70</v>
      </c>
      <c r="E181" t="s">
        <v>77</v>
      </c>
      <c r="F181" t="s">
        <v>72</v>
      </c>
      <c r="G181">
        <v>1.1045998145326801</v>
      </c>
      <c r="H181">
        <v>3E+20</v>
      </c>
      <c r="I181">
        <v>0</v>
      </c>
      <c r="J181">
        <v>19.077497712210501</v>
      </c>
      <c r="K181">
        <v>2416</v>
      </c>
      <c r="L181" t="str">
        <f>DiscreteStatsTable[[#This Row],[ProjectName]]&amp;DiscreteStatsTable[[#This Row],[Name]]&amp;DiscreteStatsTable[[#This Row],[Type]]&amp;DiscreteStatsTable[[#This Row],[Source]]</f>
        <v>PacientesEntity 1Wait TimeEntity</v>
      </c>
      <c r="M181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cm="1">
        <f t="array" ref="N181">IFERROR(AVERAGE(IF((DiscreteStatsTable[GroupByKey]=DiscreteStatsTable[[#This Row],[GroupByKey]]),(DiscreteStatsTable[GroupByKey]=DiscreteStatsTable[[#This Row],[GroupByKey]])*DiscreteStatsTable[Average])),0)</f>
        <v>0.86965903596573602</v>
      </c>
      <c r="O181" cm="1">
        <f t="array" ref="O181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81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81" cm="1">
        <f t="array" ref="R181">MIN(IF((DiscreteStatsTable[GroupByKey]=DiscreteStatsTable[[#This Row],[GroupByKey]]),(DiscreteStatsTable[GroupByKey]=DiscreteStatsTable[[#This Row],[GroupByKey]])*DiscreteStatsTable[Average]))</f>
        <v>0.58431254303614699</v>
      </c>
      <c r="S181" cm="1">
        <f t="array" ref="S181">MAX(IF((DiscreteStatsTable[GroupByKey]=DiscreteStatsTable[[#This Row],[GroupByKey]]),(DiscreteStatsTable[GroupByKey]=DiscreteStatsTable[[#This Row],[GroupByKey]])*DiscreteStatsTable[Average]))</f>
        <v>1.42140669319588</v>
      </c>
      <c r="T181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cm="1">
        <f t="array" ref="U181">MAX(IF((DiscreteStatsTable[GroupByKey]=DiscreteStatsTable[[#This Row],[GroupByKey]]),(DiscreteStatsTable[GroupByKey]=DiscreteStatsTable[[#This Row],[GroupByKey]])*DiscreteStatsTable[Maximum]))</f>
        <v>28.983199492767199</v>
      </c>
      <c r="V181" cm="1">
        <f t="array" ref="V18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1">
        <f>IF((DiscreteStatsTable[[#This Row],[RepsRequested]]&gt;1),DiscreteStatsTable[[#This Row],[HalfWidth]],DiscreteStatsTable[[#This Row],[BatchMeansHalfWidth]])</f>
        <v>6.0911976702528743E-2</v>
      </c>
      <c r="X181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131</v>
      </c>
      <c r="C182">
        <v>31</v>
      </c>
      <c r="D182" t="s">
        <v>70</v>
      </c>
      <c r="E182" t="s">
        <v>71</v>
      </c>
      <c r="F182" t="s">
        <v>72</v>
      </c>
      <c r="G182">
        <v>0</v>
      </c>
      <c r="H182">
        <v>0</v>
      </c>
      <c r="I182">
        <v>0</v>
      </c>
      <c r="J182">
        <v>0</v>
      </c>
      <c r="K182">
        <v>2344</v>
      </c>
      <c r="L182" t="str">
        <f>DiscreteStatsTable[[#This Row],[ProjectName]]&amp;DiscreteStatsTable[[#This Row],[Name]]&amp;DiscreteStatsTable[[#This Row],[Type]]&amp;DiscreteStatsTable[[#This Row],[Source]]</f>
        <v>PacientesEntity 1NVA TimeEntity</v>
      </c>
      <c r="M182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cm="1">
        <f t="array" ref="N182">IFERROR(AVERAGE(IF((DiscreteStatsTable[GroupByKey]=DiscreteStatsTable[[#This Row],[GroupByKey]]),(DiscreteStatsTable[GroupByKey]=DiscreteStatsTable[[#This Row],[GroupByKey]])*DiscreteStatsTable[Average])),0)</f>
        <v>0</v>
      </c>
      <c r="O182" cm="1">
        <f t="array" ref="O182">IFERROR(_xlfn.STDEV.S(IF((DiscreteStatsTable[GroupByKey]=DiscreteStatsTable[[#This Row],[GroupByKey]]),(DiscreteStatsTable[GroupByKey]=DiscreteStatsTable[[#This Row],[GroupByKey]])*DiscreteStatsTable[Average])),0)</f>
        <v>0</v>
      </c>
      <c r="P182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2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cm="1">
        <f t="array" ref="S182">MAX(IF((DiscreteStatsTable[GroupByKey]=DiscreteStatsTable[[#This Row],[GroupByKey]]),(DiscreteStatsTable[GroupByKey]=DiscreteStatsTable[[#This Row],[GroupByKey]])*DiscreteStatsTable[Average]))</f>
        <v>0</v>
      </c>
      <c r="T182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cm="1">
        <f t="array" ref="U182">MAX(IF((DiscreteStatsTable[GroupByKey]=DiscreteStatsTable[[#This Row],[GroupByKey]]),(DiscreteStatsTable[GroupByKey]=DiscreteStatsTable[[#This Row],[GroupByKey]])*DiscreteStatsTable[Maximum]))</f>
        <v>0</v>
      </c>
      <c r="V182" cm="1">
        <f t="array" ref="V18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2">
        <f>IF((DiscreteStatsTable[[#This Row],[RepsRequested]]&gt;1),DiscreteStatsTable[[#This Row],[HalfWidth]],DiscreteStatsTable[[#This Row],[BatchMeansHalfWidth]])</f>
        <v>0</v>
      </c>
      <c r="X182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131</v>
      </c>
      <c r="C183">
        <v>31</v>
      </c>
      <c r="D183" t="s">
        <v>70</v>
      </c>
      <c r="E183" t="s">
        <v>73</v>
      </c>
      <c r="F183" t="s">
        <v>72</v>
      </c>
      <c r="G183">
        <v>0</v>
      </c>
      <c r="H183">
        <v>0</v>
      </c>
      <c r="I183">
        <v>0</v>
      </c>
      <c r="J183">
        <v>0</v>
      </c>
      <c r="K183">
        <v>2344</v>
      </c>
      <c r="L183" t="str">
        <f>DiscreteStatsTable[[#This Row],[ProjectName]]&amp;DiscreteStatsTable[[#This Row],[Name]]&amp;DiscreteStatsTable[[#This Row],[Type]]&amp;DiscreteStatsTable[[#This Row],[Source]]</f>
        <v>PacientesEntity 1Other TimeEntity</v>
      </c>
      <c r="M183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cm="1">
        <f t="array" ref="N183">IFERROR(AVERAGE(IF((DiscreteStatsTable[GroupByKey]=DiscreteStatsTable[[#This Row],[GroupByKey]]),(DiscreteStatsTable[GroupByKey]=DiscreteStatsTable[[#This Row],[GroupByKey]])*DiscreteStatsTable[Average])),0)</f>
        <v>0</v>
      </c>
      <c r="O183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cm="1">
        <f t="array" ref="S183">MAX(IF((DiscreteStatsTable[GroupByKey]=DiscreteStatsTable[[#This Row],[GroupByKey]]),(DiscreteStatsTable[GroupByKey]=DiscreteStatsTable[[#This Row],[GroupByKey]])*DiscreteStatsTable[Average]))</f>
        <v>0</v>
      </c>
      <c r="T183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cm="1">
        <f t="array" ref="U183">MAX(IF((DiscreteStatsTable[GroupByKey]=DiscreteStatsTable[[#This Row],[GroupByKey]]),(DiscreteStatsTable[GroupByKey]=DiscreteStatsTable[[#This Row],[GroupByKey]])*DiscreteStatsTable[Maximum]))</f>
        <v>0</v>
      </c>
      <c r="V183" cm="1">
        <f t="array" ref="V18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3">
        <f>IF((DiscreteStatsTable[[#This Row],[RepsRequested]]&gt;1),DiscreteStatsTable[[#This Row],[HalfWidth]],DiscreteStatsTable[[#This Row],[BatchMeansHalfWidth]])</f>
        <v>0</v>
      </c>
      <c r="X183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131</v>
      </c>
      <c r="C184">
        <v>31</v>
      </c>
      <c r="D184" t="s">
        <v>70</v>
      </c>
      <c r="E184" t="s">
        <v>74</v>
      </c>
      <c r="F184" t="s">
        <v>72</v>
      </c>
      <c r="G184">
        <v>1.2189608124892199</v>
      </c>
      <c r="H184">
        <v>0.14489808483758501</v>
      </c>
      <c r="I184">
        <v>0.235540746690624</v>
      </c>
      <c r="J184">
        <v>10.5148892281978</v>
      </c>
      <c r="K184">
        <v>2344</v>
      </c>
      <c r="L184" t="str">
        <f>DiscreteStatsTable[[#This Row],[ProjectName]]&amp;DiscreteStatsTable[[#This Row],[Name]]&amp;DiscreteStatsTable[[#This Row],[Type]]&amp;DiscreteStatsTable[[#This Row],[Source]]</f>
        <v>PacientesEntity 1Total TimeEntity</v>
      </c>
      <c r="M184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cm="1">
        <f t="array" ref="N184">IFERROR(AVERAGE(IF((DiscreteStatsTable[GroupByKey]=DiscreteStatsTable[[#This Row],[GroupByKey]]),(DiscreteStatsTable[GroupByKey]=DiscreteStatsTable[[#This Row],[GroupByKey]])*DiscreteStatsTable[Average])),0)</f>
        <v>1.5029966070875795</v>
      </c>
      <c r="O184" cm="1">
        <f t="array" ref="O18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84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84" cm="1">
        <f t="array" ref="R184">MIN(IF((DiscreteStatsTable[GroupByKey]=DiscreteStatsTable[[#This Row],[GroupByKey]]),(DiscreteStatsTable[GroupByKey]=DiscreteStatsTable[[#This Row],[GroupByKey]])*DiscreteStatsTable[Average]))</f>
        <v>1.21830768607881</v>
      </c>
      <c r="S184" cm="1">
        <f t="array" ref="S184">MAX(IF((DiscreteStatsTable[GroupByKey]=DiscreteStatsTable[[#This Row],[GroupByKey]]),(DiscreteStatsTable[GroupByKey]=DiscreteStatsTable[[#This Row],[GroupByKey]])*DiscreteStatsTable[Average]))</f>
        <v>2.06387223343107</v>
      </c>
      <c r="T184" cm="1">
        <f t="array" ref="T184">MIN(IF((DiscreteStatsTable[GroupByKey]=DiscreteStatsTable[[#This Row],[GroupByKey]]),(DiscreteStatsTable[GroupByKey]=DiscreteStatsTable[[#This Row],[GroupByKey]])*DiscreteStatsTable[Minimum]))</f>
        <v>0.203133309337034</v>
      </c>
      <c r="U184" cm="1">
        <f t="array" ref="U184">MAX(IF((DiscreteStatsTable[GroupByKey]=DiscreteStatsTable[[#This Row],[GroupByKey]]),(DiscreteStatsTable[GroupByKey]=DiscreteStatsTable[[#This Row],[GroupByKey]])*DiscreteStatsTable[Maximum]))</f>
        <v>29.554686467573401</v>
      </c>
      <c r="V184" cm="1">
        <f t="array" ref="V18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4">
        <f>IF((DiscreteStatsTable[[#This Row],[RepsRequested]]&gt;1),DiscreteStatsTable[[#This Row],[HalfWidth]],DiscreteStatsTable[[#This Row],[BatchMeansHalfWidth]])</f>
        <v>6.1205265903720704E-2</v>
      </c>
      <c r="X184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131</v>
      </c>
      <c r="C185">
        <v>31</v>
      </c>
      <c r="D185" t="s">
        <v>70</v>
      </c>
      <c r="E185" t="s">
        <v>75</v>
      </c>
      <c r="F185" t="s">
        <v>72</v>
      </c>
      <c r="G185">
        <v>0</v>
      </c>
      <c r="H185">
        <v>0</v>
      </c>
      <c r="I185">
        <v>0</v>
      </c>
      <c r="J185">
        <v>0</v>
      </c>
      <c r="K185">
        <v>2344</v>
      </c>
      <c r="L185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8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cm="1">
        <f t="array" ref="V18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5">
        <f>IF((DiscreteStatsTable[[#This Row],[RepsRequested]]&gt;1),DiscreteStatsTable[[#This Row],[HalfWidth]],DiscreteStatsTable[[#This Row],[BatchMeansHalfWidth]])</f>
        <v>0</v>
      </c>
      <c r="X18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131</v>
      </c>
      <c r="C186">
        <v>31</v>
      </c>
      <c r="D186" t="s">
        <v>70</v>
      </c>
      <c r="E186" t="s">
        <v>76</v>
      </c>
      <c r="F186" t="s">
        <v>72</v>
      </c>
      <c r="G186">
        <v>0.63068249372138196</v>
      </c>
      <c r="H186">
        <v>1.22808866016438E-2</v>
      </c>
      <c r="I186">
        <v>0.22449073441680401</v>
      </c>
      <c r="J186">
        <v>1.5279800180429099</v>
      </c>
      <c r="K186">
        <v>2344</v>
      </c>
      <c r="L186" t="str">
        <f>DiscreteStatsTable[[#This Row],[ProjectName]]&amp;DiscreteStatsTable[[#This Row],[Name]]&amp;DiscreteStatsTable[[#This Row],[Type]]&amp;DiscreteStatsTable[[#This Row],[Source]]</f>
        <v>PacientesEntity 1VA TimeEntity</v>
      </c>
      <c r="M186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cm="1">
        <f t="array" ref="N186">IFERROR(AVERAGE(IF((DiscreteStatsTable[GroupByKey]=DiscreteStatsTable[[#This Row],[GroupByKey]]),(DiscreteStatsTable[GroupByKey]=DiscreteStatsTable[[#This Row],[GroupByKey]])*DiscreteStatsTable[Average])),0)</f>
        <v>0.63333757112184219</v>
      </c>
      <c r="O186" cm="1">
        <f t="array" ref="O186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86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86" cm="1">
        <f t="array" ref="R186">MIN(IF((DiscreteStatsTable[GroupByKey]=DiscreteStatsTable[[#This Row],[GroupByKey]]),(DiscreteStatsTable[GroupByKey]=DiscreteStatsTable[[#This Row],[GroupByKey]])*DiscreteStatsTable[Average]))</f>
        <v>0.62319357082308402</v>
      </c>
      <c r="S186" cm="1">
        <f t="array" ref="S186">MAX(IF((DiscreteStatsTable[GroupByKey]=DiscreteStatsTable[[#This Row],[GroupByKey]]),(DiscreteStatsTable[GroupByKey]=DiscreteStatsTable[[#This Row],[GroupByKey]])*DiscreteStatsTable[Average]))</f>
        <v>0.64452003514622502</v>
      </c>
      <c r="T186" cm="1">
        <f t="array" ref="T186">MIN(IF((DiscreteStatsTable[GroupByKey]=DiscreteStatsTable[[#This Row],[GroupByKey]]),(DiscreteStatsTable[GroupByKey]=DiscreteStatsTable[[#This Row],[GroupByKey]])*DiscreteStatsTable[Minimum]))</f>
        <v>0.203133309337034</v>
      </c>
      <c r="U186" cm="1">
        <f t="array" ref="U186">MAX(IF((DiscreteStatsTable[GroupByKey]=DiscreteStatsTable[[#This Row],[GroupByKey]]),(DiscreteStatsTable[GroupByKey]=DiscreteStatsTable[[#This Row],[GroupByKey]])*DiscreteStatsTable[Maximum]))</f>
        <v>1.5939517145847</v>
      </c>
      <c r="V186" cm="1">
        <f t="array" ref="V18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6">
        <f>IF((DiscreteStatsTable[[#This Row],[RepsRequested]]&gt;1),DiscreteStatsTable[[#This Row],[HalfWidth]],DiscreteStatsTable[[#This Row],[BatchMeansHalfWidth]])</f>
        <v>1.276828436655964E-3</v>
      </c>
      <c r="X186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131</v>
      </c>
      <c r="C187">
        <v>31</v>
      </c>
      <c r="D187" t="s">
        <v>70</v>
      </c>
      <c r="E187" t="s">
        <v>77</v>
      </c>
      <c r="F187" t="s">
        <v>72</v>
      </c>
      <c r="G187">
        <v>0.58827831876784298</v>
      </c>
      <c r="H187">
        <v>0.142383901494059</v>
      </c>
      <c r="I187">
        <v>0</v>
      </c>
      <c r="J187">
        <v>10.0860973824902</v>
      </c>
      <c r="K187">
        <v>2344</v>
      </c>
      <c r="L187" t="str">
        <f>DiscreteStatsTable[[#This Row],[ProjectName]]&amp;DiscreteStatsTable[[#This Row],[Name]]&amp;DiscreteStatsTable[[#This Row],[Type]]&amp;DiscreteStatsTable[[#This Row],[Source]]</f>
        <v>PacientesEntity 1Wait TimeEntity</v>
      </c>
      <c r="M187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cm="1">
        <f t="array" ref="N187">IFERROR(AVERAGE(IF((DiscreteStatsTable[GroupByKey]=DiscreteStatsTable[[#This Row],[GroupByKey]]),(DiscreteStatsTable[GroupByKey]=DiscreteStatsTable[[#This Row],[GroupByKey]])*DiscreteStatsTable[Average])),0)</f>
        <v>0.86965903596573602</v>
      </c>
      <c r="O187" cm="1">
        <f t="array" ref="O187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87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87" cm="1">
        <f t="array" ref="R187">MIN(IF((DiscreteStatsTable[GroupByKey]=DiscreteStatsTable[[#This Row],[GroupByKey]]),(DiscreteStatsTable[GroupByKey]=DiscreteStatsTable[[#This Row],[GroupByKey]])*DiscreteStatsTable[Average]))</f>
        <v>0.58431254303614699</v>
      </c>
      <c r="S187" cm="1">
        <f t="array" ref="S187">MAX(IF((DiscreteStatsTable[GroupByKey]=DiscreteStatsTable[[#This Row],[GroupByKey]]),(DiscreteStatsTable[GroupByKey]=DiscreteStatsTable[[#This Row],[GroupByKey]])*DiscreteStatsTable[Average]))</f>
        <v>1.42140669319588</v>
      </c>
      <c r="T187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cm="1">
        <f t="array" ref="U187">MAX(IF((DiscreteStatsTable[GroupByKey]=DiscreteStatsTable[[#This Row],[GroupByKey]]),(DiscreteStatsTable[GroupByKey]=DiscreteStatsTable[[#This Row],[GroupByKey]])*DiscreteStatsTable[Maximum]))</f>
        <v>28.983199492767199</v>
      </c>
      <c r="V187" cm="1">
        <f t="array" ref="V18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7">
        <f>IF((DiscreteStatsTable[[#This Row],[RepsRequested]]&gt;1),DiscreteStatsTable[[#This Row],[HalfWidth]],DiscreteStatsTable[[#This Row],[BatchMeansHalfWidth]])</f>
        <v>6.0911976702528743E-2</v>
      </c>
      <c r="X187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131</v>
      </c>
      <c r="C188">
        <v>32</v>
      </c>
      <c r="D188" t="s">
        <v>70</v>
      </c>
      <c r="E188" t="s">
        <v>71</v>
      </c>
      <c r="F188" t="s">
        <v>72</v>
      </c>
      <c r="G188">
        <v>0</v>
      </c>
      <c r="H188">
        <v>0</v>
      </c>
      <c r="I188">
        <v>0</v>
      </c>
      <c r="J188">
        <v>0</v>
      </c>
      <c r="K188">
        <v>2331</v>
      </c>
      <c r="L188" t="str">
        <f>DiscreteStatsTable[[#This Row],[ProjectName]]&amp;DiscreteStatsTable[[#This Row],[Name]]&amp;DiscreteStatsTable[[#This Row],[Type]]&amp;DiscreteStatsTable[[#This Row],[Source]]</f>
        <v>PacientesEntity 1NVA TimeEntity</v>
      </c>
      <c r="M188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cm="1">
        <f t="array" ref="N188">IFERROR(AVERAGE(IF((DiscreteStatsTable[GroupByKey]=DiscreteStatsTable[[#This Row],[GroupByKey]]),(DiscreteStatsTable[GroupByKey]=DiscreteStatsTable[[#This Row],[GroupByKey]])*DiscreteStatsTable[Average])),0)</f>
        <v>0</v>
      </c>
      <c r="O188" cm="1">
        <f t="array" ref="O188">IFERROR(_xlfn.STDEV.S(IF((DiscreteStatsTable[GroupByKey]=DiscreteStatsTable[[#This Row],[GroupByKey]]),(DiscreteStatsTable[GroupByKey]=DiscreteStatsTable[[#This Row],[GroupByKey]])*DiscreteStatsTable[Average])),0)</f>
        <v>0</v>
      </c>
      <c r="P188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8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cm="1">
        <f t="array" ref="S188">MAX(IF((DiscreteStatsTable[GroupByKey]=DiscreteStatsTable[[#This Row],[GroupByKey]]),(DiscreteStatsTable[GroupByKey]=DiscreteStatsTable[[#This Row],[GroupByKey]])*DiscreteStatsTable[Average]))</f>
        <v>0</v>
      </c>
      <c r="T188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cm="1">
        <f t="array" ref="U188">MAX(IF((DiscreteStatsTable[GroupByKey]=DiscreteStatsTable[[#This Row],[GroupByKey]]),(DiscreteStatsTable[GroupByKey]=DiscreteStatsTable[[#This Row],[GroupByKey]])*DiscreteStatsTable[Maximum]))</f>
        <v>0</v>
      </c>
      <c r="V188" cm="1">
        <f t="array" ref="V18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8">
        <f>IF((DiscreteStatsTable[[#This Row],[RepsRequested]]&gt;1),DiscreteStatsTable[[#This Row],[HalfWidth]],DiscreteStatsTable[[#This Row],[BatchMeansHalfWidth]])</f>
        <v>0</v>
      </c>
      <c r="X188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131</v>
      </c>
      <c r="C189">
        <v>32</v>
      </c>
      <c r="D189" t="s">
        <v>70</v>
      </c>
      <c r="E189" t="s">
        <v>73</v>
      </c>
      <c r="F189" t="s">
        <v>72</v>
      </c>
      <c r="G189">
        <v>0</v>
      </c>
      <c r="H189">
        <v>0</v>
      </c>
      <c r="I189">
        <v>0</v>
      </c>
      <c r="J189">
        <v>0</v>
      </c>
      <c r="K189">
        <v>2331</v>
      </c>
      <c r="L189" t="str">
        <f>DiscreteStatsTable[[#This Row],[ProjectName]]&amp;DiscreteStatsTable[[#This Row],[Name]]&amp;DiscreteStatsTable[[#This Row],[Type]]&amp;DiscreteStatsTable[[#This Row],[Source]]</f>
        <v>PacientesEntity 1Other TimeEntity</v>
      </c>
      <c r="M189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cm="1">
        <f t="array" ref="N189">IFERROR(AVERAGE(IF((DiscreteStatsTable[GroupByKey]=DiscreteStatsTable[[#This Row],[GroupByKey]]),(DiscreteStatsTable[GroupByKey]=DiscreteStatsTable[[#This Row],[GroupByKey]])*DiscreteStatsTable[Average])),0)</f>
        <v>0</v>
      </c>
      <c r="O189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cm="1">
        <f t="array" ref="S189">MAX(IF((DiscreteStatsTable[GroupByKey]=DiscreteStatsTable[[#This Row],[GroupByKey]]),(DiscreteStatsTable[GroupByKey]=DiscreteStatsTable[[#This Row],[GroupByKey]])*DiscreteStatsTable[Average]))</f>
        <v>0</v>
      </c>
      <c r="T189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cm="1">
        <f t="array" ref="U189">MAX(IF((DiscreteStatsTable[GroupByKey]=DiscreteStatsTable[[#This Row],[GroupByKey]]),(DiscreteStatsTable[GroupByKey]=DiscreteStatsTable[[#This Row],[GroupByKey]])*DiscreteStatsTable[Maximum]))</f>
        <v>0</v>
      </c>
      <c r="V189" cm="1">
        <f t="array" ref="V18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89">
        <f>IF((DiscreteStatsTable[[#This Row],[RepsRequested]]&gt;1),DiscreteStatsTable[[#This Row],[HalfWidth]],DiscreteStatsTable[[#This Row],[BatchMeansHalfWidth]])</f>
        <v>0</v>
      </c>
      <c r="X189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131</v>
      </c>
      <c r="C190">
        <v>32</v>
      </c>
      <c r="D190" t="s">
        <v>70</v>
      </c>
      <c r="E190" t="s">
        <v>74</v>
      </c>
      <c r="F190" t="s">
        <v>72</v>
      </c>
      <c r="G190">
        <v>1.2864924362621499</v>
      </c>
      <c r="H190">
        <v>0.14879511694414399</v>
      </c>
      <c r="I190">
        <v>0.23018746572927301</v>
      </c>
      <c r="J190">
        <v>11.749548532490101</v>
      </c>
      <c r="K190">
        <v>2331</v>
      </c>
      <c r="L190" t="str">
        <f>DiscreteStatsTable[[#This Row],[ProjectName]]&amp;DiscreteStatsTable[[#This Row],[Name]]&amp;DiscreteStatsTable[[#This Row],[Type]]&amp;DiscreteStatsTable[[#This Row],[Source]]</f>
        <v>PacientesEntity 1Total TimeEntity</v>
      </c>
      <c r="M190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cm="1">
        <f t="array" ref="N190">IFERROR(AVERAGE(IF((DiscreteStatsTable[GroupByKey]=DiscreteStatsTable[[#This Row],[GroupByKey]]),(DiscreteStatsTable[GroupByKey]=DiscreteStatsTable[[#This Row],[GroupByKey]])*DiscreteStatsTable[Average])),0)</f>
        <v>1.5029966070875795</v>
      </c>
      <c r="O190" cm="1">
        <f t="array" ref="O19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90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90" cm="1">
        <f t="array" ref="R190">MIN(IF((DiscreteStatsTable[GroupByKey]=DiscreteStatsTable[[#This Row],[GroupByKey]]),(DiscreteStatsTable[GroupByKey]=DiscreteStatsTable[[#This Row],[GroupByKey]])*DiscreteStatsTable[Average]))</f>
        <v>1.21830768607881</v>
      </c>
      <c r="S190" cm="1">
        <f t="array" ref="S190">MAX(IF((DiscreteStatsTable[GroupByKey]=DiscreteStatsTable[[#This Row],[GroupByKey]]),(DiscreteStatsTable[GroupByKey]=DiscreteStatsTable[[#This Row],[GroupByKey]])*DiscreteStatsTable[Average]))</f>
        <v>2.06387223343107</v>
      </c>
      <c r="T190" cm="1">
        <f t="array" ref="T190">MIN(IF((DiscreteStatsTable[GroupByKey]=DiscreteStatsTable[[#This Row],[GroupByKey]]),(DiscreteStatsTable[GroupByKey]=DiscreteStatsTable[[#This Row],[GroupByKey]])*DiscreteStatsTable[Minimum]))</f>
        <v>0.203133309337034</v>
      </c>
      <c r="U190" cm="1">
        <f t="array" ref="U190">MAX(IF((DiscreteStatsTable[GroupByKey]=DiscreteStatsTable[[#This Row],[GroupByKey]]),(DiscreteStatsTable[GroupByKey]=DiscreteStatsTable[[#This Row],[GroupByKey]])*DiscreteStatsTable[Maximum]))</f>
        <v>29.554686467573401</v>
      </c>
      <c r="V190" cm="1">
        <f t="array" ref="V19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0">
        <f>IF((DiscreteStatsTable[[#This Row],[RepsRequested]]&gt;1),DiscreteStatsTable[[#This Row],[HalfWidth]],DiscreteStatsTable[[#This Row],[BatchMeansHalfWidth]])</f>
        <v>6.1205265903720704E-2</v>
      </c>
      <c r="X190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131</v>
      </c>
      <c r="C191">
        <v>32</v>
      </c>
      <c r="D191" t="s">
        <v>70</v>
      </c>
      <c r="E191" t="s">
        <v>75</v>
      </c>
      <c r="F191" t="s">
        <v>72</v>
      </c>
      <c r="G191">
        <v>0</v>
      </c>
      <c r="H191">
        <v>0</v>
      </c>
      <c r="I191">
        <v>0</v>
      </c>
      <c r="J191">
        <v>0</v>
      </c>
      <c r="K191">
        <v>2331</v>
      </c>
      <c r="L191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91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cm="1">
        <f t="array" ref="V19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1">
        <f>IF((DiscreteStatsTable[[#This Row],[RepsRequested]]&gt;1),DiscreteStatsTable[[#This Row],[HalfWidth]],DiscreteStatsTable[[#This Row],[BatchMeansHalfWidth]])</f>
        <v>0</v>
      </c>
      <c r="X191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131</v>
      </c>
      <c r="C192">
        <v>32</v>
      </c>
      <c r="D192" t="s">
        <v>70</v>
      </c>
      <c r="E192" t="s">
        <v>76</v>
      </c>
      <c r="F192" t="s">
        <v>72</v>
      </c>
      <c r="G192">
        <v>0.64452003514622502</v>
      </c>
      <c r="H192">
        <v>1.3123721763838501E-2</v>
      </c>
      <c r="I192">
        <v>0.23018746572927301</v>
      </c>
      <c r="J192">
        <v>1.5496264333860099</v>
      </c>
      <c r="K192">
        <v>2331</v>
      </c>
      <c r="L192" t="str">
        <f>DiscreteStatsTable[[#This Row],[ProjectName]]&amp;DiscreteStatsTable[[#This Row],[Name]]&amp;DiscreteStatsTable[[#This Row],[Type]]&amp;DiscreteStatsTable[[#This Row],[Source]]</f>
        <v>PacientesEntity 1VA TimeEntity</v>
      </c>
      <c r="M192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cm="1">
        <f t="array" ref="N192">IFERROR(AVERAGE(IF((DiscreteStatsTable[GroupByKey]=DiscreteStatsTable[[#This Row],[GroupByKey]]),(DiscreteStatsTable[GroupByKey]=DiscreteStatsTable[[#This Row],[GroupByKey]])*DiscreteStatsTable[Average])),0)</f>
        <v>0.63333757112184219</v>
      </c>
      <c r="O192" cm="1">
        <f t="array" ref="O192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92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92" cm="1">
        <f t="array" ref="R192">MIN(IF((DiscreteStatsTable[GroupByKey]=DiscreteStatsTable[[#This Row],[GroupByKey]]),(DiscreteStatsTable[GroupByKey]=DiscreteStatsTable[[#This Row],[GroupByKey]])*DiscreteStatsTable[Average]))</f>
        <v>0.62319357082308402</v>
      </c>
      <c r="S192" cm="1">
        <f t="array" ref="S192">MAX(IF((DiscreteStatsTable[GroupByKey]=DiscreteStatsTable[[#This Row],[GroupByKey]]),(DiscreteStatsTable[GroupByKey]=DiscreteStatsTable[[#This Row],[GroupByKey]])*DiscreteStatsTable[Average]))</f>
        <v>0.64452003514622502</v>
      </c>
      <c r="T192" cm="1">
        <f t="array" ref="T192">MIN(IF((DiscreteStatsTable[GroupByKey]=DiscreteStatsTable[[#This Row],[GroupByKey]]),(DiscreteStatsTable[GroupByKey]=DiscreteStatsTable[[#This Row],[GroupByKey]])*DiscreteStatsTable[Minimum]))</f>
        <v>0.203133309337034</v>
      </c>
      <c r="U192" cm="1">
        <f t="array" ref="U192">MAX(IF((DiscreteStatsTable[GroupByKey]=DiscreteStatsTable[[#This Row],[GroupByKey]]),(DiscreteStatsTable[GroupByKey]=DiscreteStatsTable[[#This Row],[GroupByKey]])*DiscreteStatsTable[Maximum]))</f>
        <v>1.5939517145847</v>
      </c>
      <c r="V192" cm="1">
        <f t="array" ref="V19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2">
        <f>IF((DiscreteStatsTable[[#This Row],[RepsRequested]]&gt;1),DiscreteStatsTable[[#This Row],[HalfWidth]],DiscreteStatsTable[[#This Row],[BatchMeansHalfWidth]])</f>
        <v>1.276828436655964E-3</v>
      </c>
      <c r="X192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131</v>
      </c>
      <c r="C193">
        <v>32</v>
      </c>
      <c r="D193" t="s">
        <v>70</v>
      </c>
      <c r="E193" t="s">
        <v>77</v>
      </c>
      <c r="F193" t="s">
        <v>72</v>
      </c>
      <c r="G193">
        <v>0.64197240111592102</v>
      </c>
      <c r="H193">
        <v>0.14661569720307499</v>
      </c>
      <c r="I193">
        <v>0</v>
      </c>
      <c r="J193">
        <v>11.3815978892868</v>
      </c>
      <c r="K193">
        <v>2331</v>
      </c>
      <c r="L193" t="str">
        <f>DiscreteStatsTable[[#This Row],[ProjectName]]&amp;DiscreteStatsTable[[#This Row],[Name]]&amp;DiscreteStatsTable[[#This Row],[Type]]&amp;DiscreteStatsTable[[#This Row],[Source]]</f>
        <v>PacientesEntity 1Wait TimeEntity</v>
      </c>
      <c r="M193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cm="1">
        <f t="array" ref="N193">IFERROR(AVERAGE(IF((DiscreteStatsTable[GroupByKey]=DiscreteStatsTable[[#This Row],[GroupByKey]]),(DiscreteStatsTable[GroupByKey]=DiscreteStatsTable[[#This Row],[GroupByKey]])*DiscreteStatsTable[Average])),0)</f>
        <v>0.86965903596573602</v>
      </c>
      <c r="O193" cm="1">
        <f t="array" ref="O193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93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93" cm="1">
        <f t="array" ref="R193">MIN(IF((DiscreteStatsTable[GroupByKey]=DiscreteStatsTable[[#This Row],[GroupByKey]]),(DiscreteStatsTable[GroupByKey]=DiscreteStatsTable[[#This Row],[GroupByKey]])*DiscreteStatsTable[Average]))</f>
        <v>0.58431254303614699</v>
      </c>
      <c r="S193" cm="1">
        <f t="array" ref="S193">MAX(IF((DiscreteStatsTable[GroupByKey]=DiscreteStatsTable[[#This Row],[GroupByKey]]),(DiscreteStatsTable[GroupByKey]=DiscreteStatsTable[[#This Row],[GroupByKey]])*DiscreteStatsTable[Average]))</f>
        <v>1.42140669319588</v>
      </c>
      <c r="T193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cm="1">
        <f t="array" ref="U193">MAX(IF((DiscreteStatsTable[GroupByKey]=DiscreteStatsTable[[#This Row],[GroupByKey]]),(DiscreteStatsTable[GroupByKey]=DiscreteStatsTable[[#This Row],[GroupByKey]])*DiscreteStatsTable[Maximum]))</f>
        <v>28.983199492767199</v>
      </c>
      <c r="V193" cm="1">
        <f t="array" ref="V19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3">
        <f>IF((DiscreteStatsTable[[#This Row],[RepsRequested]]&gt;1),DiscreteStatsTable[[#This Row],[HalfWidth]],DiscreteStatsTable[[#This Row],[BatchMeansHalfWidth]])</f>
        <v>6.0911976702528743E-2</v>
      </c>
      <c r="X193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131</v>
      </c>
      <c r="C194">
        <v>33</v>
      </c>
      <c r="D194" t="s">
        <v>70</v>
      </c>
      <c r="E194" t="s">
        <v>71</v>
      </c>
      <c r="F194" t="s">
        <v>72</v>
      </c>
      <c r="G194">
        <v>0</v>
      </c>
      <c r="H194">
        <v>0</v>
      </c>
      <c r="I194">
        <v>0</v>
      </c>
      <c r="J194">
        <v>0</v>
      </c>
      <c r="K194">
        <v>2414</v>
      </c>
      <c r="L194" t="str">
        <f>DiscreteStatsTable[[#This Row],[ProjectName]]&amp;DiscreteStatsTable[[#This Row],[Name]]&amp;DiscreteStatsTable[[#This Row],[Type]]&amp;DiscreteStatsTable[[#This Row],[Source]]</f>
        <v>PacientesEntity 1NVA TimeEntity</v>
      </c>
      <c r="M194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cm="1">
        <f t="array" ref="N194">IFERROR(AVERAGE(IF((DiscreteStatsTable[GroupByKey]=DiscreteStatsTable[[#This Row],[GroupByKey]]),(DiscreteStatsTable[GroupByKey]=DiscreteStatsTable[[#This Row],[GroupByKey]])*DiscreteStatsTable[Average])),0)</f>
        <v>0</v>
      </c>
      <c r="O194" cm="1">
        <f t="array" ref="O194">IFERROR(_xlfn.STDEV.S(IF((DiscreteStatsTable[GroupByKey]=DiscreteStatsTable[[#This Row],[GroupByKey]]),(DiscreteStatsTable[GroupByKey]=DiscreteStatsTable[[#This Row],[GroupByKey]])*DiscreteStatsTable[Average])),0)</f>
        <v>0</v>
      </c>
      <c r="P194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cm="1">
        <f t="array" ref="S194">MAX(IF((DiscreteStatsTable[GroupByKey]=DiscreteStatsTable[[#This Row],[GroupByKey]]),(DiscreteStatsTable[GroupByKey]=DiscreteStatsTable[[#This Row],[GroupByKey]])*DiscreteStatsTable[Average]))</f>
        <v>0</v>
      </c>
      <c r="T194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cm="1">
        <f t="array" ref="U194">MAX(IF((DiscreteStatsTable[GroupByKey]=DiscreteStatsTable[[#This Row],[GroupByKey]]),(DiscreteStatsTable[GroupByKey]=DiscreteStatsTable[[#This Row],[GroupByKey]])*DiscreteStatsTable[Maximum]))</f>
        <v>0</v>
      </c>
      <c r="V194" cm="1">
        <f t="array" ref="V19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4">
        <f>IF((DiscreteStatsTable[[#This Row],[RepsRequested]]&gt;1),DiscreteStatsTable[[#This Row],[HalfWidth]],DiscreteStatsTable[[#This Row],[BatchMeansHalfWidth]])</f>
        <v>0</v>
      </c>
      <c r="X194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131</v>
      </c>
      <c r="C195">
        <v>33</v>
      </c>
      <c r="D195" t="s">
        <v>70</v>
      </c>
      <c r="E195" t="s">
        <v>73</v>
      </c>
      <c r="F195" t="s">
        <v>72</v>
      </c>
      <c r="G195">
        <v>0</v>
      </c>
      <c r="H195">
        <v>0</v>
      </c>
      <c r="I195">
        <v>0</v>
      </c>
      <c r="J195">
        <v>0</v>
      </c>
      <c r="K195">
        <v>2414</v>
      </c>
      <c r="L195" t="str">
        <f>DiscreteStatsTable[[#This Row],[ProjectName]]&amp;DiscreteStatsTable[[#This Row],[Name]]&amp;DiscreteStatsTable[[#This Row],[Type]]&amp;DiscreteStatsTable[[#This Row],[Source]]</f>
        <v>PacientesEntity 1Other TimeEntity</v>
      </c>
      <c r="M19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cm="1">
        <f t="array" ref="N195">IFERROR(AVERAGE(IF((DiscreteStatsTable[GroupByKey]=DiscreteStatsTable[[#This Row],[GroupByKey]]),(DiscreteStatsTable[GroupByKey]=DiscreteStatsTable[[#This Row],[GroupByKey]])*DiscreteStatsTable[Average])),0)</f>
        <v>0</v>
      </c>
      <c r="O19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cm="1">
        <f t="array" ref="S195">MAX(IF((DiscreteStatsTable[GroupByKey]=DiscreteStatsTable[[#This Row],[GroupByKey]]),(DiscreteStatsTable[GroupByKey]=DiscreteStatsTable[[#This Row],[GroupByKey]])*DiscreteStatsTable[Average]))</f>
        <v>0</v>
      </c>
      <c r="T19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cm="1">
        <f t="array" ref="U195">MAX(IF((DiscreteStatsTable[GroupByKey]=DiscreteStatsTable[[#This Row],[GroupByKey]]),(DiscreteStatsTable[GroupByKey]=DiscreteStatsTable[[#This Row],[GroupByKey]])*DiscreteStatsTable[Maximum]))</f>
        <v>0</v>
      </c>
      <c r="V195" cm="1">
        <f t="array" ref="V19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5">
        <f>IF((DiscreteStatsTable[[#This Row],[RepsRequested]]&gt;1),DiscreteStatsTable[[#This Row],[HalfWidth]],DiscreteStatsTable[[#This Row],[BatchMeansHalfWidth]])</f>
        <v>0</v>
      </c>
      <c r="X19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131</v>
      </c>
      <c r="C196">
        <v>33</v>
      </c>
      <c r="D196" t="s">
        <v>70</v>
      </c>
      <c r="E196" t="s">
        <v>74</v>
      </c>
      <c r="F196" t="s">
        <v>72</v>
      </c>
      <c r="G196">
        <v>1.39613516729193</v>
      </c>
      <c r="H196">
        <v>0.18405682165880899</v>
      </c>
      <c r="I196">
        <v>0.246016273962709</v>
      </c>
      <c r="J196">
        <v>10.6142811553326</v>
      </c>
      <c r="K196">
        <v>2414</v>
      </c>
      <c r="L196" t="str">
        <f>DiscreteStatsTable[[#This Row],[ProjectName]]&amp;DiscreteStatsTable[[#This Row],[Name]]&amp;DiscreteStatsTable[[#This Row],[Type]]&amp;DiscreteStatsTable[[#This Row],[Source]]</f>
        <v>PacientesEntity 1Total TimeEntity</v>
      </c>
      <c r="M196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cm="1">
        <f t="array" ref="N196">IFERROR(AVERAGE(IF((DiscreteStatsTable[GroupByKey]=DiscreteStatsTable[[#This Row],[GroupByKey]]),(DiscreteStatsTable[GroupByKey]=DiscreteStatsTable[[#This Row],[GroupByKey]])*DiscreteStatsTable[Average])),0)</f>
        <v>1.5029966070875795</v>
      </c>
      <c r="O196" cm="1">
        <f t="array" ref="O19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196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196" cm="1">
        <f t="array" ref="R196">MIN(IF((DiscreteStatsTable[GroupByKey]=DiscreteStatsTable[[#This Row],[GroupByKey]]),(DiscreteStatsTable[GroupByKey]=DiscreteStatsTable[[#This Row],[GroupByKey]])*DiscreteStatsTable[Average]))</f>
        <v>1.21830768607881</v>
      </c>
      <c r="S196" cm="1">
        <f t="array" ref="S196">MAX(IF((DiscreteStatsTable[GroupByKey]=DiscreteStatsTable[[#This Row],[GroupByKey]]),(DiscreteStatsTable[GroupByKey]=DiscreteStatsTable[[#This Row],[GroupByKey]])*DiscreteStatsTable[Average]))</f>
        <v>2.06387223343107</v>
      </c>
      <c r="T196" cm="1">
        <f t="array" ref="T196">MIN(IF((DiscreteStatsTable[GroupByKey]=DiscreteStatsTable[[#This Row],[GroupByKey]]),(DiscreteStatsTable[GroupByKey]=DiscreteStatsTable[[#This Row],[GroupByKey]])*DiscreteStatsTable[Minimum]))</f>
        <v>0.203133309337034</v>
      </c>
      <c r="U196" cm="1">
        <f t="array" ref="U196">MAX(IF((DiscreteStatsTable[GroupByKey]=DiscreteStatsTable[[#This Row],[GroupByKey]]),(DiscreteStatsTable[GroupByKey]=DiscreteStatsTable[[#This Row],[GroupByKey]])*DiscreteStatsTable[Maximum]))</f>
        <v>29.554686467573401</v>
      </c>
      <c r="V196" cm="1">
        <f t="array" ref="V19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6">
        <f>IF((DiscreteStatsTable[[#This Row],[RepsRequested]]&gt;1),DiscreteStatsTable[[#This Row],[HalfWidth]],DiscreteStatsTable[[#This Row],[BatchMeansHalfWidth]])</f>
        <v>6.1205265903720704E-2</v>
      </c>
      <c r="X196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131</v>
      </c>
      <c r="C197">
        <v>33</v>
      </c>
      <c r="D197" t="s">
        <v>70</v>
      </c>
      <c r="E197" t="s">
        <v>75</v>
      </c>
      <c r="F197" t="s">
        <v>72</v>
      </c>
      <c r="G197">
        <v>0</v>
      </c>
      <c r="H197">
        <v>0</v>
      </c>
      <c r="I197">
        <v>0</v>
      </c>
      <c r="J197">
        <v>0</v>
      </c>
      <c r="K197">
        <v>2414</v>
      </c>
      <c r="L197" t="str">
        <f>DiscreteStatsTable[[#This Row],[ProjectName]]&amp;DiscreteStatsTable[[#This Row],[Name]]&amp;DiscreteStatsTable[[#This Row],[Type]]&amp;DiscreteStatsTable[[#This Row],[Source]]</f>
        <v>PacientesEntity 1Transfer TimeEntity</v>
      </c>
      <c r="M197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cm="1">
        <f t="array" ref="V19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7">
        <f>IF((DiscreteStatsTable[[#This Row],[RepsRequested]]&gt;1),DiscreteStatsTable[[#This Row],[HalfWidth]],DiscreteStatsTable[[#This Row],[BatchMeansHalfWidth]])</f>
        <v>0</v>
      </c>
      <c r="X197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131</v>
      </c>
      <c r="C198">
        <v>33</v>
      </c>
      <c r="D198" t="s">
        <v>70</v>
      </c>
      <c r="E198" t="s">
        <v>76</v>
      </c>
      <c r="F198" t="s">
        <v>72</v>
      </c>
      <c r="G198">
        <v>0.634440321227147</v>
      </c>
      <c r="H198">
        <v>1.1376710549458E-2</v>
      </c>
      <c r="I198">
        <v>0.24568975232818999</v>
      </c>
      <c r="J198">
        <v>1.5134749540174</v>
      </c>
      <c r="K198">
        <v>2414</v>
      </c>
      <c r="L198" t="str">
        <f>DiscreteStatsTable[[#This Row],[ProjectName]]&amp;DiscreteStatsTable[[#This Row],[Name]]&amp;DiscreteStatsTable[[#This Row],[Type]]&amp;DiscreteStatsTable[[#This Row],[Source]]</f>
        <v>PacientesEntity 1VA TimeEntity</v>
      </c>
      <c r="M198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cm="1">
        <f t="array" ref="N198">IFERROR(AVERAGE(IF((DiscreteStatsTable[GroupByKey]=DiscreteStatsTable[[#This Row],[GroupByKey]]),(DiscreteStatsTable[GroupByKey]=DiscreteStatsTable[[#This Row],[GroupByKey]])*DiscreteStatsTable[Average])),0)</f>
        <v>0.63333757112184219</v>
      </c>
      <c r="O198" cm="1">
        <f t="array" ref="O198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198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198" cm="1">
        <f t="array" ref="R198">MIN(IF((DiscreteStatsTable[GroupByKey]=DiscreteStatsTable[[#This Row],[GroupByKey]]),(DiscreteStatsTable[GroupByKey]=DiscreteStatsTable[[#This Row],[GroupByKey]])*DiscreteStatsTable[Average]))</f>
        <v>0.62319357082308402</v>
      </c>
      <c r="S198" cm="1">
        <f t="array" ref="S198">MAX(IF((DiscreteStatsTable[GroupByKey]=DiscreteStatsTable[[#This Row],[GroupByKey]]),(DiscreteStatsTable[GroupByKey]=DiscreteStatsTable[[#This Row],[GroupByKey]])*DiscreteStatsTable[Average]))</f>
        <v>0.64452003514622502</v>
      </c>
      <c r="T198" cm="1">
        <f t="array" ref="T198">MIN(IF((DiscreteStatsTable[GroupByKey]=DiscreteStatsTable[[#This Row],[GroupByKey]]),(DiscreteStatsTable[GroupByKey]=DiscreteStatsTable[[#This Row],[GroupByKey]])*DiscreteStatsTable[Minimum]))</f>
        <v>0.203133309337034</v>
      </c>
      <c r="U198" cm="1">
        <f t="array" ref="U198">MAX(IF((DiscreteStatsTable[GroupByKey]=DiscreteStatsTable[[#This Row],[GroupByKey]]),(DiscreteStatsTable[GroupByKey]=DiscreteStatsTable[[#This Row],[GroupByKey]])*DiscreteStatsTable[Maximum]))</f>
        <v>1.5939517145847</v>
      </c>
      <c r="V198" cm="1">
        <f t="array" ref="V19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8">
        <f>IF((DiscreteStatsTable[[#This Row],[RepsRequested]]&gt;1),DiscreteStatsTable[[#This Row],[HalfWidth]],DiscreteStatsTable[[#This Row],[BatchMeansHalfWidth]])</f>
        <v>1.276828436655964E-3</v>
      </c>
      <c r="X198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131</v>
      </c>
      <c r="C199">
        <v>33</v>
      </c>
      <c r="D199" t="s">
        <v>70</v>
      </c>
      <c r="E199" t="s">
        <v>77</v>
      </c>
      <c r="F199" t="s">
        <v>72</v>
      </c>
      <c r="G199">
        <v>0.761694846064778</v>
      </c>
      <c r="H199">
        <v>0.17982512330449699</v>
      </c>
      <c r="I199">
        <v>0</v>
      </c>
      <c r="J199">
        <v>10.171091633084</v>
      </c>
      <c r="K199">
        <v>2414</v>
      </c>
      <c r="L199" t="str">
        <f>DiscreteStatsTable[[#This Row],[ProjectName]]&amp;DiscreteStatsTable[[#This Row],[Name]]&amp;DiscreteStatsTable[[#This Row],[Type]]&amp;DiscreteStatsTable[[#This Row],[Source]]</f>
        <v>PacientesEntity 1Wait TimeEntity</v>
      </c>
      <c r="M199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cm="1">
        <f t="array" ref="N199">IFERROR(AVERAGE(IF((DiscreteStatsTable[GroupByKey]=DiscreteStatsTable[[#This Row],[GroupByKey]]),(DiscreteStatsTable[GroupByKey]=DiscreteStatsTable[[#This Row],[GroupByKey]])*DiscreteStatsTable[Average])),0)</f>
        <v>0.86965903596573602</v>
      </c>
      <c r="O199" cm="1">
        <f t="array" ref="O199">IFERROR(_xlfn.STDEV.S(IF((DiscreteStatsTable[GroupByKey]=DiscreteStatsTable[[#This Row],[GroupByKey]]),(DiscreteStatsTable[GroupByKey]=DiscreteStatsTable[[#This Row],[GroupByKey]])*DiscreteStatsTable[Average])),0)</f>
        <v>0.21433022753287986</v>
      </c>
      <c r="P199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199" cm="1">
        <f t="array" ref="R199">MIN(IF((DiscreteStatsTable[GroupByKey]=DiscreteStatsTable[[#This Row],[GroupByKey]]),(DiscreteStatsTable[GroupByKey]=DiscreteStatsTable[[#This Row],[GroupByKey]])*DiscreteStatsTable[Average]))</f>
        <v>0.58431254303614699</v>
      </c>
      <c r="S199" cm="1">
        <f t="array" ref="S199">MAX(IF((DiscreteStatsTable[GroupByKey]=DiscreteStatsTable[[#This Row],[GroupByKey]]),(DiscreteStatsTable[GroupByKey]=DiscreteStatsTable[[#This Row],[GroupByKey]])*DiscreteStatsTable[Average]))</f>
        <v>1.42140669319588</v>
      </c>
      <c r="T199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cm="1">
        <f t="array" ref="U199">MAX(IF((DiscreteStatsTable[GroupByKey]=DiscreteStatsTable[[#This Row],[GroupByKey]]),(DiscreteStatsTable[GroupByKey]=DiscreteStatsTable[[#This Row],[GroupByKey]])*DiscreteStatsTable[Maximum]))</f>
        <v>28.983199492767199</v>
      </c>
      <c r="V199" cm="1">
        <f t="array" ref="V19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199">
        <f>IF((DiscreteStatsTable[[#This Row],[RepsRequested]]&gt;1),DiscreteStatsTable[[#This Row],[HalfWidth]],DiscreteStatsTable[[#This Row],[BatchMeansHalfWidth]])</f>
        <v>6.0911976702528743E-2</v>
      </c>
      <c r="X199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131</v>
      </c>
      <c r="C200">
        <v>34</v>
      </c>
      <c r="D200" t="s">
        <v>70</v>
      </c>
      <c r="E200" t="s">
        <v>71</v>
      </c>
      <c r="F200" t="s">
        <v>72</v>
      </c>
      <c r="G200">
        <v>0</v>
      </c>
      <c r="H200">
        <v>0</v>
      </c>
      <c r="I200">
        <v>0</v>
      </c>
      <c r="J200">
        <v>0</v>
      </c>
      <c r="K200">
        <v>2412</v>
      </c>
      <c r="L200" t="str">
        <f>DiscreteStatsTable[[#This Row],[ProjectName]]&amp;DiscreteStatsTable[[#This Row],[Name]]&amp;DiscreteStatsTable[[#This Row],[Type]]&amp;DiscreteStatsTable[[#This Row],[Source]]</f>
        <v>PacientesEntity 1NVA TimeEntity</v>
      </c>
      <c r="M200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cm="1">
        <f t="array" ref="N200">IFERROR(AVERAGE(IF((DiscreteStatsTable[GroupByKey]=DiscreteStatsTable[[#This Row],[GroupByKey]]),(DiscreteStatsTable[GroupByKey]=DiscreteStatsTable[[#This Row],[GroupByKey]])*DiscreteStatsTable[Average])),0)</f>
        <v>0</v>
      </c>
      <c r="O200" cm="1">
        <f t="array" ref="O200">IFERROR(_xlfn.STDEV.S(IF((DiscreteStatsTable[GroupByKey]=DiscreteStatsTable[[#This Row],[GroupByKey]]),(DiscreteStatsTable[GroupByKey]=DiscreteStatsTable[[#This Row],[GroupByKey]])*DiscreteStatsTable[Average])),0)</f>
        <v>0</v>
      </c>
      <c r="P200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0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cm="1">
        <f t="array" ref="S200">MAX(IF((DiscreteStatsTable[GroupByKey]=DiscreteStatsTable[[#This Row],[GroupByKey]]),(DiscreteStatsTable[GroupByKey]=DiscreteStatsTable[[#This Row],[GroupByKey]])*DiscreteStatsTable[Average]))</f>
        <v>0</v>
      </c>
      <c r="T200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cm="1">
        <f t="array" ref="U200">MAX(IF((DiscreteStatsTable[GroupByKey]=DiscreteStatsTable[[#This Row],[GroupByKey]]),(DiscreteStatsTable[GroupByKey]=DiscreteStatsTable[[#This Row],[GroupByKey]])*DiscreteStatsTable[Maximum]))</f>
        <v>0</v>
      </c>
      <c r="V200" cm="1">
        <f t="array" ref="V20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0">
        <f>IF((DiscreteStatsTable[[#This Row],[RepsRequested]]&gt;1),DiscreteStatsTable[[#This Row],[HalfWidth]],DiscreteStatsTable[[#This Row],[BatchMeansHalfWidth]])</f>
        <v>0</v>
      </c>
      <c r="X200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131</v>
      </c>
      <c r="C201">
        <v>34</v>
      </c>
      <c r="D201" t="s">
        <v>70</v>
      </c>
      <c r="E201" t="s">
        <v>73</v>
      </c>
      <c r="F201" t="s">
        <v>72</v>
      </c>
      <c r="G201">
        <v>0</v>
      </c>
      <c r="H201">
        <v>0</v>
      </c>
      <c r="I201">
        <v>0</v>
      </c>
      <c r="J201">
        <v>0</v>
      </c>
      <c r="K201">
        <v>2412</v>
      </c>
      <c r="L201" t="str">
        <f>DiscreteStatsTable[[#This Row],[ProjectName]]&amp;DiscreteStatsTable[[#This Row],[Name]]&amp;DiscreteStatsTable[[#This Row],[Type]]&amp;DiscreteStatsTable[[#This Row],[Source]]</f>
        <v>PacientesEntity 1Other TimeEntity</v>
      </c>
      <c r="M201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cm="1">
        <f t="array" ref="N201">IFERROR(AVERAGE(IF((DiscreteStatsTable[GroupByKey]=DiscreteStatsTable[[#This Row],[GroupByKey]]),(DiscreteStatsTable[GroupByKey]=DiscreteStatsTable[[#This Row],[GroupByKey]])*DiscreteStatsTable[Average])),0)</f>
        <v>0</v>
      </c>
      <c r="O201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cm="1">
        <f t="array" ref="S201">MAX(IF((DiscreteStatsTable[GroupByKey]=DiscreteStatsTable[[#This Row],[GroupByKey]]),(DiscreteStatsTable[GroupByKey]=DiscreteStatsTable[[#This Row],[GroupByKey]])*DiscreteStatsTable[Average]))</f>
        <v>0</v>
      </c>
      <c r="T201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cm="1">
        <f t="array" ref="U201">MAX(IF((DiscreteStatsTable[GroupByKey]=DiscreteStatsTable[[#This Row],[GroupByKey]]),(DiscreteStatsTable[GroupByKey]=DiscreteStatsTable[[#This Row],[GroupByKey]])*DiscreteStatsTable[Maximum]))</f>
        <v>0</v>
      </c>
      <c r="V201" cm="1">
        <f t="array" ref="V20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1">
        <f>IF((DiscreteStatsTable[[#This Row],[RepsRequested]]&gt;1),DiscreteStatsTable[[#This Row],[HalfWidth]],DiscreteStatsTable[[#This Row],[BatchMeansHalfWidth]])</f>
        <v>0</v>
      </c>
      <c r="X201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131</v>
      </c>
      <c r="C202">
        <v>34</v>
      </c>
      <c r="D202" t="s">
        <v>70</v>
      </c>
      <c r="E202" t="s">
        <v>74</v>
      </c>
      <c r="F202" t="s">
        <v>72</v>
      </c>
      <c r="G202">
        <v>1.46454755903288</v>
      </c>
      <c r="H202">
        <v>0.27465390096683601</v>
      </c>
      <c r="I202">
        <v>0.26885543374333998</v>
      </c>
      <c r="J202">
        <v>17.730339065876802</v>
      </c>
      <c r="K202">
        <v>2412</v>
      </c>
      <c r="L202" t="str">
        <f>DiscreteStatsTable[[#This Row],[ProjectName]]&amp;DiscreteStatsTable[[#This Row],[Name]]&amp;DiscreteStatsTable[[#This Row],[Type]]&amp;DiscreteStatsTable[[#This Row],[Source]]</f>
        <v>PacientesEntity 1Total TimeEntity</v>
      </c>
      <c r="M202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cm="1">
        <f t="array" ref="N202">IFERROR(AVERAGE(IF((DiscreteStatsTable[GroupByKey]=DiscreteStatsTable[[#This Row],[GroupByKey]]),(DiscreteStatsTable[GroupByKey]=DiscreteStatsTable[[#This Row],[GroupByKey]])*DiscreteStatsTable[Average])),0)</f>
        <v>1.5029966070875795</v>
      </c>
      <c r="O202" cm="1">
        <f t="array" ref="O20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02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02" cm="1">
        <f t="array" ref="R202">MIN(IF((DiscreteStatsTable[GroupByKey]=DiscreteStatsTable[[#This Row],[GroupByKey]]),(DiscreteStatsTable[GroupByKey]=DiscreteStatsTable[[#This Row],[GroupByKey]])*DiscreteStatsTable[Average]))</f>
        <v>1.21830768607881</v>
      </c>
      <c r="S202" cm="1">
        <f t="array" ref="S202">MAX(IF((DiscreteStatsTable[GroupByKey]=DiscreteStatsTable[[#This Row],[GroupByKey]]),(DiscreteStatsTable[GroupByKey]=DiscreteStatsTable[[#This Row],[GroupByKey]])*DiscreteStatsTable[Average]))</f>
        <v>2.06387223343107</v>
      </c>
      <c r="T202" cm="1">
        <f t="array" ref="T202">MIN(IF((DiscreteStatsTable[GroupByKey]=DiscreteStatsTable[[#This Row],[GroupByKey]]),(DiscreteStatsTable[GroupByKey]=DiscreteStatsTable[[#This Row],[GroupByKey]])*DiscreteStatsTable[Minimum]))</f>
        <v>0.203133309337034</v>
      </c>
      <c r="U202" cm="1">
        <f t="array" ref="U202">MAX(IF((DiscreteStatsTable[GroupByKey]=DiscreteStatsTable[[#This Row],[GroupByKey]]),(DiscreteStatsTable[GroupByKey]=DiscreteStatsTable[[#This Row],[GroupByKey]])*DiscreteStatsTable[Maximum]))</f>
        <v>29.554686467573401</v>
      </c>
      <c r="V202" cm="1">
        <f t="array" ref="V20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2">
        <f>IF((DiscreteStatsTable[[#This Row],[RepsRequested]]&gt;1),DiscreteStatsTable[[#This Row],[HalfWidth]],DiscreteStatsTable[[#This Row],[BatchMeansHalfWidth]])</f>
        <v>6.1205265903720704E-2</v>
      </c>
      <c r="X202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131</v>
      </c>
      <c r="C203">
        <v>34</v>
      </c>
      <c r="D203" t="s">
        <v>70</v>
      </c>
      <c r="E203" t="s">
        <v>75</v>
      </c>
      <c r="F203" t="s">
        <v>72</v>
      </c>
      <c r="G203">
        <v>0</v>
      </c>
      <c r="H203">
        <v>0</v>
      </c>
      <c r="I203">
        <v>0</v>
      </c>
      <c r="J203">
        <v>0</v>
      </c>
      <c r="K203">
        <v>2412</v>
      </c>
      <c r="L203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03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cm="1">
        <f t="array" ref="V20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3">
        <f>IF((DiscreteStatsTable[[#This Row],[RepsRequested]]&gt;1),DiscreteStatsTable[[#This Row],[HalfWidth]],DiscreteStatsTable[[#This Row],[BatchMeansHalfWidth]])</f>
        <v>0</v>
      </c>
      <c r="X203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131</v>
      </c>
      <c r="C204">
        <v>34</v>
      </c>
      <c r="D204" t="s">
        <v>70</v>
      </c>
      <c r="E204" t="s">
        <v>76</v>
      </c>
      <c r="F204" t="s">
        <v>72</v>
      </c>
      <c r="G204">
        <v>0.63121709768971901</v>
      </c>
      <c r="H204">
        <v>1.2435497289459099E-2</v>
      </c>
      <c r="I204">
        <v>0.237077872110007</v>
      </c>
      <c r="J204">
        <v>1.5809501284135199</v>
      </c>
      <c r="K204">
        <v>2412</v>
      </c>
      <c r="L204" t="str">
        <f>DiscreteStatsTable[[#This Row],[ProjectName]]&amp;DiscreteStatsTable[[#This Row],[Name]]&amp;DiscreteStatsTable[[#This Row],[Type]]&amp;DiscreteStatsTable[[#This Row],[Source]]</f>
        <v>PacientesEntity 1VA TimeEntity</v>
      </c>
      <c r="M204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cm="1">
        <f t="array" ref="N204">IFERROR(AVERAGE(IF((DiscreteStatsTable[GroupByKey]=DiscreteStatsTable[[#This Row],[GroupByKey]]),(DiscreteStatsTable[GroupByKey]=DiscreteStatsTable[[#This Row],[GroupByKey]])*DiscreteStatsTable[Average])),0)</f>
        <v>0.63333757112184219</v>
      </c>
      <c r="O204" cm="1">
        <f t="array" ref="O204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04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04" cm="1">
        <f t="array" ref="R204">MIN(IF((DiscreteStatsTable[GroupByKey]=DiscreteStatsTable[[#This Row],[GroupByKey]]),(DiscreteStatsTable[GroupByKey]=DiscreteStatsTable[[#This Row],[GroupByKey]])*DiscreteStatsTable[Average]))</f>
        <v>0.62319357082308402</v>
      </c>
      <c r="S204" cm="1">
        <f t="array" ref="S204">MAX(IF((DiscreteStatsTable[GroupByKey]=DiscreteStatsTable[[#This Row],[GroupByKey]]),(DiscreteStatsTable[GroupByKey]=DiscreteStatsTable[[#This Row],[GroupByKey]])*DiscreteStatsTable[Average]))</f>
        <v>0.64452003514622502</v>
      </c>
      <c r="T204" cm="1">
        <f t="array" ref="T204">MIN(IF((DiscreteStatsTable[GroupByKey]=DiscreteStatsTable[[#This Row],[GroupByKey]]),(DiscreteStatsTable[GroupByKey]=DiscreteStatsTable[[#This Row],[GroupByKey]])*DiscreteStatsTable[Minimum]))</f>
        <v>0.203133309337034</v>
      </c>
      <c r="U204" cm="1">
        <f t="array" ref="U204">MAX(IF((DiscreteStatsTable[GroupByKey]=DiscreteStatsTable[[#This Row],[GroupByKey]]),(DiscreteStatsTable[GroupByKey]=DiscreteStatsTable[[#This Row],[GroupByKey]])*DiscreteStatsTable[Maximum]))</f>
        <v>1.5939517145847</v>
      </c>
      <c r="V204" cm="1">
        <f t="array" ref="V20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4">
        <f>IF((DiscreteStatsTable[[#This Row],[RepsRequested]]&gt;1),DiscreteStatsTable[[#This Row],[HalfWidth]],DiscreteStatsTable[[#This Row],[BatchMeansHalfWidth]])</f>
        <v>1.276828436655964E-3</v>
      </c>
      <c r="X204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131</v>
      </c>
      <c r="C205">
        <v>34</v>
      </c>
      <c r="D205" t="s">
        <v>70</v>
      </c>
      <c r="E205" t="s">
        <v>77</v>
      </c>
      <c r="F205" t="s">
        <v>72</v>
      </c>
      <c r="G205">
        <v>0.83333046134316102</v>
      </c>
      <c r="H205">
        <v>0.27307566021195401</v>
      </c>
      <c r="I205">
        <v>0</v>
      </c>
      <c r="J205">
        <v>17.304532129059101</v>
      </c>
      <c r="K205">
        <v>2412</v>
      </c>
      <c r="L205" t="str">
        <f>DiscreteStatsTable[[#This Row],[ProjectName]]&amp;DiscreteStatsTable[[#This Row],[Name]]&amp;DiscreteStatsTable[[#This Row],[Type]]&amp;DiscreteStatsTable[[#This Row],[Source]]</f>
        <v>PacientesEntity 1Wait TimeEntity</v>
      </c>
      <c r="M20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cm="1">
        <f t="array" ref="N205">IFERROR(AVERAGE(IF((DiscreteStatsTable[GroupByKey]=DiscreteStatsTable[[#This Row],[GroupByKey]]),(DiscreteStatsTable[GroupByKey]=DiscreteStatsTable[[#This Row],[GroupByKey]])*DiscreteStatsTable[Average])),0)</f>
        <v>0.86965903596573602</v>
      </c>
      <c r="O205" cm="1">
        <f t="array" ref="O205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0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05" cm="1">
        <f t="array" ref="R205">MIN(IF((DiscreteStatsTable[GroupByKey]=DiscreteStatsTable[[#This Row],[GroupByKey]]),(DiscreteStatsTable[GroupByKey]=DiscreteStatsTable[[#This Row],[GroupByKey]])*DiscreteStatsTable[Average]))</f>
        <v>0.58431254303614699</v>
      </c>
      <c r="S205" cm="1">
        <f t="array" ref="S205">MAX(IF((DiscreteStatsTable[GroupByKey]=DiscreteStatsTable[[#This Row],[GroupByKey]]),(DiscreteStatsTable[GroupByKey]=DiscreteStatsTable[[#This Row],[GroupByKey]])*DiscreteStatsTable[Average]))</f>
        <v>1.42140669319588</v>
      </c>
      <c r="T20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cm="1">
        <f t="array" ref="U205">MAX(IF((DiscreteStatsTable[GroupByKey]=DiscreteStatsTable[[#This Row],[GroupByKey]]),(DiscreteStatsTable[GroupByKey]=DiscreteStatsTable[[#This Row],[GroupByKey]])*DiscreteStatsTable[Maximum]))</f>
        <v>28.983199492767199</v>
      </c>
      <c r="V205" cm="1">
        <f t="array" ref="V20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5">
        <f>IF((DiscreteStatsTable[[#This Row],[RepsRequested]]&gt;1),DiscreteStatsTable[[#This Row],[HalfWidth]],DiscreteStatsTable[[#This Row],[BatchMeansHalfWidth]])</f>
        <v>6.0911976702528743E-2</v>
      </c>
      <c r="X20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131</v>
      </c>
      <c r="C206">
        <v>35</v>
      </c>
      <c r="D206" t="s">
        <v>70</v>
      </c>
      <c r="E206" t="s">
        <v>71</v>
      </c>
      <c r="F206" t="s">
        <v>72</v>
      </c>
      <c r="G206">
        <v>0</v>
      </c>
      <c r="H206">
        <v>0</v>
      </c>
      <c r="I206">
        <v>0</v>
      </c>
      <c r="J206">
        <v>0</v>
      </c>
      <c r="K206">
        <v>2436</v>
      </c>
      <c r="L206" t="str">
        <f>DiscreteStatsTable[[#This Row],[ProjectName]]&amp;DiscreteStatsTable[[#This Row],[Name]]&amp;DiscreteStatsTable[[#This Row],[Type]]&amp;DiscreteStatsTable[[#This Row],[Source]]</f>
        <v>PacientesEntity 1NVA TimeEntity</v>
      </c>
      <c r="M206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cm="1">
        <f t="array" ref="N206">IFERROR(AVERAGE(IF((DiscreteStatsTable[GroupByKey]=DiscreteStatsTable[[#This Row],[GroupByKey]]),(DiscreteStatsTable[GroupByKey]=DiscreteStatsTable[[#This Row],[GroupByKey]])*DiscreteStatsTable[Average])),0)</f>
        <v>0</v>
      </c>
      <c r="O206" cm="1">
        <f t="array" ref="O206">IFERROR(_xlfn.STDEV.S(IF((DiscreteStatsTable[GroupByKey]=DiscreteStatsTable[[#This Row],[GroupByKey]]),(DiscreteStatsTable[GroupByKey]=DiscreteStatsTable[[#This Row],[GroupByKey]])*DiscreteStatsTable[Average])),0)</f>
        <v>0</v>
      </c>
      <c r="P206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6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cm="1">
        <f t="array" ref="S206">MAX(IF((DiscreteStatsTable[GroupByKey]=DiscreteStatsTable[[#This Row],[GroupByKey]]),(DiscreteStatsTable[GroupByKey]=DiscreteStatsTable[[#This Row],[GroupByKey]])*DiscreteStatsTable[Average]))</f>
        <v>0</v>
      </c>
      <c r="T206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cm="1">
        <f t="array" ref="U206">MAX(IF((DiscreteStatsTable[GroupByKey]=DiscreteStatsTable[[#This Row],[GroupByKey]]),(DiscreteStatsTable[GroupByKey]=DiscreteStatsTable[[#This Row],[GroupByKey]])*DiscreteStatsTable[Maximum]))</f>
        <v>0</v>
      </c>
      <c r="V206" cm="1">
        <f t="array" ref="V20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6">
        <f>IF((DiscreteStatsTable[[#This Row],[RepsRequested]]&gt;1),DiscreteStatsTable[[#This Row],[HalfWidth]],DiscreteStatsTable[[#This Row],[BatchMeansHalfWidth]])</f>
        <v>0</v>
      </c>
      <c r="X206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131</v>
      </c>
      <c r="C207">
        <v>35</v>
      </c>
      <c r="D207" t="s">
        <v>70</v>
      </c>
      <c r="E207" t="s">
        <v>73</v>
      </c>
      <c r="F207" t="s">
        <v>72</v>
      </c>
      <c r="G207">
        <v>0</v>
      </c>
      <c r="H207">
        <v>0</v>
      </c>
      <c r="I207">
        <v>0</v>
      </c>
      <c r="J207">
        <v>0</v>
      </c>
      <c r="K207">
        <v>2436</v>
      </c>
      <c r="L207" t="str">
        <f>DiscreteStatsTable[[#This Row],[ProjectName]]&amp;DiscreteStatsTable[[#This Row],[Name]]&amp;DiscreteStatsTable[[#This Row],[Type]]&amp;DiscreteStatsTable[[#This Row],[Source]]</f>
        <v>PacientesEntity 1Other TimeEntity</v>
      </c>
      <c r="M207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cm="1">
        <f t="array" ref="N207">IFERROR(AVERAGE(IF((DiscreteStatsTable[GroupByKey]=DiscreteStatsTable[[#This Row],[GroupByKey]]),(DiscreteStatsTable[GroupByKey]=DiscreteStatsTable[[#This Row],[GroupByKey]])*DiscreteStatsTable[Average])),0)</f>
        <v>0</v>
      </c>
      <c r="O207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cm="1">
        <f t="array" ref="S207">MAX(IF((DiscreteStatsTable[GroupByKey]=DiscreteStatsTable[[#This Row],[GroupByKey]]),(DiscreteStatsTable[GroupByKey]=DiscreteStatsTable[[#This Row],[GroupByKey]])*DiscreteStatsTable[Average]))</f>
        <v>0</v>
      </c>
      <c r="T207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cm="1">
        <f t="array" ref="U207">MAX(IF((DiscreteStatsTable[GroupByKey]=DiscreteStatsTable[[#This Row],[GroupByKey]]),(DiscreteStatsTable[GroupByKey]=DiscreteStatsTable[[#This Row],[GroupByKey]])*DiscreteStatsTable[Maximum]))</f>
        <v>0</v>
      </c>
      <c r="V207" cm="1">
        <f t="array" ref="V20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7">
        <f>IF((DiscreteStatsTable[[#This Row],[RepsRequested]]&gt;1),DiscreteStatsTable[[#This Row],[HalfWidth]],DiscreteStatsTable[[#This Row],[BatchMeansHalfWidth]])</f>
        <v>0</v>
      </c>
      <c r="X207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131</v>
      </c>
      <c r="C208">
        <v>35</v>
      </c>
      <c r="D208" t="s">
        <v>70</v>
      </c>
      <c r="E208" t="s">
        <v>74</v>
      </c>
      <c r="F208" t="s">
        <v>72</v>
      </c>
      <c r="G208">
        <v>1.3703574372540399</v>
      </c>
      <c r="H208">
        <v>0.19413262448975499</v>
      </c>
      <c r="I208">
        <v>0.24786367069259499</v>
      </c>
      <c r="J208">
        <v>13.7369407914641</v>
      </c>
      <c r="K208">
        <v>2436</v>
      </c>
      <c r="L208" t="str">
        <f>DiscreteStatsTable[[#This Row],[ProjectName]]&amp;DiscreteStatsTable[[#This Row],[Name]]&amp;DiscreteStatsTable[[#This Row],[Type]]&amp;DiscreteStatsTable[[#This Row],[Source]]</f>
        <v>PacientesEntity 1Total TimeEntity</v>
      </c>
      <c r="M208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cm="1">
        <f t="array" ref="N208">IFERROR(AVERAGE(IF((DiscreteStatsTable[GroupByKey]=DiscreteStatsTable[[#This Row],[GroupByKey]]),(DiscreteStatsTable[GroupByKey]=DiscreteStatsTable[[#This Row],[GroupByKey]])*DiscreteStatsTable[Average])),0)</f>
        <v>1.5029966070875795</v>
      </c>
      <c r="O208" cm="1">
        <f t="array" ref="O20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08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08" cm="1">
        <f t="array" ref="R208">MIN(IF((DiscreteStatsTable[GroupByKey]=DiscreteStatsTable[[#This Row],[GroupByKey]]),(DiscreteStatsTable[GroupByKey]=DiscreteStatsTable[[#This Row],[GroupByKey]])*DiscreteStatsTable[Average]))</f>
        <v>1.21830768607881</v>
      </c>
      <c r="S208" cm="1">
        <f t="array" ref="S208">MAX(IF((DiscreteStatsTable[GroupByKey]=DiscreteStatsTable[[#This Row],[GroupByKey]]),(DiscreteStatsTable[GroupByKey]=DiscreteStatsTable[[#This Row],[GroupByKey]])*DiscreteStatsTable[Average]))</f>
        <v>2.06387223343107</v>
      </c>
      <c r="T208" cm="1">
        <f t="array" ref="T208">MIN(IF((DiscreteStatsTable[GroupByKey]=DiscreteStatsTable[[#This Row],[GroupByKey]]),(DiscreteStatsTable[GroupByKey]=DiscreteStatsTable[[#This Row],[GroupByKey]])*DiscreteStatsTable[Minimum]))</f>
        <v>0.203133309337034</v>
      </c>
      <c r="U208" cm="1">
        <f t="array" ref="U208">MAX(IF((DiscreteStatsTable[GroupByKey]=DiscreteStatsTable[[#This Row],[GroupByKey]]),(DiscreteStatsTable[GroupByKey]=DiscreteStatsTable[[#This Row],[GroupByKey]])*DiscreteStatsTable[Maximum]))</f>
        <v>29.554686467573401</v>
      </c>
      <c r="V208" cm="1">
        <f t="array" ref="V20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8">
        <f>IF((DiscreteStatsTable[[#This Row],[RepsRequested]]&gt;1),DiscreteStatsTable[[#This Row],[HalfWidth]],DiscreteStatsTable[[#This Row],[BatchMeansHalfWidth]])</f>
        <v>6.1205265903720704E-2</v>
      </c>
      <c r="X208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131</v>
      </c>
      <c r="C209">
        <v>35</v>
      </c>
      <c r="D209" t="s">
        <v>70</v>
      </c>
      <c r="E209" t="s">
        <v>75</v>
      </c>
      <c r="F209" t="s">
        <v>72</v>
      </c>
      <c r="G209">
        <v>0</v>
      </c>
      <c r="H209">
        <v>0</v>
      </c>
      <c r="I209">
        <v>0</v>
      </c>
      <c r="J209">
        <v>0</v>
      </c>
      <c r="K209">
        <v>2436</v>
      </c>
      <c r="L209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09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cm="1">
        <f t="array" ref="V20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09">
        <f>IF((DiscreteStatsTable[[#This Row],[RepsRequested]]&gt;1),DiscreteStatsTable[[#This Row],[HalfWidth]],DiscreteStatsTable[[#This Row],[BatchMeansHalfWidth]])</f>
        <v>0</v>
      </c>
      <c r="X209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131</v>
      </c>
      <c r="C210">
        <v>35</v>
      </c>
      <c r="D210" t="s">
        <v>70</v>
      </c>
      <c r="E210" t="s">
        <v>76</v>
      </c>
      <c r="F210" t="s">
        <v>72</v>
      </c>
      <c r="G210">
        <v>0.62541854041178302</v>
      </c>
      <c r="H210">
        <v>9.4651690135781601E-3</v>
      </c>
      <c r="I210">
        <v>0.22626935468918</v>
      </c>
      <c r="J210">
        <v>1.57709260516094</v>
      </c>
      <c r="K210">
        <v>2436</v>
      </c>
      <c r="L210" t="str">
        <f>DiscreteStatsTable[[#This Row],[ProjectName]]&amp;DiscreteStatsTable[[#This Row],[Name]]&amp;DiscreteStatsTable[[#This Row],[Type]]&amp;DiscreteStatsTable[[#This Row],[Source]]</f>
        <v>PacientesEntity 1VA TimeEntity</v>
      </c>
      <c r="M210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cm="1">
        <f t="array" ref="N210">IFERROR(AVERAGE(IF((DiscreteStatsTable[GroupByKey]=DiscreteStatsTable[[#This Row],[GroupByKey]]),(DiscreteStatsTable[GroupByKey]=DiscreteStatsTable[[#This Row],[GroupByKey]])*DiscreteStatsTable[Average])),0)</f>
        <v>0.63333757112184219</v>
      </c>
      <c r="O210" cm="1">
        <f t="array" ref="O210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10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10" cm="1">
        <f t="array" ref="R210">MIN(IF((DiscreteStatsTable[GroupByKey]=DiscreteStatsTable[[#This Row],[GroupByKey]]),(DiscreteStatsTable[GroupByKey]=DiscreteStatsTable[[#This Row],[GroupByKey]])*DiscreteStatsTable[Average]))</f>
        <v>0.62319357082308402</v>
      </c>
      <c r="S210" cm="1">
        <f t="array" ref="S210">MAX(IF((DiscreteStatsTable[GroupByKey]=DiscreteStatsTable[[#This Row],[GroupByKey]]),(DiscreteStatsTable[GroupByKey]=DiscreteStatsTable[[#This Row],[GroupByKey]])*DiscreteStatsTable[Average]))</f>
        <v>0.64452003514622502</v>
      </c>
      <c r="T210" cm="1">
        <f t="array" ref="T210">MIN(IF((DiscreteStatsTable[GroupByKey]=DiscreteStatsTable[[#This Row],[GroupByKey]]),(DiscreteStatsTable[GroupByKey]=DiscreteStatsTable[[#This Row],[GroupByKey]])*DiscreteStatsTable[Minimum]))</f>
        <v>0.203133309337034</v>
      </c>
      <c r="U210" cm="1">
        <f t="array" ref="U210">MAX(IF((DiscreteStatsTable[GroupByKey]=DiscreteStatsTable[[#This Row],[GroupByKey]]),(DiscreteStatsTable[GroupByKey]=DiscreteStatsTable[[#This Row],[GroupByKey]])*DiscreteStatsTable[Maximum]))</f>
        <v>1.5939517145847</v>
      </c>
      <c r="V210" cm="1">
        <f t="array" ref="V21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0">
        <f>IF((DiscreteStatsTable[[#This Row],[RepsRequested]]&gt;1),DiscreteStatsTable[[#This Row],[HalfWidth]],DiscreteStatsTable[[#This Row],[BatchMeansHalfWidth]])</f>
        <v>1.276828436655964E-3</v>
      </c>
      <c r="X210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131</v>
      </c>
      <c r="C211">
        <v>35</v>
      </c>
      <c r="D211" t="s">
        <v>70</v>
      </c>
      <c r="E211" t="s">
        <v>77</v>
      </c>
      <c r="F211" t="s">
        <v>72</v>
      </c>
      <c r="G211">
        <v>0.74493889684225401</v>
      </c>
      <c r="H211">
        <v>0.19353221409812599</v>
      </c>
      <c r="I211">
        <v>0</v>
      </c>
      <c r="J211">
        <v>13.2942085569052</v>
      </c>
      <c r="K211">
        <v>2436</v>
      </c>
      <c r="L211" t="str">
        <f>DiscreteStatsTable[[#This Row],[ProjectName]]&amp;DiscreteStatsTable[[#This Row],[Name]]&amp;DiscreteStatsTable[[#This Row],[Type]]&amp;DiscreteStatsTable[[#This Row],[Source]]</f>
        <v>PacientesEntity 1Wait TimeEntity</v>
      </c>
      <c r="M211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cm="1">
        <f t="array" ref="N211">IFERROR(AVERAGE(IF((DiscreteStatsTable[GroupByKey]=DiscreteStatsTable[[#This Row],[GroupByKey]]),(DiscreteStatsTable[GroupByKey]=DiscreteStatsTable[[#This Row],[GroupByKey]])*DiscreteStatsTable[Average])),0)</f>
        <v>0.86965903596573602</v>
      </c>
      <c r="O211" cm="1">
        <f t="array" ref="O211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11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11" cm="1">
        <f t="array" ref="R211">MIN(IF((DiscreteStatsTable[GroupByKey]=DiscreteStatsTable[[#This Row],[GroupByKey]]),(DiscreteStatsTable[GroupByKey]=DiscreteStatsTable[[#This Row],[GroupByKey]])*DiscreteStatsTable[Average]))</f>
        <v>0.58431254303614699</v>
      </c>
      <c r="S211" cm="1">
        <f t="array" ref="S211">MAX(IF((DiscreteStatsTable[GroupByKey]=DiscreteStatsTable[[#This Row],[GroupByKey]]),(DiscreteStatsTable[GroupByKey]=DiscreteStatsTable[[#This Row],[GroupByKey]])*DiscreteStatsTable[Average]))</f>
        <v>1.42140669319588</v>
      </c>
      <c r="T211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cm="1">
        <f t="array" ref="U211">MAX(IF((DiscreteStatsTable[GroupByKey]=DiscreteStatsTable[[#This Row],[GroupByKey]]),(DiscreteStatsTable[GroupByKey]=DiscreteStatsTable[[#This Row],[GroupByKey]])*DiscreteStatsTable[Maximum]))</f>
        <v>28.983199492767199</v>
      </c>
      <c r="V211" cm="1">
        <f t="array" ref="V21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1">
        <f>IF((DiscreteStatsTable[[#This Row],[RepsRequested]]&gt;1),DiscreteStatsTable[[#This Row],[HalfWidth]],DiscreteStatsTable[[#This Row],[BatchMeansHalfWidth]])</f>
        <v>6.0911976702528743E-2</v>
      </c>
      <c r="X211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131</v>
      </c>
      <c r="C212">
        <v>36</v>
      </c>
      <c r="D212" t="s">
        <v>70</v>
      </c>
      <c r="E212" t="s">
        <v>71</v>
      </c>
      <c r="F212" t="s">
        <v>72</v>
      </c>
      <c r="G212">
        <v>0</v>
      </c>
      <c r="H212">
        <v>0</v>
      </c>
      <c r="I212">
        <v>0</v>
      </c>
      <c r="J212">
        <v>0</v>
      </c>
      <c r="K212">
        <v>2393</v>
      </c>
      <c r="L212" t="str">
        <f>DiscreteStatsTable[[#This Row],[ProjectName]]&amp;DiscreteStatsTable[[#This Row],[Name]]&amp;DiscreteStatsTable[[#This Row],[Type]]&amp;DiscreteStatsTable[[#This Row],[Source]]</f>
        <v>PacientesEntity 1NVA TimeEntity</v>
      </c>
      <c r="M212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cm="1">
        <f t="array" ref="N212">IFERROR(AVERAGE(IF((DiscreteStatsTable[GroupByKey]=DiscreteStatsTable[[#This Row],[GroupByKey]]),(DiscreteStatsTable[GroupByKey]=DiscreteStatsTable[[#This Row],[GroupByKey]])*DiscreteStatsTable[Average])),0)</f>
        <v>0</v>
      </c>
      <c r="O212" cm="1">
        <f t="array" ref="O212">IFERROR(_xlfn.STDEV.S(IF((DiscreteStatsTable[GroupByKey]=DiscreteStatsTable[[#This Row],[GroupByKey]]),(DiscreteStatsTable[GroupByKey]=DiscreteStatsTable[[#This Row],[GroupByKey]])*DiscreteStatsTable[Average])),0)</f>
        <v>0</v>
      </c>
      <c r="P212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cm="1">
        <f t="array" ref="S212">MAX(IF((DiscreteStatsTable[GroupByKey]=DiscreteStatsTable[[#This Row],[GroupByKey]]),(DiscreteStatsTable[GroupByKey]=DiscreteStatsTable[[#This Row],[GroupByKey]])*DiscreteStatsTable[Average]))</f>
        <v>0</v>
      </c>
      <c r="T212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cm="1">
        <f t="array" ref="U212">MAX(IF((DiscreteStatsTable[GroupByKey]=DiscreteStatsTable[[#This Row],[GroupByKey]]),(DiscreteStatsTable[GroupByKey]=DiscreteStatsTable[[#This Row],[GroupByKey]])*DiscreteStatsTable[Maximum]))</f>
        <v>0</v>
      </c>
      <c r="V212" cm="1">
        <f t="array" ref="V21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2">
        <f>IF((DiscreteStatsTable[[#This Row],[RepsRequested]]&gt;1),DiscreteStatsTable[[#This Row],[HalfWidth]],DiscreteStatsTable[[#This Row],[BatchMeansHalfWidth]])</f>
        <v>0</v>
      </c>
      <c r="X212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131</v>
      </c>
      <c r="C213">
        <v>36</v>
      </c>
      <c r="D213" t="s">
        <v>70</v>
      </c>
      <c r="E213" t="s">
        <v>73</v>
      </c>
      <c r="F213" t="s">
        <v>72</v>
      </c>
      <c r="G213">
        <v>0</v>
      </c>
      <c r="H213">
        <v>0</v>
      </c>
      <c r="I213">
        <v>0</v>
      </c>
      <c r="J213">
        <v>0</v>
      </c>
      <c r="K213">
        <v>2393</v>
      </c>
      <c r="L213" t="str">
        <f>DiscreteStatsTable[[#This Row],[ProjectName]]&amp;DiscreteStatsTable[[#This Row],[Name]]&amp;DiscreteStatsTable[[#This Row],[Type]]&amp;DiscreteStatsTable[[#This Row],[Source]]</f>
        <v>PacientesEntity 1Other TimeEntity</v>
      </c>
      <c r="M213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cm="1">
        <f t="array" ref="N213">IFERROR(AVERAGE(IF((DiscreteStatsTable[GroupByKey]=DiscreteStatsTable[[#This Row],[GroupByKey]]),(DiscreteStatsTable[GroupByKey]=DiscreteStatsTable[[#This Row],[GroupByKey]])*DiscreteStatsTable[Average])),0)</f>
        <v>0</v>
      </c>
      <c r="O213" cm="1">
        <f t="array" ref="O213">IFERROR(_xlfn.STDEV.S(IF((DiscreteStatsTable[GroupByKey]=DiscreteStatsTable[[#This Row],[GroupByKey]]),(DiscreteStatsTable[GroupByKey]=DiscreteStatsTable[[#This Row],[GroupByKey]])*DiscreteStatsTable[Average])),0)</f>
        <v>0</v>
      </c>
      <c r="P213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" cm="1">
        <f t="array" ref="R213">MIN(IF((DiscreteStatsTable[GroupByKey]=DiscreteStatsTable[[#This Row],[GroupByKey]]),(DiscreteStatsTable[GroupByKey]=DiscreteStatsTable[[#This Row],[GroupByKey]])*DiscreteStatsTable[Average]))</f>
        <v>0</v>
      </c>
      <c r="S213" cm="1">
        <f t="array" ref="S213">MAX(IF((DiscreteStatsTable[GroupByKey]=DiscreteStatsTable[[#This Row],[GroupByKey]]),(DiscreteStatsTable[GroupByKey]=DiscreteStatsTable[[#This Row],[GroupByKey]])*DiscreteStatsTable[Average]))</f>
        <v>0</v>
      </c>
      <c r="T213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cm="1">
        <f t="array" ref="U213">MAX(IF((DiscreteStatsTable[GroupByKey]=DiscreteStatsTable[[#This Row],[GroupByKey]]),(DiscreteStatsTable[GroupByKey]=DiscreteStatsTable[[#This Row],[GroupByKey]])*DiscreteStatsTable[Maximum]))</f>
        <v>0</v>
      </c>
      <c r="V213" cm="1">
        <f t="array" ref="V21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3">
        <f>IF((DiscreteStatsTable[[#This Row],[RepsRequested]]&gt;1),DiscreteStatsTable[[#This Row],[HalfWidth]],DiscreteStatsTable[[#This Row],[BatchMeansHalfWidth]])</f>
        <v>0</v>
      </c>
      <c r="X213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131</v>
      </c>
      <c r="C214">
        <v>36</v>
      </c>
      <c r="D214" t="s">
        <v>70</v>
      </c>
      <c r="E214" t="s">
        <v>74</v>
      </c>
      <c r="F214" t="s">
        <v>72</v>
      </c>
      <c r="G214">
        <v>1.21830768607881</v>
      </c>
      <c r="H214">
        <v>0.123333552213824</v>
      </c>
      <c r="I214">
        <v>0.25267791701713799</v>
      </c>
      <c r="J214">
        <v>8.7766043892596599</v>
      </c>
      <c r="K214">
        <v>2393</v>
      </c>
      <c r="L214" t="str">
        <f>DiscreteStatsTable[[#This Row],[ProjectName]]&amp;DiscreteStatsTable[[#This Row],[Name]]&amp;DiscreteStatsTable[[#This Row],[Type]]&amp;DiscreteStatsTable[[#This Row],[Source]]</f>
        <v>PacientesEntity 1Total TimeEntity</v>
      </c>
      <c r="M214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cm="1">
        <f t="array" ref="N214">IFERROR(AVERAGE(IF((DiscreteStatsTable[GroupByKey]=DiscreteStatsTable[[#This Row],[GroupByKey]]),(DiscreteStatsTable[GroupByKey]=DiscreteStatsTable[[#This Row],[GroupByKey]])*DiscreteStatsTable[Average])),0)</f>
        <v>1.5029966070875795</v>
      </c>
      <c r="O214" cm="1">
        <f t="array" ref="O21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14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14" cm="1">
        <f t="array" ref="R214">MIN(IF((DiscreteStatsTable[GroupByKey]=DiscreteStatsTable[[#This Row],[GroupByKey]]),(DiscreteStatsTable[GroupByKey]=DiscreteStatsTable[[#This Row],[GroupByKey]])*DiscreteStatsTable[Average]))</f>
        <v>1.21830768607881</v>
      </c>
      <c r="S214" cm="1">
        <f t="array" ref="S214">MAX(IF((DiscreteStatsTable[GroupByKey]=DiscreteStatsTable[[#This Row],[GroupByKey]]),(DiscreteStatsTable[GroupByKey]=DiscreteStatsTable[[#This Row],[GroupByKey]])*DiscreteStatsTable[Average]))</f>
        <v>2.06387223343107</v>
      </c>
      <c r="T214" cm="1">
        <f t="array" ref="T214">MIN(IF((DiscreteStatsTable[GroupByKey]=DiscreteStatsTable[[#This Row],[GroupByKey]]),(DiscreteStatsTable[GroupByKey]=DiscreteStatsTable[[#This Row],[GroupByKey]])*DiscreteStatsTable[Minimum]))</f>
        <v>0.203133309337034</v>
      </c>
      <c r="U214" cm="1">
        <f t="array" ref="U214">MAX(IF((DiscreteStatsTable[GroupByKey]=DiscreteStatsTable[[#This Row],[GroupByKey]]),(DiscreteStatsTable[GroupByKey]=DiscreteStatsTable[[#This Row],[GroupByKey]])*DiscreteStatsTable[Maximum]))</f>
        <v>29.554686467573401</v>
      </c>
      <c r="V214" cm="1">
        <f t="array" ref="V21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4">
        <f>IF((DiscreteStatsTable[[#This Row],[RepsRequested]]&gt;1),DiscreteStatsTable[[#This Row],[HalfWidth]],DiscreteStatsTable[[#This Row],[BatchMeansHalfWidth]])</f>
        <v>6.1205265903720704E-2</v>
      </c>
      <c r="X214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131</v>
      </c>
      <c r="C215">
        <v>36</v>
      </c>
      <c r="D215" t="s">
        <v>70</v>
      </c>
      <c r="E215" t="s">
        <v>75</v>
      </c>
      <c r="F215" t="s">
        <v>72</v>
      </c>
      <c r="G215">
        <v>0</v>
      </c>
      <c r="H215">
        <v>0</v>
      </c>
      <c r="I215">
        <v>0</v>
      </c>
      <c r="J215">
        <v>0</v>
      </c>
      <c r="K215">
        <v>2393</v>
      </c>
      <c r="L215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1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cm="1">
        <f t="array" ref="V21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5">
        <f>IF((DiscreteStatsTable[[#This Row],[RepsRequested]]&gt;1),DiscreteStatsTable[[#This Row],[HalfWidth]],DiscreteStatsTable[[#This Row],[BatchMeansHalfWidth]])</f>
        <v>0</v>
      </c>
      <c r="X21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131</v>
      </c>
      <c r="C216">
        <v>36</v>
      </c>
      <c r="D216" t="s">
        <v>70</v>
      </c>
      <c r="E216" t="s">
        <v>76</v>
      </c>
      <c r="F216" t="s">
        <v>72</v>
      </c>
      <c r="G216">
        <v>0.63399514304266202</v>
      </c>
      <c r="H216">
        <v>1.3370120716038599E-2</v>
      </c>
      <c r="I216">
        <v>0.207099599537585</v>
      </c>
      <c r="J216">
        <v>1.55078414169964</v>
      </c>
      <c r="K216">
        <v>2393</v>
      </c>
      <c r="L216" t="str">
        <f>DiscreteStatsTable[[#This Row],[ProjectName]]&amp;DiscreteStatsTable[[#This Row],[Name]]&amp;DiscreteStatsTable[[#This Row],[Type]]&amp;DiscreteStatsTable[[#This Row],[Source]]</f>
        <v>PacientesEntity 1VA TimeEntity</v>
      </c>
      <c r="M216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cm="1">
        <f t="array" ref="N216">IFERROR(AVERAGE(IF((DiscreteStatsTable[GroupByKey]=DiscreteStatsTable[[#This Row],[GroupByKey]]),(DiscreteStatsTable[GroupByKey]=DiscreteStatsTable[[#This Row],[GroupByKey]])*DiscreteStatsTable[Average])),0)</f>
        <v>0.63333757112184219</v>
      </c>
      <c r="O216" cm="1">
        <f t="array" ref="O216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16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16" cm="1">
        <f t="array" ref="R216">MIN(IF((DiscreteStatsTable[GroupByKey]=DiscreteStatsTable[[#This Row],[GroupByKey]]),(DiscreteStatsTable[GroupByKey]=DiscreteStatsTable[[#This Row],[GroupByKey]])*DiscreteStatsTable[Average]))</f>
        <v>0.62319357082308402</v>
      </c>
      <c r="S216" cm="1">
        <f t="array" ref="S216">MAX(IF((DiscreteStatsTable[GroupByKey]=DiscreteStatsTable[[#This Row],[GroupByKey]]),(DiscreteStatsTable[GroupByKey]=DiscreteStatsTable[[#This Row],[GroupByKey]])*DiscreteStatsTable[Average]))</f>
        <v>0.64452003514622502</v>
      </c>
      <c r="T216" cm="1">
        <f t="array" ref="T216">MIN(IF((DiscreteStatsTable[GroupByKey]=DiscreteStatsTable[[#This Row],[GroupByKey]]),(DiscreteStatsTable[GroupByKey]=DiscreteStatsTable[[#This Row],[GroupByKey]])*DiscreteStatsTable[Minimum]))</f>
        <v>0.203133309337034</v>
      </c>
      <c r="U216" cm="1">
        <f t="array" ref="U216">MAX(IF((DiscreteStatsTable[GroupByKey]=DiscreteStatsTable[[#This Row],[GroupByKey]]),(DiscreteStatsTable[GroupByKey]=DiscreteStatsTable[[#This Row],[GroupByKey]])*DiscreteStatsTable[Maximum]))</f>
        <v>1.5939517145847</v>
      </c>
      <c r="V216" cm="1">
        <f t="array" ref="V21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6">
        <f>IF((DiscreteStatsTable[[#This Row],[RepsRequested]]&gt;1),DiscreteStatsTable[[#This Row],[HalfWidth]],DiscreteStatsTable[[#This Row],[BatchMeansHalfWidth]])</f>
        <v>1.276828436655964E-3</v>
      </c>
      <c r="X216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131</v>
      </c>
      <c r="C217">
        <v>36</v>
      </c>
      <c r="D217" t="s">
        <v>70</v>
      </c>
      <c r="E217" t="s">
        <v>77</v>
      </c>
      <c r="F217" t="s">
        <v>72</v>
      </c>
      <c r="G217">
        <v>0.58431254303614699</v>
      </c>
      <c r="H217">
        <v>0.122255872204711</v>
      </c>
      <c r="I217">
        <v>0</v>
      </c>
      <c r="J217">
        <v>8.3881460223777804</v>
      </c>
      <c r="K217">
        <v>2393</v>
      </c>
      <c r="L217" t="str">
        <f>DiscreteStatsTable[[#This Row],[ProjectName]]&amp;DiscreteStatsTable[[#This Row],[Name]]&amp;DiscreteStatsTable[[#This Row],[Type]]&amp;DiscreteStatsTable[[#This Row],[Source]]</f>
        <v>PacientesEntity 1Wait TimeEntity</v>
      </c>
      <c r="M217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cm="1">
        <f t="array" ref="N217">IFERROR(AVERAGE(IF((DiscreteStatsTable[GroupByKey]=DiscreteStatsTable[[#This Row],[GroupByKey]]),(DiscreteStatsTable[GroupByKey]=DiscreteStatsTable[[#This Row],[GroupByKey]])*DiscreteStatsTable[Average])),0)</f>
        <v>0.86965903596573602</v>
      </c>
      <c r="O217" cm="1">
        <f t="array" ref="O217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17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17" cm="1">
        <f t="array" ref="R217">MIN(IF((DiscreteStatsTable[GroupByKey]=DiscreteStatsTable[[#This Row],[GroupByKey]]),(DiscreteStatsTable[GroupByKey]=DiscreteStatsTable[[#This Row],[GroupByKey]])*DiscreteStatsTable[Average]))</f>
        <v>0.58431254303614699</v>
      </c>
      <c r="S217" cm="1">
        <f t="array" ref="S217">MAX(IF((DiscreteStatsTable[GroupByKey]=DiscreteStatsTable[[#This Row],[GroupByKey]]),(DiscreteStatsTable[GroupByKey]=DiscreteStatsTable[[#This Row],[GroupByKey]])*DiscreteStatsTable[Average]))</f>
        <v>1.42140669319588</v>
      </c>
      <c r="T217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cm="1">
        <f t="array" ref="U217">MAX(IF((DiscreteStatsTable[GroupByKey]=DiscreteStatsTable[[#This Row],[GroupByKey]]),(DiscreteStatsTable[GroupByKey]=DiscreteStatsTable[[#This Row],[GroupByKey]])*DiscreteStatsTable[Maximum]))</f>
        <v>28.983199492767199</v>
      </c>
      <c r="V217" cm="1">
        <f t="array" ref="V21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7">
        <f>IF((DiscreteStatsTable[[#This Row],[RepsRequested]]&gt;1),DiscreteStatsTable[[#This Row],[HalfWidth]],DiscreteStatsTable[[#This Row],[BatchMeansHalfWidth]])</f>
        <v>6.0911976702528743E-2</v>
      </c>
      <c r="X217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131</v>
      </c>
      <c r="C218">
        <v>37</v>
      </c>
      <c r="D218" t="s">
        <v>70</v>
      </c>
      <c r="E218" t="s">
        <v>71</v>
      </c>
      <c r="F218" t="s">
        <v>72</v>
      </c>
      <c r="G218">
        <v>0</v>
      </c>
      <c r="H218">
        <v>0</v>
      </c>
      <c r="I218">
        <v>0</v>
      </c>
      <c r="J218">
        <v>0</v>
      </c>
      <c r="K218">
        <v>2409</v>
      </c>
      <c r="L218" t="str">
        <f>DiscreteStatsTable[[#This Row],[ProjectName]]&amp;DiscreteStatsTable[[#This Row],[Name]]&amp;DiscreteStatsTable[[#This Row],[Type]]&amp;DiscreteStatsTable[[#This Row],[Source]]</f>
        <v>PacientesEntity 1NVA TimeEntity</v>
      </c>
      <c r="M218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cm="1">
        <f t="array" ref="N218">IFERROR(AVERAGE(IF((DiscreteStatsTable[GroupByKey]=DiscreteStatsTable[[#This Row],[GroupByKey]]),(DiscreteStatsTable[GroupByKey]=DiscreteStatsTable[[#This Row],[GroupByKey]])*DiscreteStatsTable[Average])),0)</f>
        <v>0</v>
      </c>
      <c r="O218" cm="1">
        <f t="array" ref="O218">IFERROR(_xlfn.STDEV.S(IF((DiscreteStatsTable[GroupByKey]=DiscreteStatsTable[[#This Row],[GroupByKey]]),(DiscreteStatsTable[GroupByKey]=DiscreteStatsTable[[#This Row],[GroupByKey]])*DiscreteStatsTable[Average])),0)</f>
        <v>0</v>
      </c>
      <c r="P218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cm="1">
        <f t="array" ref="S218">MAX(IF((DiscreteStatsTable[GroupByKey]=DiscreteStatsTable[[#This Row],[GroupByKey]]),(DiscreteStatsTable[GroupByKey]=DiscreteStatsTable[[#This Row],[GroupByKey]])*DiscreteStatsTable[Average]))</f>
        <v>0</v>
      </c>
      <c r="T218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cm="1">
        <f t="array" ref="U218">MAX(IF((DiscreteStatsTable[GroupByKey]=DiscreteStatsTable[[#This Row],[GroupByKey]]),(DiscreteStatsTable[GroupByKey]=DiscreteStatsTable[[#This Row],[GroupByKey]])*DiscreteStatsTable[Maximum]))</f>
        <v>0</v>
      </c>
      <c r="V218" cm="1">
        <f t="array" ref="V21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8">
        <f>IF((DiscreteStatsTable[[#This Row],[RepsRequested]]&gt;1),DiscreteStatsTable[[#This Row],[HalfWidth]],DiscreteStatsTable[[#This Row],[BatchMeansHalfWidth]])</f>
        <v>0</v>
      </c>
      <c r="X218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131</v>
      </c>
      <c r="C219">
        <v>37</v>
      </c>
      <c r="D219" t="s">
        <v>70</v>
      </c>
      <c r="E219" t="s">
        <v>73</v>
      </c>
      <c r="F219" t="s">
        <v>72</v>
      </c>
      <c r="G219">
        <v>0</v>
      </c>
      <c r="H219">
        <v>0</v>
      </c>
      <c r="I219">
        <v>0</v>
      </c>
      <c r="J219">
        <v>0</v>
      </c>
      <c r="K219">
        <v>2409</v>
      </c>
      <c r="L219" t="str">
        <f>DiscreteStatsTable[[#This Row],[ProjectName]]&amp;DiscreteStatsTable[[#This Row],[Name]]&amp;DiscreteStatsTable[[#This Row],[Type]]&amp;DiscreteStatsTable[[#This Row],[Source]]</f>
        <v>PacientesEntity 1Other TimeEntity</v>
      </c>
      <c r="M219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cm="1">
        <f t="array" ref="N219">IFERROR(AVERAGE(IF((DiscreteStatsTable[GroupByKey]=DiscreteStatsTable[[#This Row],[GroupByKey]]),(DiscreteStatsTable[GroupByKey]=DiscreteStatsTable[[#This Row],[GroupByKey]])*DiscreteStatsTable[Average])),0)</f>
        <v>0</v>
      </c>
      <c r="O219" cm="1">
        <f t="array" ref="O219">IFERROR(_xlfn.STDEV.S(IF((DiscreteStatsTable[GroupByKey]=DiscreteStatsTable[[#This Row],[GroupByKey]]),(DiscreteStatsTable[GroupByKey]=DiscreteStatsTable[[#This Row],[GroupByKey]])*DiscreteStatsTable[Average])),0)</f>
        <v>0</v>
      </c>
      <c r="P219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" cm="1">
        <f t="array" ref="R219">MIN(IF((DiscreteStatsTable[GroupByKey]=DiscreteStatsTable[[#This Row],[GroupByKey]]),(DiscreteStatsTable[GroupByKey]=DiscreteStatsTable[[#This Row],[GroupByKey]])*DiscreteStatsTable[Average]))</f>
        <v>0</v>
      </c>
      <c r="S219" cm="1">
        <f t="array" ref="S219">MAX(IF((DiscreteStatsTable[GroupByKey]=DiscreteStatsTable[[#This Row],[GroupByKey]]),(DiscreteStatsTable[GroupByKey]=DiscreteStatsTable[[#This Row],[GroupByKey]])*DiscreteStatsTable[Average]))</f>
        <v>0</v>
      </c>
      <c r="T219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cm="1">
        <f t="array" ref="U219">MAX(IF((DiscreteStatsTable[GroupByKey]=DiscreteStatsTable[[#This Row],[GroupByKey]]),(DiscreteStatsTable[GroupByKey]=DiscreteStatsTable[[#This Row],[GroupByKey]])*DiscreteStatsTable[Maximum]))</f>
        <v>0</v>
      </c>
      <c r="V219" cm="1">
        <f t="array" ref="V21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19">
        <f>IF((DiscreteStatsTable[[#This Row],[RepsRequested]]&gt;1),DiscreteStatsTable[[#This Row],[HalfWidth]],DiscreteStatsTable[[#This Row],[BatchMeansHalfWidth]])</f>
        <v>0</v>
      </c>
      <c r="X219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131</v>
      </c>
      <c r="C220">
        <v>37</v>
      </c>
      <c r="D220" t="s">
        <v>70</v>
      </c>
      <c r="E220" t="s">
        <v>74</v>
      </c>
      <c r="F220" t="s">
        <v>72</v>
      </c>
      <c r="G220">
        <v>1.6815804756222701</v>
      </c>
      <c r="H220">
        <v>3E+20</v>
      </c>
      <c r="I220">
        <v>0.240195896727016</v>
      </c>
      <c r="J220">
        <v>25.838501022951501</v>
      </c>
      <c r="K220">
        <v>2409</v>
      </c>
      <c r="L220" t="str">
        <f>DiscreteStatsTable[[#This Row],[ProjectName]]&amp;DiscreteStatsTable[[#This Row],[Name]]&amp;DiscreteStatsTable[[#This Row],[Type]]&amp;DiscreteStatsTable[[#This Row],[Source]]</f>
        <v>PacientesEntity 1Total TimeEntity</v>
      </c>
      <c r="M220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cm="1">
        <f t="array" ref="N220">IFERROR(AVERAGE(IF((DiscreteStatsTable[GroupByKey]=DiscreteStatsTable[[#This Row],[GroupByKey]]),(DiscreteStatsTable[GroupByKey]=DiscreteStatsTable[[#This Row],[GroupByKey]])*DiscreteStatsTable[Average])),0)</f>
        <v>1.5029966070875795</v>
      </c>
      <c r="O220" cm="1">
        <f t="array" ref="O22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20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20" cm="1">
        <f t="array" ref="R220">MIN(IF((DiscreteStatsTable[GroupByKey]=DiscreteStatsTable[[#This Row],[GroupByKey]]),(DiscreteStatsTable[GroupByKey]=DiscreteStatsTable[[#This Row],[GroupByKey]])*DiscreteStatsTable[Average]))</f>
        <v>1.21830768607881</v>
      </c>
      <c r="S220" cm="1">
        <f t="array" ref="S220">MAX(IF((DiscreteStatsTable[GroupByKey]=DiscreteStatsTable[[#This Row],[GroupByKey]]),(DiscreteStatsTable[GroupByKey]=DiscreteStatsTable[[#This Row],[GroupByKey]])*DiscreteStatsTable[Average]))</f>
        <v>2.06387223343107</v>
      </c>
      <c r="T220" cm="1">
        <f t="array" ref="T220">MIN(IF((DiscreteStatsTable[GroupByKey]=DiscreteStatsTable[[#This Row],[GroupByKey]]),(DiscreteStatsTable[GroupByKey]=DiscreteStatsTable[[#This Row],[GroupByKey]])*DiscreteStatsTable[Minimum]))</f>
        <v>0.203133309337034</v>
      </c>
      <c r="U220" cm="1">
        <f t="array" ref="U220">MAX(IF((DiscreteStatsTable[GroupByKey]=DiscreteStatsTable[[#This Row],[GroupByKey]]),(DiscreteStatsTable[GroupByKey]=DiscreteStatsTable[[#This Row],[GroupByKey]])*DiscreteStatsTable[Maximum]))</f>
        <v>29.554686467573401</v>
      </c>
      <c r="V220" cm="1">
        <f t="array" ref="V22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0">
        <f>IF((DiscreteStatsTable[[#This Row],[RepsRequested]]&gt;1),DiscreteStatsTable[[#This Row],[HalfWidth]],DiscreteStatsTable[[#This Row],[BatchMeansHalfWidth]])</f>
        <v>6.1205265903720704E-2</v>
      </c>
      <c r="X220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131</v>
      </c>
      <c r="C221">
        <v>37</v>
      </c>
      <c r="D221" t="s">
        <v>70</v>
      </c>
      <c r="E221" t="s">
        <v>75</v>
      </c>
      <c r="F221" t="s">
        <v>72</v>
      </c>
      <c r="G221">
        <v>0</v>
      </c>
      <c r="H221">
        <v>0</v>
      </c>
      <c r="I221">
        <v>0</v>
      </c>
      <c r="J221">
        <v>0</v>
      </c>
      <c r="K221">
        <v>2409</v>
      </c>
      <c r="L221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21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cm="1">
        <f t="array" ref="V22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1">
        <f>IF((DiscreteStatsTable[[#This Row],[RepsRequested]]&gt;1),DiscreteStatsTable[[#This Row],[HalfWidth]],DiscreteStatsTable[[#This Row],[BatchMeansHalfWidth]])</f>
        <v>0</v>
      </c>
      <c r="X221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131</v>
      </c>
      <c r="C222">
        <v>37</v>
      </c>
      <c r="D222" t="s">
        <v>70</v>
      </c>
      <c r="E222" t="s">
        <v>76</v>
      </c>
      <c r="F222" t="s">
        <v>72</v>
      </c>
      <c r="G222">
        <v>0.63376629200343804</v>
      </c>
      <c r="H222">
        <v>1.38363019489456E-2</v>
      </c>
      <c r="I222">
        <v>0.23649552964985801</v>
      </c>
      <c r="J222">
        <v>1.5462050772792999</v>
      </c>
      <c r="K222">
        <v>2409</v>
      </c>
      <c r="L222" t="str">
        <f>DiscreteStatsTable[[#This Row],[ProjectName]]&amp;DiscreteStatsTable[[#This Row],[Name]]&amp;DiscreteStatsTable[[#This Row],[Type]]&amp;DiscreteStatsTable[[#This Row],[Source]]</f>
        <v>PacientesEntity 1VA TimeEntity</v>
      </c>
      <c r="M222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cm="1">
        <f t="array" ref="N222">IFERROR(AVERAGE(IF((DiscreteStatsTable[GroupByKey]=DiscreteStatsTable[[#This Row],[GroupByKey]]),(DiscreteStatsTable[GroupByKey]=DiscreteStatsTable[[#This Row],[GroupByKey]])*DiscreteStatsTable[Average])),0)</f>
        <v>0.63333757112184219</v>
      </c>
      <c r="O222" cm="1">
        <f t="array" ref="O222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22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22" cm="1">
        <f t="array" ref="R222">MIN(IF((DiscreteStatsTable[GroupByKey]=DiscreteStatsTable[[#This Row],[GroupByKey]]),(DiscreteStatsTable[GroupByKey]=DiscreteStatsTable[[#This Row],[GroupByKey]])*DiscreteStatsTable[Average]))</f>
        <v>0.62319357082308402</v>
      </c>
      <c r="S222" cm="1">
        <f t="array" ref="S222">MAX(IF((DiscreteStatsTable[GroupByKey]=DiscreteStatsTable[[#This Row],[GroupByKey]]),(DiscreteStatsTable[GroupByKey]=DiscreteStatsTable[[#This Row],[GroupByKey]])*DiscreteStatsTable[Average]))</f>
        <v>0.64452003514622502</v>
      </c>
      <c r="T222" cm="1">
        <f t="array" ref="T222">MIN(IF((DiscreteStatsTable[GroupByKey]=DiscreteStatsTable[[#This Row],[GroupByKey]]),(DiscreteStatsTable[GroupByKey]=DiscreteStatsTable[[#This Row],[GroupByKey]])*DiscreteStatsTable[Minimum]))</f>
        <v>0.203133309337034</v>
      </c>
      <c r="U222" cm="1">
        <f t="array" ref="U222">MAX(IF((DiscreteStatsTable[GroupByKey]=DiscreteStatsTable[[#This Row],[GroupByKey]]),(DiscreteStatsTable[GroupByKey]=DiscreteStatsTable[[#This Row],[GroupByKey]])*DiscreteStatsTable[Maximum]))</f>
        <v>1.5939517145847</v>
      </c>
      <c r="V222" cm="1">
        <f t="array" ref="V22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2">
        <f>IF((DiscreteStatsTable[[#This Row],[RepsRequested]]&gt;1),DiscreteStatsTable[[#This Row],[HalfWidth]],DiscreteStatsTable[[#This Row],[BatchMeansHalfWidth]])</f>
        <v>1.276828436655964E-3</v>
      </c>
      <c r="X222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131</v>
      </c>
      <c r="C223">
        <v>37</v>
      </c>
      <c r="D223" t="s">
        <v>70</v>
      </c>
      <c r="E223" t="s">
        <v>77</v>
      </c>
      <c r="F223" t="s">
        <v>72</v>
      </c>
      <c r="G223">
        <v>1.0478141836188299</v>
      </c>
      <c r="H223">
        <v>3E+20</v>
      </c>
      <c r="I223">
        <v>0</v>
      </c>
      <c r="J223">
        <v>25.386798754721799</v>
      </c>
      <c r="K223">
        <v>2409</v>
      </c>
      <c r="L223" t="str">
        <f>DiscreteStatsTable[[#This Row],[ProjectName]]&amp;DiscreteStatsTable[[#This Row],[Name]]&amp;DiscreteStatsTable[[#This Row],[Type]]&amp;DiscreteStatsTable[[#This Row],[Source]]</f>
        <v>PacientesEntity 1Wait TimeEntity</v>
      </c>
      <c r="M223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cm="1">
        <f t="array" ref="N223">IFERROR(AVERAGE(IF((DiscreteStatsTable[GroupByKey]=DiscreteStatsTable[[#This Row],[GroupByKey]]),(DiscreteStatsTable[GroupByKey]=DiscreteStatsTable[[#This Row],[GroupByKey]])*DiscreteStatsTable[Average])),0)</f>
        <v>0.86965903596573602</v>
      </c>
      <c r="O223" cm="1">
        <f t="array" ref="O223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23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23" cm="1">
        <f t="array" ref="R223">MIN(IF((DiscreteStatsTable[GroupByKey]=DiscreteStatsTable[[#This Row],[GroupByKey]]),(DiscreteStatsTable[GroupByKey]=DiscreteStatsTable[[#This Row],[GroupByKey]])*DiscreteStatsTable[Average]))</f>
        <v>0.58431254303614699</v>
      </c>
      <c r="S223" cm="1">
        <f t="array" ref="S223">MAX(IF((DiscreteStatsTable[GroupByKey]=DiscreteStatsTable[[#This Row],[GroupByKey]]),(DiscreteStatsTable[GroupByKey]=DiscreteStatsTable[[#This Row],[GroupByKey]])*DiscreteStatsTable[Average]))</f>
        <v>1.42140669319588</v>
      </c>
      <c r="T223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cm="1">
        <f t="array" ref="U223">MAX(IF((DiscreteStatsTable[GroupByKey]=DiscreteStatsTable[[#This Row],[GroupByKey]]),(DiscreteStatsTable[GroupByKey]=DiscreteStatsTable[[#This Row],[GroupByKey]])*DiscreteStatsTable[Maximum]))</f>
        <v>28.983199492767199</v>
      </c>
      <c r="V223" cm="1">
        <f t="array" ref="V22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3">
        <f>IF((DiscreteStatsTable[[#This Row],[RepsRequested]]&gt;1),DiscreteStatsTable[[#This Row],[HalfWidth]],DiscreteStatsTable[[#This Row],[BatchMeansHalfWidth]])</f>
        <v>6.0911976702528743E-2</v>
      </c>
      <c r="X223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131</v>
      </c>
      <c r="C224">
        <v>38</v>
      </c>
      <c r="D224" t="s">
        <v>70</v>
      </c>
      <c r="E224" t="s">
        <v>71</v>
      </c>
      <c r="F224" t="s">
        <v>72</v>
      </c>
      <c r="G224">
        <v>0</v>
      </c>
      <c r="H224">
        <v>0</v>
      </c>
      <c r="I224">
        <v>0</v>
      </c>
      <c r="J224">
        <v>0</v>
      </c>
      <c r="K224">
        <v>2407</v>
      </c>
      <c r="L224" t="str">
        <f>DiscreteStatsTable[[#This Row],[ProjectName]]&amp;DiscreteStatsTable[[#This Row],[Name]]&amp;DiscreteStatsTable[[#This Row],[Type]]&amp;DiscreteStatsTable[[#This Row],[Source]]</f>
        <v>PacientesEntity 1NVA TimeEntity</v>
      </c>
      <c r="M224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cm="1">
        <f t="array" ref="N224">IFERROR(AVERAGE(IF((DiscreteStatsTable[GroupByKey]=DiscreteStatsTable[[#This Row],[GroupByKey]]),(DiscreteStatsTable[GroupByKey]=DiscreteStatsTable[[#This Row],[GroupByKey]])*DiscreteStatsTable[Average])),0)</f>
        <v>0</v>
      </c>
      <c r="O224" cm="1">
        <f t="array" ref="O224">IFERROR(_xlfn.STDEV.S(IF((DiscreteStatsTable[GroupByKey]=DiscreteStatsTable[[#This Row],[GroupByKey]]),(DiscreteStatsTable[GroupByKey]=DiscreteStatsTable[[#This Row],[GroupByKey]])*DiscreteStatsTable[Average])),0)</f>
        <v>0</v>
      </c>
      <c r="P224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4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cm="1">
        <f t="array" ref="S224">MAX(IF((DiscreteStatsTable[GroupByKey]=DiscreteStatsTable[[#This Row],[GroupByKey]]),(DiscreteStatsTable[GroupByKey]=DiscreteStatsTable[[#This Row],[GroupByKey]])*DiscreteStatsTable[Average]))</f>
        <v>0</v>
      </c>
      <c r="T224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cm="1">
        <f t="array" ref="U224">MAX(IF((DiscreteStatsTable[GroupByKey]=DiscreteStatsTable[[#This Row],[GroupByKey]]),(DiscreteStatsTable[GroupByKey]=DiscreteStatsTable[[#This Row],[GroupByKey]])*DiscreteStatsTable[Maximum]))</f>
        <v>0</v>
      </c>
      <c r="V224" cm="1">
        <f t="array" ref="V22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4">
        <f>IF((DiscreteStatsTable[[#This Row],[RepsRequested]]&gt;1),DiscreteStatsTable[[#This Row],[HalfWidth]],DiscreteStatsTable[[#This Row],[BatchMeansHalfWidth]])</f>
        <v>0</v>
      </c>
      <c r="X224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131</v>
      </c>
      <c r="C225">
        <v>38</v>
      </c>
      <c r="D225" t="s">
        <v>70</v>
      </c>
      <c r="E225" t="s">
        <v>73</v>
      </c>
      <c r="F225" t="s">
        <v>72</v>
      </c>
      <c r="G225">
        <v>0</v>
      </c>
      <c r="H225">
        <v>0</v>
      </c>
      <c r="I225">
        <v>0</v>
      </c>
      <c r="J225">
        <v>0</v>
      </c>
      <c r="K225">
        <v>2407</v>
      </c>
      <c r="L225" t="str">
        <f>DiscreteStatsTable[[#This Row],[ProjectName]]&amp;DiscreteStatsTable[[#This Row],[Name]]&amp;DiscreteStatsTable[[#This Row],[Type]]&amp;DiscreteStatsTable[[#This Row],[Source]]</f>
        <v>PacientesEntity 1Other TimeEntity</v>
      </c>
      <c r="M22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cm="1">
        <f t="array" ref="N225">IFERROR(AVERAGE(IF((DiscreteStatsTable[GroupByKey]=DiscreteStatsTable[[#This Row],[GroupByKey]]),(DiscreteStatsTable[GroupByKey]=DiscreteStatsTable[[#This Row],[GroupByKey]])*DiscreteStatsTable[Average])),0)</f>
        <v>0</v>
      </c>
      <c r="O225" cm="1">
        <f t="array" ref="O225">IFERROR(_xlfn.STDEV.S(IF((DiscreteStatsTable[GroupByKey]=DiscreteStatsTable[[#This Row],[GroupByKey]]),(DiscreteStatsTable[GroupByKey]=DiscreteStatsTable[[#This Row],[GroupByKey]])*DiscreteStatsTable[Average])),0)</f>
        <v>0</v>
      </c>
      <c r="P22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5" cm="1">
        <f t="array" ref="R225">MIN(IF((DiscreteStatsTable[GroupByKey]=DiscreteStatsTable[[#This Row],[GroupByKey]]),(DiscreteStatsTable[GroupByKey]=DiscreteStatsTable[[#This Row],[GroupByKey]])*DiscreteStatsTable[Average]))</f>
        <v>0</v>
      </c>
      <c r="S225" cm="1">
        <f t="array" ref="S225">MAX(IF((DiscreteStatsTable[GroupByKey]=DiscreteStatsTable[[#This Row],[GroupByKey]]),(DiscreteStatsTable[GroupByKey]=DiscreteStatsTable[[#This Row],[GroupByKey]])*DiscreteStatsTable[Average]))</f>
        <v>0</v>
      </c>
      <c r="T22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cm="1">
        <f t="array" ref="U225">MAX(IF((DiscreteStatsTable[GroupByKey]=DiscreteStatsTable[[#This Row],[GroupByKey]]),(DiscreteStatsTable[GroupByKey]=DiscreteStatsTable[[#This Row],[GroupByKey]])*DiscreteStatsTable[Maximum]))</f>
        <v>0</v>
      </c>
      <c r="V225" cm="1">
        <f t="array" ref="V22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5">
        <f>IF((DiscreteStatsTable[[#This Row],[RepsRequested]]&gt;1),DiscreteStatsTable[[#This Row],[HalfWidth]],DiscreteStatsTable[[#This Row],[BatchMeansHalfWidth]])</f>
        <v>0</v>
      </c>
      <c r="X22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131</v>
      </c>
      <c r="C226">
        <v>38</v>
      </c>
      <c r="D226" t="s">
        <v>70</v>
      </c>
      <c r="E226" t="s">
        <v>74</v>
      </c>
      <c r="F226" t="s">
        <v>72</v>
      </c>
      <c r="G226">
        <v>1.41262294715223</v>
      </c>
      <c r="H226">
        <v>0.197370449662993</v>
      </c>
      <c r="I226">
        <v>0.23788649934084599</v>
      </c>
      <c r="J226">
        <v>14.375775347160999</v>
      </c>
      <c r="K226">
        <v>2407</v>
      </c>
      <c r="L226" t="str">
        <f>DiscreteStatsTable[[#This Row],[ProjectName]]&amp;DiscreteStatsTable[[#This Row],[Name]]&amp;DiscreteStatsTable[[#This Row],[Type]]&amp;DiscreteStatsTable[[#This Row],[Source]]</f>
        <v>PacientesEntity 1Total TimeEntity</v>
      </c>
      <c r="M226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cm="1">
        <f t="array" ref="N226">IFERROR(AVERAGE(IF((DiscreteStatsTable[GroupByKey]=DiscreteStatsTable[[#This Row],[GroupByKey]]),(DiscreteStatsTable[GroupByKey]=DiscreteStatsTable[[#This Row],[GroupByKey]])*DiscreteStatsTable[Average])),0)</f>
        <v>1.5029966070875795</v>
      </c>
      <c r="O226" cm="1">
        <f t="array" ref="O22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26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26" cm="1">
        <f t="array" ref="R226">MIN(IF((DiscreteStatsTable[GroupByKey]=DiscreteStatsTable[[#This Row],[GroupByKey]]),(DiscreteStatsTable[GroupByKey]=DiscreteStatsTable[[#This Row],[GroupByKey]])*DiscreteStatsTable[Average]))</f>
        <v>1.21830768607881</v>
      </c>
      <c r="S226" cm="1">
        <f t="array" ref="S226">MAX(IF((DiscreteStatsTable[GroupByKey]=DiscreteStatsTable[[#This Row],[GroupByKey]]),(DiscreteStatsTable[GroupByKey]=DiscreteStatsTable[[#This Row],[GroupByKey]])*DiscreteStatsTable[Average]))</f>
        <v>2.06387223343107</v>
      </c>
      <c r="T226" cm="1">
        <f t="array" ref="T226">MIN(IF((DiscreteStatsTable[GroupByKey]=DiscreteStatsTable[[#This Row],[GroupByKey]]),(DiscreteStatsTable[GroupByKey]=DiscreteStatsTable[[#This Row],[GroupByKey]])*DiscreteStatsTable[Minimum]))</f>
        <v>0.203133309337034</v>
      </c>
      <c r="U226" cm="1">
        <f t="array" ref="U226">MAX(IF((DiscreteStatsTable[GroupByKey]=DiscreteStatsTable[[#This Row],[GroupByKey]]),(DiscreteStatsTable[GroupByKey]=DiscreteStatsTable[[#This Row],[GroupByKey]])*DiscreteStatsTable[Maximum]))</f>
        <v>29.554686467573401</v>
      </c>
      <c r="V226" cm="1">
        <f t="array" ref="V22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6">
        <f>IF((DiscreteStatsTable[[#This Row],[RepsRequested]]&gt;1),DiscreteStatsTable[[#This Row],[HalfWidth]],DiscreteStatsTable[[#This Row],[BatchMeansHalfWidth]])</f>
        <v>6.1205265903720704E-2</v>
      </c>
      <c r="X226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131</v>
      </c>
      <c r="C227">
        <v>38</v>
      </c>
      <c r="D227" t="s">
        <v>70</v>
      </c>
      <c r="E227" t="s">
        <v>75</v>
      </c>
      <c r="F227" t="s">
        <v>72</v>
      </c>
      <c r="G227">
        <v>0</v>
      </c>
      <c r="H227">
        <v>0</v>
      </c>
      <c r="I227">
        <v>0</v>
      </c>
      <c r="J227">
        <v>0</v>
      </c>
      <c r="K227">
        <v>2407</v>
      </c>
      <c r="L227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27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cm="1">
        <f t="array" ref="V22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7">
        <f>IF((DiscreteStatsTable[[#This Row],[RepsRequested]]&gt;1),DiscreteStatsTable[[#This Row],[HalfWidth]],DiscreteStatsTable[[#This Row],[BatchMeansHalfWidth]])</f>
        <v>0</v>
      </c>
      <c r="X227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131</v>
      </c>
      <c r="C228">
        <v>38</v>
      </c>
      <c r="D228" t="s">
        <v>70</v>
      </c>
      <c r="E228" t="s">
        <v>76</v>
      </c>
      <c r="F228" t="s">
        <v>72</v>
      </c>
      <c r="G228">
        <v>0.63450079579154195</v>
      </c>
      <c r="H228">
        <v>1.11075837464791E-2</v>
      </c>
      <c r="I228">
        <v>0.23037728189592599</v>
      </c>
      <c r="J228">
        <v>1.5592639660715699</v>
      </c>
      <c r="K228">
        <v>2407</v>
      </c>
      <c r="L228" t="str">
        <f>DiscreteStatsTable[[#This Row],[ProjectName]]&amp;DiscreteStatsTable[[#This Row],[Name]]&amp;DiscreteStatsTable[[#This Row],[Type]]&amp;DiscreteStatsTable[[#This Row],[Source]]</f>
        <v>PacientesEntity 1VA TimeEntity</v>
      </c>
      <c r="M228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cm="1">
        <f t="array" ref="N228">IFERROR(AVERAGE(IF((DiscreteStatsTable[GroupByKey]=DiscreteStatsTable[[#This Row],[GroupByKey]]),(DiscreteStatsTable[GroupByKey]=DiscreteStatsTable[[#This Row],[GroupByKey]])*DiscreteStatsTable[Average])),0)</f>
        <v>0.63333757112184219</v>
      </c>
      <c r="O228" cm="1">
        <f t="array" ref="O228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28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28" cm="1">
        <f t="array" ref="R228">MIN(IF((DiscreteStatsTable[GroupByKey]=DiscreteStatsTable[[#This Row],[GroupByKey]]),(DiscreteStatsTable[GroupByKey]=DiscreteStatsTable[[#This Row],[GroupByKey]])*DiscreteStatsTable[Average]))</f>
        <v>0.62319357082308402</v>
      </c>
      <c r="S228" cm="1">
        <f t="array" ref="S228">MAX(IF((DiscreteStatsTable[GroupByKey]=DiscreteStatsTable[[#This Row],[GroupByKey]]),(DiscreteStatsTable[GroupByKey]=DiscreteStatsTable[[#This Row],[GroupByKey]])*DiscreteStatsTable[Average]))</f>
        <v>0.64452003514622502</v>
      </c>
      <c r="T228" cm="1">
        <f t="array" ref="T228">MIN(IF((DiscreteStatsTable[GroupByKey]=DiscreteStatsTable[[#This Row],[GroupByKey]]),(DiscreteStatsTable[GroupByKey]=DiscreteStatsTable[[#This Row],[GroupByKey]])*DiscreteStatsTable[Minimum]))</f>
        <v>0.203133309337034</v>
      </c>
      <c r="U228" cm="1">
        <f t="array" ref="U228">MAX(IF((DiscreteStatsTable[GroupByKey]=DiscreteStatsTable[[#This Row],[GroupByKey]]),(DiscreteStatsTable[GroupByKey]=DiscreteStatsTable[[#This Row],[GroupByKey]])*DiscreteStatsTable[Maximum]))</f>
        <v>1.5939517145847</v>
      </c>
      <c r="V228" cm="1">
        <f t="array" ref="V22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8">
        <f>IF((DiscreteStatsTable[[#This Row],[RepsRequested]]&gt;1),DiscreteStatsTable[[#This Row],[HalfWidth]],DiscreteStatsTable[[#This Row],[BatchMeansHalfWidth]])</f>
        <v>1.276828436655964E-3</v>
      </c>
      <c r="X228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131</v>
      </c>
      <c r="C229">
        <v>38</v>
      </c>
      <c r="D229" t="s">
        <v>70</v>
      </c>
      <c r="E229" t="s">
        <v>77</v>
      </c>
      <c r="F229" t="s">
        <v>72</v>
      </c>
      <c r="G229">
        <v>0.77812215136069096</v>
      </c>
      <c r="H229">
        <v>0.197954626780669</v>
      </c>
      <c r="I229">
        <v>0</v>
      </c>
      <c r="J229">
        <v>14.036465061938999</v>
      </c>
      <c r="K229">
        <v>2407</v>
      </c>
      <c r="L229" t="str">
        <f>DiscreteStatsTable[[#This Row],[ProjectName]]&amp;DiscreteStatsTable[[#This Row],[Name]]&amp;DiscreteStatsTable[[#This Row],[Type]]&amp;DiscreteStatsTable[[#This Row],[Source]]</f>
        <v>PacientesEntity 1Wait TimeEntity</v>
      </c>
      <c r="M229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cm="1">
        <f t="array" ref="N229">IFERROR(AVERAGE(IF((DiscreteStatsTable[GroupByKey]=DiscreteStatsTable[[#This Row],[GroupByKey]]),(DiscreteStatsTable[GroupByKey]=DiscreteStatsTable[[#This Row],[GroupByKey]])*DiscreteStatsTable[Average])),0)</f>
        <v>0.86965903596573602</v>
      </c>
      <c r="O229" cm="1">
        <f t="array" ref="O229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29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29" cm="1">
        <f t="array" ref="R229">MIN(IF((DiscreteStatsTable[GroupByKey]=DiscreteStatsTable[[#This Row],[GroupByKey]]),(DiscreteStatsTable[GroupByKey]=DiscreteStatsTable[[#This Row],[GroupByKey]])*DiscreteStatsTable[Average]))</f>
        <v>0.58431254303614699</v>
      </c>
      <c r="S229" cm="1">
        <f t="array" ref="S229">MAX(IF((DiscreteStatsTable[GroupByKey]=DiscreteStatsTable[[#This Row],[GroupByKey]]),(DiscreteStatsTable[GroupByKey]=DiscreteStatsTable[[#This Row],[GroupByKey]])*DiscreteStatsTable[Average]))</f>
        <v>1.42140669319588</v>
      </c>
      <c r="T229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cm="1">
        <f t="array" ref="U229">MAX(IF((DiscreteStatsTable[GroupByKey]=DiscreteStatsTable[[#This Row],[GroupByKey]]),(DiscreteStatsTable[GroupByKey]=DiscreteStatsTable[[#This Row],[GroupByKey]])*DiscreteStatsTable[Maximum]))</f>
        <v>28.983199492767199</v>
      </c>
      <c r="V229" cm="1">
        <f t="array" ref="V22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29">
        <f>IF((DiscreteStatsTable[[#This Row],[RepsRequested]]&gt;1),DiscreteStatsTable[[#This Row],[HalfWidth]],DiscreteStatsTable[[#This Row],[BatchMeansHalfWidth]])</f>
        <v>6.0911976702528743E-2</v>
      </c>
      <c r="X229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131</v>
      </c>
      <c r="C230">
        <v>39</v>
      </c>
      <c r="D230" t="s">
        <v>70</v>
      </c>
      <c r="E230" t="s">
        <v>71</v>
      </c>
      <c r="F230" t="s">
        <v>72</v>
      </c>
      <c r="G230">
        <v>0</v>
      </c>
      <c r="H230">
        <v>0</v>
      </c>
      <c r="I230">
        <v>0</v>
      </c>
      <c r="J230">
        <v>0</v>
      </c>
      <c r="K230">
        <v>2400</v>
      </c>
      <c r="L230" t="str">
        <f>DiscreteStatsTable[[#This Row],[ProjectName]]&amp;DiscreteStatsTable[[#This Row],[Name]]&amp;DiscreteStatsTable[[#This Row],[Type]]&amp;DiscreteStatsTable[[#This Row],[Source]]</f>
        <v>PacientesEntity 1NVA TimeEntity</v>
      </c>
      <c r="M230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cm="1">
        <f t="array" ref="N230">IFERROR(AVERAGE(IF((DiscreteStatsTable[GroupByKey]=DiscreteStatsTable[[#This Row],[GroupByKey]]),(DiscreteStatsTable[GroupByKey]=DiscreteStatsTable[[#This Row],[GroupByKey]])*DiscreteStatsTable[Average])),0)</f>
        <v>0</v>
      </c>
      <c r="O230" cm="1">
        <f t="array" ref="O230">IFERROR(_xlfn.STDEV.S(IF((DiscreteStatsTable[GroupByKey]=DiscreteStatsTable[[#This Row],[GroupByKey]]),(DiscreteStatsTable[GroupByKey]=DiscreteStatsTable[[#This Row],[GroupByKey]])*DiscreteStatsTable[Average])),0)</f>
        <v>0</v>
      </c>
      <c r="P230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0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cm="1">
        <f t="array" ref="S230">MAX(IF((DiscreteStatsTable[GroupByKey]=DiscreteStatsTable[[#This Row],[GroupByKey]]),(DiscreteStatsTable[GroupByKey]=DiscreteStatsTable[[#This Row],[GroupByKey]])*DiscreteStatsTable[Average]))</f>
        <v>0</v>
      </c>
      <c r="T230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cm="1">
        <f t="array" ref="U230">MAX(IF((DiscreteStatsTable[GroupByKey]=DiscreteStatsTable[[#This Row],[GroupByKey]]),(DiscreteStatsTable[GroupByKey]=DiscreteStatsTable[[#This Row],[GroupByKey]])*DiscreteStatsTable[Maximum]))</f>
        <v>0</v>
      </c>
      <c r="V230" cm="1">
        <f t="array" ref="V23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0">
        <f>IF((DiscreteStatsTable[[#This Row],[RepsRequested]]&gt;1),DiscreteStatsTable[[#This Row],[HalfWidth]],DiscreteStatsTable[[#This Row],[BatchMeansHalfWidth]])</f>
        <v>0</v>
      </c>
      <c r="X230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131</v>
      </c>
      <c r="C231">
        <v>39</v>
      </c>
      <c r="D231" t="s">
        <v>70</v>
      </c>
      <c r="E231" t="s">
        <v>73</v>
      </c>
      <c r="F231" t="s">
        <v>72</v>
      </c>
      <c r="G231">
        <v>0</v>
      </c>
      <c r="H231">
        <v>0</v>
      </c>
      <c r="I231">
        <v>0</v>
      </c>
      <c r="J231">
        <v>0</v>
      </c>
      <c r="K231">
        <v>2400</v>
      </c>
      <c r="L231" t="str">
        <f>DiscreteStatsTable[[#This Row],[ProjectName]]&amp;DiscreteStatsTable[[#This Row],[Name]]&amp;DiscreteStatsTable[[#This Row],[Type]]&amp;DiscreteStatsTable[[#This Row],[Source]]</f>
        <v>PacientesEntity 1Other TimeEntity</v>
      </c>
      <c r="M231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cm="1">
        <f t="array" ref="N231">IFERROR(AVERAGE(IF((DiscreteStatsTable[GroupByKey]=DiscreteStatsTable[[#This Row],[GroupByKey]]),(DiscreteStatsTable[GroupByKey]=DiscreteStatsTable[[#This Row],[GroupByKey]])*DiscreteStatsTable[Average])),0)</f>
        <v>0</v>
      </c>
      <c r="O231" cm="1">
        <f t="array" ref="O231">IFERROR(_xlfn.STDEV.S(IF((DiscreteStatsTable[GroupByKey]=DiscreteStatsTable[[#This Row],[GroupByKey]]),(DiscreteStatsTable[GroupByKey]=DiscreteStatsTable[[#This Row],[GroupByKey]])*DiscreteStatsTable[Average])),0)</f>
        <v>0</v>
      </c>
      <c r="P231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1" cm="1">
        <f t="array" ref="R231">MIN(IF((DiscreteStatsTable[GroupByKey]=DiscreteStatsTable[[#This Row],[GroupByKey]]),(DiscreteStatsTable[GroupByKey]=DiscreteStatsTable[[#This Row],[GroupByKey]])*DiscreteStatsTable[Average]))</f>
        <v>0</v>
      </c>
      <c r="S231" cm="1">
        <f t="array" ref="S231">MAX(IF((DiscreteStatsTable[GroupByKey]=DiscreteStatsTable[[#This Row],[GroupByKey]]),(DiscreteStatsTable[GroupByKey]=DiscreteStatsTable[[#This Row],[GroupByKey]])*DiscreteStatsTable[Average]))</f>
        <v>0</v>
      </c>
      <c r="T231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cm="1">
        <f t="array" ref="U231">MAX(IF((DiscreteStatsTable[GroupByKey]=DiscreteStatsTable[[#This Row],[GroupByKey]]),(DiscreteStatsTable[GroupByKey]=DiscreteStatsTable[[#This Row],[GroupByKey]])*DiscreteStatsTable[Maximum]))</f>
        <v>0</v>
      </c>
      <c r="V231" cm="1">
        <f t="array" ref="V23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1">
        <f>IF((DiscreteStatsTable[[#This Row],[RepsRequested]]&gt;1),DiscreteStatsTable[[#This Row],[HalfWidth]],DiscreteStatsTable[[#This Row],[BatchMeansHalfWidth]])</f>
        <v>0</v>
      </c>
      <c r="X231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131</v>
      </c>
      <c r="C232">
        <v>39</v>
      </c>
      <c r="D232" t="s">
        <v>70</v>
      </c>
      <c r="E232" t="s">
        <v>74</v>
      </c>
      <c r="F232" t="s">
        <v>72</v>
      </c>
      <c r="G232">
        <v>1.24029061995464</v>
      </c>
      <c r="H232">
        <v>0.102355640921583</v>
      </c>
      <c r="I232">
        <v>0.22971885375182</v>
      </c>
      <c r="J232">
        <v>7.5706155695615402</v>
      </c>
      <c r="K232">
        <v>2400</v>
      </c>
      <c r="L232" t="str">
        <f>DiscreteStatsTable[[#This Row],[ProjectName]]&amp;DiscreteStatsTable[[#This Row],[Name]]&amp;DiscreteStatsTable[[#This Row],[Type]]&amp;DiscreteStatsTable[[#This Row],[Source]]</f>
        <v>PacientesEntity 1Total TimeEntity</v>
      </c>
      <c r="M232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cm="1">
        <f t="array" ref="N232">IFERROR(AVERAGE(IF((DiscreteStatsTable[GroupByKey]=DiscreteStatsTable[[#This Row],[GroupByKey]]),(DiscreteStatsTable[GroupByKey]=DiscreteStatsTable[[#This Row],[GroupByKey]])*DiscreteStatsTable[Average])),0)</f>
        <v>1.5029966070875795</v>
      </c>
      <c r="O232" cm="1">
        <f t="array" ref="O23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32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32" cm="1">
        <f t="array" ref="R232">MIN(IF((DiscreteStatsTable[GroupByKey]=DiscreteStatsTable[[#This Row],[GroupByKey]]),(DiscreteStatsTable[GroupByKey]=DiscreteStatsTable[[#This Row],[GroupByKey]])*DiscreteStatsTable[Average]))</f>
        <v>1.21830768607881</v>
      </c>
      <c r="S232" cm="1">
        <f t="array" ref="S232">MAX(IF((DiscreteStatsTable[GroupByKey]=DiscreteStatsTable[[#This Row],[GroupByKey]]),(DiscreteStatsTable[GroupByKey]=DiscreteStatsTable[[#This Row],[GroupByKey]])*DiscreteStatsTable[Average]))</f>
        <v>2.06387223343107</v>
      </c>
      <c r="T232" cm="1">
        <f t="array" ref="T232">MIN(IF((DiscreteStatsTable[GroupByKey]=DiscreteStatsTable[[#This Row],[GroupByKey]]),(DiscreteStatsTable[GroupByKey]=DiscreteStatsTable[[#This Row],[GroupByKey]])*DiscreteStatsTable[Minimum]))</f>
        <v>0.203133309337034</v>
      </c>
      <c r="U232" cm="1">
        <f t="array" ref="U232">MAX(IF((DiscreteStatsTable[GroupByKey]=DiscreteStatsTable[[#This Row],[GroupByKey]]),(DiscreteStatsTable[GroupByKey]=DiscreteStatsTable[[#This Row],[GroupByKey]])*DiscreteStatsTable[Maximum]))</f>
        <v>29.554686467573401</v>
      </c>
      <c r="V232" cm="1">
        <f t="array" ref="V23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2">
        <f>IF((DiscreteStatsTable[[#This Row],[RepsRequested]]&gt;1),DiscreteStatsTable[[#This Row],[HalfWidth]],DiscreteStatsTable[[#This Row],[BatchMeansHalfWidth]])</f>
        <v>6.1205265903720704E-2</v>
      </c>
      <c r="X232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131</v>
      </c>
      <c r="C233">
        <v>39</v>
      </c>
      <c r="D233" t="s">
        <v>70</v>
      </c>
      <c r="E233" t="s">
        <v>75</v>
      </c>
      <c r="F233" t="s">
        <v>72</v>
      </c>
      <c r="G233">
        <v>0</v>
      </c>
      <c r="H233">
        <v>0</v>
      </c>
      <c r="I233">
        <v>0</v>
      </c>
      <c r="J233">
        <v>0</v>
      </c>
      <c r="K233">
        <v>2400</v>
      </c>
      <c r="L233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33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cm="1">
        <f t="array" ref="V23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3">
        <f>IF((DiscreteStatsTable[[#This Row],[RepsRequested]]&gt;1),DiscreteStatsTable[[#This Row],[HalfWidth]],DiscreteStatsTable[[#This Row],[BatchMeansHalfWidth]])</f>
        <v>0</v>
      </c>
      <c r="X233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131</v>
      </c>
      <c r="C234">
        <v>39</v>
      </c>
      <c r="D234" t="s">
        <v>70</v>
      </c>
      <c r="E234" t="s">
        <v>76</v>
      </c>
      <c r="F234" t="s">
        <v>72</v>
      </c>
      <c r="G234">
        <v>0.634007558219288</v>
      </c>
      <c r="H234">
        <v>1.0621766747144301E-2</v>
      </c>
      <c r="I234">
        <v>0.21888096981894001</v>
      </c>
      <c r="J234">
        <v>1.5579367239951101</v>
      </c>
      <c r="K234">
        <v>2400</v>
      </c>
      <c r="L234" t="str">
        <f>DiscreteStatsTable[[#This Row],[ProjectName]]&amp;DiscreteStatsTable[[#This Row],[Name]]&amp;DiscreteStatsTable[[#This Row],[Type]]&amp;DiscreteStatsTable[[#This Row],[Source]]</f>
        <v>PacientesEntity 1VA TimeEntity</v>
      </c>
      <c r="M234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cm="1">
        <f t="array" ref="N234">IFERROR(AVERAGE(IF((DiscreteStatsTable[GroupByKey]=DiscreteStatsTable[[#This Row],[GroupByKey]]),(DiscreteStatsTable[GroupByKey]=DiscreteStatsTable[[#This Row],[GroupByKey]])*DiscreteStatsTable[Average])),0)</f>
        <v>0.63333757112184219</v>
      </c>
      <c r="O234" cm="1">
        <f t="array" ref="O234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34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34" cm="1">
        <f t="array" ref="R234">MIN(IF((DiscreteStatsTable[GroupByKey]=DiscreteStatsTable[[#This Row],[GroupByKey]]),(DiscreteStatsTable[GroupByKey]=DiscreteStatsTable[[#This Row],[GroupByKey]])*DiscreteStatsTable[Average]))</f>
        <v>0.62319357082308402</v>
      </c>
      <c r="S234" cm="1">
        <f t="array" ref="S234">MAX(IF((DiscreteStatsTable[GroupByKey]=DiscreteStatsTable[[#This Row],[GroupByKey]]),(DiscreteStatsTable[GroupByKey]=DiscreteStatsTable[[#This Row],[GroupByKey]])*DiscreteStatsTable[Average]))</f>
        <v>0.64452003514622502</v>
      </c>
      <c r="T234" cm="1">
        <f t="array" ref="T234">MIN(IF((DiscreteStatsTable[GroupByKey]=DiscreteStatsTable[[#This Row],[GroupByKey]]),(DiscreteStatsTable[GroupByKey]=DiscreteStatsTable[[#This Row],[GroupByKey]])*DiscreteStatsTable[Minimum]))</f>
        <v>0.203133309337034</v>
      </c>
      <c r="U234" cm="1">
        <f t="array" ref="U234">MAX(IF((DiscreteStatsTable[GroupByKey]=DiscreteStatsTable[[#This Row],[GroupByKey]]),(DiscreteStatsTable[GroupByKey]=DiscreteStatsTable[[#This Row],[GroupByKey]])*DiscreteStatsTable[Maximum]))</f>
        <v>1.5939517145847</v>
      </c>
      <c r="V234" cm="1">
        <f t="array" ref="V23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4">
        <f>IF((DiscreteStatsTable[[#This Row],[RepsRequested]]&gt;1),DiscreteStatsTable[[#This Row],[HalfWidth]],DiscreteStatsTable[[#This Row],[BatchMeansHalfWidth]])</f>
        <v>1.276828436655964E-3</v>
      </c>
      <c r="X234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131</v>
      </c>
      <c r="C235">
        <v>39</v>
      </c>
      <c r="D235" t="s">
        <v>70</v>
      </c>
      <c r="E235" t="s">
        <v>77</v>
      </c>
      <c r="F235" t="s">
        <v>72</v>
      </c>
      <c r="G235">
        <v>0.60628306173534596</v>
      </c>
      <c r="H235">
        <v>9.8707707654308197E-2</v>
      </c>
      <c r="I235">
        <v>0</v>
      </c>
      <c r="J235">
        <v>7.1435050219068899</v>
      </c>
      <c r="K235">
        <v>2400</v>
      </c>
      <c r="L235" t="str">
        <f>DiscreteStatsTable[[#This Row],[ProjectName]]&amp;DiscreteStatsTable[[#This Row],[Name]]&amp;DiscreteStatsTable[[#This Row],[Type]]&amp;DiscreteStatsTable[[#This Row],[Source]]</f>
        <v>PacientesEntity 1Wait TimeEntity</v>
      </c>
      <c r="M23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cm="1">
        <f t="array" ref="N235">IFERROR(AVERAGE(IF((DiscreteStatsTable[GroupByKey]=DiscreteStatsTable[[#This Row],[GroupByKey]]),(DiscreteStatsTable[GroupByKey]=DiscreteStatsTable[[#This Row],[GroupByKey]])*DiscreteStatsTable[Average])),0)</f>
        <v>0.86965903596573602</v>
      </c>
      <c r="O235" cm="1">
        <f t="array" ref="O235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3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35" cm="1">
        <f t="array" ref="R235">MIN(IF((DiscreteStatsTable[GroupByKey]=DiscreteStatsTable[[#This Row],[GroupByKey]]),(DiscreteStatsTable[GroupByKey]=DiscreteStatsTable[[#This Row],[GroupByKey]])*DiscreteStatsTable[Average]))</f>
        <v>0.58431254303614699</v>
      </c>
      <c r="S235" cm="1">
        <f t="array" ref="S235">MAX(IF((DiscreteStatsTable[GroupByKey]=DiscreteStatsTable[[#This Row],[GroupByKey]]),(DiscreteStatsTable[GroupByKey]=DiscreteStatsTable[[#This Row],[GroupByKey]])*DiscreteStatsTable[Average]))</f>
        <v>1.42140669319588</v>
      </c>
      <c r="T23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cm="1">
        <f t="array" ref="U235">MAX(IF((DiscreteStatsTable[GroupByKey]=DiscreteStatsTable[[#This Row],[GroupByKey]]),(DiscreteStatsTable[GroupByKey]=DiscreteStatsTable[[#This Row],[GroupByKey]])*DiscreteStatsTable[Maximum]))</f>
        <v>28.983199492767199</v>
      </c>
      <c r="V235" cm="1">
        <f t="array" ref="V23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5">
        <f>IF((DiscreteStatsTable[[#This Row],[RepsRequested]]&gt;1),DiscreteStatsTable[[#This Row],[HalfWidth]],DiscreteStatsTable[[#This Row],[BatchMeansHalfWidth]])</f>
        <v>6.0911976702528743E-2</v>
      </c>
      <c r="X23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131</v>
      </c>
      <c r="C236">
        <v>40</v>
      </c>
      <c r="D236" t="s">
        <v>70</v>
      </c>
      <c r="E236" t="s">
        <v>71</v>
      </c>
      <c r="F236" t="s">
        <v>72</v>
      </c>
      <c r="G236">
        <v>0</v>
      </c>
      <c r="H236">
        <v>0</v>
      </c>
      <c r="I236">
        <v>0</v>
      </c>
      <c r="J236">
        <v>0</v>
      </c>
      <c r="K236">
        <v>2378</v>
      </c>
      <c r="L236" t="str">
        <f>DiscreteStatsTable[[#This Row],[ProjectName]]&amp;DiscreteStatsTable[[#This Row],[Name]]&amp;DiscreteStatsTable[[#This Row],[Type]]&amp;DiscreteStatsTable[[#This Row],[Source]]</f>
        <v>PacientesEntity 1NVA TimeEntity</v>
      </c>
      <c r="M236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cm="1">
        <f t="array" ref="N236">IFERROR(AVERAGE(IF((DiscreteStatsTable[GroupByKey]=DiscreteStatsTable[[#This Row],[GroupByKey]]),(DiscreteStatsTable[GroupByKey]=DiscreteStatsTable[[#This Row],[GroupByKey]])*DiscreteStatsTable[Average])),0)</f>
        <v>0</v>
      </c>
      <c r="O236" cm="1">
        <f t="array" ref="O236">IFERROR(_xlfn.STDEV.S(IF((DiscreteStatsTable[GroupByKey]=DiscreteStatsTable[[#This Row],[GroupByKey]]),(DiscreteStatsTable[GroupByKey]=DiscreteStatsTable[[#This Row],[GroupByKey]])*DiscreteStatsTable[Average])),0)</f>
        <v>0</v>
      </c>
      <c r="P236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6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cm="1">
        <f t="array" ref="S236">MAX(IF((DiscreteStatsTable[GroupByKey]=DiscreteStatsTable[[#This Row],[GroupByKey]]),(DiscreteStatsTable[GroupByKey]=DiscreteStatsTable[[#This Row],[GroupByKey]])*DiscreteStatsTable[Average]))</f>
        <v>0</v>
      </c>
      <c r="T236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cm="1">
        <f t="array" ref="U236">MAX(IF((DiscreteStatsTable[GroupByKey]=DiscreteStatsTable[[#This Row],[GroupByKey]]),(DiscreteStatsTable[GroupByKey]=DiscreteStatsTable[[#This Row],[GroupByKey]])*DiscreteStatsTable[Maximum]))</f>
        <v>0</v>
      </c>
      <c r="V236" cm="1">
        <f t="array" ref="V23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6">
        <f>IF((DiscreteStatsTable[[#This Row],[RepsRequested]]&gt;1),DiscreteStatsTable[[#This Row],[HalfWidth]],DiscreteStatsTable[[#This Row],[BatchMeansHalfWidth]])</f>
        <v>0</v>
      </c>
      <c r="X236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131</v>
      </c>
      <c r="C237">
        <v>40</v>
      </c>
      <c r="D237" t="s">
        <v>70</v>
      </c>
      <c r="E237" t="s">
        <v>73</v>
      </c>
      <c r="F237" t="s">
        <v>72</v>
      </c>
      <c r="G237">
        <v>0</v>
      </c>
      <c r="H237">
        <v>0</v>
      </c>
      <c r="I237">
        <v>0</v>
      </c>
      <c r="J237">
        <v>0</v>
      </c>
      <c r="K237">
        <v>2378</v>
      </c>
      <c r="L237" t="str">
        <f>DiscreteStatsTable[[#This Row],[ProjectName]]&amp;DiscreteStatsTable[[#This Row],[Name]]&amp;DiscreteStatsTable[[#This Row],[Type]]&amp;DiscreteStatsTable[[#This Row],[Source]]</f>
        <v>PacientesEntity 1Other TimeEntity</v>
      </c>
      <c r="M237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cm="1">
        <f t="array" ref="N237">IFERROR(AVERAGE(IF((DiscreteStatsTable[GroupByKey]=DiscreteStatsTable[[#This Row],[GroupByKey]]),(DiscreteStatsTable[GroupByKey]=DiscreteStatsTable[[#This Row],[GroupByKey]])*DiscreteStatsTable[Average])),0)</f>
        <v>0</v>
      </c>
      <c r="O237" cm="1">
        <f t="array" ref="O237">IFERROR(_xlfn.STDEV.S(IF((DiscreteStatsTable[GroupByKey]=DiscreteStatsTable[[#This Row],[GroupByKey]]),(DiscreteStatsTable[GroupByKey]=DiscreteStatsTable[[#This Row],[GroupByKey]])*DiscreteStatsTable[Average])),0)</f>
        <v>0</v>
      </c>
      <c r="P237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7" cm="1">
        <f t="array" ref="R237">MIN(IF((DiscreteStatsTable[GroupByKey]=DiscreteStatsTable[[#This Row],[GroupByKey]]),(DiscreteStatsTable[GroupByKey]=DiscreteStatsTable[[#This Row],[GroupByKey]])*DiscreteStatsTable[Average]))</f>
        <v>0</v>
      </c>
      <c r="S237" cm="1">
        <f t="array" ref="S237">MAX(IF((DiscreteStatsTable[GroupByKey]=DiscreteStatsTable[[#This Row],[GroupByKey]]),(DiscreteStatsTable[GroupByKey]=DiscreteStatsTable[[#This Row],[GroupByKey]])*DiscreteStatsTable[Average]))</f>
        <v>0</v>
      </c>
      <c r="T237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cm="1">
        <f t="array" ref="U237">MAX(IF((DiscreteStatsTable[GroupByKey]=DiscreteStatsTable[[#This Row],[GroupByKey]]),(DiscreteStatsTable[GroupByKey]=DiscreteStatsTable[[#This Row],[GroupByKey]])*DiscreteStatsTable[Maximum]))</f>
        <v>0</v>
      </c>
      <c r="V237" cm="1">
        <f t="array" ref="V23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7">
        <f>IF((DiscreteStatsTable[[#This Row],[RepsRequested]]&gt;1),DiscreteStatsTable[[#This Row],[HalfWidth]],DiscreteStatsTable[[#This Row],[BatchMeansHalfWidth]])</f>
        <v>0</v>
      </c>
      <c r="X237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131</v>
      </c>
      <c r="C238">
        <v>40</v>
      </c>
      <c r="D238" t="s">
        <v>70</v>
      </c>
      <c r="E238" t="s">
        <v>74</v>
      </c>
      <c r="F238" t="s">
        <v>72</v>
      </c>
      <c r="G238">
        <v>1.3315453444355201</v>
      </c>
      <c r="H238">
        <v>3E+20</v>
      </c>
      <c r="I238">
        <v>0.23885971800285699</v>
      </c>
      <c r="J238">
        <v>14.5456892848898</v>
      </c>
      <c r="K238">
        <v>2378</v>
      </c>
      <c r="L238" t="str">
        <f>DiscreteStatsTable[[#This Row],[ProjectName]]&amp;DiscreteStatsTable[[#This Row],[Name]]&amp;DiscreteStatsTable[[#This Row],[Type]]&amp;DiscreteStatsTable[[#This Row],[Source]]</f>
        <v>PacientesEntity 1Total TimeEntity</v>
      </c>
      <c r="M238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cm="1">
        <f t="array" ref="N238">IFERROR(AVERAGE(IF((DiscreteStatsTable[GroupByKey]=DiscreteStatsTable[[#This Row],[GroupByKey]]),(DiscreteStatsTable[GroupByKey]=DiscreteStatsTable[[#This Row],[GroupByKey]])*DiscreteStatsTable[Average])),0)</f>
        <v>1.5029966070875795</v>
      </c>
      <c r="O238" cm="1">
        <f t="array" ref="O23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38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38" cm="1">
        <f t="array" ref="R238">MIN(IF((DiscreteStatsTable[GroupByKey]=DiscreteStatsTable[[#This Row],[GroupByKey]]),(DiscreteStatsTable[GroupByKey]=DiscreteStatsTable[[#This Row],[GroupByKey]])*DiscreteStatsTable[Average]))</f>
        <v>1.21830768607881</v>
      </c>
      <c r="S238" cm="1">
        <f t="array" ref="S238">MAX(IF((DiscreteStatsTable[GroupByKey]=DiscreteStatsTable[[#This Row],[GroupByKey]]),(DiscreteStatsTable[GroupByKey]=DiscreteStatsTable[[#This Row],[GroupByKey]])*DiscreteStatsTable[Average]))</f>
        <v>2.06387223343107</v>
      </c>
      <c r="T238" cm="1">
        <f t="array" ref="T238">MIN(IF((DiscreteStatsTable[GroupByKey]=DiscreteStatsTable[[#This Row],[GroupByKey]]),(DiscreteStatsTable[GroupByKey]=DiscreteStatsTable[[#This Row],[GroupByKey]])*DiscreteStatsTable[Minimum]))</f>
        <v>0.203133309337034</v>
      </c>
      <c r="U238" cm="1">
        <f t="array" ref="U238">MAX(IF((DiscreteStatsTable[GroupByKey]=DiscreteStatsTable[[#This Row],[GroupByKey]]),(DiscreteStatsTable[GroupByKey]=DiscreteStatsTable[[#This Row],[GroupByKey]])*DiscreteStatsTable[Maximum]))</f>
        <v>29.554686467573401</v>
      </c>
      <c r="V238" cm="1">
        <f t="array" ref="V23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8">
        <f>IF((DiscreteStatsTable[[#This Row],[RepsRequested]]&gt;1),DiscreteStatsTable[[#This Row],[HalfWidth]],DiscreteStatsTable[[#This Row],[BatchMeansHalfWidth]])</f>
        <v>6.1205265903720704E-2</v>
      </c>
      <c r="X238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131</v>
      </c>
      <c r="C239">
        <v>40</v>
      </c>
      <c r="D239" t="s">
        <v>70</v>
      </c>
      <c r="E239" t="s">
        <v>75</v>
      </c>
      <c r="F239" t="s">
        <v>72</v>
      </c>
      <c r="G239">
        <v>0</v>
      </c>
      <c r="H239">
        <v>0</v>
      </c>
      <c r="I239">
        <v>0</v>
      </c>
      <c r="J239">
        <v>0</v>
      </c>
      <c r="K239">
        <v>2378</v>
      </c>
      <c r="L239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39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cm="1">
        <f t="array" ref="V23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39">
        <f>IF((DiscreteStatsTable[[#This Row],[RepsRequested]]&gt;1),DiscreteStatsTable[[#This Row],[HalfWidth]],DiscreteStatsTable[[#This Row],[BatchMeansHalfWidth]])</f>
        <v>0</v>
      </c>
      <c r="X239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131</v>
      </c>
      <c r="C240">
        <v>40</v>
      </c>
      <c r="D240" t="s">
        <v>70</v>
      </c>
      <c r="E240" t="s">
        <v>76</v>
      </c>
      <c r="F240" t="s">
        <v>72</v>
      </c>
      <c r="G240">
        <v>0.631181037528047</v>
      </c>
      <c r="H240">
        <v>1.2111802347504299E-2</v>
      </c>
      <c r="I240">
        <v>0.23885971800285699</v>
      </c>
      <c r="J240">
        <v>1.54986673647011</v>
      </c>
      <c r="K240">
        <v>2378</v>
      </c>
      <c r="L240" t="str">
        <f>DiscreteStatsTable[[#This Row],[ProjectName]]&amp;DiscreteStatsTable[[#This Row],[Name]]&amp;DiscreteStatsTable[[#This Row],[Type]]&amp;DiscreteStatsTable[[#This Row],[Source]]</f>
        <v>PacientesEntity 1VA TimeEntity</v>
      </c>
      <c r="M240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cm="1">
        <f t="array" ref="N240">IFERROR(AVERAGE(IF((DiscreteStatsTable[GroupByKey]=DiscreteStatsTable[[#This Row],[GroupByKey]]),(DiscreteStatsTable[GroupByKey]=DiscreteStatsTable[[#This Row],[GroupByKey]])*DiscreteStatsTable[Average])),0)</f>
        <v>0.63333757112184219</v>
      </c>
      <c r="O240" cm="1">
        <f t="array" ref="O240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40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40" cm="1">
        <f t="array" ref="R240">MIN(IF((DiscreteStatsTable[GroupByKey]=DiscreteStatsTable[[#This Row],[GroupByKey]]),(DiscreteStatsTable[GroupByKey]=DiscreteStatsTable[[#This Row],[GroupByKey]])*DiscreteStatsTable[Average]))</f>
        <v>0.62319357082308402</v>
      </c>
      <c r="S240" cm="1">
        <f t="array" ref="S240">MAX(IF((DiscreteStatsTable[GroupByKey]=DiscreteStatsTable[[#This Row],[GroupByKey]]),(DiscreteStatsTable[GroupByKey]=DiscreteStatsTable[[#This Row],[GroupByKey]])*DiscreteStatsTable[Average]))</f>
        <v>0.64452003514622502</v>
      </c>
      <c r="T240" cm="1">
        <f t="array" ref="T240">MIN(IF((DiscreteStatsTable[GroupByKey]=DiscreteStatsTable[[#This Row],[GroupByKey]]),(DiscreteStatsTable[GroupByKey]=DiscreteStatsTable[[#This Row],[GroupByKey]])*DiscreteStatsTable[Minimum]))</f>
        <v>0.203133309337034</v>
      </c>
      <c r="U240" cm="1">
        <f t="array" ref="U240">MAX(IF((DiscreteStatsTable[GroupByKey]=DiscreteStatsTable[[#This Row],[GroupByKey]]),(DiscreteStatsTable[GroupByKey]=DiscreteStatsTable[[#This Row],[GroupByKey]])*DiscreteStatsTable[Maximum]))</f>
        <v>1.5939517145847</v>
      </c>
      <c r="V240" cm="1">
        <f t="array" ref="V24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0">
        <f>IF((DiscreteStatsTable[[#This Row],[RepsRequested]]&gt;1),DiscreteStatsTable[[#This Row],[HalfWidth]],DiscreteStatsTable[[#This Row],[BatchMeansHalfWidth]])</f>
        <v>1.276828436655964E-3</v>
      </c>
      <c r="X240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131</v>
      </c>
      <c r="C241">
        <v>40</v>
      </c>
      <c r="D241" t="s">
        <v>70</v>
      </c>
      <c r="E241" t="s">
        <v>77</v>
      </c>
      <c r="F241" t="s">
        <v>72</v>
      </c>
      <c r="G241">
        <v>0.70036430690747198</v>
      </c>
      <c r="H241">
        <v>3E+20</v>
      </c>
      <c r="I241">
        <v>0</v>
      </c>
      <c r="J241">
        <v>13.945092025807</v>
      </c>
      <c r="K241">
        <v>2378</v>
      </c>
      <c r="L241" t="str">
        <f>DiscreteStatsTable[[#This Row],[ProjectName]]&amp;DiscreteStatsTable[[#This Row],[Name]]&amp;DiscreteStatsTable[[#This Row],[Type]]&amp;DiscreteStatsTable[[#This Row],[Source]]</f>
        <v>PacientesEntity 1Wait TimeEntity</v>
      </c>
      <c r="M241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cm="1">
        <f t="array" ref="N241">IFERROR(AVERAGE(IF((DiscreteStatsTable[GroupByKey]=DiscreteStatsTable[[#This Row],[GroupByKey]]),(DiscreteStatsTable[GroupByKey]=DiscreteStatsTable[[#This Row],[GroupByKey]])*DiscreteStatsTable[Average])),0)</f>
        <v>0.86965903596573602</v>
      </c>
      <c r="O241" cm="1">
        <f t="array" ref="O241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41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41" cm="1">
        <f t="array" ref="R241">MIN(IF((DiscreteStatsTable[GroupByKey]=DiscreteStatsTable[[#This Row],[GroupByKey]]),(DiscreteStatsTable[GroupByKey]=DiscreteStatsTable[[#This Row],[GroupByKey]])*DiscreteStatsTable[Average]))</f>
        <v>0.58431254303614699</v>
      </c>
      <c r="S241" cm="1">
        <f t="array" ref="S241">MAX(IF((DiscreteStatsTable[GroupByKey]=DiscreteStatsTable[[#This Row],[GroupByKey]]),(DiscreteStatsTable[GroupByKey]=DiscreteStatsTable[[#This Row],[GroupByKey]])*DiscreteStatsTable[Average]))</f>
        <v>1.42140669319588</v>
      </c>
      <c r="T241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cm="1">
        <f t="array" ref="U241">MAX(IF((DiscreteStatsTable[GroupByKey]=DiscreteStatsTable[[#This Row],[GroupByKey]]),(DiscreteStatsTable[GroupByKey]=DiscreteStatsTable[[#This Row],[GroupByKey]])*DiscreteStatsTable[Maximum]))</f>
        <v>28.983199492767199</v>
      </c>
      <c r="V241" cm="1">
        <f t="array" ref="V24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1">
        <f>IF((DiscreteStatsTable[[#This Row],[RepsRequested]]&gt;1),DiscreteStatsTable[[#This Row],[HalfWidth]],DiscreteStatsTable[[#This Row],[BatchMeansHalfWidth]])</f>
        <v>6.0911976702528743E-2</v>
      </c>
      <c r="X241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131</v>
      </c>
      <c r="C242">
        <v>41</v>
      </c>
      <c r="D242" t="s">
        <v>70</v>
      </c>
      <c r="E242" t="s">
        <v>71</v>
      </c>
      <c r="F242" t="s">
        <v>72</v>
      </c>
      <c r="G242">
        <v>0</v>
      </c>
      <c r="H242">
        <v>0</v>
      </c>
      <c r="I242">
        <v>0</v>
      </c>
      <c r="J242">
        <v>0</v>
      </c>
      <c r="K242">
        <v>2335</v>
      </c>
      <c r="L242" t="str">
        <f>DiscreteStatsTable[[#This Row],[ProjectName]]&amp;DiscreteStatsTable[[#This Row],[Name]]&amp;DiscreteStatsTable[[#This Row],[Type]]&amp;DiscreteStatsTable[[#This Row],[Source]]</f>
        <v>PacientesEntity 1NVA TimeEntity</v>
      </c>
      <c r="M242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cm="1">
        <f t="array" ref="N242">IFERROR(AVERAGE(IF((DiscreteStatsTable[GroupByKey]=DiscreteStatsTable[[#This Row],[GroupByKey]]),(DiscreteStatsTable[GroupByKey]=DiscreteStatsTable[[#This Row],[GroupByKey]])*DiscreteStatsTable[Average])),0)</f>
        <v>0</v>
      </c>
      <c r="O242" cm="1">
        <f t="array" ref="O242">IFERROR(_xlfn.STDEV.S(IF((DiscreteStatsTable[GroupByKey]=DiscreteStatsTable[[#This Row],[GroupByKey]]),(DiscreteStatsTable[GroupByKey]=DiscreteStatsTable[[#This Row],[GroupByKey]])*DiscreteStatsTable[Average])),0)</f>
        <v>0</v>
      </c>
      <c r="P242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2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cm="1">
        <f t="array" ref="S242">MAX(IF((DiscreteStatsTable[GroupByKey]=DiscreteStatsTable[[#This Row],[GroupByKey]]),(DiscreteStatsTable[GroupByKey]=DiscreteStatsTable[[#This Row],[GroupByKey]])*DiscreteStatsTable[Average]))</f>
        <v>0</v>
      </c>
      <c r="T242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cm="1">
        <f t="array" ref="U242">MAX(IF((DiscreteStatsTable[GroupByKey]=DiscreteStatsTable[[#This Row],[GroupByKey]]),(DiscreteStatsTable[GroupByKey]=DiscreteStatsTable[[#This Row],[GroupByKey]])*DiscreteStatsTable[Maximum]))</f>
        <v>0</v>
      </c>
      <c r="V242" cm="1">
        <f t="array" ref="V24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2">
        <f>IF((DiscreteStatsTable[[#This Row],[RepsRequested]]&gt;1),DiscreteStatsTable[[#This Row],[HalfWidth]],DiscreteStatsTable[[#This Row],[BatchMeansHalfWidth]])</f>
        <v>0</v>
      </c>
      <c r="X242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131</v>
      </c>
      <c r="C243">
        <v>41</v>
      </c>
      <c r="D243" t="s">
        <v>70</v>
      </c>
      <c r="E243" t="s">
        <v>73</v>
      </c>
      <c r="F243" t="s">
        <v>72</v>
      </c>
      <c r="G243">
        <v>0</v>
      </c>
      <c r="H243">
        <v>0</v>
      </c>
      <c r="I243">
        <v>0</v>
      </c>
      <c r="J243">
        <v>0</v>
      </c>
      <c r="K243">
        <v>2335</v>
      </c>
      <c r="L243" t="str">
        <f>DiscreteStatsTable[[#This Row],[ProjectName]]&amp;DiscreteStatsTable[[#This Row],[Name]]&amp;DiscreteStatsTable[[#This Row],[Type]]&amp;DiscreteStatsTable[[#This Row],[Source]]</f>
        <v>PacientesEntity 1Other TimeEntity</v>
      </c>
      <c r="M243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cm="1">
        <f t="array" ref="N243">IFERROR(AVERAGE(IF((DiscreteStatsTable[GroupByKey]=DiscreteStatsTable[[#This Row],[GroupByKey]]),(DiscreteStatsTable[GroupByKey]=DiscreteStatsTable[[#This Row],[GroupByKey]])*DiscreteStatsTable[Average])),0)</f>
        <v>0</v>
      </c>
      <c r="O243" cm="1">
        <f t="array" ref="O243">IFERROR(_xlfn.STDEV.S(IF((DiscreteStatsTable[GroupByKey]=DiscreteStatsTable[[#This Row],[GroupByKey]]),(DiscreteStatsTable[GroupByKey]=DiscreteStatsTable[[#This Row],[GroupByKey]])*DiscreteStatsTable[Average])),0)</f>
        <v>0</v>
      </c>
      <c r="P243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3" cm="1">
        <f t="array" ref="R243">MIN(IF((DiscreteStatsTable[GroupByKey]=DiscreteStatsTable[[#This Row],[GroupByKey]]),(DiscreteStatsTable[GroupByKey]=DiscreteStatsTable[[#This Row],[GroupByKey]])*DiscreteStatsTable[Average]))</f>
        <v>0</v>
      </c>
      <c r="S243" cm="1">
        <f t="array" ref="S243">MAX(IF((DiscreteStatsTable[GroupByKey]=DiscreteStatsTable[[#This Row],[GroupByKey]]),(DiscreteStatsTable[GroupByKey]=DiscreteStatsTable[[#This Row],[GroupByKey]])*DiscreteStatsTable[Average]))</f>
        <v>0</v>
      </c>
      <c r="T243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cm="1">
        <f t="array" ref="U243">MAX(IF((DiscreteStatsTable[GroupByKey]=DiscreteStatsTable[[#This Row],[GroupByKey]]),(DiscreteStatsTable[GroupByKey]=DiscreteStatsTable[[#This Row],[GroupByKey]])*DiscreteStatsTable[Maximum]))</f>
        <v>0</v>
      </c>
      <c r="V243" cm="1">
        <f t="array" ref="V24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3">
        <f>IF((DiscreteStatsTable[[#This Row],[RepsRequested]]&gt;1),DiscreteStatsTable[[#This Row],[HalfWidth]],DiscreteStatsTable[[#This Row],[BatchMeansHalfWidth]])</f>
        <v>0</v>
      </c>
      <c r="X243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131</v>
      </c>
      <c r="C244">
        <v>41</v>
      </c>
      <c r="D244" t="s">
        <v>70</v>
      </c>
      <c r="E244" t="s">
        <v>74</v>
      </c>
      <c r="F244" t="s">
        <v>72</v>
      </c>
      <c r="G244">
        <v>1.31070450560719</v>
      </c>
      <c r="H244">
        <v>0.204042606942649</v>
      </c>
      <c r="I244">
        <v>0.231158987675258</v>
      </c>
      <c r="J244">
        <v>12.758218320237001</v>
      </c>
      <c r="K244">
        <v>2335</v>
      </c>
      <c r="L244" t="str">
        <f>DiscreteStatsTable[[#This Row],[ProjectName]]&amp;DiscreteStatsTable[[#This Row],[Name]]&amp;DiscreteStatsTable[[#This Row],[Type]]&amp;DiscreteStatsTable[[#This Row],[Source]]</f>
        <v>PacientesEntity 1Total TimeEntity</v>
      </c>
      <c r="M244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cm="1">
        <f t="array" ref="N244">IFERROR(AVERAGE(IF((DiscreteStatsTable[GroupByKey]=DiscreteStatsTable[[#This Row],[GroupByKey]]),(DiscreteStatsTable[GroupByKey]=DiscreteStatsTable[[#This Row],[GroupByKey]])*DiscreteStatsTable[Average])),0)</f>
        <v>1.5029966070875795</v>
      </c>
      <c r="O244" cm="1">
        <f t="array" ref="O24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44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44" cm="1">
        <f t="array" ref="R244">MIN(IF((DiscreteStatsTable[GroupByKey]=DiscreteStatsTable[[#This Row],[GroupByKey]]),(DiscreteStatsTable[GroupByKey]=DiscreteStatsTable[[#This Row],[GroupByKey]])*DiscreteStatsTable[Average]))</f>
        <v>1.21830768607881</v>
      </c>
      <c r="S244" cm="1">
        <f t="array" ref="S244">MAX(IF((DiscreteStatsTable[GroupByKey]=DiscreteStatsTable[[#This Row],[GroupByKey]]),(DiscreteStatsTable[GroupByKey]=DiscreteStatsTable[[#This Row],[GroupByKey]])*DiscreteStatsTable[Average]))</f>
        <v>2.06387223343107</v>
      </c>
      <c r="T244" cm="1">
        <f t="array" ref="T244">MIN(IF((DiscreteStatsTable[GroupByKey]=DiscreteStatsTable[[#This Row],[GroupByKey]]),(DiscreteStatsTable[GroupByKey]=DiscreteStatsTable[[#This Row],[GroupByKey]])*DiscreteStatsTable[Minimum]))</f>
        <v>0.203133309337034</v>
      </c>
      <c r="U244" cm="1">
        <f t="array" ref="U244">MAX(IF((DiscreteStatsTable[GroupByKey]=DiscreteStatsTable[[#This Row],[GroupByKey]]),(DiscreteStatsTable[GroupByKey]=DiscreteStatsTable[[#This Row],[GroupByKey]])*DiscreteStatsTable[Maximum]))</f>
        <v>29.554686467573401</v>
      </c>
      <c r="V244" cm="1">
        <f t="array" ref="V24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4">
        <f>IF((DiscreteStatsTable[[#This Row],[RepsRequested]]&gt;1),DiscreteStatsTable[[#This Row],[HalfWidth]],DiscreteStatsTable[[#This Row],[BatchMeansHalfWidth]])</f>
        <v>6.1205265903720704E-2</v>
      </c>
      <c r="X244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131</v>
      </c>
      <c r="C245">
        <v>41</v>
      </c>
      <c r="D245" t="s">
        <v>70</v>
      </c>
      <c r="E245" t="s">
        <v>75</v>
      </c>
      <c r="F245" t="s">
        <v>72</v>
      </c>
      <c r="G245">
        <v>0</v>
      </c>
      <c r="H245">
        <v>0</v>
      </c>
      <c r="I245">
        <v>0</v>
      </c>
      <c r="J245">
        <v>0</v>
      </c>
      <c r="K245">
        <v>2335</v>
      </c>
      <c r="L245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4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cm="1">
        <f t="array" ref="V24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5">
        <f>IF((DiscreteStatsTable[[#This Row],[RepsRequested]]&gt;1),DiscreteStatsTable[[#This Row],[HalfWidth]],DiscreteStatsTable[[#This Row],[BatchMeansHalfWidth]])</f>
        <v>0</v>
      </c>
      <c r="X24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131</v>
      </c>
      <c r="C246">
        <v>41</v>
      </c>
      <c r="D246" t="s">
        <v>70</v>
      </c>
      <c r="E246" t="s">
        <v>76</v>
      </c>
      <c r="F246" t="s">
        <v>72</v>
      </c>
      <c r="G246">
        <v>0.63479825023405201</v>
      </c>
      <c r="H246">
        <v>1.1249270237789899E-2</v>
      </c>
      <c r="I246">
        <v>0.218493438563996</v>
      </c>
      <c r="J246">
        <v>1.5658119214538899</v>
      </c>
      <c r="K246">
        <v>2335</v>
      </c>
      <c r="L246" t="str">
        <f>DiscreteStatsTable[[#This Row],[ProjectName]]&amp;DiscreteStatsTable[[#This Row],[Name]]&amp;DiscreteStatsTable[[#This Row],[Type]]&amp;DiscreteStatsTable[[#This Row],[Source]]</f>
        <v>PacientesEntity 1VA TimeEntity</v>
      </c>
      <c r="M246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cm="1">
        <f t="array" ref="N246">IFERROR(AVERAGE(IF((DiscreteStatsTable[GroupByKey]=DiscreteStatsTable[[#This Row],[GroupByKey]]),(DiscreteStatsTable[GroupByKey]=DiscreteStatsTable[[#This Row],[GroupByKey]])*DiscreteStatsTable[Average])),0)</f>
        <v>0.63333757112184219</v>
      </c>
      <c r="O246" cm="1">
        <f t="array" ref="O246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46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46" cm="1">
        <f t="array" ref="R246">MIN(IF((DiscreteStatsTable[GroupByKey]=DiscreteStatsTable[[#This Row],[GroupByKey]]),(DiscreteStatsTable[GroupByKey]=DiscreteStatsTable[[#This Row],[GroupByKey]])*DiscreteStatsTable[Average]))</f>
        <v>0.62319357082308402</v>
      </c>
      <c r="S246" cm="1">
        <f t="array" ref="S246">MAX(IF((DiscreteStatsTable[GroupByKey]=DiscreteStatsTable[[#This Row],[GroupByKey]]),(DiscreteStatsTable[GroupByKey]=DiscreteStatsTable[[#This Row],[GroupByKey]])*DiscreteStatsTable[Average]))</f>
        <v>0.64452003514622502</v>
      </c>
      <c r="T246" cm="1">
        <f t="array" ref="T246">MIN(IF((DiscreteStatsTable[GroupByKey]=DiscreteStatsTable[[#This Row],[GroupByKey]]),(DiscreteStatsTable[GroupByKey]=DiscreteStatsTable[[#This Row],[GroupByKey]])*DiscreteStatsTable[Minimum]))</f>
        <v>0.203133309337034</v>
      </c>
      <c r="U246" cm="1">
        <f t="array" ref="U246">MAX(IF((DiscreteStatsTable[GroupByKey]=DiscreteStatsTable[[#This Row],[GroupByKey]]),(DiscreteStatsTable[GroupByKey]=DiscreteStatsTable[[#This Row],[GroupByKey]])*DiscreteStatsTable[Maximum]))</f>
        <v>1.5939517145847</v>
      </c>
      <c r="V246" cm="1">
        <f t="array" ref="V24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6">
        <f>IF((DiscreteStatsTable[[#This Row],[RepsRequested]]&gt;1),DiscreteStatsTable[[#This Row],[HalfWidth]],DiscreteStatsTable[[#This Row],[BatchMeansHalfWidth]])</f>
        <v>1.276828436655964E-3</v>
      </c>
      <c r="X246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131</v>
      </c>
      <c r="C247">
        <v>41</v>
      </c>
      <c r="D247" t="s">
        <v>70</v>
      </c>
      <c r="E247" t="s">
        <v>77</v>
      </c>
      <c r="F247" t="s">
        <v>72</v>
      </c>
      <c r="G247">
        <v>0.67590625537313997</v>
      </c>
      <c r="H247">
        <v>0.20204799189243</v>
      </c>
      <c r="I247">
        <v>0</v>
      </c>
      <c r="J247">
        <v>12.4666541367666</v>
      </c>
      <c r="K247">
        <v>2335</v>
      </c>
      <c r="L247" t="str">
        <f>DiscreteStatsTable[[#This Row],[ProjectName]]&amp;DiscreteStatsTable[[#This Row],[Name]]&amp;DiscreteStatsTable[[#This Row],[Type]]&amp;DiscreteStatsTable[[#This Row],[Source]]</f>
        <v>PacientesEntity 1Wait TimeEntity</v>
      </c>
      <c r="M247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cm="1">
        <f t="array" ref="N247">IFERROR(AVERAGE(IF((DiscreteStatsTable[GroupByKey]=DiscreteStatsTable[[#This Row],[GroupByKey]]),(DiscreteStatsTable[GroupByKey]=DiscreteStatsTable[[#This Row],[GroupByKey]])*DiscreteStatsTable[Average])),0)</f>
        <v>0.86965903596573602</v>
      </c>
      <c r="O247" cm="1">
        <f t="array" ref="O247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47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47" cm="1">
        <f t="array" ref="R247">MIN(IF((DiscreteStatsTable[GroupByKey]=DiscreteStatsTable[[#This Row],[GroupByKey]]),(DiscreteStatsTable[GroupByKey]=DiscreteStatsTable[[#This Row],[GroupByKey]])*DiscreteStatsTable[Average]))</f>
        <v>0.58431254303614699</v>
      </c>
      <c r="S247" cm="1">
        <f t="array" ref="S247">MAX(IF((DiscreteStatsTable[GroupByKey]=DiscreteStatsTable[[#This Row],[GroupByKey]]),(DiscreteStatsTable[GroupByKey]=DiscreteStatsTable[[#This Row],[GroupByKey]])*DiscreteStatsTable[Average]))</f>
        <v>1.42140669319588</v>
      </c>
      <c r="T247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cm="1">
        <f t="array" ref="U247">MAX(IF((DiscreteStatsTable[GroupByKey]=DiscreteStatsTable[[#This Row],[GroupByKey]]),(DiscreteStatsTable[GroupByKey]=DiscreteStatsTable[[#This Row],[GroupByKey]])*DiscreteStatsTable[Maximum]))</f>
        <v>28.983199492767199</v>
      </c>
      <c r="V247" cm="1">
        <f t="array" ref="V24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7">
        <f>IF((DiscreteStatsTable[[#This Row],[RepsRequested]]&gt;1),DiscreteStatsTable[[#This Row],[HalfWidth]],DiscreteStatsTable[[#This Row],[BatchMeansHalfWidth]])</f>
        <v>6.0911976702528743E-2</v>
      </c>
      <c r="X247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131</v>
      </c>
      <c r="C248">
        <v>42</v>
      </c>
      <c r="D248" t="s">
        <v>70</v>
      </c>
      <c r="E248" t="s">
        <v>71</v>
      </c>
      <c r="F248" t="s">
        <v>72</v>
      </c>
      <c r="G248">
        <v>0</v>
      </c>
      <c r="H248">
        <v>0</v>
      </c>
      <c r="I248">
        <v>0</v>
      </c>
      <c r="J248">
        <v>0</v>
      </c>
      <c r="K248">
        <v>2421</v>
      </c>
      <c r="L248" t="str">
        <f>DiscreteStatsTable[[#This Row],[ProjectName]]&amp;DiscreteStatsTable[[#This Row],[Name]]&amp;DiscreteStatsTable[[#This Row],[Type]]&amp;DiscreteStatsTable[[#This Row],[Source]]</f>
        <v>PacientesEntity 1NVA TimeEntity</v>
      </c>
      <c r="M248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cm="1">
        <f t="array" ref="N248">IFERROR(AVERAGE(IF((DiscreteStatsTable[GroupByKey]=DiscreteStatsTable[[#This Row],[GroupByKey]]),(DiscreteStatsTable[GroupByKey]=DiscreteStatsTable[[#This Row],[GroupByKey]])*DiscreteStatsTable[Average])),0)</f>
        <v>0</v>
      </c>
      <c r="O248" cm="1">
        <f t="array" ref="O248">IFERROR(_xlfn.STDEV.S(IF((DiscreteStatsTable[GroupByKey]=DiscreteStatsTable[[#This Row],[GroupByKey]]),(DiscreteStatsTable[GroupByKey]=DiscreteStatsTable[[#This Row],[GroupByKey]])*DiscreteStatsTable[Average])),0)</f>
        <v>0</v>
      </c>
      <c r="P248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8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cm="1">
        <f t="array" ref="S248">MAX(IF((DiscreteStatsTable[GroupByKey]=DiscreteStatsTable[[#This Row],[GroupByKey]]),(DiscreteStatsTable[GroupByKey]=DiscreteStatsTable[[#This Row],[GroupByKey]])*DiscreteStatsTable[Average]))</f>
        <v>0</v>
      </c>
      <c r="T248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cm="1">
        <f t="array" ref="U248">MAX(IF((DiscreteStatsTable[GroupByKey]=DiscreteStatsTable[[#This Row],[GroupByKey]]),(DiscreteStatsTable[GroupByKey]=DiscreteStatsTable[[#This Row],[GroupByKey]])*DiscreteStatsTable[Maximum]))</f>
        <v>0</v>
      </c>
      <c r="V248" cm="1">
        <f t="array" ref="V24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8">
        <f>IF((DiscreteStatsTable[[#This Row],[RepsRequested]]&gt;1),DiscreteStatsTable[[#This Row],[HalfWidth]],DiscreteStatsTable[[#This Row],[BatchMeansHalfWidth]])</f>
        <v>0</v>
      </c>
      <c r="X248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131</v>
      </c>
      <c r="C249">
        <v>42</v>
      </c>
      <c r="D249" t="s">
        <v>70</v>
      </c>
      <c r="E249" t="s">
        <v>73</v>
      </c>
      <c r="F249" t="s">
        <v>72</v>
      </c>
      <c r="G249">
        <v>0</v>
      </c>
      <c r="H249">
        <v>0</v>
      </c>
      <c r="I249">
        <v>0</v>
      </c>
      <c r="J249">
        <v>0</v>
      </c>
      <c r="K249">
        <v>2421</v>
      </c>
      <c r="L249" t="str">
        <f>DiscreteStatsTable[[#This Row],[ProjectName]]&amp;DiscreteStatsTable[[#This Row],[Name]]&amp;DiscreteStatsTable[[#This Row],[Type]]&amp;DiscreteStatsTable[[#This Row],[Source]]</f>
        <v>PacientesEntity 1Other TimeEntity</v>
      </c>
      <c r="M249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cm="1">
        <f t="array" ref="N249">IFERROR(AVERAGE(IF((DiscreteStatsTable[GroupByKey]=DiscreteStatsTable[[#This Row],[GroupByKey]]),(DiscreteStatsTable[GroupByKey]=DiscreteStatsTable[[#This Row],[GroupByKey]])*DiscreteStatsTable[Average])),0)</f>
        <v>0</v>
      </c>
      <c r="O249" cm="1">
        <f t="array" ref="O249">IFERROR(_xlfn.STDEV.S(IF((DiscreteStatsTable[GroupByKey]=DiscreteStatsTable[[#This Row],[GroupByKey]]),(DiscreteStatsTable[GroupByKey]=DiscreteStatsTable[[#This Row],[GroupByKey]])*DiscreteStatsTable[Average])),0)</f>
        <v>0</v>
      </c>
      <c r="P249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9" cm="1">
        <f t="array" ref="R249">MIN(IF((DiscreteStatsTable[GroupByKey]=DiscreteStatsTable[[#This Row],[GroupByKey]]),(DiscreteStatsTable[GroupByKey]=DiscreteStatsTable[[#This Row],[GroupByKey]])*DiscreteStatsTable[Average]))</f>
        <v>0</v>
      </c>
      <c r="S249" cm="1">
        <f t="array" ref="S249">MAX(IF((DiscreteStatsTable[GroupByKey]=DiscreteStatsTable[[#This Row],[GroupByKey]]),(DiscreteStatsTable[GroupByKey]=DiscreteStatsTable[[#This Row],[GroupByKey]])*DiscreteStatsTable[Average]))</f>
        <v>0</v>
      </c>
      <c r="T249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cm="1">
        <f t="array" ref="U249">MAX(IF((DiscreteStatsTable[GroupByKey]=DiscreteStatsTable[[#This Row],[GroupByKey]]),(DiscreteStatsTable[GroupByKey]=DiscreteStatsTable[[#This Row],[GroupByKey]])*DiscreteStatsTable[Maximum]))</f>
        <v>0</v>
      </c>
      <c r="V249" cm="1">
        <f t="array" ref="V24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49">
        <f>IF((DiscreteStatsTable[[#This Row],[RepsRequested]]&gt;1),DiscreteStatsTable[[#This Row],[HalfWidth]],DiscreteStatsTable[[#This Row],[BatchMeansHalfWidth]])</f>
        <v>0</v>
      </c>
      <c r="X249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131</v>
      </c>
      <c r="C250">
        <v>42</v>
      </c>
      <c r="D250" t="s">
        <v>70</v>
      </c>
      <c r="E250" t="s">
        <v>74</v>
      </c>
      <c r="F250" t="s">
        <v>72</v>
      </c>
      <c r="G250">
        <v>1.4093685831470899</v>
      </c>
      <c r="H250">
        <v>3E+20</v>
      </c>
      <c r="I250">
        <v>0.27286426164494099</v>
      </c>
      <c r="J250">
        <v>15.4434518189065</v>
      </c>
      <c r="K250">
        <v>2421</v>
      </c>
      <c r="L250" t="str">
        <f>DiscreteStatsTable[[#This Row],[ProjectName]]&amp;DiscreteStatsTable[[#This Row],[Name]]&amp;DiscreteStatsTable[[#This Row],[Type]]&amp;DiscreteStatsTable[[#This Row],[Source]]</f>
        <v>PacientesEntity 1Total TimeEntity</v>
      </c>
      <c r="M250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cm="1">
        <f t="array" ref="N250">IFERROR(AVERAGE(IF((DiscreteStatsTable[GroupByKey]=DiscreteStatsTable[[#This Row],[GroupByKey]]),(DiscreteStatsTable[GroupByKey]=DiscreteStatsTable[[#This Row],[GroupByKey]])*DiscreteStatsTable[Average])),0)</f>
        <v>1.5029966070875795</v>
      </c>
      <c r="O250" cm="1">
        <f t="array" ref="O25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50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50" cm="1">
        <f t="array" ref="R250">MIN(IF((DiscreteStatsTable[GroupByKey]=DiscreteStatsTable[[#This Row],[GroupByKey]]),(DiscreteStatsTable[GroupByKey]=DiscreteStatsTable[[#This Row],[GroupByKey]])*DiscreteStatsTable[Average]))</f>
        <v>1.21830768607881</v>
      </c>
      <c r="S250" cm="1">
        <f t="array" ref="S250">MAX(IF((DiscreteStatsTable[GroupByKey]=DiscreteStatsTable[[#This Row],[GroupByKey]]),(DiscreteStatsTable[GroupByKey]=DiscreteStatsTable[[#This Row],[GroupByKey]])*DiscreteStatsTable[Average]))</f>
        <v>2.06387223343107</v>
      </c>
      <c r="T250" cm="1">
        <f t="array" ref="T250">MIN(IF((DiscreteStatsTable[GroupByKey]=DiscreteStatsTable[[#This Row],[GroupByKey]]),(DiscreteStatsTable[GroupByKey]=DiscreteStatsTable[[#This Row],[GroupByKey]])*DiscreteStatsTable[Minimum]))</f>
        <v>0.203133309337034</v>
      </c>
      <c r="U250" cm="1">
        <f t="array" ref="U250">MAX(IF((DiscreteStatsTable[GroupByKey]=DiscreteStatsTable[[#This Row],[GroupByKey]]),(DiscreteStatsTable[GroupByKey]=DiscreteStatsTable[[#This Row],[GroupByKey]])*DiscreteStatsTable[Maximum]))</f>
        <v>29.554686467573401</v>
      </c>
      <c r="V250" cm="1">
        <f t="array" ref="V25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0">
        <f>IF((DiscreteStatsTable[[#This Row],[RepsRequested]]&gt;1),DiscreteStatsTable[[#This Row],[HalfWidth]],DiscreteStatsTable[[#This Row],[BatchMeansHalfWidth]])</f>
        <v>6.1205265903720704E-2</v>
      </c>
      <c r="X250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131</v>
      </c>
      <c r="C251">
        <v>42</v>
      </c>
      <c r="D251" t="s">
        <v>70</v>
      </c>
      <c r="E251" t="s">
        <v>75</v>
      </c>
      <c r="F251" t="s">
        <v>72</v>
      </c>
      <c r="G251">
        <v>0</v>
      </c>
      <c r="H251">
        <v>0</v>
      </c>
      <c r="I251">
        <v>0</v>
      </c>
      <c r="J251">
        <v>0</v>
      </c>
      <c r="K251">
        <v>2421</v>
      </c>
      <c r="L251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51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cm="1">
        <f t="array" ref="V25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1">
        <f>IF((DiscreteStatsTable[[#This Row],[RepsRequested]]&gt;1),DiscreteStatsTable[[#This Row],[HalfWidth]],DiscreteStatsTable[[#This Row],[BatchMeansHalfWidth]])</f>
        <v>0</v>
      </c>
      <c r="X251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131</v>
      </c>
      <c r="C252">
        <v>42</v>
      </c>
      <c r="D252" t="s">
        <v>70</v>
      </c>
      <c r="E252" t="s">
        <v>76</v>
      </c>
      <c r="F252" t="s">
        <v>72</v>
      </c>
      <c r="G252">
        <v>0.62319357082308402</v>
      </c>
      <c r="H252">
        <v>3E+20</v>
      </c>
      <c r="I252">
        <v>0.234216268599653</v>
      </c>
      <c r="J252">
        <v>1.5718712749341499</v>
      </c>
      <c r="K252">
        <v>2421</v>
      </c>
      <c r="L252" t="str">
        <f>DiscreteStatsTable[[#This Row],[ProjectName]]&amp;DiscreteStatsTable[[#This Row],[Name]]&amp;DiscreteStatsTable[[#This Row],[Type]]&amp;DiscreteStatsTable[[#This Row],[Source]]</f>
        <v>PacientesEntity 1VA TimeEntity</v>
      </c>
      <c r="M252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cm="1">
        <f t="array" ref="N252">IFERROR(AVERAGE(IF((DiscreteStatsTable[GroupByKey]=DiscreteStatsTable[[#This Row],[GroupByKey]]),(DiscreteStatsTable[GroupByKey]=DiscreteStatsTable[[#This Row],[GroupByKey]])*DiscreteStatsTable[Average])),0)</f>
        <v>0.63333757112184219</v>
      </c>
      <c r="O252" cm="1">
        <f t="array" ref="O252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52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52" cm="1">
        <f t="array" ref="R252">MIN(IF((DiscreteStatsTable[GroupByKey]=DiscreteStatsTable[[#This Row],[GroupByKey]]),(DiscreteStatsTable[GroupByKey]=DiscreteStatsTable[[#This Row],[GroupByKey]])*DiscreteStatsTable[Average]))</f>
        <v>0.62319357082308402</v>
      </c>
      <c r="S252" cm="1">
        <f t="array" ref="S252">MAX(IF((DiscreteStatsTable[GroupByKey]=DiscreteStatsTable[[#This Row],[GroupByKey]]),(DiscreteStatsTable[GroupByKey]=DiscreteStatsTable[[#This Row],[GroupByKey]])*DiscreteStatsTable[Average]))</f>
        <v>0.64452003514622502</v>
      </c>
      <c r="T252" cm="1">
        <f t="array" ref="T252">MIN(IF((DiscreteStatsTable[GroupByKey]=DiscreteStatsTable[[#This Row],[GroupByKey]]),(DiscreteStatsTable[GroupByKey]=DiscreteStatsTable[[#This Row],[GroupByKey]])*DiscreteStatsTable[Minimum]))</f>
        <v>0.203133309337034</v>
      </c>
      <c r="U252" cm="1">
        <f t="array" ref="U252">MAX(IF((DiscreteStatsTable[GroupByKey]=DiscreteStatsTable[[#This Row],[GroupByKey]]),(DiscreteStatsTable[GroupByKey]=DiscreteStatsTable[[#This Row],[GroupByKey]])*DiscreteStatsTable[Maximum]))</f>
        <v>1.5939517145847</v>
      </c>
      <c r="V252" cm="1">
        <f t="array" ref="V25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2">
        <f>IF((DiscreteStatsTable[[#This Row],[RepsRequested]]&gt;1),DiscreteStatsTable[[#This Row],[HalfWidth]],DiscreteStatsTable[[#This Row],[BatchMeansHalfWidth]])</f>
        <v>1.276828436655964E-3</v>
      </c>
      <c r="X252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131</v>
      </c>
      <c r="C253">
        <v>42</v>
      </c>
      <c r="D253" t="s">
        <v>70</v>
      </c>
      <c r="E253" t="s">
        <v>77</v>
      </c>
      <c r="F253" t="s">
        <v>72</v>
      </c>
      <c r="G253">
        <v>0.786175012324005</v>
      </c>
      <c r="H253">
        <v>3E+20</v>
      </c>
      <c r="I253">
        <v>0</v>
      </c>
      <c r="J253">
        <v>15.103764369289699</v>
      </c>
      <c r="K253">
        <v>2421</v>
      </c>
      <c r="L253" t="str">
        <f>DiscreteStatsTable[[#This Row],[ProjectName]]&amp;DiscreteStatsTable[[#This Row],[Name]]&amp;DiscreteStatsTable[[#This Row],[Type]]&amp;DiscreteStatsTable[[#This Row],[Source]]</f>
        <v>PacientesEntity 1Wait TimeEntity</v>
      </c>
      <c r="M253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cm="1">
        <f t="array" ref="N253">IFERROR(AVERAGE(IF((DiscreteStatsTable[GroupByKey]=DiscreteStatsTable[[#This Row],[GroupByKey]]),(DiscreteStatsTable[GroupByKey]=DiscreteStatsTable[[#This Row],[GroupByKey]])*DiscreteStatsTable[Average])),0)</f>
        <v>0.86965903596573602</v>
      </c>
      <c r="O253" cm="1">
        <f t="array" ref="O253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53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53" cm="1">
        <f t="array" ref="R253">MIN(IF((DiscreteStatsTable[GroupByKey]=DiscreteStatsTable[[#This Row],[GroupByKey]]),(DiscreteStatsTable[GroupByKey]=DiscreteStatsTable[[#This Row],[GroupByKey]])*DiscreteStatsTable[Average]))</f>
        <v>0.58431254303614699</v>
      </c>
      <c r="S253" cm="1">
        <f t="array" ref="S253">MAX(IF((DiscreteStatsTable[GroupByKey]=DiscreteStatsTable[[#This Row],[GroupByKey]]),(DiscreteStatsTable[GroupByKey]=DiscreteStatsTable[[#This Row],[GroupByKey]])*DiscreteStatsTable[Average]))</f>
        <v>1.42140669319588</v>
      </c>
      <c r="T253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cm="1">
        <f t="array" ref="U253">MAX(IF((DiscreteStatsTable[GroupByKey]=DiscreteStatsTable[[#This Row],[GroupByKey]]),(DiscreteStatsTable[GroupByKey]=DiscreteStatsTable[[#This Row],[GroupByKey]])*DiscreteStatsTable[Maximum]))</f>
        <v>28.983199492767199</v>
      </c>
      <c r="V253" cm="1">
        <f t="array" ref="V25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3">
        <f>IF((DiscreteStatsTable[[#This Row],[RepsRequested]]&gt;1),DiscreteStatsTable[[#This Row],[HalfWidth]],DiscreteStatsTable[[#This Row],[BatchMeansHalfWidth]])</f>
        <v>6.0911976702528743E-2</v>
      </c>
      <c r="X253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131</v>
      </c>
      <c r="C254">
        <v>43</v>
      </c>
      <c r="D254" t="s">
        <v>70</v>
      </c>
      <c r="E254" t="s">
        <v>71</v>
      </c>
      <c r="F254" t="s">
        <v>72</v>
      </c>
      <c r="G254">
        <v>0</v>
      </c>
      <c r="H254">
        <v>0</v>
      </c>
      <c r="I254">
        <v>0</v>
      </c>
      <c r="J254">
        <v>0</v>
      </c>
      <c r="K254">
        <v>2363</v>
      </c>
      <c r="L254" t="str">
        <f>DiscreteStatsTable[[#This Row],[ProjectName]]&amp;DiscreteStatsTable[[#This Row],[Name]]&amp;DiscreteStatsTable[[#This Row],[Type]]&amp;DiscreteStatsTable[[#This Row],[Source]]</f>
        <v>PacientesEntity 1NVA TimeEntity</v>
      </c>
      <c r="M254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cm="1">
        <f t="array" ref="N254">IFERROR(AVERAGE(IF((DiscreteStatsTable[GroupByKey]=DiscreteStatsTable[[#This Row],[GroupByKey]]),(DiscreteStatsTable[GroupByKey]=DiscreteStatsTable[[#This Row],[GroupByKey]])*DiscreteStatsTable[Average])),0)</f>
        <v>0</v>
      </c>
      <c r="O254" cm="1">
        <f t="array" ref="O254">IFERROR(_xlfn.STDEV.S(IF((DiscreteStatsTable[GroupByKey]=DiscreteStatsTable[[#This Row],[GroupByKey]]),(DiscreteStatsTable[GroupByKey]=DiscreteStatsTable[[#This Row],[GroupByKey]])*DiscreteStatsTable[Average])),0)</f>
        <v>0</v>
      </c>
      <c r="P254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4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cm="1">
        <f t="array" ref="S254">MAX(IF((DiscreteStatsTable[GroupByKey]=DiscreteStatsTable[[#This Row],[GroupByKey]]),(DiscreteStatsTable[GroupByKey]=DiscreteStatsTable[[#This Row],[GroupByKey]])*DiscreteStatsTable[Average]))</f>
        <v>0</v>
      </c>
      <c r="T254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cm="1">
        <f t="array" ref="U254">MAX(IF((DiscreteStatsTable[GroupByKey]=DiscreteStatsTable[[#This Row],[GroupByKey]]),(DiscreteStatsTable[GroupByKey]=DiscreteStatsTable[[#This Row],[GroupByKey]])*DiscreteStatsTable[Maximum]))</f>
        <v>0</v>
      </c>
      <c r="V254" cm="1">
        <f t="array" ref="V25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4">
        <f>IF((DiscreteStatsTable[[#This Row],[RepsRequested]]&gt;1),DiscreteStatsTable[[#This Row],[HalfWidth]],DiscreteStatsTable[[#This Row],[BatchMeansHalfWidth]])</f>
        <v>0</v>
      </c>
      <c r="X254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131</v>
      </c>
      <c r="C255">
        <v>43</v>
      </c>
      <c r="D255" t="s">
        <v>70</v>
      </c>
      <c r="E255" t="s">
        <v>73</v>
      </c>
      <c r="F255" t="s">
        <v>72</v>
      </c>
      <c r="G255">
        <v>0</v>
      </c>
      <c r="H255">
        <v>0</v>
      </c>
      <c r="I255">
        <v>0</v>
      </c>
      <c r="J255">
        <v>0</v>
      </c>
      <c r="K255">
        <v>2363</v>
      </c>
      <c r="L255" t="str">
        <f>DiscreteStatsTable[[#This Row],[ProjectName]]&amp;DiscreteStatsTable[[#This Row],[Name]]&amp;DiscreteStatsTable[[#This Row],[Type]]&amp;DiscreteStatsTable[[#This Row],[Source]]</f>
        <v>PacientesEntity 1Other TimeEntity</v>
      </c>
      <c r="M25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cm="1">
        <f t="array" ref="N255">IFERROR(AVERAGE(IF((DiscreteStatsTable[GroupByKey]=DiscreteStatsTable[[#This Row],[GroupByKey]]),(DiscreteStatsTable[GroupByKey]=DiscreteStatsTable[[#This Row],[GroupByKey]])*DiscreteStatsTable[Average])),0)</f>
        <v>0</v>
      </c>
      <c r="O255" cm="1">
        <f t="array" ref="O255">IFERROR(_xlfn.STDEV.S(IF((DiscreteStatsTable[GroupByKey]=DiscreteStatsTable[[#This Row],[GroupByKey]]),(DiscreteStatsTable[GroupByKey]=DiscreteStatsTable[[#This Row],[GroupByKey]])*DiscreteStatsTable[Average])),0)</f>
        <v>0</v>
      </c>
      <c r="P25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5" cm="1">
        <f t="array" ref="R255">MIN(IF((DiscreteStatsTable[GroupByKey]=DiscreteStatsTable[[#This Row],[GroupByKey]]),(DiscreteStatsTable[GroupByKey]=DiscreteStatsTable[[#This Row],[GroupByKey]])*DiscreteStatsTable[Average]))</f>
        <v>0</v>
      </c>
      <c r="S255" cm="1">
        <f t="array" ref="S255">MAX(IF((DiscreteStatsTable[GroupByKey]=DiscreteStatsTable[[#This Row],[GroupByKey]]),(DiscreteStatsTable[GroupByKey]=DiscreteStatsTable[[#This Row],[GroupByKey]])*DiscreteStatsTable[Average]))</f>
        <v>0</v>
      </c>
      <c r="T25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cm="1">
        <f t="array" ref="U255">MAX(IF((DiscreteStatsTable[GroupByKey]=DiscreteStatsTable[[#This Row],[GroupByKey]]),(DiscreteStatsTable[GroupByKey]=DiscreteStatsTable[[#This Row],[GroupByKey]])*DiscreteStatsTable[Maximum]))</f>
        <v>0</v>
      </c>
      <c r="V255" cm="1">
        <f t="array" ref="V25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5">
        <f>IF((DiscreteStatsTable[[#This Row],[RepsRequested]]&gt;1),DiscreteStatsTable[[#This Row],[HalfWidth]],DiscreteStatsTable[[#This Row],[BatchMeansHalfWidth]])</f>
        <v>0</v>
      </c>
      <c r="X25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131</v>
      </c>
      <c r="C256">
        <v>43</v>
      </c>
      <c r="D256" t="s">
        <v>70</v>
      </c>
      <c r="E256" t="s">
        <v>74</v>
      </c>
      <c r="F256" t="s">
        <v>72</v>
      </c>
      <c r="G256">
        <v>1.4104262520833299</v>
      </c>
      <c r="H256">
        <v>3E+20</v>
      </c>
      <c r="I256">
        <v>0.24585752805967301</v>
      </c>
      <c r="J256">
        <v>13.518838976587</v>
      </c>
      <c r="K256">
        <v>2363</v>
      </c>
      <c r="L256" t="str">
        <f>DiscreteStatsTable[[#This Row],[ProjectName]]&amp;DiscreteStatsTable[[#This Row],[Name]]&amp;DiscreteStatsTable[[#This Row],[Type]]&amp;DiscreteStatsTable[[#This Row],[Source]]</f>
        <v>PacientesEntity 1Total TimeEntity</v>
      </c>
      <c r="M256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cm="1">
        <f t="array" ref="N256">IFERROR(AVERAGE(IF((DiscreteStatsTable[GroupByKey]=DiscreteStatsTable[[#This Row],[GroupByKey]]),(DiscreteStatsTable[GroupByKey]=DiscreteStatsTable[[#This Row],[GroupByKey]])*DiscreteStatsTable[Average])),0)</f>
        <v>1.5029966070875795</v>
      </c>
      <c r="O256" cm="1">
        <f t="array" ref="O25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56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56" cm="1">
        <f t="array" ref="R256">MIN(IF((DiscreteStatsTable[GroupByKey]=DiscreteStatsTable[[#This Row],[GroupByKey]]),(DiscreteStatsTable[GroupByKey]=DiscreteStatsTable[[#This Row],[GroupByKey]])*DiscreteStatsTable[Average]))</f>
        <v>1.21830768607881</v>
      </c>
      <c r="S256" cm="1">
        <f t="array" ref="S256">MAX(IF((DiscreteStatsTable[GroupByKey]=DiscreteStatsTable[[#This Row],[GroupByKey]]),(DiscreteStatsTable[GroupByKey]=DiscreteStatsTable[[#This Row],[GroupByKey]])*DiscreteStatsTable[Average]))</f>
        <v>2.06387223343107</v>
      </c>
      <c r="T256" cm="1">
        <f t="array" ref="T256">MIN(IF((DiscreteStatsTable[GroupByKey]=DiscreteStatsTable[[#This Row],[GroupByKey]]),(DiscreteStatsTable[GroupByKey]=DiscreteStatsTable[[#This Row],[GroupByKey]])*DiscreteStatsTable[Minimum]))</f>
        <v>0.203133309337034</v>
      </c>
      <c r="U256" cm="1">
        <f t="array" ref="U256">MAX(IF((DiscreteStatsTable[GroupByKey]=DiscreteStatsTable[[#This Row],[GroupByKey]]),(DiscreteStatsTable[GroupByKey]=DiscreteStatsTable[[#This Row],[GroupByKey]])*DiscreteStatsTable[Maximum]))</f>
        <v>29.554686467573401</v>
      </c>
      <c r="V256" cm="1">
        <f t="array" ref="V25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6">
        <f>IF((DiscreteStatsTable[[#This Row],[RepsRequested]]&gt;1),DiscreteStatsTable[[#This Row],[HalfWidth]],DiscreteStatsTable[[#This Row],[BatchMeansHalfWidth]])</f>
        <v>6.1205265903720704E-2</v>
      </c>
      <c r="X256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131</v>
      </c>
      <c r="C257">
        <v>43</v>
      </c>
      <c r="D257" t="s">
        <v>70</v>
      </c>
      <c r="E257" t="s">
        <v>75</v>
      </c>
      <c r="F257" t="s">
        <v>72</v>
      </c>
      <c r="G257">
        <v>0</v>
      </c>
      <c r="H257">
        <v>0</v>
      </c>
      <c r="I257">
        <v>0</v>
      </c>
      <c r="J257">
        <v>0</v>
      </c>
      <c r="K257">
        <v>2363</v>
      </c>
      <c r="L257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57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cm="1">
        <f t="array" ref="V25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7">
        <f>IF((DiscreteStatsTable[[#This Row],[RepsRequested]]&gt;1),DiscreteStatsTable[[#This Row],[HalfWidth]],DiscreteStatsTable[[#This Row],[BatchMeansHalfWidth]])</f>
        <v>0</v>
      </c>
      <c r="X257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131</v>
      </c>
      <c r="C258">
        <v>43</v>
      </c>
      <c r="D258" t="s">
        <v>70</v>
      </c>
      <c r="E258" t="s">
        <v>76</v>
      </c>
      <c r="F258" t="s">
        <v>72</v>
      </c>
      <c r="G258">
        <v>0.63285318443784599</v>
      </c>
      <c r="H258">
        <v>9.4957417074081896E-3</v>
      </c>
      <c r="I258">
        <v>0.22999436193038</v>
      </c>
      <c r="J258">
        <v>1.5910602431404199</v>
      </c>
      <c r="K258">
        <v>2363</v>
      </c>
      <c r="L258" t="str">
        <f>DiscreteStatsTable[[#This Row],[ProjectName]]&amp;DiscreteStatsTable[[#This Row],[Name]]&amp;DiscreteStatsTable[[#This Row],[Type]]&amp;DiscreteStatsTable[[#This Row],[Source]]</f>
        <v>PacientesEntity 1VA TimeEntity</v>
      </c>
      <c r="M258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cm="1">
        <f t="array" ref="N258">IFERROR(AVERAGE(IF((DiscreteStatsTable[GroupByKey]=DiscreteStatsTable[[#This Row],[GroupByKey]]),(DiscreteStatsTable[GroupByKey]=DiscreteStatsTable[[#This Row],[GroupByKey]])*DiscreteStatsTable[Average])),0)</f>
        <v>0.63333757112184219</v>
      </c>
      <c r="O258" cm="1">
        <f t="array" ref="O258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58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58" cm="1">
        <f t="array" ref="R258">MIN(IF((DiscreteStatsTable[GroupByKey]=DiscreteStatsTable[[#This Row],[GroupByKey]]),(DiscreteStatsTable[GroupByKey]=DiscreteStatsTable[[#This Row],[GroupByKey]])*DiscreteStatsTable[Average]))</f>
        <v>0.62319357082308402</v>
      </c>
      <c r="S258" cm="1">
        <f t="array" ref="S258">MAX(IF((DiscreteStatsTable[GroupByKey]=DiscreteStatsTable[[#This Row],[GroupByKey]]),(DiscreteStatsTable[GroupByKey]=DiscreteStatsTable[[#This Row],[GroupByKey]])*DiscreteStatsTable[Average]))</f>
        <v>0.64452003514622502</v>
      </c>
      <c r="T258" cm="1">
        <f t="array" ref="T258">MIN(IF((DiscreteStatsTable[GroupByKey]=DiscreteStatsTable[[#This Row],[GroupByKey]]),(DiscreteStatsTable[GroupByKey]=DiscreteStatsTable[[#This Row],[GroupByKey]])*DiscreteStatsTable[Minimum]))</f>
        <v>0.203133309337034</v>
      </c>
      <c r="U258" cm="1">
        <f t="array" ref="U258">MAX(IF((DiscreteStatsTable[GroupByKey]=DiscreteStatsTable[[#This Row],[GroupByKey]]),(DiscreteStatsTable[GroupByKey]=DiscreteStatsTable[[#This Row],[GroupByKey]])*DiscreteStatsTable[Maximum]))</f>
        <v>1.5939517145847</v>
      </c>
      <c r="V258" cm="1">
        <f t="array" ref="V25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8">
        <f>IF((DiscreteStatsTable[[#This Row],[RepsRequested]]&gt;1),DiscreteStatsTable[[#This Row],[HalfWidth]],DiscreteStatsTable[[#This Row],[BatchMeansHalfWidth]])</f>
        <v>1.276828436655964E-3</v>
      </c>
      <c r="X258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131</v>
      </c>
      <c r="C259">
        <v>43</v>
      </c>
      <c r="D259" t="s">
        <v>70</v>
      </c>
      <c r="E259" t="s">
        <v>77</v>
      </c>
      <c r="F259" t="s">
        <v>72</v>
      </c>
      <c r="G259">
        <v>0.77757306764548495</v>
      </c>
      <c r="H259">
        <v>3E+20</v>
      </c>
      <c r="I259">
        <v>0</v>
      </c>
      <c r="J259">
        <v>12.889516356199399</v>
      </c>
      <c r="K259">
        <v>2363</v>
      </c>
      <c r="L259" t="str">
        <f>DiscreteStatsTable[[#This Row],[ProjectName]]&amp;DiscreteStatsTable[[#This Row],[Name]]&amp;DiscreteStatsTable[[#This Row],[Type]]&amp;DiscreteStatsTable[[#This Row],[Source]]</f>
        <v>PacientesEntity 1Wait TimeEntity</v>
      </c>
      <c r="M259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cm="1">
        <f t="array" ref="N259">IFERROR(AVERAGE(IF((DiscreteStatsTable[GroupByKey]=DiscreteStatsTable[[#This Row],[GroupByKey]]),(DiscreteStatsTable[GroupByKey]=DiscreteStatsTable[[#This Row],[GroupByKey]])*DiscreteStatsTable[Average])),0)</f>
        <v>0.86965903596573602</v>
      </c>
      <c r="O259" cm="1">
        <f t="array" ref="O259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59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59" cm="1">
        <f t="array" ref="R259">MIN(IF((DiscreteStatsTable[GroupByKey]=DiscreteStatsTable[[#This Row],[GroupByKey]]),(DiscreteStatsTable[GroupByKey]=DiscreteStatsTable[[#This Row],[GroupByKey]])*DiscreteStatsTable[Average]))</f>
        <v>0.58431254303614699</v>
      </c>
      <c r="S259" cm="1">
        <f t="array" ref="S259">MAX(IF((DiscreteStatsTable[GroupByKey]=DiscreteStatsTable[[#This Row],[GroupByKey]]),(DiscreteStatsTable[GroupByKey]=DiscreteStatsTable[[#This Row],[GroupByKey]])*DiscreteStatsTable[Average]))</f>
        <v>1.42140669319588</v>
      </c>
      <c r="T259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cm="1">
        <f t="array" ref="U259">MAX(IF((DiscreteStatsTable[GroupByKey]=DiscreteStatsTable[[#This Row],[GroupByKey]]),(DiscreteStatsTable[GroupByKey]=DiscreteStatsTable[[#This Row],[GroupByKey]])*DiscreteStatsTable[Maximum]))</f>
        <v>28.983199492767199</v>
      </c>
      <c r="V259" cm="1">
        <f t="array" ref="V25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59">
        <f>IF((DiscreteStatsTable[[#This Row],[RepsRequested]]&gt;1),DiscreteStatsTable[[#This Row],[HalfWidth]],DiscreteStatsTable[[#This Row],[BatchMeansHalfWidth]])</f>
        <v>6.0911976702528743E-2</v>
      </c>
      <c r="X259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131</v>
      </c>
      <c r="C260">
        <v>44</v>
      </c>
      <c r="D260" t="s">
        <v>70</v>
      </c>
      <c r="E260" t="s">
        <v>71</v>
      </c>
      <c r="F260" t="s">
        <v>72</v>
      </c>
      <c r="G260">
        <v>0</v>
      </c>
      <c r="H260">
        <v>0</v>
      </c>
      <c r="I260">
        <v>0</v>
      </c>
      <c r="J260">
        <v>0</v>
      </c>
      <c r="K260">
        <v>2339</v>
      </c>
      <c r="L260" t="str">
        <f>DiscreteStatsTable[[#This Row],[ProjectName]]&amp;DiscreteStatsTable[[#This Row],[Name]]&amp;DiscreteStatsTable[[#This Row],[Type]]&amp;DiscreteStatsTable[[#This Row],[Source]]</f>
        <v>PacientesEntity 1NVA TimeEntity</v>
      </c>
      <c r="M260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cm="1">
        <f t="array" ref="N260">IFERROR(AVERAGE(IF((DiscreteStatsTable[GroupByKey]=DiscreteStatsTable[[#This Row],[GroupByKey]]),(DiscreteStatsTable[GroupByKey]=DiscreteStatsTable[[#This Row],[GroupByKey]])*DiscreteStatsTable[Average])),0)</f>
        <v>0</v>
      </c>
      <c r="O260" cm="1">
        <f t="array" ref="O260">IFERROR(_xlfn.STDEV.S(IF((DiscreteStatsTable[GroupByKey]=DiscreteStatsTable[[#This Row],[GroupByKey]]),(DiscreteStatsTable[GroupByKey]=DiscreteStatsTable[[#This Row],[GroupByKey]])*DiscreteStatsTable[Average])),0)</f>
        <v>0</v>
      </c>
      <c r="P260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0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cm="1">
        <f t="array" ref="S260">MAX(IF((DiscreteStatsTable[GroupByKey]=DiscreteStatsTable[[#This Row],[GroupByKey]]),(DiscreteStatsTable[GroupByKey]=DiscreteStatsTable[[#This Row],[GroupByKey]])*DiscreteStatsTable[Average]))</f>
        <v>0</v>
      </c>
      <c r="T260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cm="1">
        <f t="array" ref="U260">MAX(IF((DiscreteStatsTable[GroupByKey]=DiscreteStatsTable[[#This Row],[GroupByKey]]),(DiscreteStatsTable[GroupByKey]=DiscreteStatsTable[[#This Row],[GroupByKey]])*DiscreteStatsTable[Maximum]))</f>
        <v>0</v>
      </c>
      <c r="V260" cm="1">
        <f t="array" ref="V26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0">
        <f>IF((DiscreteStatsTable[[#This Row],[RepsRequested]]&gt;1),DiscreteStatsTable[[#This Row],[HalfWidth]],DiscreteStatsTable[[#This Row],[BatchMeansHalfWidth]])</f>
        <v>0</v>
      </c>
      <c r="X260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131</v>
      </c>
      <c r="C261">
        <v>44</v>
      </c>
      <c r="D261" t="s">
        <v>70</v>
      </c>
      <c r="E261" t="s">
        <v>73</v>
      </c>
      <c r="F261" t="s">
        <v>72</v>
      </c>
      <c r="G261">
        <v>0</v>
      </c>
      <c r="H261">
        <v>0</v>
      </c>
      <c r="I261">
        <v>0</v>
      </c>
      <c r="J261">
        <v>0</v>
      </c>
      <c r="K261">
        <v>2339</v>
      </c>
      <c r="L261" t="str">
        <f>DiscreteStatsTable[[#This Row],[ProjectName]]&amp;DiscreteStatsTable[[#This Row],[Name]]&amp;DiscreteStatsTable[[#This Row],[Type]]&amp;DiscreteStatsTable[[#This Row],[Source]]</f>
        <v>PacientesEntity 1Other TimeEntity</v>
      </c>
      <c r="M261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cm="1">
        <f t="array" ref="N261">IFERROR(AVERAGE(IF((DiscreteStatsTable[GroupByKey]=DiscreteStatsTable[[#This Row],[GroupByKey]]),(DiscreteStatsTable[GroupByKey]=DiscreteStatsTable[[#This Row],[GroupByKey]])*DiscreteStatsTable[Average])),0)</f>
        <v>0</v>
      </c>
      <c r="O261" cm="1">
        <f t="array" ref="O261">IFERROR(_xlfn.STDEV.S(IF((DiscreteStatsTable[GroupByKey]=DiscreteStatsTable[[#This Row],[GroupByKey]]),(DiscreteStatsTable[GroupByKey]=DiscreteStatsTable[[#This Row],[GroupByKey]])*DiscreteStatsTable[Average])),0)</f>
        <v>0</v>
      </c>
      <c r="P261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1" cm="1">
        <f t="array" ref="R261">MIN(IF((DiscreteStatsTable[GroupByKey]=DiscreteStatsTable[[#This Row],[GroupByKey]]),(DiscreteStatsTable[GroupByKey]=DiscreteStatsTable[[#This Row],[GroupByKey]])*DiscreteStatsTable[Average]))</f>
        <v>0</v>
      </c>
      <c r="S261" cm="1">
        <f t="array" ref="S261">MAX(IF((DiscreteStatsTable[GroupByKey]=DiscreteStatsTable[[#This Row],[GroupByKey]]),(DiscreteStatsTable[GroupByKey]=DiscreteStatsTable[[#This Row],[GroupByKey]])*DiscreteStatsTable[Average]))</f>
        <v>0</v>
      </c>
      <c r="T261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cm="1">
        <f t="array" ref="U261">MAX(IF((DiscreteStatsTable[GroupByKey]=DiscreteStatsTable[[#This Row],[GroupByKey]]),(DiscreteStatsTable[GroupByKey]=DiscreteStatsTable[[#This Row],[GroupByKey]])*DiscreteStatsTable[Maximum]))</f>
        <v>0</v>
      </c>
      <c r="V261" cm="1">
        <f t="array" ref="V26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1">
        <f>IF((DiscreteStatsTable[[#This Row],[RepsRequested]]&gt;1),DiscreteStatsTable[[#This Row],[HalfWidth]],DiscreteStatsTable[[#This Row],[BatchMeansHalfWidth]])</f>
        <v>0</v>
      </c>
      <c r="X261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131</v>
      </c>
      <c r="C262">
        <v>44</v>
      </c>
      <c r="D262" t="s">
        <v>70</v>
      </c>
      <c r="E262" t="s">
        <v>74</v>
      </c>
      <c r="F262" t="s">
        <v>72</v>
      </c>
      <c r="G262">
        <v>1.2718915560381501</v>
      </c>
      <c r="H262">
        <v>0.147268572357931</v>
      </c>
      <c r="I262">
        <v>0.27501313414586498</v>
      </c>
      <c r="J262">
        <v>10.548453602206701</v>
      </c>
      <c r="K262">
        <v>2339</v>
      </c>
      <c r="L262" t="str">
        <f>DiscreteStatsTable[[#This Row],[ProjectName]]&amp;DiscreteStatsTable[[#This Row],[Name]]&amp;DiscreteStatsTable[[#This Row],[Type]]&amp;DiscreteStatsTable[[#This Row],[Source]]</f>
        <v>PacientesEntity 1Total TimeEntity</v>
      </c>
      <c r="M262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cm="1">
        <f t="array" ref="N262">IFERROR(AVERAGE(IF((DiscreteStatsTable[GroupByKey]=DiscreteStatsTable[[#This Row],[GroupByKey]]),(DiscreteStatsTable[GroupByKey]=DiscreteStatsTable[[#This Row],[GroupByKey]])*DiscreteStatsTable[Average])),0)</f>
        <v>1.5029966070875795</v>
      </c>
      <c r="O262" cm="1">
        <f t="array" ref="O26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62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62" cm="1">
        <f t="array" ref="R262">MIN(IF((DiscreteStatsTable[GroupByKey]=DiscreteStatsTable[[#This Row],[GroupByKey]]),(DiscreteStatsTable[GroupByKey]=DiscreteStatsTable[[#This Row],[GroupByKey]])*DiscreteStatsTable[Average]))</f>
        <v>1.21830768607881</v>
      </c>
      <c r="S262" cm="1">
        <f t="array" ref="S262">MAX(IF((DiscreteStatsTable[GroupByKey]=DiscreteStatsTable[[#This Row],[GroupByKey]]),(DiscreteStatsTable[GroupByKey]=DiscreteStatsTable[[#This Row],[GroupByKey]])*DiscreteStatsTable[Average]))</f>
        <v>2.06387223343107</v>
      </c>
      <c r="T262" cm="1">
        <f t="array" ref="T262">MIN(IF((DiscreteStatsTable[GroupByKey]=DiscreteStatsTable[[#This Row],[GroupByKey]]),(DiscreteStatsTable[GroupByKey]=DiscreteStatsTable[[#This Row],[GroupByKey]])*DiscreteStatsTable[Minimum]))</f>
        <v>0.203133309337034</v>
      </c>
      <c r="U262" cm="1">
        <f t="array" ref="U262">MAX(IF((DiscreteStatsTable[GroupByKey]=DiscreteStatsTable[[#This Row],[GroupByKey]]),(DiscreteStatsTable[GroupByKey]=DiscreteStatsTable[[#This Row],[GroupByKey]])*DiscreteStatsTable[Maximum]))</f>
        <v>29.554686467573401</v>
      </c>
      <c r="V262" cm="1">
        <f t="array" ref="V26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2">
        <f>IF((DiscreteStatsTable[[#This Row],[RepsRequested]]&gt;1),DiscreteStatsTable[[#This Row],[HalfWidth]],DiscreteStatsTable[[#This Row],[BatchMeansHalfWidth]])</f>
        <v>6.1205265903720704E-2</v>
      </c>
      <c r="X262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131</v>
      </c>
      <c r="C263">
        <v>44</v>
      </c>
      <c r="D263" t="s">
        <v>70</v>
      </c>
      <c r="E263" t="s">
        <v>75</v>
      </c>
      <c r="F263" t="s">
        <v>72</v>
      </c>
      <c r="G263">
        <v>0</v>
      </c>
      <c r="H263">
        <v>0</v>
      </c>
      <c r="I263">
        <v>0</v>
      </c>
      <c r="J263">
        <v>0</v>
      </c>
      <c r="K263">
        <v>2339</v>
      </c>
      <c r="L263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63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cm="1">
        <f t="array" ref="V26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3">
        <f>IF((DiscreteStatsTable[[#This Row],[RepsRequested]]&gt;1),DiscreteStatsTable[[#This Row],[HalfWidth]],DiscreteStatsTable[[#This Row],[BatchMeansHalfWidth]])</f>
        <v>0</v>
      </c>
      <c r="X263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131</v>
      </c>
      <c r="C264">
        <v>44</v>
      </c>
      <c r="D264" t="s">
        <v>70</v>
      </c>
      <c r="E264" t="s">
        <v>76</v>
      </c>
      <c r="F264" t="s">
        <v>72</v>
      </c>
      <c r="G264">
        <v>0.63362208475852699</v>
      </c>
      <c r="H264">
        <v>1.0806328786110301E-2</v>
      </c>
      <c r="I264">
        <v>0.22486979849327299</v>
      </c>
      <c r="J264">
        <v>1.5590144139370199</v>
      </c>
      <c r="K264">
        <v>2339</v>
      </c>
      <c r="L264" t="str">
        <f>DiscreteStatsTable[[#This Row],[ProjectName]]&amp;DiscreteStatsTable[[#This Row],[Name]]&amp;DiscreteStatsTable[[#This Row],[Type]]&amp;DiscreteStatsTable[[#This Row],[Source]]</f>
        <v>PacientesEntity 1VA TimeEntity</v>
      </c>
      <c r="M264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cm="1">
        <f t="array" ref="N264">IFERROR(AVERAGE(IF((DiscreteStatsTable[GroupByKey]=DiscreteStatsTable[[#This Row],[GroupByKey]]),(DiscreteStatsTable[GroupByKey]=DiscreteStatsTable[[#This Row],[GroupByKey]])*DiscreteStatsTable[Average])),0)</f>
        <v>0.63333757112184219</v>
      </c>
      <c r="O264" cm="1">
        <f t="array" ref="O264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64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64" cm="1">
        <f t="array" ref="R264">MIN(IF((DiscreteStatsTable[GroupByKey]=DiscreteStatsTable[[#This Row],[GroupByKey]]),(DiscreteStatsTable[GroupByKey]=DiscreteStatsTable[[#This Row],[GroupByKey]])*DiscreteStatsTable[Average]))</f>
        <v>0.62319357082308402</v>
      </c>
      <c r="S264" cm="1">
        <f t="array" ref="S264">MAX(IF((DiscreteStatsTable[GroupByKey]=DiscreteStatsTable[[#This Row],[GroupByKey]]),(DiscreteStatsTable[GroupByKey]=DiscreteStatsTable[[#This Row],[GroupByKey]])*DiscreteStatsTable[Average]))</f>
        <v>0.64452003514622502</v>
      </c>
      <c r="T264" cm="1">
        <f t="array" ref="T264">MIN(IF((DiscreteStatsTable[GroupByKey]=DiscreteStatsTable[[#This Row],[GroupByKey]]),(DiscreteStatsTable[GroupByKey]=DiscreteStatsTable[[#This Row],[GroupByKey]])*DiscreteStatsTable[Minimum]))</f>
        <v>0.203133309337034</v>
      </c>
      <c r="U264" cm="1">
        <f t="array" ref="U264">MAX(IF((DiscreteStatsTable[GroupByKey]=DiscreteStatsTable[[#This Row],[GroupByKey]]),(DiscreteStatsTable[GroupByKey]=DiscreteStatsTable[[#This Row],[GroupByKey]])*DiscreteStatsTable[Maximum]))</f>
        <v>1.5939517145847</v>
      </c>
      <c r="V264" cm="1">
        <f t="array" ref="V26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4">
        <f>IF((DiscreteStatsTable[[#This Row],[RepsRequested]]&gt;1),DiscreteStatsTable[[#This Row],[HalfWidth]],DiscreteStatsTable[[#This Row],[BatchMeansHalfWidth]])</f>
        <v>1.276828436655964E-3</v>
      </c>
      <c r="X264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131</v>
      </c>
      <c r="C265">
        <v>44</v>
      </c>
      <c r="D265" t="s">
        <v>70</v>
      </c>
      <c r="E265" t="s">
        <v>77</v>
      </c>
      <c r="F265" t="s">
        <v>72</v>
      </c>
      <c r="G265">
        <v>0.63826947127961997</v>
      </c>
      <c r="H265">
        <v>0.146744262473331</v>
      </c>
      <c r="I265">
        <v>0</v>
      </c>
      <c r="J265">
        <v>10.0620030411724</v>
      </c>
      <c r="K265">
        <v>2339</v>
      </c>
      <c r="L265" t="str">
        <f>DiscreteStatsTable[[#This Row],[ProjectName]]&amp;DiscreteStatsTable[[#This Row],[Name]]&amp;DiscreteStatsTable[[#This Row],[Type]]&amp;DiscreteStatsTable[[#This Row],[Source]]</f>
        <v>PacientesEntity 1Wait TimeEntity</v>
      </c>
      <c r="M26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cm="1">
        <f t="array" ref="N265">IFERROR(AVERAGE(IF((DiscreteStatsTable[GroupByKey]=DiscreteStatsTable[[#This Row],[GroupByKey]]),(DiscreteStatsTable[GroupByKey]=DiscreteStatsTable[[#This Row],[GroupByKey]])*DiscreteStatsTable[Average])),0)</f>
        <v>0.86965903596573602</v>
      </c>
      <c r="O265" cm="1">
        <f t="array" ref="O265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6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65" cm="1">
        <f t="array" ref="R265">MIN(IF((DiscreteStatsTable[GroupByKey]=DiscreteStatsTable[[#This Row],[GroupByKey]]),(DiscreteStatsTable[GroupByKey]=DiscreteStatsTable[[#This Row],[GroupByKey]])*DiscreteStatsTable[Average]))</f>
        <v>0.58431254303614699</v>
      </c>
      <c r="S265" cm="1">
        <f t="array" ref="S265">MAX(IF((DiscreteStatsTable[GroupByKey]=DiscreteStatsTable[[#This Row],[GroupByKey]]),(DiscreteStatsTable[GroupByKey]=DiscreteStatsTable[[#This Row],[GroupByKey]])*DiscreteStatsTable[Average]))</f>
        <v>1.42140669319588</v>
      </c>
      <c r="T26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cm="1">
        <f t="array" ref="U265">MAX(IF((DiscreteStatsTable[GroupByKey]=DiscreteStatsTable[[#This Row],[GroupByKey]]),(DiscreteStatsTable[GroupByKey]=DiscreteStatsTable[[#This Row],[GroupByKey]])*DiscreteStatsTable[Maximum]))</f>
        <v>28.983199492767199</v>
      </c>
      <c r="V265" cm="1">
        <f t="array" ref="V26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5">
        <f>IF((DiscreteStatsTable[[#This Row],[RepsRequested]]&gt;1),DiscreteStatsTable[[#This Row],[HalfWidth]],DiscreteStatsTable[[#This Row],[BatchMeansHalfWidth]])</f>
        <v>6.0911976702528743E-2</v>
      </c>
      <c r="X26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131</v>
      </c>
      <c r="C266">
        <v>45</v>
      </c>
      <c r="D266" t="s">
        <v>70</v>
      </c>
      <c r="E266" t="s">
        <v>71</v>
      </c>
      <c r="F266" t="s">
        <v>72</v>
      </c>
      <c r="G266">
        <v>0</v>
      </c>
      <c r="H266">
        <v>0</v>
      </c>
      <c r="I266">
        <v>0</v>
      </c>
      <c r="J266">
        <v>0</v>
      </c>
      <c r="K266">
        <v>2434</v>
      </c>
      <c r="L266" t="str">
        <f>DiscreteStatsTable[[#This Row],[ProjectName]]&amp;DiscreteStatsTable[[#This Row],[Name]]&amp;DiscreteStatsTable[[#This Row],[Type]]&amp;DiscreteStatsTable[[#This Row],[Source]]</f>
        <v>PacientesEntity 1NVA TimeEntity</v>
      </c>
      <c r="M266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cm="1">
        <f t="array" ref="N266">IFERROR(AVERAGE(IF((DiscreteStatsTable[GroupByKey]=DiscreteStatsTable[[#This Row],[GroupByKey]]),(DiscreteStatsTable[GroupByKey]=DiscreteStatsTable[[#This Row],[GroupByKey]])*DiscreteStatsTable[Average])),0)</f>
        <v>0</v>
      </c>
      <c r="O266" cm="1">
        <f t="array" ref="O266">IFERROR(_xlfn.STDEV.S(IF((DiscreteStatsTable[GroupByKey]=DiscreteStatsTable[[#This Row],[GroupByKey]]),(DiscreteStatsTable[GroupByKey]=DiscreteStatsTable[[#This Row],[GroupByKey]])*DiscreteStatsTable[Average])),0)</f>
        <v>0</v>
      </c>
      <c r="P266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6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cm="1">
        <f t="array" ref="S266">MAX(IF((DiscreteStatsTable[GroupByKey]=DiscreteStatsTable[[#This Row],[GroupByKey]]),(DiscreteStatsTable[GroupByKey]=DiscreteStatsTable[[#This Row],[GroupByKey]])*DiscreteStatsTable[Average]))</f>
        <v>0</v>
      </c>
      <c r="T266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cm="1">
        <f t="array" ref="U266">MAX(IF((DiscreteStatsTable[GroupByKey]=DiscreteStatsTable[[#This Row],[GroupByKey]]),(DiscreteStatsTable[GroupByKey]=DiscreteStatsTable[[#This Row],[GroupByKey]])*DiscreteStatsTable[Maximum]))</f>
        <v>0</v>
      </c>
      <c r="V266" cm="1">
        <f t="array" ref="V26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6">
        <f>IF((DiscreteStatsTable[[#This Row],[RepsRequested]]&gt;1),DiscreteStatsTable[[#This Row],[HalfWidth]],DiscreteStatsTable[[#This Row],[BatchMeansHalfWidth]])</f>
        <v>0</v>
      </c>
      <c r="X266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131</v>
      </c>
      <c r="C267">
        <v>45</v>
      </c>
      <c r="D267" t="s">
        <v>70</v>
      </c>
      <c r="E267" t="s">
        <v>73</v>
      </c>
      <c r="F267" t="s">
        <v>72</v>
      </c>
      <c r="G267">
        <v>0</v>
      </c>
      <c r="H267">
        <v>0</v>
      </c>
      <c r="I267">
        <v>0</v>
      </c>
      <c r="J267">
        <v>0</v>
      </c>
      <c r="K267">
        <v>2434</v>
      </c>
      <c r="L267" t="str">
        <f>DiscreteStatsTable[[#This Row],[ProjectName]]&amp;DiscreteStatsTable[[#This Row],[Name]]&amp;DiscreteStatsTable[[#This Row],[Type]]&amp;DiscreteStatsTable[[#This Row],[Source]]</f>
        <v>PacientesEntity 1Other TimeEntity</v>
      </c>
      <c r="M267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cm="1">
        <f t="array" ref="N267">IFERROR(AVERAGE(IF((DiscreteStatsTable[GroupByKey]=DiscreteStatsTable[[#This Row],[GroupByKey]]),(DiscreteStatsTable[GroupByKey]=DiscreteStatsTable[[#This Row],[GroupByKey]])*DiscreteStatsTable[Average])),0)</f>
        <v>0</v>
      </c>
      <c r="O267" cm="1">
        <f t="array" ref="O267">IFERROR(_xlfn.STDEV.S(IF((DiscreteStatsTable[GroupByKey]=DiscreteStatsTable[[#This Row],[GroupByKey]]),(DiscreteStatsTable[GroupByKey]=DiscreteStatsTable[[#This Row],[GroupByKey]])*DiscreteStatsTable[Average])),0)</f>
        <v>0</v>
      </c>
      <c r="P267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7" cm="1">
        <f t="array" ref="R267">MIN(IF((DiscreteStatsTable[GroupByKey]=DiscreteStatsTable[[#This Row],[GroupByKey]]),(DiscreteStatsTable[GroupByKey]=DiscreteStatsTable[[#This Row],[GroupByKey]])*DiscreteStatsTable[Average]))</f>
        <v>0</v>
      </c>
      <c r="S267" cm="1">
        <f t="array" ref="S267">MAX(IF((DiscreteStatsTable[GroupByKey]=DiscreteStatsTable[[#This Row],[GroupByKey]]),(DiscreteStatsTable[GroupByKey]=DiscreteStatsTable[[#This Row],[GroupByKey]])*DiscreteStatsTable[Average]))</f>
        <v>0</v>
      </c>
      <c r="T267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cm="1">
        <f t="array" ref="U267">MAX(IF((DiscreteStatsTable[GroupByKey]=DiscreteStatsTable[[#This Row],[GroupByKey]]),(DiscreteStatsTable[GroupByKey]=DiscreteStatsTable[[#This Row],[GroupByKey]])*DiscreteStatsTable[Maximum]))</f>
        <v>0</v>
      </c>
      <c r="V267" cm="1">
        <f t="array" ref="V26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7">
        <f>IF((DiscreteStatsTable[[#This Row],[RepsRequested]]&gt;1),DiscreteStatsTable[[#This Row],[HalfWidth]],DiscreteStatsTable[[#This Row],[BatchMeansHalfWidth]])</f>
        <v>0</v>
      </c>
      <c r="X267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131</v>
      </c>
      <c r="C268">
        <v>45</v>
      </c>
      <c r="D268" t="s">
        <v>70</v>
      </c>
      <c r="E268" t="s">
        <v>74</v>
      </c>
      <c r="F268" t="s">
        <v>72</v>
      </c>
      <c r="G268">
        <v>1.4029710145827901</v>
      </c>
      <c r="H268">
        <v>0.211073628443574</v>
      </c>
      <c r="I268">
        <v>0.242929417660775</v>
      </c>
      <c r="J268">
        <v>11.3052200021875</v>
      </c>
      <c r="K268">
        <v>2434</v>
      </c>
      <c r="L268" t="str">
        <f>DiscreteStatsTable[[#This Row],[ProjectName]]&amp;DiscreteStatsTable[[#This Row],[Name]]&amp;DiscreteStatsTable[[#This Row],[Type]]&amp;DiscreteStatsTable[[#This Row],[Source]]</f>
        <v>PacientesEntity 1Total TimeEntity</v>
      </c>
      <c r="M268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cm="1">
        <f t="array" ref="N268">IFERROR(AVERAGE(IF((DiscreteStatsTable[GroupByKey]=DiscreteStatsTable[[#This Row],[GroupByKey]]),(DiscreteStatsTable[GroupByKey]=DiscreteStatsTable[[#This Row],[GroupByKey]])*DiscreteStatsTable[Average])),0)</f>
        <v>1.5029966070875795</v>
      </c>
      <c r="O268" cm="1">
        <f t="array" ref="O26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68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68" cm="1">
        <f t="array" ref="R268">MIN(IF((DiscreteStatsTable[GroupByKey]=DiscreteStatsTable[[#This Row],[GroupByKey]]),(DiscreteStatsTable[GroupByKey]=DiscreteStatsTable[[#This Row],[GroupByKey]])*DiscreteStatsTable[Average]))</f>
        <v>1.21830768607881</v>
      </c>
      <c r="S268" cm="1">
        <f t="array" ref="S268">MAX(IF((DiscreteStatsTable[GroupByKey]=DiscreteStatsTable[[#This Row],[GroupByKey]]),(DiscreteStatsTable[GroupByKey]=DiscreteStatsTable[[#This Row],[GroupByKey]])*DiscreteStatsTable[Average]))</f>
        <v>2.06387223343107</v>
      </c>
      <c r="T268" cm="1">
        <f t="array" ref="T268">MIN(IF((DiscreteStatsTable[GroupByKey]=DiscreteStatsTable[[#This Row],[GroupByKey]]),(DiscreteStatsTable[GroupByKey]=DiscreteStatsTable[[#This Row],[GroupByKey]])*DiscreteStatsTable[Minimum]))</f>
        <v>0.203133309337034</v>
      </c>
      <c r="U268" cm="1">
        <f t="array" ref="U268">MAX(IF((DiscreteStatsTable[GroupByKey]=DiscreteStatsTable[[#This Row],[GroupByKey]]),(DiscreteStatsTable[GroupByKey]=DiscreteStatsTable[[#This Row],[GroupByKey]])*DiscreteStatsTable[Maximum]))</f>
        <v>29.554686467573401</v>
      </c>
      <c r="V268" cm="1">
        <f t="array" ref="V26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8">
        <f>IF((DiscreteStatsTable[[#This Row],[RepsRequested]]&gt;1),DiscreteStatsTable[[#This Row],[HalfWidth]],DiscreteStatsTable[[#This Row],[BatchMeansHalfWidth]])</f>
        <v>6.1205265903720704E-2</v>
      </c>
      <c r="X268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131</v>
      </c>
      <c r="C269">
        <v>45</v>
      </c>
      <c r="D269" t="s">
        <v>70</v>
      </c>
      <c r="E269" t="s">
        <v>75</v>
      </c>
      <c r="F269" t="s">
        <v>72</v>
      </c>
      <c r="G269">
        <v>0</v>
      </c>
      <c r="H269">
        <v>0</v>
      </c>
      <c r="I269">
        <v>0</v>
      </c>
      <c r="J269">
        <v>0</v>
      </c>
      <c r="K269">
        <v>2434</v>
      </c>
      <c r="L269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69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cm="1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cm="1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cm="1">
        <f t="array" ref="S269">MAX(IF((DiscreteStatsTable[GroupByKey]=DiscreteStatsTable[[#This Row],[GroupByKey]]),(DiscreteStatsTable[GroupByKey]=DiscreteStatsTable[[#This Row],[GroupByKey]])*DiscreteStatsTable[Average]))</f>
        <v>0</v>
      </c>
      <c r="T269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cm="1">
        <f t="array" ref="U269">MAX(IF((DiscreteStatsTable[GroupByKey]=DiscreteStatsTable[[#This Row],[GroupByKey]]),(DiscreteStatsTable[GroupByKey]=DiscreteStatsTable[[#This Row],[GroupByKey]])*DiscreteStatsTable[Maximum]))</f>
        <v>0</v>
      </c>
      <c r="V269" cm="1">
        <f t="array" ref="V26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69">
        <f>IF((DiscreteStatsTable[[#This Row],[RepsRequested]]&gt;1),DiscreteStatsTable[[#This Row],[HalfWidth]],DiscreteStatsTable[[#This Row],[BatchMeansHalfWidth]])</f>
        <v>0</v>
      </c>
      <c r="X269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131</v>
      </c>
      <c r="C270">
        <v>45</v>
      </c>
      <c r="D270" t="s">
        <v>70</v>
      </c>
      <c r="E270" t="s">
        <v>76</v>
      </c>
      <c r="F270" t="s">
        <v>72</v>
      </c>
      <c r="G270">
        <v>0.62597096118104001</v>
      </c>
      <c r="H270">
        <v>3E+20</v>
      </c>
      <c r="I270">
        <v>0.206656846826718</v>
      </c>
      <c r="J270">
        <v>1.58542891481758</v>
      </c>
      <c r="K270">
        <v>2434</v>
      </c>
      <c r="L270" t="str">
        <f>DiscreteStatsTable[[#This Row],[ProjectName]]&amp;DiscreteStatsTable[[#This Row],[Name]]&amp;DiscreteStatsTable[[#This Row],[Type]]&amp;DiscreteStatsTable[[#This Row],[Source]]</f>
        <v>PacientesEntity 1VA TimeEntity</v>
      </c>
      <c r="M270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cm="1">
        <f t="array" ref="N270">IFERROR(AVERAGE(IF((DiscreteStatsTable[GroupByKey]=DiscreteStatsTable[[#This Row],[GroupByKey]]),(DiscreteStatsTable[GroupByKey]=DiscreteStatsTable[[#This Row],[GroupByKey]])*DiscreteStatsTable[Average])),0)</f>
        <v>0.63333757112184219</v>
      </c>
      <c r="O270" cm="1">
        <f t="array" ref="O270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70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70" cm="1">
        <f t="array" ref="R270">MIN(IF((DiscreteStatsTable[GroupByKey]=DiscreteStatsTable[[#This Row],[GroupByKey]]),(DiscreteStatsTable[GroupByKey]=DiscreteStatsTable[[#This Row],[GroupByKey]])*DiscreteStatsTable[Average]))</f>
        <v>0.62319357082308402</v>
      </c>
      <c r="S270" cm="1">
        <f t="array" ref="S270">MAX(IF((DiscreteStatsTable[GroupByKey]=DiscreteStatsTable[[#This Row],[GroupByKey]]),(DiscreteStatsTable[GroupByKey]=DiscreteStatsTable[[#This Row],[GroupByKey]])*DiscreteStatsTable[Average]))</f>
        <v>0.64452003514622502</v>
      </c>
      <c r="T270" cm="1">
        <f t="array" ref="T270">MIN(IF((DiscreteStatsTable[GroupByKey]=DiscreteStatsTable[[#This Row],[GroupByKey]]),(DiscreteStatsTable[GroupByKey]=DiscreteStatsTable[[#This Row],[GroupByKey]])*DiscreteStatsTable[Minimum]))</f>
        <v>0.203133309337034</v>
      </c>
      <c r="U270" cm="1">
        <f t="array" ref="U270">MAX(IF((DiscreteStatsTable[GroupByKey]=DiscreteStatsTable[[#This Row],[GroupByKey]]),(DiscreteStatsTable[GroupByKey]=DiscreteStatsTable[[#This Row],[GroupByKey]])*DiscreteStatsTable[Maximum]))</f>
        <v>1.5939517145847</v>
      </c>
      <c r="V270" cm="1">
        <f t="array" ref="V27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0">
        <f>IF((DiscreteStatsTable[[#This Row],[RepsRequested]]&gt;1),DiscreteStatsTable[[#This Row],[HalfWidth]],DiscreteStatsTable[[#This Row],[BatchMeansHalfWidth]])</f>
        <v>1.276828436655964E-3</v>
      </c>
      <c r="X270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131</v>
      </c>
      <c r="C271">
        <v>45</v>
      </c>
      <c r="D271" t="s">
        <v>70</v>
      </c>
      <c r="E271" t="s">
        <v>77</v>
      </c>
      <c r="F271" t="s">
        <v>72</v>
      </c>
      <c r="G271">
        <v>0.77700005340174405</v>
      </c>
      <c r="H271">
        <v>0.212835444420055</v>
      </c>
      <c r="I271">
        <v>0</v>
      </c>
      <c r="J271">
        <v>10.843649403675601</v>
      </c>
      <c r="K271">
        <v>2434</v>
      </c>
      <c r="L271" t="str">
        <f>DiscreteStatsTable[[#This Row],[ProjectName]]&amp;DiscreteStatsTable[[#This Row],[Name]]&amp;DiscreteStatsTable[[#This Row],[Type]]&amp;DiscreteStatsTable[[#This Row],[Source]]</f>
        <v>PacientesEntity 1Wait TimeEntity</v>
      </c>
      <c r="M271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cm="1">
        <f t="array" ref="N271">IFERROR(AVERAGE(IF((DiscreteStatsTable[GroupByKey]=DiscreteStatsTable[[#This Row],[GroupByKey]]),(DiscreteStatsTable[GroupByKey]=DiscreteStatsTable[[#This Row],[GroupByKey]])*DiscreteStatsTable[Average])),0)</f>
        <v>0.86965903596573602</v>
      </c>
      <c r="O271" cm="1">
        <f t="array" ref="O271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71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71" cm="1">
        <f t="array" ref="R271">MIN(IF((DiscreteStatsTable[GroupByKey]=DiscreteStatsTable[[#This Row],[GroupByKey]]),(DiscreteStatsTable[GroupByKey]=DiscreteStatsTable[[#This Row],[GroupByKey]])*DiscreteStatsTable[Average]))</f>
        <v>0.58431254303614699</v>
      </c>
      <c r="S271" cm="1">
        <f t="array" ref="S271">MAX(IF((DiscreteStatsTable[GroupByKey]=DiscreteStatsTable[[#This Row],[GroupByKey]]),(DiscreteStatsTable[GroupByKey]=DiscreteStatsTable[[#This Row],[GroupByKey]])*DiscreteStatsTable[Average]))</f>
        <v>1.42140669319588</v>
      </c>
      <c r="T271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cm="1">
        <f t="array" ref="U271">MAX(IF((DiscreteStatsTable[GroupByKey]=DiscreteStatsTable[[#This Row],[GroupByKey]]),(DiscreteStatsTable[GroupByKey]=DiscreteStatsTable[[#This Row],[GroupByKey]])*DiscreteStatsTable[Maximum]))</f>
        <v>28.983199492767199</v>
      </c>
      <c r="V271" cm="1">
        <f t="array" ref="V27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1">
        <f>IF((DiscreteStatsTable[[#This Row],[RepsRequested]]&gt;1),DiscreteStatsTable[[#This Row],[HalfWidth]],DiscreteStatsTable[[#This Row],[BatchMeansHalfWidth]])</f>
        <v>6.0911976702528743E-2</v>
      </c>
      <c r="X271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131</v>
      </c>
      <c r="C272">
        <v>46</v>
      </c>
      <c r="D272" t="s">
        <v>70</v>
      </c>
      <c r="E272" t="s">
        <v>71</v>
      </c>
      <c r="F272" t="s">
        <v>72</v>
      </c>
      <c r="G272">
        <v>0</v>
      </c>
      <c r="H272">
        <v>0</v>
      </c>
      <c r="I272">
        <v>0</v>
      </c>
      <c r="J272">
        <v>0</v>
      </c>
      <c r="K272">
        <v>2429</v>
      </c>
      <c r="L272" t="str">
        <f>DiscreteStatsTable[[#This Row],[ProjectName]]&amp;DiscreteStatsTable[[#This Row],[Name]]&amp;DiscreteStatsTable[[#This Row],[Type]]&amp;DiscreteStatsTable[[#This Row],[Source]]</f>
        <v>PacientesEntity 1NVA TimeEntity</v>
      </c>
      <c r="M272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cm="1">
        <f t="array" ref="N272">IFERROR(AVERAGE(IF((DiscreteStatsTable[GroupByKey]=DiscreteStatsTable[[#This Row],[GroupByKey]]),(DiscreteStatsTable[GroupByKey]=DiscreteStatsTable[[#This Row],[GroupByKey]])*DiscreteStatsTable[Average])),0)</f>
        <v>0</v>
      </c>
      <c r="O272" cm="1">
        <f t="array" ref="O272">IFERROR(_xlfn.STDEV.S(IF((DiscreteStatsTable[GroupByKey]=DiscreteStatsTable[[#This Row],[GroupByKey]]),(DiscreteStatsTable[GroupByKey]=DiscreteStatsTable[[#This Row],[GroupByKey]])*DiscreteStatsTable[Average])),0)</f>
        <v>0</v>
      </c>
      <c r="P272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2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cm="1">
        <f t="array" ref="S272">MAX(IF((DiscreteStatsTable[GroupByKey]=DiscreteStatsTable[[#This Row],[GroupByKey]]),(DiscreteStatsTable[GroupByKey]=DiscreteStatsTable[[#This Row],[GroupByKey]])*DiscreteStatsTable[Average]))</f>
        <v>0</v>
      </c>
      <c r="T272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cm="1">
        <f t="array" ref="U272">MAX(IF((DiscreteStatsTable[GroupByKey]=DiscreteStatsTable[[#This Row],[GroupByKey]]),(DiscreteStatsTable[GroupByKey]=DiscreteStatsTable[[#This Row],[GroupByKey]])*DiscreteStatsTable[Maximum]))</f>
        <v>0</v>
      </c>
      <c r="V272" cm="1">
        <f t="array" ref="V27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2">
        <f>IF((DiscreteStatsTable[[#This Row],[RepsRequested]]&gt;1),DiscreteStatsTable[[#This Row],[HalfWidth]],DiscreteStatsTable[[#This Row],[BatchMeansHalfWidth]])</f>
        <v>0</v>
      </c>
      <c r="X272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131</v>
      </c>
      <c r="C273">
        <v>46</v>
      </c>
      <c r="D273" t="s">
        <v>70</v>
      </c>
      <c r="E273" t="s">
        <v>73</v>
      </c>
      <c r="F273" t="s">
        <v>72</v>
      </c>
      <c r="G273">
        <v>0</v>
      </c>
      <c r="H273">
        <v>0</v>
      </c>
      <c r="I273">
        <v>0</v>
      </c>
      <c r="J273">
        <v>0</v>
      </c>
      <c r="K273">
        <v>2429</v>
      </c>
      <c r="L273" t="str">
        <f>DiscreteStatsTable[[#This Row],[ProjectName]]&amp;DiscreteStatsTable[[#This Row],[Name]]&amp;DiscreteStatsTable[[#This Row],[Type]]&amp;DiscreteStatsTable[[#This Row],[Source]]</f>
        <v>PacientesEntity 1Other TimeEntity</v>
      </c>
      <c r="M273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cm="1">
        <f t="array" ref="N273">IFERROR(AVERAGE(IF((DiscreteStatsTable[GroupByKey]=DiscreteStatsTable[[#This Row],[GroupByKey]]),(DiscreteStatsTable[GroupByKey]=DiscreteStatsTable[[#This Row],[GroupByKey]])*DiscreteStatsTable[Average])),0)</f>
        <v>0</v>
      </c>
      <c r="O273" cm="1">
        <f t="array" ref="O273">IFERROR(_xlfn.STDEV.S(IF((DiscreteStatsTable[GroupByKey]=DiscreteStatsTable[[#This Row],[GroupByKey]]),(DiscreteStatsTable[GroupByKey]=DiscreteStatsTable[[#This Row],[GroupByKey]])*DiscreteStatsTable[Average])),0)</f>
        <v>0</v>
      </c>
      <c r="P273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3" cm="1">
        <f t="array" ref="R273">MIN(IF((DiscreteStatsTable[GroupByKey]=DiscreteStatsTable[[#This Row],[GroupByKey]]),(DiscreteStatsTable[GroupByKey]=DiscreteStatsTable[[#This Row],[GroupByKey]])*DiscreteStatsTable[Average]))</f>
        <v>0</v>
      </c>
      <c r="S273" cm="1">
        <f t="array" ref="S273">MAX(IF((DiscreteStatsTable[GroupByKey]=DiscreteStatsTable[[#This Row],[GroupByKey]]),(DiscreteStatsTable[GroupByKey]=DiscreteStatsTable[[#This Row],[GroupByKey]])*DiscreteStatsTable[Average]))</f>
        <v>0</v>
      </c>
      <c r="T273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cm="1">
        <f t="array" ref="U273">MAX(IF((DiscreteStatsTable[GroupByKey]=DiscreteStatsTable[[#This Row],[GroupByKey]]),(DiscreteStatsTable[GroupByKey]=DiscreteStatsTable[[#This Row],[GroupByKey]])*DiscreteStatsTable[Maximum]))</f>
        <v>0</v>
      </c>
      <c r="V273" cm="1">
        <f t="array" ref="V27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3">
        <f>IF((DiscreteStatsTable[[#This Row],[RepsRequested]]&gt;1),DiscreteStatsTable[[#This Row],[HalfWidth]],DiscreteStatsTable[[#This Row],[BatchMeansHalfWidth]])</f>
        <v>0</v>
      </c>
      <c r="X273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131</v>
      </c>
      <c r="C274">
        <v>46</v>
      </c>
      <c r="D274" t="s">
        <v>70</v>
      </c>
      <c r="E274" t="s">
        <v>74</v>
      </c>
      <c r="F274" t="s">
        <v>72</v>
      </c>
      <c r="G274">
        <v>1.4988282406831199</v>
      </c>
      <c r="H274">
        <v>3E+20</v>
      </c>
      <c r="I274">
        <v>0.25740903482147798</v>
      </c>
      <c r="J274">
        <v>13.274833947345099</v>
      </c>
      <c r="K274">
        <v>2429</v>
      </c>
      <c r="L274" t="str">
        <f>DiscreteStatsTable[[#This Row],[ProjectName]]&amp;DiscreteStatsTable[[#This Row],[Name]]&amp;DiscreteStatsTable[[#This Row],[Type]]&amp;DiscreteStatsTable[[#This Row],[Source]]</f>
        <v>PacientesEntity 1Total TimeEntity</v>
      </c>
      <c r="M274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cm="1">
        <f t="array" ref="N274">IFERROR(AVERAGE(IF((DiscreteStatsTable[GroupByKey]=DiscreteStatsTable[[#This Row],[GroupByKey]]),(DiscreteStatsTable[GroupByKey]=DiscreteStatsTable[[#This Row],[GroupByKey]])*DiscreteStatsTable[Average])),0)</f>
        <v>1.5029966070875795</v>
      </c>
      <c r="O274" cm="1">
        <f t="array" ref="O27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74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74" cm="1">
        <f t="array" ref="R274">MIN(IF((DiscreteStatsTable[GroupByKey]=DiscreteStatsTable[[#This Row],[GroupByKey]]),(DiscreteStatsTable[GroupByKey]=DiscreteStatsTable[[#This Row],[GroupByKey]])*DiscreteStatsTable[Average]))</f>
        <v>1.21830768607881</v>
      </c>
      <c r="S274" cm="1">
        <f t="array" ref="S274">MAX(IF((DiscreteStatsTable[GroupByKey]=DiscreteStatsTable[[#This Row],[GroupByKey]]),(DiscreteStatsTable[GroupByKey]=DiscreteStatsTable[[#This Row],[GroupByKey]])*DiscreteStatsTable[Average]))</f>
        <v>2.06387223343107</v>
      </c>
      <c r="T274" cm="1">
        <f t="array" ref="T274">MIN(IF((DiscreteStatsTable[GroupByKey]=DiscreteStatsTable[[#This Row],[GroupByKey]]),(DiscreteStatsTable[GroupByKey]=DiscreteStatsTable[[#This Row],[GroupByKey]])*DiscreteStatsTable[Minimum]))</f>
        <v>0.203133309337034</v>
      </c>
      <c r="U274" cm="1">
        <f t="array" ref="U274">MAX(IF((DiscreteStatsTable[GroupByKey]=DiscreteStatsTable[[#This Row],[GroupByKey]]),(DiscreteStatsTable[GroupByKey]=DiscreteStatsTable[[#This Row],[GroupByKey]])*DiscreteStatsTable[Maximum]))</f>
        <v>29.554686467573401</v>
      </c>
      <c r="V274" cm="1">
        <f t="array" ref="V27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4">
        <f>IF((DiscreteStatsTable[[#This Row],[RepsRequested]]&gt;1),DiscreteStatsTable[[#This Row],[HalfWidth]],DiscreteStatsTable[[#This Row],[BatchMeansHalfWidth]])</f>
        <v>6.1205265903720704E-2</v>
      </c>
      <c r="X274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131</v>
      </c>
      <c r="C275">
        <v>46</v>
      </c>
      <c r="D275" t="s">
        <v>70</v>
      </c>
      <c r="E275" t="s">
        <v>75</v>
      </c>
      <c r="F275" t="s">
        <v>72</v>
      </c>
      <c r="G275">
        <v>0</v>
      </c>
      <c r="H275">
        <v>0</v>
      </c>
      <c r="I275">
        <v>0</v>
      </c>
      <c r="J275">
        <v>0</v>
      </c>
      <c r="K275">
        <v>2429</v>
      </c>
      <c r="L275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7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cm="1">
        <f t="array" ref="V27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5">
        <f>IF((DiscreteStatsTable[[#This Row],[RepsRequested]]&gt;1),DiscreteStatsTable[[#This Row],[HalfWidth]],DiscreteStatsTable[[#This Row],[BatchMeansHalfWidth]])</f>
        <v>0</v>
      </c>
      <c r="X27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131</v>
      </c>
      <c r="C276">
        <v>46</v>
      </c>
      <c r="D276" t="s">
        <v>70</v>
      </c>
      <c r="E276" t="s">
        <v>76</v>
      </c>
      <c r="F276" t="s">
        <v>72</v>
      </c>
      <c r="G276">
        <v>0.63040146954681098</v>
      </c>
      <c r="H276">
        <v>1.22817102688521E-2</v>
      </c>
      <c r="I276">
        <v>0.21011364257788001</v>
      </c>
      <c r="J276">
        <v>1.5655964972007701</v>
      </c>
      <c r="K276">
        <v>2429</v>
      </c>
      <c r="L276" t="str">
        <f>DiscreteStatsTable[[#This Row],[ProjectName]]&amp;DiscreteStatsTable[[#This Row],[Name]]&amp;DiscreteStatsTable[[#This Row],[Type]]&amp;DiscreteStatsTable[[#This Row],[Source]]</f>
        <v>PacientesEntity 1VA TimeEntity</v>
      </c>
      <c r="M276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cm="1">
        <f t="array" ref="N276">IFERROR(AVERAGE(IF((DiscreteStatsTable[GroupByKey]=DiscreteStatsTable[[#This Row],[GroupByKey]]),(DiscreteStatsTable[GroupByKey]=DiscreteStatsTable[[#This Row],[GroupByKey]])*DiscreteStatsTable[Average])),0)</f>
        <v>0.63333757112184219</v>
      </c>
      <c r="O276" cm="1">
        <f t="array" ref="O276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76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76" cm="1">
        <f t="array" ref="R276">MIN(IF((DiscreteStatsTable[GroupByKey]=DiscreteStatsTable[[#This Row],[GroupByKey]]),(DiscreteStatsTable[GroupByKey]=DiscreteStatsTable[[#This Row],[GroupByKey]])*DiscreteStatsTable[Average]))</f>
        <v>0.62319357082308402</v>
      </c>
      <c r="S276" cm="1">
        <f t="array" ref="S276">MAX(IF((DiscreteStatsTable[GroupByKey]=DiscreteStatsTable[[#This Row],[GroupByKey]]),(DiscreteStatsTable[GroupByKey]=DiscreteStatsTable[[#This Row],[GroupByKey]])*DiscreteStatsTable[Average]))</f>
        <v>0.64452003514622502</v>
      </c>
      <c r="T276" cm="1">
        <f t="array" ref="T276">MIN(IF((DiscreteStatsTable[GroupByKey]=DiscreteStatsTable[[#This Row],[GroupByKey]]),(DiscreteStatsTable[GroupByKey]=DiscreteStatsTable[[#This Row],[GroupByKey]])*DiscreteStatsTable[Minimum]))</f>
        <v>0.203133309337034</v>
      </c>
      <c r="U276" cm="1">
        <f t="array" ref="U276">MAX(IF((DiscreteStatsTable[GroupByKey]=DiscreteStatsTable[[#This Row],[GroupByKey]]),(DiscreteStatsTable[GroupByKey]=DiscreteStatsTable[[#This Row],[GroupByKey]])*DiscreteStatsTable[Maximum]))</f>
        <v>1.5939517145847</v>
      </c>
      <c r="V276" cm="1">
        <f t="array" ref="V27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6">
        <f>IF((DiscreteStatsTable[[#This Row],[RepsRequested]]&gt;1),DiscreteStatsTable[[#This Row],[HalfWidth]],DiscreteStatsTable[[#This Row],[BatchMeansHalfWidth]])</f>
        <v>1.276828436655964E-3</v>
      </c>
      <c r="X276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131</v>
      </c>
      <c r="C277">
        <v>46</v>
      </c>
      <c r="D277" t="s">
        <v>70</v>
      </c>
      <c r="E277" t="s">
        <v>77</v>
      </c>
      <c r="F277" t="s">
        <v>72</v>
      </c>
      <c r="G277">
        <v>0.86842677113630995</v>
      </c>
      <c r="H277">
        <v>3E+20</v>
      </c>
      <c r="I277">
        <v>0</v>
      </c>
      <c r="J277">
        <v>12.692403519834899</v>
      </c>
      <c r="K277">
        <v>2429</v>
      </c>
      <c r="L277" t="str">
        <f>DiscreteStatsTable[[#This Row],[ProjectName]]&amp;DiscreteStatsTable[[#This Row],[Name]]&amp;DiscreteStatsTable[[#This Row],[Type]]&amp;DiscreteStatsTable[[#This Row],[Source]]</f>
        <v>PacientesEntity 1Wait TimeEntity</v>
      </c>
      <c r="M277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cm="1">
        <f t="array" ref="N277">IFERROR(AVERAGE(IF((DiscreteStatsTable[GroupByKey]=DiscreteStatsTable[[#This Row],[GroupByKey]]),(DiscreteStatsTable[GroupByKey]=DiscreteStatsTable[[#This Row],[GroupByKey]])*DiscreteStatsTable[Average])),0)</f>
        <v>0.86965903596573602</v>
      </c>
      <c r="O277" cm="1">
        <f t="array" ref="O277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77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77" cm="1">
        <f t="array" ref="R277">MIN(IF((DiscreteStatsTable[GroupByKey]=DiscreteStatsTable[[#This Row],[GroupByKey]]),(DiscreteStatsTable[GroupByKey]=DiscreteStatsTable[[#This Row],[GroupByKey]])*DiscreteStatsTable[Average]))</f>
        <v>0.58431254303614699</v>
      </c>
      <c r="S277" cm="1">
        <f t="array" ref="S277">MAX(IF((DiscreteStatsTable[GroupByKey]=DiscreteStatsTable[[#This Row],[GroupByKey]]),(DiscreteStatsTable[GroupByKey]=DiscreteStatsTable[[#This Row],[GroupByKey]])*DiscreteStatsTable[Average]))</f>
        <v>1.42140669319588</v>
      </c>
      <c r="T277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cm="1">
        <f t="array" ref="U277">MAX(IF((DiscreteStatsTable[GroupByKey]=DiscreteStatsTable[[#This Row],[GroupByKey]]),(DiscreteStatsTable[GroupByKey]=DiscreteStatsTable[[#This Row],[GroupByKey]])*DiscreteStatsTable[Maximum]))</f>
        <v>28.983199492767199</v>
      </c>
      <c r="V277" cm="1">
        <f t="array" ref="V27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7">
        <f>IF((DiscreteStatsTable[[#This Row],[RepsRequested]]&gt;1),DiscreteStatsTable[[#This Row],[HalfWidth]],DiscreteStatsTable[[#This Row],[BatchMeansHalfWidth]])</f>
        <v>6.0911976702528743E-2</v>
      </c>
      <c r="X277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131</v>
      </c>
      <c r="C278">
        <v>47</v>
      </c>
      <c r="D278" t="s">
        <v>70</v>
      </c>
      <c r="E278" t="s">
        <v>71</v>
      </c>
      <c r="F278" t="s">
        <v>72</v>
      </c>
      <c r="G278">
        <v>0</v>
      </c>
      <c r="H278">
        <v>0</v>
      </c>
      <c r="I278">
        <v>0</v>
      </c>
      <c r="J278">
        <v>0</v>
      </c>
      <c r="K278">
        <v>2450</v>
      </c>
      <c r="L278" t="str">
        <f>DiscreteStatsTable[[#This Row],[ProjectName]]&amp;DiscreteStatsTable[[#This Row],[Name]]&amp;DiscreteStatsTable[[#This Row],[Type]]&amp;DiscreteStatsTable[[#This Row],[Source]]</f>
        <v>PacientesEntity 1NVA TimeEntity</v>
      </c>
      <c r="M278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cm="1">
        <f t="array" ref="N278">IFERROR(AVERAGE(IF((DiscreteStatsTable[GroupByKey]=DiscreteStatsTable[[#This Row],[GroupByKey]]),(DiscreteStatsTable[GroupByKey]=DiscreteStatsTable[[#This Row],[GroupByKey]])*DiscreteStatsTable[Average])),0)</f>
        <v>0</v>
      </c>
      <c r="O278" cm="1">
        <f t="array" ref="O278">IFERROR(_xlfn.STDEV.S(IF((DiscreteStatsTable[GroupByKey]=DiscreteStatsTable[[#This Row],[GroupByKey]]),(DiscreteStatsTable[GroupByKey]=DiscreteStatsTable[[#This Row],[GroupByKey]])*DiscreteStatsTable[Average])),0)</f>
        <v>0</v>
      </c>
      <c r="P278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8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cm="1">
        <f t="array" ref="S278">MAX(IF((DiscreteStatsTable[GroupByKey]=DiscreteStatsTable[[#This Row],[GroupByKey]]),(DiscreteStatsTable[GroupByKey]=DiscreteStatsTable[[#This Row],[GroupByKey]])*DiscreteStatsTable[Average]))</f>
        <v>0</v>
      </c>
      <c r="T278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cm="1">
        <f t="array" ref="U278">MAX(IF((DiscreteStatsTable[GroupByKey]=DiscreteStatsTable[[#This Row],[GroupByKey]]),(DiscreteStatsTable[GroupByKey]=DiscreteStatsTable[[#This Row],[GroupByKey]])*DiscreteStatsTable[Maximum]))</f>
        <v>0</v>
      </c>
      <c r="V278" cm="1">
        <f t="array" ref="V27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8">
        <f>IF((DiscreteStatsTable[[#This Row],[RepsRequested]]&gt;1),DiscreteStatsTable[[#This Row],[HalfWidth]],DiscreteStatsTable[[#This Row],[BatchMeansHalfWidth]])</f>
        <v>0</v>
      </c>
      <c r="X278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131</v>
      </c>
      <c r="C279">
        <v>47</v>
      </c>
      <c r="D279" t="s">
        <v>70</v>
      </c>
      <c r="E279" t="s">
        <v>73</v>
      </c>
      <c r="F279" t="s">
        <v>72</v>
      </c>
      <c r="G279">
        <v>0</v>
      </c>
      <c r="H279">
        <v>0</v>
      </c>
      <c r="I279">
        <v>0</v>
      </c>
      <c r="J279">
        <v>0</v>
      </c>
      <c r="K279">
        <v>2450</v>
      </c>
      <c r="L279" t="str">
        <f>DiscreteStatsTable[[#This Row],[ProjectName]]&amp;DiscreteStatsTable[[#This Row],[Name]]&amp;DiscreteStatsTable[[#This Row],[Type]]&amp;DiscreteStatsTable[[#This Row],[Source]]</f>
        <v>PacientesEntity 1Other TimeEntity</v>
      </c>
      <c r="M279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cm="1">
        <f t="array" ref="N279">IFERROR(AVERAGE(IF((DiscreteStatsTable[GroupByKey]=DiscreteStatsTable[[#This Row],[GroupByKey]]),(DiscreteStatsTable[GroupByKey]=DiscreteStatsTable[[#This Row],[GroupByKey]])*DiscreteStatsTable[Average])),0)</f>
        <v>0</v>
      </c>
      <c r="O279" cm="1">
        <f t="array" ref="O279">IFERROR(_xlfn.STDEV.S(IF((DiscreteStatsTable[GroupByKey]=DiscreteStatsTable[[#This Row],[GroupByKey]]),(DiscreteStatsTable[GroupByKey]=DiscreteStatsTable[[#This Row],[GroupByKey]])*DiscreteStatsTable[Average])),0)</f>
        <v>0</v>
      </c>
      <c r="P279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9" cm="1">
        <f t="array" ref="R279">MIN(IF((DiscreteStatsTable[GroupByKey]=DiscreteStatsTable[[#This Row],[GroupByKey]]),(DiscreteStatsTable[GroupByKey]=DiscreteStatsTable[[#This Row],[GroupByKey]])*DiscreteStatsTable[Average]))</f>
        <v>0</v>
      </c>
      <c r="S279" cm="1">
        <f t="array" ref="S279">MAX(IF((DiscreteStatsTable[GroupByKey]=DiscreteStatsTable[[#This Row],[GroupByKey]]),(DiscreteStatsTable[GroupByKey]=DiscreteStatsTable[[#This Row],[GroupByKey]])*DiscreteStatsTable[Average]))</f>
        <v>0</v>
      </c>
      <c r="T279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cm="1">
        <f t="array" ref="U279">MAX(IF((DiscreteStatsTable[GroupByKey]=DiscreteStatsTable[[#This Row],[GroupByKey]]),(DiscreteStatsTable[GroupByKey]=DiscreteStatsTable[[#This Row],[GroupByKey]])*DiscreteStatsTable[Maximum]))</f>
        <v>0</v>
      </c>
      <c r="V279" cm="1">
        <f t="array" ref="V27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79">
        <f>IF((DiscreteStatsTable[[#This Row],[RepsRequested]]&gt;1),DiscreteStatsTable[[#This Row],[HalfWidth]],DiscreteStatsTable[[#This Row],[BatchMeansHalfWidth]])</f>
        <v>0</v>
      </c>
      <c r="X279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131</v>
      </c>
      <c r="C280">
        <v>47</v>
      </c>
      <c r="D280" t="s">
        <v>70</v>
      </c>
      <c r="E280" t="s">
        <v>74</v>
      </c>
      <c r="F280" t="s">
        <v>72</v>
      </c>
      <c r="G280">
        <v>1.6715362898562001</v>
      </c>
      <c r="H280">
        <v>3E+20</v>
      </c>
      <c r="I280">
        <v>0.248490123703277</v>
      </c>
      <c r="J280">
        <v>24.642408099828401</v>
      </c>
      <c r="K280">
        <v>2450</v>
      </c>
      <c r="L280" t="str">
        <f>DiscreteStatsTable[[#This Row],[ProjectName]]&amp;DiscreteStatsTable[[#This Row],[Name]]&amp;DiscreteStatsTable[[#This Row],[Type]]&amp;DiscreteStatsTable[[#This Row],[Source]]</f>
        <v>PacientesEntity 1Total TimeEntity</v>
      </c>
      <c r="M280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cm="1">
        <f t="array" ref="N280">IFERROR(AVERAGE(IF((DiscreteStatsTable[GroupByKey]=DiscreteStatsTable[[#This Row],[GroupByKey]]),(DiscreteStatsTable[GroupByKey]=DiscreteStatsTable[[#This Row],[GroupByKey]])*DiscreteStatsTable[Average])),0)</f>
        <v>1.5029966070875795</v>
      </c>
      <c r="O280" cm="1">
        <f t="array" ref="O28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80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80" cm="1">
        <f t="array" ref="R280">MIN(IF((DiscreteStatsTable[GroupByKey]=DiscreteStatsTable[[#This Row],[GroupByKey]]),(DiscreteStatsTable[GroupByKey]=DiscreteStatsTable[[#This Row],[GroupByKey]])*DiscreteStatsTable[Average]))</f>
        <v>1.21830768607881</v>
      </c>
      <c r="S280" cm="1">
        <f t="array" ref="S280">MAX(IF((DiscreteStatsTable[GroupByKey]=DiscreteStatsTable[[#This Row],[GroupByKey]]),(DiscreteStatsTable[GroupByKey]=DiscreteStatsTable[[#This Row],[GroupByKey]])*DiscreteStatsTable[Average]))</f>
        <v>2.06387223343107</v>
      </c>
      <c r="T280" cm="1">
        <f t="array" ref="T280">MIN(IF((DiscreteStatsTable[GroupByKey]=DiscreteStatsTable[[#This Row],[GroupByKey]]),(DiscreteStatsTable[GroupByKey]=DiscreteStatsTable[[#This Row],[GroupByKey]])*DiscreteStatsTable[Minimum]))</f>
        <v>0.203133309337034</v>
      </c>
      <c r="U280" cm="1">
        <f t="array" ref="U280">MAX(IF((DiscreteStatsTable[GroupByKey]=DiscreteStatsTable[[#This Row],[GroupByKey]]),(DiscreteStatsTable[GroupByKey]=DiscreteStatsTable[[#This Row],[GroupByKey]])*DiscreteStatsTable[Maximum]))</f>
        <v>29.554686467573401</v>
      </c>
      <c r="V280" cm="1">
        <f t="array" ref="V28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0">
        <f>IF((DiscreteStatsTable[[#This Row],[RepsRequested]]&gt;1),DiscreteStatsTable[[#This Row],[HalfWidth]],DiscreteStatsTable[[#This Row],[BatchMeansHalfWidth]])</f>
        <v>6.1205265903720704E-2</v>
      </c>
      <c r="X280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131</v>
      </c>
      <c r="C281">
        <v>47</v>
      </c>
      <c r="D281" t="s">
        <v>70</v>
      </c>
      <c r="E281" t="s">
        <v>75</v>
      </c>
      <c r="F281" t="s">
        <v>72</v>
      </c>
      <c r="G281">
        <v>0</v>
      </c>
      <c r="H281">
        <v>0</v>
      </c>
      <c r="I281">
        <v>0</v>
      </c>
      <c r="J281">
        <v>0</v>
      </c>
      <c r="K281">
        <v>2450</v>
      </c>
      <c r="L281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81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cm="1">
        <f t="array" ref="V28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1">
        <f>IF((DiscreteStatsTable[[#This Row],[RepsRequested]]&gt;1),DiscreteStatsTable[[#This Row],[HalfWidth]],DiscreteStatsTable[[#This Row],[BatchMeansHalfWidth]])</f>
        <v>0</v>
      </c>
      <c r="X281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131</v>
      </c>
      <c r="C282">
        <v>47</v>
      </c>
      <c r="D282" t="s">
        <v>70</v>
      </c>
      <c r="E282" t="s">
        <v>76</v>
      </c>
      <c r="F282" t="s">
        <v>72</v>
      </c>
      <c r="G282">
        <v>0.62899096145131195</v>
      </c>
      <c r="H282">
        <v>1.2368324129796601E-2</v>
      </c>
      <c r="I282">
        <v>0.23837595009592899</v>
      </c>
      <c r="J282">
        <v>1.57088833727698</v>
      </c>
      <c r="K282">
        <v>2450</v>
      </c>
      <c r="L282" t="str">
        <f>DiscreteStatsTable[[#This Row],[ProjectName]]&amp;DiscreteStatsTable[[#This Row],[Name]]&amp;DiscreteStatsTable[[#This Row],[Type]]&amp;DiscreteStatsTable[[#This Row],[Source]]</f>
        <v>PacientesEntity 1VA TimeEntity</v>
      </c>
      <c r="M282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cm="1">
        <f t="array" ref="N282">IFERROR(AVERAGE(IF((DiscreteStatsTable[GroupByKey]=DiscreteStatsTable[[#This Row],[GroupByKey]]),(DiscreteStatsTable[GroupByKey]=DiscreteStatsTable[[#This Row],[GroupByKey]])*DiscreteStatsTable[Average])),0)</f>
        <v>0.63333757112184219</v>
      </c>
      <c r="O282" cm="1">
        <f t="array" ref="O282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82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82" cm="1">
        <f t="array" ref="R282">MIN(IF((DiscreteStatsTable[GroupByKey]=DiscreteStatsTable[[#This Row],[GroupByKey]]),(DiscreteStatsTable[GroupByKey]=DiscreteStatsTable[[#This Row],[GroupByKey]])*DiscreteStatsTable[Average]))</f>
        <v>0.62319357082308402</v>
      </c>
      <c r="S282" cm="1">
        <f t="array" ref="S282">MAX(IF((DiscreteStatsTable[GroupByKey]=DiscreteStatsTable[[#This Row],[GroupByKey]]),(DiscreteStatsTable[GroupByKey]=DiscreteStatsTable[[#This Row],[GroupByKey]])*DiscreteStatsTable[Average]))</f>
        <v>0.64452003514622502</v>
      </c>
      <c r="T282" cm="1">
        <f t="array" ref="T282">MIN(IF((DiscreteStatsTable[GroupByKey]=DiscreteStatsTable[[#This Row],[GroupByKey]]),(DiscreteStatsTable[GroupByKey]=DiscreteStatsTable[[#This Row],[GroupByKey]])*DiscreteStatsTable[Minimum]))</f>
        <v>0.203133309337034</v>
      </c>
      <c r="U282" cm="1">
        <f t="array" ref="U282">MAX(IF((DiscreteStatsTable[GroupByKey]=DiscreteStatsTable[[#This Row],[GroupByKey]]),(DiscreteStatsTable[GroupByKey]=DiscreteStatsTable[[#This Row],[GroupByKey]])*DiscreteStatsTable[Maximum]))</f>
        <v>1.5939517145847</v>
      </c>
      <c r="V282" cm="1">
        <f t="array" ref="V28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2">
        <f>IF((DiscreteStatsTable[[#This Row],[RepsRequested]]&gt;1),DiscreteStatsTable[[#This Row],[HalfWidth]],DiscreteStatsTable[[#This Row],[BatchMeansHalfWidth]])</f>
        <v>1.276828436655964E-3</v>
      </c>
      <c r="X282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131</v>
      </c>
      <c r="C283">
        <v>47</v>
      </c>
      <c r="D283" t="s">
        <v>70</v>
      </c>
      <c r="E283" t="s">
        <v>77</v>
      </c>
      <c r="F283" t="s">
        <v>72</v>
      </c>
      <c r="G283">
        <v>1.04254532840489</v>
      </c>
      <c r="H283">
        <v>3E+20</v>
      </c>
      <c r="I283">
        <v>0</v>
      </c>
      <c r="J283">
        <v>24.241349171041801</v>
      </c>
      <c r="K283">
        <v>2450</v>
      </c>
      <c r="L283" t="str">
        <f>DiscreteStatsTable[[#This Row],[ProjectName]]&amp;DiscreteStatsTable[[#This Row],[Name]]&amp;DiscreteStatsTable[[#This Row],[Type]]&amp;DiscreteStatsTable[[#This Row],[Source]]</f>
        <v>PacientesEntity 1Wait TimeEntity</v>
      </c>
      <c r="M283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cm="1">
        <f t="array" ref="N283">IFERROR(AVERAGE(IF((DiscreteStatsTable[GroupByKey]=DiscreteStatsTable[[#This Row],[GroupByKey]]),(DiscreteStatsTable[GroupByKey]=DiscreteStatsTable[[#This Row],[GroupByKey]])*DiscreteStatsTable[Average])),0)</f>
        <v>0.86965903596573602</v>
      </c>
      <c r="O283" cm="1">
        <f t="array" ref="O283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83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83" cm="1">
        <f t="array" ref="R283">MIN(IF((DiscreteStatsTable[GroupByKey]=DiscreteStatsTable[[#This Row],[GroupByKey]]),(DiscreteStatsTable[GroupByKey]=DiscreteStatsTable[[#This Row],[GroupByKey]])*DiscreteStatsTable[Average]))</f>
        <v>0.58431254303614699</v>
      </c>
      <c r="S283" cm="1">
        <f t="array" ref="S283">MAX(IF((DiscreteStatsTable[GroupByKey]=DiscreteStatsTable[[#This Row],[GroupByKey]]),(DiscreteStatsTable[GroupByKey]=DiscreteStatsTable[[#This Row],[GroupByKey]])*DiscreteStatsTable[Average]))</f>
        <v>1.42140669319588</v>
      </c>
      <c r="T283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cm="1">
        <f t="array" ref="U283">MAX(IF((DiscreteStatsTable[GroupByKey]=DiscreteStatsTable[[#This Row],[GroupByKey]]),(DiscreteStatsTable[GroupByKey]=DiscreteStatsTable[[#This Row],[GroupByKey]])*DiscreteStatsTable[Maximum]))</f>
        <v>28.983199492767199</v>
      </c>
      <c r="V283" cm="1">
        <f t="array" ref="V28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3">
        <f>IF((DiscreteStatsTable[[#This Row],[RepsRequested]]&gt;1),DiscreteStatsTable[[#This Row],[HalfWidth]],DiscreteStatsTable[[#This Row],[BatchMeansHalfWidth]])</f>
        <v>6.0911976702528743E-2</v>
      </c>
      <c r="X283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131</v>
      </c>
      <c r="C284">
        <v>48</v>
      </c>
      <c r="D284" t="s">
        <v>70</v>
      </c>
      <c r="E284" t="s">
        <v>71</v>
      </c>
      <c r="F284" t="s">
        <v>72</v>
      </c>
      <c r="G284">
        <v>0</v>
      </c>
      <c r="H284">
        <v>0</v>
      </c>
      <c r="I284">
        <v>0</v>
      </c>
      <c r="J284">
        <v>0</v>
      </c>
      <c r="K284">
        <v>2413</v>
      </c>
      <c r="L284" t="str">
        <f>DiscreteStatsTable[[#This Row],[ProjectName]]&amp;DiscreteStatsTable[[#This Row],[Name]]&amp;DiscreteStatsTable[[#This Row],[Type]]&amp;DiscreteStatsTable[[#This Row],[Source]]</f>
        <v>PacientesEntity 1NVA TimeEntity</v>
      </c>
      <c r="M284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cm="1">
        <f t="array" ref="N284">IFERROR(AVERAGE(IF((DiscreteStatsTable[GroupByKey]=DiscreteStatsTable[[#This Row],[GroupByKey]]),(DiscreteStatsTable[GroupByKey]=DiscreteStatsTable[[#This Row],[GroupByKey]])*DiscreteStatsTable[Average])),0)</f>
        <v>0</v>
      </c>
      <c r="O284" cm="1">
        <f t="array" ref="O284">IFERROR(_xlfn.STDEV.S(IF((DiscreteStatsTable[GroupByKey]=DiscreteStatsTable[[#This Row],[GroupByKey]]),(DiscreteStatsTable[GroupByKey]=DiscreteStatsTable[[#This Row],[GroupByKey]])*DiscreteStatsTable[Average])),0)</f>
        <v>0</v>
      </c>
      <c r="P284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4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cm="1">
        <f t="array" ref="S284">MAX(IF((DiscreteStatsTable[GroupByKey]=DiscreteStatsTable[[#This Row],[GroupByKey]]),(DiscreteStatsTable[GroupByKey]=DiscreteStatsTable[[#This Row],[GroupByKey]])*DiscreteStatsTable[Average]))</f>
        <v>0</v>
      </c>
      <c r="T284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cm="1">
        <f t="array" ref="U284">MAX(IF((DiscreteStatsTable[GroupByKey]=DiscreteStatsTable[[#This Row],[GroupByKey]]),(DiscreteStatsTable[GroupByKey]=DiscreteStatsTable[[#This Row],[GroupByKey]])*DiscreteStatsTable[Maximum]))</f>
        <v>0</v>
      </c>
      <c r="V284" cm="1">
        <f t="array" ref="V28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4">
        <f>IF((DiscreteStatsTable[[#This Row],[RepsRequested]]&gt;1),DiscreteStatsTable[[#This Row],[HalfWidth]],DiscreteStatsTable[[#This Row],[BatchMeansHalfWidth]])</f>
        <v>0</v>
      </c>
      <c r="X284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131</v>
      </c>
      <c r="C285">
        <v>48</v>
      </c>
      <c r="D285" t="s">
        <v>70</v>
      </c>
      <c r="E285" t="s">
        <v>73</v>
      </c>
      <c r="F285" t="s">
        <v>72</v>
      </c>
      <c r="G285">
        <v>0</v>
      </c>
      <c r="H285">
        <v>0</v>
      </c>
      <c r="I285">
        <v>0</v>
      </c>
      <c r="J285">
        <v>0</v>
      </c>
      <c r="K285">
        <v>2413</v>
      </c>
      <c r="L285" t="str">
        <f>DiscreteStatsTable[[#This Row],[ProjectName]]&amp;DiscreteStatsTable[[#This Row],[Name]]&amp;DiscreteStatsTable[[#This Row],[Type]]&amp;DiscreteStatsTable[[#This Row],[Source]]</f>
        <v>PacientesEntity 1Other TimeEntity</v>
      </c>
      <c r="M28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cm="1">
        <f t="array" ref="N285">IFERROR(AVERAGE(IF((DiscreteStatsTable[GroupByKey]=DiscreteStatsTable[[#This Row],[GroupByKey]]),(DiscreteStatsTable[GroupByKey]=DiscreteStatsTable[[#This Row],[GroupByKey]])*DiscreteStatsTable[Average])),0)</f>
        <v>0</v>
      </c>
      <c r="O285" cm="1">
        <f t="array" ref="O285">IFERROR(_xlfn.STDEV.S(IF((DiscreteStatsTable[GroupByKey]=DiscreteStatsTable[[#This Row],[GroupByKey]]),(DiscreteStatsTable[GroupByKey]=DiscreteStatsTable[[#This Row],[GroupByKey]])*DiscreteStatsTable[Average])),0)</f>
        <v>0</v>
      </c>
      <c r="P28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5" cm="1">
        <f t="array" ref="R285">MIN(IF((DiscreteStatsTable[GroupByKey]=DiscreteStatsTable[[#This Row],[GroupByKey]]),(DiscreteStatsTable[GroupByKey]=DiscreteStatsTable[[#This Row],[GroupByKey]])*DiscreteStatsTable[Average]))</f>
        <v>0</v>
      </c>
      <c r="S285" cm="1">
        <f t="array" ref="S285">MAX(IF((DiscreteStatsTable[GroupByKey]=DiscreteStatsTable[[#This Row],[GroupByKey]]),(DiscreteStatsTable[GroupByKey]=DiscreteStatsTable[[#This Row],[GroupByKey]])*DiscreteStatsTable[Average]))</f>
        <v>0</v>
      </c>
      <c r="T28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cm="1">
        <f t="array" ref="U285">MAX(IF((DiscreteStatsTable[GroupByKey]=DiscreteStatsTable[[#This Row],[GroupByKey]]),(DiscreteStatsTable[GroupByKey]=DiscreteStatsTable[[#This Row],[GroupByKey]])*DiscreteStatsTable[Maximum]))</f>
        <v>0</v>
      </c>
      <c r="V285" cm="1">
        <f t="array" ref="V28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5">
        <f>IF((DiscreteStatsTable[[#This Row],[RepsRequested]]&gt;1),DiscreteStatsTable[[#This Row],[HalfWidth]],DiscreteStatsTable[[#This Row],[BatchMeansHalfWidth]])</f>
        <v>0</v>
      </c>
      <c r="X28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131</v>
      </c>
      <c r="C286">
        <v>48</v>
      </c>
      <c r="D286" t="s">
        <v>70</v>
      </c>
      <c r="E286" t="s">
        <v>74</v>
      </c>
      <c r="F286" t="s">
        <v>72</v>
      </c>
      <c r="G286">
        <v>1.32921062936687</v>
      </c>
      <c r="H286">
        <v>0.22382798837387999</v>
      </c>
      <c r="I286">
        <v>0.231873147989063</v>
      </c>
      <c r="J286">
        <v>14.8474430211882</v>
      </c>
      <c r="K286">
        <v>2413</v>
      </c>
      <c r="L286" t="str">
        <f>DiscreteStatsTable[[#This Row],[ProjectName]]&amp;DiscreteStatsTable[[#This Row],[Name]]&amp;DiscreteStatsTable[[#This Row],[Type]]&amp;DiscreteStatsTable[[#This Row],[Source]]</f>
        <v>PacientesEntity 1Total TimeEntity</v>
      </c>
      <c r="M286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cm="1">
        <f t="array" ref="N286">IFERROR(AVERAGE(IF((DiscreteStatsTable[GroupByKey]=DiscreteStatsTable[[#This Row],[GroupByKey]]),(DiscreteStatsTable[GroupByKey]=DiscreteStatsTable[[#This Row],[GroupByKey]])*DiscreteStatsTable[Average])),0)</f>
        <v>1.5029966070875795</v>
      </c>
      <c r="O286" cm="1">
        <f t="array" ref="O28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86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86" cm="1">
        <f t="array" ref="R286">MIN(IF((DiscreteStatsTable[GroupByKey]=DiscreteStatsTable[[#This Row],[GroupByKey]]),(DiscreteStatsTable[GroupByKey]=DiscreteStatsTable[[#This Row],[GroupByKey]])*DiscreteStatsTable[Average]))</f>
        <v>1.21830768607881</v>
      </c>
      <c r="S286" cm="1">
        <f t="array" ref="S286">MAX(IF((DiscreteStatsTable[GroupByKey]=DiscreteStatsTable[[#This Row],[GroupByKey]]),(DiscreteStatsTable[GroupByKey]=DiscreteStatsTable[[#This Row],[GroupByKey]])*DiscreteStatsTable[Average]))</f>
        <v>2.06387223343107</v>
      </c>
      <c r="T286" cm="1">
        <f t="array" ref="T286">MIN(IF((DiscreteStatsTable[GroupByKey]=DiscreteStatsTable[[#This Row],[GroupByKey]]),(DiscreteStatsTable[GroupByKey]=DiscreteStatsTable[[#This Row],[GroupByKey]])*DiscreteStatsTable[Minimum]))</f>
        <v>0.203133309337034</v>
      </c>
      <c r="U286" cm="1">
        <f t="array" ref="U286">MAX(IF((DiscreteStatsTable[GroupByKey]=DiscreteStatsTable[[#This Row],[GroupByKey]]),(DiscreteStatsTable[GroupByKey]=DiscreteStatsTable[[#This Row],[GroupByKey]])*DiscreteStatsTable[Maximum]))</f>
        <v>29.554686467573401</v>
      </c>
      <c r="V286" cm="1">
        <f t="array" ref="V28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6">
        <f>IF((DiscreteStatsTable[[#This Row],[RepsRequested]]&gt;1),DiscreteStatsTable[[#This Row],[HalfWidth]],DiscreteStatsTable[[#This Row],[BatchMeansHalfWidth]])</f>
        <v>6.1205265903720704E-2</v>
      </c>
      <c r="X286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131</v>
      </c>
      <c r="C287">
        <v>48</v>
      </c>
      <c r="D287" t="s">
        <v>70</v>
      </c>
      <c r="E287" t="s">
        <v>75</v>
      </c>
      <c r="F287" t="s">
        <v>72</v>
      </c>
      <c r="G287">
        <v>0</v>
      </c>
      <c r="H287">
        <v>0</v>
      </c>
      <c r="I287">
        <v>0</v>
      </c>
      <c r="J287">
        <v>0</v>
      </c>
      <c r="K287">
        <v>2413</v>
      </c>
      <c r="L287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87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cm="1">
        <f t="array" ref="V28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7">
        <f>IF((DiscreteStatsTable[[#This Row],[RepsRequested]]&gt;1),DiscreteStatsTable[[#This Row],[HalfWidth]],DiscreteStatsTable[[#This Row],[BatchMeansHalfWidth]])</f>
        <v>0</v>
      </c>
      <c r="X287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131</v>
      </c>
      <c r="C288">
        <v>48</v>
      </c>
      <c r="D288" t="s">
        <v>70</v>
      </c>
      <c r="E288" t="s">
        <v>76</v>
      </c>
      <c r="F288" t="s">
        <v>72</v>
      </c>
      <c r="G288">
        <v>0.62969512594589305</v>
      </c>
      <c r="H288">
        <v>1.2981723039055299E-2</v>
      </c>
      <c r="I288">
        <v>0.231873147989063</v>
      </c>
      <c r="J288">
        <v>1.57745961460603</v>
      </c>
      <c r="K288">
        <v>2413</v>
      </c>
      <c r="L288" t="str">
        <f>DiscreteStatsTable[[#This Row],[ProjectName]]&amp;DiscreteStatsTable[[#This Row],[Name]]&amp;DiscreteStatsTable[[#This Row],[Type]]&amp;DiscreteStatsTable[[#This Row],[Source]]</f>
        <v>PacientesEntity 1VA TimeEntity</v>
      </c>
      <c r="M288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cm="1">
        <f t="array" ref="N288">IFERROR(AVERAGE(IF((DiscreteStatsTable[GroupByKey]=DiscreteStatsTable[[#This Row],[GroupByKey]]),(DiscreteStatsTable[GroupByKey]=DiscreteStatsTable[[#This Row],[GroupByKey]])*DiscreteStatsTable[Average])),0)</f>
        <v>0.63333757112184219</v>
      </c>
      <c r="O288" cm="1">
        <f t="array" ref="O288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88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88" cm="1">
        <f t="array" ref="R288">MIN(IF((DiscreteStatsTable[GroupByKey]=DiscreteStatsTable[[#This Row],[GroupByKey]]),(DiscreteStatsTable[GroupByKey]=DiscreteStatsTable[[#This Row],[GroupByKey]])*DiscreteStatsTable[Average]))</f>
        <v>0.62319357082308402</v>
      </c>
      <c r="S288" cm="1">
        <f t="array" ref="S288">MAX(IF((DiscreteStatsTable[GroupByKey]=DiscreteStatsTable[[#This Row],[GroupByKey]]),(DiscreteStatsTable[GroupByKey]=DiscreteStatsTable[[#This Row],[GroupByKey]])*DiscreteStatsTable[Average]))</f>
        <v>0.64452003514622502</v>
      </c>
      <c r="T288" cm="1">
        <f t="array" ref="T288">MIN(IF((DiscreteStatsTable[GroupByKey]=DiscreteStatsTable[[#This Row],[GroupByKey]]),(DiscreteStatsTable[GroupByKey]=DiscreteStatsTable[[#This Row],[GroupByKey]])*DiscreteStatsTable[Minimum]))</f>
        <v>0.203133309337034</v>
      </c>
      <c r="U288" cm="1">
        <f t="array" ref="U288">MAX(IF((DiscreteStatsTable[GroupByKey]=DiscreteStatsTable[[#This Row],[GroupByKey]]),(DiscreteStatsTable[GroupByKey]=DiscreteStatsTable[[#This Row],[GroupByKey]])*DiscreteStatsTable[Maximum]))</f>
        <v>1.5939517145847</v>
      </c>
      <c r="V288" cm="1">
        <f t="array" ref="V28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8">
        <f>IF((DiscreteStatsTable[[#This Row],[RepsRequested]]&gt;1),DiscreteStatsTable[[#This Row],[HalfWidth]],DiscreteStatsTable[[#This Row],[BatchMeansHalfWidth]])</f>
        <v>1.276828436655964E-3</v>
      </c>
      <c r="X288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131</v>
      </c>
      <c r="C289">
        <v>48</v>
      </c>
      <c r="D289" t="s">
        <v>70</v>
      </c>
      <c r="E289" t="s">
        <v>77</v>
      </c>
      <c r="F289" t="s">
        <v>72</v>
      </c>
      <c r="G289">
        <v>0.69951550342098001</v>
      </c>
      <c r="H289">
        <v>0.21924906306285399</v>
      </c>
      <c r="I289">
        <v>0</v>
      </c>
      <c r="J289">
        <v>14.426057510744499</v>
      </c>
      <c r="K289">
        <v>2413</v>
      </c>
      <c r="L289" t="str">
        <f>DiscreteStatsTable[[#This Row],[ProjectName]]&amp;DiscreteStatsTable[[#This Row],[Name]]&amp;DiscreteStatsTable[[#This Row],[Type]]&amp;DiscreteStatsTable[[#This Row],[Source]]</f>
        <v>PacientesEntity 1Wait TimeEntity</v>
      </c>
      <c r="M289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cm="1">
        <f t="array" ref="N289">IFERROR(AVERAGE(IF((DiscreteStatsTable[GroupByKey]=DiscreteStatsTable[[#This Row],[GroupByKey]]),(DiscreteStatsTable[GroupByKey]=DiscreteStatsTable[[#This Row],[GroupByKey]])*DiscreteStatsTable[Average])),0)</f>
        <v>0.86965903596573602</v>
      </c>
      <c r="O289" cm="1">
        <f t="array" ref="O289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89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89" cm="1">
        <f t="array" ref="R289">MIN(IF((DiscreteStatsTable[GroupByKey]=DiscreteStatsTable[[#This Row],[GroupByKey]]),(DiscreteStatsTable[GroupByKey]=DiscreteStatsTable[[#This Row],[GroupByKey]])*DiscreteStatsTable[Average]))</f>
        <v>0.58431254303614699</v>
      </c>
      <c r="S289" cm="1">
        <f t="array" ref="S289">MAX(IF((DiscreteStatsTable[GroupByKey]=DiscreteStatsTable[[#This Row],[GroupByKey]]),(DiscreteStatsTable[GroupByKey]=DiscreteStatsTable[[#This Row],[GroupByKey]])*DiscreteStatsTable[Average]))</f>
        <v>1.42140669319588</v>
      </c>
      <c r="T289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cm="1">
        <f t="array" ref="U289">MAX(IF((DiscreteStatsTable[GroupByKey]=DiscreteStatsTable[[#This Row],[GroupByKey]]),(DiscreteStatsTable[GroupByKey]=DiscreteStatsTable[[#This Row],[GroupByKey]])*DiscreteStatsTable[Maximum]))</f>
        <v>28.983199492767199</v>
      </c>
      <c r="V289" cm="1">
        <f t="array" ref="V28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89">
        <f>IF((DiscreteStatsTable[[#This Row],[RepsRequested]]&gt;1),DiscreteStatsTable[[#This Row],[HalfWidth]],DiscreteStatsTable[[#This Row],[BatchMeansHalfWidth]])</f>
        <v>6.0911976702528743E-2</v>
      </c>
      <c r="X289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131</v>
      </c>
      <c r="C290">
        <v>49</v>
      </c>
      <c r="D290" t="s">
        <v>70</v>
      </c>
      <c r="E290" t="s">
        <v>71</v>
      </c>
      <c r="F290" t="s">
        <v>72</v>
      </c>
      <c r="G290">
        <v>0</v>
      </c>
      <c r="H290">
        <v>0</v>
      </c>
      <c r="I290">
        <v>0</v>
      </c>
      <c r="J290">
        <v>0</v>
      </c>
      <c r="K290">
        <v>2385</v>
      </c>
      <c r="L290" t="str">
        <f>DiscreteStatsTable[[#This Row],[ProjectName]]&amp;DiscreteStatsTable[[#This Row],[Name]]&amp;DiscreteStatsTable[[#This Row],[Type]]&amp;DiscreteStatsTable[[#This Row],[Source]]</f>
        <v>PacientesEntity 1NVA TimeEntity</v>
      </c>
      <c r="M290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cm="1">
        <f t="array" ref="N290">IFERROR(AVERAGE(IF((DiscreteStatsTable[GroupByKey]=DiscreteStatsTable[[#This Row],[GroupByKey]]),(DiscreteStatsTable[GroupByKey]=DiscreteStatsTable[[#This Row],[GroupByKey]])*DiscreteStatsTable[Average])),0)</f>
        <v>0</v>
      </c>
      <c r="O290" cm="1">
        <f t="array" ref="O290">IFERROR(_xlfn.STDEV.S(IF((DiscreteStatsTable[GroupByKey]=DiscreteStatsTable[[#This Row],[GroupByKey]]),(DiscreteStatsTable[GroupByKey]=DiscreteStatsTable[[#This Row],[GroupByKey]])*DiscreteStatsTable[Average])),0)</f>
        <v>0</v>
      </c>
      <c r="P290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0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cm="1">
        <f t="array" ref="S290">MAX(IF((DiscreteStatsTable[GroupByKey]=DiscreteStatsTable[[#This Row],[GroupByKey]]),(DiscreteStatsTable[GroupByKey]=DiscreteStatsTable[[#This Row],[GroupByKey]])*DiscreteStatsTable[Average]))</f>
        <v>0</v>
      </c>
      <c r="T290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cm="1">
        <f t="array" ref="U290">MAX(IF((DiscreteStatsTable[GroupByKey]=DiscreteStatsTable[[#This Row],[GroupByKey]]),(DiscreteStatsTable[GroupByKey]=DiscreteStatsTable[[#This Row],[GroupByKey]])*DiscreteStatsTable[Maximum]))</f>
        <v>0</v>
      </c>
      <c r="V290" cm="1">
        <f t="array" ref="V29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0">
        <f>IF((DiscreteStatsTable[[#This Row],[RepsRequested]]&gt;1),DiscreteStatsTable[[#This Row],[HalfWidth]],DiscreteStatsTable[[#This Row],[BatchMeansHalfWidth]])</f>
        <v>0</v>
      </c>
      <c r="X290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131</v>
      </c>
      <c r="C291">
        <v>49</v>
      </c>
      <c r="D291" t="s">
        <v>70</v>
      </c>
      <c r="E291" t="s">
        <v>73</v>
      </c>
      <c r="F291" t="s">
        <v>72</v>
      </c>
      <c r="G291">
        <v>0</v>
      </c>
      <c r="H291">
        <v>0</v>
      </c>
      <c r="I291">
        <v>0</v>
      </c>
      <c r="J291">
        <v>0</v>
      </c>
      <c r="K291">
        <v>2385</v>
      </c>
      <c r="L291" t="str">
        <f>DiscreteStatsTable[[#This Row],[ProjectName]]&amp;DiscreteStatsTable[[#This Row],[Name]]&amp;DiscreteStatsTable[[#This Row],[Type]]&amp;DiscreteStatsTable[[#This Row],[Source]]</f>
        <v>PacientesEntity 1Other TimeEntity</v>
      </c>
      <c r="M291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cm="1">
        <f t="array" ref="N291">IFERROR(AVERAGE(IF((DiscreteStatsTable[GroupByKey]=DiscreteStatsTable[[#This Row],[GroupByKey]]),(DiscreteStatsTable[GroupByKey]=DiscreteStatsTable[[#This Row],[GroupByKey]])*DiscreteStatsTable[Average])),0)</f>
        <v>0</v>
      </c>
      <c r="O291" cm="1">
        <f t="array" ref="O291">IFERROR(_xlfn.STDEV.S(IF((DiscreteStatsTable[GroupByKey]=DiscreteStatsTable[[#This Row],[GroupByKey]]),(DiscreteStatsTable[GroupByKey]=DiscreteStatsTable[[#This Row],[GroupByKey]])*DiscreteStatsTable[Average])),0)</f>
        <v>0</v>
      </c>
      <c r="P291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1" cm="1">
        <f t="array" ref="R291">MIN(IF((DiscreteStatsTable[GroupByKey]=DiscreteStatsTable[[#This Row],[GroupByKey]]),(DiscreteStatsTable[GroupByKey]=DiscreteStatsTable[[#This Row],[GroupByKey]])*DiscreteStatsTable[Average]))</f>
        <v>0</v>
      </c>
      <c r="S291" cm="1">
        <f t="array" ref="S291">MAX(IF((DiscreteStatsTable[GroupByKey]=DiscreteStatsTable[[#This Row],[GroupByKey]]),(DiscreteStatsTable[GroupByKey]=DiscreteStatsTable[[#This Row],[GroupByKey]])*DiscreteStatsTable[Average]))</f>
        <v>0</v>
      </c>
      <c r="T291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cm="1">
        <f t="array" ref="U291">MAX(IF((DiscreteStatsTable[GroupByKey]=DiscreteStatsTable[[#This Row],[GroupByKey]]),(DiscreteStatsTable[GroupByKey]=DiscreteStatsTable[[#This Row],[GroupByKey]])*DiscreteStatsTable[Maximum]))</f>
        <v>0</v>
      </c>
      <c r="V291" cm="1">
        <f t="array" ref="V29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1">
        <f>IF((DiscreteStatsTable[[#This Row],[RepsRequested]]&gt;1),DiscreteStatsTable[[#This Row],[HalfWidth]],DiscreteStatsTable[[#This Row],[BatchMeansHalfWidth]])</f>
        <v>0</v>
      </c>
      <c r="X291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131</v>
      </c>
      <c r="C292">
        <v>49</v>
      </c>
      <c r="D292" t="s">
        <v>70</v>
      </c>
      <c r="E292" t="s">
        <v>74</v>
      </c>
      <c r="F292" t="s">
        <v>72</v>
      </c>
      <c r="G292">
        <v>1.4165043639487001</v>
      </c>
      <c r="H292">
        <v>0.20992983757747899</v>
      </c>
      <c r="I292">
        <v>0.22914863277776501</v>
      </c>
      <c r="J292">
        <v>12.295049315713101</v>
      </c>
      <c r="K292">
        <v>2385</v>
      </c>
      <c r="L292" t="str">
        <f>DiscreteStatsTable[[#This Row],[ProjectName]]&amp;DiscreteStatsTable[[#This Row],[Name]]&amp;DiscreteStatsTable[[#This Row],[Type]]&amp;DiscreteStatsTable[[#This Row],[Source]]</f>
        <v>PacientesEntity 1Total TimeEntity</v>
      </c>
      <c r="M292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cm="1">
        <f t="array" ref="N292">IFERROR(AVERAGE(IF((DiscreteStatsTable[GroupByKey]=DiscreteStatsTable[[#This Row],[GroupByKey]]),(DiscreteStatsTable[GroupByKey]=DiscreteStatsTable[[#This Row],[GroupByKey]])*DiscreteStatsTable[Average])),0)</f>
        <v>1.5029966070875795</v>
      </c>
      <c r="O292" cm="1">
        <f t="array" ref="O29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92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92" cm="1">
        <f t="array" ref="R292">MIN(IF((DiscreteStatsTable[GroupByKey]=DiscreteStatsTable[[#This Row],[GroupByKey]]),(DiscreteStatsTable[GroupByKey]=DiscreteStatsTable[[#This Row],[GroupByKey]])*DiscreteStatsTable[Average]))</f>
        <v>1.21830768607881</v>
      </c>
      <c r="S292" cm="1">
        <f t="array" ref="S292">MAX(IF((DiscreteStatsTable[GroupByKey]=DiscreteStatsTable[[#This Row],[GroupByKey]]),(DiscreteStatsTable[GroupByKey]=DiscreteStatsTable[[#This Row],[GroupByKey]])*DiscreteStatsTable[Average]))</f>
        <v>2.06387223343107</v>
      </c>
      <c r="T292" cm="1">
        <f t="array" ref="T292">MIN(IF((DiscreteStatsTable[GroupByKey]=DiscreteStatsTable[[#This Row],[GroupByKey]]),(DiscreteStatsTable[GroupByKey]=DiscreteStatsTable[[#This Row],[GroupByKey]])*DiscreteStatsTable[Minimum]))</f>
        <v>0.203133309337034</v>
      </c>
      <c r="U292" cm="1">
        <f t="array" ref="U292">MAX(IF((DiscreteStatsTable[GroupByKey]=DiscreteStatsTable[[#This Row],[GroupByKey]]),(DiscreteStatsTable[GroupByKey]=DiscreteStatsTable[[#This Row],[GroupByKey]])*DiscreteStatsTable[Maximum]))</f>
        <v>29.554686467573401</v>
      </c>
      <c r="V292" cm="1">
        <f t="array" ref="V29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2">
        <f>IF((DiscreteStatsTable[[#This Row],[RepsRequested]]&gt;1),DiscreteStatsTable[[#This Row],[HalfWidth]],DiscreteStatsTable[[#This Row],[BatchMeansHalfWidth]])</f>
        <v>6.1205265903720704E-2</v>
      </c>
      <c r="X292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131</v>
      </c>
      <c r="C293">
        <v>49</v>
      </c>
      <c r="D293" t="s">
        <v>70</v>
      </c>
      <c r="E293" t="s">
        <v>75</v>
      </c>
      <c r="F293" t="s">
        <v>72</v>
      </c>
      <c r="G293">
        <v>0</v>
      </c>
      <c r="H293">
        <v>0</v>
      </c>
      <c r="I293">
        <v>0</v>
      </c>
      <c r="J293">
        <v>0</v>
      </c>
      <c r="K293">
        <v>2385</v>
      </c>
      <c r="L293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93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cm="1">
        <f t="array" ref="V29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3">
        <f>IF((DiscreteStatsTable[[#This Row],[RepsRequested]]&gt;1),DiscreteStatsTable[[#This Row],[HalfWidth]],DiscreteStatsTable[[#This Row],[BatchMeansHalfWidth]])</f>
        <v>0</v>
      </c>
      <c r="X293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131</v>
      </c>
      <c r="C294">
        <v>49</v>
      </c>
      <c r="D294" t="s">
        <v>70</v>
      </c>
      <c r="E294" t="s">
        <v>76</v>
      </c>
      <c r="F294" t="s">
        <v>72</v>
      </c>
      <c r="G294">
        <v>0.63454245523786101</v>
      </c>
      <c r="H294">
        <v>1.17830903776563E-2</v>
      </c>
      <c r="I294">
        <v>0.22914863277776501</v>
      </c>
      <c r="J294">
        <v>1.5687777921322901</v>
      </c>
      <c r="K294">
        <v>2385</v>
      </c>
      <c r="L294" t="str">
        <f>DiscreteStatsTable[[#This Row],[ProjectName]]&amp;DiscreteStatsTable[[#This Row],[Name]]&amp;DiscreteStatsTable[[#This Row],[Type]]&amp;DiscreteStatsTable[[#This Row],[Source]]</f>
        <v>PacientesEntity 1VA TimeEntity</v>
      </c>
      <c r="M294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cm="1">
        <f t="array" ref="N294">IFERROR(AVERAGE(IF((DiscreteStatsTable[GroupByKey]=DiscreteStatsTable[[#This Row],[GroupByKey]]),(DiscreteStatsTable[GroupByKey]=DiscreteStatsTable[[#This Row],[GroupByKey]])*DiscreteStatsTable[Average])),0)</f>
        <v>0.63333757112184219</v>
      </c>
      <c r="O294" cm="1">
        <f t="array" ref="O294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294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294" cm="1">
        <f t="array" ref="R294">MIN(IF((DiscreteStatsTable[GroupByKey]=DiscreteStatsTable[[#This Row],[GroupByKey]]),(DiscreteStatsTable[GroupByKey]=DiscreteStatsTable[[#This Row],[GroupByKey]])*DiscreteStatsTable[Average]))</f>
        <v>0.62319357082308402</v>
      </c>
      <c r="S294" cm="1">
        <f t="array" ref="S294">MAX(IF((DiscreteStatsTable[GroupByKey]=DiscreteStatsTable[[#This Row],[GroupByKey]]),(DiscreteStatsTable[GroupByKey]=DiscreteStatsTable[[#This Row],[GroupByKey]])*DiscreteStatsTable[Average]))</f>
        <v>0.64452003514622502</v>
      </c>
      <c r="T294" cm="1">
        <f t="array" ref="T294">MIN(IF((DiscreteStatsTable[GroupByKey]=DiscreteStatsTable[[#This Row],[GroupByKey]]),(DiscreteStatsTable[GroupByKey]=DiscreteStatsTable[[#This Row],[GroupByKey]])*DiscreteStatsTable[Minimum]))</f>
        <v>0.203133309337034</v>
      </c>
      <c r="U294" cm="1">
        <f t="array" ref="U294">MAX(IF((DiscreteStatsTable[GroupByKey]=DiscreteStatsTable[[#This Row],[GroupByKey]]),(DiscreteStatsTable[GroupByKey]=DiscreteStatsTable[[#This Row],[GroupByKey]])*DiscreteStatsTable[Maximum]))</f>
        <v>1.5939517145847</v>
      </c>
      <c r="V294" cm="1">
        <f t="array" ref="V29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4">
        <f>IF((DiscreteStatsTable[[#This Row],[RepsRequested]]&gt;1),DiscreteStatsTable[[#This Row],[HalfWidth]],DiscreteStatsTable[[#This Row],[BatchMeansHalfWidth]])</f>
        <v>1.276828436655964E-3</v>
      </c>
      <c r="X294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131</v>
      </c>
      <c r="C295">
        <v>49</v>
      </c>
      <c r="D295" t="s">
        <v>70</v>
      </c>
      <c r="E295" t="s">
        <v>77</v>
      </c>
      <c r="F295" t="s">
        <v>72</v>
      </c>
      <c r="G295">
        <v>0.78196190871083904</v>
      </c>
      <c r="H295">
        <v>0.206537910038395</v>
      </c>
      <c r="I295">
        <v>0</v>
      </c>
      <c r="J295">
        <v>11.8456561494501</v>
      </c>
      <c r="K295">
        <v>2385</v>
      </c>
      <c r="L295" t="str">
        <f>DiscreteStatsTable[[#This Row],[ProjectName]]&amp;DiscreteStatsTable[[#This Row],[Name]]&amp;DiscreteStatsTable[[#This Row],[Type]]&amp;DiscreteStatsTable[[#This Row],[Source]]</f>
        <v>PacientesEntity 1Wait TimeEntity</v>
      </c>
      <c r="M29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cm="1">
        <f t="array" ref="N295">IFERROR(AVERAGE(IF((DiscreteStatsTable[GroupByKey]=DiscreteStatsTable[[#This Row],[GroupByKey]]),(DiscreteStatsTable[GroupByKey]=DiscreteStatsTable[[#This Row],[GroupByKey]])*DiscreteStatsTable[Average])),0)</f>
        <v>0.86965903596573602</v>
      </c>
      <c r="O295" cm="1">
        <f t="array" ref="O295">IFERROR(_xlfn.STDEV.S(IF((DiscreteStatsTable[GroupByKey]=DiscreteStatsTable[[#This Row],[GroupByKey]]),(DiscreteStatsTable[GroupByKey]=DiscreteStatsTable[[#This Row],[GroupByKey]])*DiscreteStatsTable[Average])),0)</f>
        <v>0.21433022753287986</v>
      </c>
      <c r="P29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295" cm="1">
        <f t="array" ref="R295">MIN(IF((DiscreteStatsTable[GroupByKey]=DiscreteStatsTable[[#This Row],[GroupByKey]]),(DiscreteStatsTable[GroupByKey]=DiscreteStatsTable[[#This Row],[GroupByKey]])*DiscreteStatsTable[Average]))</f>
        <v>0.58431254303614699</v>
      </c>
      <c r="S295" cm="1">
        <f t="array" ref="S295">MAX(IF((DiscreteStatsTable[GroupByKey]=DiscreteStatsTable[[#This Row],[GroupByKey]]),(DiscreteStatsTable[GroupByKey]=DiscreteStatsTable[[#This Row],[GroupByKey]])*DiscreteStatsTable[Average]))</f>
        <v>1.42140669319588</v>
      </c>
      <c r="T29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cm="1">
        <f t="array" ref="U295">MAX(IF((DiscreteStatsTable[GroupByKey]=DiscreteStatsTable[[#This Row],[GroupByKey]]),(DiscreteStatsTable[GroupByKey]=DiscreteStatsTable[[#This Row],[GroupByKey]])*DiscreteStatsTable[Maximum]))</f>
        <v>28.983199492767199</v>
      </c>
      <c r="V295" cm="1">
        <f t="array" ref="V29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5">
        <f>IF((DiscreteStatsTable[[#This Row],[RepsRequested]]&gt;1),DiscreteStatsTable[[#This Row],[HalfWidth]],DiscreteStatsTable[[#This Row],[BatchMeansHalfWidth]])</f>
        <v>6.0911976702528743E-2</v>
      </c>
      <c r="X29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131</v>
      </c>
      <c r="C296">
        <v>50</v>
      </c>
      <c r="D296" t="s">
        <v>70</v>
      </c>
      <c r="E296" t="s">
        <v>71</v>
      </c>
      <c r="F296" t="s">
        <v>72</v>
      </c>
      <c r="G296">
        <v>0</v>
      </c>
      <c r="H296">
        <v>0</v>
      </c>
      <c r="I296">
        <v>0</v>
      </c>
      <c r="J296">
        <v>0</v>
      </c>
      <c r="K296">
        <v>2431</v>
      </c>
      <c r="L296" t="str">
        <f>DiscreteStatsTable[[#This Row],[ProjectName]]&amp;DiscreteStatsTable[[#This Row],[Name]]&amp;DiscreteStatsTable[[#This Row],[Type]]&amp;DiscreteStatsTable[[#This Row],[Source]]</f>
        <v>PacientesEntity 1NVA TimeEntity</v>
      </c>
      <c r="M296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cm="1">
        <f t="array" ref="N296">IFERROR(AVERAGE(IF((DiscreteStatsTable[GroupByKey]=DiscreteStatsTable[[#This Row],[GroupByKey]]),(DiscreteStatsTable[GroupByKey]=DiscreteStatsTable[[#This Row],[GroupByKey]])*DiscreteStatsTable[Average])),0)</f>
        <v>0</v>
      </c>
      <c r="O296" cm="1">
        <f t="array" ref="O296">IFERROR(_xlfn.STDEV.S(IF((DiscreteStatsTable[GroupByKey]=DiscreteStatsTable[[#This Row],[GroupByKey]]),(DiscreteStatsTable[GroupByKey]=DiscreteStatsTable[[#This Row],[GroupByKey]])*DiscreteStatsTable[Average])),0)</f>
        <v>0</v>
      </c>
      <c r="P296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6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cm="1">
        <f t="array" ref="S296">MAX(IF((DiscreteStatsTable[GroupByKey]=DiscreteStatsTable[[#This Row],[GroupByKey]]),(DiscreteStatsTable[GroupByKey]=DiscreteStatsTable[[#This Row],[GroupByKey]])*DiscreteStatsTable[Average]))</f>
        <v>0</v>
      </c>
      <c r="T296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cm="1">
        <f t="array" ref="U296">MAX(IF((DiscreteStatsTable[GroupByKey]=DiscreteStatsTable[[#This Row],[GroupByKey]]),(DiscreteStatsTable[GroupByKey]=DiscreteStatsTable[[#This Row],[GroupByKey]])*DiscreteStatsTable[Maximum]))</f>
        <v>0</v>
      </c>
      <c r="V296" cm="1">
        <f t="array" ref="V29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6">
        <f>IF((DiscreteStatsTable[[#This Row],[RepsRequested]]&gt;1),DiscreteStatsTable[[#This Row],[HalfWidth]],DiscreteStatsTable[[#This Row],[BatchMeansHalfWidth]])</f>
        <v>0</v>
      </c>
      <c r="X296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131</v>
      </c>
      <c r="C297">
        <v>50</v>
      </c>
      <c r="D297" t="s">
        <v>70</v>
      </c>
      <c r="E297" t="s">
        <v>73</v>
      </c>
      <c r="F297" t="s">
        <v>72</v>
      </c>
      <c r="G297">
        <v>0</v>
      </c>
      <c r="H297">
        <v>0</v>
      </c>
      <c r="I297">
        <v>0</v>
      </c>
      <c r="J297">
        <v>0</v>
      </c>
      <c r="K297">
        <v>2431</v>
      </c>
      <c r="L297" t="str">
        <f>DiscreteStatsTable[[#This Row],[ProjectName]]&amp;DiscreteStatsTable[[#This Row],[Name]]&amp;DiscreteStatsTable[[#This Row],[Type]]&amp;DiscreteStatsTable[[#This Row],[Source]]</f>
        <v>PacientesEntity 1Other TimeEntity</v>
      </c>
      <c r="M297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cm="1">
        <f t="array" ref="N297">IFERROR(AVERAGE(IF((DiscreteStatsTable[GroupByKey]=DiscreteStatsTable[[#This Row],[GroupByKey]]),(DiscreteStatsTable[GroupByKey]=DiscreteStatsTable[[#This Row],[GroupByKey]])*DiscreteStatsTable[Average])),0)</f>
        <v>0</v>
      </c>
      <c r="O297" cm="1">
        <f t="array" ref="O297">IFERROR(_xlfn.STDEV.S(IF((DiscreteStatsTable[GroupByKey]=DiscreteStatsTable[[#This Row],[GroupByKey]]),(DiscreteStatsTable[GroupByKey]=DiscreteStatsTable[[#This Row],[GroupByKey]])*DiscreteStatsTable[Average])),0)</f>
        <v>0</v>
      </c>
      <c r="P297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7" cm="1">
        <f t="array" ref="R297">MIN(IF((DiscreteStatsTable[GroupByKey]=DiscreteStatsTable[[#This Row],[GroupByKey]]),(DiscreteStatsTable[GroupByKey]=DiscreteStatsTable[[#This Row],[GroupByKey]])*DiscreteStatsTable[Average]))</f>
        <v>0</v>
      </c>
      <c r="S297" cm="1">
        <f t="array" ref="S297">MAX(IF((DiscreteStatsTable[GroupByKey]=DiscreteStatsTable[[#This Row],[GroupByKey]]),(DiscreteStatsTable[GroupByKey]=DiscreteStatsTable[[#This Row],[GroupByKey]])*DiscreteStatsTable[Average]))</f>
        <v>0</v>
      </c>
      <c r="T297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cm="1">
        <f t="array" ref="U297">MAX(IF((DiscreteStatsTable[GroupByKey]=DiscreteStatsTable[[#This Row],[GroupByKey]]),(DiscreteStatsTable[GroupByKey]=DiscreteStatsTable[[#This Row],[GroupByKey]])*DiscreteStatsTable[Maximum]))</f>
        <v>0</v>
      </c>
      <c r="V297" cm="1">
        <f t="array" ref="V29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7">
        <f>IF((DiscreteStatsTable[[#This Row],[RepsRequested]]&gt;1),DiscreteStatsTable[[#This Row],[HalfWidth]],DiscreteStatsTable[[#This Row],[BatchMeansHalfWidth]])</f>
        <v>0</v>
      </c>
      <c r="X297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131</v>
      </c>
      <c r="C298">
        <v>50</v>
      </c>
      <c r="D298" t="s">
        <v>70</v>
      </c>
      <c r="E298" t="s">
        <v>74</v>
      </c>
      <c r="F298" t="s">
        <v>72</v>
      </c>
      <c r="G298">
        <v>1.7689298518047201</v>
      </c>
      <c r="H298">
        <v>3E+20</v>
      </c>
      <c r="I298">
        <v>0.23986953287840199</v>
      </c>
      <c r="J298">
        <v>19.1491845365926</v>
      </c>
      <c r="K298">
        <v>2431</v>
      </c>
      <c r="L298" t="str">
        <f>DiscreteStatsTable[[#This Row],[ProjectName]]&amp;DiscreteStatsTable[[#This Row],[Name]]&amp;DiscreteStatsTable[[#This Row],[Type]]&amp;DiscreteStatsTable[[#This Row],[Source]]</f>
        <v>PacientesEntity 1Total TimeEntity</v>
      </c>
      <c r="M298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cm="1">
        <f t="array" ref="N298">IFERROR(AVERAGE(IF((DiscreteStatsTable[GroupByKey]=DiscreteStatsTable[[#This Row],[GroupByKey]]),(DiscreteStatsTable[GroupByKey]=DiscreteStatsTable[[#This Row],[GroupByKey]])*DiscreteStatsTable[Average])),0)</f>
        <v>1.5029966070875795</v>
      </c>
      <c r="O298" cm="1">
        <f t="array" ref="O29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298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298" cm="1">
        <f t="array" ref="R298">MIN(IF((DiscreteStatsTable[GroupByKey]=DiscreteStatsTable[[#This Row],[GroupByKey]]),(DiscreteStatsTable[GroupByKey]=DiscreteStatsTable[[#This Row],[GroupByKey]])*DiscreteStatsTable[Average]))</f>
        <v>1.21830768607881</v>
      </c>
      <c r="S298" cm="1">
        <f t="array" ref="S298">MAX(IF((DiscreteStatsTable[GroupByKey]=DiscreteStatsTable[[#This Row],[GroupByKey]]),(DiscreteStatsTable[GroupByKey]=DiscreteStatsTable[[#This Row],[GroupByKey]])*DiscreteStatsTable[Average]))</f>
        <v>2.06387223343107</v>
      </c>
      <c r="T298" cm="1">
        <f t="array" ref="T298">MIN(IF((DiscreteStatsTable[GroupByKey]=DiscreteStatsTable[[#This Row],[GroupByKey]]),(DiscreteStatsTable[GroupByKey]=DiscreteStatsTable[[#This Row],[GroupByKey]])*DiscreteStatsTable[Minimum]))</f>
        <v>0.203133309337034</v>
      </c>
      <c r="U298" cm="1">
        <f t="array" ref="U298">MAX(IF((DiscreteStatsTable[GroupByKey]=DiscreteStatsTable[[#This Row],[GroupByKey]]),(DiscreteStatsTable[GroupByKey]=DiscreteStatsTable[[#This Row],[GroupByKey]])*DiscreteStatsTable[Maximum]))</f>
        <v>29.554686467573401</v>
      </c>
      <c r="V298" cm="1">
        <f t="array" ref="V29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8">
        <f>IF((DiscreteStatsTable[[#This Row],[RepsRequested]]&gt;1),DiscreteStatsTable[[#This Row],[HalfWidth]],DiscreteStatsTable[[#This Row],[BatchMeansHalfWidth]])</f>
        <v>6.1205265903720704E-2</v>
      </c>
      <c r="X298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131</v>
      </c>
      <c r="C299">
        <v>50</v>
      </c>
      <c r="D299" t="s">
        <v>70</v>
      </c>
      <c r="E299" t="s">
        <v>75</v>
      </c>
      <c r="F299" t="s">
        <v>72</v>
      </c>
      <c r="G299">
        <v>0</v>
      </c>
      <c r="H299">
        <v>0</v>
      </c>
      <c r="I299">
        <v>0</v>
      </c>
      <c r="J299">
        <v>0</v>
      </c>
      <c r="K299">
        <v>2431</v>
      </c>
      <c r="L299" t="str">
        <f>DiscreteStatsTable[[#This Row],[ProjectName]]&amp;DiscreteStatsTable[[#This Row],[Name]]&amp;DiscreteStatsTable[[#This Row],[Type]]&amp;DiscreteStatsTable[[#This Row],[Source]]</f>
        <v>PacientesEntity 1Transfer TimeEntity</v>
      </c>
      <c r="M299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cm="1">
        <f t="array" ref="V29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299">
        <f>IF((DiscreteStatsTable[[#This Row],[RepsRequested]]&gt;1),DiscreteStatsTable[[#This Row],[HalfWidth]],DiscreteStatsTable[[#This Row],[BatchMeansHalfWidth]])</f>
        <v>0</v>
      </c>
      <c r="X299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131</v>
      </c>
      <c r="C300">
        <v>50</v>
      </c>
      <c r="D300" t="s">
        <v>70</v>
      </c>
      <c r="E300" t="s">
        <v>76</v>
      </c>
      <c r="F300" t="s">
        <v>72</v>
      </c>
      <c r="G300">
        <v>0.63019204465101197</v>
      </c>
      <c r="H300">
        <v>1.42947575236172E-2</v>
      </c>
      <c r="I300">
        <v>0.23060976486681301</v>
      </c>
      <c r="J300">
        <v>1.5367657655886</v>
      </c>
      <c r="K300">
        <v>2431</v>
      </c>
      <c r="L300" t="str">
        <f>DiscreteStatsTable[[#This Row],[ProjectName]]&amp;DiscreteStatsTable[[#This Row],[Name]]&amp;DiscreteStatsTable[[#This Row],[Type]]&amp;DiscreteStatsTable[[#This Row],[Source]]</f>
        <v>PacientesEntity 1VA TimeEntity</v>
      </c>
      <c r="M300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cm="1">
        <f t="array" ref="N300">IFERROR(AVERAGE(IF((DiscreteStatsTable[GroupByKey]=DiscreteStatsTable[[#This Row],[GroupByKey]]),(DiscreteStatsTable[GroupByKey]=DiscreteStatsTable[[#This Row],[GroupByKey]])*DiscreteStatsTable[Average])),0)</f>
        <v>0.63333757112184219</v>
      </c>
      <c r="O300" cm="1">
        <f t="array" ref="O300">IFERROR(_xlfn.STDEV.S(IF((DiscreteStatsTable[GroupByKey]=DiscreteStatsTable[[#This Row],[GroupByKey]]),(DiscreteStatsTable[GroupByKey]=DiscreteStatsTable[[#This Row],[GroupByKey]])*DiscreteStatsTable[Average])),0)</f>
        <v>4.4927606057736597E-3</v>
      </c>
      <c r="P300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1.276828436655964E-3</v>
      </c>
      <c r="R300" cm="1">
        <f t="array" ref="R300">MIN(IF((DiscreteStatsTable[GroupByKey]=DiscreteStatsTable[[#This Row],[GroupByKey]]),(DiscreteStatsTable[GroupByKey]=DiscreteStatsTable[[#This Row],[GroupByKey]])*DiscreteStatsTable[Average]))</f>
        <v>0.62319357082308402</v>
      </c>
      <c r="S300" cm="1">
        <f t="array" ref="S300">MAX(IF((DiscreteStatsTable[GroupByKey]=DiscreteStatsTable[[#This Row],[GroupByKey]]),(DiscreteStatsTable[GroupByKey]=DiscreteStatsTable[[#This Row],[GroupByKey]])*DiscreteStatsTable[Average]))</f>
        <v>0.64452003514622502</v>
      </c>
      <c r="T300" cm="1">
        <f t="array" ref="T300">MIN(IF((DiscreteStatsTable[GroupByKey]=DiscreteStatsTable[[#This Row],[GroupByKey]]),(DiscreteStatsTable[GroupByKey]=DiscreteStatsTable[[#This Row],[GroupByKey]])*DiscreteStatsTable[Minimum]))</f>
        <v>0.203133309337034</v>
      </c>
      <c r="U300" cm="1">
        <f t="array" ref="U300">MAX(IF((DiscreteStatsTable[GroupByKey]=DiscreteStatsTable[[#This Row],[GroupByKey]]),(DiscreteStatsTable[GroupByKey]=DiscreteStatsTable[[#This Row],[GroupByKey]])*DiscreteStatsTable[Maximum]))</f>
        <v>1.5939517145847</v>
      </c>
      <c r="V300" cm="1">
        <f t="array" ref="V30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0">
        <f>IF((DiscreteStatsTable[[#This Row],[RepsRequested]]&gt;1),DiscreteStatsTable[[#This Row],[HalfWidth]],DiscreteStatsTable[[#This Row],[BatchMeansHalfWidth]])</f>
        <v>1.276828436655964E-3</v>
      </c>
      <c r="X300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131</v>
      </c>
      <c r="C301">
        <v>50</v>
      </c>
      <c r="D301" t="s">
        <v>70</v>
      </c>
      <c r="E301" t="s">
        <v>77</v>
      </c>
      <c r="F301" t="s">
        <v>72</v>
      </c>
      <c r="G301">
        <v>1.13873780715371</v>
      </c>
      <c r="H301">
        <v>3E+20</v>
      </c>
      <c r="I301">
        <v>0</v>
      </c>
      <c r="J301">
        <v>18.776916858284899</v>
      </c>
      <c r="K301">
        <v>2431</v>
      </c>
      <c r="L301" t="str">
        <f>DiscreteStatsTable[[#This Row],[ProjectName]]&amp;DiscreteStatsTable[[#This Row],[Name]]&amp;DiscreteStatsTable[[#This Row],[Type]]&amp;DiscreteStatsTable[[#This Row],[Source]]</f>
        <v>PacientesEntity 1Wait TimeEntity</v>
      </c>
      <c r="M301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cm="1">
        <f t="array" ref="N301">IFERROR(AVERAGE(IF((DiscreteStatsTable[GroupByKey]=DiscreteStatsTable[[#This Row],[GroupByKey]]),(DiscreteStatsTable[GroupByKey]=DiscreteStatsTable[[#This Row],[GroupByKey]])*DiscreteStatsTable[Average])),0)</f>
        <v>0.86965903596573602</v>
      </c>
      <c r="O301" cm="1">
        <f t="array" ref="O301">IFERROR(_xlfn.STDEV.S(IF((DiscreteStatsTable[GroupByKey]=DiscreteStatsTable[[#This Row],[GroupByKey]]),(DiscreteStatsTable[GroupByKey]=DiscreteStatsTable[[#This Row],[GroupByKey]])*DiscreteStatsTable[Average])),0)</f>
        <v>0.21433022753287986</v>
      </c>
      <c r="P301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6.0911976702528743E-2</v>
      </c>
      <c r="R301" cm="1">
        <f t="array" ref="R301">MIN(IF((DiscreteStatsTable[GroupByKey]=DiscreteStatsTable[[#This Row],[GroupByKey]]),(DiscreteStatsTable[GroupByKey]=DiscreteStatsTable[[#This Row],[GroupByKey]])*DiscreteStatsTable[Average]))</f>
        <v>0.58431254303614699</v>
      </c>
      <c r="S301" cm="1">
        <f t="array" ref="S301">MAX(IF((DiscreteStatsTable[GroupByKey]=DiscreteStatsTable[[#This Row],[GroupByKey]]),(DiscreteStatsTable[GroupByKey]=DiscreteStatsTable[[#This Row],[GroupByKey]])*DiscreteStatsTable[Average]))</f>
        <v>1.42140669319588</v>
      </c>
      <c r="T301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cm="1">
        <f t="array" ref="U301">MAX(IF((DiscreteStatsTable[GroupByKey]=DiscreteStatsTable[[#This Row],[GroupByKey]]),(DiscreteStatsTable[GroupByKey]=DiscreteStatsTable[[#This Row],[GroupByKey]])*DiscreteStatsTable[Maximum]))</f>
        <v>28.983199492767199</v>
      </c>
      <c r="V301" cm="1">
        <f t="array" ref="V30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1">
        <f>IF((DiscreteStatsTable[[#This Row],[RepsRequested]]&gt;1),DiscreteStatsTable[[#This Row],[HalfWidth]],DiscreteStatsTable[[#This Row],[BatchMeansHalfWidth]])</f>
        <v>6.0911976702528743E-2</v>
      </c>
      <c r="X301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131</v>
      </c>
      <c r="C302">
        <v>1</v>
      </c>
      <c r="D302" t="s">
        <v>78</v>
      </c>
      <c r="E302" t="s">
        <v>79</v>
      </c>
      <c r="F302" t="s">
        <v>80</v>
      </c>
      <c r="G302">
        <v>1.4240124232093501</v>
      </c>
      <c r="H302">
        <v>0.32535634117114798</v>
      </c>
      <c r="I302">
        <v>0.124268373543032</v>
      </c>
      <c r="J302">
        <v>16.936927264534901</v>
      </c>
      <c r="K302">
        <v>2423</v>
      </c>
      <c r="L302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02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cm="1">
        <f t="array" ref="N302">IFERROR(AVERAGE(IF((DiscreteStatsTable[GroupByKey]=DiscreteStatsTable[[#This Row],[GroupByKey]]),(DiscreteStatsTable[GroupByKey]=DiscreteStatsTable[[#This Row],[GroupByKey]])*DiscreteStatsTable[Average])),0)</f>
        <v>1.2976784780992308</v>
      </c>
      <c r="O302" cm="1">
        <f t="array" ref="O302">IFERROR(_xlfn.STDEV.S(IF((DiscreteStatsTable[GroupByKey]=DiscreteStatsTable[[#This Row],[GroupByKey]]),(DiscreteStatsTable[GroupByKey]=DiscreteStatsTable[[#This Row],[GroupByKey]])*DiscreteStatsTable[Average])),0)</f>
        <v>0.214255822712483</v>
      </c>
      <c r="P302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02" cm="1">
        <f t="array" ref="R302">MIN(IF((DiscreteStatsTable[GroupByKey]=DiscreteStatsTable[[#This Row],[GroupByKey]]),(DiscreteStatsTable[GroupByKey]=DiscreteStatsTable[[#This Row],[GroupByKey]])*DiscreteStatsTable[Average]))</f>
        <v>1.00825666115094</v>
      </c>
      <c r="S302" cm="1">
        <f t="array" ref="S302">MAX(IF((DiscreteStatsTable[GroupByKey]=DiscreteStatsTable[[#This Row],[GroupByKey]]),(DiscreteStatsTable[GroupByKey]=DiscreteStatsTable[[#This Row],[GroupByKey]])*DiscreteStatsTable[Average]))</f>
        <v>1.85589832994621</v>
      </c>
      <c r="T302" cm="1">
        <f t="array" ref="T302">MIN(IF((DiscreteStatsTable[GroupByKey]=DiscreteStatsTable[[#This Row],[GroupByKey]]),(DiscreteStatsTable[GroupByKey]=DiscreteStatsTable[[#This Row],[GroupByKey]])*DiscreteStatsTable[Minimum]))</f>
        <v>0.10260384490715101</v>
      </c>
      <c r="U302" cm="1">
        <f t="array" ref="U302">MAX(IF((DiscreteStatsTable[GroupByKey]=DiscreteStatsTable[[#This Row],[GroupByKey]]),(DiscreteStatsTable[GroupByKey]=DiscreteStatsTable[[#This Row],[GroupByKey]])*DiscreteStatsTable[Maximum]))</f>
        <v>29.378397097512401</v>
      </c>
      <c r="V302" cm="1">
        <f t="array" ref="V30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2">
        <f>IF((DiscreteStatsTable[[#This Row],[RepsRequested]]&gt;1),DiscreteStatsTable[[#This Row],[HalfWidth]],DiscreteStatsTable[[#This Row],[BatchMeansHalfWidth]])</f>
        <v>6.0890831086538234E-2</v>
      </c>
      <c r="X302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131</v>
      </c>
      <c r="C303">
        <v>1</v>
      </c>
      <c r="D303" t="s">
        <v>78</v>
      </c>
      <c r="E303" t="s">
        <v>81</v>
      </c>
      <c r="F303" t="s">
        <v>80</v>
      </c>
      <c r="G303">
        <v>0.49323834793927002</v>
      </c>
      <c r="H303">
        <v>1.55373558625575E-2</v>
      </c>
      <c r="I303">
        <v>0.11275453129297799</v>
      </c>
      <c r="J303">
        <v>1.57885572992268</v>
      </c>
      <c r="K303">
        <v>2423</v>
      </c>
      <c r="L303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03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cm="1">
        <f t="array" ref="N303">IFERROR(AVERAGE(IF((DiscreteStatsTable[GroupByKey]=DiscreteStatsTable[[#This Row],[GroupByKey]]),(DiscreteStatsTable[GroupByKey]=DiscreteStatsTable[[#This Row],[GroupByKey]])*DiscreteStatsTable[Average])),0)</f>
        <v>0.49210501840783172</v>
      </c>
      <c r="O303" cm="1">
        <f t="array" ref="O303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03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03" cm="1">
        <f t="array" ref="R303">MIN(IF((DiscreteStatsTable[GroupByKey]=DiscreteStatsTable[[#This Row],[GroupByKey]]),(DiscreteStatsTable[GroupByKey]=DiscreteStatsTable[[#This Row],[GroupByKey]])*DiscreteStatsTable[Average]))</f>
        <v>0.481748748376016</v>
      </c>
      <c r="S303" cm="1">
        <f t="array" ref="S303">MAX(IF((DiscreteStatsTable[GroupByKey]=DiscreteStatsTable[[#This Row],[GroupByKey]]),(DiscreteStatsTable[GroupByKey]=DiscreteStatsTable[[#This Row],[GroupByKey]])*DiscreteStatsTable[Average]))</f>
        <v>0.50324408220295003</v>
      </c>
      <c r="T303" cm="1">
        <f t="array" ref="T303">MIN(IF((DiscreteStatsTable[GroupByKey]=DiscreteStatsTable[[#This Row],[GroupByKey]]),(DiscreteStatsTable[GroupByKey]=DiscreteStatsTable[[#This Row],[GroupByKey]])*DiscreteStatsTable[Minimum]))</f>
        <v>0.101748731497707</v>
      </c>
      <c r="U303" cm="1">
        <f t="array" ref="U303">MAX(IF((DiscreteStatsTable[GroupByKey]=DiscreteStatsTable[[#This Row],[GroupByKey]]),(DiscreteStatsTable[GroupByKey]=DiscreteStatsTable[[#This Row],[GroupByKey]])*DiscreteStatsTable[Maximum]))</f>
        <v>1.5939517145847</v>
      </c>
      <c r="V303" cm="1">
        <f t="array" ref="V30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3">
        <f>IF((DiscreteStatsTable[[#This Row],[RepsRequested]]&gt;1),DiscreteStatsTable[[#This Row],[HalfWidth]],DiscreteStatsTable[[#This Row],[BatchMeansHalfWidth]])</f>
        <v>1.3583273853576923E-3</v>
      </c>
      <c r="X303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131</v>
      </c>
      <c r="C304">
        <v>1</v>
      </c>
      <c r="D304" t="s">
        <v>78</v>
      </c>
      <c r="E304" t="s">
        <v>82</v>
      </c>
      <c r="F304" t="s">
        <v>80</v>
      </c>
      <c r="G304">
        <v>0.93077407527008005</v>
      </c>
      <c r="H304">
        <v>0.32552488192529899</v>
      </c>
      <c r="I304">
        <v>0</v>
      </c>
      <c r="J304">
        <v>16.752914155724099</v>
      </c>
      <c r="K304">
        <v>2423</v>
      </c>
      <c r="L304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04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cm="1">
        <f t="array" ref="N304">IFERROR(AVERAGE(IF((DiscreteStatsTable[GroupByKey]=DiscreteStatsTable[[#This Row],[GroupByKey]]),(DiscreteStatsTable[GroupByKey]=DiscreteStatsTable[[#This Row],[GroupByKey]])*DiscreteStatsTable[Average])),0)</f>
        <v>0.80557345969139849</v>
      </c>
      <c r="O304" cm="1">
        <f t="array" ref="O304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04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04" cm="1">
        <f t="array" ref="R304">MIN(IF((DiscreteStatsTable[GroupByKey]=DiscreteStatsTable[[#This Row],[GroupByKey]]),(DiscreteStatsTable[GroupByKey]=DiscreteStatsTable[[#This Row],[GroupByKey]])*DiscreteStatsTable[Average]))</f>
        <v>0.515986961752252</v>
      </c>
      <c r="S304" cm="1">
        <f t="array" ref="S304">MAX(IF((DiscreteStatsTable[GroupByKey]=DiscreteStatsTable[[#This Row],[GroupByKey]]),(DiscreteStatsTable[GroupByKey]=DiscreteStatsTable[[#This Row],[GroupByKey]])*DiscreteStatsTable[Average]))</f>
        <v>1.3542194698792001</v>
      </c>
      <c r="T304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cm="1">
        <f t="array" ref="U304">MAX(IF((DiscreteStatsTable[GroupByKey]=DiscreteStatsTable[[#This Row],[GroupByKey]]),(DiscreteStatsTable[GroupByKey]=DiscreteStatsTable[[#This Row],[GroupByKey]])*DiscreteStatsTable[Maximum]))</f>
        <v>28.983199492767199</v>
      </c>
      <c r="V304" cm="1">
        <f t="array" ref="V30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4">
        <f>IF((DiscreteStatsTable[[#This Row],[RepsRequested]]&gt;1),DiscreteStatsTable[[#This Row],[HalfWidth]],DiscreteStatsTable[[#This Row],[BatchMeansHalfWidth]])</f>
        <v>6.0520109610092528E-2</v>
      </c>
      <c r="X304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131</v>
      </c>
      <c r="C305">
        <v>2</v>
      </c>
      <c r="D305" t="s">
        <v>78</v>
      </c>
      <c r="E305" t="s">
        <v>79</v>
      </c>
      <c r="F305" t="s">
        <v>80</v>
      </c>
      <c r="G305">
        <v>1.07052465125858</v>
      </c>
      <c r="H305">
        <v>3E+20</v>
      </c>
      <c r="I305">
        <v>0.109178375090778</v>
      </c>
      <c r="J305">
        <v>9.1646277646826206</v>
      </c>
      <c r="K305">
        <v>2398</v>
      </c>
      <c r="L305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0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cm="1">
        <f t="array" ref="N305">IFERROR(AVERAGE(IF((DiscreteStatsTable[GroupByKey]=DiscreteStatsTable[[#This Row],[GroupByKey]]),(DiscreteStatsTable[GroupByKey]=DiscreteStatsTable[[#This Row],[GroupByKey]])*DiscreteStatsTable[Average])),0)</f>
        <v>1.2976784780992308</v>
      </c>
      <c r="O305" cm="1">
        <f t="array" ref="O305">IFERROR(_xlfn.STDEV.S(IF((DiscreteStatsTable[GroupByKey]=DiscreteStatsTable[[#This Row],[GroupByKey]]),(DiscreteStatsTable[GroupByKey]=DiscreteStatsTable[[#This Row],[GroupByKey]])*DiscreteStatsTable[Average])),0)</f>
        <v>0.214255822712483</v>
      </c>
      <c r="P30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05" cm="1">
        <f t="array" ref="R305">MIN(IF((DiscreteStatsTable[GroupByKey]=DiscreteStatsTable[[#This Row],[GroupByKey]]),(DiscreteStatsTable[GroupByKey]=DiscreteStatsTable[[#This Row],[GroupByKey]])*DiscreteStatsTable[Average]))</f>
        <v>1.00825666115094</v>
      </c>
      <c r="S305" cm="1">
        <f t="array" ref="S305">MAX(IF((DiscreteStatsTable[GroupByKey]=DiscreteStatsTable[[#This Row],[GroupByKey]]),(DiscreteStatsTable[GroupByKey]=DiscreteStatsTable[[#This Row],[GroupByKey]])*DiscreteStatsTable[Average]))</f>
        <v>1.85589832994621</v>
      </c>
      <c r="T305" cm="1">
        <f t="array" ref="T305">MIN(IF((DiscreteStatsTable[GroupByKey]=DiscreteStatsTable[[#This Row],[GroupByKey]]),(DiscreteStatsTable[GroupByKey]=DiscreteStatsTable[[#This Row],[GroupByKey]])*DiscreteStatsTable[Minimum]))</f>
        <v>0.10260384490715101</v>
      </c>
      <c r="U305" cm="1">
        <f t="array" ref="U305">MAX(IF((DiscreteStatsTable[GroupByKey]=DiscreteStatsTable[[#This Row],[GroupByKey]]),(DiscreteStatsTable[GroupByKey]=DiscreteStatsTable[[#This Row],[GroupByKey]])*DiscreteStatsTable[Maximum]))</f>
        <v>29.378397097512401</v>
      </c>
      <c r="V305" cm="1">
        <f t="array" ref="V30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5">
        <f>IF((DiscreteStatsTable[[#This Row],[RepsRequested]]&gt;1),DiscreteStatsTable[[#This Row],[HalfWidth]],DiscreteStatsTable[[#This Row],[BatchMeansHalfWidth]])</f>
        <v>6.0890831086538234E-2</v>
      </c>
      <c r="X30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131</v>
      </c>
      <c r="C306">
        <v>2</v>
      </c>
      <c r="D306" t="s">
        <v>78</v>
      </c>
      <c r="E306" t="s">
        <v>81</v>
      </c>
      <c r="F306" t="s">
        <v>80</v>
      </c>
      <c r="G306">
        <v>0.48625295562694099</v>
      </c>
      <c r="H306">
        <v>1.04454986110754E-2</v>
      </c>
      <c r="I306">
        <v>0.109178375090778</v>
      </c>
      <c r="J306">
        <v>1.5394248170907201</v>
      </c>
      <c r="K306">
        <v>2398</v>
      </c>
      <c r="L306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06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cm="1">
        <f t="array" ref="N306">IFERROR(AVERAGE(IF((DiscreteStatsTable[GroupByKey]=DiscreteStatsTable[[#This Row],[GroupByKey]]),(DiscreteStatsTable[GroupByKey]=DiscreteStatsTable[[#This Row],[GroupByKey]])*DiscreteStatsTable[Average])),0)</f>
        <v>0.49210501840783172</v>
      </c>
      <c r="O306" cm="1">
        <f t="array" ref="O306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06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06" cm="1">
        <f t="array" ref="R306">MIN(IF((DiscreteStatsTable[GroupByKey]=DiscreteStatsTable[[#This Row],[GroupByKey]]),(DiscreteStatsTable[GroupByKey]=DiscreteStatsTable[[#This Row],[GroupByKey]])*DiscreteStatsTable[Average]))</f>
        <v>0.481748748376016</v>
      </c>
      <c r="S306" cm="1">
        <f t="array" ref="S306">MAX(IF((DiscreteStatsTable[GroupByKey]=DiscreteStatsTable[[#This Row],[GroupByKey]]),(DiscreteStatsTable[GroupByKey]=DiscreteStatsTable[[#This Row],[GroupByKey]])*DiscreteStatsTable[Average]))</f>
        <v>0.50324408220295003</v>
      </c>
      <c r="T306" cm="1">
        <f t="array" ref="T306">MIN(IF((DiscreteStatsTable[GroupByKey]=DiscreteStatsTable[[#This Row],[GroupByKey]]),(DiscreteStatsTable[GroupByKey]=DiscreteStatsTable[[#This Row],[GroupByKey]])*DiscreteStatsTable[Minimum]))</f>
        <v>0.101748731497707</v>
      </c>
      <c r="U306" cm="1">
        <f t="array" ref="U306">MAX(IF((DiscreteStatsTable[GroupByKey]=DiscreteStatsTable[[#This Row],[GroupByKey]]),(DiscreteStatsTable[GroupByKey]=DiscreteStatsTable[[#This Row],[GroupByKey]])*DiscreteStatsTable[Maximum]))</f>
        <v>1.5939517145847</v>
      </c>
      <c r="V306" cm="1">
        <f t="array" ref="V30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6">
        <f>IF((DiscreteStatsTable[[#This Row],[RepsRequested]]&gt;1),DiscreteStatsTable[[#This Row],[HalfWidth]],DiscreteStatsTable[[#This Row],[BatchMeansHalfWidth]])</f>
        <v>1.3583273853576923E-3</v>
      </c>
      <c r="X306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131</v>
      </c>
      <c r="C307">
        <v>2</v>
      </c>
      <c r="D307" t="s">
        <v>78</v>
      </c>
      <c r="E307" t="s">
        <v>82</v>
      </c>
      <c r="F307" t="s">
        <v>80</v>
      </c>
      <c r="G307">
        <v>0.58427169563163095</v>
      </c>
      <c r="H307">
        <v>3E+20</v>
      </c>
      <c r="I307">
        <v>0</v>
      </c>
      <c r="J307">
        <v>8.7900931728595104</v>
      </c>
      <c r="K307">
        <v>2398</v>
      </c>
      <c r="L307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07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cm="1">
        <f t="array" ref="N307">IFERROR(AVERAGE(IF((DiscreteStatsTable[GroupByKey]=DiscreteStatsTable[[#This Row],[GroupByKey]]),(DiscreteStatsTable[GroupByKey]=DiscreteStatsTable[[#This Row],[GroupByKey]])*DiscreteStatsTable[Average])),0)</f>
        <v>0.80557345969139849</v>
      </c>
      <c r="O307" cm="1">
        <f t="array" ref="O307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07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07" cm="1">
        <f t="array" ref="R307">MIN(IF((DiscreteStatsTable[GroupByKey]=DiscreteStatsTable[[#This Row],[GroupByKey]]),(DiscreteStatsTable[GroupByKey]=DiscreteStatsTable[[#This Row],[GroupByKey]])*DiscreteStatsTable[Average]))</f>
        <v>0.515986961752252</v>
      </c>
      <c r="S307" cm="1">
        <f t="array" ref="S307">MAX(IF((DiscreteStatsTable[GroupByKey]=DiscreteStatsTable[[#This Row],[GroupByKey]]),(DiscreteStatsTable[GroupByKey]=DiscreteStatsTable[[#This Row],[GroupByKey]])*DiscreteStatsTable[Average]))</f>
        <v>1.3542194698792001</v>
      </c>
      <c r="T307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cm="1">
        <f t="array" ref="U307">MAX(IF((DiscreteStatsTable[GroupByKey]=DiscreteStatsTable[[#This Row],[GroupByKey]]),(DiscreteStatsTable[GroupByKey]=DiscreteStatsTable[[#This Row],[GroupByKey]])*DiscreteStatsTable[Maximum]))</f>
        <v>28.983199492767199</v>
      </c>
      <c r="V307" cm="1">
        <f t="array" ref="V30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7">
        <f>IF((DiscreteStatsTable[[#This Row],[RepsRequested]]&gt;1),DiscreteStatsTable[[#This Row],[HalfWidth]],DiscreteStatsTable[[#This Row],[BatchMeansHalfWidth]])</f>
        <v>6.0520109610092528E-2</v>
      </c>
      <c r="X307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131</v>
      </c>
      <c r="C308">
        <v>3</v>
      </c>
      <c r="D308" t="s">
        <v>78</v>
      </c>
      <c r="E308" t="s">
        <v>79</v>
      </c>
      <c r="F308" t="s">
        <v>80</v>
      </c>
      <c r="G308">
        <v>1.1139220420556</v>
      </c>
      <c r="H308">
        <v>0.210430122492065</v>
      </c>
      <c r="I308">
        <v>0.108065369076854</v>
      </c>
      <c r="J308">
        <v>12.351670176330501</v>
      </c>
      <c r="K308">
        <v>2361</v>
      </c>
      <c r="L308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08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cm="1">
        <f t="array" ref="N308">IFERROR(AVERAGE(IF((DiscreteStatsTable[GroupByKey]=DiscreteStatsTable[[#This Row],[GroupByKey]]),(DiscreteStatsTable[GroupByKey]=DiscreteStatsTable[[#This Row],[GroupByKey]])*DiscreteStatsTable[Average])),0)</f>
        <v>1.2976784780992308</v>
      </c>
      <c r="O308" cm="1">
        <f t="array" ref="O308">IFERROR(_xlfn.STDEV.S(IF((DiscreteStatsTable[GroupByKey]=DiscreteStatsTable[[#This Row],[GroupByKey]]),(DiscreteStatsTable[GroupByKey]=DiscreteStatsTable[[#This Row],[GroupByKey]])*DiscreteStatsTable[Average])),0)</f>
        <v>0.214255822712483</v>
      </c>
      <c r="P308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08" cm="1">
        <f t="array" ref="R308">MIN(IF((DiscreteStatsTable[GroupByKey]=DiscreteStatsTable[[#This Row],[GroupByKey]]),(DiscreteStatsTable[GroupByKey]=DiscreteStatsTable[[#This Row],[GroupByKey]])*DiscreteStatsTable[Average]))</f>
        <v>1.00825666115094</v>
      </c>
      <c r="S308" cm="1">
        <f t="array" ref="S308">MAX(IF((DiscreteStatsTable[GroupByKey]=DiscreteStatsTable[[#This Row],[GroupByKey]]),(DiscreteStatsTable[GroupByKey]=DiscreteStatsTable[[#This Row],[GroupByKey]])*DiscreteStatsTable[Average]))</f>
        <v>1.85589832994621</v>
      </c>
      <c r="T308" cm="1">
        <f t="array" ref="T308">MIN(IF((DiscreteStatsTable[GroupByKey]=DiscreteStatsTable[[#This Row],[GroupByKey]]),(DiscreteStatsTable[GroupByKey]=DiscreteStatsTable[[#This Row],[GroupByKey]])*DiscreteStatsTable[Minimum]))</f>
        <v>0.10260384490715101</v>
      </c>
      <c r="U308" cm="1">
        <f t="array" ref="U308">MAX(IF((DiscreteStatsTable[GroupByKey]=DiscreteStatsTable[[#This Row],[GroupByKey]]),(DiscreteStatsTable[GroupByKey]=DiscreteStatsTable[[#This Row],[GroupByKey]])*DiscreteStatsTable[Maximum]))</f>
        <v>29.378397097512401</v>
      </c>
      <c r="V308" cm="1">
        <f t="array" ref="V30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8">
        <f>IF((DiscreteStatsTable[[#This Row],[RepsRequested]]&gt;1),DiscreteStatsTable[[#This Row],[HalfWidth]],DiscreteStatsTable[[#This Row],[BatchMeansHalfWidth]])</f>
        <v>6.0890831086538234E-2</v>
      </c>
      <c r="X308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131</v>
      </c>
      <c r="C309">
        <v>3</v>
      </c>
      <c r="D309" t="s">
        <v>78</v>
      </c>
      <c r="E309" t="s">
        <v>81</v>
      </c>
      <c r="F309" t="s">
        <v>80</v>
      </c>
      <c r="G309">
        <v>0.49212418987464301</v>
      </c>
      <c r="H309">
        <v>1.1365735372608101E-2</v>
      </c>
      <c r="I309">
        <v>0.101748731497707</v>
      </c>
      <c r="J309">
        <v>1.50386972809883</v>
      </c>
      <c r="K309">
        <v>2361</v>
      </c>
      <c r="L309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09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cm="1">
        <f t="array" ref="N309">IFERROR(AVERAGE(IF((DiscreteStatsTable[GroupByKey]=DiscreteStatsTable[[#This Row],[GroupByKey]]),(DiscreteStatsTable[GroupByKey]=DiscreteStatsTable[[#This Row],[GroupByKey]])*DiscreteStatsTable[Average])),0)</f>
        <v>0.49210501840783172</v>
      </c>
      <c r="O309" cm="1">
        <f t="array" ref="O309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09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09" cm="1">
        <f t="array" ref="R309">MIN(IF((DiscreteStatsTable[GroupByKey]=DiscreteStatsTable[[#This Row],[GroupByKey]]),(DiscreteStatsTable[GroupByKey]=DiscreteStatsTable[[#This Row],[GroupByKey]])*DiscreteStatsTable[Average]))</f>
        <v>0.481748748376016</v>
      </c>
      <c r="S309" cm="1">
        <f t="array" ref="S309">MAX(IF((DiscreteStatsTable[GroupByKey]=DiscreteStatsTable[[#This Row],[GroupByKey]]),(DiscreteStatsTable[GroupByKey]=DiscreteStatsTable[[#This Row],[GroupByKey]])*DiscreteStatsTable[Average]))</f>
        <v>0.50324408220295003</v>
      </c>
      <c r="T309" cm="1">
        <f t="array" ref="T309">MIN(IF((DiscreteStatsTable[GroupByKey]=DiscreteStatsTable[[#This Row],[GroupByKey]]),(DiscreteStatsTable[GroupByKey]=DiscreteStatsTable[[#This Row],[GroupByKey]])*DiscreteStatsTable[Minimum]))</f>
        <v>0.101748731497707</v>
      </c>
      <c r="U309" cm="1">
        <f t="array" ref="U309">MAX(IF((DiscreteStatsTable[GroupByKey]=DiscreteStatsTable[[#This Row],[GroupByKey]]),(DiscreteStatsTable[GroupByKey]=DiscreteStatsTable[[#This Row],[GroupByKey]])*DiscreteStatsTable[Maximum]))</f>
        <v>1.5939517145847</v>
      </c>
      <c r="V309" cm="1">
        <f t="array" ref="V30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09">
        <f>IF((DiscreteStatsTable[[#This Row],[RepsRequested]]&gt;1),DiscreteStatsTable[[#This Row],[HalfWidth]],DiscreteStatsTable[[#This Row],[BatchMeansHalfWidth]])</f>
        <v>1.3583273853576923E-3</v>
      </c>
      <c r="X309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131</v>
      </c>
      <c r="C310">
        <v>3</v>
      </c>
      <c r="D310" t="s">
        <v>78</v>
      </c>
      <c r="E310" t="s">
        <v>82</v>
      </c>
      <c r="F310" t="s">
        <v>80</v>
      </c>
      <c r="G310">
        <v>0.62179785218095496</v>
      </c>
      <c r="H310">
        <v>0.20952623487048899</v>
      </c>
      <c r="I310">
        <v>0</v>
      </c>
      <c r="J310">
        <v>11.9700919824074</v>
      </c>
      <c r="K310">
        <v>2361</v>
      </c>
      <c r="L310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10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cm="1">
        <f t="array" ref="N310">IFERROR(AVERAGE(IF((DiscreteStatsTable[GroupByKey]=DiscreteStatsTable[[#This Row],[GroupByKey]]),(DiscreteStatsTable[GroupByKey]=DiscreteStatsTable[[#This Row],[GroupByKey]])*DiscreteStatsTable[Average])),0)</f>
        <v>0.80557345969139849</v>
      </c>
      <c r="O310" cm="1">
        <f t="array" ref="O310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10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10" cm="1">
        <f t="array" ref="R310">MIN(IF((DiscreteStatsTable[GroupByKey]=DiscreteStatsTable[[#This Row],[GroupByKey]]),(DiscreteStatsTable[GroupByKey]=DiscreteStatsTable[[#This Row],[GroupByKey]])*DiscreteStatsTable[Average]))</f>
        <v>0.515986961752252</v>
      </c>
      <c r="S310" cm="1">
        <f t="array" ref="S310">MAX(IF((DiscreteStatsTable[GroupByKey]=DiscreteStatsTable[[#This Row],[GroupByKey]]),(DiscreteStatsTable[GroupByKey]=DiscreteStatsTable[[#This Row],[GroupByKey]])*DiscreteStatsTable[Average]))</f>
        <v>1.3542194698792001</v>
      </c>
      <c r="T310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cm="1">
        <f t="array" ref="U310">MAX(IF((DiscreteStatsTable[GroupByKey]=DiscreteStatsTable[[#This Row],[GroupByKey]]),(DiscreteStatsTable[GroupByKey]=DiscreteStatsTable[[#This Row],[GroupByKey]])*DiscreteStatsTable[Maximum]))</f>
        <v>28.983199492767199</v>
      </c>
      <c r="V310" cm="1">
        <f t="array" ref="V31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0">
        <f>IF((DiscreteStatsTable[[#This Row],[RepsRequested]]&gt;1),DiscreteStatsTable[[#This Row],[HalfWidth]],DiscreteStatsTable[[#This Row],[BatchMeansHalfWidth]])</f>
        <v>6.0520109610092528E-2</v>
      </c>
      <c r="X310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131</v>
      </c>
      <c r="C311">
        <v>4</v>
      </c>
      <c r="D311" t="s">
        <v>78</v>
      </c>
      <c r="E311" t="s">
        <v>79</v>
      </c>
      <c r="F311" t="s">
        <v>80</v>
      </c>
      <c r="G311">
        <v>1.4028125079384</v>
      </c>
      <c r="H311">
        <v>0.38803327026048201</v>
      </c>
      <c r="I311">
        <v>0.119429277887871</v>
      </c>
      <c r="J311">
        <v>19.2497131671118</v>
      </c>
      <c r="K311">
        <v>2371</v>
      </c>
      <c r="L311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11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cm="1">
        <f t="array" ref="N311">IFERROR(AVERAGE(IF((DiscreteStatsTable[GroupByKey]=DiscreteStatsTable[[#This Row],[GroupByKey]]),(DiscreteStatsTable[GroupByKey]=DiscreteStatsTable[[#This Row],[GroupByKey]])*DiscreteStatsTable[Average])),0)</f>
        <v>1.2976784780992308</v>
      </c>
      <c r="O311" cm="1">
        <f t="array" ref="O311">IFERROR(_xlfn.STDEV.S(IF((DiscreteStatsTable[GroupByKey]=DiscreteStatsTable[[#This Row],[GroupByKey]]),(DiscreteStatsTable[GroupByKey]=DiscreteStatsTable[[#This Row],[GroupByKey]])*DiscreteStatsTable[Average])),0)</f>
        <v>0.214255822712483</v>
      </c>
      <c r="P311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11" cm="1">
        <f t="array" ref="R311">MIN(IF((DiscreteStatsTable[GroupByKey]=DiscreteStatsTable[[#This Row],[GroupByKey]]),(DiscreteStatsTable[GroupByKey]=DiscreteStatsTable[[#This Row],[GroupByKey]])*DiscreteStatsTable[Average]))</f>
        <v>1.00825666115094</v>
      </c>
      <c r="S311" cm="1">
        <f t="array" ref="S311">MAX(IF((DiscreteStatsTable[GroupByKey]=DiscreteStatsTable[[#This Row],[GroupByKey]]),(DiscreteStatsTable[GroupByKey]=DiscreteStatsTable[[#This Row],[GroupByKey]])*DiscreteStatsTable[Average]))</f>
        <v>1.85589832994621</v>
      </c>
      <c r="T311" cm="1">
        <f t="array" ref="T311">MIN(IF((DiscreteStatsTable[GroupByKey]=DiscreteStatsTable[[#This Row],[GroupByKey]]),(DiscreteStatsTable[GroupByKey]=DiscreteStatsTable[[#This Row],[GroupByKey]])*DiscreteStatsTable[Minimum]))</f>
        <v>0.10260384490715101</v>
      </c>
      <c r="U311" cm="1">
        <f t="array" ref="U311">MAX(IF((DiscreteStatsTable[GroupByKey]=DiscreteStatsTable[[#This Row],[GroupByKey]]),(DiscreteStatsTable[GroupByKey]=DiscreteStatsTable[[#This Row],[GroupByKey]])*DiscreteStatsTable[Maximum]))</f>
        <v>29.378397097512401</v>
      </c>
      <c r="V311" cm="1">
        <f t="array" ref="V31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1">
        <f>IF((DiscreteStatsTable[[#This Row],[RepsRequested]]&gt;1),DiscreteStatsTable[[#This Row],[HalfWidth]],DiscreteStatsTable[[#This Row],[BatchMeansHalfWidth]])</f>
        <v>6.0890831086538234E-2</v>
      </c>
      <c r="X311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131</v>
      </c>
      <c r="C312">
        <v>4</v>
      </c>
      <c r="D312" t="s">
        <v>78</v>
      </c>
      <c r="E312" t="s">
        <v>81</v>
      </c>
      <c r="F312" t="s">
        <v>80</v>
      </c>
      <c r="G312">
        <v>0.49925528118518703</v>
      </c>
      <c r="H312">
        <v>1.23741857637054E-2</v>
      </c>
      <c r="I312">
        <v>0.112682235921284</v>
      </c>
      <c r="J312">
        <v>1.54675827868198</v>
      </c>
      <c r="K312">
        <v>2371</v>
      </c>
      <c r="L312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12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cm="1">
        <f t="array" ref="N312">IFERROR(AVERAGE(IF((DiscreteStatsTable[GroupByKey]=DiscreteStatsTable[[#This Row],[GroupByKey]]),(DiscreteStatsTable[GroupByKey]=DiscreteStatsTable[[#This Row],[GroupByKey]])*DiscreteStatsTable[Average])),0)</f>
        <v>0.49210501840783172</v>
      </c>
      <c r="O312" cm="1">
        <f t="array" ref="O312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12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12" cm="1">
        <f t="array" ref="R312">MIN(IF((DiscreteStatsTable[GroupByKey]=DiscreteStatsTable[[#This Row],[GroupByKey]]),(DiscreteStatsTable[GroupByKey]=DiscreteStatsTable[[#This Row],[GroupByKey]])*DiscreteStatsTable[Average]))</f>
        <v>0.481748748376016</v>
      </c>
      <c r="S312" cm="1">
        <f t="array" ref="S312">MAX(IF((DiscreteStatsTable[GroupByKey]=DiscreteStatsTable[[#This Row],[GroupByKey]]),(DiscreteStatsTable[GroupByKey]=DiscreteStatsTable[[#This Row],[GroupByKey]])*DiscreteStatsTable[Average]))</f>
        <v>0.50324408220295003</v>
      </c>
      <c r="T312" cm="1">
        <f t="array" ref="T312">MIN(IF((DiscreteStatsTable[GroupByKey]=DiscreteStatsTable[[#This Row],[GroupByKey]]),(DiscreteStatsTable[GroupByKey]=DiscreteStatsTable[[#This Row],[GroupByKey]])*DiscreteStatsTable[Minimum]))</f>
        <v>0.101748731497707</v>
      </c>
      <c r="U312" cm="1">
        <f t="array" ref="U312">MAX(IF((DiscreteStatsTable[GroupByKey]=DiscreteStatsTable[[#This Row],[GroupByKey]]),(DiscreteStatsTable[GroupByKey]=DiscreteStatsTable[[#This Row],[GroupByKey]])*DiscreteStatsTable[Maximum]))</f>
        <v>1.5939517145847</v>
      </c>
      <c r="V312" cm="1">
        <f t="array" ref="V31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2">
        <f>IF((DiscreteStatsTable[[#This Row],[RepsRequested]]&gt;1),DiscreteStatsTable[[#This Row],[HalfWidth]],DiscreteStatsTable[[#This Row],[BatchMeansHalfWidth]])</f>
        <v>1.3583273853576923E-3</v>
      </c>
      <c r="X312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131</v>
      </c>
      <c r="C313">
        <v>4</v>
      </c>
      <c r="D313" t="s">
        <v>78</v>
      </c>
      <c r="E313" t="s">
        <v>82</v>
      </c>
      <c r="F313" t="s">
        <v>80</v>
      </c>
      <c r="G313">
        <v>0.90355722675321204</v>
      </c>
      <c r="H313">
        <v>0.39079442312477403</v>
      </c>
      <c r="I313">
        <v>0</v>
      </c>
      <c r="J313">
        <v>18.924775423345601</v>
      </c>
      <c r="K313">
        <v>2371</v>
      </c>
      <c r="L313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13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cm="1">
        <f t="array" ref="N313">IFERROR(AVERAGE(IF((DiscreteStatsTable[GroupByKey]=DiscreteStatsTable[[#This Row],[GroupByKey]]),(DiscreteStatsTable[GroupByKey]=DiscreteStatsTable[[#This Row],[GroupByKey]])*DiscreteStatsTable[Average])),0)</f>
        <v>0.80557345969139849</v>
      </c>
      <c r="O313" cm="1">
        <f t="array" ref="O313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13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13" cm="1">
        <f t="array" ref="R313">MIN(IF((DiscreteStatsTable[GroupByKey]=DiscreteStatsTable[[#This Row],[GroupByKey]]),(DiscreteStatsTable[GroupByKey]=DiscreteStatsTable[[#This Row],[GroupByKey]])*DiscreteStatsTable[Average]))</f>
        <v>0.515986961752252</v>
      </c>
      <c r="S313" cm="1">
        <f t="array" ref="S313">MAX(IF((DiscreteStatsTable[GroupByKey]=DiscreteStatsTable[[#This Row],[GroupByKey]]),(DiscreteStatsTable[GroupByKey]=DiscreteStatsTable[[#This Row],[GroupByKey]])*DiscreteStatsTable[Average]))</f>
        <v>1.3542194698792001</v>
      </c>
      <c r="T313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cm="1">
        <f t="array" ref="U313">MAX(IF((DiscreteStatsTable[GroupByKey]=DiscreteStatsTable[[#This Row],[GroupByKey]]),(DiscreteStatsTable[GroupByKey]=DiscreteStatsTable[[#This Row],[GroupByKey]])*DiscreteStatsTable[Maximum]))</f>
        <v>28.983199492767199</v>
      </c>
      <c r="V313" cm="1">
        <f t="array" ref="V31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3">
        <f>IF((DiscreteStatsTable[[#This Row],[RepsRequested]]&gt;1),DiscreteStatsTable[[#This Row],[HalfWidth]],DiscreteStatsTable[[#This Row],[BatchMeansHalfWidth]])</f>
        <v>6.0520109610092528E-2</v>
      </c>
      <c r="X313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131</v>
      </c>
      <c r="C314">
        <v>5</v>
      </c>
      <c r="D314" t="s">
        <v>78</v>
      </c>
      <c r="E314" t="s">
        <v>79</v>
      </c>
      <c r="F314" t="s">
        <v>80</v>
      </c>
      <c r="G314">
        <v>1.1315923981268901</v>
      </c>
      <c r="H314">
        <v>3E+20</v>
      </c>
      <c r="I314">
        <v>0.11440544179123401</v>
      </c>
      <c r="J314">
        <v>14.1474023357365</v>
      </c>
      <c r="K314">
        <v>2336</v>
      </c>
      <c r="L314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14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cm="1">
        <f t="array" ref="N314">IFERROR(AVERAGE(IF((DiscreteStatsTable[GroupByKey]=DiscreteStatsTable[[#This Row],[GroupByKey]]),(DiscreteStatsTable[GroupByKey]=DiscreteStatsTable[[#This Row],[GroupByKey]])*DiscreteStatsTable[Average])),0)</f>
        <v>1.2976784780992308</v>
      </c>
      <c r="O314" cm="1">
        <f t="array" ref="O314">IFERROR(_xlfn.STDEV.S(IF((DiscreteStatsTable[GroupByKey]=DiscreteStatsTable[[#This Row],[GroupByKey]]),(DiscreteStatsTable[GroupByKey]=DiscreteStatsTable[[#This Row],[GroupByKey]])*DiscreteStatsTable[Average])),0)</f>
        <v>0.214255822712483</v>
      </c>
      <c r="P314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14" cm="1">
        <f t="array" ref="R314">MIN(IF((DiscreteStatsTable[GroupByKey]=DiscreteStatsTable[[#This Row],[GroupByKey]]),(DiscreteStatsTable[GroupByKey]=DiscreteStatsTable[[#This Row],[GroupByKey]])*DiscreteStatsTable[Average]))</f>
        <v>1.00825666115094</v>
      </c>
      <c r="S314" cm="1">
        <f t="array" ref="S314">MAX(IF((DiscreteStatsTable[GroupByKey]=DiscreteStatsTable[[#This Row],[GroupByKey]]),(DiscreteStatsTable[GroupByKey]=DiscreteStatsTable[[#This Row],[GroupByKey]])*DiscreteStatsTable[Average]))</f>
        <v>1.85589832994621</v>
      </c>
      <c r="T314" cm="1">
        <f t="array" ref="T314">MIN(IF((DiscreteStatsTable[GroupByKey]=DiscreteStatsTable[[#This Row],[GroupByKey]]),(DiscreteStatsTable[GroupByKey]=DiscreteStatsTable[[#This Row],[GroupByKey]])*DiscreteStatsTable[Minimum]))</f>
        <v>0.10260384490715101</v>
      </c>
      <c r="U314" cm="1">
        <f t="array" ref="U314">MAX(IF((DiscreteStatsTable[GroupByKey]=DiscreteStatsTable[[#This Row],[GroupByKey]]),(DiscreteStatsTable[GroupByKey]=DiscreteStatsTable[[#This Row],[GroupByKey]])*DiscreteStatsTable[Maximum]))</f>
        <v>29.378397097512401</v>
      </c>
      <c r="V314" cm="1">
        <f t="array" ref="V31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4">
        <f>IF((DiscreteStatsTable[[#This Row],[RepsRequested]]&gt;1),DiscreteStatsTable[[#This Row],[HalfWidth]],DiscreteStatsTable[[#This Row],[BatchMeansHalfWidth]])</f>
        <v>6.0890831086538234E-2</v>
      </c>
      <c r="X314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131</v>
      </c>
      <c r="C315">
        <v>5</v>
      </c>
      <c r="D315" t="s">
        <v>78</v>
      </c>
      <c r="E315" t="s">
        <v>81</v>
      </c>
      <c r="F315" t="s">
        <v>80</v>
      </c>
      <c r="G315">
        <v>0.48570280357023599</v>
      </c>
      <c r="H315">
        <v>1.31575034956331E-2</v>
      </c>
      <c r="I315">
        <v>0.107339686293756</v>
      </c>
      <c r="J315">
        <v>1.5589092886503799</v>
      </c>
      <c r="K315">
        <v>2336</v>
      </c>
      <c r="L315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1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cm="1">
        <f t="array" ref="N315">IFERROR(AVERAGE(IF((DiscreteStatsTable[GroupByKey]=DiscreteStatsTable[[#This Row],[GroupByKey]]),(DiscreteStatsTable[GroupByKey]=DiscreteStatsTable[[#This Row],[GroupByKey]])*DiscreteStatsTable[Average])),0)</f>
        <v>0.49210501840783172</v>
      </c>
      <c r="O315" cm="1">
        <f t="array" ref="O315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1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15" cm="1">
        <f t="array" ref="R315">MIN(IF((DiscreteStatsTable[GroupByKey]=DiscreteStatsTable[[#This Row],[GroupByKey]]),(DiscreteStatsTable[GroupByKey]=DiscreteStatsTable[[#This Row],[GroupByKey]])*DiscreteStatsTable[Average]))</f>
        <v>0.481748748376016</v>
      </c>
      <c r="S315" cm="1">
        <f t="array" ref="S315">MAX(IF((DiscreteStatsTable[GroupByKey]=DiscreteStatsTable[[#This Row],[GroupByKey]]),(DiscreteStatsTable[GroupByKey]=DiscreteStatsTable[[#This Row],[GroupByKey]])*DiscreteStatsTable[Average]))</f>
        <v>0.50324408220295003</v>
      </c>
      <c r="T315" cm="1">
        <f t="array" ref="T315">MIN(IF((DiscreteStatsTable[GroupByKey]=DiscreteStatsTable[[#This Row],[GroupByKey]]),(DiscreteStatsTable[GroupByKey]=DiscreteStatsTable[[#This Row],[GroupByKey]])*DiscreteStatsTable[Minimum]))</f>
        <v>0.101748731497707</v>
      </c>
      <c r="U315" cm="1">
        <f t="array" ref="U315">MAX(IF((DiscreteStatsTable[GroupByKey]=DiscreteStatsTable[[#This Row],[GroupByKey]]),(DiscreteStatsTable[GroupByKey]=DiscreteStatsTable[[#This Row],[GroupByKey]])*DiscreteStatsTable[Maximum]))</f>
        <v>1.5939517145847</v>
      </c>
      <c r="V315" cm="1">
        <f t="array" ref="V31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5">
        <f>IF((DiscreteStatsTable[[#This Row],[RepsRequested]]&gt;1),DiscreteStatsTable[[#This Row],[HalfWidth]],DiscreteStatsTable[[#This Row],[BatchMeansHalfWidth]])</f>
        <v>1.3583273853576923E-3</v>
      </c>
      <c r="X31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131</v>
      </c>
      <c r="C316">
        <v>5</v>
      </c>
      <c r="D316" t="s">
        <v>78</v>
      </c>
      <c r="E316" t="s">
        <v>82</v>
      </c>
      <c r="F316" t="s">
        <v>80</v>
      </c>
      <c r="G316">
        <v>0.64588959455665096</v>
      </c>
      <c r="H316">
        <v>3E+20</v>
      </c>
      <c r="I316">
        <v>0</v>
      </c>
      <c r="J316">
        <v>13.9940305381404</v>
      </c>
      <c r="K316">
        <v>2336</v>
      </c>
      <c r="L316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16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cm="1">
        <f t="array" ref="N316">IFERROR(AVERAGE(IF((DiscreteStatsTable[GroupByKey]=DiscreteStatsTable[[#This Row],[GroupByKey]]),(DiscreteStatsTable[GroupByKey]=DiscreteStatsTable[[#This Row],[GroupByKey]])*DiscreteStatsTable[Average])),0)</f>
        <v>0.80557345969139849</v>
      </c>
      <c r="O316" cm="1">
        <f t="array" ref="O316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16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16" cm="1">
        <f t="array" ref="R316">MIN(IF((DiscreteStatsTable[GroupByKey]=DiscreteStatsTable[[#This Row],[GroupByKey]]),(DiscreteStatsTable[GroupByKey]=DiscreteStatsTable[[#This Row],[GroupByKey]])*DiscreteStatsTable[Average]))</f>
        <v>0.515986961752252</v>
      </c>
      <c r="S316" cm="1">
        <f t="array" ref="S316">MAX(IF((DiscreteStatsTable[GroupByKey]=DiscreteStatsTable[[#This Row],[GroupByKey]]),(DiscreteStatsTable[GroupByKey]=DiscreteStatsTable[[#This Row],[GroupByKey]])*DiscreteStatsTable[Average]))</f>
        <v>1.3542194698792001</v>
      </c>
      <c r="T316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cm="1">
        <f t="array" ref="U316">MAX(IF((DiscreteStatsTable[GroupByKey]=DiscreteStatsTable[[#This Row],[GroupByKey]]),(DiscreteStatsTable[GroupByKey]=DiscreteStatsTable[[#This Row],[GroupByKey]])*DiscreteStatsTable[Maximum]))</f>
        <v>28.983199492767199</v>
      </c>
      <c r="V316" cm="1">
        <f t="array" ref="V31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6">
        <f>IF((DiscreteStatsTable[[#This Row],[RepsRequested]]&gt;1),DiscreteStatsTable[[#This Row],[HalfWidth]],DiscreteStatsTable[[#This Row],[BatchMeansHalfWidth]])</f>
        <v>6.0520109610092528E-2</v>
      </c>
      <c r="X316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131</v>
      </c>
      <c r="C317">
        <v>6</v>
      </c>
      <c r="D317" t="s">
        <v>78</v>
      </c>
      <c r="E317" t="s">
        <v>79</v>
      </c>
      <c r="F317" t="s">
        <v>80</v>
      </c>
      <c r="G317">
        <v>1.34199182088411</v>
      </c>
      <c r="H317">
        <v>0.25004719510345902</v>
      </c>
      <c r="I317">
        <v>0.109358563528531</v>
      </c>
      <c r="J317">
        <v>12.183617923257801</v>
      </c>
      <c r="K317">
        <v>2504</v>
      </c>
      <c r="L317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17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cm="1">
        <f t="array" ref="N317">IFERROR(AVERAGE(IF((DiscreteStatsTable[GroupByKey]=DiscreteStatsTable[[#This Row],[GroupByKey]]),(DiscreteStatsTable[GroupByKey]=DiscreteStatsTable[[#This Row],[GroupByKey]])*DiscreteStatsTable[Average])),0)</f>
        <v>1.2976784780992308</v>
      </c>
      <c r="O317" cm="1">
        <f t="array" ref="O317">IFERROR(_xlfn.STDEV.S(IF((DiscreteStatsTable[GroupByKey]=DiscreteStatsTable[[#This Row],[GroupByKey]]),(DiscreteStatsTable[GroupByKey]=DiscreteStatsTable[[#This Row],[GroupByKey]])*DiscreteStatsTable[Average])),0)</f>
        <v>0.214255822712483</v>
      </c>
      <c r="P317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17" cm="1">
        <f t="array" ref="R317">MIN(IF((DiscreteStatsTable[GroupByKey]=DiscreteStatsTable[[#This Row],[GroupByKey]]),(DiscreteStatsTable[GroupByKey]=DiscreteStatsTable[[#This Row],[GroupByKey]])*DiscreteStatsTable[Average]))</f>
        <v>1.00825666115094</v>
      </c>
      <c r="S317" cm="1">
        <f t="array" ref="S317">MAX(IF((DiscreteStatsTable[GroupByKey]=DiscreteStatsTable[[#This Row],[GroupByKey]]),(DiscreteStatsTable[GroupByKey]=DiscreteStatsTable[[#This Row],[GroupByKey]])*DiscreteStatsTable[Average]))</f>
        <v>1.85589832994621</v>
      </c>
      <c r="T317" cm="1">
        <f t="array" ref="T317">MIN(IF((DiscreteStatsTable[GroupByKey]=DiscreteStatsTable[[#This Row],[GroupByKey]]),(DiscreteStatsTable[GroupByKey]=DiscreteStatsTable[[#This Row],[GroupByKey]])*DiscreteStatsTable[Minimum]))</f>
        <v>0.10260384490715101</v>
      </c>
      <c r="U317" cm="1">
        <f t="array" ref="U317">MAX(IF((DiscreteStatsTable[GroupByKey]=DiscreteStatsTable[[#This Row],[GroupByKey]]),(DiscreteStatsTable[GroupByKey]=DiscreteStatsTable[[#This Row],[GroupByKey]])*DiscreteStatsTable[Maximum]))</f>
        <v>29.378397097512401</v>
      </c>
      <c r="V317" cm="1">
        <f t="array" ref="V31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7">
        <f>IF((DiscreteStatsTable[[#This Row],[RepsRequested]]&gt;1),DiscreteStatsTable[[#This Row],[HalfWidth]],DiscreteStatsTable[[#This Row],[BatchMeansHalfWidth]])</f>
        <v>6.0890831086538234E-2</v>
      </c>
      <c r="X317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131</v>
      </c>
      <c r="C318">
        <v>6</v>
      </c>
      <c r="D318" t="s">
        <v>78</v>
      </c>
      <c r="E318" t="s">
        <v>81</v>
      </c>
      <c r="F318" t="s">
        <v>80</v>
      </c>
      <c r="G318">
        <v>0.48841142357568001</v>
      </c>
      <c r="H318">
        <v>1.5035549222198101E-2</v>
      </c>
      <c r="I318">
        <v>0.109358563528531</v>
      </c>
      <c r="J318">
        <v>1.5790046793385999</v>
      </c>
      <c r="K318">
        <v>2504</v>
      </c>
      <c r="L318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18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cm="1">
        <f t="array" ref="N318">IFERROR(AVERAGE(IF((DiscreteStatsTable[GroupByKey]=DiscreteStatsTable[[#This Row],[GroupByKey]]),(DiscreteStatsTable[GroupByKey]=DiscreteStatsTable[[#This Row],[GroupByKey]])*DiscreteStatsTable[Average])),0)</f>
        <v>0.49210501840783172</v>
      </c>
      <c r="O318" cm="1">
        <f t="array" ref="O318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18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18" cm="1">
        <f t="array" ref="R318">MIN(IF((DiscreteStatsTable[GroupByKey]=DiscreteStatsTable[[#This Row],[GroupByKey]]),(DiscreteStatsTable[GroupByKey]=DiscreteStatsTable[[#This Row],[GroupByKey]])*DiscreteStatsTable[Average]))</f>
        <v>0.481748748376016</v>
      </c>
      <c r="S318" cm="1">
        <f t="array" ref="S318">MAX(IF((DiscreteStatsTable[GroupByKey]=DiscreteStatsTable[[#This Row],[GroupByKey]]),(DiscreteStatsTable[GroupByKey]=DiscreteStatsTable[[#This Row],[GroupByKey]])*DiscreteStatsTable[Average]))</f>
        <v>0.50324408220295003</v>
      </c>
      <c r="T318" cm="1">
        <f t="array" ref="T318">MIN(IF((DiscreteStatsTable[GroupByKey]=DiscreteStatsTable[[#This Row],[GroupByKey]]),(DiscreteStatsTable[GroupByKey]=DiscreteStatsTable[[#This Row],[GroupByKey]])*DiscreteStatsTable[Minimum]))</f>
        <v>0.101748731497707</v>
      </c>
      <c r="U318" cm="1">
        <f t="array" ref="U318">MAX(IF((DiscreteStatsTable[GroupByKey]=DiscreteStatsTable[[#This Row],[GroupByKey]]),(DiscreteStatsTable[GroupByKey]=DiscreteStatsTable[[#This Row],[GroupByKey]])*DiscreteStatsTable[Maximum]))</f>
        <v>1.5939517145847</v>
      </c>
      <c r="V318" cm="1">
        <f t="array" ref="V31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8">
        <f>IF((DiscreteStatsTable[[#This Row],[RepsRequested]]&gt;1),DiscreteStatsTable[[#This Row],[HalfWidth]],DiscreteStatsTable[[#This Row],[BatchMeansHalfWidth]])</f>
        <v>1.3583273853576923E-3</v>
      </c>
      <c r="X318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131</v>
      </c>
      <c r="C319">
        <v>6</v>
      </c>
      <c r="D319" t="s">
        <v>78</v>
      </c>
      <c r="E319" t="s">
        <v>82</v>
      </c>
      <c r="F319" t="s">
        <v>80</v>
      </c>
      <c r="G319">
        <v>0.85358039730842605</v>
      </c>
      <c r="H319">
        <v>0.25249736668739797</v>
      </c>
      <c r="I319">
        <v>0</v>
      </c>
      <c r="J319">
        <v>11.995100015942301</v>
      </c>
      <c r="K319">
        <v>2504</v>
      </c>
      <c r="L319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19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cm="1">
        <f t="array" ref="N319">IFERROR(AVERAGE(IF((DiscreteStatsTable[GroupByKey]=DiscreteStatsTable[[#This Row],[GroupByKey]]),(DiscreteStatsTable[GroupByKey]=DiscreteStatsTable[[#This Row],[GroupByKey]])*DiscreteStatsTable[Average])),0)</f>
        <v>0.80557345969139849</v>
      </c>
      <c r="O319" cm="1">
        <f t="array" ref="O319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19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19" cm="1">
        <f t="array" ref="R319">MIN(IF((DiscreteStatsTable[GroupByKey]=DiscreteStatsTable[[#This Row],[GroupByKey]]),(DiscreteStatsTable[GroupByKey]=DiscreteStatsTable[[#This Row],[GroupByKey]])*DiscreteStatsTable[Average]))</f>
        <v>0.515986961752252</v>
      </c>
      <c r="S319" cm="1">
        <f t="array" ref="S319">MAX(IF((DiscreteStatsTable[GroupByKey]=DiscreteStatsTable[[#This Row],[GroupByKey]]),(DiscreteStatsTable[GroupByKey]=DiscreteStatsTable[[#This Row],[GroupByKey]])*DiscreteStatsTable[Average]))</f>
        <v>1.3542194698792001</v>
      </c>
      <c r="T319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cm="1">
        <f t="array" ref="U319">MAX(IF((DiscreteStatsTable[GroupByKey]=DiscreteStatsTable[[#This Row],[GroupByKey]]),(DiscreteStatsTable[GroupByKey]=DiscreteStatsTable[[#This Row],[GroupByKey]])*DiscreteStatsTable[Maximum]))</f>
        <v>28.983199492767199</v>
      </c>
      <c r="V319" cm="1">
        <f t="array" ref="V31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19">
        <f>IF((DiscreteStatsTable[[#This Row],[RepsRequested]]&gt;1),DiscreteStatsTable[[#This Row],[HalfWidth]],DiscreteStatsTable[[#This Row],[BatchMeansHalfWidth]])</f>
        <v>6.0520109610092528E-2</v>
      </c>
      <c r="X319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131</v>
      </c>
      <c r="C320">
        <v>7</v>
      </c>
      <c r="D320" t="s">
        <v>78</v>
      </c>
      <c r="E320" t="s">
        <v>79</v>
      </c>
      <c r="F320" t="s">
        <v>80</v>
      </c>
      <c r="G320">
        <v>1.21916880156992</v>
      </c>
      <c r="H320">
        <v>0.21857110158523699</v>
      </c>
      <c r="I320">
        <v>0.12088753651128301</v>
      </c>
      <c r="J320">
        <v>14.592723724835</v>
      </c>
      <c r="K320">
        <v>2394</v>
      </c>
      <c r="L320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20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cm="1">
        <f t="array" ref="N320">IFERROR(AVERAGE(IF((DiscreteStatsTable[GroupByKey]=DiscreteStatsTable[[#This Row],[GroupByKey]]),(DiscreteStatsTable[GroupByKey]=DiscreteStatsTable[[#This Row],[GroupByKey]])*DiscreteStatsTable[Average])),0)</f>
        <v>1.2976784780992308</v>
      </c>
      <c r="O320" cm="1">
        <f t="array" ref="O320">IFERROR(_xlfn.STDEV.S(IF((DiscreteStatsTable[GroupByKey]=DiscreteStatsTable[[#This Row],[GroupByKey]]),(DiscreteStatsTable[GroupByKey]=DiscreteStatsTable[[#This Row],[GroupByKey]])*DiscreteStatsTable[Average])),0)</f>
        <v>0.214255822712483</v>
      </c>
      <c r="P320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20" cm="1">
        <f t="array" ref="R320">MIN(IF((DiscreteStatsTable[GroupByKey]=DiscreteStatsTable[[#This Row],[GroupByKey]]),(DiscreteStatsTable[GroupByKey]=DiscreteStatsTable[[#This Row],[GroupByKey]])*DiscreteStatsTable[Average]))</f>
        <v>1.00825666115094</v>
      </c>
      <c r="S320" cm="1">
        <f t="array" ref="S320">MAX(IF((DiscreteStatsTable[GroupByKey]=DiscreteStatsTable[[#This Row],[GroupByKey]]),(DiscreteStatsTable[GroupByKey]=DiscreteStatsTable[[#This Row],[GroupByKey]])*DiscreteStatsTable[Average]))</f>
        <v>1.85589832994621</v>
      </c>
      <c r="T320" cm="1">
        <f t="array" ref="T320">MIN(IF((DiscreteStatsTable[GroupByKey]=DiscreteStatsTable[[#This Row],[GroupByKey]]),(DiscreteStatsTable[GroupByKey]=DiscreteStatsTable[[#This Row],[GroupByKey]])*DiscreteStatsTable[Minimum]))</f>
        <v>0.10260384490715101</v>
      </c>
      <c r="U320" cm="1">
        <f t="array" ref="U320">MAX(IF((DiscreteStatsTable[GroupByKey]=DiscreteStatsTable[[#This Row],[GroupByKey]]),(DiscreteStatsTable[GroupByKey]=DiscreteStatsTable[[#This Row],[GroupByKey]])*DiscreteStatsTable[Maximum]))</f>
        <v>29.378397097512401</v>
      </c>
      <c r="V320" cm="1">
        <f t="array" ref="V32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0">
        <f>IF((DiscreteStatsTable[[#This Row],[RepsRequested]]&gt;1),DiscreteStatsTable[[#This Row],[HalfWidth]],DiscreteStatsTable[[#This Row],[BatchMeansHalfWidth]])</f>
        <v>6.0890831086538234E-2</v>
      </c>
      <c r="X320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131</v>
      </c>
      <c r="C321">
        <v>7</v>
      </c>
      <c r="D321" t="s">
        <v>78</v>
      </c>
      <c r="E321" t="s">
        <v>81</v>
      </c>
      <c r="F321" t="s">
        <v>80</v>
      </c>
      <c r="G321">
        <v>0.49547129077021401</v>
      </c>
      <c r="H321">
        <v>1.2152956040802999E-2</v>
      </c>
      <c r="I321">
        <v>0.119962347798051</v>
      </c>
      <c r="J321">
        <v>1.5131609728709901</v>
      </c>
      <c r="K321">
        <v>2394</v>
      </c>
      <c r="L321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21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cm="1">
        <f t="array" ref="N321">IFERROR(AVERAGE(IF((DiscreteStatsTable[GroupByKey]=DiscreteStatsTable[[#This Row],[GroupByKey]]),(DiscreteStatsTable[GroupByKey]=DiscreteStatsTable[[#This Row],[GroupByKey]])*DiscreteStatsTable[Average])),0)</f>
        <v>0.49210501840783172</v>
      </c>
      <c r="O321" cm="1">
        <f t="array" ref="O321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21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21" cm="1">
        <f t="array" ref="R321">MIN(IF((DiscreteStatsTable[GroupByKey]=DiscreteStatsTable[[#This Row],[GroupByKey]]),(DiscreteStatsTable[GroupByKey]=DiscreteStatsTable[[#This Row],[GroupByKey]])*DiscreteStatsTable[Average]))</f>
        <v>0.481748748376016</v>
      </c>
      <c r="S321" cm="1">
        <f t="array" ref="S321">MAX(IF((DiscreteStatsTable[GroupByKey]=DiscreteStatsTable[[#This Row],[GroupByKey]]),(DiscreteStatsTable[GroupByKey]=DiscreteStatsTable[[#This Row],[GroupByKey]])*DiscreteStatsTable[Average]))</f>
        <v>0.50324408220295003</v>
      </c>
      <c r="T321" cm="1">
        <f t="array" ref="T321">MIN(IF((DiscreteStatsTable[GroupByKey]=DiscreteStatsTable[[#This Row],[GroupByKey]]),(DiscreteStatsTable[GroupByKey]=DiscreteStatsTable[[#This Row],[GroupByKey]])*DiscreteStatsTable[Minimum]))</f>
        <v>0.101748731497707</v>
      </c>
      <c r="U321" cm="1">
        <f t="array" ref="U321">MAX(IF((DiscreteStatsTable[GroupByKey]=DiscreteStatsTable[[#This Row],[GroupByKey]]),(DiscreteStatsTable[GroupByKey]=DiscreteStatsTable[[#This Row],[GroupByKey]])*DiscreteStatsTable[Maximum]))</f>
        <v>1.5939517145847</v>
      </c>
      <c r="V321" cm="1">
        <f t="array" ref="V32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1">
        <f>IF((DiscreteStatsTable[[#This Row],[RepsRequested]]&gt;1),DiscreteStatsTable[[#This Row],[HalfWidth]],DiscreteStatsTable[[#This Row],[BatchMeansHalfWidth]])</f>
        <v>1.3583273853576923E-3</v>
      </c>
      <c r="X321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131</v>
      </c>
      <c r="C322">
        <v>7</v>
      </c>
      <c r="D322" t="s">
        <v>78</v>
      </c>
      <c r="E322" t="s">
        <v>82</v>
      </c>
      <c r="F322" t="s">
        <v>80</v>
      </c>
      <c r="G322">
        <v>0.72369751079971301</v>
      </c>
      <c r="H322">
        <v>0.21665164939456399</v>
      </c>
      <c r="I322">
        <v>0</v>
      </c>
      <c r="J322">
        <v>14.3681831855307</v>
      </c>
      <c r="K322">
        <v>2394</v>
      </c>
      <c r="L322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22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cm="1">
        <f t="array" ref="N322">IFERROR(AVERAGE(IF((DiscreteStatsTable[GroupByKey]=DiscreteStatsTable[[#This Row],[GroupByKey]]),(DiscreteStatsTable[GroupByKey]=DiscreteStatsTable[[#This Row],[GroupByKey]])*DiscreteStatsTable[Average])),0)</f>
        <v>0.80557345969139849</v>
      </c>
      <c r="O322" cm="1">
        <f t="array" ref="O322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22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22" cm="1">
        <f t="array" ref="R322">MIN(IF((DiscreteStatsTable[GroupByKey]=DiscreteStatsTable[[#This Row],[GroupByKey]]),(DiscreteStatsTable[GroupByKey]=DiscreteStatsTable[[#This Row],[GroupByKey]])*DiscreteStatsTable[Average]))</f>
        <v>0.515986961752252</v>
      </c>
      <c r="S322" cm="1">
        <f t="array" ref="S322">MAX(IF((DiscreteStatsTable[GroupByKey]=DiscreteStatsTable[[#This Row],[GroupByKey]]),(DiscreteStatsTable[GroupByKey]=DiscreteStatsTable[[#This Row],[GroupByKey]])*DiscreteStatsTable[Average]))</f>
        <v>1.3542194698792001</v>
      </c>
      <c r="T322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cm="1">
        <f t="array" ref="U322">MAX(IF((DiscreteStatsTable[GroupByKey]=DiscreteStatsTable[[#This Row],[GroupByKey]]),(DiscreteStatsTable[GroupByKey]=DiscreteStatsTable[[#This Row],[GroupByKey]])*DiscreteStatsTable[Maximum]))</f>
        <v>28.983199492767199</v>
      </c>
      <c r="V322" cm="1">
        <f t="array" ref="V32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2">
        <f>IF((DiscreteStatsTable[[#This Row],[RepsRequested]]&gt;1),DiscreteStatsTable[[#This Row],[HalfWidth]],DiscreteStatsTable[[#This Row],[BatchMeansHalfWidth]])</f>
        <v>6.0520109610092528E-2</v>
      </c>
      <c r="X322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131</v>
      </c>
      <c r="C323">
        <v>8</v>
      </c>
      <c r="D323" t="s">
        <v>78</v>
      </c>
      <c r="E323" t="s">
        <v>79</v>
      </c>
      <c r="F323" t="s">
        <v>80</v>
      </c>
      <c r="G323">
        <v>1.2155352600626701</v>
      </c>
      <c r="H323">
        <v>0.21179960106869</v>
      </c>
      <c r="I323">
        <v>0.10260384490715101</v>
      </c>
      <c r="J323">
        <v>9.8944889123131201</v>
      </c>
      <c r="K323">
        <v>2403</v>
      </c>
      <c r="L323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23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cm="1">
        <f t="array" ref="N323">IFERROR(AVERAGE(IF((DiscreteStatsTable[GroupByKey]=DiscreteStatsTable[[#This Row],[GroupByKey]]),(DiscreteStatsTable[GroupByKey]=DiscreteStatsTable[[#This Row],[GroupByKey]])*DiscreteStatsTable[Average])),0)</f>
        <v>1.2976784780992308</v>
      </c>
      <c r="O323" cm="1">
        <f t="array" ref="O323">IFERROR(_xlfn.STDEV.S(IF((DiscreteStatsTable[GroupByKey]=DiscreteStatsTable[[#This Row],[GroupByKey]]),(DiscreteStatsTable[GroupByKey]=DiscreteStatsTable[[#This Row],[GroupByKey]])*DiscreteStatsTable[Average])),0)</f>
        <v>0.214255822712483</v>
      </c>
      <c r="P323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23" cm="1">
        <f t="array" ref="R323">MIN(IF((DiscreteStatsTable[GroupByKey]=DiscreteStatsTable[[#This Row],[GroupByKey]]),(DiscreteStatsTable[GroupByKey]=DiscreteStatsTable[[#This Row],[GroupByKey]])*DiscreteStatsTable[Average]))</f>
        <v>1.00825666115094</v>
      </c>
      <c r="S323" cm="1">
        <f t="array" ref="S323">MAX(IF((DiscreteStatsTable[GroupByKey]=DiscreteStatsTable[[#This Row],[GroupByKey]]),(DiscreteStatsTable[GroupByKey]=DiscreteStatsTable[[#This Row],[GroupByKey]])*DiscreteStatsTable[Average]))</f>
        <v>1.85589832994621</v>
      </c>
      <c r="T323" cm="1">
        <f t="array" ref="T323">MIN(IF((DiscreteStatsTable[GroupByKey]=DiscreteStatsTable[[#This Row],[GroupByKey]]),(DiscreteStatsTable[GroupByKey]=DiscreteStatsTable[[#This Row],[GroupByKey]])*DiscreteStatsTable[Minimum]))</f>
        <v>0.10260384490715101</v>
      </c>
      <c r="U323" cm="1">
        <f t="array" ref="U323">MAX(IF((DiscreteStatsTable[GroupByKey]=DiscreteStatsTable[[#This Row],[GroupByKey]]),(DiscreteStatsTable[GroupByKey]=DiscreteStatsTable[[#This Row],[GroupByKey]])*DiscreteStatsTable[Maximum]))</f>
        <v>29.378397097512401</v>
      </c>
      <c r="V323" cm="1">
        <f t="array" ref="V32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3">
        <f>IF((DiscreteStatsTable[[#This Row],[RepsRequested]]&gt;1),DiscreteStatsTable[[#This Row],[HalfWidth]],DiscreteStatsTable[[#This Row],[BatchMeansHalfWidth]])</f>
        <v>6.0890831086538234E-2</v>
      </c>
      <c r="X323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131</v>
      </c>
      <c r="C324">
        <v>8</v>
      </c>
      <c r="D324" t="s">
        <v>78</v>
      </c>
      <c r="E324" t="s">
        <v>81</v>
      </c>
      <c r="F324" t="s">
        <v>80</v>
      </c>
      <c r="G324">
        <v>0.492155477236212</v>
      </c>
      <c r="H324">
        <v>1.1634517344510001E-2</v>
      </c>
      <c r="I324">
        <v>0.10260384490715101</v>
      </c>
      <c r="J324">
        <v>1.5939517145847</v>
      </c>
      <c r="K324">
        <v>2403</v>
      </c>
      <c r="L324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24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cm="1">
        <f t="array" ref="N324">IFERROR(AVERAGE(IF((DiscreteStatsTable[GroupByKey]=DiscreteStatsTable[[#This Row],[GroupByKey]]),(DiscreteStatsTable[GroupByKey]=DiscreteStatsTable[[#This Row],[GroupByKey]])*DiscreteStatsTable[Average])),0)</f>
        <v>0.49210501840783172</v>
      </c>
      <c r="O324" cm="1">
        <f t="array" ref="O324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24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24" cm="1">
        <f t="array" ref="R324">MIN(IF((DiscreteStatsTable[GroupByKey]=DiscreteStatsTable[[#This Row],[GroupByKey]]),(DiscreteStatsTable[GroupByKey]=DiscreteStatsTable[[#This Row],[GroupByKey]])*DiscreteStatsTable[Average]))</f>
        <v>0.481748748376016</v>
      </c>
      <c r="S324" cm="1">
        <f t="array" ref="S324">MAX(IF((DiscreteStatsTable[GroupByKey]=DiscreteStatsTable[[#This Row],[GroupByKey]]),(DiscreteStatsTable[GroupByKey]=DiscreteStatsTable[[#This Row],[GroupByKey]])*DiscreteStatsTable[Average]))</f>
        <v>0.50324408220295003</v>
      </c>
      <c r="T324" cm="1">
        <f t="array" ref="T324">MIN(IF((DiscreteStatsTable[GroupByKey]=DiscreteStatsTable[[#This Row],[GroupByKey]]),(DiscreteStatsTable[GroupByKey]=DiscreteStatsTable[[#This Row],[GroupByKey]])*DiscreteStatsTable[Minimum]))</f>
        <v>0.101748731497707</v>
      </c>
      <c r="U324" cm="1">
        <f t="array" ref="U324">MAX(IF((DiscreteStatsTable[GroupByKey]=DiscreteStatsTable[[#This Row],[GroupByKey]]),(DiscreteStatsTable[GroupByKey]=DiscreteStatsTable[[#This Row],[GroupByKey]])*DiscreteStatsTable[Maximum]))</f>
        <v>1.5939517145847</v>
      </c>
      <c r="V324" cm="1">
        <f t="array" ref="V32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4">
        <f>IF((DiscreteStatsTable[[#This Row],[RepsRequested]]&gt;1),DiscreteStatsTable[[#This Row],[HalfWidth]],DiscreteStatsTable[[#This Row],[BatchMeansHalfWidth]])</f>
        <v>1.3583273853576923E-3</v>
      </c>
      <c r="X324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131</v>
      </c>
      <c r="C325">
        <v>8</v>
      </c>
      <c r="D325" t="s">
        <v>78</v>
      </c>
      <c r="E325" t="s">
        <v>82</v>
      </c>
      <c r="F325" t="s">
        <v>80</v>
      </c>
      <c r="G325">
        <v>0.72337978282646198</v>
      </c>
      <c r="H325">
        <v>0.21205206351012901</v>
      </c>
      <c r="I325">
        <v>0</v>
      </c>
      <c r="J325">
        <v>9.5887786895350793</v>
      </c>
      <c r="K325">
        <v>2403</v>
      </c>
      <c r="L325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2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cm="1">
        <f t="array" ref="N325">IFERROR(AVERAGE(IF((DiscreteStatsTable[GroupByKey]=DiscreteStatsTable[[#This Row],[GroupByKey]]),(DiscreteStatsTable[GroupByKey]=DiscreteStatsTable[[#This Row],[GroupByKey]])*DiscreteStatsTable[Average])),0)</f>
        <v>0.80557345969139849</v>
      </c>
      <c r="O325" cm="1">
        <f t="array" ref="O325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2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25" cm="1">
        <f t="array" ref="R325">MIN(IF((DiscreteStatsTable[GroupByKey]=DiscreteStatsTable[[#This Row],[GroupByKey]]),(DiscreteStatsTable[GroupByKey]=DiscreteStatsTable[[#This Row],[GroupByKey]])*DiscreteStatsTable[Average]))</f>
        <v>0.515986961752252</v>
      </c>
      <c r="S325" cm="1">
        <f t="array" ref="S325">MAX(IF((DiscreteStatsTable[GroupByKey]=DiscreteStatsTable[[#This Row],[GroupByKey]]),(DiscreteStatsTable[GroupByKey]=DiscreteStatsTable[[#This Row],[GroupByKey]])*DiscreteStatsTable[Average]))</f>
        <v>1.3542194698792001</v>
      </c>
      <c r="T32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cm="1">
        <f t="array" ref="U325">MAX(IF((DiscreteStatsTable[GroupByKey]=DiscreteStatsTable[[#This Row],[GroupByKey]]),(DiscreteStatsTable[GroupByKey]=DiscreteStatsTable[[#This Row],[GroupByKey]])*DiscreteStatsTable[Maximum]))</f>
        <v>28.983199492767199</v>
      </c>
      <c r="V325" cm="1">
        <f t="array" ref="V32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5">
        <f>IF((DiscreteStatsTable[[#This Row],[RepsRequested]]&gt;1),DiscreteStatsTable[[#This Row],[HalfWidth]],DiscreteStatsTable[[#This Row],[BatchMeansHalfWidth]])</f>
        <v>6.0520109610092528E-2</v>
      </c>
      <c r="X32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131</v>
      </c>
      <c r="C326">
        <v>9</v>
      </c>
      <c r="D326" t="s">
        <v>78</v>
      </c>
      <c r="E326" t="s">
        <v>79</v>
      </c>
      <c r="F326" t="s">
        <v>80</v>
      </c>
      <c r="G326">
        <v>1.7049057372434699</v>
      </c>
      <c r="H326">
        <v>3E+20</v>
      </c>
      <c r="I326">
        <v>0.13732100905224301</v>
      </c>
      <c r="J326">
        <v>18.511159086152698</v>
      </c>
      <c r="K326">
        <v>2429</v>
      </c>
      <c r="L326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26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cm="1">
        <f t="array" ref="N326">IFERROR(AVERAGE(IF((DiscreteStatsTable[GroupByKey]=DiscreteStatsTable[[#This Row],[GroupByKey]]),(DiscreteStatsTable[GroupByKey]=DiscreteStatsTable[[#This Row],[GroupByKey]])*DiscreteStatsTable[Average])),0)</f>
        <v>1.2976784780992308</v>
      </c>
      <c r="O326" cm="1">
        <f t="array" ref="O326">IFERROR(_xlfn.STDEV.S(IF((DiscreteStatsTable[GroupByKey]=DiscreteStatsTable[[#This Row],[GroupByKey]]),(DiscreteStatsTable[GroupByKey]=DiscreteStatsTable[[#This Row],[GroupByKey]])*DiscreteStatsTable[Average])),0)</f>
        <v>0.214255822712483</v>
      </c>
      <c r="P326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26" cm="1">
        <f t="array" ref="R326">MIN(IF((DiscreteStatsTable[GroupByKey]=DiscreteStatsTable[[#This Row],[GroupByKey]]),(DiscreteStatsTable[GroupByKey]=DiscreteStatsTable[[#This Row],[GroupByKey]])*DiscreteStatsTable[Average]))</f>
        <v>1.00825666115094</v>
      </c>
      <c r="S326" cm="1">
        <f t="array" ref="S326">MAX(IF((DiscreteStatsTable[GroupByKey]=DiscreteStatsTable[[#This Row],[GroupByKey]]),(DiscreteStatsTable[GroupByKey]=DiscreteStatsTable[[#This Row],[GroupByKey]])*DiscreteStatsTable[Average]))</f>
        <v>1.85589832994621</v>
      </c>
      <c r="T326" cm="1">
        <f t="array" ref="T326">MIN(IF((DiscreteStatsTable[GroupByKey]=DiscreteStatsTable[[#This Row],[GroupByKey]]),(DiscreteStatsTable[GroupByKey]=DiscreteStatsTable[[#This Row],[GroupByKey]])*DiscreteStatsTable[Minimum]))</f>
        <v>0.10260384490715101</v>
      </c>
      <c r="U326" cm="1">
        <f t="array" ref="U326">MAX(IF((DiscreteStatsTable[GroupByKey]=DiscreteStatsTable[[#This Row],[GroupByKey]]),(DiscreteStatsTable[GroupByKey]=DiscreteStatsTable[[#This Row],[GroupByKey]])*DiscreteStatsTable[Maximum]))</f>
        <v>29.378397097512401</v>
      </c>
      <c r="V326" cm="1">
        <f t="array" ref="V32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6">
        <f>IF((DiscreteStatsTable[[#This Row],[RepsRequested]]&gt;1),DiscreteStatsTable[[#This Row],[HalfWidth]],DiscreteStatsTable[[#This Row],[BatchMeansHalfWidth]])</f>
        <v>6.0890831086538234E-2</v>
      </c>
      <c r="X326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131</v>
      </c>
      <c r="C327">
        <v>9</v>
      </c>
      <c r="D327" t="s">
        <v>78</v>
      </c>
      <c r="E327" t="s">
        <v>81</v>
      </c>
      <c r="F327" t="s">
        <v>80</v>
      </c>
      <c r="G327">
        <v>0.50171238837585597</v>
      </c>
      <c r="H327">
        <v>1.18988661650829E-2</v>
      </c>
      <c r="I327">
        <v>0.1031412299061</v>
      </c>
      <c r="J327">
        <v>1.5762216879650199</v>
      </c>
      <c r="K327">
        <v>2429</v>
      </c>
      <c r="L327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27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cm="1">
        <f t="array" ref="N327">IFERROR(AVERAGE(IF((DiscreteStatsTable[GroupByKey]=DiscreteStatsTable[[#This Row],[GroupByKey]]),(DiscreteStatsTable[GroupByKey]=DiscreteStatsTable[[#This Row],[GroupByKey]])*DiscreteStatsTable[Average])),0)</f>
        <v>0.49210501840783172</v>
      </c>
      <c r="O327" cm="1">
        <f t="array" ref="O327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27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27" cm="1">
        <f t="array" ref="R327">MIN(IF((DiscreteStatsTable[GroupByKey]=DiscreteStatsTable[[#This Row],[GroupByKey]]),(DiscreteStatsTable[GroupByKey]=DiscreteStatsTable[[#This Row],[GroupByKey]])*DiscreteStatsTable[Average]))</f>
        <v>0.481748748376016</v>
      </c>
      <c r="S327" cm="1">
        <f t="array" ref="S327">MAX(IF((DiscreteStatsTable[GroupByKey]=DiscreteStatsTable[[#This Row],[GroupByKey]]),(DiscreteStatsTable[GroupByKey]=DiscreteStatsTable[[#This Row],[GroupByKey]])*DiscreteStatsTable[Average]))</f>
        <v>0.50324408220295003</v>
      </c>
      <c r="T327" cm="1">
        <f t="array" ref="T327">MIN(IF((DiscreteStatsTable[GroupByKey]=DiscreteStatsTable[[#This Row],[GroupByKey]]),(DiscreteStatsTable[GroupByKey]=DiscreteStatsTable[[#This Row],[GroupByKey]])*DiscreteStatsTable[Minimum]))</f>
        <v>0.101748731497707</v>
      </c>
      <c r="U327" cm="1">
        <f t="array" ref="U327">MAX(IF((DiscreteStatsTable[GroupByKey]=DiscreteStatsTable[[#This Row],[GroupByKey]]),(DiscreteStatsTable[GroupByKey]=DiscreteStatsTable[[#This Row],[GroupByKey]])*DiscreteStatsTable[Maximum]))</f>
        <v>1.5939517145847</v>
      </c>
      <c r="V327" cm="1">
        <f t="array" ref="V32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7">
        <f>IF((DiscreteStatsTable[[#This Row],[RepsRequested]]&gt;1),DiscreteStatsTable[[#This Row],[HalfWidth]],DiscreteStatsTable[[#This Row],[BatchMeansHalfWidth]])</f>
        <v>1.3583273853576923E-3</v>
      </c>
      <c r="X327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131</v>
      </c>
      <c r="C328">
        <v>9</v>
      </c>
      <c r="D328" t="s">
        <v>78</v>
      </c>
      <c r="E328" t="s">
        <v>82</v>
      </c>
      <c r="F328" t="s">
        <v>80</v>
      </c>
      <c r="G328">
        <v>1.2031933488676101</v>
      </c>
      <c r="H328">
        <v>3E+20</v>
      </c>
      <c r="I328">
        <v>0</v>
      </c>
      <c r="J328">
        <v>18.219088962396398</v>
      </c>
      <c r="K328">
        <v>2429</v>
      </c>
      <c r="L328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28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cm="1">
        <f t="array" ref="N328">IFERROR(AVERAGE(IF((DiscreteStatsTable[GroupByKey]=DiscreteStatsTable[[#This Row],[GroupByKey]]),(DiscreteStatsTable[GroupByKey]=DiscreteStatsTable[[#This Row],[GroupByKey]])*DiscreteStatsTable[Average])),0)</f>
        <v>0.80557345969139849</v>
      </c>
      <c r="O328" cm="1">
        <f t="array" ref="O328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28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28" cm="1">
        <f t="array" ref="R328">MIN(IF((DiscreteStatsTable[GroupByKey]=DiscreteStatsTable[[#This Row],[GroupByKey]]),(DiscreteStatsTable[GroupByKey]=DiscreteStatsTable[[#This Row],[GroupByKey]])*DiscreteStatsTable[Average]))</f>
        <v>0.515986961752252</v>
      </c>
      <c r="S328" cm="1">
        <f t="array" ref="S328">MAX(IF((DiscreteStatsTable[GroupByKey]=DiscreteStatsTable[[#This Row],[GroupByKey]]),(DiscreteStatsTable[GroupByKey]=DiscreteStatsTable[[#This Row],[GroupByKey]])*DiscreteStatsTable[Average]))</f>
        <v>1.3542194698792001</v>
      </c>
      <c r="T328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cm="1">
        <f t="array" ref="U328">MAX(IF((DiscreteStatsTable[GroupByKey]=DiscreteStatsTable[[#This Row],[GroupByKey]]),(DiscreteStatsTable[GroupByKey]=DiscreteStatsTable[[#This Row],[GroupByKey]])*DiscreteStatsTable[Maximum]))</f>
        <v>28.983199492767199</v>
      </c>
      <c r="V328" cm="1">
        <f t="array" ref="V32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8">
        <f>IF((DiscreteStatsTable[[#This Row],[RepsRequested]]&gt;1),DiscreteStatsTable[[#This Row],[HalfWidth]],DiscreteStatsTable[[#This Row],[BatchMeansHalfWidth]])</f>
        <v>6.0520109610092528E-2</v>
      </c>
      <c r="X328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131</v>
      </c>
      <c r="C329">
        <v>10</v>
      </c>
      <c r="D329" t="s">
        <v>78</v>
      </c>
      <c r="E329" t="s">
        <v>79</v>
      </c>
      <c r="F329" t="s">
        <v>80</v>
      </c>
      <c r="G329">
        <v>1.47773853032626</v>
      </c>
      <c r="H329">
        <v>0.30787985885997998</v>
      </c>
      <c r="I329">
        <v>0.127374748372972</v>
      </c>
      <c r="J329">
        <v>18.0317948573989</v>
      </c>
      <c r="K329">
        <v>2502</v>
      </c>
      <c r="L329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29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cm="1">
        <f t="array" ref="N329">IFERROR(AVERAGE(IF((DiscreteStatsTable[GroupByKey]=DiscreteStatsTable[[#This Row],[GroupByKey]]),(DiscreteStatsTable[GroupByKey]=DiscreteStatsTable[[#This Row],[GroupByKey]])*DiscreteStatsTable[Average])),0)</f>
        <v>1.2976784780992308</v>
      </c>
      <c r="O329" cm="1">
        <f t="array" ref="O329">IFERROR(_xlfn.STDEV.S(IF((DiscreteStatsTable[GroupByKey]=DiscreteStatsTable[[#This Row],[GroupByKey]]),(DiscreteStatsTable[GroupByKey]=DiscreteStatsTable[[#This Row],[GroupByKey]])*DiscreteStatsTable[Average])),0)</f>
        <v>0.214255822712483</v>
      </c>
      <c r="P329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29" cm="1">
        <f t="array" ref="R329">MIN(IF((DiscreteStatsTable[GroupByKey]=DiscreteStatsTable[[#This Row],[GroupByKey]]),(DiscreteStatsTable[GroupByKey]=DiscreteStatsTable[[#This Row],[GroupByKey]])*DiscreteStatsTable[Average]))</f>
        <v>1.00825666115094</v>
      </c>
      <c r="S329" cm="1">
        <f t="array" ref="S329">MAX(IF((DiscreteStatsTable[GroupByKey]=DiscreteStatsTable[[#This Row],[GroupByKey]]),(DiscreteStatsTable[GroupByKey]=DiscreteStatsTable[[#This Row],[GroupByKey]])*DiscreteStatsTable[Average]))</f>
        <v>1.85589832994621</v>
      </c>
      <c r="T329" cm="1">
        <f t="array" ref="T329">MIN(IF((DiscreteStatsTable[GroupByKey]=DiscreteStatsTable[[#This Row],[GroupByKey]]),(DiscreteStatsTable[GroupByKey]=DiscreteStatsTable[[#This Row],[GroupByKey]])*DiscreteStatsTable[Minimum]))</f>
        <v>0.10260384490715101</v>
      </c>
      <c r="U329" cm="1">
        <f t="array" ref="U329">MAX(IF((DiscreteStatsTable[GroupByKey]=DiscreteStatsTable[[#This Row],[GroupByKey]]),(DiscreteStatsTable[GroupByKey]=DiscreteStatsTable[[#This Row],[GroupByKey]])*DiscreteStatsTable[Maximum]))</f>
        <v>29.378397097512401</v>
      </c>
      <c r="V329" cm="1">
        <f t="array" ref="V32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29">
        <f>IF((DiscreteStatsTable[[#This Row],[RepsRequested]]&gt;1),DiscreteStatsTable[[#This Row],[HalfWidth]],DiscreteStatsTable[[#This Row],[BatchMeansHalfWidth]])</f>
        <v>6.0890831086538234E-2</v>
      </c>
      <c r="X329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131</v>
      </c>
      <c r="C330">
        <v>10</v>
      </c>
      <c r="D330" t="s">
        <v>78</v>
      </c>
      <c r="E330" t="s">
        <v>81</v>
      </c>
      <c r="F330" t="s">
        <v>80</v>
      </c>
      <c r="G330">
        <v>0.48841161803570798</v>
      </c>
      <c r="H330">
        <v>1.08171321985402E-2</v>
      </c>
      <c r="I330">
        <v>0.112447286517408</v>
      </c>
      <c r="J330">
        <v>1.58899663566206</v>
      </c>
      <c r="K330">
        <v>2502</v>
      </c>
      <c r="L330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30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cm="1">
        <f t="array" ref="N330">IFERROR(AVERAGE(IF((DiscreteStatsTable[GroupByKey]=DiscreteStatsTable[[#This Row],[GroupByKey]]),(DiscreteStatsTable[GroupByKey]=DiscreteStatsTable[[#This Row],[GroupByKey]])*DiscreteStatsTable[Average])),0)</f>
        <v>0.49210501840783172</v>
      </c>
      <c r="O330" cm="1">
        <f t="array" ref="O330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30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30" cm="1">
        <f t="array" ref="R330">MIN(IF((DiscreteStatsTable[GroupByKey]=DiscreteStatsTable[[#This Row],[GroupByKey]]),(DiscreteStatsTable[GroupByKey]=DiscreteStatsTable[[#This Row],[GroupByKey]])*DiscreteStatsTable[Average]))</f>
        <v>0.481748748376016</v>
      </c>
      <c r="S330" cm="1">
        <f t="array" ref="S330">MAX(IF((DiscreteStatsTable[GroupByKey]=DiscreteStatsTable[[#This Row],[GroupByKey]]),(DiscreteStatsTable[GroupByKey]=DiscreteStatsTable[[#This Row],[GroupByKey]])*DiscreteStatsTable[Average]))</f>
        <v>0.50324408220295003</v>
      </c>
      <c r="T330" cm="1">
        <f t="array" ref="T330">MIN(IF((DiscreteStatsTable[GroupByKey]=DiscreteStatsTable[[#This Row],[GroupByKey]]),(DiscreteStatsTable[GroupByKey]=DiscreteStatsTable[[#This Row],[GroupByKey]])*DiscreteStatsTable[Minimum]))</f>
        <v>0.101748731497707</v>
      </c>
      <c r="U330" cm="1">
        <f t="array" ref="U330">MAX(IF((DiscreteStatsTable[GroupByKey]=DiscreteStatsTable[[#This Row],[GroupByKey]]),(DiscreteStatsTable[GroupByKey]=DiscreteStatsTable[[#This Row],[GroupByKey]])*DiscreteStatsTable[Maximum]))</f>
        <v>1.5939517145847</v>
      </c>
      <c r="V330" cm="1">
        <f t="array" ref="V33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0">
        <f>IF((DiscreteStatsTable[[#This Row],[RepsRequested]]&gt;1),DiscreteStatsTable[[#This Row],[HalfWidth]],DiscreteStatsTable[[#This Row],[BatchMeansHalfWidth]])</f>
        <v>1.3583273853576923E-3</v>
      </c>
      <c r="X330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131</v>
      </c>
      <c r="C331">
        <v>10</v>
      </c>
      <c r="D331" t="s">
        <v>78</v>
      </c>
      <c r="E331" t="s">
        <v>82</v>
      </c>
      <c r="F331" t="s">
        <v>80</v>
      </c>
      <c r="G331">
        <v>0.98932691229055603</v>
      </c>
      <c r="H331">
        <v>0.30757449804164799</v>
      </c>
      <c r="I331">
        <v>0</v>
      </c>
      <c r="J331">
        <v>17.7238412625919</v>
      </c>
      <c r="K331">
        <v>2502</v>
      </c>
      <c r="L331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31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cm="1">
        <f t="array" ref="N331">IFERROR(AVERAGE(IF((DiscreteStatsTable[GroupByKey]=DiscreteStatsTable[[#This Row],[GroupByKey]]),(DiscreteStatsTable[GroupByKey]=DiscreteStatsTable[[#This Row],[GroupByKey]])*DiscreteStatsTable[Average])),0)</f>
        <v>0.80557345969139849</v>
      </c>
      <c r="O331" cm="1">
        <f t="array" ref="O331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31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31" cm="1">
        <f t="array" ref="R331">MIN(IF((DiscreteStatsTable[GroupByKey]=DiscreteStatsTable[[#This Row],[GroupByKey]]),(DiscreteStatsTable[GroupByKey]=DiscreteStatsTable[[#This Row],[GroupByKey]])*DiscreteStatsTable[Average]))</f>
        <v>0.515986961752252</v>
      </c>
      <c r="S331" cm="1">
        <f t="array" ref="S331">MAX(IF((DiscreteStatsTable[GroupByKey]=DiscreteStatsTable[[#This Row],[GroupByKey]]),(DiscreteStatsTable[GroupByKey]=DiscreteStatsTable[[#This Row],[GroupByKey]])*DiscreteStatsTable[Average]))</f>
        <v>1.3542194698792001</v>
      </c>
      <c r="T331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cm="1">
        <f t="array" ref="U331">MAX(IF((DiscreteStatsTable[GroupByKey]=DiscreteStatsTable[[#This Row],[GroupByKey]]),(DiscreteStatsTable[GroupByKey]=DiscreteStatsTable[[#This Row],[GroupByKey]])*DiscreteStatsTable[Maximum]))</f>
        <v>28.983199492767199</v>
      </c>
      <c r="V331" cm="1">
        <f t="array" ref="V33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1">
        <f>IF((DiscreteStatsTable[[#This Row],[RepsRequested]]&gt;1),DiscreteStatsTable[[#This Row],[HalfWidth]],DiscreteStatsTable[[#This Row],[BatchMeansHalfWidth]])</f>
        <v>6.0520109610092528E-2</v>
      </c>
      <c r="X331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131</v>
      </c>
      <c r="C332">
        <v>11</v>
      </c>
      <c r="D332" t="s">
        <v>78</v>
      </c>
      <c r="E332" t="s">
        <v>79</v>
      </c>
      <c r="F332" t="s">
        <v>80</v>
      </c>
      <c r="G332">
        <v>1.34153330135291</v>
      </c>
      <c r="H332">
        <v>0.364459472998935</v>
      </c>
      <c r="I332">
        <v>0.13567328621161301</v>
      </c>
      <c r="J332">
        <v>17.171373555620701</v>
      </c>
      <c r="K332">
        <v>2446</v>
      </c>
      <c r="L332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32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cm="1">
        <f t="array" ref="N332">IFERROR(AVERAGE(IF((DiscreteStatsTable[GroupByKey]=DiscreteStatsTable[[#This Row],[GroupByKey]]),(DiscreteStatsTable[GroupByKey]=DiscreteStatsTable[[#This Row],[GroupByKey]])*DiscreteStatsTable[Average])),0)</f>
        <v>1.2976784780992308</v>
      </c>
      <c r="O332" cm="1">
        <f t="array" ref="O332">IFERROR(_xlfn.STDEV.S(IF((DiscreteStatsTable[GroupByKey]=DiscreteStatsTable[[#This Row],[GroupByKey]]),(DiscreteStatsTable[GroupByKey]=DiscreteStatsTable[[#This Row],[GroupByKey]])*DiscreteStatsTable[Average])),0)</f>
        <v>0.214255822712483</v>
      </c>
      <c r="P332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32" cm="1">
        <f t="array" ref="R332">MIN(IF((DiscreteStatsTable[GroupByKey]=DiscreteStatsTable[[#This Row],[GroupByKey]]),(DiscreteStatsTable[GroupByKey]=DiscreteStatsTable[[#This Row],[GroupByKey]])*DiscreteStatsTable[Average]))</f>
        <v>1.00825666115094</v>
      </c>
      <c r="S332" cm="1">
        <f t="array" ref="S332">MAX(IF((DiscreteStatsTable[GroupByKey]=DiscreteStatsTable[[#This Row],[GroupByKey]]),(DiscreteStatsTable[GroupByKey]=DiscreteStatsTable[[#This Row],[GroupByKey]])*DiscreteStatsTable[Average]))</f>
        <v>1.85589832994621</v>
      </c>
      <c r="T332" cm="1">
        <f t="array" ref="T332">MIN(IF((DiscreteStatsTable[GroupByKey]=DiscreteStatsTable[[#This Row],[GroupByKey]]),(DiscreteStatsTable[GroupByKey]=DiscreteStatsTable[[#This Row],[GroupByKey]])*DiscreteStatsTable[Minimum]))</f>
        <v>0.10260384490715101</v>
      </c>
      <c r="U332" cm="1">
        <f t="array" ref="U332">MAX(IF((DiscreteStatsTable[GroupByKey]=DiscreteStatsTable[[#This Row],[GroupByKey]]),(DiscreteStatsTable[GroupByKey]=DiscreteStatsTable[[#This Row],[GroupByKey]])*DiscreteStatsTable[Maximum]))</f>
        <v>29.378397097512401</v>
      </c>
      <c r="V332" cm="1">
        <f t="array" ref="V33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2">
        <f>IF((DiscreteStatsTable[[#This Row],[RepsRequested]]&gt;1),DiscreteStatsTable[[#This Row],[HalfWidth]],DiscreteStatsTable[[#This Row],[BatchMeansHalfWidth]])</f>
        <v>6.0890831086538234E-2</v>
      </c>
      <c r="X332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131</v>
      </c>
      <c r="C333">
        <v>11</v>
      </c>
      <c r="D333" t="s">
        <v>78</v>
      </c>
      <c r="E333" t="s">
        <v>81</v>
      </c>
      <c r="F333" t="s">
        <v>80</v>
      </c>
      <c r="G333">
        <v>0.48725416986771802</v>
      </c>
      <c r="H333">
        <v>1.2841564068428599E-2</v>
      </c>
      <c r="I333">
        <v>0.110427906266523</v>
      </c>
      <c r="J333">
        <v>1.5492412223048</v>
      </c>
      <c r="K333">
        <v>2446</v>
      </c>
      <c r="L333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33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cm="1">
        <f t="array" ref="N333">IFERROR(AVERAGE(IF((DiscreteStatsTable[GroupByKey]=DiscreteStatsTable[[#This Row],[GroupByKey]]),(DiscreteStatsTable[GroupByKey]=DiscreteStatsTable[[#This Row],[GroupByKey]])*DiscreteStatsTable[Average])),0)</f>
        <v>0.49210501840783172</v>
      </c>
      <c r="O333" cm="1">
        <f t="array" ref="O333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33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33" cm="1">
        <f t="array" ref="R333">MIN(IF((DiscreteStatsTable[GroupByKey]=DiscreteStatsTable[[#This Row],[GroupByKey]]),(DiscreteStatsTable[GroupByKey]=DiscreteStatsTable[[#This Row],[GroupByKey]])*DiscreteStatsTable[Average]))</f>
        <v>0.481748748376016</v>
      </c>
      <c r="S333" cm="1">
        <f t="array" ref="S333">MAX(IF((DiscreteStatsTable[GroupByKey]=DiscreteStatsTable[[#This Row],[GroupByKey]]),(DiscreteStatsTable[GroupByKey]=DiscreteStatsTable[[#This Row],[GroupByKey]])*DiscreteStatsTable[Average]))</f>
        <v>0.50324408220295003</v>
      </c>
      <c r="T333" cm="1">
        <f t="array" ref="T333">MIN(IF((DiscreteStatsTable[GroupByKey]=DiscreteStatsTable[[#This Row],[GroupByKey]]),(DiscreteStatsTable[GroupByKey]=DiscreteStatsTable[[#This Row],[GroupByKey]])*DiscreteStatsTable[Minimum]))</f>
        <v>0.101748731497707</v>
      </c>
      <c r="U333" cm="1">
        <f t="array" ref="U333">MAX(IF((DiscreteStatsTable[GroupByKey]=DiscreteStatsTable[[#This Row],[GroupByKey]]),(DiscreteStatsTable[GroupByKey]=DiscreteStatsTable[[#This Row],[GroupByKey]])*DiscreteStatsTable[Maximum]))</f>
        <v>1.5939517145847</v>
      </c>
      <c r="V333" cm="1">
        <f t="array" ref="V33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3">
        <f>IF((DiscreteStatsTable[[#This Row],[RepsRequested]]&gt;1),DiscreteStatsTable[[#This Row],[HalfWidth]],DiscreteStatsTable[[#This Row],[BatchMeansHalfWidth]])</f>
        <v>1.3583273853576923E-3</v>
      </c>
      <c r="X333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131</v>
      </c>
      <c r="C334">
        <v>11</v>
      </c>
      <c r="D334" t="s">
        <v>78</v>
      </c>
      <c r="E334" t="s">
        <v>82</v>
      </c>
      <c r="F334" t="s">
        <v>80</v>
      </c>
      <c r="G334">
        <v>0.85427913148518797</v>
      </c>
      <c r="H334">
        <v>0.36431983525203598</v>
      </c>
      <c r="I334">
        <v>0</v>
      </c>
      <c r="J334">
        <v>16.836187242911102</v>
      </c>
      <c r="K334">
        <v>2446</v>
      </c>
      <c r="L334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34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cm="1">
        <f t="array" ref="N334">IFERROR(AVERAGE(IF((DiscreteStatsTable[GroupByKey]=DiscreteStatsTable[[#This Row],[GroupByKey]]),(DiscreteStatsTable[GroupByKey]=DiscreteStatsTable[[#This Row],[GroupByKey]])*DiscreteStatsTable[Average])),0)</f>
        <v>0.80557345969139849</v>
      </c>
      <c r="O334" cm="1">
        <f t="array" ref="O334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34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34" cm="1">
        <f t="array" ref="R334">MIN(IF((DiscreteStatsTable[GroupByKey]=DiscreteStatsTable[[#This Row],[GroupByKey]]),(DiscreteStatsTable[GroupByKey]=DiscreteStatsTable[[#This Row],[GroupByKey]])*DiscreteStatsTable[Average]))</f>
        <v>0.515986961752252</v>
      </c>
      <c r="S334" cm="1">
        <f t="array" ref="S334">MAX(IF((DiscreteStatsTable[GroupByKey]=DiscreteStatsTable[[#This Row],[GroupByKey]]),(DiscreteStatsTable[GroupByKey]=DiscreteStatsTable[[#This Row],[GroupByKey]])*DiscreteStatsTable[Average]))</f>
        <v>1.3542194698792001</v>
      </c>
      <c r="T334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cm="1">
        <f t="array" ref="U334">MAX(IF((DiscreteStatsTable[GroupByKey]=DiscreteStatsTable[[#This Row],[GroupByKey]]),(DiscreteStatsTable[GroupByKey]=DiscreteStatsTable[[#This Row],[GroupByKey]])*DiscreteStatsTable[Maximum]))</f>
        <v>28.983199492767199</v>
      </c>
      <c r="V334" cm="1">
        <f t="array" ref="V33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4">
        <f>IF((DiscreteStatsTable[[#This Row],[RepsRequested]]&gt;1),DiscreteStatsTable[[#This Row],[HalfWidth]],DiscreteStatsTable[[#This Row],[BatchMeansHalfWidth]])</f>
        <v>6.0520109610092528E-2</v>
      </c>
      <c r="X334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131</v>
      </c>
      <c r="C335">
        <v>12</v>
      </c>
      <c r="D335" t="s">
        <v>78</v>
      </c>
      <c r="E335" t="s">
        <v>79</v>
      </c>
      <c r="F335" t="s">
        <v>80</v>
      </c>
      <c r="G335">
        <v>1.50574311020873</v>
      </c>
      <c r="H335">
        <v>0.28690317102701901</v>
      </c>
      <c r="I335">
        <v>0.134178612152795</v>
      </c>
      <c r="J335">
        <v>14.960898394639599</v>
      </c>
      <c r="K335">
        <v>2400</v>
      </c>
      <c r="L335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3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cm="1">
        <f t="array" ref="N335">IFERROR(AVERAGE(IF((DiscreteStatsTable[GroupByKey]=DiscreteStatsTable[[#This Row],[GroupByKey]]),(DiscreteStatsTable[GroupByKey]=DiscreteStatsTable[[#This Row],[GroupByKey]])*DiscreteStatsTable[Average])),0)</f>
        <v>1.2976784780992308</v>
      </c>
      <c r="O335" cm="1">
        <f t="array" ref="O335">IFERROR(_xlfn.STDEV.S(IF((DiscreteStatsTable[GroupByKey]=DiscreteStatsTable[[#This Row],[GroupByKey]]),(DiscreteStatsTable[GroupByKey]=DiscreteStatsTable[[#This Row],[GroupByKey]])*DiscreteStatsTable[Average])),0)</f>
        <v>0.214255822712483</v>
      </c>
      <c r="P33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35" cm="1">
        <f t="array" ref="R335">MIN(IF((DiscreteStatsTable[GroupByKey]=DiscreteStatsTable[[#This Row],[GroupByKey]]),(DiscreteStatsTable[GroupByKey]=DiscreteStatsTable[[#This Row],[GroupByKey]])*DiscreteStatsTable[Average]))</f>
        <v>1.00825666115094</v>
      </c>
      <c r="S335" cm="1">
        <f t="array" ref="S335">MAX(IF((DiscreteStatsTable[GroupByKey]=DiscreteStatsTable[[#This Row],[GroupByKey]]),(DiscreteStatsTable[GroupByKey]=DiscreteStatsTable[[#This Row],[GroupByKey]])*DiscreteStatsTable[Average]))</f>
        <v>1.85589832994621</v>
      </c>
      <c r="T335" cm="1">
        <f t="array" ref="T335">MIN(IF((DiscreteStatsTable[GroupByKey]=DiscreteStatsTable[[#This Row],[GroupByKey]]),(DiscreteStatsTable[GroupByKey]=DiscreteStatsTable[[#This Row],[GroupByKey]])*DiscreteStatsTable[Minimum]))</f>
        <v>0.10260384490715101</v>
      </c>
      <c r="U335" cm="1">
        <f t="array" ref="U335">MAX(IF((DiscreteStatsTable[GroupByKey]=DiscreteStatsTable[[#This Row],[GroupByKey]]),(DiscreteStatsTable[GroupByKey]=DiscreteStatsTable[[#This Row],[GroupByKey]])*DiscreteStatsTable[Maximum]))</f>
        <v>29.378397097512401</v>
      </c>
      <c r="V335" cm="1">
        <f t="array" ref="V33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5">
        <f>IF((DiscreteStatsTable[[#This Row],[RepsRequested]]&gt;1),DiscreteStatsTable[[#This Row],[HalfWidth]],DiscreteStatsTable[[#This Row],[BatchMeansHalfWidth]])</f>
        <v>6.0890831086538234E-2</v>
      </c>
      <c r="X33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131</v>
      </c>
      <c r="C336">
        <v>12</v>
      </c>
      <c r="D336" t="s">
        <v>78</v>
      </c>
      <c r="E336" t="s">
        <v>81</v>
      </c>
      <c r="F336" t="s">
        <v>80</v>
      </c>
      <c r="G336">
        <v>0.50210359559062301</v>
      </c>
      <c r="H336">
        <v>1.46413645757468E-2</v>
      </c>
      <c r="I336">
        <v>0.112143190153915</v>
      </c>
      <c r="J336">
        <v>1.58846123926355</v>
      </c>
      <c r="K336">
        <v>2400</v>
      </c>
      <c r="L336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36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cm="1">
        <f t="array" ref="N336">IFERROR(AVERAGE(IF((DiscreteStatsTable[GroupByKey]=DiscreteStatsTable[[#This Row],[GroupByKey]]),(DiscreteStatsTable[GroupByKey]=DiscreteStatsTable[[#This Row],[GroupByKey]])*DiscreteStatsTable[Average])),0)</f>
        <v>0.49210501840783172</v>
      </c>
      <c r="O336" cm="1">
        <f t="array" ref="O336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36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36" cm="1">
        <f t="array" ref="R336">MIN(IF((DiscreteStatsTable[GroupByKey]=DiscreteStatsTable[[#This Row],[GroupByKey]]),(DiscreteStatsTable[GroupByKey]=DiscreteStatsTable[[#This Row],[GroupByKey]])*DiscreteStatsTable[Average]))</f>
        <v>0.481748748376016</v>
      </c>
      <c r="S336" cm="1">
        <f t="array" ref="S336">MAX(IF((DiscreteStatsTable[GroupByKey]=DiscreteStatsTable[[#This Row],[GroupByKey]]),(DiscreteStatsTable[GroupByKey]=DiscreteStatsTable[[#This Row],[GroupByKey]])*DiscreteStatsTable[Average]))</f>
        <v>0.50324408220295003</v>
      </c>
      <c r="T336" cm="1">
        <f t="array" ref="T336">MIN(IF((DiscreteStatsTable[GroupByKey]=DiscreteStatsTable[[#This Row],[GroupByKey]]),(DiscreteStatsTable[GroupByKey]=DiscreteStatsTable[[#This Row],[GroupByKey]])*DiscreteStatsTable[Minimum]))</f>
        <v>0.101748731497707</v>
      </c>
      <c r="U336" cm="1">
        <f t="array" ref="U336">MAX(IF((DiscreteStatsTable[GroupByKey]=DiscreteStatsTable[[#This Row],[GroupByKey]]),(DiscreteStatsTable[GroupByKey]=DiscreteStatsTable[[#This Row],[GroupByKey]])*DiscreteStatsTable[Maximum]))</f>
        <v>1.5939517145847</v>
      </c>
      <c r="V336" cm="1">
        <f t="array" ref="V33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6">
        <f>IF((DiscreteStatsTable[[#This Row],[RepsRequested]]&gt;1),DiscreteStatsTable[[#This Row],[HalfWidth]],DiscreteStatsTable[[#This Row],[BatchMeansHalfWidth]])</f>
        <v>1.3583273853576923E-3</v>
      </c>
      <c r="X336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131</v>
      </c>
      <c r="C337">
        <v>12</v>
      </c>
      <c r="D337" t="s">
        <v>78</v>
      </c>
      <c r="E337" t="s">
        <v>82</v>
      </c>
      <c r="F337" t="s">
        <v>80</v>
      </c>
      <c r="G337">
        <v>1.0036395146181001</v>
      </c>
      <c r="H337">
        <v>0.284871756294098</v>
      </c>
      <c r="I337">
        <v>0</v>
      </c>
      <c r="J337">
        <v>14.568521981048001</v>
      </c>
      <c r="K337">
        <v>2400</v>
      </c>
      <c r="L337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37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cm="1">
        <f t="array" ref="N337">IFERROR(AVERAGE(IF((DiscreteStatsTable[GroupByKey]=DiscreteStatsTable[[#This Row],[GroupByKey]]),(DiscreteStatsTable[GroupByKey]=DiscreteStatsTable[[#This Row],[GroupByKey]])*DiscreteStatsTable[Average])),0)</f>
        <v>0.80557345969139849</v>
      </c>
      <c r="O337" cm="1">
        <f t="array" ref="O337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37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37" cm="1">
        <f t="array" ref="R337">MIN(IF((DiscreteStatsTable[GroupByKey]=DiscreteStatsTable[[#This Row],[GroupByKey]]),(DiscreteStatsTable[GroupByKey]=DiscreteStatsTable[[#This Row],[GroupByKey]])*DiscreteStatsTable[Average]))</f>
        <v>0.515986961752252</v>
      </c>
      <c r="S337" cm="1">
        <f t="array" ref="S337">MAX(IF((DiscreteStatsTable[GroupByKey]=DiscreteStatsTable[[#This Row],[GroupByKey]]),(DiscreteStatsTable[GroupByKey]=DiscreteStatsTable[[#This Row],[GroupByKey]])*DiscreteStatsTable[Average]))</f>
        <v>1.3542194698792001</v>
      </c>
      <c r="T337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cm="1">
        <f t="array" ref="U337">MAX(IF((DiscreteStatsTable[GroupByKey]=DiscreteStatsTable[[#This Row],[GroupByKey]]),(DiscreteStatsTable[GroupByKey]=DiscreteStatsTable[[#This Row],[GroupByKey]])*DiscreteStatsTable[Maximum]))</f>
        <v>28.983199492767199</v>
      </c>
      <c r="V337" cm="1">
        <f t="array" ref="V33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7">
        <f>IF((DiscreteStatsTable[[#This Row],[RepsRequested]]&gt;1),DiscreteStatsTable[[#This Row],[HalfWidth]],DiscreteStatsTable[[#This Row],[BatchMeansHalfWidth]])</f>
        <v>6.0520109610092528E-2</v>
      </c>
      <c r="X337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131</v>
      </c>
      <c r="C338">
        <v>13</v>
      </c>
      <c r="D338" t="s">
        <v>78</v>
      </c>
      <c r="E338" t="s">
        <v>79</v>
      </c>
      <c r="F338" t="s">
        <v>80</v>
      </c>
      <c r="G338">
        <v>1.21316254096131</v>
      </c>
      <c r="H338">
        <v>0.23393305365077999</v>
      </c>
      <c r="I338">
        <v>0.110346358717266</v>
      </c>
      <c r="J338">
        <v>13.2945385581718</v>
      </c>
      <c r="K338">
        <v>2406</v>
      </c>
      <c r="L338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38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cm="1">
        <f t="array" ref="N338">IFERROR(AVERAGE(IF((DiscreteStatsTable[GroupByKey]=DiscreteStatsTable[[#This Row],[GroupByKey]]),(DiscreteStatsTable[GroupByKey]=DiscreteStatsTable[[#This Row],[GroupByKey]])*DiscreteStatsTable[Average])),0)</f>
        <v>1.2976784780992308</v>
      </c>
      <c r="O338" cm="1">
        <f t="array" ref="O338">IFERROR(_xlfn.STDEV.S(IF((DiscreteStatsTable[GroupByKey]=DiscreteStatsTable[[#This Row],[GroupByKey]]),(DiscreteStatsTable[GroupByKey]=DiscreteStatsTable[[#This Row],[GroupByKey]])*DiscreteStatsTable[Average])),0)</f>
        <v>0.214255822712483</v>
      </c>
      <c r="P338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38" cm="1">
        <f t="array" ref="R338">MIN(IF((DiscreteStatsTable[GroupByKey]=DiscreteStatsTable[[#This Row],[GroupByKey]]),(DiscreteStatsTable[GroupByKey]=DiscreteStatsTable[[#This Row],[GroupByKey]])*DiscreteStatsTable[Average]))</f>
        <v>1.00825666115094</v>
      </c>
      <c r="S338" cm="1">
        <f t="array" ref="S338">MAX(IF((DiscreteStatsTable[GroupByKey]=DiscreteStatsTable[[#This Row],[GroupByKey]]),(DiscreteStatsTable[GroupByKey]=DiscreteStatsTable[[#This Row],[GroupByKey]])*DiscreteStatsTable[Average]))</f>
        <v>1.85589832994621</v>
      </c>
      <c r="T338" cm="1">
        <f t="array" ref="T338">MIN(IF((DiscreteStatsTable[GroupByKey]=DiscreteStatsTable[[#This Row],[GroupByKey]]),(DiscreteStatsTable[GroupByKey]=DiscreteStatsTable[[#This Row],[GroupByKey]])*DiscreteStatsTable[Minimum]))</f>
        <v>0.10260384490715101</v>
      </c>
      <c r="U338" cm="1">
        <f t="array" ref="U338">MAX(IF((DiscreteStatsTable[GroupByKey]=DiscreteStatsTable[[#This Row],[GroupByKey]]),(DiscreteStatsTable[GroupByKey]=DiscreteStatsTable[[#This Row],[GroupByKey]])*DiscreteStatsTable[Maximum]))</f>
        <v>29.378397097512401</v>
      </c>
      <c r="V338" cm="1">
        <f t="array" ref="V33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8">
        <f>IF((DiscreteStatsTable[[#This Row],[RepsRequested]]&gt;1),DiscreteStatsTable[[#This Row],[HalfWidth]],DiscreteStatsTable[[#This Row],[BatchMeansHalfWidth]])</f>
        <v>6.0890831086538234E-2</v>
      </c>
      <c r="X338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131</v>
      </c>
      <c r="C339">
        <v>13</v>
      </c>
      <c r="D339" t="s">
        <v>78</v>
      </c>
      <c r="E339" t="s">
        <v>81</v>
      </c>
      <c r="F339" t="s">
        <v>80</v>
      </c>
      <c r="G339">
        <v>0.49044849308962501</v>
      </c>
      <c r="H339">
        <v>1.2281618962880001E-2</v>
      </c>
      <c r="I339">
        <v>0.10781235099077</v>
      </c>
      <c r="J339">
        <v>1.57001723309213</v>
      </c>
      <c r="K339">
        <v>2406</v>
      </c>
      <c r="L339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39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cm="1">
        <f t="array" ref="N339">IFERROR(AVERAGE(IF((DiscreteStatsTable[GroupByKey]=DiscreteStatsTable[[#This Row],[GroupByKey]]),(DiscreteStatsTable[GroupByKey]=DiscreteStatsTable[[#This Row],[GroupByKey]])*DiscreteStatsTable[Average])),0)</f>
        <v>0.49210501840783172</v>
      </c>
      <c r="O339" cm="1">
        <f t="array" ref="O339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39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39" cm="1">
        <f t="array" ref="R339">MIN(IF((DiscreteStatsTable[GroupByKey]=DiscreteStatsTable[[#This Row],[GroupByKey]]),(DiscreteStatsTable[GroupByKey]=DiscreteStatsTable[[#This Row],[GroupByKey]])*DiscreteStatsTable[Average]))</f>
        <v>0.481748748376016</v>
      </c>
      <c r="S339" cm="1">
        <f t="array" ref="S339">MAX(IF((DiscreteStatsTable[GroupByKey]=DiscreteStatsTable[[#This Row],[GroupByKey]]),(DiscreteStatsTable[GroupByKey]=DiscreteStatsTable[[#This Row],[GroupByKey]])*DiscreteStatsTable[Average]))</f>
        <v>0.50324408220295003</v>
      </c>
      <c r="T339" cm="1">
        <f t="array" ref="T339">MIN(IF((DiscreteStatsTable[GroupByKey]=DiscreteStatsTable[[#This Row],[GroupByKey]]),(DiscreteStatsTable[GroupByKey]=DiscreteStatsTable[[#This Row],[GroupByKey]])*DiscreteStatsTable[Minimum]))</f>
        <v>0.101748731497707</v>
      </c>
      <c r="U339" cm="1">
        <f t="array" ref="U339">MAX(IF((DiscreteStatsTable[GroupByKey]=DiscreteStatsTable[[#This Row],[GroupByKey]]),(DiscreteStatsTable[GroupByKey]=DiscreteStatsTable[[#This Row],[GroupByKey]])*DiscreteStatsTable[Maximum]))</f>
        <v>1.5939517145847</v>
      </c>
      <c r="V339" cm="1">
        <f t="array" ref="V33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39">
        <f>IF((DiscreteStatsTable[[#This Row],[RepsRequested]]&gt;1),DiscreteStatsTable[[#This Row],[HalfWidth]],DiscreteStatsTable[[#This Row],[BatchMeansHalfWidth]])</f>
        <v>1.3583273853576923E-3</v>
      </c>
      <c r="X339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131</v>
      </c>
      <c r="C340">
        <v>13</v>
      </c>
      <c r="D340" t="s">
        <v>78</v>
      </c>
      <c r="E340" t="s">
        <v>82</v>
      </c>
      <c r="F340" t="s">
        <v>80</v>
      </c>
      <c r="G340">
        <v>0.72271404787168603</v>
      </c>
      <c r="H340">
        <v>0.23332583148592201</v>
      </c>
      <c r="I340">
        <v>0</v>
      </c>
      <c r="J340">
        <v>12.9125324924824</v>
      </c>
      <c r="K340">
        <v>2406</v>
      </c>
      <c r="L340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40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cm="1">
        <f t="array" ref="N340">IFERROR(AVERAGE(IF((DiscreteStatsTable[GroupByKey]=DiscreteStatsTable[[#This Row],[GroupByKey]]),(DiscreteStatsTable[GroupByKey]=DiscreteStatsTable[[#This Row],[GroupByKey]])*DiscreteStatsTable[Average])),0)</f>
        <v>0.80557345969139849</v>
      </c>
      <c r="O340" cm="1">
        <f t="array" ref="O340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40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40" cm="1">
        <f t="array" ref="R340">MIN(IF((DiscreteStatsTable[GroupByKey]=DiscreteStatsTable[[#This Row],[GroupByKey]]),(DiscreteStatsTable[GroupByKey]=DiscreteStatsTable[[#This Row],[GroupByKey]])*DiscreteStatsTable[Average]))</f>
        <v>0.515986961752252</v>
      </c>
      <c r="S340" cm="1">
        <f t="array" ref="S340">MAX(IF((DiscreteStatsTable[GroupByKey]=DiscreteStatsTable[[#This Row],[GroupByKey]]),(DiscreteStatsTable[GroupByKey]=DiscreteStatsTable[[#This Row],[GroupByKey]])*DiscreteStatsTable[Average]))</f>
        <v>1.3542194698792001</v>
      </c>
      <c r="T340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cm="1">
        <f t="array" ref="U340">MAX(IF((DiscreteStatsTable[GroupByKey]=DiscreteStatsTable[[#This Row],[GroupByKey]]),(DiscreteStatsTable[GroupByKey]=DiscreteStatsTable[[#This Row],[GroupByKey]])*DiscreteStatsTable[Maximum]))</f>
        <v>28.983199492767199</v>
      </c>
      <c r="V340" cm="1">
        <f t="array" ref="V34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0">
        <f>IF((DiscreteStatsTable[[#This Row],[RepsRequested]]&gt;1),DiscreteStatsTable[[#This Row],[HalfWidth]],DiscreteStatsTable[[#This Row],[BatchMeansHalfWidth]])</f>
        <v>6.0520109610092528E-2</v>
      </c>
      <c r="X340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131</v>
      </c>
      <c r="C341">
        <v>14</v>
      </c>
      <c r="D341" t="s">
        <v>78</v>
      </c>
      <c r="E341" t="s">
        <v>79</v>
      </c>
      <c r="F341" t="s">
        <v>80</v>
      </c>
      <c r="G341">
        <v>1.192095538754</v>
      </c>
      <c r="H341">
        <v>3E+20</v>
      </c>
      <c r="I341">
        <v>0.11679821193772</v>
      </c>
      <c r="J341">
        <v>13.8747812304891</v>
      </c>
      <c r="K341">
        <v>2370</v>
      </c>
      <c r="L341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41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cm="1">
        <f t="array" ref="N341">IFERROR(AVERAGE(IF((DiscreteStatsTable[GroupByKey]=DiscreteStatsTable[[#This Row],[GroupByKey]]),(DiscreteStatsTable[GroupByKey]=DiscreteStatsTable[[#This Row],[GroupByKey]])*DiscreteStatsTable[Average])),0)</f>
        <v>1.2976784780992308</v>
      </c>
      <c r="O341" cm="1">
        <f t="array" ref="O341">IFERROR(_xlfn.STDEV.S(IF((DiscreteStatsTable[GroupByKey]=DiscreteStatsTable[[#This Row],[GroupByKey]]),(DiscreteStatsTable[GroupByKey]=DiscreteStatsTable[[#This Row],[GroupByKey]])*DiscreteStatsTable[Average])),0)</f>
        <v>0.214255822712483</v>
      </c>
      <c r="P341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41" cm="1">
        <f t="array" ref="R341">MIN(IF((DiscreteStatsTable[GroupByKey]=DiscreteStatsTable[[#This Row],[GroupByKey]]),(DiscreteStatsTable[GroupByKey]=DiscreteStatsTable[[#This Row],[GroupByKey]])*DiscreteStatsTable[Average]))</f>
        <v>1.00825666115094</v>
      </c>
      <c r="S341" cm="1">
        <f t="array" ref="S341">MAX(IF((DiscreteStatsTable[GroupByKey]=DiscreteStatsTable[[#This Row],[GroupByKey]]),(DiscreteStatsTable[GroupByKey]=DiscreteStatsTable[[#This Row],[GroupByKey]])*DiscreteStatsTable[Average]))</f>
        <v>1.85589832994621</v>
      </c>
      <c r="T341" cm="1">
        <f t="array" ref="T341">MIN(IF((DiscreteStatsTable[GroupByKey]=DiscreteStatsTable[[#This Row],[GroupByKey]]),(DiscreteStatsTable[GroupByKey]=DiscreteStatsTable[[#This Row],[GroupByKey]])*DiscreteStatsTable[Minimum]))</f>
        <v>0.10260384490715101</v>
      </c>
      <c r="U341" cm="1">
        <f t="array" ref="U341">MAX(IF((DiscreteStatsTable[GroupByKey]=DiscreteStatsTable[[#This Row],[GroupByKey]]),(DiscreteStatsTable[GroupByKey]=DiscreteStatsTable[[#This Row],[GroupByKey]])*DiscreteStatsTable[Maximum]))</f>
        <v>29.378397097512401</v>
      </c>
      <c r="V341" cm="1">
        <f t="array" ref="V34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1">
        <f>IF((DiscreteStatsTable[[#This Row],[RepsRequested]]&gt;1),DiscreteStatsTable[[#This Row],[HalfWidth]],DiscreteStatsTable[[#This Row],[BatchMeansHalfWidth]])</f>
        <v>6.0890831086538234E-2</v>
      </c>
      <c r="X341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131</v>
      </c>
      <c r="C342">
        <v>14</v>
      </c>
      <c r="D342" t="s">
        <v>78</v>
      </c>
      <c r="E342" t="s">
        <v>81</v>
      </c>
      <c r="F342" t="s">
        <v>80</v>
      </c>
      <c r="G342">
        <v>0.49316872168563403</v>
      </c>
      <c r="H342">
        <v>3E+20</v>
      </c>
      <c r="I342">
        <v>0.10697336067727301</v>
      </c>
      <c r="J342">
        <v>1.5623631887578999</v>
      </c>
      <c r="K342">
        <v>2370</v>
      </c>
      <c r="L342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42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cm="1">
        <f t="array" ref="N342">IFERROR(AVERAGE(IF((DiscreteStatsTable[GroupByKey]=DiscreteStatsTable[[#This Row],[GroupByKey]]),(DiscreteStatsTable[GroupByKey]=DiscreteStatsTable[[#This Row],[GroupByKey]])*DiscreteStatsTable[Average])),0)</f>
        <v>0.49210501840783172</v>
      </c>
      <c r="O342" cm="1">
        <f t="array" ref="O342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42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42" cm="1">
        <f t="array" ref="R342">MIN(IF((DiscreteStatsTable[GroupByKey]=DiscreteStatsTable[[#This Row],[GroupByKey]]),(DiscreteStatsTable[GroupByKey]=DiscreteStatsTable[[#This Row],[GroupByKey]])*DiscreteStatsTable[Average]))</f>
        <v>0.481748748376016</v>
      </c>
      <c r="S342" cm="1">
        <f t="array" ref="S342">MAX(IF((DiscreteStatsTable[GroupByKey]=DiscreteStatsTable[[#This Row],[GroupByKey]]),(DiscreteStatsTable[GroupByKey]=DiscreteStatsTable[[#This Row],[GroupByKey]])*DiscreteStatsTable[Average]))</f>
        <v>0.50324408220295003</v>
      </c>
      <c r="T342" cm="1">
        <f t="array" ref="T342">MIN(IF((DiscreteStatsTable[GroupByKey]=DiscreteStatsTable[[#This Row],[GroupByKey]]),(DiscreteStatsTable[GroupByKey]=DiscreteStatsTable[[#This Row],[GroupByKey]])*DiscreteStatsTable[Minimum]))</f>
        <v>0.101748731497707</v>
      </c>
      <c r="U342" cm="1">
        <f t="array" ref="U342">MAX(IF((DiscreteStatsTable[GroupByKey]=DiscreteStatsTable[[#This Row],[GroupByKey]]),(DiscreteStatsTable[GroupByKey]=DiscreteStatsTable[[#This Row],[GroupByKey]])*DiscreteStatsTable[Maximum]))</f>
        <v>1.5939517145847</v>
      </c>
      <c r="V342" cm="1">
        <f t="array" ref="V34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2">
        <f>IF((DiscreteStatsTable[[#This Row],[RepsRequested]]&gt;1),DiscreteStatsTable[[#This Row],[HalfWidth]],DiscreteStatsTable[[#This Row],[BatchMeansHalfWidth]])</f>
        <v>1.3583273853576923E-3</v>
      </c>
      <c r="X342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131</v>
      </c>
      <c r="C343">
        <v>14</v>
      </c>
      <c r="D343" t="s">
        <v>78</v>
      </c>
      <c r="E343" t="s">
        <v>82</v>
      </c>
      <c r="F343" t="s">
        <v>80</v>
      </c>
      <c r="G343">
        <v>0.69892681706836302</v>
      </c>
      <c r="H343">
        <v>3E+20</v>
      </c>
      <c r="I343">
        <v>0</v>
      </c>
      <c r="J343">
        <v>13.693583513401601</v>
      </c>
      <c r="K343">
        <v>2370</v>
      </c>
      <c r="L343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43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cm="1">
        <f t="array" ref="N343">IFERROR(AVERAGE(IF((DiscreteStatsTable[GroupByKey]=DiscreteStatsTable[[#This Row],[GroupByKey]]),(DiscreteStatsTable[GroupByKey]=DiscreteStatsTable[[#This Row],[GroupByKey]])*DiscreteStatsTable[Average])),0)</f>
        <v>0.80557345969139849</v>
      </c>
      <c r="O343" cm="1">
        <f t="array" ref="O343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43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43" cm="1">
        <f t="array" ref="R343">MIN(IF((DiscreteStatsTable[GroupByKey]=DiscreteStatsTable[[#This Row],[GroupByKey]]),(DiscreteStatsTable[GroupByKey]=DiscreteStatsTable[[#This Row],[GroupByKey]])*DiscreteStatsTable[Average]))</f>
        <v>0.515986961752252</v>
      </c>
      <c r="S343" cm="1">
        <f t="array" ref="S343">MAX(IF((DiscreteStatsTable[GroupByKey]=DiscreteStatsTable[[#This Row],[GroupByKey]]),(DiscreteStatsTable[GroupByKey]=DiscreteStatsTable[[#This Row],[GroupByKey]])*DiscreteStatsTable[Average]))</f>
        <v>1.3542194698792001</v>
      </c>
      <c r="T343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cm="1">
        <f t="array" ref="U343">MAX(IF((DiscreteStatsTable[GroupByKey]=DiscreteStatsTable[[#This Row],[GroupByKey]]),(DiscreteStatsTable[GroupByKey]=DiscreteStatsTable[[#This Row],[GroupByKey]])*DiscreteStatsTable[Maximum]))</f>
        <v>28.983199492767199</v>
      </c>
      <c r="V343" cm="1">
        <f t="array" ref="V34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3">
        <f>IF((DiscreteStatsTable[[#This Row],[RepsRequested]]&gt;1),DiscreteStatsTable[[#This Row],[HalfWidth]],DiscreteStatsTable[[#This Row],[BatchMeansHalfWidth]])</f>
        <v>6.0520109610092528E-2</v>
      </c>
      <c r="X343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131</v>
      </c>
      <c r="C344">
        <v>15</v>
      </c>
      <c r="D344" t="s">
        <v>78</v>
      </c>
      <c r="E344" t="s">
        <v>79</v>
      </c>
      <c r="F344" t="s">
        <v>80</v>
      </c>
      <c r="G344">
        <v>1.64052163649941</v>
      </c>
      <c r="H344">
        <v>0.366512070030659</v>
      </c>
      <c r="I344">
        <v>0.114870600889958</v>
      </c>
      <c r="J344">
        <v>15.828915812719501</v>
      </c>
      <c r="K344">
        <v>2503</v>
      </c>
      <c r="L344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44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cm="1">
        <f t="array" ref="N344">IFERROR(AVERAGE(IF((DiscreteStatsTable[GroupByKey]=DiscreteStatsTable[[#This Row],[GroupByKey]]),(DiscreteStatsTable[GroupByKey]=DiscreteStatsTable[[#This Row],[GroupByKey]])*DiscreteStatsTable[Average])),0)</f>
        <v>1.2976784780992308</v>
      </c>
      <c r="O344" cm="1">
        <f t="array" ref="O344">IFERROR(_xlfn.STDEV.S(IF((DiscreteStatsTable[GroupByKey]=DiscreteStatsTable[[#This Row],[GroupByKey]]),(DiscreteStatsTable[GroupByKey]=DiscreteStatsTable[[#This Row],[GroupByKey]])*DiscreteStatsTable[Average])),0)</f>
        <v>0.214255822712483</v>
      </c>
      <c r="P344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44" cm="1">
        <f t="array" ref="R344">MIN(IF((DiscreteStatsTable[GroupByKey]=DiscreteStatsTable[[#This Row],[GroupByKey]]),(DiscreteStatsTable[GroupByKey]=DiscreteStatsTable[[#This Row],[GroupByKey]])*DiscreteStatsTable[Average]))</f>
        <v>1.00825666115094</v>
      </c>
      <c r="S344" cm="1">
        <f t="array" ref="S344">MAX(IF((DiscreteStatsTable[GroupByKey]=DiscreteStatsTable[[#This Row],[GroupByKey]]),(DiscreteStatsTable[GroupByKey]=DiscreteStatsTable[[#This Row],[GroupByKey]])*DiscreteStatsTable[Average]))</f>
        <v>1.85589832994621</v>
      </c>
      <c r="T344" cm="1">
        <f t="array" ref="T344">MIN(IF((DiscreteStatsTable[GroupByKey]=DiscreteStatsTable[[#This Row],[GroupByKey]]),(DiscreteStatsTable[GroupByKey]=DiscreteStatsTable[[#This Row],[GroupByKey]])*DiscreteStatsTable[Minimum]))</f>
        <v>0.10260384490715101</v>
      </c>
      <c r="U344" cm="1">
        <f t="array" ref="U344">MAX(IF((DiscreteStatsTable[GroupByKey]=DiscreteStatsTable[[#This Row],[GroupByKey]]),(DiscreteStatsTable[GroupByKey]=DiscreteStatsTable[[#This Row],[GroupByKey]])*DiscreteStatsTable[Maximum]))</f>
        <v>29.378397097512401</v>
      </c>
      <c r="V344" cm="1">
        <f t="array" ref="V34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4">
        <f>IF((DiscreteStatsTable[[#This Row],[RepsRequested]]&gt;1),DiscreteStatsTable[[#This Row],[HalfWidth]],DiscreteStatsTable[[#This Row],[BatchMeansHalfWidth]])</f>
        <v>6.0890831086538234E-2</v>
      </c>
      <c r="X344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131</v>
      </c>
      <c r="C345">
        <v>15</v>
      </c>
      <c r="D345" t="s">
        <v>78</v>
      </c>
      <c r="E345" t="s">
        <v>81</v>
      </c>
      <c r="F345" t="s">
        <v>80</v>
      </c>
      <c r="G345">
        <v>0.48950266589571401</v>
      </c>
      <c r="H345">
        <v>1.34467833187324E-2</v>
      </c>
      <c r="I345">
        <v>0.11123558673011</v>
      </c>
      <c r="J345">
        <v>1.58304763024844</v>
      </c>
      <c r="K345">
        <v>2503</v>
      </c>
      <c r="L345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4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cm="1">
        <f t="array" ref="N345">IFERROR(AVERAGE(IF((DiscreteStatsTable[GroupByKey]=DiscreteStatsTable[[#This Row],[GroupByKey]]),(DiscreteStatsTable[GroupByKey]=DiscreteStatsTable[[#This Row],[GroupByKey]])*DiscreteStatsTable[Average])),0)</f>
        <v>0.49210501840783172</v>
      </c>
      <c r="O345" cm="1">
        <f t="array" ref="O345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4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45" cm="1">
        <f t="array" ref="R345">MIN(IF((DiscreteStatsTable[GroupByKey]=DiscreteStatsTable[[#This Row],[GroupByKey]]),(DiscreteStatsTable[GroupByKey]=DiscreteStatsTable[[#This Row],[GroupByKey]])*DiscreteStatsTable[Average]))</f>
        <v>0.481748748376016</v>
      </c>
      <c r="S345" cm="1">
        <f t="array" ref="S345">MAX(IF((DiscreteStatsTable[GroupByKey]=DiscreteStatsTable[[#This Row],[GroupByKey]]),(DiscreteStatsTable[GroupByKey]=DiscreteStatsTable[[#This Row],[GroupByKey]])*DiscreteStatsTable[Average]))</f>
        <v>0.50324408220295003</v>
      </c>
      <c r="T345" cm="1">
        <f t="array" ref="T345">MIN(IF((DiscreteStatsTable[GroupByKey]=DiscreteStatsTable[[#This Row],[GroupByKey]]),(DiscreteStatsTable[GroupByKey]=DiscreteStatsTable[[#This Row],[GroupByKey]])*DiscreteStatsTable[Minimum]))</f>
        <v>0.101748731497707</v>
      </c>
      <c r="U345" cm="1">
        <f t="array" ref="U345">MAX(IF((DiscreteStatsTable[GroupByKey]=DiscreteStatsTable[[#This Row],[GroupByKey]]),(DiscreteStatsTable[GroupByKey]=DiscreteStatsTable[[#This Row],[GroupByKey]])*DiscreteStatsTable[Maximum]))</f>
        <v>1.5939517145847</v>
      </c>
      <c r="V345" cm="1">
        <f t="array" ref="V34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5">
        <f>IF((DiscreteStatsTable[[#This Row],[RepsRequested]]&gt;1),DiscreteStatsTable[[#This Row],[HalfWidth]],DiscreteStatsTable[[#This Row],[BatchMeansHalfWidth]])</f>
        <v>1.3583273853576923E-3</v>
      </c>
      <c r="X34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131</v>
      </c>
      <c r="C346">
        <v>15</v>
      </c>
      <c r="D346" t="s">
        <v>78</v>
      </c>
      <c r="E346" t="s">
        <v>82</v>
      </c>
      <c r="F346" t="s">
        <v>80</v>
      </c>
      <c r="G346">
        <v>1.1510189706037</v>
      </c>
      <c r="H346">
        <v>0.36549139632508199</v>
      </c>
      <c r="I346">
        <v>0</v>
      </c>
      <c r="J346">
        <v>15.5377565321104</v>
      </c>
      <c r="K346">
        <v>2503</v>
      </c>
      <c r="L346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46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cm="1">
        <f t="array" ref="N346">IFERROR(AVERAGE(IF((DiscreteStatsTable[GroupByKey]=DiscreteStatsTable[[#This Row],[GroupByKey]]),(DiscreteStatsTable[GroupByKey]=DiscreteStatsTable[[#This Row],[GroupByKey]])*DiscreteStatsTable[Average])),0)</f>
        <v>0.80557345969139849</v>
      </c>
      <c r="O346" cm="1">
        <f t="array" ref="O346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46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46" cm="1">
        <f t="array" ref="R346">MIN(IF((DiscreteStatsTable[GroupByKey]=DiscreteStatsTable[[#This Row],[GroupByKey]]),(DiscreteStatsTable[GroupByKey]=DiscreteStatsTable[[#This Row],[GroupByKey]])*DiscreteStatsTable[Average]))</f>
        <v>0.515986961752252</v>
      </c>
      <c r="S346" cm="1">
        <f t="array" ref="S346">MAX(IF((DiscreteStatsTable[GroupByKey]=DiscreteStatsTable[[#This Row],[GroupByKey]]),(DiscreteStatsTable[GroupByKey]=DiscreteStatsTable[[#This Row],[GroupByKey]])*DiscreteStatsTable[Average]))</f>
        <v>1.3542194698792001</v>
      </c>
      <c r="T346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cm="1">
        <f t="array" ref="U346">MAX(IF((DiscreteStatsTable[GroupByKey]=DiscreteStatsTable[[#This Row],[GroupByKey]]),(DiscreteStatsTable[GroupByKey]=DiscreteStatsTable[[#This Row],[GroupByKey]])*DiscreteStatsTable[Maximum]))</f>
        <v>28.983199492767199</v>
      </c>
      <c r="V346" cm="1">
        <f t="array" ref="V34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6">
        <f>IF((DiscreteStatsTable[[#This Row],[RepsRequested]]&gt;1),DiscreteStatsTable[[#This Row],[HalfWidth]],DiscreteStatsTable[[#This Row],[BatchMeansHalfWidth]])</f>
        <v>6.0520109610092528E-2</v>
      </c>
      <c r="X346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131</v>
      </c>
      <c r="C347">
        <v>16</v>
      </c>
      <c r="D347" t="s">
        <v>78</v>
      </c>
      <c r="E347" t="s">
        <v>79</v>
      </c>
      <c r="F347" t="s">
        <v>80</v>
      </c>
      <c r="G347">
        <v>1.61651678051315</v>
      </c>
      <c r="H347">
        <v>3E+20</v>
      </c>
      <c r="I347">
        <v>0.118890406431888</v>
      </c>
      <c r="J347">
        <v>22.248050695425601</v>
      </c>
      <c r="K347">
        <v>2358</v>
      </c>
      <c r="L347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47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cm="1">
        <f t="array" ref="N347">IFERROR(AVERAGE(IF((DiscreteStatsTable[GroupByKey]=DiscreteStatsTable[[#This Row],[GroupByKey]]),(DiscreteStatsTable[GroupByKey]=DiscreteStatsTable[[#This Row],[GroupByKey]])*DiscreteStatsTable[Average])),0)</f>
        <v>1.2976784780992308</v>
      </c>
      <c r="O347" cm="1">
        <f t="array" ref="O347">IFERROR(_xlfn.STDEV.S(IF((DiscreteStatsTable[GroupByKey]=DiscreteStatsTable[[#This Row],[GroupByKey]]),(DiscreteStatsTable[GroupByKey]=DiscreteStatsTable[[#This Row],[GroupByKey]])*DiscreteStatsTable[Average])),0)</f>
        <v>0.214255822712483</v>
      </c>
      <c r="P347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47" cm="1">
        <f t="array" ref="R347">MIN(IF((DiscreteStatsTable[GroupByKey]=DiscreteStatsTable[[#This Row],[GroupByKey]]),(DiscreteStatsTable[GroupByKey]=DiscreteStatsTable[[#This Row],[GroupByKey]])*DiscreteStatsTable[Average]))</f>
        <v>1.00825666115094</v>
      </c>
      <c r="S347" cm="1">
        <f t="array" ref="S347">MAX(IF((DiscreteStatsTable[GroupByKey]=DiscreteStatsTable[[#This Row],[GroupByKey]]),(DiscreteStatsTable[GroupByKey]=DiscreteStatsTable[[#This Row],[GroupByKey]])*DiscreteStatsTable[Average]))</f>
        <v>1.85589832994621</v>
      </c>
      <c r="T347" cm="1">
        <f t="array" ref="T347">MIN(IF((DiscreteStatsTable[GroupByKey]=DiscreteStatsTable[[#This Row],[GroupByKey]]),(DiscreteStatsTable[GroupByKey]=DiscreteStatsTable[[#This Row],[GroupByKey]])*DiscreteStatsTable[Minimum]))</f>
        <v>0.10260384490715101</v>
      </c>
      <c r="U347" cm="1">
        <f t="array" ref="U347">MAX(IF((DiscreteStatsTable[GroupByKey]=DiscreteStatsTable[[#This Row],[GroupByKey]]),(DiscreteStatsTable[GroupByKey]=DiscreteStatsTable[[#This Row],[GroupByKey]])*DiscreteStatsTable[Maximum]))</f>
        <v>29.378397097512401</v>
      </c>
      <c r="V347" cm="1">
        <f t="array" ref="V34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7">
        <f>IF((DiscreteStatsTable[[#This Row],[RepsRequested]]&gt;1),DiscreteStatsTable[[#This Row],[HalfWidth]],DiscreteStatsTable[[#This Row],[BatchMeansHalfWidth]])</f>
        <v>6.0890831086538234E-2</v>
      </c>
      <c r="X347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131</v>
      </c>
      <c r="C348">
        <v>16</v>
      </c>
      <c r="D348" t="s">
        <v>78</v>
      </c>
      <c r="E348" t="s">
        <v>81</v>
      </c>
      <c r="F348" t="s">
        <v>80</v>
      </c>
      <c r="G348">
        <v>0.49143991903767897</v>
      </c>
      <c r="H348">
        <v>9.8728653109119401E-3</v>
      </c>
      <c r="I348">
        <v>0.118890406431888</v>
      </c>
      <c r="J348">
        <v>1.5404229619316501</v>
      </c>
      <c r="K348">
        <v>2358</v>
      </c>
      <c r="L348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48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cm="1">
        <f t="array" ref="N348">IFERROR(AVERAGE(IF((DiscreteStatsTable[GroupByKey]=DiscreteStatsTable[[#This Row],[GroupByKey]]),(DiscreteStatsTable[GroupByKey]=DiscreteStatsTable[[#This Row],[GroupByKey]])*DiscreteStatsTable[Average])),0)</f>
        <v>0.49210501840783172</v>
      </c>
      <c r="O348" cm="1">
        <f t="array" ref="O348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48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48" cm="1">
        <f t="array" ref="R348">MIN(IF((DiscreteStatsTable[GroupByKey]=DiscreteStatsTable[[#This Row],[GroupByKey]]),(DiscreteStatsTable[GroupByKey]=DiscreteStatsTable[[#This Row],[GroupByKey]])*DiscreteStatsTable[Average]))</f>
        <v>0.481748748376016</v>
      </c>
      <c r="S348" cm="1">
        <f t="array" ref="S348">MAX(IF((DiscreteStatsTable[GroupByKey]=DiscreteStatsTable[[#This Row],[GroupByKey]]),(DiscreteStatsTable[GroupByKey]=DiscreteStatsTable[[#This Row],[GroupByKey]])*DiscreteStatsTable[Average]))</f>
        <v>0.50324408220295003</v>
      </c>
      <c r="T348" cm="1">
        <f t="array" ref="T348">MIN(IF((DiscreteStatsTable[GroupByKey]=DiscreteStatsTable[[#This Row],[GroupByKey]]),(DiscreteStatsTable[GroupByKey]=DiscreteStatsTable[[#This Row],[GroupByKey]])*DiscreteStatsTable[Minimum]))</f>
        <v>0.101748731497707</v>
      </c>
      <c r="U348" cm="1">
        <f t="array" ref="U348">MAX(IF((DiscreteStatsTable[GroupByKey]=DiscreteStatsTable[[#This Row],[GroupByKey]]),(DiscreteStatsTable[GroupByKey]=DiscreteStatsTable[[#This Row],[GroupByKey]])*DiscreteStatsTable[Maximum]))</f>
        <v>1.5939517145847</v>
      </c>
      <c r="V348" cm="1">
        <f t="array" ref="V34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8">
        <f>IF((DiscreteStatsTable[[#This Row],[RepsRequested]]&gt;1),DiscreteStatsTable[[#This Row],[HalfWidth]],DiscreteStatsTable[[#This Row],[BatchMeansHalfWidth]])</f>
        <v>1.3583273853576923E-3</v>
      </c>
      <c r="X348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131</v>
      </c>
      <c r="C349">
        <v>16</v>
      </c>
      <c r="D349" t="s">
        <v>78</v>
      </c>
      <c r="E349" t="s">
        <v>82</v>
      </c>
      <c r="F349" t="s">
        <v>80</v>
      </c>
      <c r="G349">
        <v>1.12507686147547</v>
      </c>
      <c r="H349">
        <v>3E+20</v>
      </c>
      <c r="I349">
        <v>0</v>
      </c>
      <c r="J349">
        <v>21.971451775742299</v>
      </c>
      <c r="K349">
        <v>2358</v>
      </c>
      <c r="L349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49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cm="1">
        <f t="array" ref="N349">IFERROR(AVERAGE(IF((DiscreteStatsTable[GroupByKey]=DiscreteStatsTable[[#This Row],[GroupByKey]]),(DiscreteStatsTable[GroupByKey]=DiscreteStatsTable[[#This Row],[GroupByKey]])*DiscreteStatsTable[Average])),0)</f>
        <v>0.80557345969139849</v>
      </c>
      <c r="O349" cm="1">
        <f t="array" ref="O349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49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49" cm="1">
        <f t="array" ref="R349">MIN(IF((DiscreteStatsTable[GroupByKey]=DiscreteStatsTable[[#This Row],[GroupByKey]]),(DiscreteStatsTable[GroupByKey]=DiscreteStatsTable[[#This Row],[GroupByKey]])*DiscreteStatsTable[Average]))</f>
        <v>0.515986961752252</v>
      </c>
      <c r="S349" cm="1">
        <f t="array" ref="S349">MAX(IF((DiscreteStatsTable[GroupByKey]=DiscreteStatsTable[[#This Row],[GroupByKey]]),(DiscreteStatsTable[GroupByKey]=DiscreteStatsTable[[#This Row],[GroupByKey]])*DiscreteStatsTable[Average]))</f>
        <v>1.3542194698792001</v>
      </c>
      <c r="T349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cm="1">
        <f t="array" ref="U349">MAX(IF((DiscreteStatsTable[GroupByKey]=DiscreteStatsTable[[#This Row],[GroupByKey]]),(DiscreteStatsTable[GroupByKey]=DiscreteStatsTable[[#This Row],[GroupByKey]])*DiscreteStatsTable[Maximum]))</f>
        <v>28.983199492767199</v>
      </c>
      <c r="V349" cm="1">
        <f t="array" ref="V34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49">
        <f>IF((DiscreteStatsTable[[#This Row],[RepsRequested]]&gt;1),DiscreteStatsTable[[#This Row],[HalfWidth]],DiscreteStatsTable[[#This Row],[BatchMeansHalfWidth]])</f>
        <v>6.0520109610092528E-2</v>
      </c>
      <c r="X349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131</v>
      </c>
      <c r="C350">
        <v>17</v>
      </c>
      <c r="D350" t="s">
        <v>78</v>
      </c>
      <c r="E350" t="s">
        <v>79</v>
      </c>
      <c r="F350" t="s">
        <v>80</v>
      </c>
      <c r="G350">
        <v>1.1632602050861001</v>
      </c>
      <c r="H350">
        <v>0.206142278890771</v>
      </c>
      <c r="I350">
        <v>0.10351618391746301</v>
      </c>
      <c r="J350">
        <v>10.4702088204823</v>
      </c>
      <c r="K350">
        <v>2381</v>
      </c>
      <c r="L350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50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cm="1">
        <f t="array" ref="N350">IFERROR(AVERAGE(IF((DiscreteStatsTable[GroupByKey]=DiscreteStatsTable[[#This Row],[GroupByKey]]),(DiscreteStatsTable[GroupByKey]=DiscreteStatsTable[[#This Row],[GroupByKey]])*DiscreteStatsTable[Average])),0)</f>
        <v>1.2976784780992308</v>
      </c>
      <c r="O350" cm="1">
        <f t="array" ref="O350">IFERROR(_xlfn.STDEV.S(IF((DiscreteStatsTable[GroupByKey]=DiscreteStatsTable[[#This Row],[GroupByKey]]),(DiscreteStatsTable[GroupByKey]=DiscreteStatsTable[[#This Row],[GroupByKey]])*DiscreteStatsTable[Average])),0)</f>
        <v>0.214255822712483</v>
      </c>
      <c r="P350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50" cm="1">
        <f t="array" ref="R350">MIN(IF((DiscreteStatsTable[GroupByKey]=DiscreteStatsTable[[#This Row],[GroupByKey]]),(DiscreteStatsTable[GroupByKey]=DiscreteStatsTable[[#This Row],[GroupByKey]])*DiscreteStatsTable[Average]))</f>
        <v>1.00825666115094</v>
      </c>
      <c r="S350" cm="1">
        <f t="array" ref="S350">MAX(IF((DiscreteStatsTable[GroupByKey]=DiscreteStatsTable[[#This Row],[GroupByKey]]),(DiscreteStatsTable[GroupByKey]=DiscreteStatsTable[[#This Row],[GroupByKey]])*DiscreteStatsTable[Average]))</f>
        <v>1.85589832994621</v>
      </c>
      <c r="T350" cm="1">
        <f t="array" ref="T350">MIN(IF((DiscreteStatsTable[GroupByKey]=DiscreteStatsTable[[#This Row],[GroupByKey]]),(DiscreteStatsTable[GroupByKey]=DiscreteStatsTable[[#This Row],[GroupByKey]])*DiscreteStatsTable[Minimum]))</f>
        <v>0.10260384490715101</v>
      </c>
      <c r="U350" cm="1">
        <f t="array" ref="U350">MAX(IF((DiscreteStatsTable[GroupByKey]=DiscreteStatsTable[[#This Row],[GroupByKey]]),(DiscreteStatsTable[GroupByKey]=DiscreteStatsTable[[#This Row],[GroupByKey]])*DiscreteStatsTable[Maximum]))</f>
        <v>29.378397097512401</v>
      </c>
      <c r="V350" cm="1">
        <f t="array" ref="V35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0">
        <f>IF((DiscreteStatsTable[[#This Row],[RepsRequested]]&gt;1),DiscreteStatsTable[[#This Row],[HalfWidth]],DiscreteStatsTable[[#This Row],[BatchMeansHalfWidth]])</f>
        <v>6.0890831086538234E-2</v>
      </c>
      <c r="X350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131</v>
      </c>
      <c r="C351">
        <v>17</v>
      </c>
      <c r="D351" t="s">
        <v>78</v>
      </c>
      <c r="E351" t="s">
        <v>81</v>
      </c>
      <c r="F351" t="s">
        <v>80</v>
      </c>
      <c r="G351">
        <v>0.49328499835990602</v>
      </c>
      <c r="H351">
        <v>1.29162956127696E-2</v>
      </c>
      <c r="I351">
        <v>0.102972002778529</v>
      </c>
      <c r="J351">
        <v>1.5720599353703599</v>
      </c>
      <c r="K351">
        <v>2381</v>
      </c>
      <c r="L351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51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cm="1">
        <f t="array" ref="N351">IFERROR(AVERAGE(IF((DiscreteStatsTable[GroupByKey]=DiscreteStatsTable[[#This Row],[GroupByKey]]),(DiscreteStatsTable[GroupByKey]=DiscreteStatsTable[[#This Row],[GroupByKey]])*DiscreteStatsTable[Average])),0)</f>
        <v>0.49210501840783172</v>
      </c>
      <c r="O351" cm="1">
        <f t="array" ref="O351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51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51" cm="1">
        <f t="array" ref="R351">MIN(IF((DiscreteStatsTable[GroupByKey]=DiscreteStatsTable[[#This Row],[GroupByKey]]),(DiscreteStatsTable[GroupByKey]=DiscreteStatsTable[[#This Row],[GroupByKey]])*DiscreteStatsTable[Average]))</f>
        <v>0.481748748376016</v>
      </c>
      <c r="S351" cm="1">
        <f t="array" ref="S351">MAX(IF((DiscreteStatsTable[GroupByKey]=DiscreteStatsTable[[#This Row],[GroupByKey]]),(DiscreteStatsTable[GroupByKey]=DiscreteStatsTable[[#This Row],[GroupByKey]])*DiscreteStatsTable[Average]))</f>
        <v>0.50324408220295003</v>
      </c>
      <c r="T351" cm="1">
        <f t="array" ref="T351">MIN(IF((DiscreteStatsTable[GroupByKey]=DiscreteStatsTable[[#This Row],[GroupByKey]]),(DiscreteStatsTable[GroupByKey]=DiscreteStatsTable[[#This Row],[GroupByKey]])*DiscreteStatsTable[Minimum]))</f>
        <v>0.101748731497707</v>
      </c>
      <c r="U351" cm="1">
        <f t="array" ref="U351">MAX(IF((DiscreteStatsTable[GroupByKey]=DiscreteStatsTable[[#This Row],[GroupByKey]]),(DiscreteStatsTable[GroupByKey]=DiscreteStatsTable[[#This Row],[GroupByKey]])*DiscreteStatsTable[Maximum]))</f>
        <v>1.5939517145847</v>
      </c>
      <c r="V351" cm="1">
        <f t="array" ref="V35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1">
        <f>IF((DiscreteStatsTable[[#This Row],[RepsRequested]]&gt;1),DiscreteStatsTable[[#This Row],[HalfWidth]],DiscreteStatsTable[[#This Row],[BatchMeansHalfWidth]])</f>
        <v>1.3583273853576923E-3</v>
      </c>
      <c r="X351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131</v>
      </c>
      <c r="C352">
        <v>17</v>
      </c>
      <c r="D352" t="s">
        <v>78</v>
      </c>
      <c r="E352" t="s">
        <v>82</v>
      </c>
      <c r="F352" t="s">
        <v>80</v>
      </c>
      <c r="G352">
        <v>0.66997520672619904</v>
      </c>
      <c r="H352">
        <v>0.20724483511729</v>
      </c>
      <c r="I352">
        <v>0</v>
      </c>
      <c r="J352">
        <v>10.1664870836904</v>
      </c>
      <c r="K352">
        <v>2381</v>
      </c>
      <c r="L352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52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cm="1">
        <f t="array" ref="N352">IFERROR(AVERAGE(IF((DiscreteStatsTable[GroupByKey]=DiscreteStatsTable[[#This Row],[GroupByKey]]),(DiscreteStatsTable[GroupByKey]=DiscreteStatsTable[[#This Row],[GroupByKey]])*DiscreteStatsTable[Average])),0)</f>
        <v>0.80557345969139849</v>
      </c>
      <c r="O352" cm="1">
        <f t="array" ref="O352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52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52" cm="1">
        <f t="array" ref="R352">MIN(IF((DiscreteStatsTable[GroupByKey]=DiscreteStatsTable[[#This Row],[GroupByKey]]),(DiscreteStatsTable[GroupByKey]=DiscreteStatsTable[[#This Row],[GroupByKey]])*DiscreteStatsTable[Average]))</f>
        <v>0.515986961752252</v>
      </c>
      <c r="S352" cm="1">
        <f t="array" ref="S352">MAX(IF((DiscreteStatsTable[GroupByKey]=DiscreteStatsTable[[#This Row],[GroupByKey]]),(DiscreteStatsTable[GroupByKey]=DiscreteStatsTable[[#This Row],[GroupByKey]])*DiscreteStatsTable[Average]))</f>
        <v>1.3542194698792001</v>
      </c>
      <c r="T352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cm="1">
        <f t="array" ref="U352">MAX(IF((DiscreteStatsTable[GroupByKey]=DiscreteStatsTable[[#This Row],[GroupByKey]]),(DiscreteStatsTable[GroupByKey]=DiscreteStatsTable[[#This Row],[GroupByKey]])*DiscreteStatsTable[Maximum]))</f>
        <v>28.983199492767199</v>
      </c>
      <c r="V352" cm="1">
        <f t="array" ref="V35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2">
        <f>IF((DiscreteStatsTable[[#This Row],[RepsRequested]]&gt;1),DiscreteStatsTable[[#This Row],[HalfWidth]],DiscreteStatsTable[[#This Row],[BatchMeansHalfWidth]])</f>
        <v>6.0520109610092528E-2</v>
      </c>
      <c r="X352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131</v>
      </c>
      <c r="C353">
        <v>18</v>
      </c>
      <c r="D353" t="s">
        <v>78</v>
      </c>
      <c r="E353" t="s">
        <v>79</v>
      </c>
      <c r="F353" t="s">
        <v>80</v>
      </c>
      <c r="G353">
        <v>1.0756664215265801</v>
      </c>
      <c r="H353">
        <v>0.174314693126491</v>
      </c>
      <c r="I353">
        <v>0.12165550632050801</v>
      </c>
      <c r="J353">
        <v>8.7615678106697299</v>
      </c>
      <c r="K353">
        <v>2349</v>
      </c>
      <c r="L353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53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cm="1">
        <f t="array" ref="N353">IFERROR(AVERAGE(IF((DiscreteStatsTable[GroupByKey]=DiscreteStatsTable[[#This Row],[GroupByKey]]),(DiscreteStatsTable[GroupByKey]=DiscreteStatsTable[[#This Row],[GroupByKey]])*DiscreteStatsTable[Average])),0)</f>
        <v>1.2976784780992308</v>
      </c>
      <c r="O353" cm="1">
        <f t="array" ref="O353">IFERROR(_xlfn.STDEV.S(IF((DiscreteStatsTable[GroupByKey]=DiscreteStatsTable[[#This Row],[GroupByKey]]),(DiscreteStatsTable[GroupByKey]=DiscreteStatsTable[[#This Row],[GroupByKey]])*DiscreteStatsTable[Average])),0)</f>
        <v>0.214255822712483</v>
      </c>
      <c r="P353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53" cm="1">
        <f t="array" ref="R353">MIN(IF((DiscreteStatsTable[GroupByKey]=DiscreteStatsTable[[#This Row],[GroupByKey]]),(DiscreteStatsTable[GroupByKey]=DiscreteStatsTable[[#This Row],[GroupByKey]])*DiscreteStatsTable[Average]))</f>
        <v>1.00825666115094</v>
      </c>
      <c r="S353" cm="1">
        <f t="array" ref="S353">MAX(IF((DiscreteStatsTable[GroupByKey]=DiscreteStatsTable[[#This Row],[GroupByKey]]),(DiscreteStatsTable[GroupByKey]=DiscreteStatsTable[[#This Row],[GroupByKey]])*DiscreteStatsTable[Average]))</f>
        <v>1.85589832994621</v>
      </c>
      <c r="T353" cm="1">
        <f t="array" ref="T353">MIN(IF((DiscreteStatsTable[GroupByKey]=DiscreteStatsTable[[#This Row],[GroupByKey]]),(DiscreteStatsTable[GroupByKey]=DiscreteStatsTable[[#This Row],[GroupByKey]])*DiscreteStatsTable[Minimum]))</f>
        <v>0.10260384490715101</v>
      </c>
      <c r="U353" cm="1">
        <f t="array" ref="U353">MAX(IF((DiscreteStatsTable[GroupByKey]=DiscreteStatsTable[[#This Row],[GroupByKey]]),(DiscreteStatsTable[GroupByKey]=DiscreteStatsTable[[#This Row],[GroupByKey]])*DiscreteStatsTable[Maximum]))</f>
        <v>29.378397097512401</v>
      </c>
      <c r="V353" cm="1">
        <f t="array" ref="V35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3">
        <f>IF((DiscreteStatsTable[[#This Row],[RepsRequested]]&gt;1),DiscreteStatsTable[[#This Row],[HalfWidth]],DiscreteStatsTable[[#This Row],[BatchMeansHalfWidth]])</f>
        <v>6.0890831086538234E-2</v>
      </c>
      <c r="X353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131</v>
      </c>
      <c r="C354">
        <v>18</v>
      </c>
      <c r="D354" t="s">
        <v>78</v>
      </c>
      <c r="E354" t="s">
        <v>81</v>
      </c>
      <c r="F354" t="s">
        <v>80</v>
      </c>
      <c r="G354">
        <v>0.49271473125269299</v>
      </c>
      <c r="H354">
        <v>7.9968088188020602E-3</v>
      </c>
      <c r="I354">
        <v>0.112255848013476</v>
      </c>
      <c r="J354">
        <v>1.52748928112618</v>
      </c>
      <c r="K354">
        <v>2349</v>
      </c>
      <c r="L354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54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cm="1">
        <f t="array" ref="N354">IFERROR(AVERAGE(IF((DiscreteStatsTable[GroupByKey]=DiscreteStatsTable[[#This Row],[GroupByKey]]),(DiscreteStatsTable[GroupByKey]=DiscreteStatsTable[[#This Row],[GroupByKey]])*DiscreteStatsTable[Average])),0)</f>
        <v>0.49210501840783172</v>
      </c>
      <c r="O354" cm="1">
        <f t="array" ref="O354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54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54" cm="1">
        <f t="array" ref="R354">MIN(IF((DiscreteStatsTable[GroupByKey]=DiscreteStatsTable[[#This Row],[GroupByKey]]),(DiscreteStatsTable[GroupByKey]=DiscreteStatsTable[[#This Row],[GroupByKey]])*DiscreteStatsTable[Average]))</f>
        <v>0.481748748376016</v>
      </c>
      <c r="S354" cm="1">
        <f t="array" ref="S354">MAX(IF((DiscreteStatsTable[GroupByKey]=DiscreteStatsTable[[#This Row],[GroupByKey]]),(DiscreteStatsTable[GroupByKey]=DiscreteStatsTable[[#This Row],[GroupByKey]])*DiscreteStatsTable[Average]))</f>
        <v>0.50324408220295003</v>
      </c>
      <c r="T354" cm="1">
        <f t="array" ref="T354">MIN(IF((DiscreteStatsTable[GroupByKey]=DiscreteStatsTable[[#This Row],[GroupByKey]]),(DiscreteStatsTable[GroupByKey]=DiscreteStatsTable[[#This Row],[GroupByKey]])*DiscreteStatsTable[Minimum]))</f>
        <v>0.101748731497707</v>
      </c>
      <c r="U354" cm="1">
        <f t="array" ref="U354">MAX(IF((DiscreteStatsTable[GroupByKey]=DiscreteStatsTable[[#This Row],[GroupByKey]]),(DiscreteStatsTable[GroupByKey]=DiscreteStatsTable[[#This Row],[GroupByKey]])*DiscreteStatsTable[Maximum]))</f>
        <v>1.5939517145847</v>
      </c>
      <c r="V354" cm="1">
        <f t="array" ref="V35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4">
        <f>IF((DiscreteStatsTable[[#This Row],[RepsRequested]]&gt;1),DiscreteStatsTable[[#This Row],[HalfWidth]],DiscreteStatsTable[[#This Row],[BatchMeansHalfWidth]])</f>
        <v>1.3583273853576923E-3</v>
      </c>
      <c r="X354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131</v>
      </c>
      <c r="C355">
        <v>18</v>
      </c>
      <c r="D355" t="s">
        <v>78</v>
      </c>
      <c r="E355" t="s">
        <v>82</v>
      </c>
      <c r="F355" t="s">
        <v>80</v>
      </c>
      <c r="G355">
        <v>0.58295169027388805</v>
      </c>
      <c r="H355">
        <v>0.172949419658876</v>
      </c>
      <c r="I355">
        <v>0</v>
      </c>
      <c r="J355">
        <v>8.5728594917944196</v>
      </c>
      <c r="K355">
        <v>2349</v>
      </c>
      <c r="L355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5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cm="1">
        <f t="array" ref="N355">IFERROR(AVERAGE(IF((DiscreteStatsTable[GroupByKey]=DiscreteStatsTable[[#This Row],[GroupByKey]]),(DiscreteStatsTable[GroupByKey]=DiscreteStatsTable[[#This Row],[GroupByKey]])*DiscreteStatsTable[Average])),0)</f>
        <v>0.80557345969139849</v>
      </c>
      <c r="O355" cm="1">
        <f t="array" ref="O355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5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55" cm="1">
        <f t="array" ref="R355">MIN(IF((DiscreteStatsTable[GroupByKey]=DiscreteStatsTable[[#This Row],[GroupByKey]]),(DiscreteStatsTable[GroupByKey]=DiscreteStatsTable[[#This Row],[GroupByKey]])*DiscreteStatsTable[Average]))</f>
        <v>0.515986961752252</v>
      </c>
      <c r="S355" cm="1">
        <f t="array" ref="S355">MAX(IF((DiscreteStatsTable[GroupByKey]=DiscreteStatsTable[[#This Row],[GroupByKey]]),(DiscreteStatsTable[GroupByKey]=DiscreteStatsTable[[#This Row],[GroupByKey]])*DiscreteStatsTable[Average]))</f>
        <v>1.3542194698792001</v>
      </c>
      <c r="T35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cm="1">
        <f t="array" ref="U355">MAX(IF((DiscreteStatsTable[GroupByKey]=DiscreteStatsTable[[#This Row],[GroupByKey]]),(DiscreteStatsTable[GroupByKey]=DiscreteStatsTable[[#This Row],[GroupByKey]])*DiscreteStatsTable[Maximum]))</f>
        <v>28.983199492767199</v>
      </c>
      <c r="V355" cm="1">
        <f t="array" ref="V35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5">
        <f>IF((DiscreteStatsTable[[#This Row],[RepsRequested]]&gt;1),DiscreteStatsTable[[#This Row],[HalfWidth]],DiscreteStatsTable[[#This Row],[BatchMeansHalfWidth]])</f>
        <v>6.0520109610092528E-2</v>
      </c>
      <c r="X35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131</v>
      </c>
      <c r="C356">
        <v>19</v>
      </c>
      <c r="D356" t="s">
        <v>78</v>
      </c>
      <c r="E356" t="s">
        <v>79</v>
      </c>
      <c r="F356" t="s">
        <v>80</v>
      </c>
      <c r="G356">
        <v>1.1652529795273301</v>
      </c>
      <c r="H356">
        <v>0.158566776124068</v>
      </c>
      <c r="I356">
        <v>0.10299868892417401</v>
      </c>
      <c r="J356">
        <v>13.4624030038994</v>
      </c>
      <c r="K356">
        <v>2352</v>
      </c>
      <c r="L356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56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cm="1">
        <f t="array" ref="N356">IFERROR(AVERAGE(IF((DiscreteStatsTable[GroupByKey]=DiscreteStatsTable[[#This Row],[GroupByKey]]),(DiscreteStatsTable[GroupByKey]=DiscreteStatsTable[[#This Row],[GroupByKey]])*DiscreteStatsTable[Average])),0)</f>
        <v>1.2976784780992308</v>
      </c>
      <c r="O356" cm="1">
        <f t="array" ref="O356">IFERROR(_xlfn.STDEV.S(IF((DiscreteStatsTable[GroupByKey]=DiscreteStatsTable[[#This Row],[GroupByKey]]),(DiscreteStatsTable[GroupByKey]=DiscreteStatsTable[[#This Row],[GroupByKey]])*DiscreteStatsTable[Average])),0)</f>
        <v>0.214255822712483</v>
      </c>
      <c r="P356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56" cm="1">
        <f t="array" ref="R356">MIN(IF((DiscreteStatsTable[GroupByKey]=DiscreteStatsTable[[#This Row],[GroupByKey]]),(DiscreteStatsTable[GroupByKey]=DiscreteStatsTable[[#This Row],[GroupByKey]])*DiscreteStatsTable[Average]))</f>
        <v>1.00825666115094</v>
      </c>
      <c r="S356" cm="1">
        <f t="array" ref="S356">MAX(IF((DiscreteStatsTable[GroupByKey]=DiscreteStatsTable[[#This Row],[GroupByKey]]),(DiscreteStatsTable[GroupByKey]=DiscreteStatsTable[[#This Row],[GroupByKey]])*DiscreteStatsTable[Average]))</f>
        <v>1.85589832994621</v>
      </c>
      <c r="T356" cm="1">
        <f t="array" ref="T356">MIN(IF((DiscreteStatsTable[GroupByKey]=DiscreteStatsTable[[#This Row],[GroupByKey]]),(DiscreteStatsTable[GroupByKey]=DiscreteStatsTable[[#This Row],[GroupByKey]])*DiscreteStatsTable[Minimum]))</f>
        <v>0.10260384490715101</v>
      </c>
      <c r="U356" cm="1">
        <f t="array" ref="U356">MAX(IF((DiscreteStatsTable[GroupByKey]=DiscreteStatsTable[[#This Row],[GroupByKey]]),(DiscreteStatsTable[GroupByKey]=DiscreteStatsTable[[#This Row],[GroupByKey]])*DiscreteStatsTable[Maximum]))</f>
        <v>29.378397097512401</v>
      </c>
      <c r="V356" cm="1">
        <f t="array" ref="V35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6">
        <f>IF((DiscreteStatsTable[[#This Row],[RepsRequested]]&gt;1),DiscreteStatsTable[[#This Row],[HalfWidth]],DiscreteStatsTable[[#This Row],[BatchMeansHalfWidth]])</f>
        <v>6.0890831086538234E-2</v>
      </c>
      <c r="X356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131</v>
      </c>
      <c r="C357">
        <v>19</v>
      </c>
      <c r="D357" t="s">
        <v>78</v>
      </c>
      <c r="E357" t="s">
        <v>81</v>
      </c>
      <c r="F357" t="s">
        <v>80</v>
      </c>
      <c r="G357">
        <v>0.492460531403836</v>
      </c>
      <c r="H357">
        <v>3E+20</v>
      </c>
      <c r="I357">
        <v>0.10299868892417401</v>
      </c>
      <c r="J357">
        <v>1.5570814840717699</v>
      </c>
      <c r="K357">
        <v>2352</v>
      </c>
      <c r="L357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57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cm="1">
        <f t="array" ref="N357">IFERROR(AVERAGE(IF((DiscreteStatsTable[GroupByKey]=DiscreteStatsTable[[#This Row],[GroupByKey]]),(DiscreteStatsTable[GroupByKey]=DiscreteStatsTable[[#This Row],[GroupByKey]])*DiscreteStatsTable[Average])),0)</f>
        <v>0.49210501840783172</v>
      </c>
      <c r="O357" cm="1">
        <f t="array" ref="O357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57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57" cm="1">
        <f t="array" ref="R357">MIN(IF((DiscreteStatsTable[GroupByKey]=DiscreteStatsTable[[#This Row],[GroupByKey]]),(DiscreteStatsTable[GroupByKey]=DiscreteStatsTable[[#This Row],[GroupByKey]])*DiscreteStatsTable[Average]))</f>
        <v>0.481748748376016</v>
      </c>
      <c r="S357" cm="1">
        <f t="array" ref="S357">MAX(IF((DiscreteStatsTable[GroupByKey]=DiscreteStatsTable[[#This Row],[GroupByKey]]),(DiscreteStatsTable[GroupByKey]=DiscreteStatsTable[[#This Row],[GroupByKey]])*DiscreteStatsTable[Average]))</f>
        <v>0.50324408220295003</v>
      </c>
      <c r="T357" cm="1">
        <f t="array" ref="T357">MIN(IF((DiscreteStatsTable[GroupByKey]=DiscreteStatsTable[[#This Row],[GroupByKey]]),(DiscreteStatsTable[GroupByKey]=DiscreteStatsTable[[#This Row],[GroupByKey]])*DiscreteStatsTable[Minimum]))</f>
        <v>0.101748731497707</v>
      </c>
      <c r="U357" cm="1">
        <f t="array" ref="U357">MAX(IF((DiscreteStatsTable[GroupByKey]=DiscreteStatsTable[[#This Row],[GroupByKey]]),(DiscreteStatsTable[GroupByKey]=DiscreteStatsTable[[#This Row],[GroupByKey]])*DiscreteStatsTable[Maximum]))</f>
        <v>1.5939517145847</v>
      </c>
      <c r="V357" cm="1">
        <f t="array" ref="V35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7">
        <f>IF((DiscreteStatsTable[[#This Row],[RepsRequested]]&gt;1),DiscreteStatsTable[[#This Row],[HalfWidth]],DiscreteStatsTable[[#This Row],[BatchMeansHalfWidth]])</f>
        <v>1.3583273853576923E-3</v>
      </c>
      <c r="X357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131</v>
      </c>
      <c r="C358">
        <v>19</v>
      </c>
      <c r="D358" t="s">
        <v>78</v>
      </c>
      <c r="E358" t="s">
        <v>82</v>
      </c>
      <c r="F358" t="s">
        <v>80</v>
      </c>
      <c r="G358">
        <v>0.67279244812349803</v>
      </c>
      <c r="H358">
        <v>0.160462898518756</v>
      </c>
      <c r="I358">
        <v>0</v>
      </c>
      <c r="J358">
        <v>13.1265483090024</v>
      </c>
      <c r="K358">
        <v>2352</v>
      </c>
      <c r="L358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58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cm="1">
        <f t="array" ref="N358">IFERROR(AVERAGE(IF((DiscreteStatsTable[GroupByKey]=DiscreteStatsTable[[#This Row],[GroupByKey]]),(DiscreteStatsTable[GroupByKey]=DiscreteStatsTable[[#This Row],[GroupByKey]])*DiscreteStatsTable[Average])),0)</f>
        <v>0.80557345969139849</v>
      </c>
      <c r="O358" cm="1">
        <f t="array" ref="O358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58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58" cm="1">
        <f t="array" ref="R358">MIN(IF((DiscreteStatsTable[GroupByKey]=DiscreteStatsTable[[#This Row],[GroupByKey]]),(DiscreteStatsTable[GroupByKey]=DiscreteStatsTable[[#This Row],[GroupByKey]])*DiscreteStatsTable[Average]))</f>
        <v>0.515986961752252</v>
      </c>
      <c r="S358" cm="1">
        <f t="array" ref="S358">MAX(IF((DiscreteStatsTable[GroupByKey]=DiscreteStatsTable[[#This Row],[GroupByKey]]),(DiscreteStatsTable[GroupByKey]=DiscreteStatsTable[[#This Row],[GroupByKey]])*DiscreteStatsTable[Average]))</f>
        <v>1.3542194698792001</v>
      </c>
      <c r="T358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cm="1">
        <f t="array" ref="U358">MAX(IF((DiscreteStatsTable[GroupByKey]=DiscreteStatsTable[[#This Row],[GroupByKey]]),(DiscreteStatsTable[GroupByKey]=DiscreteStatsTable[[#This Row],[GroupByKey]])*DiscreteStatsTable[Maximum]))</f>
        <v>28.983199492767199</v>
      </c>
      <c r="V358" cm="1">
        <f t="array" ref="V35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8">
        <f>IF((DiscreteStatsTable[[#This Row],[RepsRequested]]&gt;1),DiscreteStatsTable[[#This Row],[HalfWidth]],DiscreteStatsTable[[#This Row],[BatchMeansHalfWidth]])</f>
        <v>6.0520109610092528E-2</v>
      </c>
      <c r="X358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131</v>
      </c>
      <c r="C359">
        <v>20</v>
      </c>
      <c r="D359" t="s">
        <v>78</v>
      </c>
      <c r="E359" t="s">
        <v>79</v>
      </c>
      <c r="F359" t="s">
        <v>80</v>
      </c>
      <c r="G359">
        <v>1.0782762146412599</v>
      </c>
      <c r="H359">
        <v>0.159467694255986</v>
      </c>
      <c r="I359">
        <v>0.11057019515305901</v>
      </c>
      <c r="J359">
        <v>10.425992223139399</v>
      </c>
      <c r="K359">
        <v>2411</v>
      </c>
      <c r="L359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59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cm="1">
        <f t="array" ref="N359">IFERROR(AVERAGE(IF((DiscreteStatsTable[GroupByKey]=DiscreteStatsTable[[#This Row],[GroupByKey]]),(DiscreteStatsTable[GroupByKey]=DiscreteStatsTable[[#This Row],[GroupByKey]])*DiscreteStatsTable[Average])),0)</f>
        <v>1.2976784780992308</v>
      </c>
      <c r="O359" cm="1">
        <f t="array" ref="O359">IFERROR(_xlfn.STDEV.S(IF((DiscreteStatsTable[GroupByKey]=DiscreteStatsTable[[#This Row],[GroupByKey]]),(DiscreteStatsTable[GroupByKey]=DiscreteStatsTable[[#This Row],[GroupByKey]])*DiscreteStatsTable[Average])),0)</f>
        <v>0.214255822712483</v>
      </c>
      <c r="P359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59" cm="1">
        <f t="array" ref="R359">MIN(IF((DiscreteStatsTable[GroupByKey]=DiscreteStatsTable[[#This Row],[GroupByKey]]),(DiscreteStatsTable[GroupByKey]=DiscreteStatsTable[[#This Row],[GroupByKey]])*DiscreteStatsTable[Average]))</f>
        <v>1.00825666115094</v>
      </c>
      <c r="S359" cm="1">
        <f t="array" ref="S359">MAX(IF((DiscreteStatsTable[GroupByKey]=DiscreteStatsTable[[#This Row],[GroupByKey]]),(DiscreteStatsTable[GroupByKey]=DiscreteStatsTable[[#This Row],[GroupByKey]])*DiscreteStatsTable[Average]))</f>
        <v>1.85589832994621</v>
      </c>
      <c r="T359" cm="1">
        <f t="array" ref="T359">MIN(IF((DiscreteStatsTable[GroupByKey]=DiscreteStatsTable[[#This Row],[GroupByKey]]),(DiscreteStatsTable[GroupByKey]=DiscreteStatsTable[[#This Row],[GroupByKey]])*DiscreteStatsTable[Minimum]))</f>
        <v>0.10260384490715101</v>
      </c>
      <c r="U359" cm="1">
        <f t="array" ref="U359">MAX(IF((DiscreteStatsTable[GroupByKey]=DiscreteStatsTable[[#This Row],[GroupByKey]]),(DiscreteStatsTable[GroupByKey]=DiscreteStatsTable[[#This Row],[GroupByKey]])*DiscreteStatsTable[Maximum]))</f>
        <v>29.378397097512401</v>
      </c>
      <c r="V359" cm="1">
        <f t="array" ref="V35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59">
        <f>IF((DiscreteStatsTable[[#This Row],[RepsRequested]]&gt;1),DiscreteStatsTable[[#This Row],[HalfWidth]],DiscreteStatsTable[[#This Row],[BatchMeansHalfWidth]])</f>
        <v>6.0890831086538234E-2</v>
      </c>
      <c r="X359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131</v>
      </c>
      <c r="C360">
        <v>20</v>
      </c>
      <c r="D360" t="s">
        <v>78</v>
      </c>
      <c r="E360" t="s">
        <v>81</v>
      </c>
      <c r="F360" t="s">
        <v>80</v>
      </c>
      <c r="G360">
        <v>0.49057674870384499</v>
      </c>
      <c r="H360">
        <v>7.88185452608158E-3</v>
      </c>
      <c r="I360">
        <v>0.11057019515305901</v>
      </c>
      <c r="J360">
        <v>1.53163785937193</v>
      </c>
      <c r="K360">
        <v>2411</v>
      </c>
      <c r="L360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60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cm="1">
        <f t="array" ref="N360">IFERROR(AVERAGE(IF((DiscreteStatsTable[GroupByKey]=DiscreteStatsTable[[#This Row],[GroupByKey]]),(DiscreteStatsTable[GroupByKey]=DiscreteStatsTable[[#This Row],[GroupByKey]])*DiscreteStatsTable[Average])),0)</f>
        <v>0.49210501840783172</v>
      </c>
      <c r="O360" cm="1">
        <f t="array" ref="O360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60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60" cm="1">
        <f t="array" ref="R360">MIN(IF((DiscreteStatsTable[GroupByKey]=DiscreteStatsTable[[#This Row],[GroupByKey]]),(DiscreteStatsTable[GroupByKey]=DiscreteStatsTable[[#This Row],[GroupByKey]])*DiscreteStatsTable[Average]))</f>
        <v>0.481748748376016</v>
      </c>
      <c r="S360" cm="1">
        <f t="array" ref="S360">MAX(IF((DiscreteStatsTable[GroupByKey]=DiscreteStatsTable[[#This Row],[GroupByKey]]),(DiscreteStatsTable[GroupByKey]=DiscreteStatsTable[[#This Row],[GroupByKey]])*DiscreteStatsTable[Average]))</f>
        <v>0.50324408220295003</v>
      </c>
      <c r="T360" cm="1">
        <f t="array" ref="T360">MIN(IF((DiscreteStatsTable[GroupByKey]=DiscreteStatsTable[[#This Row],[GroupByKey]]),(DiscreteStatsTable[GroupByKey]=DiscreteStatsTable[[#This Row],[GroupByKey]])*DiscreteStatsTable[Minimum]))</f>
        <v>0.101748731497707</v>
      </c>
      <c r="U360" cm="1">
        <f t="array" ref="U360">MAX(IF((DiscreteStatsTable[GroupByKey]=DiscreteStatsTable[[#This Row],[GroupByKey]]),(DiscreteStatsTable[GroupByKey]=DiscreteStatsTable[[#This Row],[GroupByKey]])*DiscreteStatsTable[Maximum]))</f>
        <v>1.5939517145847</v>
      </c>
      <c r="V360" cm="1">
        <f t="array" ref="V36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0">
        <f>IF((DiscreteStatsTable[[#This Row],[RepsRequested]]&gt;1),DiscreteStatsTable[[#This Row],[HalfWidth]],DiscreteStatsTable[[#This Row],[BatchMeansHalfWidth]])</f>
        <v>1.3583273853576923E-3</v>
      </c>
      <c r="X360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131</v>
      </c>
      <c r="C361">
        <v>20</v>
      </c>
      <c r="D361" t="s">
        <v>78</v>
      </c>
      <c r="E361" t="s">
        <v>82</v>
      </c>
      <c r="F361" t="s">
        <v>80</v>
      </c>
      <c r="G361">
        <v>0.58769946593741595</v>
      </c>
      <c r="H361">
        <v>0.16125570833971101</v>
      </c>
      <c r="I361">
        <v>0</v>
      </c>
      <c r="J361">
        <v>10.192027379187</v>
      </c>
      <c r="K361">
        <v>2411</v>
      </c>
      <c r="L361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61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cm="1">
        <f t="array" ref="N361">IFERROR(AVERAGE(IF((DiscreteStatsTable[GroupByKey]=DiscreteStatsTable[[#This Row],[GroupByKey]]),(DiscreteStatsTable[GroupByKey]=DiscreteStatsTable[[#This Row],[GroupByKey]])*DiscreteStatsTable[Average])),0)</f>
        <v>0.80557345969139849</v>
      </c>
      <c r="O361" cm="1">
        <f t="array" ref="O361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61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61" cm="1">
        <f t="array" ref="R361">MIN(IF((DiscreteStatsTable[GroupByKey]=DiscreteStatsTable[[#This Row],[GroupByKey]]),(DiscreteStatsTable[GroupByKey]=DiscreteStatsTable[[#This Row],[GroupByKey]])*DiscreteStatsTable[Average]))</f>
        <v>0.515986961752252</v>
      </c>
      <c r="S361" cm="1">
        <f t="array" ref="S361">MAX(IF((DiscreteStatsTable[GroupByKey]=DiscreteStatsTable[[#This Row],[GroupByKey]]),(DiscreteStatsTable[GroupByKey]=DiscreteStatsTable[[#This Row],[GroupByKey]])*DiscreteStatsTable[Average]))</f>
        <v>1.3542194698792001</v>
      </c>
      <c r="T361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cm="1">
        <f t="array" ref="U361">MAX(IF((DiscreteStatsTable[GroupByKey]=DiscreteStatsTable[[#This Row],[GroupByKey]]),(DiscreteStatsTable[GroupByKey]=DiscreteStatsTable[[#This Row],[GroupByKey]])*DiscreteStatsTable[Maximum]))</f>
        <v>28.983199492767199</v>
      </c>
      <c r="V361" cm="1">
        <f t="array" ref="V36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1">
        <f>IF((DiscreteStatsTable[[#This Row],[RepsRequested]]&gt;1),DiscreteStatsTable[[#This Row],[HalfWidth]],DiscreteStatsTable[[#This Row],[BatchMeansHalfWidth]])</f>
        <v>6.0520109610092528E-2</v>
      </c>
      <c r="X361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131</v>
      </c>
      <c r="C362">
        <v>21</v>
      </c>
      <c r="D362" t="s">
        <v>78</v>
      </c>
      <c r="E362" t="s">
        <v>79</v>
      </c>
      <c r="F362" t="s">
        <v>80</v>
      </c>
      <c r="G362">
        <v>1.10762269431838</v>
      </c>
      <c r="H362">
        <v>0.22055153993290999</v>
      </c>
      <c r="I362">
        <v>0.117589570760742</v>
      </c>
      <c r="J362">
        <v>13.018522134067901</v>
      </c>
      <c r="K362">
        <v>2305</v>
      </c>
      <c r="L362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62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cm="1">
        <f t="array" ref="N362">IFERROR(AVERAGE(IF((DiscreteStatsTable[GroupByKey]=DiscreteStatsTable[[#This Row],[GroupByKey]]),(DiscreteStatsTable[GroupByKey]=DiscreteStatsTable[[#This Row],[GroupByKey]])*DiscreteStatsTable[Average])),0)</f>
        <v>1.2976784780992308</v>
      </c>
      <c r="O362" cm="1">
        <f t="array" ref="O362">IFERROR(_xlfn.STDEV.S(IF((DiscreteStatsTable[GroupByKey]=DiscreteStatsTable[[#This Row],[GroupByKey]]),(DiscreteStatsTable[GroupByKey]=DiscreteStatsTable[[#This Row],[GroupByKey]])*DiscreteStatsTable[Average])),0)</f>
        <v>0.214255822712483</v>
      </c>
      <c r="P362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62" cm="1">
        <f t="array" ref="R362">MIN(IF((DiscreteStatsTable[GroupByKey]=DiscreteStatsTable[[#This Row],[GroupByKey]]),(DiscreteStatsTable[GroupByKey]=DiscreteStatsTable[[#This Row],[GroupByKey]])*DiscreteStatsTable[Average]))</f>
        <v>1.00825666115094</v>
      </c>
      <c r="S362" cm="1">
        <f t="array" ref="S362">MAX(IF((DiscreteStatsTable[GroupByKey]=DiscreteStatsTable[[#This Row],[GroupByKey]]),(DiscreteStatsTable[GroupByKey]=DiscreteStatsTable[[#This Row],[GroupByKey]])*DiscreteStatsTable[Average]))</f>
        <v>1.85589832994621</v>
      </c>
      <c r="T362" cm="1">
        <f t="array" ref="T362">MIN(IF((DiscreteStatsTable[GroupByKey]=DiscreteStatsTable[[#This Row],[GroupByKey]]),(DiscreteStatsTable[GroupByKey]=DiscreteStatsTable[[#This Row],[GroupByKey]])*DiscreteStatsTable[Minimum]))</f>
        <v>0.10260384490715101</v>
      </c>
      <c r="U362" cm="1">
        <f t="array" ref="U362">MAX(IF((DiscreteStatsTable[GroupByKey]=DiscreteStatsTable[[#This Row],[GroupByKey]]),(DiscreteStatsTable[GroupByKey]=DiscreteStatsTable[[#This Row],[GroupByKey]])*DiscreteStatsTable[Maximum]))</f>
        <v>29.378397097512401</v>
      </c>
      <c r="V362" cm="1">
        <f t="array" ref="V36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2">
        <f>IF((DiscreteStatsTable[[#This Row],[RepsRequested]]&gt;1),DiscreteStatsTable[[#This Row],[HalfWidth]],DiscreteStatsTable[[#This Row],[BatchMeansHalfWidth]])</f>
        <v>6.0890831086538234E-2</v>
      </c>
      <c r="X362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131</v>
      </c>
      <c r="C363">
        <v>21</v>
      </c>
      <c r="D363" t="s">
        <v>78</v>
      </c>
      <c r="E363" t="s">
        <v>81</v>
      </c>
      <c r="F363" t="s">
        <v>80</v>
      </c>
      <c r="G363">
        <v>0.49164695148986398</v>
      </c>
      <c r="H363">
        <v>1.33809454137476E-2</v>
      </c>
      <c r="I363">
        <v>0.105090564622202</v>
      </c>
      <c r="J363">
        <v>1.57592258101738</v>
      </c>
      <c r="K363">
        <v>2305</v>
      </c>
      <c r="L363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63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cm="1">
        <f t="array" ref="N363">IFERROR(AVERAGE(IF((DiscreteStatsTable[GroupByKey]=DiscreteStatsTable[[#This Row],[GroupByKey]]),(DiscreteStatsTable[GroupByKey]=DiscreteStatsTable[[#This Row],[GroupByKey]])*DiscreteStatsTable[Average])),0)</f>
        <v>0.49210501840783172</v>
      </c>
      <c r="O363" cm="1">
        <f t="array" ref="O363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63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63" cm="1">
        <f t="array" ref="R363">MIN(IF((DiscreteStatsTable[GroupByKey]=DiscreteStatsTable[[#This Row],[GroupByKey]]),(DiscreteStatsTable[GroupByKey]=DiscreteStatsTable[[#This Row],[GroupByKey]])*DiscreteStatsTable[Average]))</f>
        <v>0.481748748376016</v>
      </c>
      <c r="S363" cm="1">
        <f t="array" ref="S363">MAX(IF((DiscreteStatsTable[GroupByKey]=DiscreteStatsTable[[#This Row],[GroupByKey]]),(DiscreteStatsTable[GroupByKey]=DiscreteStatsTable[[#This Row],[GroupByKey]])*DiscreteStatsTable[Average]))</f>
        <v>0.50324408220295003</v>
      </c>
      <c r="T363" cm="1">
        <f t="array" ref="T363">MIN(IF((DiscreteStatsTable[GroupByKey]=DiscreteStatsTable[[#This Row],[GroupByKey]]),(DiscreteStatsTable[GroupByKey]=DiscreteStatsTable[[#This Row],[GroupByKey]])*DiscreteStatsTable[Minimum]))</f>
        <v>0.101748731497707</v>
      </c>
      <c r="U363" cm="1">
        <f t="array" ref="U363">MAX(IF((DiscreteStatsTable[GroupByKey]=DiscreteStatsTable[[#This Row],[GroupByKey]]),(DiscreteStatsTable[GroupByKey]=DiscreteStatsTable[[#This Row],[GroupByKey]])*DiscreteStatsTable[Maximum]))</f>
        <v>1.5939517145847</v>
      </c>
      <c r="V363" cm="1">
        <f t="array" ref="V36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3">
        <f>IF((DiscreteStatsTable[[#This Row],[RepsRequested]]&gt;1),DiscreteStatsTable[[#This Row],[HalfWidth]],DiscreteStatsTable[[#This Row],[BatchMeansHalfWidth]])</f>
        <v>1.3583273853576923E-3</v>
      </c>
      <c r="X363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131</v>
      </c>
      <c r="C364">
        <v>21</v>
      </c>
      <c r="D364" t="s">
        <v>78</v>
      </c>
      <c r="E364" t="s">
        <v>82</v>
      </c>
      <c r="F364" t="s">
        <v>80</v>
      </c>
      <c r="G364">
        <v>0.61597574282851197</v>
      </c>
      <c r="H364">
        <v>0.21879291996044101</v>
      </c>
      <c r="I364">
        <v>0</v>
      </c>
      <c r="J364">
        <v>12.647789137893101</v>
      </c>
      <c r="K364">
        <v>2305</v>
      </c>
      <c r="L364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64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cm="1">
        <f t="array" ref="N364">IFERROR(AVERAGE(IF((DiscreteStatsTable[GroupByKey]=DiscreteStatsTable[[#This Row],[GroupByKey]]),(DiscreteStatsTable[GroupByKey]=DiscreteStatsTable[[#This Row],[GroupByKey]])*DiscreteStatsTable[Average])),0)</f>
        <v>0.80557345969139849</v>
      </c>
      <c r="O364" cm="1">
        <f t="array" ref="O364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64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64" cm="1">
        <f t="array" ref="R364">MIN(IF((DiscreteStatsTable[GroupByKey]=DiscreteStatsTable[[#This Row],[GroupByKey]]),(DiscreteStatsTable[GroupByKey]=DiscreteStatsTable[[#This Row],[GroupByKey]])*DiscreteStatsTable[Average]))</f>
        <v>0.515986961752252</v>
      </c>
      <c r="S364" cm="1">
        <f t="array" ref="S364">MAX(IF((DiscreteStatsTable[GroupByKey]=DiscreteStatsTable[[#This Row],[GroupByKey]]),(DiscreteStatsTable[GroupByKey]=DiscreteStatsTable[[#This Row],[GroupByKey]])*DiscreteStatsTable[Average]))</f>
        <v>1.3542194698792001</v>
      </c>
      <c r="T364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cm="1">
        <f t="array" ref="U364">MAX(IF((DiscreteStatsTable[GroupByKey]=DiscreteStatsTable[[#This Row],[GroupByKey]]),(DiscreteStatsTable[GroupByKey]=DiscreteStatsTable[[#This Row],[GroupByKey]])*DiscreteStatsTable[Maximum]))</f>
        <v>28.983199492767199</v>
      </c>
      <c r="V364" cm="1">
        <f t="array" ref="V36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4">
        <f>IF((DiscreteStatsTable[[#This Row],[RepsRequested]]&gt;1),DiscreteStatsTable[[#This Row],[HalfWidth]],DiscreteStatsTable[[#This Row],[BatchMeansHalfWidth]])</f>
        <v>6.0520109610092528E-2</v>
      </c>
      <c r="X364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131</v>
      </c>
      <c r="C365">
        <v>22</v>
      </c>
      <c r="D365" t="s">
        <v>78</v>
      </c>
      <c r="E365" t="s">
        <v>79</v>
      </c>
      <c r="F365" t="s">
        <v>80</v>
      </c>
      <c r="G365">
        <v>1.5193704759819799</v>
      </c>
      <c r="H365">
        <v>0.26191297789573298</v>
      </c>
      <c r="I365">
        <v>0.127858071211676</v>
      </c>
      <c r="J365">
        <v>11.9674748990812</v>
      </c>
      <c r="K365">
        <v>2428</v>
      </c>
      <c r="L365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6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cm="1">
        <f t="array" ref="N365">IFERROR(AVERAGE(IF((DiscreteStatsTable[GroupByKey]=DiscreteStatsTable[[#This Row],[GroupByKey]]),(DiscreteStatsTable[GroupByKey]=DiscreteStatsTable[[#This Row],[GroupByKey]])*DiscreteStatsTable[Average])),0)</f>
        <v>1.2976784780992308</v>
      </c>
      <c r="O365" cm="1">
        <f t="array" ref="O365">IFERROR(_xlfn.STDEV.S(IF((DiscreteStatsTable[GroupByKey]=DiscreteStatsTable[[#This Row],[GroupByKey]]),(DiscreteStatsTable[GroupByKey]=DiscreteStatsTable[[#This Row],[GroupByKey]])*DiscreteStatsTable[Average])),0)</f>
        <v>0.214255822712483</v>
      </c>
      <c r="P36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65" cm="1">
        <f t="array" ref="R365">MIN(IF((DiscreteStatsTable[GroupByKey]=DiscreteStatsTable[[#This Row],[GroupByKey]]),(DiscreteStatsTable[GroupByKey]=DiscreteStatsTable[[#This Row],[GroupByKey]])*DiscreteStatsTable[Average]))</f>
        <v>1.00825666115094</v>
      </c>
      <c r="S365" cm="1">
        <f t="array" ref="S365">MAX(IF((DiscreteStatsTable[GroupByKey]=DiscreteStatsTable[[#This Row],[GroupByKey]]),(DiscreteStatsTable[GroupByKey]=DiscreteStatsTable[[#This Row],[GroupByKey]])*DiscreteStatsTable[Average]))</f>
        <v>1.85589832994621</v>
      </c>
      <c r="T365" cm="1">
        <f t="array" ref="T365">MIN(IF((DiscreteStatsTable[GroupByKey]=DiscreteStatsTable[[#This Row],[GroupByKey]]),(DiscreteStatsTable[GroupByKey]=DiscreteStatsTable[[#This Row],[GroupByKey]])*DiscreteStatsTable[Minimum]))</f>
        <v>0.10260384490715101</v>
      </c>
      <c r="U365" cm="1">
        <f t="array" ref="U365">MAX(IF((DiscreteStatsTable[GroupByKey]=DiscreteStatsTable[[#This Row],[GroupByKey]]),(DiscreteStatsTable[GroupByKey]=DiscreteStatsTable[[#This Row],[GroupByKey]])*DiscreteStatsTable[Maximum]))</f>
        <v>29.378397097512401</v>
      </c>
      <c r="V365" cm="1">
        <f t="array" ref="V36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5">
        <f>IF((DiscreteStatsTable[[#This Row],[RepsRequested]]&gt;1),DiscreteStatsTable[[#This Row],[HalfWidth]],DiscreteStatsTable[[#This Row],[BatchMeansHalfWidth]])</f>
        <v>6.0890831086538234E-2</v>
      </c>
      <c r="X36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131</v>
      </c>
      <c r="C366">
        <v>22</v>
      </c>
      <c r="D366" t="s">
        <v>78</v>
      </c>
      <c r="E366" t="s">
        <v>81</v>
      </c>
      <c r="F366" t="s">
        <v>80</v>
      </c>
      <c r="G366">
        <v>0.49758726566811401</v>
      </c>
      <c r="H366">
        <v>1.03052438217944E-2</v>
      </c>
      <c r="I366">
        <v>0.119942596913404</v>
      </c>
      <c r="J366">
        <v>1.5738430201558899</v>
      </c>
      <c r="K366">
        <v>2428</v>
      </c>
      <c r="L366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66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cm="1">
        <f t="array" ref="N366">IFERROR(AVERAGE(IF((DiscreteStatsTable[GroupByKey]=DiscreteStatsTable[[#This Row],[GroupByKey]]),(DiscreteStatsTable[GroupByKey]=DiscreteStatsTable[[#This Row],[GroupByKey]])*DiscreteStatsTable[Average])),0)</f>
        <v>0.49210501840783172</v>
      </c>
      <c r="O366" cm="1">
        <f t="array" ref="O366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66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66" cm="1">
        <f t="array" ref="R366">MIN(IF((DiscreteStatsTable[GroupByKey]=DiscreteStatsTable[[#This Row],[GroupByKey]]),(DiscreteStatsTable[GroupByKey]=DiscreteStatsTable[[#This Row],[GroupByKey]])*DiscreteStatsTable[Average]))</f>
        <v>0.481748748376016</v>
      </c>
      <c r="S366" cm="1">
        <f t="array" ref="S366">MAX(IF((DiscreteStatsTable[GroupByKey]=DiscreteStatsTable[[#This Row],[GroupByKey]]),(DiscreteStatsTable[GroupByKey]=DiscreteStatsTable[[#This Row],[GroupByKey]])*DiscreteStatsTable[Average]))</f>
        <v>0.50324408220295003</v>
      </c>
      <c r="T366" cm="1">
        <f t="array" ref="T366">MIN(IF((DiscreteStatsTable[GroupByKey]=DiscreteStatsTable[[#This Row],[GroupByKey]]),(DiscreteStatsTable[GroupByKey]=DiscreteStatsTable[[#This Row],[GroupByKey]])*DiscreteStatsTable[Minimum]))</f>
        <v>0.101748731497707</v>
      </c>
      <c r="U366" cm="1">
        <f t="array" ref="U366">MAX(IF((DiscreteStatsTable[GroupByKey]=DiscreteStatsTable[[#This Row],[GroupByKey]]),(DiscreteStatsTable[GroupByKey]=DiscreteStatsTable[[#This Row],[GroupByKey]])*DiscreteStatsTable[Maximum]))</f>
        <v>1.5939517145847</v>
      </c>
      <c r="V366" cm="1">
        <f t="array" ref="V36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6">
        <f>IF((DiscreteStatsTable[[#This Row],[RepsRequested]]&gt;1),DiscreteStatsTable[[#This Row],[HalfWidth]],DiscreteStatsTable[[#This Row],[BatchMeansHalfWidth]])</f>
        <v>1.3583273853576923E-3</v>
      </c>
      <c r="X366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131</v>
      </c>
      <c r="C367">
        <v>22</v>
      </c>
      <c r="D367" t="s">
        <v>78</v>
      </c>
      <c r="E367" t="s">
        <v>82</v>
      </c>
      <c r="F367" t="s">
        <v>80</v>
      </c>
      <c r="G367">
        <v>1.02178321031387</v>
      </c>
      <c r="H367">
        <v>0.25533472103273303</v>
      </c>
      <c r="I367">
        <v>0</v>
      </c>
      <c r="J367">
        <v>11.549424164035299</v>
      </c>
      <c r="K367">
        <v>2428</v>
      </c>
      <c r="L367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67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cm="1">
        <f t="array" ref="N367">IFERROR(AVERAGE(IF((DiscreteStatsTable[GroupByKey]=DiscreteStatsTable[[#This Row],[GroupByKey]]),(DiscreteStatsTable[GroupByKey]=DiscreteStatsTable[[#This Row],[GroupByKey]])*DiscreteStatsTable[Average])),0)</f>
        <v>0.80557345969139849</v>
      </c>
      <c r="O367" cm="1">
        <f t="array" ref="O367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67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67" cm="1">
        <f t="array" ref="R367">MIN(IF((DiscreteStatsTable[GroupByKey]=DiscreteStatsTable[[#This Row],[GroupByKey]]),(DiscreteStatsTable[GroupByKey]=DiscreteStatsTable[[#This Row],[GroupByKey]])*DiscreteStatsTable[Average]))</f>
        <v>0.515986961752252</v>
      </c>
      <c r="S367" cm="1">
        <f t="array" ref="S367">MAX(IF((DiscreteStatsTable[GroupByKey]=DiscreteStatsTable[[#This Row],[GroupByKey]]),(DiscreteStatsTable[GroupByKey]=DiscreteStatsTable[[#This Row],[GroupByKey]])*DiscreteStatsTable[Average]))</f>
        <v>1.3542194698792001</v>
      </c>
      <c r="T367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cm="1">
        <f t="array" ref="U367">MAX(IF((DiscreteStatsTable[GroupByKey]=DiscreteStatsTable[[#This Row],[GroupByKey]]),(DiscreteStatsTable[GroupByKey]=DiscreteStatsTable[[#This Row],[GroupByKey]])*DiscreteStatsTable[Maximum]))</f>
        <v>28.983199492767199</v>
      </c>
      <c r="V367" cm="1">
        <f t="array" ref="V36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7">
        <f>IF((DiscreteStatsTable[[#This Row],[RepsRequested]]&gt;1),DiscreteStatsTable[[#This Row],[HalfWidth]],DiscreteStatsTable[[#This Row],[BatchMeansHalfWidth]])</f>
        <v>6.0520109610092528E-2</v>
      </c>
      <c r="X367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131</v>
      </c>
      <c r="C368">
        <v>23</v>
      </c>
      <c r="D368" t="s">
        <v>78</v>
      </c>
      <c r="E368" t="s">
        <v>79</v>
      </c>
      <c r="F368" t="s">
        <v>80</v>
      </c>
      <c r="G368">
        <v>1.3211222360210799</v>
      </c>
      <c r="H368">
        <v>0.26518143863730198</v>
      </c>
      <c r="I368">
        <v>0.121256885329331</v>
      </c>
      <c r="J368">
        <v>12.174944268933499</v>
      </c>
      <c r="K368">
        <v>2377</v>
      </c>
      <c r="L368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68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cm="1">
        <f t="array" ref="N368">IFERROR(AVERAGE(IF((DiscreteStatsTable[GroupByKey]=DiscreteStatsTable[[#This Row],[GroupByKey]]),(DiscreteStatsTable[GroupByKey]=DiscreteStatsTable[[#This Row],[GroupByKey]])*DiscreteStatsTable[Average])),0)</f>
        <v>1.2976784780992308</v>
      </c>
      <c r="O368" cm="1">
        <f t="array" ref="O368">IFERROR(_xlfn.STDEV.S(IF((DiscreteStatsTable[GroupByKey]=DiscreteStatsTable[[#This Row],[GroupByKey]]),(DiscreteStatsTable[GroupByKey]=DiscreteStatsTable[[#This Row],[GroupByKey]])*DiscreteStatsTable[Average])),0)</f>
        <v>0.214255822712483</v>
      </c>
      <c r="P368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68" cm="1">
        <f t="array" ref="R368">MIN(IF((DiscreteStatsTable[GroupByKey]=DiscreteStatsTable[[#This Row],[GroupByKey]]),(DiscreteStatsTable[GroupByKey]=DiscreteStatsTable[[#This Row],[GroupByKey]])*DiscreteStatsTable[Average]))</f>
        <v>1.00825666115094</v>
      </c>
      <c r="S368" cm="1">
        <f t="array" ref="S368">MAX(IF((DiscreteStatsTable[GroupByKey]=DiscreteStatsTable[[#This Row],[GroupByKey]]),(DiscreteStatsTable[GroupByKey]=DiscreteStatsTable[[#This Row],[GroupByKey]])*DiscreteStatsTable[Average]))</f>
        <v>1.85589832994621</v>
      </c>
      <c r="T368" cm="1">
        <f t="array" ref="T368">MIN(IF((DiscreteStatsTable[GroupByKey]=DiscreteStatsTable[[#This Row],[GroupByKey]]),(DiscreteStatsTable[GroupByKey]=DiscreteStatsTable[[#This Row],[GroupByKey]])*DiscreteStatsTable[Minimum]))</f>
        <v>0.10260384490715101</v>
      </c>
      <c r="U368" cm="1">
        <f t="array" ref="U368">MAX(IF((DiscreteStatsTable[GroupByKey]=DiscreteStatsTable[[#This Row],[GroupByKey]]),(DiscreteStatsTable[GroupByKey]=DiscreteStatsTable[[#This Row],[GroupByKey]])*DiscreteStatsTable[Maximum]))</f>
        <v>29.378397097512401</v>
      </c>
      <c r="V368" cm="1">
        <f t="array" ref="V36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8">
        <f>IF((DiscreteStatsTable[[#This Row],[RepsRequested]]&gt;1),DiscreteStatsTable[[#This Row],[HalfWidth]],DiscreteStatsTable[[#This Row],[BatchMeansHalfWidth]])</f>
        <v>6.0890831086538234E-2</v>
      </c>
      <c r="X368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131</v>
      </c>
      <c r="C369">
        <v>23</v>
      </c>
      <c r="D369" t="s">
        <v>78</v>
      </c>
      <c r="E369" t="s">
        <v>81</v>
      </c>
      <c r="F369" t="s">
        <v>80</v>
      </c>
      <c r="G369">
        <v>0.49684617376840301</v>
      </c>
      <c r="H369">
        <v>1.5599996413397901E-2</v>
      </c>
      <c r="I369">
        <v>0.10470951758441099</v>
      </c>
      <c r="J369">
        <v>1.5509330429197099</v>
      </c>
      <c r="K369">
        <v>2377</v>
      </c>
      <c r="L369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69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cm="1">
        <f t="array" ref="N369">IFERROR(AVERAGE(IF((DiscreteStatsTable[GroupByKey]=DiscreteStatsTable[[#This Row],[GroupByKey]]),(DiscreteStatsTable[GroupByKey]=DiscreteStatsTable[[#This Row],[GroupByKey]])*DiscreteStatsTable[Average])),0)</f>
        <v>0.49210501840783172</v>
      </c>
      <c r="O369" cm="1">
        <f t="array" ref="O369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69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69" cm="1">
        <f t="array" ref="R369">MIN(IF((DiscreteStatsTable[GroupByKey]=DiscreteStatsTable[[#This Row],[GroupByKey]]),(DiscreteStatsTable[GroupByKey]=DiscreteStatsTable[[#This Row],[GroupByKey]])*DiscreteStatsTable[Average]))</f>
        <v>0.481748748376016</v>
      </c>
      <c r="S369" cm="1">
        <f t="array" ref="S369">MAX(IF((DiscreteStatsTable[GroupByKey]=DiscreteStatsTable[[#This Row],[GroupByKey]]),(DiscreteStatsTable[GroupByKey]=DiscreteStatsTable[[#This Row],[GroupByKey]])*DiscreteStatsTable[Average]))</f>
        <v>0.50324408220295003</v>
      </c>
      <c r="T369" cm="1">
        <f t="array" ref="T369">MIN(IF((DiscreteStatsTable[GroupByKey]=DiscreteStatsTable[[#This Row],[GroupByKey]]),(DiscreteStatsTable[GroupByKey]=DiscreteStatsTable[[#This Row],[GroupByKey]])*DiscreteStatsTable[Minimum]))</f>
        <v>0.101748731497707</v>
      </c>
      <c r="U369" cm="1">
        <f t="array" ref="U369">MAX(IF((DiscreteStatsTable[GroupByKey]=DiscreteStatsTable[[#This Row],[GroupByKey]]),(DiscreteStatsTable[GroupByKey]=DiscreteStatsTable[[#This Row],[GroupByKey]])*DiscreteStatsTable[Maximum]))</f>
        <v>1.5939517145847</v>
      </c>
      <c r="V369" cm="1">
        <f t="array" ref="V36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69">
        <f>IF((DiscreteStatsTable[[#This Row],[RepsRequested]]&gt;1),DiscreteStatsTable[[#This Row],[HalfWidth]],DiscreteStatsTable[[#This Row],[BatchMeansHalfWidth]])</f>
        <v>1.3583273853576923E-3</v>
      </c>
      <c r="X369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131</v>
      </c>
      <c r="C370">
        <v>23</v>
      </c>
      <c r="D370" t="s">
        <v>78</v>
      </c>
      <c r="E370" t="s">
        <v>82</v>
      </c>
      <c r="F370" t="s">
        <v>80</v>
      </c>
      <c r="G370">
        <v>0.82427606225267702</v>
      </c>
      <c r="H370">
        <v>0.26284390564902699</v>
      </c>
      <c r="I370">
        <v>0</v>
      </c>
      <c r="J370">
        <v>11.9195551942883</v>
      </c>
      <c r="K370">
        <v>2377</v>
      </c>
      <c r="L370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70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cm="1">
        <f t="array" ref="N370">IFERROR(AVERAGE(IF((DiscreteStatsTable[GroupByKey]=DiscreteStatsTable[[#This Row],[GroupByKey]]),(DiscreteStatsTable[GroupByKey]=DiscreteStatsTable[[#This Row],[GroupByKey]])*DiscreteStatsTable[Average])),0)</f>
        <v>0.80557345969139849</v>
      </c>
      <c r="O370" cm="1">
        <f t="array" ref="O370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70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70" cm="1">
        <f t="array" ref="R370">MIN(IF((DiscreteStatsTable[GroupByKey]=DiscreteStatsTable[[#This Row],[GroupByKey]]),(DiscreteStatsTable[GroupByKey]=DiscreteStatsTable[[#This Row],[GroupByKey]])*DiscreteStatsTable[Average]))</f>
        <v>0.515986961752252</v>
      </c>
      <c r="S370" cm="1">
        <f t="array" ref="S370">MAX(IF((DiscreteStatsTable[GroupByKey]=DiscreteStatsTable[[#This Row],[GroupByKey]]),(DiscreteStatsTable[GroupByKey]=DiscreteStatsTable[[#This Row],[GroupByKey]])*DiscreteStatsTable[Average]))</f>
        <v>1.3542194698792001</v>
      </c>
      <c r="T370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cm="1">
        <f t="array" ref="U370">MAX(IF((DiscreteStatsTable[GroupByKey]=DiscreteStatsTable[[#This Row],[GroupByKey]]),(DiscreteStatsTable[GroupByKey]=DiscreteStatsTable[[#This Row],[GroupByKey]])*DiscreteStatsTable[Maximum]))</f>
        <v>28.983199492767199</v>
      </c>
      <c r="V370" cm="1">
        <f t="array" ref="V37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0">
        <f>IF((DiscreteStatsTable[[#This Row],[RepsRequested]]&gt;1),DiscreteStatsTable[[#This Row],[HalfWidth]],DiscreteStatsTable[[#This Row],[BatchMeansHalfWidth]])</f>
        <v>6.0520109610092528E-2</v>
      </c>
      <c r="X370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131</v>
      </c>
      <c r="C371">
        <v>24</v>
      </c>
      <c r="D371" t="s">
        <v>78</v>
      </c>
      <c r="E371" t="s">
        <v>79</v>
      </c>
      <c r="F371" t="s">
        <v>80</v>
      </c>
      <c r="G371">
        <v>1.78111295156802</v>
      </c>
      <c r="H371">
        <v>3E+20</v>
      </c>
      <c r="I371">
        <v>0.14498422227504201</v>
      </c>
      <c r="J371">
        <v>29.378397097512401</v>
      </c>
      <c r="K371">
        <v>2420</v>
      </c>
      <c r="L371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71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cm="1">
        <f t="array" ref="N371">IFERROR(AVERAGE(IF((DiscreteStatsTable[GroupByKey]=DiscreteStatsTable[[#This Row],[GroupByKey]]),(DiscreteStatsTable[GroupByKey]=DiscreteStatsTable[[#This Row],[GroupByKey]])*DiscreteStatsTable[Average])),0)</f>
        <v>1.2976784780992308</v>
      </c>
      <c r="O371" cm="1">
        <f t="array" ref="O371">IFERROR(_xlfn.STDEV.S(IF((DiscreteStatsTable[GroupByKey]=DiscreteStatsTable[[#This Row],[GroupByKey]]),(DiscreteStatsTable[GroupByKey]=DiscreteStatsTable[[#This Row],[GroupByKey]])*DiscreteStatsTable[Average])),0)</f>
        <v>0.214255822712483</v>
      </c>
      <c r="P371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71" cm="1">
        <f t="array" ref="R371">MIN(IF((DiscreteStatsTable[GroupByKey]=DiscreteStatsTable[[#This Row],[GroupByKey]]),(DiscreteStatsTable[GroupByKey]=DiscreteStatsTable[[#This Row],[GroupByKey]])*DiscreteStatsTable[Average]))</f>
        <v>1.00825666115094</v>
      </c>
      <c r="S371" cm="1">
        <f t="array" ref="S371">MAX(IF((DiscreteStatsTable[GroupByKey]=DiscreteStatsTable[[#This Row],[GroupByKey]]),(DiscreteStatsTable[GroupByKey]=DiscreteStatsTable[[#This Row],[GroupByKey]])*DiscreteStatsTable[Average]))</f>
        <v>1.85589832994621</v>
      </c>
      <c r="T371" cm="1">
        <f t="array" ref="T371">MIN(IF((DiscreteStatsTable[GroupByKey]=DiscreteStatsTable[[#This Row],[GroupByKey]]),(DiscreteStatsTable[GroupByKey]=DiscreteStatsTable[[#This Row],[GroupByKey]])*DiscreteStatsTable[Minimum]))</f>
        <v>0.10260384490715101</v>
      </c>
      <c r="U371" cm="1">
        <f t="array" ref="U371">MAX(IF((DiscreteStatsTable[GroupByKey]=DiscreteStatsTable[[#This Row],[GroupByKey]]),(DiscreteStatsTable[GroupByKey]=DiscreteStatsTable[[#This Row],[GroupByKey]])*DiscreteStatsTable[Maximum]))</f>
        <v>29.378397097512401</v>
      </c>
      <c r="V371" cm="1">
        <f t="array" ref="V37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1">
        <f>IF((DiscreteStatsTable[[#This Row],[RepsRequested]]&gt;1),DiscreteStatsTable[[#This Row],[HalfWidth]],DiscreteStatsTable[[#This Row],[BatchMeansHalfWidth]])</f>
        <v>6.0890831086538234E-2</v>
      </c>
      <c r="X371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131</v>
      </c>
      <c r="C372">
        <v>24</v>
      </c>
      <c r="D372" t="s">
        <v>78</v>
      </c>
      <c r="E372" t="s">
        <v>81</v>
      </c>
      <c r="F372" t="s">
        <v>80</v>
      </c>
      <c r="G372">
        <v>0.492125579673105</v>
      </c>
      <c r="H372">
        <v>1.3990263090595E-2</v>
      </c>
      <c r="I372">
        <v>0.104378237359569</v>
      </c>
      <c r="J372">
        <v>1.58856216126094</v>
      </c>
      <c r="K372">
        <v>2420</v>
      </c>
      <c r="L372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72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cm="1">
        <f t="array" ref="N372">IFERROR(AVERAGE(IF((DiscreteStatsTable[GroupByKey]=DiscreteStatsTable[[#This Row],[GroupByKey]]),(DiscreteStatsTable[GroupByKey]=DiscreteStatsTable[[#This Row],[GroupByKey]])*DiscreteStatsTable[Average])),0)</f>
        <v>0.49210501840783172</v>
      </c>
      <c r="O372" cm="1">
        <f t="array" ref="O372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72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72" cm="1">
        <f t="array" ref="R372">MIN(IF((DiscreteStatsTable[GroupByKey]=DiscreteStatsTable[[#This Row],[GroupByKey]]),(DiscreteStatsTable[GroupByKey]=DiscreteStatsTable[[#This Row],[GroupByKey]])*DiscreteStatsTable[Average]))</f>
        <v>0.481748748376016</v>
      </c>
      <c r="S372" cm="1">
        <f t="array" ref="S372">MAX(IF((DiscreteStatsTable[GroupByKey]=DiscreteStatsTable[[#This Row],[GroupByKey]]),(DiscreteStatsTable[GroupByKey]=DiscreteStatsTable[[#This Row],[GroupByKey]])*DiscreteStatsTable[Average]))</f>
        <v>0.50324408220295003</v>
      </c>
      <c r="T372" cm="1">
        <f t="array" ref="T372">MIN(IF((DiscreteStatsTable[GroupByKey]=DiscreteStatsTable[[#This Row],[GroupByKey]]),(DiscreteStatsTable[GroupByKey]=DiscreteStatsTable[[#This Row],[GroupByKey]])*DiscreteStatsTable[Minimum]))</f>
        <v>0.101748731497707</v>
      </c>
      <c r="U372" cm="1">
        <f t="array" ref="U372">MAX(IF((DiscreteStatsTable[GroupByKey]=DiscreteStatsTable[[#This Row],[GroupByKey]]),(DiscreteStatsTable[GroupByKey]=DiscreteStatsTable[[#This Row],[GroupByKey]])*DiscreteStatsTable[Maximum]))</f>
        <v>1.5939517145847</v>
      </c>
      <c r="V372" cm="1">
        <f t="array" ref="V37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2">
        <f>IF((DiscreteStatsTable[[#This Row],[RepsRequested]]&gt;1),DiscreteStatsTable[[#This Row],[HalfWidth]],DiscreteStatsTable[[#This Row],[BatchMeansHalfWidth]])</f>
        <v>1.3583273853576923E-3</v>
      </c>
      <c r="X372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131</v>
      </c>
      <c r="C373">
        <v>24</v>
      </c>
      <c r="D373" t="s">
        <v>78</v>
      </c>
      <c r="E373" t="s">
        <v>82</v>
      </c>
      <c r="F373" t="s">
        <v>80</v>
      </c>
      <c r="G373">
        <v>1.2889873718949201</v>
      </c>
      <c r="H373">
        <v>3E+20</v>
      </c>
      <c r="I373">
        <v>0</v>
      </c>
      <c r="J373">
        <v>28.983199492767199</v>
      </c>
      <c r="K373">
        <v>2420</v>
      </c>
      <c r="L373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73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cm="1">
        <f t="array" ref="N373">IFERROR(AVERAGE(IF((DiscreteStatsTable[GroupByKey]=DiscreteStatsTable[[#This Row],[GroupByKey]]),(DiscreteStatsTable[GroupByKey]=DiscreteStatsTable[[#This Row],[GroupByKey]])*DiscreteStatsTable[Average])),0)</f>
        <v>0.80557345969139849</v>
      </c>
      <c r="O373" cm="1">
        <f t="array" ref="O373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73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73" cm="1">
        <f t="array" ref="R373">MIN(IF((DiscreteStatsTable[GroupByKey]=DiscreteStatsTable[[#This Row],[GroupByKey]]),(DiscreteStatsTable[GroupByKey]=DiscreteStatsTable[[#This Row],[GroupByKey]])*DiscreteStatsTable[Average]))</f>
        <v>0.515986961752252</v>
      </c>
      <c r="S373" cm="1">
        <f t="array" ref="S373">MAX(IF((DiscreteStatsTable[GroupByKey]=DiscreteStatsTable[[#This Row],[GroupByKey]]),(DiscreteStatsTable[GroupByKey]=DiscreteStatsTable[[#This Row],[GroupByKey]])*DiscreteStatsTable[Average]))</f>
        <v>1.3542194698792001</v>
      </c>
      <c r="T373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cm="1">
        <f t="array" ref="U373">MAX(IF((DiscreteStatsTable[GroupByKey]=DiscreteStatsTable[[#This Row],[GroupByKey]]),(DiscreteStatsTable[GroupByKey]=DiscreteStatsTable[[#This Row],[GroupByKey]])*DiscreteStatsTable[Maximum]))</f>
        <v>28.983199492767199</v>
      </c>
      <c r="V373" cm="1">
        <f t="array" ref="V37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3">
        <f>IF((DiscreteStatsTable[[#This Row],[RepsRequested]]&gt;1),DiscreteStatsTable[[#This Row],[HalfWidth]],DiscreteStatsTable[[#This Row],[BatchMeansHalfWidth]])</f>
        <v>6.0520109610092528E-2</v>
      </c>
      <c r="X373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131</v>
      </c>
      <c r="C374">
        <v>25</v>
      </c>
      <c r="D374" t="s">
        <v>78</v>
      </c>
      <c r="E374" t="s">
        <v>79</v>
      </c>
      <c r="F374" t="s">
        <v>80</v>
      </c>
      <c r="G374">
        <v>1.65600158259923</v>
      </c>
      <c r="H374">
        <v>0.34799476007943703</v>
      </c>
      <c r="I374">
        <v>0.12360024519221501</v>
      </c>
      <c r="J374">
        <v>15.019948151181399</v>
      </c>
      <c r="K374">
        <v>2504</v>
      </c>
      <c r="L374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74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cm="1">
        <f t="array" ref="N374">IFERROR(AVERAGE(IF((DiscreteStatsTable[GroupByKey]=DiscreteStatsTable[[#This Row],[GroupByKey]]),(DiscreteStatsTable[GroupByKey]=DiscreteStatsTable[[#This Row],[GroupByKey]])*DiscreteStatsTable[Average])),0)</f>
        <v>1.2976784780992308</v>
      </c>
      <c r="O374" cm="1">
        <f t="array" ref="O374">IFERROR(_xlfn.STDEV.S(IF((DiscreteStatsTable[GroupByKey]=DiscreteStatsTable[[#This Row],[GroupByKey]]),(DiscreteStatsTable[GroupByKey]=DiscreteStatsTable[[#This Row],[GroupByKey]])*DiscreteStatsTable[Average])),0)</f>
        <v>0.214255822712483</v>
      </c>
      <c r="P374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74" cm="1">
        <f t="array" ref="R374">MIN(IF((DiscreteStatsTable[GroupByKey]=DiscreteStatsTable[[#This Row],[GroupByKey]]),(DiscreteStatsTable[GroupByKey]=DiscreteStatsTable[[#This Row],[GroupByKey]])*DiscreteStatsTable[Average]))</f>
        <v>1.00825666115094</v>
      </c>
      <c r="S374" cm="1">
        <f t="array" ref="S374">MAX(IF((DiscreteStatsTable[GroupByKey]=DiscreteStatsTable[[#This Row],[GroupByKey]]),(DiscreteStatsTable[GroupByKey]=DiscreteStatsTable[[#This Row],[GroupByKey]])*DiscreteStatsTable[Average]))</f>
        <v>1.85589832994621</v>
      </c>
      <c r="T374" cm="1">
        <f t="array" ref="T374">MIN(IF((DiscreteStatsTable[GroupByKey]=DiscreteStatsTable[[#This Row],[GroupByKey]]),(DiscreteStatsTable[GroupByKey]=DiscreteStatsTable[[#This Row],[GroupByKey]])*DiscreteStatsTable[Minimum]))</f>
        <v>0.10260384490715101</v>
      </c>
      <c r="U374" cm="1">
        <f t="array" ref="U374">MAX(IF((DiscreteStatsTable[GroupByKey]=DiscreteStatsTable[[#This Row],[GroupByKey]]),(DiscreteStatsTable[GroupByKey]=DiscreteStatsTable[[#This Row],[GroupByKey]])*DiscreteStatsTable[Maximum]))</f>
        <v>29.378397097512401</v>
      </c>
      <c r="V374" cm="1">
        <f t="array" ref="V37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4">
        <f>IF((DiscreteStatsTable[[#This Row],[RepsRequested]]&gt;1),DiscreteStatsTable[[#This Row],[HalfWidth]],DiscreteStatsTable[[#This Row],[BatchMeansHalfWidth]])</f>
        <v>6.0890831086538234E-2</v>
      </c>
      <c r="X374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131</v>
      </c>
      <c r="C375">
        <v>25</v>
      </c>
      <c r="D375" t="s">
        <v>78</v>
      </c>
      <c r="E375" t="s">
        <v>81</v>
      </c>
      <c r="F375" t="s">
        <v>80</v>
      </c>
      <c r="G375">
        <v>0.491593182400551</v>
      </c>
      <c r="H375">
        <v>3E+20</v>
      </c>
      <c r="I375">
        <v>0.112589118323925</v>
      </c>
      <c r="J375">
        <v>1.5512023696334201</v>
      </c>
      <c r="K375">
        <v>2504</v>
      </c>
      <c r="L375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7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cm="1">
        <f t="array" ref="N375">IFERROR(AVERAGE(IF((DiscreteStatsTable[GroupByKey]=DiscreteStatsTable[[#This Row],[GroupByKey]]),(DiscreteStatsTable[GroupByKey]=DiscreteStatsTable[[#This Row],[GroupByKey]])*DiscreteStatsTable[Average])),0)</f>
        <v>0.49210501840783172</v>
      </c>
      <c r="O375" cm="1">
        <f t="array" ref="O375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7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75" cm="1">
        <f t="array" ref="R375">MIN(IF((DiscreteStatsTable[GroupByKey]=DiscreteStatsTable[[#This Row],[GroupByKey]]),(DiscreteStatsTable[GroupByKey]=DiscreteStatsTable[[#This Row],[GroupByKey]])*DiscreteStatsTable[Average]))</f>
        <v>0.481748748376016</v>
      </c>
      <c r="S375" cm="1">
        <f t="array" ref="S375">MAX(IF((DiscreteStatsTable[GroupByKey]=DiscreteStatsTable[[#This Row],[GroupByKey]]),(DiscreteStatsTable[GroupByKey]=DiscreteStatsTable[[#This Row],[GroupByKey]])*DiscreteStatsTable[Average]))</f>
        <v>0.50324408220295003</v>
      </c>
      <c r="T375" cm="1">
        <f t="array" ref="T375">MIN(IF((DiscreteStatsTable[GroupByKey]=DiscreteStatsTable[[#This Row],[GroupByKey]]),(DiscreteStatsTable[GroupByKey]=DiscreteStatsTable[[#This Row],[GroupByKey]])*DiscreteStatsTable[Minimum]))</f>
        <v>0.101748731497707</v>
      </c>
      <c r="U375" cm="1">
        <f t="array" ref="U375">MAX(IF((DiscreteStatsTable[GroupByKey]=DiscreteStatsTable[[#This Row],[GroupByKey]]),(DiscreteStatsTable[GroupByKey]=DiscreteStatsTable[[#This Row],[GroupByKey]])*DiscreteStatsTable[Maximum]))</f>
        <v>1.5939517145847</v>
      </c>
      <c r="V375" cm="1">
        <f t="array" ref="V37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5">
        <f>IF((DiscreteStatsTable[[#This Row],[RepsRequested]]&gt;1),DiscreteStatsTable[[#This Row],[HalfWidth]],DiscreteStatsTable[[#This Row],[BatchMeansHalfWidth]])</f>
        <v>1.3583273853576923E-3</v>
      </c>
      <c r="X37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131</v>
      </c>
      <c r="C376">
        <v>25</v>
      </c>
      <c r="D376" t="s">
        <v>78</v>
      </c>
      <c r="E376" t="s">
        <v>82</v>
      </c>
      <c r="F376" t="s">
        <v>80</v>
      </c>
      <c r="G376">
        <v>1.1644084001986701</v>
      </c>
      <c r="H376">
        <v>0.34548976415138399</v>
      </c>
      <c r="I376">
        <v>0</v>
      </c>
      <c r="J376">
        <v>14.607905646756601</v>
      </c>
      <c r="K376">
        <v>2504</v>
      </c>
      <c r="L376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76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cm="1">
        <f t="array" ref="N376">IFERROR(AVERAGE(IF((DiscreteStatsTable[GroupByKey]=DiscreteStatsTable[[#This Row],[GroupByKey]]),(DiscreteStatsTable[GroupByKey]=DiscreteStatsTable[[#This Row],[GroupByKey]])*DiscreteStatsTable[Average])),0)</f>
        <v>0.80557345969139849</v>
      </c>
      <c r="O376" cm="1">
        <f t="array" ref="O376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76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76" cm="1">
        <f t="array" ref="R376">MIN(IF((DiscreteStatsTable[GroupByKey]=DiscreteStatsTable[[#This Row],[GroupByKey]]),(DiscreteStatsTable[GroupByKey]=DiscreteStatsTable[[#This Row],[GroupByKey]])*DiscreteStatsTable[Average]))</f>
        <v>0.515986961752252</v>
      </c>
      <c r="S376" cm="1">
        <f t="array" ref="S376">MAX(IF((DiscreteStatsTable[GroupByKey]=DiscreteStatsTable[[#This Row],[GroupByKey]]),(DiscreteStatsTable[GroupByKey]=DiscreteStatsTable[[#This Row],[GroupByKey]])*DiscreteStatsTable[Average]))</f>
        <v>1.3542194698792001</v>
      </c>
      <c r="T376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cm="1">
        <f t="array" ref="U376">MAX(IF((DiscreteStatsTable[GroupByKey]=DiscreteStatsTable[[#This Row],[GroupByKey]]),(DiscreteStatsTable[GroupByKey]=DiscreteStatsTable[[#This Row],[GroupByKey]])*DiscreteStatsTable[Maximum]))</f>
        <v>28.983199492767199</v>
      </c>
      <c r="V376" cm="1">
        <f t="array" ref="V37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6">
        <f>IF((DiscreteStatsTable[[#This Row],[RepsRequested]]&gt;1),DiscreteStatsTable[[#This Row],[HalfWidth]],DiscreteStatsTable[[#This Row],[BatchMeansHalfWidth]])</f>
        <v>6.0520109610092528E-2</v>
      </c>
      <c r="X376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131</v>
      </c>
      <c r="C377">
        <v>26</v>
      </c>
      <c r="D377" t="s">
        <v>78</v>
      </c>
      <c r="E377" t="s">
        <v>79</v>
      </c>
      <c r="F377" t="s">
        <v>80</v>
      </c>
      <c r="G377">
        <v>1.1749302627434901</v>
      </c>
      <c r="H377">
        <v>0.19576898480056601</v>
      </c>
      <c r="I377">
        <v>0.12346590130587699</v>
      </c>
      <c r="J377">
        <v>10.2745252679146</v>
      </c>
      <c r="K377">
        <v>2350</v>
      </c>
      <c r="L377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77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cm="1">
        <f t="array" ref="N377">IFERROR(AVERAGE(IF((DiscreteStatsTable[GroupByKey]=DiscreteStatsTable[[#This Row],[GroupByKey]]),(DiscreteStatsTable[GroupByKey]=DiscreteStatsTable[[#This Row],[GroupByKey]])*DiscreteStatsTable[Average])),0)</f>
        <v>1.2976784780992308</v>
      </c>
      <c r="O377" cm="1">
        <f t="array" ref="O377">IFERROR(_xlfn.STDEV.S(IF((DiscreteStatsTable[GroupByKey]=DiscreteStatsTable[[#This Row],[GroupByKey]]),(DiscreteStatsTable[GroupByKey]=DiscreteStatsTable[[#This Row],[GroupByKey]])*DiscreteStatsTable[Average])),0)</f>
        <v>0.214255822712483</v>
      </c>
      <c r="P377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77" cm="1">
        <f t="array" ref="R377">MIN(IF((DiscreteStatsTable[GroupByKey]=DiscreteStatsTable[[#This Row],[GroupByKey]]),(DiscreteStatsTable[GroupByKey]=DiscreteStatsTable[[#This Row],[GroupByKey]])*DiscreteStatsTable[Average]))</f>
        <v>1.00825666115094</v>
      </c>
      <c r="S377" cm="1">
        <f t="array" ref="S377">MAX(IF((DiscreteStatsTable[GroupByKey]=DiscreteStatsTable[[#This Row],[GroupByKey]]),(DiscreteStatsTable[GroupByKey]=DiscreteStatsTable[[#This Row],[GroupByKey]])*DiscreteStatsTable[Average]))</f>
        <v>1.85589832994621</v>
      </c>
      <c r="T377" cm="1">
        <f t="array" ref="T377">MIN(IF((DiscreteStatsTable[GroupByKey]=DiscreteStatsTable[[#This Row],[GroupByKey]]),(DiscreteStatsTable[GroupByKey]=DiscreteStatsTable[[#This Row],[GroupByKey]])*DiscreteStatsTable[Minimum]))</f>
        <v>0.10260384490715101</v>
      </c>
      <c r="U377" cm="1">
        <f t="array" ref="U377">MAX(IF((DiscreteStatsTable[GroupByKey]=DiscreteStatsTable[[#This Row],[GroupByKey]]),(DiscreteStatsTable[GroupByKey]=DiscreteStatsTable[[#This Row],[GroupByKey]])*DiscreteStatsTable[Maximum]))</f>
        <v>29.378397097512401</v>
      </c>
      <c r="V377" cm="1">
        <f t="array" ref="V37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7">
        <f>IF((DiscreteStatsTable[[#This Row],[RepsRequested]]&gt;1),DiscreteStatsTable[[#This Row],[HalfWidth]],DiscreteStatsTable[[#This Row],[BatchMeansHalfWidth]])</f>
        <v>6.0890831086538234E-2</v>
      </c>
      <c r="X377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131</v>
      </c>
      <c r="C378">
        <v>26</v>
      </c>
      <c r="D378" t="s">
        <v>78</v>
      </c>
      <c r="E378" t="s">
        <v>81</v>
      </c>
      <c r="F378" t="s">
        <v>80</v>
      </c>
      <c r="G378">
        <v>0.49589008346438102</v>
      </c>
      <c r="H378">
        <v>1.1181804433989299E-2</v>
      </c>
      <c r="I378">
        <v>0.107854196365452</v>
      </c>
      <c r="J378">
        <v>1.58901720882542</v>
      </c>
      <c r="K378">
        <v>2350</v>
      </c>
      <c r="L378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78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cm="1">
        <f t="array" ref="N378">IFERROR(AVERAGE(IF((DiscreteStatsTable[GroupByKey]=DiscreteStatsTable[[#This Row],[GroupByKey]]),(DiscreteStatsTable[GroupByKey]=DiscreteStatsTable[[#This Row],[GroupByKey]])*DiscreteStatsTable[Average])),0)</f>
        <v>0.49210501840783172</v>
      </c>
      <c r="O378" cm="1">
        <f t="array" ref="O378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78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78" cm="1">
        <f t="array" ref="R378">MIN(IF((DiscreteStatsTable[GroupByKey]=DiscreteStatsTable[[#This Row],[GroupByKey]]),(DiscreteStatsTable[GroupByKey]=DiscreteStatsTable[[#This Row],[GroupByKey]])*DiscreteStatsTable[Average]))</f>
        <v>0.481748748376016</v>
      </c>
      <c r="S378" cm="1">
        <f t="array" ref="S378">MAX(IF((DiscreteStatsTable[GroupByKey]=DiscreteStatsTable[[#This Row],[GroupByKey]]),(DiscreteStatsTable[GroupByKey]=DiscreteStatsTable[[#This Row],[GroupByKey]])*DiscreteStatsTable[Average]))</f>
        <v>0.50324408220295003</v>
      </c>
      <c r="T378" cm="1">
        <f t="array" ref="T378">MIN(IF((DiscreteStatsTable[GroupByKey]=DiscreteStatsTable[[#This Row],[GroupByKey]]),(DiscreteStatsTable[GroupByKey]=DiscreteStatsTable[[#This Row],[GroupByKey]])*DiscreteStatsTable[Minimum]))</f>
        <v>0.101748731497707</v>
      </c>
      <c r="U378" cm="1">
        <f t="array" ref="U378">MAX(IF((DiscreteStatsTable[GroupByKey]=DiscreteStatsTable[[#This Row],[GroupByKey]]),(DiscreteStatsTable[GroupByKey]=DiscreteStatsTable[[#This Row],[GroupByKey]])*DiscreteStatsTable[Maximum]))</f>
        <v>1.5939517145847</v>
      </c>
      <c r="V378" cm="1">
        <f t="array" ref="V37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8">
        <f>IF((DiscreteStatsTable[[#This Row],[RepsRequested]]&gt;1),DiscreteStatsTable[[#This Row],[HalfWidth]],DiscreteStatsTable[[#This Row],[BatchMeansHalfWidth]])</f>
        <v>1.3583273853576923E-3</v>
      </c>
      <c r="X378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131</v>
      </c>
      <c r="C379">
        <v>26</v>
      </c>
      <c r="D379" t="s">
        <v>78</v>
      </c>
      <c r="E379" t="s">
        <v>82</v>
      </c>
      <c r="F379" t="s">
        <v>80</v>
      </c>
      <c r="G379">
        <v>0.67904017927911497</v>
      </c>
      <c r="H379">
        <v>0.19087585047432901</v>
      </c>
      <c r="I379">
        <v>0</v>
      </c>
      <c r="J379">
        <v>9.8950223480855506</v>
      </c>
      <c r="K379">
        <v>2350</v>
      </c>
      <c r="L379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79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cm="1">
        <f t="array" ref="N379">IFERROR(AVERAGE(IF((DiscreteStatsTable[GroupByKey]=DiscreteStatsTable[[#This Row],[GroupByKey]]),(DiscreteStatsTable[GroupByKey]=DiscreteStatsTable[[#This Row],[GroupByKey]])*DiscreteStatsTable[Average])),0)</f>
        <v>0.80557345969139849</v>
      </c>
      <c r="O379" cm="1">
        <f t="array" ref="O379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79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79" cm="1">
        <f t="array" ref="R379">MIN(IF((DiscreteStatsTable[GroupByKey]=DiscreteStatsTable[[#This Row],[GroupByKey]]),(DiscreteStatsTable[GroupByKey]=DiscreteStatsTable[[#This Row],[GroupByKey]])*DiscreteStatsTable[Average]))</f>
        <v>0.515986961752252</v>
      </c>
      <c r="S379" cm="1">
        <f t="array" ref="S379">MAX(IF((DiscreteStatsTable[GroupByKey]=DiscreteStatsTable[[#This Row],[GroupByKey]]),(DiscreteStatsTable[GroupByKey]=DiscreteStatsTable[[#This Row],[GroupByKey]])*DiscreteStatsTable[Average]))</f>
        <v>1.3542194698792001</v>
      </c>
      <c r="T379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cm="1">
        <f t="array" ref="U379">MAX(IF((DiscreteStatsTable[GroupByKey]=DiscreteStatsTable[[#This Row],[GroupByKey]]),(DiscreteStatsTable[GroupByKey]=DiscreteStatsTable[[#This Row],[GroupByKey]])*DiscreteStatsTable[Maximum]))</f>
        <v>28.983199492767199</v>
      </c>
      <c r="V379" cm="1">
        <f t="array" ref="V37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79">
        <f>IF((DiscreteStatsTable[[#This Row],[RepsRequested]]&gt;1),DiscreteStatsTable[[#This Row],[HalfWidth]],DiscreteStatsTable[[#This Row],[BatchMeansHalfWidth]])</f>
        <v>6.0520109610092528E-2</v>
      </c>
      <c r="X379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131</v>
      </c>
      <c r="C380">
        <v>27</v>
      </c>
      <c r="D380" t="s">
        <v>78</v>
      </c>
      <c r="E380" t="s">
        <v>79</v>
      </c>
      <c r="F380" t="s">
        <v>80</v>
      </c>
      <c r="G380">
        <v>1.85589832994621</v>
      </c>
      <c r="H380">
        <v>0.569165157906383</v>
      </c>
      <c r="I380">
        <v>0.120169383800089</v>
      </c>
      <c r="J380">
        <v>22.2391051252484</v>
      </c>
      <c r="K380">
        <v>2414</v>
      </c>
      <c r="L380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80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cm="1">
        <f t="array" ref="N380">IFERROR(AVERAGE(IF((DiscreteStatsTable[GroupByKey]=DiscreteStatsTable[[#This Row],[GroupByKey]]),(DiscreteStatsTable[GroupByKey]=DiscreteStatsTable[[#This Row],[GroupByKey]])*DiscreteStatsTable[Average])),0)</f>
        <v>1.2976784780992308</v>
      </c>
      <c r="O380" cm="1">
        <f t="array" ref="O380">IFERROR(_xlfn.STDEV.S(IF((DiscreteStatsTable[GroupByKey]=DiscreteStatsTable[[#This Row],[GroupByKey]]),(DiscreteStatsTable[GroupByKey]=DiscreteStatsTable[[#This Row],[GroupByKey]])*DiscreteStatsTable[Average])),0)</f>
        <v>0.214255822712483</v>
      </c>
      <c r="P380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80" cm="1">
        <f t="array" ref="R380">MIN(IF((DiscreteStatsTable[GroupByKey]=DiscreteStatsTable[[#This Row],[GroupByKey]]),(DiscreteStatsTable[GroupByKey]=DiscreteStatsTable[[#This Row],[GroupByKey]])*DiscreteStatsTable[Average]))</f>
        <v>1.00825666115094</v>
      </c>
      <c r="S380" cm="1">
        <f t="array" ref="S380">MAX(IF((DiscreteStatsTable[GroupByKey]=DiscreteStatsTable[[#This Row],[GroupByKey]]),(DiscreteStatsTable[GroupByKey]=DiscreteStatsTable[[#This Row],[GroupByKey]])*DiscreteStatsTable[Average]))</f>
        <v>1.85589832994621</v>
      </c>
      <c r="T380" cm="1">
        <f t="array" ref="T380">MIN(IF((DiscreteStatsTable[GroupByKey]=DiscreteStatsTable[[#This Row],[GroupByKey]]),(DiscreteStatsTable[GroupByKey]=DiscreteStatsTable[[#This Row],[GroupByKey]])*DiscreteStatsTable[Minimum]))</f>
        <v>0.10260384490715101</v>
      </c>
      <c r="U380" cm="1">
        <f t="array" ref="U380">MAX(IF((DiscreteStatsTable[GroupByKey]=DiscreteStatsTable[[#This Row],[GroupByKey]]),(DiscreteStatsTable[GroupByKey]=DiscreteStatsTable[[#This Row],[GroupByKey]])*DiscreteStatsTable[Maximum]))</f>
        <v>29.378397097512401</v>
      </c>
      <c r="V380" cm="1">
        <f t="array" ref="V38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0">
        <f>IF((DiscreteStatsTable[[#This Row],[RepsRequested]]&gt;1),DiscreteStatsTable[[#This Row],[HalfWidth]],DiscreteStatsTable[[#This Row],[BatchMeansHalfWidth]])</f>
        <v>6.0890831086538234E-2</v>
      </c>
      <c r="X380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131</v>
      </c>
      <c r="C381">
        <v>27</v>
      </c>
      <c r="D381" t="s">
        <v>78</v>
      </c>
      <c r="E381" t="s">
        <v>81</v>
      </c>
      <c r="F381" t="s">
        <v>80</v>
      </c>
      <c r="G381">
        <v>0.50167886006701001</v>
      </c>
      <c r="H381">
        <v>1.40954831044122E-2</v>
      </c>
      <c r="I381">
        <v>0.114355521891866</v>
      </c>
      <c r="J381">
        <v>1.5453958274611399</v>
      </c>
      <c r="K381">
        <v>2414</v>
      </c>
      <c r="L381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81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cm="1">
        <f t="array" ref="N381">IFERROR(AVERAGE(IF((DiscreteStatsTable[GroupByKey]=DiscreteStatsTable[[#This Row],[GroupByKey]]),(DiscreteStatsTable[GroupByKey]=DiscreteStatsTable[[#This Row],[GroupByKey]])*DiscreteStatsTable[Average])),0)</f>
        <v>0.49210501840783172</v>
      </c>
      <c r="O381" cm="1">
        <f t="array" ref="O381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81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81" cm="1">
        <f t="array" ref="R381">MIN(IF((DiscreteStatsTable[GroupByKey]=DiscreteStatsTable[[#This Row],[GroupByKey]]),(DiscreteStatsTable[GroupByKey]=DiscreteStatsTable[[#This Row],[GroupByKey]])*DiscreteStatsTable[Average]))</f>
        <v>0.481748748376016</v>
      </c>
      <c r="S381" cm="1">
        <f t="array" ref="S381">MAX(IF((DiscreteStatsTable[GroupByKey]=DiscreteStatsTable[[#This Row],[GroupByKey]]),(DiscreteStatsTable[GroupByKey]=DiscreteStatsTable[[#This Row],[GroupByKey]])*DiscreteStatsTable[Average]))</f>
        <v>0.50324408220295003</v>
      </c>
      <c r="T381" cm="1">
        <f t="array" ref="T381">MIN(IF((DiscreteStatsTable[GroupByKey]=DiscreteStatsTable[[#This Row],[GroupByKey]]),(DiscreteStatsTable[GroupByKey]=DiscreteStatsTable[[#This Row],[GroupByKey]])*DiscreteStatsTable[Minimum]))</f>
        <v>0.101748731497707</v>
      </c>
      <c r="U381" cm="1">
        <f t="array" ref="U381">MAX(IF((DiscreteStatsTable[GroupByKey]=DiscreteStatsTable[[#This Row],[GroupByKey]]),(DiscreteStatsTable[GroupByKey]=DiscreteStatsTable[[#This Row],[GroupByKey]])*DiscreteStatsTable[Maximum]))</f>
        <v>1.5939517145847</v>
      </c>
      <c r="V381" cm="1">
        <f t="array" ref="V38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1">
        <f>IF((DiscreteStatsTable[[#This Row],[RepsRequested]]&gt;1),DiscreteStatsTable[[#This Row],[HalfWidth]],DiscreteStatsTable[[#This Row],[BatchMeansHalfWidth]])</f>
        <v>1.3583273853576923E-3</v>
      </c>
      <c r="X381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131</v>
      </c>
      <c r="C382">
        <v>27</v>
      </c>
      <c r="D382" t="s">
        <v>78</v>
      </c>
      <c r="E382" t="s">
        <v>82</v>
      </c>
      <c r="F382" t="s">
        <v>80</v>
      </c>
      <c r="G382">
        <v>1.3542194698792001</v>
      </c>
      <c r="H382">
        <v>0.57229460564690704</v>
      </c>
      <c r="I382">
        <v>0</v>
      </c>
      <c r="J382">
        <v>21.901400545917301</v>
      </c>
      <c r="K382">
        <v>2414</v>
      </c>
      <c r="L382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82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cm="1">
        <f t="array" ref="N382">IFERROR(AVERAGE(IF((DiscreteStatsTable[GroupByKey]=DiscreteStatsTable[[#This Row],[GroupByKey]]),(DiscreteStatsTable[GroupByKey]=DiscreteStatsTable[[#This Row],[GroupByKey]])*DiscreteStatsTable[Average])),0)</f>
        <v>0.80557345969139849</v>
      </c>
      <c r="O382" cm="1">
        <f t="array" ref="O382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82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82" cm="1">
        <f t="array" ref="R382">MIN(IF((DiscreteStatsTable[GroupByKey]=DiscreteStatsTable[[#This Row],[GroupByKey]]),(DiscreteStatsTable[GroupByKey]=DiscreteStatsTable[[#This Row],[GroupByKey]])*DiscreteStatsTable[Average]))</f>
        <v>0.515986961752252</v>
      </c>
      <c r="S382" cm="1">
        <f t="array" ref="S382">MAX(IF((DiscreteStatsTable[GroupByKey]=DiscreteStatsTable[[#This Row],[GroupByKey]]),(DiscreteStatsTable[GroupByKey]=DiscreteStatsTable[[#This Row],[GroupByKey]])*DiscreteStatsTable[Average]))</f>
        <v>1.3542194698792001</v>
      </c>
      <c r="T382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cm="1">
        <f t="array" ref="U382">MAX(IF((DiscreteStatsTable[GroupByKey]=DiscreteStatsTable[[#This Row],[GroupByKey]]),(DiscreteStatsTable[GroupByKey]=DiscreteStatsTable[[#This Row],[GroupByKey]])*DiscreteStatsTable[Maximum]))</f>
        <v>28.983199492767199</v>
      </c>
      <c r="V382" cm="1">
        <f t="array" ref="V38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2">
        <f>IF((DiscreteStatsTable[[#This Row],[RepsRequested]]&gt;1),DiscreteStatsTable[[#This Row],[HalfWidth]],DiscreteStatsTable[[#This Row],[BatchMeansHalfWidth]])</f>
        <v>6.0520109610092528E-2</v>
      </c>
      <c r="X382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131</v>
      </c>
      <c r="C383">
        <v>28</v>
      </c>
      <c r="D383" t="s">
        <v>78</v>
      </c>
      <c r="E383" t="s">
        <v>79</v>
      </c>
      <c r="F383" t="s">
        <v>80</v>
      </c>
      <c r="G383">
        <v>1.40106900868605</v>
      </c>
      <c r="H383">
        <v>0.26364615731277002</v>
      </c>
      <c r="I383">
        <v>0.11320056770881599</v>
      </c>
      <c r="J383">
        <v>11.1139080105765</v>
      </c>
      <c r="K383">
        <v>2339</v>
      </c>
      <c r="L383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83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cm="1">
        <f t="array" ref="N383">IFERROR(AVERAGE(IF((DiscreteStatsTable[GroupByKey]=DiscreteStatsTable[[#This Row],[GroupByKey]]),(DiscreteStatsTable[GroupByKey]=DiscreteStatsTable[[#This Row],[GroupByKey]])*DiscreteStatsTable[Average])),0)</f>
        <v>1.2976784780992308</v>
      </c>
      <c r="O383" cm="1">
        <f t="array" ref="O383">IFERROR(_xlfn.STDEV.S(IF((DiscreteStatsTable[GroupByKey]=DiscreteStatsTable[[#This Row],[GroupByKey]]),(DiscreteStatsTable[GroupByKey]=DiscreteStatsTable[[#This Row],[GroupByKey]])*DiscreteStatsTable[Average])),0)</f>
        <v>0.214255822712483</v>
      </c>
      <c r="P383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83" cm="1">
        <f t="array" ref="R383">MIN(IF((DiscreteStatsTable[GroupByKey]=DiscreteStatsTable[[#This Row],[GroupByKey]]),(DiscreteStatsTable[GroupByKey]=DiscreteStatsTable[[#This Row],[GroupByKey]])*DiscreteStatsTable[Average]))</f>
        <v>1.00825666115094</v>
      </c>
      <c r="S383" cm="1">
        <f t="array" ref="S383">MAX(IF((DiscreteStatsTable[GroupByKey]=DiscreteStatsTable[[#This Row],[GroupByKey]]),(DiscreteStatsTable[GroupByKey]=DiscreteStatsTable[[#This Row],[GroupByKey]])*DiscreteStatsTable[Average]))</f>
        <v>1.85589832994621</v>
      </c>
      <c r="T383" cm="1">
        <f t="array" ref="T383">MIN(IF((DiscreteStatsTable[GroupByKey]=DiscreteStatsTable[[#This Row],[GroupByKey]]),(DiscreteStatsTable[GroupByKey]=DiscreteStatsTable[[#This Row],[GroupByKey]])*DiscreteStatsTable[Minimum]))</f>
        <v>0.10260384490715101</v>
      </c>
      <c r="U383" cm="1">
        <f t="array" ref="U383">MAX(IF((DiscreteStatsTable[GroupByKey]=DiscreteStatsTable[[#This Row],[GroupByKey]]),(DiscreteStatsTable[GroupByKey]=DiscreteStatsTable[[#This Row],[GroupByKey]])*DiscreteStatsTable[Maximum]))</f>
        <v>29.378397097512401</v>
      </c>
      <c r="V383" cm="1">
        <f t="array" ref="V38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3">
        <f>IF((DiscreteStatsTable[[#This Row],[RepsRequested]]&gt;1),DiscreteStatsTable[[#This Row],[HalfWidth]],DiscreteStatsTable[[#This Row],[BatchMeansHalfWidth]])</f>
        <v>6.0890831086538234E-2</v>
      </c>
      <c r="X383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131</v>
      </c>
      <c r="C384">
        <v>28</v>
      </c>
      <c r="D384" t="s">
        <v>78</v>
      </c>
      <c r="E384" t="s">
        <v>81</v>
      </c>
      <c r="F384" t="s">
        <v>80</v>
      </c>
      <c r="G384">
        <v>0.50014305495409905</v>
      </c>
      <c r="H384">
        <v>1.39516615362709E-2</v>
      </c>
      <c r="I384">
        <v>0.11320056770881599</v>
      </c>
      <c r="J384">
        <v>1.56565028516866</v>
      </c>
      <c r="K384">
        <v>2339</v>
      </c>
      <c r="L384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84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cm="1">
        <f t="array" ref="N384">IFERROR(AVERAGE(IF((DiscreteStatsTable[GroupByKey]=DiscreteStatsTable[[#This Row],[GroupByKey]]),(DiscreteStatsTable[GroupByKey]=DiscreteStatsTable[[#This Row],[GroupByKey]])*DiscreteStatsTable[Average])),0)</f>
        <v>0.49210501840783172</v>
      </c>
      <c r="O384" cm="1">
        <f t="array" ref="O384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84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84" cm="1">
        <f t="array" ref="R384">MIN(IF((DiscreteStatsTable[GroupByKey]=DiscreteStatsTable[[#This Row],[GroupByKey]]),(DiscreteStatsTable[GroupByKey]=DiscreteStatsTable[[#This Row],[GroupByKey]])*DiscreteStatsTable[Average]))</f>
        <v>0.481748748376016</v>
      </c>
      <c r="S384" cm="1">
        <f t="array" ref="S384">MAX(IF((DiscreteStatsTable[GroupByKey]=DiscreteStatsTable[[#This Row],[GroupByKey]]),(DiscreteStatsTable[GroupByKey]=DiscreteStatsTable[[#This Row],[GroupByKey]])*DiscreteStatsTable[Average]))</f>
        <v>0.50324408220295003</v>
      </c>
      <c r="T384" cm="1">
        <f t="array" ref="T384">MIN(IF((DiscreteStatsTable[GroupByKey]=DiscreteStatsTable[[#This Row],[GroupByKey]]),(DiscreteStatsTable[GroupByKey]=DiscreteStatsTable[[#This Row],[GroupByKey]])*DiscreteStatsTable[Minimum]))</f>
        <v>0.101748731497707</v>
      </c>
      <c r="U384" cm="1">
        <f t="array" ref="U384">MAX(IF((DiscreteStatsTable[GroupByKey]=DiscreteStatsTable[[#This Row],[GroupByKey]]),(DiscreteStatsTable[GroupByKey]=DiscreteStatsTable[[#This Row],[GroupByKey]])*DiscreteStatsTable[Maximum]))</f>
        <v>1.5939517145847</v>
      </c>
      <c r="V384" cm="1">
        <f t="array" ref="V38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4">
        <f>IF((DiscreteStatsTable[[#This Row],[RepsRequested]]&gt;1),DiscreteStatsTable[[#This Row],[HalfWidth]],DiscreteStatsTable[[#This Row],[BatchMeansHalfWidth]])</f>
        <v>1.3583273853576923E-3</v>
      </c>
      <c r="X384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131</v>
      </c>
      <c r="C385">
        <v>28</v>
      </c>
      <c r="D385" t="s">
        <v>78</v>
      </c>
      <c r="E385" t="s">
        <v>82</v>
      </c>
      <c r="F385" t="s">
        <v>80</v>
      </c>
      <c r="G385">
        <v>0.90092595373194695</v>
      </c>
      <c r="H385">
        <v>0.263649116704258</v>
      </c>
      <c r="I385">
        <v>0</v>
      </c>
      <c r="J385">
        <v>10.7831082440727</v>
      </c>
      <c r="K385">
        <v>2339</v>
      </c>
      <c r="L385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8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cm="1">
        <f t="array" ref="N385">IFERROR(AVERAGE(IF((DiscreteStatsTable[GroupByKey]=DiscreteStatsTable[[#This Row],[GroupByKey]]),(DiscreteStatsTable[GroupByKey]=DiscreteStatsTable[[#This Row],[GroupByKey]])*DiscreteStatsTable[Average])),0)</f>
        <v>0.80557345969139849</v>
      </c>
      <c r="O385" cm="1">
        <f t="array" ref="O385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8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85" cm="1">
        <f t="array" ref="R385">MIN(IF((DiscreteStatsTable[GroupByKey]=DiscreteStatsTable[[#This Row],[GroupByKey]]),(DiscreteStatsTable[GroupByKey]=DiscreteStatsTable[[#This Row],[GroupByKey]])*DiscreteStatsTable[Average]))</f>
        <v>0.515986961752252</v>
      </c>
      <c r="S385" cm="1">
        <f t="array" ref="S385">MAX(IF((DiscreteStatsTable[GroupByKey]=DiscreteStatsTable[[#This Row],[GroupByKey]]),(DiscreteStatsTable[GroupByKey]=DiscreteStatsTable[[#This Row],[GroupByKey]])*DiscreteStatsTable[Average]))</f>
        <v>1.3542194698792001</v>
      </c>
      <c r="T38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cm="1">
        <f t="array" ref="U385">MAX(IF((DiscreteStatsTable[GroupByKey]=DiscreteStatsTable[[#This Row],[GroupByKey]]),(DiscreteStatsTable[GroupByKey]=DiscreteStatsTable[[#This Row],[GroupByKey]])*DiscreteStatsTable[Maximum]))</f>
        <v>28.983199492767199</v>
      </c>
      <c r="V385" cm="1">
        <f t="array" ref="V38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5">
        <f>IF((DiscreteStatsTable[[#This Row],[RepsRequested]]&gt;1),DiscreteStatsTable[[#This Row],[HalfWidth]],DiscreteStatsTable[[#This Row],[BatchMeansHalfWidth]])</f>
        <v>6.0520109610092528E-2</v>
      </c>
      <c r="X38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131</v>
      </c>
      <c r="C386">
        <v>29</v>
      </c>
      <c r="D386" t="s">
        <v>78</v>
      </c>
      <c r="E386" t="s">
        <v>79</v>
      </c>
      <c r="F386" t="s">
        <v>80</v>
      </c>
      <c r="G386">
        <v>1.4139379425070699</v>
      </c>
      <c r="H386">
        <v>3E+20</v>
      </c>
      <c r="I386">
        <v>0.110316164291191</v>
      </c>
      <c r="J386">
        <v>22.896279994886601</v>
      </c>
      <c r="K386">
        <v>2440</v>
      </c>
      <c r="L386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86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cm="1">
        <f t="array" ref="N386">IFERROR(AVERAGE(IF((DiscreteStatsTable[GroupByKey]=DiscreteStatsTable[[#This Row],[GroupByKey]]),(DiscreteStatsTable[GroupByKey]=DiscreteStatsTable[[#This Row],[GroupByKey]])*DiscreteStatsTable[Average])),0)</f>
        <v>1.2976784780992308</v>
      </c>
      <c r="O386" cm="1">
        <f t="array" ref="O386">IFERROR(_xlfn.STDEV.S(IF((DiscreteStatsTable[GroupByKey]=DiscreteStatsTable[[#This Row],[GroupByKey]]),(DiscreteStatsTable[GroupByKey]=DiscreteStatsTable[[#This Row],[GroupByKey]])*DiscreteStatsTable[Average])),0)</f>
        <v>0.214255822712483</v>
      </c>
      <c r="P386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86" cm="1">
        <f t="array" ref="R386">MIN(IF((DiscreteStatsTable[GroupByKey]=DiscreteStatsTable[[#This Row],[GroupByKey]]),(DiscreteStatsTable[GroupByKey]=DiscreteStatsTable[[#This Row],[GroupByKey]])*DiscreteStatsTable[Average]))</f>
        <v>1.00825666115094</v>
      </c>
      <c r="S386" cm="1">
        <f t="array" ref="S386">MAX(IF((DiscreteStatsTable[GroupByKey]=DiscreteStatsTable[[#This Row],[GroupByKey]]),(DiscreteStatsTable[GroupByKey]=DiscreteStatsTable[[#This Row],[GroupByKey]])*DiscreteStatsTable[Average]))</f>
        <v>1.85589832994621</v>
      </c>
      <c r="T386" cm="1">
        <f t="array" ref="T386">MIN(IF((DiscreteStatsTable[GroupByKey]=DiscreteStatsTable[[#This Row],[GroupByKey]]),(DiscreteStatsTable[GroupByKey]=DiscreteStatsTable[[#This Row],[GroupByKey]])*DiscreteStatsTable[Minimum]))</f>
        <v>0.10260384490715101</v>
      </c>
      <c r="U386" cm="1">
        <f t="array" ref="U386">MAX(IF((DiscreteStatsTable[GroupByKey]=DiscreteStatsTable[[#This Row],[GroupByKey]]),(DiscreteStatsTable[GroupByKey]=DiscreteStatsTable[[#This Row],[GroupByKey]])*DiscreteStatsTable[Maximum]))</f>
        <v>29.378397097512401</v>
      </c>
      <c r="V386" cm="1">
        <f t="array" ref="V38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6">
        <f>IF((DiscreteStatsTable[[#This Row],[RepsRequested]]&gt;1),DiscreteStatsTable[[#This Row],[HalfWidth]],DiscreteStatsTable[[#This Row],[BatchMeansHalfWidth]])</f>
        <v>6.0890831086538234E-2</v>
      </c>
      <c r="X386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131</v>
      </c>
      <c r="C387">
        <v>29</v>
      </c>
      <c r="D387" t="s">
        <v>78</v>
      </c>
      <c r="E387" t="s">
        <v>81</v>
      </c>
      <c r="F387" t="s">
        <v>80</v>
      </c>
      <c r="G387">
        <v>0.48515963648757099</v>
      </c>
      <c r="H387">
        <v>9.90487419322926E-3</v>
      </c>
      <c r="I387">
        <v>0.105530923109313</v>
      </c>
      <c r="J387">
        <v>1.54368548908866</v>
      </c>
      <c r="K387">
        <v>2440</v>
      </c>
      <c r="L387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87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cm="1">
        <f t="array" ref="N387">IFERROR(AVERAGE(IF((DiscreteStatsTable[GroupByKey]=DiscreteStatsTable[[#This Row],[GroupByKey]]),(DiscreteStatsTable[GroupByKey]=DiscreteStatsTable[[#This Row],[GroupByKey]])*DiscreteStatsTable[Average])),0)</f>
        <v>0.49210501840783172</v>
      </c>
      <c r="O387" cm="1">
        <f t="array" ref="O387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87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87" cm="1">
        <f t="array" ref="R387">MIN(IF((DiscreteStatsTable[GroupByKey]=DiscreteStatsTable[[#This Row],[GroupByKey]]),(DiscreteStatsTable[GroupByKey]=DiscreteStatsTable[[#This Row],[GroupByKey]])*DiscreteStatsTable[Average]))</f>
        <v>0.481748748376016</v>
      </c>
      <c r="S387" cm="1">
        <f t="array" ref="S387">MAX(IF((DiscreteStatsTable[GroupByKey]=DiscreteStatsTable[[#This Row],[GroupByKey]]),(DiscreteStatsTable[GroupByKey]=DiscreteStatsTable[[#This Row],[GroupByKey]])*DiscreteStatsTable[Average]))</f>
        <v>0.50324408220295003</v>
      </c>
      <c r="T387" cm="1">
        <f t="array" ref="T387">MIN(IF((DiscreteStatsTable[GroupByKey]=DiscreteStatsTable[[#This Row],[GroupByKey]]),(DiscreteStatsTable[GroupByKey]=DiscreteStatsTable[[#This Row],[GroupByKey]])*DiscreteStatsTable[Minimum]))</f>
        <v>0.101748731497707</v>
      </c>
      <c r="U387" cm="1">
        <f t="array" ref="U387">MAX(IF((DiscreteStatsTable[GroupByKey]=DiscreteStatsTable[[#This Row],[GroupByKey]]),(DiscreteStatsTable[GroupByKey]=DiscreteStatsTable[[#This Row],[GroupByKey]])*DiscreteStatsTable[Maximum]))</f>
        <v>1.5939517145847</v>
      </c>
      <c r="V387" cm="1">
        <f t="array" ref="V38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7">
        <f>IF((DiscreteStatsTable[[#This Row],[RepsRequested]]&gt;1),DiscreteStatsTable[[#This Row],[HalfWidth]],DiscreteStatsTable[[#This Row],[BatchMeansHalfWidth]])</f>
        <v>1.3583273853576923E-3</v>
      </c>
      <c r="X387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131</v>
      </c>
      <c r="C388">
        <v>29</v>
      </c>
      <c r="D388" t="s">
        <v>78</v>
      </c>
      <c r="E388" t="s">
        <v>82</v>
      </c>
      <c r="F388" t="s">
        <v>80</v>
      </c>
      <c r="G388">
        <v>0.92877830601950195</v>
      </c>
      <c r="H388">
        <v>3E+20</v>
      </c>
      <c r="I388">
        <v>0</v>
      </c>
      <c r="J388">
        <v>22.5156669692396</v>
      </c>
      <c r="K388">
        <v>2440</v>
      </c>
      <c r="L388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88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cm="1">
        <f t="array" ref="N388">IFERROR(AVERAGE(IF((DiscreteStatsTable[GroupByKey]=DiscreteStatsTable[[#This Row],[GroupByKey]]),(DiscreteStatsTable[GroupByKey]=DiscreteStatsTable[[#This Row],[GroupByKey]])*DiscreteStatsTable[Average])),0)</f>
        <v>0.80557345969139849</v>
      </c>
      <c r="O388" cm="1">
        <f t="array" ref="O388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88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88" cm="1">
        <f t="array" ref="R388">MIN(IF((DiscreteStatsTable[GroupByKey]=DiscreteStatsTable[[#This Row],[GroupByKey]]),(DiscreteStatsTable[GroupByKey]=DiscreteStatsTable[[#This Row],[GroupByKey]])*DiscreteStatsTable[Average]))</f>
        <v>0.515986961752252</v>
      </c>
      <c r="S388" cm="1">
        <f t="array" ref="S388">MAX(IF((DiscreteStatsTable[GroupByKey]=DiscreteStatsTable[[#This Row],[GroupByKey]]),(DiscreteStatsTable[GroupByKey]=DiscreteStatsTable[[#This Row],[GroupByKey]])*DiscreteStatsTable[Average]))</f>
        <v>1.3542194698792001</v>
      </c>
      <c r="T388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cm="1">
        <f t="array" ref="U388">MAX(IF((DiscreteStatsTable[GroupByKey]=DiscreteStatsTable[[#This Row],[GroupByKey]]),(DiscreteStatsTable[GroupByKey]=DiscreteStatsTable[[#This Row],[GroupByKey]])*DiscreteStatsTable[Maximum]))</f>
        <v>28.983199492767199</v>
      </c>
      <c r="V388" cm="1">
        <f t="array" ref="V38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8">
        <f>IF((DiscreteStatsTable[[#This Row],[RepsRequested]]&gt;1),DiscreteStatsTable[[#This Row],[HalfWidth]],DiscreteStatsTable[[#This Row],[BatchMeansHalfWidth]])</f>
        <v>6.0520109610092528E-2</v>
      </c>
      <c r="X388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131</v>
      </c>
      <c r="C389">
        <v>30</v>
      </c>
      <c r="D389" t="s">
        <v>78</v>
      </c>
      <c r="E389" t="s">
        <v>79</v>
      </c>
      <c r="F389" t="s">
        <v>80</v>
      </c>
      <c r="G389">
        <v>1.53823683222807</v>
      </c>
      <c r="H389">
        <v>3E+20</v>
      </c>
      <c r="I389">
        <v>0.119994205039802</v>
      </c>
      <c r="J389">
        <v>19.3872452159872</v>
      </c>
      <c r="K389">
        <v>2416</v>
      </c>
      <c r="L389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89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cm="1">
        <f t="array" ref="N389">IFERROR(AVERAGE(IF((DiscreteStatsTable[GroupByKey]=DiscreteStatsTable[[#This Row],[GroupByKey]]),(DiscreteStatsTable[GroupByKey]=DiscreteStatsTable[[#This Row],[GroupByKey]])*DiscreteStatsTable[Average])),0)</f>
        <v>1.2976784780992308</v>
      </c>
      <c r="O389" cm="1">
        <f t="array" ref="O389">IFERROR(_xlfn.STDEV.S(IF((DiscreteStatsTable[GroupByKey]=DiscreteStatsTable[[#This Row],[GroupByKey]]),(DiscreteStatsTable[GroupByKey]=DiscreteStatsTable[[#This Row],[GroupByKey]])*DiscreteStatsTable[Average])),0)</f>
        <v>0.214255822712483</v>
      </c>
      <c r="P389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89" cm="1">
        <f t="array" ref="R389">MIN(IF((DiscreteStatsTable[GroupByKey]=DiscreteStatsTable[[#This Row],[GroupByKey]]),(DiscreteStatsTable[GroupByKey]=DiscreteStatsTable[[#This Row],[GroupByKey]])*DiscreteStatsTable[Average]))</f>
        <v>1.00825666115094</v>
      </c>
      <c r="S389" cm="1">
        <f t="array" ref="S389">MAX(IF((DiscreteStatsTable[GroupByKey]=DiscreteStatsTable[[#This Row],[GroupByKey]]),(DiscreteStatsTable[GroupByKey]=DiscreteStatsTable[[#This Row],[GroupByKey]])*DiscreteStatsTable[Average]))</f>
        <v>1.85589832994621</v>
      </c>
      <c r="T389" cm="1">
        <f t="array" ref="T389">MIN(IF((DiscreteStatsTable[GroupByKey]=DiscreteStatsTable[[#This Row],[GroupByKey]]),(DiscreteStatsTable[GroupByKey]=DiscreteStatsTable[[#This Row],[GroupByKey]])*DiscreteStatsTable[Minimum]))</f>
        <v>0.10260384490715101</v>
      </c>
      <c r="U389" cm="1">
        <f t="array" ref="U389">MAX(IF((DiscreteStatsTable[GroupByKey]=DiscreteStatsTable[[#This Row],[GroupByKey]]),(DiscreteStatsTable[GroupByKey]=DiscreteStatsTable[[#This Row],[GroupByKey]])*DiscreteStatsTable[Maximum]))</f>
        <v>29.378397097512401</v>
      </c>
      <c r="V389" cm="1">
        <f t="array" ref="V38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89">
        <f>IF((DiscreteStatsTable[[#This Row],[RepsRequested]]&gt;1),DiscreteStatsTable[[#This Row],[HalfWidth]],DiscreteStatsTable[[#This Row],[BatchMeansHalfWidth]])</f>
        <v>6.0890831086538234E-2</v>
      </c>
      <c r="X389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131</v>
      </c>
      <c r="C390">
        <v>30</v>
      </c>
      <c r="D390" t="s">
        <v>78</v>
      </c>
      <c r="E390" t="s">
        <v>81</v>
      </c>
      <c r="F390" t="s">
        <v>80</v>
      </c>
      <c r="G390">
        <v>0.49581014161320702</v>
      </c>
      <c r="H390">
        <v>1.28323205457256E-2</v>
      </c>
      <c r="I390">
        <v>0.111329442692977</v>
      </c>
      <c r="J390">
        <v>1.53916577788124</v>
      </c>
      <c r="K390">
        <v>2416</v>
      </c>
      <c r="L390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90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cm="1">
        <f t="array" ref="N390">IFERROR(AVERAGE(IF((DiscreteStatsTable[GroupByKey]=DiscreteStatsTable[[#This Row],[GroupByKey]]),(DiscreteStatsTable[GroupByKey]=DiscreteStatsTable[[#This Row],[GroupByKey]])*DiscreteStatsTable[Average])),0)</f>
        <v>0.49210501840783172</v>
      </c>
      <c r="O390" cm="1">
        <f t="array" ref="O390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90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90" cm="1">
        <f t="array" ref="R390">MIN(IF((DiscreteStatsTable[GroupByKey]=DiscreteStatsTable[[#This Row],[GroupByKey]]),(DiscreteStatsTable[GroupByKey]=DiscreteStatsTable[[#This Row],[GroupByKey]])*DiscreteStatsTable[Average]))</f>
        <v>0.481748748376016</v>
      </c>
      <c r="S390" cm="1">
        <f t="array" ref="S390">MAX(IF((DiscreteStatsTable[GroupByKey]=DiscreteStatsTable[[#This Row],[GroupByKey]]),(DiscreteStatsTable[GroupByKey]=DiscreteStatsTable[[#This Row],[GroupByKey]])*DiscreteStatsTable[Average]))</f>
        <v>0.50324408220295003</v>
      </c>
      <c r="T390" cm="1">
        <f t="array" ref="T390">MIN(IF((DiscreteStatsTable[GroupByKey]=DiscreteStatsTable[[#This Row],[GroupByKey]]),(DiscreteStatsTable[GroupByKey]=DiscreteStatsTable[[#This Row],[GroupByKey]])*DiscreteStatsTable[Minimum]))</f>
        <v>0.101748731497707</v>
      </c>
      <c r="U390" cm="1">
        <f t="array" ref="U390">MAX(IF((DiscreteStatsTable[GroupByKey]=DiscreteStatsTable[[#This Row],[GroupByKey]]),(DiscreteStatsTable[GroupByKey]=DiscreteStatsTable[[#This Row],[GroupByKey]])*DiscreteStatsTable[Maximum]))</f>
        <v>1.5939517145847</v>
      </c>
      <c r="V390" cm="1">
        <f t="array" ref="V39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0">
        <f>IF((DiscreteStatsTable[[#This Row],[RepsRequested]]&gt;1),DiscreteStatsTable[[#This Row],[HalfWidth]],DiscreteStatsTable[[#This Row],[BatchMeansHalfWidth]])</f>
        <v>1.3583273853576923E-3</v>
      </c>
      <c r="X390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131</v>
      </c>
      <c r="C391">
        <v>30</v>
      </c>
      <c r="D391" t="s">
        <v>78</v>
      </c>
      <c r="E391" t="s">
        <v>82</v>
      </c>
      <c r="F391" t="s">
        <v>80</v>
      </c>
      <c r="G391">
        <v>1.04242669061486</v>
      </c>
      <c r="H391">
        <v>3E+20</v>
      </c>
      <c r="I391">
        <v>0</v>
      </c>
      <c r="J391">
        <v>19.077497712210501</v>
      </c>
      <c r="K391">
        <v>2416</v>
      </c>
      <c r="L391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91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cm="1">
        <f t="array" ref="N391">IFERROR(AVERAGE(IF((DiscreteStatsTable[GroupByKey]=DiscreteStatsTable[[#This Row],[GroupByKey]]),(DiscreteStatsTable[GroupByKey]=DiscreteStatsTable[[#This Row],[GroupByKey]])*DiscreteStatsTable[Average])),0)</f>
        <v>0.80557345969139849</v>
      </c>
      <c r="O391" cm="1">
        <f t="array" ref="O391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91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91" cm="1">
        <f t="array" ref="R391">MIN(IF((DiscreteStatsTable[GroupByKey]=DiscreteStatsTable[[#This Row],[GroupByKey]]),(DiscreteStatsTable[GroupByKey]=DiscreteStatsTable[[#This Row],[GroupByKey]])*DiscreteStatsTable[Average]))</f>
        <v>0.515986961752252</v>
      </c>
      <c r="S391" cm="1">
        <f t="array" ref="S391">MAX(IF((DiscreteStatsTable[GroupByKey]=DiscreteStatsTable[[#This Row],[GroupByKey]]),(DiscreteStatsTable[GroupByKey]=DiscreteStatsTable[[#This Row],[GroupByKey]])*DiscreteStatsTable[Average]))</f>
        <v>1.3542194698792001</v>
      </c>
      <c r="T391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cm="1">
        <f t="array" ref="U391">MAX(IF((DiscreteStatsTable[GroupByKey]=DiscreteStatsTable[[#This Row],[GroupByKey]]),(DiscreteStatsTable[GroupByKey]=DiscreteStatsTable[[#This Row],[GroupByKey]])*DiscreteStatsTable[Maximum]))</f>
        <v>28.983199492767199</v>
      </c>
      <c r="V391" cm="1">
        <f t="array" ref="V39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1">
        <f>IF((DiscreteStatsTable[[#This Row],[RepsRequested]]&gt;1),DiscreteStatsTable[[#This Row],[HalfWidth]],DiscreteStatsTable[[#This Row],[BatchMeansHalfWidth]])</f>
        <v>6.0520109610092528E-2</v>
      </c>
      <c r="X391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131</v>
      </c>
      <c r="C392">
        <v>31</v>
      </c>
      <c r="D392" t="s">
        <v>78</v>
      </c>
      <c r="E392" t="s">
        <v>79</v>
      </c>
      <c r="F392" t="s">
        <v>80</v>
      </c>
      <c r="G392">
        <v>1.0173021698343501</v>
      </c>
      <c r="H392">
        <v>0.14409958937037801</v>
      </c>
      <c r="I392">
        <v>0.114973601562234</v>
      </c>
      <c r="J392">
        <v>9.8717069545815797</v>
      </c>
      <c r="K392">
        <v>2344</v>
      </c>
      <c r="L392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92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cm="1">
        <f t="array" ref="N392">IFERROR(AVERAGE(IF((DiscreteStatsTable[GroupByKey]=DiscreteStatsTable[[#This Row],[GroupByKey]]),(DiscreteStatsTable[GroupByKey]=DiscreteStatsTable[[#This Row],[GroupByKey]])*DiscreteStatsTable[Average])),0)</f>
        <v>1.2976784780992308</v>
      </c>
      <c r="O392" cm="1">
        <f t="array" ref="O392">IFERROR(_xlfn.STDEV.S(IF((DiscreteStatsTable[GroupByKey]=DiscreteStatsTable[[#This Row],[GroupByKey]]),(DiscreteStatsTable[GroupByKey]=DiscreteStatsTable[[#This Row],[GroupByKey]])*DiscreteStatsTable[Average])),0)</f>
        <v>0.214255822712483</v>
      </c>
      <c r="P392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92" cm="1">
        <f t="array" ref="R392">MIN(IF((DiscreteStatsTable[GroupByKey]=DiscreteStatsTable[[#This Row],[GroupByKey]]),(DiscreteStatsTable[GroupByKey]=DiscreteStatsTable[[#This Row],[GroupByKey]])*DiscreteStatsTable[Average]))</f>
        <v>1.00825666115094</v>
      </c>
      <c r="S392" cm="1">
        <f t="array" ref="S392">MAX(IF((DiscreteStatsTable[GroupByKey]=DiscreteStatsTable[[#This Row],[GroupByKey]]),(DiscreteStatsTable[GroupByKey]=DiscreteStatsTable[[#This Row],[GroupByKey]])*DiscreteStatsTable[Average]))</f>
        <v>1.85589832994621</v>
      </c>
      <c r="T392" cm="1">
        <f t="array" ref="T392">MIN(IF((DiscreteStatsTable[GroupByKey]=DiscreteStatsTable[[#This Row],[GroupByKey]]),(DiscreteStatsTable[GroupByKey]=DiscreteStatsTable[[#This Row],[GroupByKey]])*DiscreteStatsTable[Minimum]))</f>
        <v>0.10260384490715101</v>
      </c>
      <c r="U392" cm="1">
        <f t="array" ref="U392">MAX(IF((DiscreteStatsTable[GroupByKey]=DiscreteStatsTable[[#This Row],[GroupByKey]]),(DiscreteStatsTable[GroupByKey]=DiscreteStatsTable[[#This Row],[GroupByKey]])*DiscreteStatsTable[Maximum]))</f>
        <v>29.378397097512401</v>
      </c>
      <c r="V392" cm="1">
        <f t="array" ref="V39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2">
        <f>IF((DiscreteStatsTable[[#This Row],[RepsRequested]]&gt;1),DiscreteStatsTable[[#This Row],[HalfWidth]],DiscreteStatsTable[[#This Row],[BatchMeansHalfWidth]])</f>
        <v>6.0890831086538234E-2</v>
      </c>
      <c r="X392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131</v>
      </c>
      <c r="C393">
        <v>31</v>
      </c>
      <c r="D393" t="s">
        <v>78</v>
      </c>
      <c r="E393" t="s">
        <v>81</v>
      </c>
      <c r="F393" t="s">
        <v>80</v>
      </c>
      <c r="G393">
        <v>0.48860494314905201</v>
      </c>
      <c r="H393">
        <v>1.30734641174608E-2</v>
      </c>
      <c r="I393">
        <v>0.11273734085699499</v>
      </c>
      <c r="J393">
        <v>1.5279800180429099</v>
      </c>
      <c r="K393">
        <v>2344</v>
      </c>
      <c r="L393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93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cm="1">
        <f t="array" ref="N393">IFERROR(AVERAGE(IF((DiscreteStatsTable[GroupByKey]=DiscreteStatsTable[[#This Row],[GroupByKey]]),(DiscreteStatsTable[GroupByKey]=DiscreteStatsTable[[#This Row],[GroupByKey]])*DiscreteStatsTable[Average])),0)</f>
        <v>0.49210501840783172</v>
      </c>
      <c r="O393" cm="1">
        <f t="array" ref="O393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93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93" cm="1">
        <f t="array" ref="R393">MIN(IF((DiscreteStatsTable[GroupByKey]=DiscreteStatsTable[[#This Row],[GroupByKey]]),(DiscreteStatsTable[GroupByKey]=DiscreteStatsTable[[#This Row],[GroupByKey]])*DiscreteStatsTable[Average]))</f>
        <v>0.481748748376016</v>
      </c>
      <c r="S393" cm="1">
        <f t="array" ref="S393">MAX(IF((DiscreteStatsTable[GroupByKey]=DiscreteStatsTable[[#This Row],[GroupByKey]]),(DiscreteStatsTable[GroupByKey]=DiscreteStatsTable[[#This Row],[GroupByKey]])*DiscreteStatsTable[Average]))</f>
        <v>0.50324408220295003</v>
      </c>
      <c r="T393" cm="1">
        <f t="array" ref="T393">MIN(IF((DiscreteStatsTable[GroupByKey]=DiscreteStatsTable[[#This Row],[GroupByKey]]),(DiscreteStatsTable[GroupByKey]=DiscreteStatsTable[[#This Row],[GroupByKey]])*DiscreteStatsTable[Minimum]))</f>
        <v>0.101748731497707</v>
      </c>
      <c r="U393" cm="1">
        <f t="array" ref="U393">MAX(IF((DiscreteStatsTable[GroupByKey]=DiscreteStatsTable[[#This Row],[GroupByKey]]),(DiscreteStatsTable[GroupByKey]=DiscreteStatsTable[[#This Row],[GroupByKey]])*DiscreteStatsTable[Maximum]))</f>
        <v>1.5939517145847</v>
      </c>
      <c r="V393" cm="1">
        <f t="array" ref="V39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3">
        <f>IF((DiscreteStatsTable[[#This Row],[RepsRequested]]&gt;1),DiscreteStatsTable[[#This Row],[HalfWidth]],DiscreteStatsTable[[#This Row],[BatchMeansHalfWidth]])</f>
        <v>1.3583273853576923E-3</v>
      </c>
      <c r="X393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131</v>
      </c>
      <c r="C394">
        <v>31</v>
      </c>
      <c r="D394" t="s">
        <v>78</v>
      </c>
      <c r="E394" t="s">
        <v>82</v>
      </c>
      <c r="F394" t="s">
        <v>80</v>
      </c>
      <c r="G394">
        <v>0.52869722668530195</v>
      </c>
      <c r="H394">
        <v>0.14086995710959499</v>
      </c>
      <c r="I394">
        <v>0</v>
      </c>
      <c r="J394">
        <v>9.5695252275513099</v>
      </c>
      <c r="K394">
        <v>2344</v>
      </c>
      <c r="L394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94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cm="1">
        <f t="array" ref="N394">IFERROR(AVERAGE(IF((DiscreteStatsTable[GroupByKey]=DiscreteStatsTable[[#This Row],[GroupByKey]]),(DiscreteStatsTable[GroupByKey]=DiscreteStatsTable[[#This Row],[GroupByKey]])*DiscreteStatsTable[Average])),0)</f>
        <v>0.80557345969139849</v>
      </c>
      <c r="O394" cm="1">
        <f t="array" ref="O394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94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94" cm="1">
        <f t="array" ref="R394">MIN(IF((DiscreteStatsTable[GroupByKey]=DiscreteStatsTable[[#This Row],[GroupByKey]]),(DiscreteStatsTable[GroupByKey]=DiscreteStatsTable[[#This Row],[GroupByKey]])*DiscreteStatsTable[Average]))</f>
        <v>0.515986961752252</v>
      </c>
      <c r="S394" cm="1">
        <f t="array" ref="S394">MAX(IF((DiscreteStatsTable[GroupByKey]=DiscreteStatsTable[[#This Row],[GroupByKey]]),(DiscreteStatsTable[GroupByKey]=DiscreteStatsTable[[#This Row],[GroupByKey]])*DiscreteStatsTable[Average]))</f>
        <v>1.3542194698792001</v>
      </c>
      <c r="T394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cm="1">
        <f t="array" ref="U394">MAX(IF((DiscreteStatsTable[GroupByKey]=DiscreteStatsTable[[#This Row],[GroupByKey]]),(DiscreteStatsTable[GroupByKey]=DiscreteStatsTable[[#This Row],[GroupByKey]])*DiscreteStatsTable[Maximum]))</f>
        <v>28.983199492767199</v>
      </c>
      <c r="V394" cm="1">
        <f t="array" ref="V39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4">
        <f>IF((DiscreteStatsTable[[#This Row],[RepsRequested]]&gt;1),DiscreteStatsTable[[#This Row],[HalfWidth]],DiscreteStatsTable[[#This Row],[BatchMeansHalfWidth]])</f>
        <v>6.0520109610092528E-2</v>
      </c>
      <c r="X394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131</v>
      </c>
      <c r="C395">
        <v>32</v>
      </c>
      <c r="D395" t="s">
        <v>78</v>
      </c>
      <c r="E395" t="s">
        <v>79</v>
      </c>
      <c r="F395" t="s">
        <v>80</v>
      </c>
      <c r="G395">
        <v>1.08151987755123</v>
      </c>
      <c r="H395">
        <v>0.14995567282713801</v>
      </c>
      <c r="I395">
        <v>0.11571373582137</v>
      </c>
      <c r="J395">
        <v>11.586482176075</v>
      </c>
      <c r="K395">
        <v>2331</v>
      </c>
      <c r="L395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9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cm="1">
        <f t="array" ref="N395">IFERROR(AVERAGE(IF((DiscreteStatsTable[GroupByKey]=DiscreteStatsTable[[#This Row],[GroupByKey]]),(DiscreteStatsTable[GroupByKey]=DiscreteStatsTable[[#This Row],[GroupByKey]])*DiscreteStatsTable[Average])),0)</f>
        <v>1.2976784780992308</v>
      </c>
      <c r="O395" cm="1">
        <f t="array" ref="O395">IFERROR(_xlfn.STDEV.S(IF((DiscreteStatsTable[GroupByKey]=DiscreteStatsTable[[#This Row],[GroupByKey]]),(DiscreteStatsTable[GroupByKey]=DiscreteStatsTable[[#This Row],[GroupByKey]])*DiscreteStatsTable[Average])),0)</f>
        <v>0.214255822712483</v>
      </c>
      <c r="P39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95" cm="1">
        <f t="array" ref="R395">MIN(IF((DiscreteStatsTable[GroupByKey]=DiscreteStatsTable[[#This Row],[GroupByKey]]),(DiscreteStatsTable[GroupByKey]=DiscreteStatsTable[[#This Row],[GroupByKey]])*DiscreteStatsTable[Average]))</f>
        <v>1.00825666115094</v>
      </c>
      <c r="S395" cm="1">
        <f t="array" ref="S395">MAX(IF((DiscreteStatsTable[GroupByKey]=DiscreteStatsTable[[#This Row],[GroupByKey]]),(DiscreteStatsTable[GroupByKey]=DiscreteStatsTable[[#This Row],[GroupByKey]])*DiscreteStatsTable[Average]))</f>
        <v>1.85589832994621</v>
      </c>
      <c r="T395" cm="1">
        <f t="array" ref="T395">MIN(IF((DiscreteStatsTable[GroupByKey]=DiscreteStatsTable[[#This Row],[GroupByKey]]),(DiscreteStatsTable[GroupByKey]=DiscreteStatsTable[[#This Row],[GroupByKey]])*DiscreteStatsTable[Minimum]))</f>
        <v>0.10260384490715101</v>
      </c>
      <c r="U395" cm="1">
        <f t="array" ref="U395">MAX(IF((DiscreteStatsTable[GroupByKey]=DiscreteStatsTable[[#This Row],[GroupByKey]]),(DiscreteStatsTable[GroupByKey]=DiscreteStatsTable[[#This Row],[GroupByKey]])*DiscreteStatsTable[Maximum]))</f>
        <v>29.378397097512401</v>
      </c>
      <c r="V395" cm="1">
        <f t="array" ref="V39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5">
        <f>IF((DiscreteStatsTable[[#This Row],[RepsRequested]]&gt;1),DiscreteStatsTable[[#This Row],[HalfWidth]],DiscreteStatsTable[[#This Row],[BatchMeansHalfWidth]])</f>
        <v>6.0890831086538234E-2</v>
      </c>
      <c r="X39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131</v>
      </c>
      <c r="C396">
        <v>32</v>
      </c>
      <c r="D396" t="s">
        <v>78</v>
      </c>
      <c r="E396" t="s">
        <v>81</v>
      </c>
      <c r="F396" t="s">
        <v>80</v>
      </c>
      <c r="G396">
        <v>0.50324408220295003</v>
      </c>
      <c r="H396">
        <v>1.37785959286314E-2</v>
      </c>
      <c r="I396">
        <v>0.114048332776491</v>
      </c>
      <c r="J396">
        <v>1.5496264333860099</v>
      </c>
      <c r="K396">
        <v>2331</v>
      </c>
      <c r="L396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96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cm="1">
        <f t="array" ref="N396">IFERROR(AVERAGE(IF((DiscreteStatsTable[GroupByKey]=DiscreteStatsTable[[#This Row],[GroupByKey]]),(DiscreteStatsTable[GroupByKey]=DiscreteStatsTable[[#This Row],[GroupByKey]])*DiscreteStatsTable[Average])),0)</f>
        <v>0.49210501840783172</v>
      </c>
      <c r="O396" cm="1">
        <f t="array" ref="O396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96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96" cm="1">
        <f t="array" ref="R396">MIN(IF((DiscreteStatsTable[GroupByKey]=DiscreteStatsTable[[#This Row],[GroupByKey]]),(DiscreteStatsTable[GroupByKey]=DiscreteStatsTable[[#This Row],[GroupByKey]])*DiscreteStatsTable[Average]))</f>
        <v>0.481748748376016</v>
      </c>
      <c r="S396" cm="1">
        <f t="array" ref="S396">MAX(IF((DiscreteStatsTable[GroupByKey]=DiscreteStatsTable[[#This Row],[GroupByKey]]),(DiscreteStatsTable[GroupByKey]=DiscreteStatsTable[[#This Row],[GroupByKey]])*DiscreteStatsTable[Average]))</f>
        <v>0.50324408220295003</v>
      </c>
      <c r="T396" cm="1">
        <f t="array" ref="T396">MIN(IF((DiscreteStatsTable[GroupByKey]=DiscreteStatsTable[[#This Row],[GroupByKey]]),(DiscreteStatsTable[GroupByKey]=DiscreteStatsTable[[#This Row],[GroupByKey]])*DiscreteStatsTable[Minimum]))</f>
        <v>0.101748731497707</v>
      </c>
      <c r="U396" cm="1">
        <f t="array" ref="U396">MAX(IF((DiscreteStatsTable[GroupByKey]=DiscreteStatsTable[[#This Row],[GroupByKey]]),(DiscreteStatsTable[GroupByKey]=DiscreteStatsTable[[#This Row],[GroupByKey]])*DiscreteStatsTable[Maximum]))</f>
        <v>1.5939517145847</v>
      </c>
      <c r="V396" cm="1">
        <f t="array" ref="V39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6">
        <f>IF((DiscreteStatsTable[[#This Row],[RepsRequested]]&gt;1),DiscreteStatsTable[[#This Row],[HalfWidth]],DiscreteStatsTable[[#This Row],[BatchMeansHalfWidth]])</f>
        <v>1.3583273853576923E-3</v>
      </c>
      <c r="X396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131</v>
      </c>
      <c r="C397">
        <v>32</v>
      </c>
      <c r="D397" t="s">
        <v>78</v>
      </c>
      <c r="E397" t="s">
        <v>82</v>
      </c>
      <c r="F397" t="s">
        <v>80</v>
      </c>
      <c r="G397">
        <v>0.578275795348282</v>
      </c>
      <c r="H397">
        <v>0.14714700625664101</v>
      </c>
      <c r="I397">
        <v>0</v>
      </c>
      <c r="J397">
        <v>11.228891736928199</v>
      </c>
      <c r="K397">
        <v>2331</v>
      </c>
      <c r="L397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397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cm="1">
        <f t="array" ref="N397">IFERROR(AVERAGE(IF((DiscreteStatsTable[GroupByKey]=DiscreteStatsTable[[#This Row],[GroupByKey]]),(DiscreteStatsTable[GroupByKey]=DiscreteStatsTable[[#This Row],[GroupByKey]])*DiscreteStatsTable[Average])),0)</f>
        <v>0.80557345969139849</v>
      </c>
      <c r="O397" cm="1">
        <f t="array" ref="O397">IFERROR(_xlfn.STDEV.S(IF((DiscreteStatsTable[GroupByKey]=DiscreteStatsTable[[#This Row],[GroupByKey]]),(DiscreteStatsTable[GroupByKey]=DiscreteStatsTable[[#This Row],[GroupByKey]])*DiscreteStatsTable[Average])),0)</f>
        <v>0.21295136958685271</v>
      </c>
      <c r="P397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397" cm="1">
        <f t="array" ref="R397">MIN(IF((DiscreteStatsTable[GroupByKey]=DiscreteStatsTable[[#This Row],[GroupByKey]]),(DiscreteStatsTable[GroupByKey]=DiscreteStatsTable[[#This Row],[GroupByKey]])*DiscreteStatsTable[Average]))</f>
        <v>0.515986961752252</v>
      </c>
      <c r="S397" cm="1">
        <f t="array" ref="S397">MAX(IF((DiscreteStatsTable[GroupByKey]=DiscreteStatsTable[[#This Row],[GroupByKey]]),(DiscreteStatsTable[GroupByKey]=DiscreteStatsTable[[#This Row],[GroupByKey]])*DiscreteStatsTable[Average]))</f>
        <v>1.3542194698792001</v>
      </c>
      <c r="T397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cm="1">
        <f t="array" ref="U397">MAX(IF((DiscreteStatsTable[GroupByKey]=DiscreteStatsTable[[#This Row],[GroupByKey]]),(DiscreteStatsTable[GroupByKey]=DiscreteStatsTable[[#This Row],[GroupByKey]])*DiscreteStatsTable[Maximum]))</f>
        <v>28.983199492767199</v>
      </c>
      <c r="V397" cm="1">
        <f t="array" ref="V39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7">
        <f>IF((DiscreteStatsTable[[#This Row],[RepsRequested]]&gt;1),DiscreteStatsTable[[#This Row],[HalfWidth]],DiscreteStatsTable[[#This Row],[BatchMeansHalfWidth]])</f>
        <v>6.0520109610092528E-2</v>
      </c>
      <c r="X397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131</v>
      </c>
      <c r="C398">
        <v>33</v>
      </c>
      <c r="D398" t="s">
        <v>78</v>
      </c>
      <c r="E398" t="s">
        <v>79</v>
      </c>
      <c r="F398" t="s">
        <v>80</v>
      </c>
      <c r="G398">
        <v>1.1932702387123</v>
      </c>
      <c r="H398">
        <v>0.18207030940983401</v>
      </c>
      <c r="I398">
        <v>0.11517131210001701</v>
      </c>
      <c r="J398">
        <v>10.2918185996344</v>
      </c>
      <c r="K398">
        <v>2414</v>
      </c>
      <c r="L398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398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cm="1">
        <f t="array" ref="N398">IFERROR(AVERAGE(IF((DiscreteStatsTable[GroupByKey]=DiscreteStatsTable[[#This Row],[GroupByKey]]),(DiscreteStatsTable[GroupByKey]=DiscreteStatsTable[[#This Row],[GroupByKey]])*DiscreteStatsTable[Average])),0)</f>
        <v>1.2976784780992308</v>
      </c>
      <c r="O398" cm="1">
        <f t="array" ref="O398">IFERROR(_xlfn.STDEV.S(IF((DiscreteStatsTable[GroupByKey]=DiscreteStatsTable[[#This Row],[GroupByKey]]),(DiscreteStatsTable[GroupByKey]=DiscreteStatsTable[[#This Row],[GroupByKey]])*DiscreteStatsTable[Average])),0)</f>
        <v>0.214255822712483</v>
      </c>
      <c r="P398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398" cm="1">
        <f t="array" ref="R398">MIN(IF((DiscreteStatsTable[GroupByKey]=DiscreteStatsTable[[#This Row],[GroupByKey]]),(DiscreteStatsTable[GroupByKey]=DiscreteStatsTable[[#This Row],[GroupByKey]])*DiscreteStatsTable[Average]))</f>
        <v>1.00825666115094</v>
      </c>
      <c r="S398" cm="1">
        <f t="array" ref="S398">MAX(IF((DiscreteStatsTable[GroupByKey]=DiscreteStatsTable[[#This Row],[GroupByKey]]),(DiscreteStatsTable[GroupByKey]=DiscreteStatsTable[[#This Row],[GroupByKey]])*DiscreteStatsTable[Average]))</f>
        <v>1.85589832994621</v>
      </c>
      <c r="T398" cm="1">
        <f t="array" ref="T398">MIN(IF((DiscreteStatsTable[GroupByKey]=DiscreteStatsTable[[#This Row],[GroupByKey]]),(DiscreteStatsTable[GroupByKey]=DiscreteStatsTable[[#This Row],[GroupByKey]])*DiscreteStatsTable[Minimum]))</f>
        <v>0.10260384490715101</v>
      </c>
      <c r="U398" cm="1">
        <f t="array" ref="U398">MAX(IF((DiscreteStatsTable[GroupByKey]=DiscreteStatsTable[[#This Row],[GroupByKey]]),(DiscreteStatsTable[GroupByKey]=DiscreteStatsTable[[#This Row],[GroupByKey]])*DiscreteStatsTable[Maximum]))</f>
        <v>29.378397097512401</v>
      </c>
      <c r="V398" cm="1">
        <f t="array" ref="V39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8">
        <f>IF((DiscreteStatsTable[[#This Row],[RepsRequested]]&gt;1),DiscreteStatsTable[[#This Row],[HalfWidth]],DiscreteStatsTable[[#This Row],[BatchMeansHalfWidth]])</f>
        <v>6.0890831086538234E-2</v>
      </c>
      <c r="X398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131</v>
      </c>
      <c r="C399">
        <v>33</v>
      </c>
      <c r="D399" t="s">
        <v>78</v>
      </c>
      <c r="E399" t="s">
        <v>81</v>
      </c>
      <c r="F399" t="s">
        <v>80</v>
      </c>
      <c r="G399">
        <v>0.49329248165362799</v>
      </c>
      <c r="H399">
        <v>1.20114404451361E-2</v>
      </c>
      <c r="I399">
        <v>0.109106623355501</v>
      </c>
      <c r="J399">
        <v>1.5134749540174</v>
      </c>
      <c r="K399">
        <v>2414</v>
      </c>
      <c r="L399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399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cm="1">
        <f t="array" ref="N399">IFERROR(AVERAGE(IF((DiscreteStatsTable[GroupByKey]=DiscreteStatsTable[[#This Row],[GroupByKey]]),(DiscreteStatsTable[GroupByKey]=DiscreteStatsTable[[#This Row],[GroupByKey]])*DiscreteStatsTable[Average])),0)</f>
        <v>0.49210501840783172</v>
      </c>
      <c r="O399" cm="1">
        <f t="array" ref="O399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399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399" cm="1">
        <f t="array" ref="R399">MIN(IF((DiscreteStatsTable[GroupByKey]=DiscreteStatsTable[[#This Row],[GroupByKey]]),(DiscreteStatsTable[GroupByKey]=DiscreteStatsTable[[#This Row],[GroupByKey]])*DiscreteStatsTable[Average]))</f>
        <v>0.481748748376016</v>
      </c>
      <c r="S399" cm="1">
        <f t="array" ref="S399">MAX(IF((DiscreteStatsTable[GroupByKey]=DiscreteStatsTable[[#This Row],[GroupByKey]]),(DiscreteStatsTable[GroupByKey]=DiscreteStatsTable[[#This Row],[GroupByKey]])*DiscreteStatsTable[Average]))</f>
        <v>0.50324408220295003</v>
      </c>
      <c r="T399" cm="1">
        <f t="array" ref="T399">MIN(IF((DiscreteStatsTable[GroupByKey]=DiscreteStatsTable[[#This Row],[GroupByKey]]),(DiscreteStatsTable[GroupByKey]=DiscreteStatsTable[[#This Row],[GroupByKey]])*DiscreteStatsTable[Minimum]))</f>
        <v>0.101748731497707</v>
      </c>
      <c r="U399" cm="1">
        <f t="array" ref="U399">MAX(IF((DiscreteStatsTable[GroupByKey]=DiscreteStatsTable[[#This Row],[GroupByKey]]),(DiscreteStatsTable[GroupByKey]=DiscreteStatsTable[[#This Row],[GroupByKey]])*DiscreteStatsTable[Maximum]))</f>
        <v>1.5939517145847</v>
      </c>
      <c r="V399" cm="1">
        <f t="array" ref="V39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399">
        <f>IF((DiscreteStatsTable[[#This Row],[RepsRequested]]&gt;1),DiscreteStatsTable[[#This Row],[HalfWidth]],DiscreteStatsTable[[#This Row],[BatchMeansHalfWidth]])</f>
        <v>1.3583273853576923E-3</v>
      </c>
      <c r="X399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131</v>
      </c>
      <c r="C400">
        <v>33</v>
      </c>
      <c r="D400" t="s">
        <v>78</v>
      </c>
      <c r="E400" t="s">
        <v>82</v>
      </c>
      <c r="F400" t="s">
        <v>80</v>
      </c>
      <c r="G400">
        <v>0.69997775705867404</v>
      </c>
      <c r="H400">
        <v>0.17688966272735299</v>
      </c>
      <c r="I400">
        <v>0</v>
      </c>
      <c r="J400">
        <v>10.0353186465625</v>
      </c>
      <c r="K400">
        <v>2414</v>
      </c>
      <c r="L400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00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cm="1">
        <f t="array" ref="N400">IFERROR(AVERAGE(IF((DiscreteStatsTable[GroupByKey]=DiscreteStatsTable[[#This Row],[GroupByKey]]),(DiscreteStatsTable[GroupByKey]=DiscreteStatsTable[[#This Row],[GroupByKey]])*DiscreteStatsTable[Average])),0)</f>
        <v>0.80557345969139849</v>
      </c>
      <c r="O400" cm="1">
        <f t="array" ref="O400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00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00" cm="1">
        <f t="array" ref="R400">MIN(IF((DiscreteStatsTable[GroupByKey]=DiscreteStatsTable[[#This Row],[GroupByKey]]),(DiscreteStatsTable[GroupByKey]=DiscreteStatsTable[[#This Row],[GroupByKey]])*DiscreteStatsTable[Average]))</f>
        <v>0.515986961752252</v>
      </c>
      <c r="S400" cm="1">
        <f t="array" ref="S400">MAX(IF((DiscreteStatsTable[GroupByKey]=DiscreteStatsTable[[#This Row],[GroupByKey]]),(DiscreteStatsTable[GroupByKey]=DiscreteStatsTable[[#This Row],[GroupByKey]])*DiscreteStatsTable[Average]))</f>
        <v>1.3542194698792001</v>
      </c>
      <c r="T400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cm="1">
        <f t="array" ref="U400">MAX(IF((DiscreteStatsTable[GroupByKey]=DiscreteStatsTable[[#This Row],[GroupByKey]]),(DiscreteStatsTable[GroupByKey]=DiscreteStatsTable[[#This Row],[GroupByKey]])*DiscreteStatsTable[Maximum]))</f>
        <v>28.983199492767199</v>
      </c>
      <c r="V400" cm="1">
        <f t="array" ref="V40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0">
        <f>IF((DiscreteStatsTable[[#This Row],[RepsRequested]]&gt;1),DiscreteStatsTable[[#This Row],[HalfWidth]],DiscreteStatsTable[[#This Row],[BatchMeansHalfWidth]])</f>
        <v>6.0520109610092528E-2</v>
      </c>
      <c r="X400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131</v>
      </c>
      <c r="C401">
        <v>34</v>
      </c>
      <c r="D401" t="s">
        <v>78</v>
      </c>
      <c r="E401" t="s">
        <v>79</v>
      </c>
      <c r="F401" t="s">
        <v>80</v>
      </c>
      <c r="G401">
        <v>1.26188435750314</v>
      </c>
      <c r="H401">
        <v>0.27250329263976197</v>
      </c>
      <c r="I401">
        <v>0.13444790855368199</v>
      </c>
      <c r="J401">
        <v>17.421996884329701</v>
      </c>
      <c r="K401">
        <v>2412</v>
      </c>
      <c r="L401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01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cm="1">
        <f t="array" ref="N401">IFERROR(AVERAGE(IF((DiscreteStatsTable[GroupByKey]=DiscreteStatsTable[[#This Row],[GroupByKey]]),(DiscreteStatsTable[GroupByKey]=DiscreteStatsTable[[#This Row],[GroupByKey]])*DiscreteStatsTable[Average])),0)</f>
        <v>1.2976784780992308</v>
      </c>
      <c r="O401" cm="1">
        <f t="array" ref="O401">IFERROR(_xlfn.STDEV.S(IF((DiscreteStatsTable[GroupByKey]=DiscreteStatsTable[[#This Row],[GroupByKey]]),(DiscreteStatsTable[GroupByKey]=DiscreteStatsTable[[#This Row],[GroupByKey]])*DiscreteStatsTable[Average])),0)</f>
        <v>0.214255822712483</v>
      </c>
      <c r="P401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01" cm="1">
        <f t="array" ref="R401">MIN(IF((DiscreteStatsTable[GroupByKey]=DiscreteStatsTable[[#This Row],[GroupByKey]]),(DiscreteStatsTable[GroupByKey]=DiscreteStatsTable[[#This Row],[GroupByKey]])*DiscreteStatsTable[Average]))</f>
        <v>1.00825666115094</v>
      </c>
      <c r="S401" cm="1">
        <f t="array" ref="S401">MAX(IF((DiscreteStatsTable[GroupByKey]=DiscreteStatsTable[[#This Row],[GroupByKey]]),(DiscreteStatsTable[GroupByKey]=DiscreteStatsTable[[#This Row],[GroupByKey]])*DiscreteStatsTable[Average]))</f>
        <v>1.85589832994621</v>
      </c>
      <c r="T401" cm="1">
        <f t="array" ref="T401">MIN(IF((DiscreteStatsTable[GroupByKey]=DiscreteStatsTable[[#This Row],[GroupByKey]]),(DiscreteStatsTable[GroupByKey]=DiscreteStatsTable[[#This Row],[GroupByKey]])*DiscreteStatsTable[Minimum]))</f>
        <v>0.10260384490715101</v>
      </c>
      <c r="U401" cm="1">
        <f t="array" ref="U401">MAX(IF((DiscreteStatsTable[GroupByKey]=DiscreteStatsTable[[#This Row],[GroupByKey]]),(DiscreteStatsTable[GroupByKey]=DiscreteStatsTable[[#This Row],[GroupByKey]])*DiscreteStatsTable[Maximum]))</f>
        <v>29.378397097512401</v>
      </c>
      <c r="V401" cm="1">
        <f t="array" ref="V40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1">
        <f>IF((DiscreteStatsTable[[#This Row],[RepsRequested]]&gt;1),DiscreteStatsTable[[#This Row],[HalfWidth]],DiscreteStatsTable[[#This Row],[BatchMeansHalfWidth]])</f>
        <v>6.0890831086538234E-2</v>
      </c>
      <c r="X401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131</v>
      </c>
      <c r="C402">
        <v>34</v>
      </c>
      <c r="D402" t="s">
        <v>78</v>
      </c>
      <c r="E402" t="s">
        <v>81</v>
      </c>
      <c r="F402" t="s">
        <v>80</v>
      </c>
      <c r="G402">
        <v>0.49020679298945702</v>
      </c>
      <c r="H402">
        <v>1.3564869243588301E-2</v>
      </c>
      <c r="I402">
        <v>0.12007678785829499</v>
      </c>
      <c r="J402">
        <v>1.5809501284135199</v>
      </c>
      <c r="K402">
        <v>2412</v>
      </c>
      <c r="L402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02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cm="1">
        <f t="array" ref="N402">IFERROR(AVERAGE(IF((DiscreteStatsTable[GroupByKey]=DiscreteStatsTable[[#This Row],[GroupByKey]]),(DiscreteStatsTable[GroupByKey]=DiscreteStatsTable[[#This Row],[GroupByKey]])*DiscreteStatsTable[Average])),0)</f>
        <v>0.49210501840783172</v>
      </c>
      <c r="O402" cm="1">
        <f t="array" ref="O402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02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02" cm="1">
        <f t="array" ref="R402">MIN(IF((DiscreteStatsTable[GroupByKey]=DiscreteStatsTable[[#This Row],[GroupByKey]]),(DiscreteStatsTable[GroupByKey]=DiscreteStatsTable[[#This Row],[GroupByKey]])*DiscreteStatsTable[Average]))</f>
        <v>0.481748748376016</v>
      </c>
      <c r="S402" cm="1">
        <f t="array" ref="S402">MAX(IF((DiscreteStatsTable[GroupByKey]=DiscreteStatsTable[[#This Row],[GroupByKey]]),(DiscreteStatsTable[GroupByKey]=DiscreteStatsTable[[#This Row],[GroupByKey]])*DiscreteStatsTable[Average]))</f>
        <v>0.50324408220295003</v>
      </c>
      <c r="T402" cm="1">
        <f t="array" ref="T402">MIN(IF((DiscreteStatsTable[GroupByKey]=DiscreteStatsTable[[#This Row],[GroupByKey]]),(DiscreteStatsTable[GroupByKey]=DiscreteStatsTable[[#This Row],[GroupByKey]])*DiscreteStatsTable[Minimum]))</f>
        <v>0.101748731497707</v>
      </c>
      <c r="U402" cm="1">
        <f t="array" ref="U402">MAX(IF((DiscreteStatsTable[GroupByKey]=DiscreteStatsTable[[#This Row],[GroupByKey]]),(DiscreteStatsTable[GroupByKey]=DiscreteStatsTable[[#This Row],[GroupByKey]])*DiscreteStatsTable[Maximum]))</f>
        <v>1.5939517145847</v>
      </c>
      <c r="V402" cm="1">
        <f t="array" ref="V40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2">
        <f>IF((DiscreteStatsTable[[#This Row],[RepsRequested]]&gt;1),DiscreteStatsTable[[#This Row],[HalfWidth]],DiscreteStatsTable[[#This Row],[BatchMeansHalfWidth]])</f>
        <v>1.3583273853576923E-3</v>
      </c>
      <c r="X402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131</v>
      </c>
      <c r="C403">
        <v>34</v>
      </c>
      <c r="D403" t="s">
        <v>78</v>
      </c>
      <c r="E403" t="s">
        <v>82</v>
      </c>
      <c r="F403" t="s">
        <v>80</v>
      </c>
      <c r="G403">
        <v>0.77167756451367997</v>
      </c>
      <c r="H403">
        <v>0.27033499414891199</v>
      </c>
      <c r="I403">
        <v>0</v>
      </c>
      <c r="J403">
        <v>17.1306313892748</v>
      </c>
      <c r="K403">
        <v>2412</v>
      </c>
      <c r="L403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03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cm="1">
        <f t="array" ref="N403">IFERROR(AVERAGE(IF((DiscreteStatsTable[GroupByKey]=DiscreteStatsTable[[#This Row],[GroupByKey]]),(DiscreteStatsTable[GroupByKey]=DiscreteStatsTable[[#This Row],[GroupByKey]])*DiscreteStatsTable[Average])),0)</f>
        <v>0.80557345969139849</v>
      </c>
      <c r="O403" cm="1">
        <f t="array" ref="O403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03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03" cm="1">
        <f t="array" ref="R403">MIN(IF((DiscreteStatsTable[GroupByKey]=DiscreteStatsTable[[#This Row],[GroupByKey]]),(DiscreteStatsTable[GroupByKey]=DiscreteStatsTable[[#This Row],[GroupByKey]])*DiscreteStatsTable[Average]))</f>
        <v>0.515986961752252</v>
      </c>
      <c r="S403" cm="1">
        <f t="array" ref="S403">MAX(IF((DiscreteStatsTable[GroupByKey]=DiscreteStatsTable[[#This Row],[GroupByKey]]),(DiscreteStatsTable[GroupByKey]=DiscreteStatsTable[[#This Row],[GroupByKey]])*DiscreteStatsTable[Average]))</f>
        <v>1.3542194698792001</v>
      </c>
      <c r="T403" cm="1">
        <f t="array" ref="T403">MIN(IF((DiscreteStatsTable[GroupByKey]=DiscreteStatsTable[[#This Row],[GroupByKey]]),(DiscreteStatsTable[GroupByKey]=DiscreteStatsTable[[#This Row],[GroupByKey]])*DiscreteStatsTable[Minimum]))</f>
        <v>0</v>
      </c>
      <c r="U403" cm="1">
        <f t="array" ref="U403">MAX(IF((DiscreteStatsTable[GroupByKey]=DiscreteStatsTable[[#This Row],[GroupByKey]]),(DiscreteStatsTable[GroupByKey]=DiscreteStatsTable[[#This Row],[GroupByKey]])*DiscreteStatsTable[Maximum]))</f>
        <v>28.983199492767199</v>
      </c>
      <c r="V403" cm="1">
        <f t="array" ref="V40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3">
        <f>IF((DiscreteStatsTable[[#This Row],[RepsRequested]]&gt;1),DiscreteStatsTable[[#This Row],[HalfWidth]],DiscreteStatsTable[[#This Row],[BatchMeansHalfWidth]])</f>
        <v>6.0520109610092528E-2</v>
      </c>
      <c r="X403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131</v>
      </c>
      <c r="C404">
        <v>35</v>
      </c>
      <c r="D404" t="s">
        <v>78</v>
      </c>
      <c r="E404" t="s">
        <v>79</v>
      </c>
      <c r="F404" t="s">
        <v>80</v>
      </c>
      <c r="G404">
        <v>1.1593368122129599</v>
      </c>
      <c r="H404">
        <v>0.19012712983261201</v>
      </c>
      <c r="I404">
        <v>0.114013169610388</v>
      </c>
      <c r="J404">
        <v>13.6179752800294</v>
      </c>
      <c r="K404">
        <v>2436</v>
      </c>
      <c r="L404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04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cm="1">
        <f t="array" ref="N404">IFERROR(AVERAGE(IF((DiscreteStatsTable[GroupByKey]=DiscreteStatsTable[[#This Row],[GroupByKey]]),(DiscreteStatsTable[GroupByKey]=DiscreteStatsTable[[#This Row],[GroupByKey]])*DiscreteStatsTable[Average])),0)</f>
        <v>1.2976784780992308</v>
      </c>
      <c r="O404" cm="1">
        <f t="array" ref="O404">IFERROR(_xlfn.STDEV.S(IF((DiscreteStatsTable[GroupByKey]=DiscreteStatsTable[[#This Row],[GroupByKey]]),(DiscreteStatsTable[GroupByKey]=DiscreteStatsTable[[#This Row],[GroupByKey]])*DiscreteStatsTable[Average])),0)</f>
        <v>0.214255822712483</v>
      </c>
      <c r="P404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04" cm="1">
        <f t="array" ref="R404">MIN(IF((DiscreteStatsTable[GroupByKey]=DiscreteStatsTable[[#This Row],[GroupByKey]]),(DiscreteStatsTable[GroupByKey]=DiscreteStatsTable[[#This Row],[GroupByKey]])*DiscreteStatsTable[Average]))</f>
        <v>1.00825666115094</v>
      </c>
      <c r="S404" cm="1">
        <f t="array" ref="S404">MAX(IF((DiscreteStatsTable[GroupByKey]=DiscreteStatsTable[[#This Row],[GroupByKey]]),(DiscreteStatsTable[GroupByKey]=DiscreteStatsTable[[#This Row],[GroupByKey]])*DiscreteStatsTable[Average]))</f>
        <v>1.85589832994621</v>
      </c>
      <c r="T404" cm="1">
        <f t="array" ref="T404">MIN(IF((DiscreteStatsTable[GroupByKey]=DiscreteStatsTable[[#This Row],[GroupByKey]]),(DiscreteStatsTable[GroupByKey]=DiscreteStatsTable[[#This Row],[GroupByKey]])*DiscreteStatsTable[Minimum]))</f>
        <v>0.10260384490715101</v>
      </c>
      <c r="U404" cm="1">
        <f t="array" ref="U404">MAX(IF((DiscreteStatsTable[GroupByKey]=DiscreteStatsTable[[#This Row],[GroupByKey]]),(DiscreteStatsTable[GroupByKey]=DiscreteStatsTable[[#This Row],[GroupByKey]])*DiscreteStatsTable[Maximum]))</f>
        <v>29.378397097512401</v>
      </c>
      <c r="V404" cm="1">
        <f t="array" ref="V40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4">
        <f>IF((DiscreteStatsTable[[#This Row],[RepsRequested]]&gt;1),DiscreteStatsTable[[#This Row],[HalfWidth]],DiscreteStatsTable[[#This Row],[BatchMeansHalfWidth]])</f>
        <v>6.0890831086538234E-2</v>
      </c>
      <c r="X404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131</v>
      </c>
      <c r="C405">
        <v>35</v>
      </c>
      <c r="D405" t="s">
        <v>78</v>
      </c>
      <c r="E405" t="s">
        <v>81</v>
      </c>
      <c r="F405" t="s">
        <v>80</v>
      </c>
      <c r="G405">
        <v>0.48367750065255</v>
      </c>
      <c r="H405">
        <v>1.02708486362331E-2</v>
      </c>
      <c r="I405">
        <v>0.109138875963026</v>
      </c>
      <c r="J405">
        <v>1.57709260516094</v>
      </c>
      <c r="K405">
        <v>2436</v>
      </c>
      <c r="L405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0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cm="1">
        <f t="array" ref="N405">IFERROR(AVERAGE(IF((DiscreteStatsTable[GroupByKey]=DiscreteStatsTable[[#This Row],[GroupByKey]]),(DiscreteStatsTable[GroupByKey]=DiscreteStatsTable[[#This Row],[GroupByKey]])*DiscreteStatsTable[Average])),0)</f>
        <v>0.49210501840783172</v>
      </c>
      <c r="O405" cm="1">
        <f t="array" ref="O405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0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05" cm="1">
        <f t="array" ref="R405">MIN(IF((DiscreteStatsTable[GroupByKey]=DiscreteStatsTable[[#This Row],[GroupByKey]]),(DiscreteStatsTable[GroupByKey]=DiscreteStatsTable[[#This Row],[GroupByKey]])*DiscreteStatsTable[Average]))</f>
        <v>0.481748748376016</v>
      </c>
      <c r="S405" cm="1">
        <f t="array" ref="S405">MAX(IF((DiscreteStatsTable[GroupByKey]=DiscreteStatsTable[[#This Row],[GroupByKey]]),(DiscreteStatsTable[GroupByKey]=DiscreteStatsTable[[#This Row],[GroupByKey]])*DiscreteStatsTable[Average]))</f>
        <v>0.50324408220295003</v>
      </c>
      <c r="T405" cm="1">
        <f t="array" ref="T405">MIN(IF((DiscreteStatsTable[GroupByKey]=DiscreteStatsTable[[#This Row],[GroupByKey]]),(DiscreteStatsTable[GroupByKey]=DiscreteStatsTable[[#This Row],[GroupByKey]])*DiscreteStatsTable[Minimum]))</f>
        <v>0.101748731497707</v>
      </c>
      <c r="U405" cm="1">
        <f t="array" ref="U405">MAX(IF((DiscreteStatsTable[GroupByKey]=DiscreteStatsTable[[#This Row],[GroupByKey]]),(DiscreteStatsTable[GroupByKey]=DiscreteStatsTable[[#This Row],[GroupByKey]])*DiscreteStatsTable[Maximum]))</f>
        <v>1.5939517145847</v>
      </c>
      <c r="V405" cm="1">
        <f t="array" ref="V40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5">
        <f>IF((DiscreteStatsTable[[#This Row],[RepsRequested]]&gt;1),DiscreteStatsTable[[#This Row],[HalfWidth]],DiscreteStatsTable[[#This Row],[BatchMeansHalfWidth]])</f>
        <v>1.3583273853576923E-3</v>
      </c>
      <c r="X40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131</v>
      </c>
      <c r="C406">
        <v>35</v>
      </c>
      <c r="D406" t="s">
        <v>78</v>
      </c>
      <c r="E406" t="s">
        <v>82</v>
      </c>
      <c r="F406" t="s">
        <v>80</v>
      </c>
      <c r="G406">
        <v>0.67565931156041303</v>
      </c>
      <c r="H406">
        <v>0.18956110123193401</v>
      </c>
      <c r="I406">
        <v>0</v>
      </c>
      <c r="J406">
        <v>13.2942085569052</v>
      </c>
      <c r="K406">
        <v>2436</v>
      </c>
      <c r="L406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06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cm="1">
        <f t="array" ref="N406">IFERROR(AVERAGE(IF((DiscreteStatsTable[GroupByKey]=DiscreteStatsTable[[#This Row],[GroupByKey]]),(DiscreteStatsTable[GroupByKey]=DiscreteStatsTable[[#This Row],[GroupByKey]])*DiscreteStatsTable[Average])),0)</f>
        <v>0.80557345969139849</v>
      </c>
      <c r="O406" cm="1">
        <f t="array" ref="O406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06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06" cm="1">
        <f t="array" ref="R406">MIN(IF((DiscreteStatsTable[GroupByKey]=DiscreteStatsTable[[#This Row],[GroupByKey]]),(DiscreteStatsTable[GroupByKey]=DiscreteStatsTable[[#This Row],[GroupByKey]])*DiscreteStatsTable[Average]))</f>
        <v>0.515986961752252</v>
      </c>
      <c r="S406" cm="1">
        <f t="array" ref="S406">MAX(IF((DiscreteStatsTable[GroupByKey]=DiscreteStatsTable[[#This Row],[GroupByKey]]),(DiscreteStatsTable[GroupByKey]=DiscreteStatsTable[[#This Row],[GroupByKey]])*DiscreteStatsTable[Average]))</f>
        <v>1.3542194698792001</v>
      </c>
      <c r="T406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cm="1">
        <f t="array" ref="U406">MAX(IF((DiscreteStatsTable[GroupByKey]=DiscreteStatsTable[[#This Row],[GroupByKey]]),(DiscreteStatsTable[GroupByKey]=DiscreteStatsTable[[#This Row],[GroupByKey]])*DiscreteStatsTable[Maximum]))</f>
        <v>28.983199492767199</v>
      </c>
      <c r="V406" cm="1">
        <f t="array" ref="V40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6">
        <f>IF((DiscreteStatsTable[[#This Row],[RepsRequested]]&gt;1),DiscreteStatsTable[[#This Row],[HalfWidth]],DiscreteStatsTable[[#This Row],[BatchMeansHalfWidth]])</f>
        <v>6.0520109610092528E-2</v>
      </c>
      <c r="X406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131</v>
      </c>
      <c r="C407">
        <v>36</v>
      </c>
      <c r="D407" t="s">
        <v>78</v>
      </c>
      <c r="E407" t="s">
        <v>79</v>
      </c>
      <c r="F407" t="s">
        <v>80</v>
      </c>
      <c r="G407">
        <v>1.00825666115094</v>
      </c>
      <c r="H407">
        <v>0.120057131224478</v>
      </c>
      <c r="I407">
        <v>0.13658288557411399</v>
      </c>
      <c r="J407">
        <v>8.6179514365368295</v>
      </c>
      <c r="K407">
        <v>2393</v>
      </c>
      <c r="L407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07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cm="1">
        <f t="array" ref="N407">IFERROR(AVERAGE(IF((DiscreteStatsTable[GroupByKey]=DiscreteStatsTable[[#This Row],[GroupByKey]]),(DiscreteStatsTable[GroupByKey]=DiscreteStatsTable[[#This Row],[GroupByKey]])*DiscreteStatsTable[Average])),0)</f>
        <v>1.2976784780992308</v>
      </c>
      <c r="O407" cm="1">
        <f t="array" ref="O407">IFERROR(_xlfn.STDEV.S(IF((DiscreteStatsTable[GroupByKey]=DiscreteStatsTable[[#This Row],[GroupByKey]]),(DiscreteStatsTable[GroupByKey]=DiscreteStatsTable[[#This Row],[GroupByKey]])*DiscreteStatsTable[Average])),0)</f>
        <v>0.214255822712483</v>
      </c>
      <c r="P407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07" cm="1">
        <f t="array" ref="R407">MIN(IF((DiscreteStatsTable[GroupByKey]=DiscreteStatsTable[[#This Row],[GroupByKey]]),(DiscreteStatsTable[GroupByKey]=DiscreteStatsTable[[#This Row],[GroupByKey]])*DiscreteStatsTable[Average]))</f>
        <v>1.00825666115094</v>
      </c>
      <c r="S407" cm="1">
        <f t="array" ref="S407">MAX(IF((DiscreteStatsTable[GroupByKey]=DiscreteStatsTable[[#This Row],[GroupByKey]]),(DiscreteStatsTable[GroupByKey]=DiscreteStatsTable[[#This Row],[GroupByKey]])*DiscreteStatsTable[Average]))</f>
        <v>1.85589832994621</v>
      </c>
      <c r="T407" cm="1">
        <f t="array" ref="T407">MIN(IF((DiscreteStatsTable[GroupByKey]=DiscreteStatsTable[[#This Row],[GroupByKey]]),(DiscreteStatsTable[GroupByKey]=DiscreteStatsTable[[#This Row],[GroupByKey]])*DiscreteStatsTable[Minimum]))</f>
        <v>0.10260384490715101</v>
      </c>
      <c r="U407" cm="1">
        <f t="array" ref="U407">MAX(IF((DiscreteStatsTable[GroupByKey]=DiscreteStatsTable[[#This Row],[GroupByKey]]),(DiscreteStatsTable[GroupByKey]=DiscreteStatsTable[[#This Row],[GroupByKey]])*DiscreteStatsTable[Maximum]))</f>
        <v>29.378397097512401</v>
      </c>
      <c r="V407" cm="1">
        <f t="array" ref="V40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7">
        <f>IF((DiscreteStatsTable[[#This Row],[RepsRequested]]&gt;1),DiscreteStatsTable[[#This Row],[HalfWidth]],DiscreteStatsTable[[#This Row],[BatchMeansHalfWidth]])</f>
        <v>6.0890831086538234E-2</v>
      </c>
      <c r="X407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131</v>
      </c>
      <c r="C408">
        <v>36</v>
      </c>
      <c r="D408" t="s">
        <v>78</v>
      </c>
      <c r="E408" t="s">
        <v>81</v>
      </c>
      <c r="F408" t="s">
        <v>80</v>
      </c>
      <c r="G408">
        <v>0.49226969939869097</v>
      </c>
      <c r="H408">
        <v>1.4182607252454901E-2</v>
      </c>
      <c r="I408">
        <v>0.104297796574855</v>
      </c>
      <c r="J408">
        <v>1.55078414169964</v>
      </c>
      <c r="K408">
        <v>2393</v>
      </c>
      <c r="L408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08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cm="1">
        <f t="array" ref="N408">IFERROR(AVERAGE(IF((DiscreteStatsTable[GroupByKey]=DiscreteStatsTable[[#This Row],[GroupByKey]]),(DiscreteStatsTable[GroupByKey]=DiscreteStatsTable[[#This Row],[GroupByKey]])*DiscreteStatsTable[Average])),0)</f>
        <v>0.49210501840783172</v>
      </c>
      <c r="O408" cm="1">
        <f t="array" ref="O408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08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08" cm="1">
        <f t="array" ref="R408">MIN(IF((DiscreteStatsTable[GroupByKey]=DiscreteStatsTable[[#This Row],[GroupByKey]]),(DiscreteStatsTable[GroupByKey]=DiscreteStatsTable[[#This Row],[GroupByKey]])*DiscreteStatsTable[Average]))</f>
        <v>0.481748748376016</v>
      </c>
      <c r="S408" cm="1">
        <f t="array" ref="S408">MAX(IF((DiscreteStatsTable[GroupByKey]=DiscreteStatsTable[[#This Row],[GroupByKey]]),(DiscreteStatsTable[GroupByKey]=DiscreteStatsTable[[#This Row],[GroupByKey]])*DiscreteStatsTable[Average]))</f>
        <v>0.50324408220295003</v>
      </c>
      <c r="T408" cm="1">
        <f t="array" ref="T408">MIN(IF((DiscreteStatsTable[GroupByKey]=DiscreteStatsTable[[#This Row],[GroupByKey]]),(DiscreteStatsTable[GroupByKey]=DiscreteStatsTable[[#This Row],[GroupByKey]])*DiscreteStatsTable[Minimum]))</f>
        <v>0.101748731497707</v>
      </c>
      <c r="U408" cm="1">
        <f t="array" ref="U408">MAX(IF((DiscreteStatsTable[GroupByKey]=DiscreteStatsTable[[#This Row],[GroupByKey]]),(DiscreteStatsTable[GroupByKey]=DiscreteStatsTable[[#This Row],[GroupByKey]])*DiscreteStatsTable[Maximum]))</f>
        <v>1.5939517145847</v>
      </c>
      <c r="V408" cm="1">
        <f t="array" ref="V40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8">
        <f>IF((DiscreteStatsTable[[#This Row],[RepsRequested]]&gt;1),DiscreteStatsTable[[#This Row],[HalfWidth]],DiscreteStatsTable[[#This Row],[BatchMeansHalfWidth]])</f>
        <v>1.3583273853576923E-3</v>
      </c>
      <c r="X408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131</v>
      </c>
      <c r="C409">
        <v>36</v>
      </c>
      <c r="D409" t="s">
        <v>78</v>
      </c>
      <c r="E409" t="s">
        <v>82</v>
      </c>
      <c r="F409" t="s">
        <v>80</v>
      </c>
      <c r="G409">
        <v>0.515986961752252</v>
      </c>
      <c r="H409">
        <v>0.118674500824011</v>
      </c>
      <c r="I409">
        <v>0</v>
      </c>
      <c r="J409">
        <v>8.3881460223777804</v>
      </c>
      <c r="K409">
        <v>2393</v>
      </c>
      <c r="L409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09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cm="1">
        <f t="array" ref="N409">IFERROR(AVERAGE(IF((DiscreteStatsTable[GroupByKey]=DiscreteStatsTable[[#This Row],[GroupByKey]]),(DiscreteStatsTable[GroupByKey]=DiscreteStatsTable[[#This Row],[GroupByKey]])*DiscreteStatsTable[Average])),0)</f>
        <v>0.80557345969139849</v>
      </c>
      <c r="O409" cm="1">
        <f t="array" ref="O409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09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09" cm="1">
        <f t="array" ref="R409">MIN(IF((DiscreteStatsTable[GroupByKey]=DiscreteStatsTable[[#This Row],[GroupByKey]]),(DiscreteStatsTable[GroupByKey]=DiscreteStatsTable[[#This Row],[GroupByKey]])*DiscreteStatsTable[Average]))</f>
        <v>0.515986961752252</v>
      </c>
      <c r="S409" cm="1">
        <f t="array" ref="S409">MAX(IF((DiscreteStatsTable[GroupByKey]=DiscreteStatsTable[[#This Row],[GroupByKey]]),(DiscreteStatsTable[GroupByKey]=DiscreteStatsTable[[#This Row],[GroupByKey]])*DiscreteStatsTable[Average]))</f>
        <v>1.3542194698792001</v>
      </c>
      <c r="T409" cm="1">
        <f t="array" ref="T409">MIN(IF((DiscreteStatsTable[GroupByKey]=DiscreteStatsTable[[#This Row],[GroupByKey]]),(DiscreteStatsTable[GroupByKey]=DiscreteStatsTable[[#This Row],[GroupByKey]])*DiscreteStatsTable[Minimum]))</f>
        <v>0</v>
      </c>
      <c r="U409" cm="1">
        <f t="array" ref="U409">MAX(IF((DiscreteStatsTable[GroupByKey]=DiscreteStatsTable[[#This Row],[GroupByKey]]),(DiscreteStatsTable[GroupByKey]=DiscreteStatsTable[[#This Row],[GroupByKey]])*DiscreteStatsTable[Maximum]))</f>
        <v>28.983199492767199</v>
      </c>
      <c r="V409" cm="1">
        <f t="array" ref="V40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09">
        <f>IF((DiscreteStatsTable[[#This Row],[RepsRequested]]&gt;1),DiscreteStatsTable[[#This Row],[HalfWidth]],DiscreteStatsTable[[#This Row],[BatchMeansHalfWidth]])</f>
        <v>6.0520109610092528E-2</v>
      </c>
      <c r="X409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131</v>
      </c>
      <c r="C410">
        <v>37</v>
      </c>
      <c r="D410" t="s">
        <v>78</v>
      </c>
      <c r="E410" t="s">
        <v>79</v>
      </c>
      <c r="F410" t="s">
        <v>80</v>
      </c>
      <c r="G410">
        <v>1.47609111009472</v>
      </c>
      <c r="H410">
        <v>3E+20</v>
      </c>
      <c r="I410">
        <v>0.117797905647819</v>
      </c>
      <c r="J410">
        <v>25.403160177567798</v>
      </c>
      <c r="K410">
        <v>2409</v>
      </c>
      <c r="L410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10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cm="1">
        <f t="array" ref="N410">IFERROR(AVERAGE(IF((DiscreteStatsTable[GroupByKey]=DiscreteStatsTable[[#This Row],[GroupByKey]]),(DiscreteStatsTable[GroupByKey]=DiscreteStatsTable[[#This Row],[GroupByKey]])*DiscreteStatsTable[Average])),0)</f>
        <v>1.2976784780992308</v>
      </c>
      <c r="O410" cm="1">
        <f t="array" ref="O410">IFERROR(_xlfn.STDEV.S(IF((DiscreteStatsTable[GroupByKey]=DiscreteStatsTable[[#This Row],[GroupByKey]]),(DiscreteStatsTable[GroupByKey]=DiscreteStatsTable[[#This Row],[GroupByKey]])*DiscreteStatsTable[Average])),0)</f>
        <v>0.214255822712483</v>
      </c>
      <c r="P410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10" cm="1">
        <f t="array" ref="R410">MIN(IF((DiscreteStatsTable[GroupByKey]=DiscreteStatsTable[[#This Row],[GroupByKey]]),(DiscreteStatsTable[GroupByKey]=DiscreteStatsTable[[#This Row],[GroupByKey]])*DiscreteStatsTable[Average]))</f>
        <v>1.00825666115094</v>
      </c>
      <c r="S410" cm="1">
        <f t="array" ref="S410">MAX(IF((DiscreteStatsTable[GroupByKey]=DiscreteStatsTable[[#This Row],[GroupByKey]]),(DiscreteStatsTable[GroupByKey]=DiscreteStatsTable[[#This Row],[GroupByKey]])*DiscreteStatsTable[Average]))</f>
        <v>1.85589832994621</v>
      </c>
      <c r="T410" cm="1">
        <f t="array" ref="T410">MIN(IF((DiscreteStatsTable[GroupByKey]=DiscreteStatsTable[[#This Row],[GroupByKey]]),(DiscreteStatsTable[GroupByKey]=DiscreteStatsTable[[#This Row],[GroupByKey]])*DiscreteStatsTable[Minimum]))</f>
        <v>0.10260384490715101</v>
      </c>
      <c r="U410" cm="1">
        <f t="array" ref="U410">MAX(IF((DiscreteStatsTable[GroupByKey]=DiscreteStatsTable[[#This Row],[GroupByKey]]),(DiscreteStatsTable[GroupByKey]=DiscreteStatsTable[[#This Row],[GroupByKey]])*DiscreteStatsTable[Maximum]))</f>
        <v>29.378397097512401</v>
      </c>
      <c r="V410" cm="1">
        <f t="array" ref="V41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0">
        <f>IF((DiscreteStatsTable[[#This Row],[RepsRequested]]&gt;1),DiscreteStatsTable[[#This Row],[HalfWidth]],DiscreteStatsTable[[#This Row],[BatchMeansHalfWidth]])</f>
        <v>6.0890831086538234E-2</v>
      </c>
      <c r="X410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131</v>
      </c>
      <c r="C411">
        <v>37</v>
      </c>
      <c r="D411" t="s">
        <v>78</v>
      </c>
      <c r="E411" t="s">
        <v>81</v>
      </c>
      <c r="F411" t="s">
        <v>80</v>
      </c>
      <c r="G411">
        <v>0.49147371275954299</v>
      </c>
      <c r="H411">
        <v>1.50985152848176E-2</v>
      </c>
      <c r="I411">
        <v>0.115616575413526</v>
      </c>
      <c r="J411">
        <v>1.5462050772792999</v>
      </c>
      <c r="K411">
        <v>2409</v>
      </c>
      <c r="L411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11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cm="1">
        <f t="array" ref="N411">IFERROR(AVERAGE(IF((DiscreteStatsTable[GroupByKey]=DiscreteStatsTable[[#This Row],[GroupByKey]]),(DiscreteStatsTable[GroupByKey]=DiscreteStatsTable[[#This Row],[GroupByKey]])*DiscreteStatsTable[Average])),0)</f>
        <v>0.49210501840783172</v>
      </c>
      <c r="O411" cm="1">
        <f t="array" ref="O411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11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11" cm="1">
        <f t="array" ref="R411">MIN(IF((DiscreteStatsTable[GroupByKey]=DiscreteStatsTable[[#This Row],[GroupByKey]]),(DiscreteStatsTable[GroupByKey]=DiscreteStatsTable[[#This Row],[GroupByKey]])*DiscreteStatsTable[Average]))</f>
        <v>0.481748748376016</v>
      </c>
      <c r="S411" cm="1">
        <f t="array" ref="S411">MAX(IF((DiscreteStatsTable[GroupByKey]=DiscreteStatsTable[[#This Row],[GroupByKey]]),(DiscreteStatsTable[GroupByKey]=DiscreteStatsTable[[#This Row],[GroupByKey]])*DiscreteStatsTable[Average]))</f>
        <v>0.50324408220295003</v>
      </c>
      <c r="T411" cm="1">
        <f t="array" ref="T411">MIN(IF((DiscreteStatsTable[GroupByKey]=DiscreteStatsTable[[#This Row],[GroupByKey]]),(DiscreteStatsTable[GroupByKey]=DiscreteStatsTable[[#This Row],[GroupByKey]])*DiscreteStatsTable[Minimum]))</f>
        <v>0.101748731497707</v>
      </c>
      <c r="U411" cm="1">
        <f t="array" ref="U411">MAX(IF((DiscreteStatsTable[GroupByKey]=DiscreteStatsTable[[#This Row],[GroupByKey]]),(DiscreteStatsTable[GroupByKey]=DiscreteStatsTable[[#This Row],[GroupByKey]])*DiscreteStatsTable[Maximum]))</f>
        <v>1.5939517145847</v>
      </c>
      <c r="V411" cm="1">
        <f t="array" ref="V41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1">
        <f>IF((DiscreteStatsTable[[#This Row],[RepsRequested]]&gt;1),DiscreteStatsTable[[#This Row],[HalfWidth]],DiscreteStatsTable[[#This Row],[BatchMeansHalfWidth]])</f>
        <v>1.3583273853576923E-3</v>
      </c>
      <c r="X411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131</v>
      </c>
      <c r="C412">
        <v>37</v>
      </c>
      <c r="D412" t="s">
        <v>78</v>
      </c>
      <c r="E412" t="s">
        <v>82</v>
      </c>
      <c r="F412" t="s">
        <v>80</v>
      </c>
      <c r="G412">
        <v>0.98461739733518205</v>
      </c>
      <c r="H412">
        <v>3E+20</v>
      </c>
      <c r="I412">
        <v>0</v>
      </c>
      <c r="J412">
        <v>25.109038353632599</v>
      </c>
      <c r="K412">
        <v>2409</v>
      </c>
      <c r="L412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12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cm="1">
        <f t="array" ref="N412">IFERROR(AVERAGE(IF((DiscreteStatsTable[GroupByKey]=DiscreteStatsTable[[#This Row],[GroupByKey]]),(DiscreteStatsTable[GroupByKey]=DiscreteStatsTable[[#This Row],[GroupByKey]])*DiscreteStatsTable[Average])),0)</f>
        <v>0.80557345969139849</v>
      </c>
      <c r="O412" cm="1">
        <f t="array" ref="O412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12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12" cm="1">
        <f t="array" ref="R412">MIN(IF((DiscreteStatsTable[GroupByKey]=DiscreteStatsTable[[#This Row],[GroupByKey]]),(DiscreteStatsTable[GroupByKey]=DiscreteStatsTable[[#This Row],[GroupByKey]])*DiscreteStatsTable[Average]))</f>
        <v>0.515986961752252</v>
      </c>
      <c r="S412" cm="1">
        <f t="array" ref="S412">MAX(IF((DiscreteStatsTable[GroupByKey]=DiscreteStatsTable[[#This Row],[GroupByKey]]),(DiscreteStatsTable[GroupByKey]=DiscreteStatsTable[[#This Row],[GroupByKey]])*DiscreteStatsTable[Average]))</f>
        <v>1.3542194698792001</v>
      </c>
      <c r="T412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cm="1">
        <f t="array" ref="U412">MAX(IF((DiscreteStatsTable[GroupByKey]=DiscreteStatsTable[[#This Row],[GroupByKey]]),(DiscreteStatsTable[GroupByKey]=DiscreteStatsTable[[#This Row],[GroupByKey]])*DiscreteStatsTable[Maximum]))</f>
        <v>28.983199492767199</v>
      </c>
      <c r="V412" cm="1">
        <f t="array" ref="V41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2">
        <f>IF((DiscreteStatsTable[[#This Row],[RepsRequested]]&gt;1),DiscreteStatsTable[[#This Row],[HalfWidth]],DiscreteStatsTable[[#This Row],[BatchMeansHalfWidth]])</f>
        <v>6.0520109610092528E-2</v>
      </c>
      <c r="X412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131</v>
      </c>
      <c r="C413">
        <v>38</v>
      </c>
      <c r="D413" t="s">
        <v>78</v>
      </c>
      <c r="E413" t="s">
        <v>79</v>
      </c>
      <c r="F413" t="s">
        <v>80</v>
      </c>
      <c r="G413">
        <v>1.2058115681369801</v>
      </c>
      <c r="H413">
        <v>0.19494024481702499</v>
      </c>
      <c r="I413">
        <v>0.112521058141112</v>
      </c>
      <c r="J413">
        <v>14.268800422745301</v>
      </c>
      <c r="K413">
        <v>2407</v>
      </c>
      <c r="L413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13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cm="1">
        <f t="array" ref="N413">IFERROR(AVERAGE(IF((DiscreteStatsTable[GroupByKey]=DiscreteStatsTable[[#This Row],[GroupByKey]]),(DiscreteStatsTable[GroupByKey]=DiscreteStatsTable[[#This Row],[GroupByKey]])*DiscreteStatsTable[Average])),0)</f>
        <v>1.2976784780992308</v>
      </c>
      <c r="O413" cm="1">
        <f t="array" ref="O413">IFERROR(_xlfn.STDEV.S(IF((DiscreteStatsTable[GroupByKey]=DiscreteStatsTable[[#This Row],[GroupByKey]]),(DiscreteStatsTable[GroupByKey]=DiscreteStatsTable[[#This Row],[GroupByKey]])*DiscreteStatsTable[Average])),0)</f>
        <v>0.214255822712483</v>
      </c>
      <c r="P413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13" cm="1">
        <f t="array" ref="R413">MIN(IF((DiscreteStatsTable[GroupByKey]=DiscreteStatsTable[[#This Row],[GroupByKey]]),(DiscreteStatsTable[GroupByKey]=DiscreteStatsTable[[#This Row],[GroupByKey]])*DiscreteStatsTable[Average]))</f>
        <v>1.00825666115094</v>
      </c>
      <c r="S413" cm="1">
        <f t="array" ref="S413">MAX(IF((DiscreteStatsTable[GroupByKey]=DiscreteStatsTable[[#This Row],[GroupByKey]]),(DiscreteStatsTable[GroupByKey]=DiscreteStatsTable[[#This Row],[GroupByKey]])*DiscreteStatsTable[Average]))</f>
        <v>1.85589832994621</v>
      </c>
      <c r="T413" cm="1">
        <f t="array" ref="T413">MIN(IF((DiscreteStatsTable[GroupByKey]=DiscreteStatsTable[[#This Row],[GroupByKey]]),(DiscreteStatsTable[GroupByKey]=DiscreteStatsTable[[#This Row],[GroupByKey]])*DiscreteStatsTable[Minimum]))</f>
        <v>0.10260384490715101</v>
      </c>
      <c r="U413" cm="1">
        <f t="array" ref="U413">MAX(IF((DiscreteStatsTable[GroupByKey]=DiscreteStatsTable[[#This Row],[GroupByKey]]),(DiscreteStatsTable[GroupByKey]=DiscreteStatsTable[[#This Row],[GroupByKey]])*DiscreteStatsTable[Maximum]))</f>
        <v>29.378397097512401</v>
      </c>
      <c r="V413" cm="1">
        <f t="array" ref="V41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3">
        <f>IF((DiscreteStatsTable[[#This Row],[RepsRequested]]&gt;1),DiscreteStatsTable[[#This Row],[HalfWidth]],DiscreteStatsTable[[#This Row],[BatchMeansHalfWidth]])</f>
        <v>6.0890831086538234E-2</v>
      </c>
      <c r="X413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131</v>
      </c>
      <c r="C414">
        <v>38</v>
      </c>
      <c r="D414" t="s">
        <v>78</v>
      </c>
      <c r="E414" t="s">
        <v>81</v>
      </c>
      <c r="F414" t="s">
        <v>80</v>
      </c>
      <c r="G414">
        <v>0.493177594440247</v>
      </c>
      <c r="H414">
        <v>1.2052186512356001E-2</v>
      </c>
      <c r="I414">
        <v>0.112270059769656</v>
      </c>
      <c r="J414">
        <v>1.5592639660715699</v>
      </c>
      <c r="K414">
        <v>2407</v>
      </c>
      <c r="L414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14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cm="1">
        <f t="array" ref="N414">IFERROR(AVERAGE(IF((DiscreteStatsTable[GroupByKey]=DiscreteStatsTable[[#This Row],[GroupByKey]]),(DiscreteStatsTable[GroupByKey]=DiscreteStatsTable[[#This Row],[GroupByKey]])*DiscreteStatsTable[Average])),0)</f>
        <v>0.49210501840783172</v>
      </c>
      <c r="O414" cm="1">
        <f t="array" ref="O414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14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14" cm="1">
        <f t="array" ref="R414">MIN(IF((DiscreteStatsTable[GroupByKey]=DiscreteStatsTable[[#This Row],[GroupByKey]]),(DiscreteStatsTable[GroupByKey]=DiscreteStatsTable[[#This Row],[GroupByKey]])*DiscreteStatsTable[Average]))</f>
        <v>0.481748748376016</v>
      </c>
      <c r="S414" cm="1">
        <f t="array" ref="S414">MAX(IF((DiscreteStatsTable[GroupByKey]=DiscreteStatsTable[[#This Row],[GroupByKey]]),(DiscreteStatsTable[GroupByKey]=DiscreteStatsTable[[#This Row],[GroupByKey]])*DiscreteStatsTable[Average]))</f>
        <v>0.50324408220295003</v>
      </c>
      <c r="T414" cm="1">
        <f t="array" ref="T414">MIN(IF((DiscreteStatsTable[GroupByKey]=DiscreteStatsTable[[#This Row],[GroupByKey]]),(DiscreteStatsTable[GroupByKey]=DiscreteStatsTable[[#This Row],[GroupByKey]])*DiscreteStatsTable[Minimum]))</f>
        <v>0.101748731497707</v>
      </c>
      <c r="U414" cm="1">
        <f t="array" ref="U414">MAX(IF((DiscreteStatsTable[GroupByKey]=DiscreteStatsTable[[#This Row],[GroupByKey]]),(DiscreteStatsTable[GroupByKey]=DiscreteStatsTable[[#This Row],[GroupByKey]])*DiscreteStatsTable[Maximum]))</f>
        <v>1.5939517145847</v>
      </c>
      <c r="V414" cm="1">
        <f t="array" ref="V41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4">
        <f>IF((DiscreteStatsTable[[#This Row],[RepsRequested]]&gt;1),DiscreteStatsTable[[#This Row],[HalfWidth]],DiscreteStatsTable[[#This Row],[BatchMeansHalfWidth]])</f>
        <v>1.3583273853576923E-3</v>
      </c>
      <c r="X414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131</v>
      </c>
      <c r="C415">
        <v>38</v>
      </c>
      <c r="D415" t="s">
        <v>78</v>
      </c>
      <c r="E415" t="s">
        <v>82</v>
      </c>
      <c r="F415" t="s">
        <v>80</v>
      </c>
      <c r="G415">
        <v>0.71263397369672898</v>
      </c>
      <c r="H415">
        <v>0.19517861240586001</v>
      </c>
      <c r="I415">
        <v>0</v>
      </c>
      <c r="J415">
        <v>14.036465061938999</v>
      </c>
      <c r="K415">
        <v>2407</v>
      </c>
      <c r="L415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1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cm="1">
        <f t="array" ref="N415">IFERROR(AVERAGE(IF((DiscreteStatsTable[GroupByKey]=DiscreteStatsTable[[#This Row],[GroupByKey]]),(DiscreteStatsTable[GroupByKey]=DiscreteStatsTable[[#This Row],[GroupByKey]])*DiscreteStatsTable[Average])),0)</f>
        <v>0.80557345969139849</v>
      </c>
      <c r="O415" cm="1">
        <f t="array" ref="O415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1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15" cm="1">
        <f t="array" ref="R415">MIN(IF((DiscreteStatsTable[GroupByKey]=DiscreteStatsTable[[#This Row],[GroupByKey]]),(DiscreteStatsTable[GroupByKey]=DiscreteStatsTable[[#This Row],[GroupByKey]])*DiscreteStatsTable[Average]))</f>
        <v>0.515986961752252</v>
      </c>
      <c r="S415" cm="1">
        <f t="array" ref="S415">MAX(IF((DiscreteStatsTable[GroupByKey]=DiscreteStatsTable[[#This Row],[GroupByKey]]),(DiscreteStatsTable[GroupByKey]=DiscreteStatsTable[[#This Row],[GroupByKey]])*DiscreteStatsTable[Average]))</f>
        <v>1.3542194698792001</v>
      </c>
      <c r="T415" cm="1">
        <f t="array" ref="T415">MIN(IF((DiscreteStatsTable[GroupByKey]=DiscreteStatsTable[[#This Row],[GroupByKey]]),(DiscreteStatsTable[GroupByKey]=DiscreteStatsTable[[#This Row],[GroupByKey]])*DiscreteStatsTable[Minimum]))</f>
        <v>0</v>
      </c>
      <c r="U415" cm="1">
        <f t="array" ref="U415">MAX(IF((DiscreteStatsTable[GroupByKey]=DiscreteStatsTable[[#This Row],[GroupByKey]]),(DiscreteStatsTable[GroupByKey]=DiscreteStatsTable[[#This Row],[GroupByKey]])*DiscreteStatsTable[Maximum]))</f>
        <v>28.983199492767199</v>
      </c>
      <c r="V415" cm="1">
        <f t="array" ref="V41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5">
        <f>IF((DiscreteStatsTable[[#This Row],[RepsRequested]]&gt;1),DiscreteStatsTable[[#This Row],[HalfWidth]],DiscreteStatsTable[[#This Row],[BatchMeansHalfWidth]])</f>
        <v>6.0520109610092528E-2</v>
      </c>
      <c r="X41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131</v>
      </c>
      <c r="C416">
        <v>39</v>
      </c>
      <c r="D416" t="s">
        <v>78</v>
      </c>
      <c r="E416" t="s">
        <v>79</v>
      </c>
      <c r="F416" t="s">
        <v>80</v>
      </c>
      <c r="G416">
        <v>1.04084595503136</v>
      </c>
      <c r="H416">
        <v>0.102078296880958</v>
      </c>
      <c r="I416">
        <v>0.11685573848669201</v>
      </c>
      <c r="J416">
        <v>7.1538192851957101</v>
      </c>
      <c r="K416">
        <v>2400</v>
      </c>
      <c r="L416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16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cm="1">
        <f t="array" ref="N416">IFERROR(AVERAGE(IF((DiscreteStatsTable[GroupByKey]=DiscreteStatsTable[[#This Row],[GroupByKey]]),(DiscreteStatsTable[GroupByKey]=DiscreteStatsTable[[#This Row],[GroupByKey]])*DiscreteStatsTable[Average])),0)</f>
        <v>1.2976784780992308</v>
      </c>
      <c r="O416" cm="1">
        <f t="array" ref="O416">IFERROR(_xlfn.STDEV.S(IF((DiscreteStatsTable[GroupByKey]=DiscreteStatsTable[[#This Row],[GroupByKey]]),(DiscreteStatsTable[GroupByKey]=DiscreteStatsTable[[#This Row],[GroupByKey]])*DiscreteStatsTable[Average])),0)</f>
        <v>0.214255822712483</v>
      </c>
      <c r="P416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16" cm="1">
        <f t="array" ref="R416">MIN(IF((DiscreteStatsTable[GroupByKey]=DiscreteStatsTable[[#This Row],[GroupByKey]]),(DiscreteStatsTable[GroupByKey]=DiscreteStatsTable[[#This Row],[GroupByKey]])*DiscreteStatsTable[Average]))</f>
        <v>1.00825666115094</v>
      </c>
      <c r="S416" cm="1">
        <f t="array" ref="S416">MAX(IF((DiscreteStatsTable[GroupByKey]=DiscreteStatsTable[[#This Row],[GroupByKey]]),(DiscreteStatsTable[GroupByKey]=DiscreteStatsTable[[#This Row],[GroupByKey]])*DiscreteStatsTable[Average]))</f>
        <v>1.85589832994621</v>
      </c>
      <c r="T416" cm="1">
        <f t="array" ref="T416">MIN(IF((DiscreteStatsTable[GroupByKey]=DiscreteStatsTable[[#This Row],[GroupByKey]]),(DiscreteStatsTable[GroupByKey]=DiscreteStatsTable[[#This Row],[GroupByKey]])*DiscreteStatsTable[Minimum]))</f>
        <v>0.10260384490715101</v>
      </c>
      <c r="U416" cm="1">
        <f t="array" ref="U416">MAX(IF((DiscreteStatsTable[GroupByKey]=DiscreteStatsTable[[#This Row],[GroupByKey]]),(DiscreteStatsTable[GroupByKey]=DiscreteStatsTable[[#This Row],[GroupByKey]])*DiscreteStatsTable[Maximum]))</f>
        <v>29.378397097512401</v>
      </c>
      <c r="V416" cm="1">
        <f t="array" ref="V41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6">
        <f>IF((DiscreteStatsTable[[#This Row],[RepsRequested]]&gt;1),DiscreteStatsTable[[#This Row],[HalfWidth]],DiscreteStatsTable[[#This Row],[BatchMeansHalfWidth]])</f>
        <v>6.0890831086538234E-2</v>
      </c>
      <c r="X416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131</v>
      </c>
      <c r="C417">
        <v>39</v>
      </c>
      <c r="D417" t="s">
        <v>78</v>
      </c>
      <c r="E417" t="s">
        <v>81</v>
      </c>
      <c r="F417" t="s">
        <v>80</v>
      </c>
      <c r="G417">
        <v>0.49300902833752103</v>
      </c>
      <c r="H417">
        <v>1.19645734842596E-2</v>
      </c>
      <c r="I417">
        <v>0.11624208212308</v>
      </c>
      <c r="J417">
        <v>1.5579367239951101</v>
      </c>
      <c r="K417">
        <v>2400</v>
      </c>
      <c r="L417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17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cm="1">
        <f t="array" ref="N417">IFERROR(AVERAGE(IF((DiscreteStatsTable[GroupByKey]=DiscreteStatsTable[[#This Row],[GroupByKey]]),(DiscreteStatsTable[GroupByKey]=DiscreteStatsTable[[#This Row],[GroupByKey]])*DiscreteStatsTable[Average])),0)</f>
        <v>0.49210501840783172</v>
      </c>
      <c r="O417" cm="1">
        <f t="array" ref="O417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17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17" cm="1">
        <f t="array" ref="R417">MIN(IF((DiscreteStatsTable[GroupByKey]=DiscreteStatsTable[[#This Row],[GroupByKey]]),(DiscreteStatsTable[GroupByKey]=DiscreteStatsTable[[#This Row],[GroupByKey]])*DiscreteStatsTable[Average]))</f>
        <v>0.481748748376016</v>
      </c>
      <c r="S417" cm="1">
        <f t="array" ref="S417">MAX(IF((DiscreteStatsTable[GroupByKey]=DiscreteStatsTable[[#This Row],[GroupByKey]]),(DiscreteStatsTable[GroupByKey]=DiscreteStatsTable[[#This Row],[GroupByKey]])*DiscreteStatsTable[Average]))</f>
        <v>0.50324408220295003</v>
      </c>
      <c r="T417" cm="1">
        <f t="array" ref="T417">MIN(IF((DiscreteStatsTable[GroupByKey]=DiscreteStatsTable[[#This Row],[GroupByKey]]),(DiscreteStatsTable[GroupByKey]=DiscreteStatsTable[[#This Row],[GroupByKey]])*DiscreteStatsTable[Minimum]))</f>
        <v>0.101748731497707</v>
      </c>
      <c r="U417" cm="1">
        <f t="array" ref="U417">MAX(IF((DiscreteStatsTable[GroupByKey]=DiscreteStatsTable[[#This Row],[GroupByKey]]),(DiscreteStatsTable[GroupByKey]=DiscreteStatsTable[[#This Row],[GroupByKey]])*DiscreteStatsTable[Maximum]))</f>
        <v>1.5939517145847</v>
      </c>
      <c r="V417" cm="1">
        <f t="array" ref="V41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7">
        <f>IF((DiscreteStatsTable[[#This Row],[RepsRequested]]&gt;1),DiscreteStatsTable[[#This Row],[HalfWidth]],DiscreteStatsTable[[#This Row],[BatchMeansHalfWidth]])</f>
        <v>1.3583273853576923E-3</v>
      </c>
      <c r="X417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131</v>
      </c>
      <c r="C418">
        <v>39</v>
      </c>
      <c r="D418" t="s">
        <v>78</v>
      </c>
      <c r="E418" t="s">
        <v>82</v>
      </c>
      <c r="F418" t="s">
        <v>80</v>
      </c>
      <c r="G418">
        <v>0.54783692669383299</v>
      </c>
      <c r="H418">
        <v>9.7852095120540605E-2</v>
      </c>
      <c r="I418">
        <v>0</v>
      </c>
      <c r="J418">
        <v>6.8680030951784898</v>
      </c>
      <c r="K418">
        <v>2400</v>
      </c>
      <c r="L418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18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cm="1">
        <f t="array" ref="N418">IFERROR(AVERAGE(IF((DiscreteStatsTable[GroupByKey]=DiscreteStatsTable[[#This Row],[GroupByKey]]),(DiscreteStatsTable[GroupByKey]=DiscreteStatsTable[[#This Row],[GroupByKey]])*DiscreteStatsTable[Average])),0)</f>
        <v>0.80557345969139849</v>
      </c>
      <c r="O418" cm="1">
        <f t="array" ref="O418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18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18" cm="1">
        <f t="array" ref="R418">MIN(IF((DiscreteStatsTable[GroupByKey]=DiscreteStatsTable[[#This Row],[GroupByKey]]),(DiscreteStatsTable[GroupByKey]=DiscreteStatsTable[[#This Row],[GroupByKey]])*DiscreteStatsTable[Average]))</f>
        <v>0.515986961752252</v>
      </c>
      <c r="S418" cm="1">
        <f t="array" ref="S418">MAX(IF((DiscreteStatsTable[GroupByKey]=DiscreteStatsTable[[#This Row],[GroupByKey]]),(DiscreteStatsTable[GroupByKey]=DiscreteStatsTable[[#This Row],[GroupByKey]])*DiscreteStatsTable[Average]))</f>
        <v>1.3542194698792001</v>
      </c>
      <c r="T418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cm="1">
        <f t="array" ref="U418">MAX(IF((DiscreteStatsTable[GroupByKey]=DiscreteStatsTable[[#This Row],[GroupByKey]]),(DiscreteStatsTable[GroupByKey]=DiscreteStatsTable[[#This Row],[GroupByKey]])*DiscreteStatsTable[Maximum]))</f>
        <v>28.983199492767199</v>
      </c>
      <c r="V418" cm="1">
        <f t="array" ref="V41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8">
        <f>IF((DiscreteStatsTable[[#This Row],[RepsRequested]]&gt;1),DiscreteStatsTable[[#This Row],[HalfWidth]],DiscreteStatsTable[[#This Row],[BatchMeansHalfWidth]])</f>
        <v>6.0520109610092528E-2</v>
      </c>
      <c r="X418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131</v>
      </c>
      <c r="C419">
        <v>40</v>
      </c>
      <c r="D419" t="s">
        <v>78</v>
      </c>
      <c r="E419" t="s">
        <v>79</v>
      </c>
      <c r="F419" t="s">
        <v>80</v>
      </c>
      <c r="G419">
        <v>1.12485593609541</v>
      </c>
      <c r="H419">
        <v>3E+20</v>
      </c>
      <c r="I419">
        <v>0.12783958908403301</v>
      </c>
      <c r="J419">
        <v>14.0348274638914</v>
      </c>
      <c r="K419">
        <v>2378</v>
      </c>
      <c r="L419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19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cm="1">
        <f t="array" ref="N419">IFERROR(AVERAGE(IF((DiscreteStatsTable[GroupByKey]=DiscreteStatsTable[[#This Row],[GroupByKey]]),(DiscreteStatsTable[GroupByKey]=DiscreteStatsTable[[#This Row],[GroupByKey]])*DiscreteStatsTable[Average])),0)</f>
        <v>1.2976784780992308</v>
      </c>
      <c r="O419" cm="1">
        <f t="array" ref="O419">IFERROR(_xlfn.STDEV.S(IF((DiscreteStatsTable[GroupByKey]=DiscreteStatsTable[[#This Row],[GroupByKey]]),(DiscreteStatsTable[GroupByKey]=DiscreteStatsTable[[#This Row],[GroupByKey]])*DiscreteStatsTable[Average])),0)</f>
        <v>0.214255822712483</v>
      </c>
      <c r="P419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19" cm="1">
        <f t="array" ref="R419">MIN(IF((DiscreteStatsTable[GroupByKey]=DiscreteStatsTable[[#This Row],[GroupByKey]]),(DiscreteStatsTable[GroupByKey]=DiscreteStatsTable[[#This Row],[GroupByKey]])*DiscreteStatsTable[Average]))</f>
        <v>1.00825666115094</v>
      </c>
      <c r="S419" cm="1">
        <f t="array" ref="S419">MAX(IF((DiscreteStatsTable[GroupByKey]=DiscreteStatsTable[[#This Row],[GroupByKey]]),(DiscreteStatsTable[GroupByKey]=DiscreteStatsTable[[#This Row],[GroupByKey]])*DiscreteStatsTable[Average]))</f>
        <v>1.85589832994621</v>
      </c>
      <c r="T419" cm="1">
        <f t="array" ref="T419">MIN(IF((DiscreteStatsTable[GroupByKey]=DiscreteStatsTable[[#This Row],[GroupByKey]]),(DiscreteStatsTable[GroupByKey]=DiscreteStatsTable[[#This Row],[GroupByKey]])*DiscreteStatsTable[Minimum]))</f>
        <v>0.10260384490715101</v>
      </c>
      <c r="U419" cm="1">
        <f t="array" ref="U419">MAX(IF((DiscreteStatsTable[GroupByKey]=DiscreteStatsTable[[#This Row],[GroupByKey]]),(DiscreteStatsTable[GroupByKey]=DiscreteStatsTable[[#This Row],[GroupByKey]])*DiscreteStatsTable[Maximum]))</f>
        <v>29.378397097512401</v>
      </c>
      <c r="V419" cm="1">
        <f t="array" ref="V41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19">
        <f>IF((DiscreteStatsTable[[#This Row],[RepsRequested]]&gt;1),DiscreteStatsTable[[#This Row],[HalfWidth]],DiscreteStatsTable[[#This Row],[BatchMeansHalfWidth]])</f>
        <v>6.0890831086538234E-2</v>
      </c>
      <c r="X419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131</v>
      </c>
      <c r="C420">
        <v>40</v>
      </c>
      <c r="D420" t="s">
        <v>78</v>
      </c>
      <c r="E420" t="s">
        <v>81</v>
      </c>
      <c r="F420" t="s">
        <v>80</v>
      </c>
      <c r="G420">
        <v>0.488685797759769</v>
      </c>
      <c r="H420">
        <v>1.32724434328951E-2</v>
      </c>
      <c r="I420">
        <v>0.106999395241772</v>
      </c>
      <c r="J420">
        <v>1.54986673647011</v>
      </c>
      <c r="K420">
        <v>2378</v>
      </c>
      <c r="L420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20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cm="1">
        <f t="array" ref="N420">IFERROR(AVERAGE(IF((DiscreteStatsTable[GroupByKey]=DiscreteStatsTable[[#This Row],[GroupByKey]]),(DiscreteStatsTable[GroupByKey]=DiscreteStatsTable[[#This Row],[GroupByKey]])*DiscreteStatsTable[Average])),0)</f>
        <v>0.49210501840783172</v>
      </c>
      <c r="O420" cm="1">
        <f t="array" ref="O420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20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20" cm="1">
        <f t="array" ref="R420">MIN(IF((DiscreteStatsTable[GroupByKey]=DiscreteStatsTable[[#This Row],[GroupByKey]]),(DiscreteStatsTable[GroupByKey]=DiscreteStatsTable[[#This Row],[GroupByKey]])*DiscreteStatsTable[Average]))</f>
        <v>0.481748748376016</v>
      </c>
      <c r="S420" cm="1">
        <f t="array" ref="S420">MAX(IF((DiscreteStatsTable[GroupByKey]=DiscreteStatsTable[[#This Row],[GroupByKey]]),(DiscreteStatsTable[GroupByKey]=DiscreteStatsTable[[#This Row],[GroupByKey]])*DiscreteStatsTable[Average]))</f>
        <v>0.50324408220295003</v>
      </c>
      <c r="T420" cm="1">
        <f t="array" ref="T420">MIN(IF((DiscreteStatsTable[GroupByKey]=DiscreteStatsTable[[#This Row],[GroupByKey]]),(DiscreteStatsTable[GroupByKey]=DiscreteStatsTable[[#This Row],[GroupByKey]])*DiscreteStatsTable[Minimum]))</f>
        <v>0.101748731497707</v>
      </c>
      <c r="U420" cm="1">
        <f t="array" ref="U420">MAX(IF((DiscreteStatsTable[GroupByKey]=DiscreteStatsTable[[#This Row],[GroupByKey]]),(DiscreteStatsTable[GroupByKey]=DiscreteStatsTable[[#This Row],[GroupByKey]])*DiscreteStatsTable[Maximum]))</f>
        <v>1.5939517145847</v>
      </c>
      <c r="V420" cm="1">
        <f t="array" ref="V42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0">
        <f>IF((DiscreteStatsTable[[#This Row],[RepsRequested]]&gt;1),DiscreteStatsTable[[#This Row],[HalfWidth]],DiscreteStatsTable[[#This Row],[BatchMeansHalfWidth]])</f>
        <v>1.3583273853576923E-3</v>
      </c>
      <c r="X420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131</v>
      </c>
      <c r="C421">
        <v>40</v>
      </c>
      <c r="D421" t="s">
        <v>78</v>
      </c>
      <c r="E421" t="s">
        <v>82</v>
      </c>
      <c r="F421" t="s">
        <v>80</v>
      </c>
      <c r="G421">
        <v>0.63617013833563596</v>
      </c>
      <c r="H421">
        <v>3E+20</v>
      </c>
      <c r="I421">
        <v>0</v>
      </c>
      <c r="J421">
        <v>13.6593345275468</v>
      </c>
      <c r="K421">
        <v>2378</v>
      </c>
      <c r="L421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21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cm="1">
        <f t="array" ref="N421">IFERROR(AVERAGE(IF((DiscreteStatsTable[GroupByKey]=DiscreteStatsTable[[#This Row],[GroupByKey]]),(DiscreteStatsTable[GroupByKey]=DiscreteStatsTable[[#This Row],[GroupByKey]])*DiscreteStatsTable[Average])),0)</f>
        <v>0.80557345969139849</v>
      </c>
      <c r="O421" cm="1">
        <f t="array" ref="O421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21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21" cm="1">
        <f t="array" ref="R421">MIN(IF((DiscreteStatsTable[GroupByKey]=DiscreteStatsTable[[#This Row],[GroupByKey]]),(DiscreteStatsTable[GroupByKey]=DiscreteStatsTable[[#This Row],[GroupByKey]])*DiscreteStatsTable[Average]))</f>
        <v>0.515986961752252</v>
      </c>
      <c r="S421" cm="1">
        <f t="array" ref="S421">MAX(IF((DiscreteStatsTable[GroupByKey]=DiscreteStatsTable[[#This Row],[GroupByKey]]),(DiscreteStatsTable[GroupByKey]=DiscreteStatsTable[[#This Row],[GroupByKey]])*DiscreteStatsTable[Average]))</f>
        <v>1.3542194698792001</v>
      </c>
      <c r="T421" cm="1">
        <f t="array" ref="T421">MIN(IF((DiscreteStatsTable[GroupByKey]=DiscreteStatsTable[[#This Row],[GroupByKey]]),(DiscreteStatsTable[GroupByKey]=DiscreteStatsTable[[#This Row],[GroupByKey]])*DiscreteStatsTable[Minimum]))</f>
        <v>0</v>
      </c>
      <c r="U421" cm="1">
        <f t="array" ref="U421">MAX(IF((DiscreteStatsTable[GroupByKey]=DiscreteStatsTable[[#This Row],[GroupByKey]]),(DiscreteStatsTable[GroupByKey]=DiscreteStatsTable[[#This Row],[GroupByKey]])*DiscreteStatsTable[Maximum]))</f>
        <v>28.983199492767199</v>
      </c>
      <c r="V421" cm="1">
        <f t="array" ref="V42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1">
        <f>IF((DiscreteStatsTable[[#This Row],[RepsRequested]]&gt;1),DiscreteStatsTable[[#This Row],[HalfWidth]],DiscreteStatsTable[[#This Row],[BatchMeansHalfWidth]])</f>
        <v>6.0520109610092528E-2</v>
      </c>
      <c r="X421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131</v>
      </c>
      <c r="C422">
        <v>41</v>
      </c>
      <c r="D422" t="s">
        <v>78</v>
      </c>
      <c r="E422" t="s">
        <v>79</v>
      </c>
      <c r="F422" t="s">
        <v>80</v>
      </c>
      <c r="G422">
        <v>1.11115053689756</v>
      </c>
      <c r="H422">
        <v>0.20211089590474399</v>
      </c>
      <c r="I422">
        <v>0.11192689259746701</v>
      </c>
      <c r="J422">
        <v>12.5992018897165</v>
      </c>
      <c r="K422">
        <v>2335</v>
      </c>
      <c r="L422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22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cm="1">
        <f t="array" ref="N422">IFERROR(AVERAGE(IF((DiscreteStatsTable[GroupByKey]=DiscreteStatsTable[[#This Row],[GroupByKey]]),(DiscreteStatsTable[GroupByKey]=DiscreteStatsTable[[#This Row],[GroupByKey]])*DiscreteStatsTable[Average])),0)</f>
        <v>1.2976784780992308</v>
      </c>
      <c r="O422" cm="1">
        <f t="array" ref="O422">IFERROR(_xlfn.STDEV.S(IF((DiscreteStatsTable[GroupByKey]=DiscreteStatsTable[[#This Row],[GroupByKey]]),(DiscreteStatsTable[GroupByKey]=DiscreteStatsTable[[#This Row],[GroupByKey]])*DiscreteStatsTable[Average])),0)</f>
        <v>0.214255822712483</v>
      </c>
      <c r="P422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22" cm="1">
        <f t="array" ref="R422">MIN(IF((DiscreteStatsTable[GroupByKey]=DiscreteStatsTable[[#This Row],[GroupByKey]]),(DiscreteStatsTable[GroupByKey]=DiscreteStatsTable[[#This Row],[GroupByKey]])*DiscreteStatsTable[Average]))</f>
        <v>1.00825666115094</v>
      </c>
      <c r="S422" cm="1">
        <f t="array" ref="S422">MAX(IF((DiscreteStatsTable[GroupByKey]=DiscreteStatsTable[[#This Row],[GroupByKey]]),(DiscreteStatsTable[GroupByKey]=DiscreteStatsTable[[#This Row],[GroupByKey]])*DiscreteStatsTable[Average]))</f>
        <v>1.85589832994621</v>
      </c>
      <c r="T422" cm="1">
        <f t="array" ref="T422">MIN(IF((DiscreteStatsTable[GroupByKey]=DiscreteStatsTable[[#This Row],[GroupByKey]]),(DiscreteStatsTable[GroupByKey]=DiscreteStatsTable[[#This Row],[GroupByKey]])*DiscreteStatsTable[Minimum]))</f>
        <v>0.10260384490715101</v>
      </c>
      <c r="U422" cm="1">
        <f t="array" ref="U422">MAX(IF((DiscreteStatsTable[GroupByKey]=DiscreteStatsTable[[#This Row],[GroupByKey]]),(DiscreteStatsTable[GroupByKey]=DiscreteStatsTable[[#This Row],[GroupByKey]])*DiscreteStatsTable[Maximum]))</f>
        <v>29.378397097512401</v>
      </c>
      <c r="V422" cm="1">
        <f t="array" ref="V42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2">
        <f>IF((DiscreteStatsTable[[#This Row],[RepsRequested]]&gt;1),DiscreteStatsTable[[#This Row],[HalfWidth]],DiscreteStatsTable[[#This Row],[BatchMeansHalfWidth]])</f>
        <v>6.0890831086538234E-2</v>
      </c>
      <c r="X422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131</v>
      </c>
      <c r="C423">
        <v>41</v>
      </c>
      <c r="D423" t="s">
        <v>78</v>
      </c>
      <c r="E423" t="s">
        <v>81</v>
      </c>
      <c r="F423" t="s">
        <v>80</v>
      </c>
      <c r="G423">
        <v>0.49243064418789101</v>
      </c>
      <c r="H423">
        <v>1.23574110453415E-2</v>
      </c>
      <c r="I423">
        <v>0.102474533341592</v>
      </c>
      <c r="J423">
        <v>1.5658119214538899</v>
      </c>
      <c r="K423">
        <v>2335</v>
      </c>
      <c r="L423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23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cm="1">
        <f t="array" ref="N423">IFERROR(AVERAGE(IF((DiscreteStatsTable[GroupByKey]=DiscreteStatsTable[[#This Row],[GroupByKey]]),(DiscreteStatsTable[GroupByKey]=DiscreteStatsTable[[#This Row],[GroupByKey]])*DiscreteStatsTable[Average])),0)</f>
        <v>0.49210501840783172</v>
      </c>
      <c r="O423" cm="1">
        <f t="array" ref="O423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23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23" cm="1">
        <f t="array" ref="R423">MIN(IF((DiscreteStatsTable[GroupByKey]=DiscreteStatsTable[[#This Row],[GroupByKey]]),(DiscreteStatsTable[GroupByKey]=DiscreteStatsTable[[#This Row],[GroupByKey]])*DiscreteStatsTable[Average]))</f>
        <v>0.481748748376016</v>
      </c>
      <c r="S423" cm="1">
        <f t="array" ref="S423">MAX(IF((DiscreteStatsTable[GroupByKey]=DiscreteStatsTable[[#This Row],[GroupByKey]]),(DiscreteStatsTable[GroupByKey]=DiscreteStatsTable[[#This Row],[GroupByKey]])*DiscreteStatsTable[Average]))</f>
        <v>0.50324408220295003</v>
      </c>
      <c r="T423" cm="1">
        <f t="array" ref="T423">MIN(IF((DiscreteStatsTable[GroupByKey]=DiscreteStatsTable[[#This Row],[GroupByKey]]),(DiscreteStatsTable[GroupByKey]=DiscreteStatsTable[[#This Row],[GroupByKey]])*DiscreteStatsTable[Minimum]))</f>
        <v>0.101748731497707</v>
      </c>
      <c r="U423" cm="1">
        <f t="array" ref="U423">MAX(IF((DiscreteStatsTable[GroupByKey]=DiscreteStatsTable[[#This Row],[GroupByKey]]),(DiscreteStatsTable[GroupByKey]=DiscreteStatsTable[[#This Row],[GroupByKey]])*DiscreteStatsTable[Maximum]))</f>
        <v>1.5939517145847</v>
      </c>
      <c r="V423" cm="1">
        <f t="array" ref="V42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3">
        <f>IF((DiscreteStatsTable[[#This Row],[RepsRequested]]&gt;1),DiscreteStatsTable[[#This Row],[HalfWidth]],DiscreteStatsTable[[#This Row],[BatchMeansHalfWidth]])</f>
        <v>1.3583273853576923E-3</v>
      </c>
      <c r="X423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131</v>
      </c>
      <c r="C424">
        <v>41</v>
      </c>
      <c r="D424" t="s">
        <v>78</v>
      </c>
      <c r="E424" t="s">
        <v>82</v>
      </c>
      <c r="F424" t="s">
        <v>80</v>
      </c>
      <c r="G424">
        <v>0.61871989270966399</v>
      </c>
      <c r="H424">
        <v>0.19992292692972899</v>
      </c>
      <c r="I424">
        <v>0</v>
      </c>
      <c r="J424">
        <v>12.4475482909905</v>
      </c>
      <c r="K424">
        <v>2335</v>
      </c>
      <c r="L424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24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cm="1">
        <f t="array" ref="N424">IFERROR(AVERAGE(IF((DiscreteStatsTable[GroupByKey]=DiscreteStatsTable[[#This Row],[GroupByKey]]),(DiscreteStatsTable[GroupByKey]=DiscreteStatsTable[[#This Row],[GroupByKey]])*DiscreteStatsTable[Average])),0)</f>
        <v>0.80557345969139849</v>
      </c>
      <c r="O424" cm="1">
        <f t="array" ref="O424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24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24" cm="1">
        <f t="array" ref="R424">MIN(IF((DiscreteStatsTable[GroupByKey]=DiscreteStatsTable[[#This Row],[GroupByKey]]),(DiscreteStatsTable[GroupByKey]=DiscreteStatsTable[[#This Row],[GroupByKey]])*DiscreteStatsTable[Average]))</f>
        <v>0.515986961752252</v>
      </c>
      <c r="S424" cm="1">
        <f t="array" ref="S424">MAX(IF((DiscreteStatsTable[GroupByKey]=DiscreteStatsTable[[#This Row],[GroupByKey]]),(DiscreteStatsTable[GroupByKey]=DiscreteStatsTable[[#This Row],[GroupByKey]])*DiscreteStatsTable[Average]))</f>
        <v>1.3542194698792001</v>
      </c>
      <c r="T424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cm="1">
        <f t="array" ref="U424">MAX(IF((DiscreteStatsTable[GroupByKey]=DiscreteStatsTable[[#This Row],[GroupByKey]]),(DiscreteStatsTable[GroupByKey]=DiscreteStatsTable[[#This Row],[GroupByKey]])*DiscreteStatsTable[Maximum]))</f>
        <v>28.983199492767199</v>
      </c>
      <c r="V424" cm="1">
        <f t="array" ref="V42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4">
        <f>IF((DiscreteStatsTable[[#This Row],[RepsRequested]]&gt;1),DiscreteStatsTable[[#This Row],[HalfWidth]],DiscreteStatsTable[[#This Row],[BatchMeansHalfWidth]])</f>
        <v>6.0520109610092528E-2</v>
      </c>
      <c r="X424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131</v>
      </c>
      <c r="C425">
        <v>42</v>
      </c>
      <c r="D425" t="s">
        <v>78</v>
      </c>
      <c r="E425" t="s">
        <v>79</v>
      </c>
      <c r="F425" t="s">
        <v>80</v>
      </c>
      <c r="G425">
        <v>1.1990123643368</v>
      </c>
      <c r="H425">
        <v>3E+20</v>
      </c>
      <c r="I425">
        <v>0.111062882130454</v>
      </c>
      <c r="J425">
        <v>15.3195631144015</v>
      </c>
      <c r="K425">
        <v>2421</v>
      </c>
      <c r="L425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2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cm="1">
        <f t="array" ref="N425">IFERROR(AVERAGE(IF((DiscreteStatsTable[GroupByKey]=DiscreteStatsTable[[#This Row],[GroupByKey]]),(DiscreteStatsTable[GroupByKey]=DiscreteStatsTable[[#This Row],[GroupByKey]])*DiscreteStatsTable[Average])),0)</f>
        <v>1.2976784780992308</v>
      </c>
      <c r="O425" cm="1">
        <f t="array" ref="O425">IFERROR(_xlfn.STDEV.S(IF((DiscreteStatsTable[GroupByKey]=DiscreteStatsTable[[#This Row],[GroupByKey]]),(DiscreteStatsTable[GroupByKey]=DiscreteStatsTable[[#This Row],[GroupByKey]])*DiscreteStatsTable[Average])),0)</f>
        <v>0.214255822712483</v>
      </c>
      <c r="P42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25" cm="1">
        <f t="array" ref="R425">MIN(IF((DiscreteStatsTable[GroupByKey]=DiscreteStatsTable[[#This Row],[GroupByKey]]),(DiscreteStatsTable[GroupByKey]=DiscreteStatsTable[[#This Row],[GroupByKey]])*DiscreteStatsTable[Average]))</f>
        <v>1.00825666115094</v>
      </c>
      <c r="S425" cm="1">
        <f t="array" ref="S425">MAX(IF((DiscreteStatsTable[GroupByKey]=DiscreteStatsTable[[#This Row],[GroupByKey]]),(DiscreteStatsTable[GroupByKey]=DiscreteStatsTable[[#This Row],[GroupByKey]])*DiscreteStatsTable[Average]))</f>
        <v>1.85589832994621</v>
      </c>
      <c r="T425" cm="1">
        <f t="array" ref="T425">MIN(IF((DiscreteStatsTable[GroupByKey]=DiscreteStatsTable[[#This Row],[GroupByKey]]),(DiscreteStatsTable[GroupByKey]=DiscreteStatsTable[[#This Row],[GroupByKey]])*DiscreteStatsTable[Minimum]))</f>
        <v>0.10260384490715101</v>
      </c>
      <c r="U425" cm="1">
        <f t="array" ref="U425">MAX(IF((DiscreteStatsTable[GroupByKey]=DiscreteStatsTable[[#This Row],[GroupByKey]]),(DiscreteStatsTable[GroupByKey]=DiscreteStatsTable[[#This Row],[GroupByKey]])*DiscreteStatsTable[Maximum]))</f>
        <v>29.378397097512401</v>
      </c>
      <c r="V425" cm="1">
        <f t="array" ref="V42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5">
        <f>IF((DiscreteStatsTable[[#This Row],[RepsRequested]]&gt;1),DiscreteStatsTable[[#This Row],[HalfWidth]],DiscreteStatsTable[[#This Row],[BatchMeansHalfWidth]])</f>
        <v>6.0890831086538234E-2</v>
      </c>
      <c r="X42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131</v>
      </c>
      <c r="C426">
        <v>42</v>
      </c>
      <c r="D426" t="s">
        <v>78</v>
      </c>
      <c r="E426" t="s">
        <v>81</v>
      </c>
      <c r="F426" t="s">
        <v>80</v>
      </c>
      <c r="G426">
        <v>0.481748748376016</v>
      </c>
      <c r="H426">
        <v>3E+20</v>
      </c>
      <c r="I426">
        <v>0.10889027573483601</v>
      </c>
      <c r="J426">
        <v>1.5718712749341499</v>
      </c>
      <c r="K426">
        <v>2421</v>
      </c>
      <c r="L426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26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cm="1">
        <f t="array" ref="N426">IFERROR(AVERAGE(IF((DiscreteStatsTable[GroupByKey]=DiscreteStatsTable[[#This Row],[GroupByKey]]),(DiscreteStatsTable[GroupByKey]=DiscreteStatsTable[[#This Row],[GroupByKey]])*DiscreteStatsTable[Average])),0)</f>
        <v>0.49210501840783172</v>
      </c>
      <c r="O426" cm="1">
        <f t="array" ref="O426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26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26" cm="1">
        <f t="array" ref="R426">MIN(IF((DiscreteStatsTable[GroupByKey]=DiscreteStatsTable[[#This Row],[GroupByKey]]),(DiscreteStatsTable[GroupByKey]=DiscreteStatsTable[[#This Row],[GroupByKey]])*DiscreteStatsTable[Average]))</f>
        <v>0.481748748376016</v>
      </c>
      <c r="S426" cm="1">
        <f t="array" ref="S426">MAX(IF((DiscreteStatsTable[GroupByKey]=DiscreteStatsTable[[#This Row],[GroupByKey]]),(DiscreteStatsTable[GroupByKey]=DiscreteStatsTable[[#This Row],[GroupByKey]])*DiscreteStatsTable[Average]))</f>
        <v>0.50324408220295003</v>
      </c>
      <c r="T426" cm="1">
        <f t="array" ref="T426">MIN(IF((DiscreteStatsTable[GroupByKey]=DiscreteStatsTable[[#This Row],[GroupByKey]]),(DiscreteStatsTable[GroupByKey]=DiscreteStatsTable[[#This Row],[GroupByKey]])*DiscreteStatsTable[Minimum]))</f>
        <v>0.101748731497707</v>
      </c>
      <c r="U426" cm="1">
        <f t="array" ref="U426">MAX(IF((DiscreteStatsTable[GroupByKey]=DiscreteStatsTable[[#This Row],[GroupByKey]]),(DiscreteStatsTable[GroupByKey]=DiscreteStatsTable[[#This Row],[GroupByKey]])*DiscreteStatsTable[Maximum]))</f>
        <v>1.5939517145847</v>
      </c>
      <c r="V426" cm="1">
        <f t="array" ref="V42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6">
        <f>IF((DiscreteStatsTable[[#This Row],[RepsRequested]]&gt;1),DiscreteStatsTable[[#This Row],[HalfWidth]],DiscreteStatsTable[[#This Row],[BatchMeansHalfWidth]])</f>
        <v>1.3583273853576923E-3</v>
      </c>
      <c r="X426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131</v>
      </c>
      <c r="C427">
        <v>42</v>
      </c>
      <c r="D427" t="s">
        <v>78</v>
      </c>
      <c r="E427" t="s">
        <v>82</v>
      </c>
      <c r="F427" t="s">
        <v>80</v>
      </c>
      <c r="G427">
        <v>0.71726361596079102</v>
      </c>
      <c r="H427">
        <v>3E+20</v>
      </c>
      <c r="I427">
        <v>0</v>
      </c>
      <c r="J427">
        <v>15.103764369289699</v>
      </c>
      <c r="K427">
        <v>2421</v>
      </c>
      <c r="L427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27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cm="1">
        <f t="array" ref="N427">IFERROR(AVERAGE(IF((DiscreteStatsTable[GroupByKey]=DiscreteStatsTable[[#This Row],[GroupByKey]]),(DiscreteStatsTable[GroupByKey]=DiscreteStatsTable[[#This Row],[GroupByKey]])*DiscreteStatsTable[Average])),0)</f>
        <v>0.80557345969139849</v>
      </c>
      <c r="O427" cm="1">
        <f t="array" ref="O427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27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27" cm="1">
        <f t="array" ref="R427">MIN(IF((DiscreteStatsTable[GroupByKey]=DiscreteStatsTable[[#This Row],[GroupByKey]]),(DiscreteStatsTable[GroupByKey]=DiscreteStatsTable[[#This Row],[GroupByKey]])*DiscreteStatsTable[Average]))</f>
        <v>0.515986961752252</v>
      </c>
      <c r="S427" cm="1">
        <f t="array" ref="S427">MAX(IF((DiscreteStatsTable[GroupByKey]=DiscreteStatsTable[[#This Row],[GroupByKey]]),(DiscreteStatsTable[GroupByKey]=DiscreteStatsTable[[#This Row],[GroupByKey]])*DiscreteStatsTable[Average]))</f>
        <v>1.3542194698792001</v>
      </c>
      <c r="T427" cm="1">
        <f t="array" ref="T427">MIN(IF((DiscreteStatsTable[GroupByKey]=DiscreteStatsTable[[#This Row],[GroupByKey]]),(DiscreteStatsTable[GroupByKey]=DiscreteStatsTable[[#This Row],[GroupByKey]])*DiscreteStatsTable[Minimum]))</f>
        <v>0</v>
      </c>
      <c r="U427" cm="1">
        <f t="array" ref="U427">MAX(IF((DiscreteStatsTable[GroupByKey]=DiscreteStatsTable[[#This Row],[GroupByKey]]),(DiscreteStatsTable[GroupByKey]=DiscreteStatsTable[[#This Row],[GroupByKey]])*DiscreteStatsTable[Maximum]))</f>
        <v>28.983199492767199</v>
      </c>
      <c r="V427" cm="1">
        <f t="array" ref="V42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7">
        <f>IF((DiscreteStatsTable[[#This Row],[RepsRequested]]&gt;1),DiscreteStatsTable[[#This Row],[HalfWidth]],DiscreteStatsTable[[#This Row],[BatchMeansHalfWidth]])</f>
        <v>6.0520109610092528E-2</v>
      </c>
      <c r="X427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131</v>
      </c>
      <c r="C428">
        <v>43</v>
      </c>
      <c r="D428" t="s">
        <v>78</v>
      </c>
      <c r="E428" t="s">
        <v>79</v>
      </c>
      <c r="F428" t="s">
        <v>80</v>
      </c>
      <c r="G428">
        <v>1.2092989446307001</v>
      </c>
      <c r="H428">
        <v>3E+20</v>
      </c>
      <c r="I428">
        <v>0.12504087031959399</v>
      </c>
      <c r="J428">
        <v>13.224555477398001</v>
      </c>
      <c r="K428">
        <v>2363</v>
      </c>
      <c r="L428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28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cm="1">
        <f t="array" ref="N428">IFERROR(AVERAGE(IF((DiscreteStatsTable[GroupByKey]=DiscreteStatsTable[[#This Row],[GroupByKey]]),(DiscreteStatsTable[GroupByKey]=DiscreteStatsTable[[#This Row],[GroupByKey]])*DiscreteStatsTable[Average])),0)</f>
        <v>1.2976784780992308</v>
      </c>
      <c r="O428" cm="1">
        <f t="array" ref="O428">IFERROR(_xlfn.STDEV.S(IF((DiscreteStatsTable[GroupByKey]=DiscreteStatsTable[[#This Row],[GroupByKey]]),(DiscreteStatsTable[GroupByKey]=DiscreteStatsTable[[#This Row],[GroupByKey]])*DiscreteStatsTable[Average])),0)</f>
        <v>0.214255822712483</v>
      </c>
      <c r="P428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28" cm="1">
        <f t="array" ref="R428">MIN(IF((DiscreteStatsTable[GroupByKey]=DiscreteStatsTable[[#This Row],[GroupByKey]]),(DiscreteStatsTable[GroupByKey]=DiscreteStatsTable[[#This Row],[GroupByKey]])*DiscreteStatsTable[Average]))</f>
        <v>1.00825666115094</v>
      </c>
      <c r="S428" cm="1">
        <f t="array" ref="S428">MAX(IF((DiscreteStatsTable[GroupByKey]=DiscreteStatsTable[[#This Row],[GroupByKey]]),(DiscreteStatsTable[GroupByKey]=DiscreteStatsTable[[#This Row],[GroupByKey]])*DiscreteStatsTable[Average]))</f>
        <v>1.85589832994621</v>
      </c>
      <c r="T428" cm="1">
        <f t="array" ref="T428">MIN(IF((DiscreteStatsTable[GroupByKey]=DiscreteStatsTable[[#This Row],[GroupByKey]]),(DiscreteStatsTable[GroupByKey]=DiscreteStatsTable[[#This Row],[GroupByKey]])*DiscreteStatsTable[Minimum]))</f>
        <v>0.10260384490715101</v>
      </c>
      <c r="U428" cm="1">
        <f t="array" ref="U428">MAX(IF((DiscreteStatsTable[GroupByKey]=DiscreteStatsTable[[#This Row],[GroupByKey]]),(DiscreteStatsTable[GroupByKey]=DiscreteStatsTable[[#This Row],[GroupByKey]])*DiscreteStatsTable[Maximum]))</f>
        <v>29.378397097512401</v>
      </c>
      <c r="V428" cm="1">
        <f t="array" ref="V42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8">
        <f>IF((DiscreteStatsTable[[#This Row],[RepsRequested]]&gt;1),DiscreteStatsTable[[#This Row],[HalfWidth]],DiscreteStatsTable[[#This Row],[BatchMeansHalfWidth]])</f>
        <v>6.0890831086538234E-2</v>
      </c>
      <c r="X428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131</v>
      </c>
      <c r="C429">
        <v>43</v>
      </c>
      <c r="D429" t="s">
        <v>78</v>
      </c>
      <c r="E429" t="s">
        <v>81</v>
      </c>
      <c r="F429" t="s">
        <v>80</v>
      </c>
      <c r="G429">
        <v>0.49119186383860702</v>
      </c>
      <c r="H429">
        <v>1.05774645966903E-2</v>
      </c>
      <c r="I429">
        <v>0.10551814347223901</v>
      </c>
      <c r="J429">
        <v>1.5910602431404199</v>
      </c>
      <c r="K429">
        <v>2363</v>
      </c>
      <c r="L429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29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cm="1">
        <f t="array" ref="N429">IFERROR(AVERAGE(IF((DiscreteStatsTable[GroupByKey]=DiscreteStatsTable[[#This Row],[GroupByKey]]),(DiscreteStatsTable[GroupByKey]=DiscreteStatsTable[[#This Row],[GroupByKey]])*DiscreteStatsTable[Average])),0)</f>
        <v>0.49210501840783172</v>
      </c>
      <c r="O429" cm="1">
        <f t="array" ref="O429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29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29" cm="1">
        <f t="array" ref="R429">MIN(IF((DiscreteStatsTable[GroupByKey]=DiscreteStatsTable[[#This Row],[GroupByKey]]),(DiscreteStatsTable[GroupByKey]=DiscreteStatsTable[[#This Row],[GroupByKey]])*DiscreteStatsTable[Average]))</f>
        <v>0.481748748376016</v>
      </c>
      <c r="S429" cm="1">
        <f t="array" ref="S429">MAX(IF((DiscreteStatsTable[GroupByKey]=DiscreteStatsTable[[#This Row],[GroupByKey]]),(DiscreteStatsTable[GroupByKey]=DiscreteStatsTable[[#This Row],[GroupByKey]])*DiscreteStatsTable[Average]))</f>
        <v>0.50324408220295003</v>
      </c>
      <c r="T429" cm="1">
        <f t="array" ref="T429">MIN(IF((DiscreteStatsTable[GroupByKey]=DiscreteStatsTable[[#This Row],[GroupByKey]]),(DiscreteStatsTable[GroupByKey]=DiscreteStatsTable[[#This Row],[GroupByKey]])*DiscreteStatsTable[Minimum]))</f>
        <v>0.101748731497707</v>
      </c>
      <c r="U429" cm="1">
        <f t="array" ref="U429">MAX(IF((DiscreteStatsTable[GroupByKey]=DiscreteStatsTable[[#This Row],[GroupByKey]]),(DiscreteStatsTable[GroupByKey]=DiscreteStatsTable[[#This Row],[GroupByKey]])*DiscreteStatsTable[Maximum]))</f>
        <v>1.5939517145847</v>
      </c>
      <c r="V429" cm="1">
        <f t="array" ref="V42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29">
        <f>IF((DiscreteStatsTable[[#This Row],[RepsRequested]]&gt;1),DiscreteStatsTable[[#This Row],[HalfWidth]],DiscreteStatsTable[[#This Row],[BatchMeansHalfWidth]])</f>
        <v>1.3583273853576923E-3</v>
      </c>
      <c r="X429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131</v>
      </c>
      <c r="C430">
        <v>43</v>
      </c>
      <c r="D430" t="s">
        <v>78</v>
      </c>
      <c r="E430" t="s">
        <v>82</v>
      </c>
      <c r="F430" t="s">
        <v>80</v>
      </c>
      <c r="G430">
        <v>0.71810708079209096</v>
      </c>
      <c r="H430">
        <v>3E+20</v>
      </c>
      <c r="I430">
        <v>0</v>
      </c>
      <c r="J430">
        <v>12.795156442757699</v>
      </c>
      <c r="K430">
        <v>2363</v>
      </c>
      <c r="L430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30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cm="1">
        <f t="array" ref="N430">IFERROR(AVERAGE(IF((DiscreteStatsTable[GroupByKey]=DiscreteStatsTable[[#This Row],[GroupByKey]]),(DiscreteStatsTable[GroupByKey]=DiscreteStatsTable[[#This Row],[GroupByKey]])*DiscreteStatsTable[Average])),0)</f>
        <v>0.80557345969139849</v>
      </c>
      <c r="O430" cm="1">
        <f t="array" ref="O430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30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30" cm="1">
        <f t="array" ref="R430">MIN(IF((DiscreteStatsTable[GroupByKey]=DiscreteStatsTable[[#This Row],[GroupByKey]]),(DiscreteStatsTable[GroupByKey]=DiscreteStatsTable[[#This Row],[GroupByKey]])*DiscreteStatsTable[Average]))</f>
        <v>0.515986961752252</v>
      </c>
      <c r="S430" cm="1">
        <f t="array" ref="S430">MAX(IF((DiscreteStatsTable[GroupByKey]=DiscreteStatsTable[[#This Row],[GroupByKey]]),(DiscreteStatsTable[GroupByKey]=DiscreteStatsTable[[#This Row],[GroupByKey]])*DiscreteStatsTable[Average]))</f>
        <v>1.3542194698792001</v>
      </c>
      <c r="T430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cm="1">
        <f t="array" ref="U430">MAX(IF((DiscreteStatsTable[GroupByKey]=DiscreteStatsTable[[#This Row],[GroupByKey]]),(DiscreteStatsTable[GroupByKey]=DiscreteStatsTable[[#This Row],[GroupByKey]])*DiscreteStatsTable[Maximum]))</f>
        <v>28.983199492767199</v>
      </c>
      <c r="V430" cm="1">
        <f t="array" ref="V43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0">
        <f>IF((DiscreteStatsTable[[#This Row],[RepsRequested]]&gt;1),DiscreteStatsTable[[#This Row],[HalfWidth]],DiscreteStatsTable[[#This Row],[BatchMeansHalfWidth]])</f>
        <v>6.0520109610092528E-2</v>
      </c>
      <c r="X430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131</v>
      </c>
      <c r="C431">
        <v>44</v>
      </c>
      <c r="D431" t="s">
        <v>78</v>
      </c>
      <c r="E431" t="s">
        <v>79</v>
      </c>
      <c r="F431" t="s">
        <v>80</v>
      </c>
      <c r="G431">
        <v>1.06680215649789</v>
      </c>
      <c r="H431">
        <v>0.14558426075539599</v>
      </c>
      <c r="I431">
        <v>0.121578042291276</v>
      </c>
      <c r="J431">
        <v>10.3878989152395</v>
      </c>
      <c r="K431">
        <v>2339</v>
      </c>
      <c r="L431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31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cm="1">
        <f t="array" ref="N431">IFERROR(AVERAGE(IF((DiscreteStatsTable[GroupByKey]=DiscreteStatsTable[[#This Row],[GroupByKey]]),(DiscreteStatsTable[GroupByKey]=DiscreteStatsTable[[#This Row],[GroupByKey]])*DiscreteStatsTable[Average])),0)</f>
        <v>1.2976784780992308</v>
      </c>
      <c r="O431" cm="1">
        <f t="array" ref="O431">IFERROR(_xlfn.STDEV.S(IF((DiscreteStatsTable[GroupByKey]=DiscreteStatsTable[[#This Row],[GroupByKey]]),(DiscreteStatsTable[GroupByKey]=DiscreteStatsTable[[#This Row],[GroupByKey]])*DiscreteStatsTable[Average])),0)</f>
        <v>0.214255822712483</v>
      </c>
      <c r="P431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31" cm="1">
        <f t="array" ref="R431">MIN(IF((DiscreteStatsTable[GroupByKey]=DiscreteStatsTable[[#This Row],[GroupByKey]]),(DiscreteStatsTable[GroupByKey]=DiscreteStatsTable[[#This Row],[GroupByKey]])*DiscreteStatsTable[Average]))</f>
        <v>1.00825666115094</v>
      </c>
      <c r="S431" cm="1">
        <f t="array" ref="S431">MAX(IF((DiscreteStatsTable[GroupByKey]=DiscreteStatsTable[[#This Row],[GroupByKey]]),(DiscreteStatsTable[GroupByKey]=DiscreteStatsTable[[#This Row],[GroupByKey]])*DiscreteStatsTable[Average]))</f>
        <v>1.85589832994621</v>
      </c>
      <c r="T431" cm="1">
        <f t="array" ref="T431">MIN(IF((DiscreteStatsTable[GroupByKey]=DiscreteStatsTable[[#This Row],[GroupByKey]]),(DiscreteStatsTable[GroupByKey]=DiscreteStatsTable[[#This Row],[GroupByKey]])*DiscreteStatsTable[Minimum]))</f>
        <v>0.10260384490715101</v>
      </c>
      <c r="U431" cm="1">
        <f t="array" ref="U431">MAX(IF((DiscreteStatsTable[GroupByKey]=DiscreteStatsTable[[#This Row],[GroupByKey]]),(DiscreteStatsTable[GroupByKey]=DiscreteStatsTable[[#This Row],[GroupByKey]])*DiscreteStatsTable[Maximum]))</f>
        <v>29.378397097512401</v>
      </c>
      <c r="V431" cm="1">
        <f t="array" ref="V43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1">
        <f>IF((DiscreteStatsTable[[#This Row],[RepsRequested]]&gt;1),DiscreteStatsTable[[#This Row],[HalfWidth]],DiscreteStatsTable[[#This Row],[BatchMeansHalfWidth]])</f>
        <v>6.0890831086538234E-2</v>
      </c>
      <c r="X431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131</v>
      </c>
      <c r="C432">
        <v>44</v>
      </c>
      <c r="D432" t="s">
        <v>78</v>
      </c>
      <c r="E432" t="s">
        <v>81</v>
      </c>
      <c r="F432" t="s">
        <v>80</v>
      </c>
      <c r="G432">
        <v>0.49261755151707598</v>
      </c>
      <c r="H432">
        <v>1.1995551185222299E-2</v>
      </c>
      <c r="I432">
        <v>0.113829813925584</v>
      </c>
      <c r="J432">
        <v>1.5590144139370199</v>
      </c>
      <c r="K432">
        <v>2339</v>
      </c>
      <c r="L432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32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cm="1">
        <f t="array" ref="N432">IFERROR(AVERAGE(IF((DiscreteStatsTable[GroupByKey]=DiscreteStatsTable[[#This Row],[GroupByKey]]),(DiscreteStatsTable[GroupByKey]=DiscreteStatsTable[[#This Row],[GroupByKey]])*DiscreteStatsTable[Average])),0)</f>
        <v>0.49210501840783172</v>
      </c>
      <c r="O432" cm="1">
        <f t="array" ref="O432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32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32" cm="1">
        <f t="array" ref="R432">MIN(IF((DiscreteStatsTable[GroupByKey]=DiscreteStatsTable[[#This Row],[GroupByKey]]),(DiscreteStatsTable[GroupByKey]=DiscreteStatsTable[[#This Row],[GroupByKey]])*DiscreteStatsTable[Average]))</f>
        <v>0.481748748376016</v>
      </c>
      <c r="S432" cm="1">
        <f t="array" ref="S432">MAX(IF((DiscreteStatsTable[GroupByKey]=DiscreteStatsTable[[#This Row],[GroupByKey]]),(DiscreteStatsTable[GroupByKey]=DiscreteStatsTable[[#This Row],[GroupByKey]])*DiscreteStatsTable[Average]))</f>
        <v>0.50324408220295003</v>
      </c>
      <c r="T432" cm="1">
        <f t="array" ref="T432">MIN(IF((DiscreteStatsTable[GroupByKey]=DiscreteStatsTable[[#This Row],[GroupByKey]]),(DiscreteStatsTable[GroupByKey]=DiscreteStatsTable[[#This Row],[GroupByKey]])*DiscreteStatsTable[Minimum]))</f>
        <v>0.101748731497707</v>
      </c>
      <c r="U432" cm="1">
        <f t="array" ref="U432">MAX(IF((DiscreteStatsTable[GroupByKey]=DiscreteStatsTable[[#This Row],[GroupByKey]]),(DiscreteStatsTable[GroupByKey]=DiscreteStatsTable[[#This Row],[GroupByKey]])*DiscreteStatsTable[Maximum]))</f>
        <v>1.5939517145847</v>
      </c>
      <c r="V432" cm="1">
        <f t="array" ref="V43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2">
        <f>IF((DiscreteStatsTable[[#This Row],[RepsRequested]]&gt;1),DiscreteStatsTable[[#This Row],[HalfWidth]],DiscreteStatsTable[[#This Row],[BatchMeansHalfWidth]])</f>
        <v>1.3583273853576923E-3</v>
      </c>
      <c r="X432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131</v>
      </c>
      <c r="C433">
        <v>44</v>
      </c>
      <c r="D433" t="s">
        <v>78</v>
      </c>
      <c r="E433" t="s">
        <v>82</v>
      </c>
      <c r="F433" t="s">
        <v>80</v>
      </c>
      <c r="G433">
        <v>0.57418460498082102</v>
      </c>
      <c r="H433">
        <v>0.144584088393583</v>
      </c>
      <c r="I433">
        <v>0</v>
      </c>
      <c r="J433">
        <v>10.036848257655</v>
      </c>
      <c r="K433">
        <v>2339</v>
      </c>
      <c r="L433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33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cm="1">
        <f t="array" ref="N433">IFERROR(AVERAGE(IF((DiscreteStatsTable[GroupByKey]=DiscreteStatsTable[[#This Row],[GroupByKey]]),(DiscreteStatsTable[GroupByKey]=DiscreteStatsTable[[#This Row],[GroupByKey]])*DiscreteStatsTable[Average])),0)</f>
        <v>0.80557345969139849</v>
      </c>
      <c r="O433" cm="1">
        <f t="array" ref="O433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33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33" cm="1">
        <f t="array" ref="R433">MIN(IF((DiscreteStatsTable[GroupByKey]=DiscreteStatsTable[[#This Row],[GroupByKey]]),(DiscreteStatsTable[GroupByKey]=DiscreteStatsTable[[#This Row],[GroupByKey]])*DiscreteStatsTable[Average]))</f>
        <v>0.515986961752252</v>
      </c>
      <c r="S433" cm="1">
        <f t="array" ref="S433">MAX(IF((DiscreteStatsTable[GroupByKey]=DiscreteStatsTable[[#This Row],[GroupByKey]]),(DiscreteStatsTable[GroupByKey]=DiscreteStatsTable[[#This Row],[GroupByKey]])*DiscreteStatsTable[Average]))</f>
        <v>1.3542194698792001</v>
      </c>
      <c r="T433" cm="1">
        <f t="array" ref="T433">MIN(IF((DiscreteStatsTable[GroupByKey]=DiscreteStatsTable[[#This Row],[GroupByKey]]),(DiscreteStatsTable[GroupByKey]=DiscreteStatsTable[[#This Row],[GroupByKey]])*DiscreteStatsTable[Minimum]))</f>
        <v>0</v>
      </c>
      <c r="U433" cm="1">
        <f t="array" ref="U433">MAX(IF((DiscreteStatsTable[GroupByKey]=DiscreteStatsTable[[#This Row],[GroupByKey]]),(DiscreteStatsTable[GroupByKey]=DiscreteStatsTable[[#This Row],[GroupByKey]])*DiscreteStatsTable[Maximum]))</f>
        <v>28.983199492767199</v>
      </c>
      <c r="V433" cm="1">
        <f t="array" ref="V43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3">
        <f>IF((DiscreteStatsTable[[#This Row],[RepsRequested]]&gt;1),DiscreteStatsTable[[#This Row],[HalfWidth]],DiscreteStatsTable[[#This Row],[BatchMeansHalfWidth]])</f>
        <v>6.0520109610092528E-2</v>
      </c>
      <c r="X433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131</v>
      </c>
      <c r="C434">
        <v>45</v>
      </c>
      <c r="D434" t="s">
        <v>78</v>
      </c>
      <c r="E434" t="s">
        <v>79</v>
      </c>
      <c r="F434" t="s">
        <v>80</v>
      </c>
      <c r="G434">
        <v>1.20125209203894</v>
      </c>
      <c r="H434">
        <v>0.20826498042045699</v>
      </c>
      <c r="I434">
        <v>0.11030437472459199</v>
      </c>
      <c r="J434">
        <v>11.0008540144799</v>
      </c>
      <c r="K434">
        <v>2434</v>
      </c>
      <c r="L434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34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cm="1">
        <f t="array" ref="N434">IFERROR(AVERAGE(IF((DiscreteStatsTable[GroupByKey]=DiscreteStatsTable[[#This Row],[GroupByKey]]),(DiscreteStatsTable[GroupByKey]=DiscreteStatsTable[[#This Row],[GroupByKey]])*DiscreteStatsTable[Average])),0)</f>
        <v>1.2976784780992308</v>
      </c>
      <c r="O434" cm="1">
        <f t="array" ref="O434">IFERROR(_xlfn.STDEV.S(IF((DiscreteStatsTable[GroupByKey]=DiscreteStatsTable[[#This Row],[GroupByKey]]),(DiscreteStatsTable[GroupByKey]=DiscreteStatsTable[[#This Row],[GroupByKey]])*DiscreteStatsTable[Average])),0)</f>
        <v>0.214255822712483</v>
      </c>
      <c r="P434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34" cm="1">
        <f t="array" ref="R434">MIN(IF((DiscreteStatsTable[GroupByKey]=DiscreteStatsTable[[#This Row],[GroupByKey]]),(DiscreteStatsTable[GroupByKey]=DiscreteStatsTable[[#This Row],[GroupByKey]])*DiscreteStatsTable[Average]))</f>
        <v>1.00825666115094</v>
      </c>
      <c r="S434" cm="1">
        <f t="array" ref="S434">MAX(IF((DiscreteStatsTable[GroupByKey]=DiscreteStatsTable[[#This Row],[GroupByKey]]),(DiscreteStatsTable[GroupByKey]=DiscreteStatsTable[[#This Row],[GroupByKey]])*DiscreteStatsTable[Average]))</f>
        <v>1.85589832994621</v>
      </c>
      <c r="T434" cm="1">
        <f t="array" ref="T434">MIN(IF((DiscreteStatsTable[GroupByKey]=DiscreteStatsTable[[#This Row],[GroupByKey]]),(DiscreteStatsTable[GroupByKey]=DiscreteStatsTable[[#This Row],[GroupByKey]])*DiscreteStatsTable[Minimum]))</f>
        <v>0.10260384490715101</v>
      </c>
      <c r="U434" cm="1">
        <f t="array" ref="U434">MAX(IF((DiscreteStatsTable[GroupByKey]=DiscreteStatsTable[[#This Row],[GroupByKey]]),(DiscreteStatsTable[GroupByKey]=DiscreteStatsTable[[#This Row],[GroupByKey]])*DiscreteStatsTable[Maximum]))</f>
        <v>29.378397097512401</v>
      </c>
      <c r="V434" cm="1">
        <f t="array" ref="V43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4">
        <f>IF((DiscreteStatsTable[[#This Row],[RepsRequested]]&gt;1),DiscreteStatsTable[[#This Row],[HalfWidth]],DiscreteStatsTable[[#This Row],[BatchMeansHalfWidth]])</f>
        <v>6.0890831086538234E-2</v>
      </c>
      <c r="X434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131</v>
      </c>
      <c r="C435">
        <v>45</v>
      </c>
      <c r="D435" t="s">
        <v>78</v>
      </c>
      <c r="E435" t="s">
        <v>81</v>
      </c>
      <c r="F435" t="s">
        <v>80</v>
      </c>
      <c r="G435">
        <v>0.48554166158860901</v>
      </c>
      <c r="H435">
        <v>1.1482292226680801E-2</v>
      </c>
      <c r="I435">
        <v>0.105628355010481</v>
      </c>
      <c r="J435">
        <v>1.58542891481758</v>
      </c>
      <c r="K435">
        <v>2434</v>
      </c>
      <c r="L435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3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cm="1">
        <f t="array" ref="N435">IFERROR(AVERAGE(IF((DiscreteStatsTable[GroupByKey]=DiscreteStatsTable[[#This Row],[GroupByKey]]),(DiscreteStatsTable[GroupByKey]=DiscreteStatsTable[[#This Row],[GroupByKey]])*DiscreteStatsTable[Average])),0)</f>
        <v>0.49210501840783172</v>
      </c>
      <c r="O435" cm="1">
        <f t="array" ref="O435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3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35" cm="1">
        <f t="array" ref="R435">MIN(IF((DiscreteStatsTable[GroupByKey]=DiscreteStatsTable[[#This Row],[GroupByKey]]),(DiscreteStatsTable[GroupByKey]=DiscreteStatsTable[[#This Row],[GroupByKey]])*DiscreteStatsTable[Average]))</f>
        <v>0.481748748376016</v>
      </c>
      <c r="S435" cm="1">
        <f t="array" ref="S435">MAX(IF((DiscreteStatsTable[GroupByKey]=DiscreteStatsTable[[#This Row],[GroupByKey]]),(DiscreteStatsTable[GroupByKey]=DiscreteStatsTable[[#This Row],[GroupByKey]])*DiscreteStatsTable[Average]))</f>
        <v>0.50324408220295003</v>
      </c>
      <c r="T435" cm="1">
        <f t="array" ref="T435">MIN(IF((DiscreteStatsTable[GroupByKey]=DiscreteStatsTable[[#This Row],[GroupByKey]]),(DiscreteStatsTable[GroupByKey]=DiscreteStatsTable[[#This Row],[GroupByKey]])*DiscreteStatsTable[Minimum]))</f>
        <v>0.101748731497707</v>
      </c>
      <c r="U435" cm="1">
        <f t="array" ref="U435">MAX(IF((DiscreteStatsTable[GroupByKey]=DiscreteStatsTable[[#This Row],[GroupByKey]]),(DiscreteStatsTable[GroupByKey]=DiscreteStatsTable[[#This Row],[GroupByKey]])*DiscreteStatsTable[Maximum]))</f>
        <v>1.5939517145847</v>
      </c>
      <c r="V435" cm="1">
        <f t="array" ref="V43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5">
        <f>IF((DiscreteStatsTable[[#This Row],[RepsRequested]]&gt;1),DiscreteStatsTable[[#This Row],[HalfWidth]],DiscreteStatsTable[[#This Row],[BatchMeansHalfWidth]])</f>
        <v>1.3583273853576923E-3</v>
      </c>
      <c r="X43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131</v>
      </c>
      <c r="C436">
        <v>45</v>
      </c>
      <c r="D436" t="s">
        <v>78</v>
      </c>
      <c r="E436" t="s">
        <v>82</v>
      </c>
      <c r="F436" t="s">
        <v>80</v>
      </c>
      <c r="G436">
        <v>0.715710430450331</v>
      </c>
      <c r="H436">
        <v>0.209809768091928</v>
      </c>
      <c r="I436">
        <v>0</v>
      </c>
      <c r="J436">
        <v>10.736648954708899</v>
      </c>
      <c r="K436">
        <v>2434</v>
      </c>
      <c r="L436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36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cm="1">
        <f t="array" ref="N436">IFERROR(AVERAGE(IF((DiscreteStatsTable[GroupByKey]=DiscreteStatsTable[[#This Row],[GroupByKey]]),(DiscreteStatsTable[GroupByKey]=DiscreteStatsTable[[#This Row],[GroupByKey]])*DiscreteStatsTable[Average])),0)</f>
        <v>0.80557345969139849</v>
      </c>
      <c r="O436" cm="1">
        <f t="array" ref="O436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36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36" cm="1">
        <f t="array" ref="R436">MIN(IF((DiscreteStatsTable[GroupByKey]=DiscreteStatsTable[[#This Row],[GroupByKey]]),(DiscreteStatsTable[GroupByKey]=DiscreteStatsTable[[#This Row],[GroupByKey]])*DiscreteStatsTable[Average]))</f>
        <v>0.515986961752252</v>
      </c>
      <c r="S436" cm="1">
        <f t="array" ref="S436">MAX(IF((DiscreteStatsTable[GroupByKey]=DiscreteStatsTable[[#This Row],[GroupByKey]]),(DiscreteStatsTable[GroupByKey]=DiscreteStatsTable[[#This Row],[GroupByKey]])*DiscreteStatsTable[Average]))</f>
        <v>1.3542194698792001</v>
      </c>
      <c r="T436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cm="1">
        <f t="array" ref="U436">MAX(IF((DiscreteStatsTable[GroupByKey]=DiscreteStatsTable[[#This Row],[GroupByKey]]),(DiscreteStatsTable[GroupByKey]=DiscreteStatsTable[[#This Row],[GroupByKey]])*DiscreteStatsTable[Maximum]))</f>
        <v>28.983199492767199</v>
      </c>
      <c r="V436" cm="1">
        <f t="array" ref="V43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6">
        <f>IF((DiscreteStatsTable[[#This Row],[RepsRequested]]&gt;1),DiscreteStatsTable[[#This Row],[HalfWidth]],DiscreteStatsTable[[#This Row],[BatchMeansHalfWidth]])</f>
        <v>6.0520109610092528E-2</v>
      </c>
      <c r="X436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131</v>
      </c>
      <c r="C437">
        <v>46</v>
      </c>
      <c r="D437" t="s">
        <v>78</v>
      </c>
      <c r="E437" t="s">
        <v>79</v>
      </c>
      <c r="F437" t="s">
        <v>80</v>
      </c>
      <c r="G437">
        <v>1.2963478523918599</v>
      </c>
      <c r="H437">
        <v>3E+20</v>
      </c>
      <c r="I437">
        <v>0.123726489206092</v>
      </c>
      <c r="J437">
        <v>12.9419652278551</v>
      </c>
      <c r="K437">
        <v>2429</v>
      </c>
      <c r="L437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37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cm="1">
        <f t="array" ref="N437">IFERROR(AVERAGE(IF((DiscreteStatsTable[GroupByKey]=DiscreteStatsTable[[#This Row],[GroupByKey]]),(DiscreteStatsTable[GroupByKey]=DiscreteStatsTable[[#This Row],[GroupByKey]])*DiscreteStatsTable[Average])),0)</f>
        <v>1.2976784780992308</v>
      </c>
      <c r="O437" cm="1">
        <f t="array" ref="O437">IFERROR(_xlfn.STDEV.S(IF((DiscreteStatsTable[GroupByKey]=DiscreteStatsTable[[#This Row],[GroupByKey]]),(DiscreteStatsTable[GroupByKey]=DiscreteStatsTable[[#This Row],[GroupByKey]])*DiscreteStatsTable[Average])),0)</f>
        <v>0.214255822712483</v>
      </c>
      <c r="P437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37" cm="1">
        <f t="array" ref="R437">MIN(IF((DiscreteStatsTable[GroupByKey]=DiscreteStatsTable[[#This Row],[GroupByKey]]),(DiscreteStatsTable[GroupByKey]=DiscreteStatsTable[[#This Row],[GroupByKey]])*DiscreteStatsTable[Average]))</f>
        <v>1.00825666115094</v>
      </c>
      <c r="S437" cm="1">
        <f t="array" ref="S437">MAX(IF((DiscreteStatsTable[GroupByKey]=DiscreteStatsTable[[#This Row],[GroupByKey]]),(DiscreteStatsTable[GroupByKey]=DiscreteStatsTable[[#This Row],[GroupByKey]])*DiscreteStatsTable[Average]))</f>
        <v>1.85589832994621</v>
      </c>
      <c r="T437" cm="1">
        <f t="array" ref="T437">MIN(IF((DiscreteStatsTable[GroupByKey]=DiscreteStatsTable[[#This Row],[GroupByKey]]),(DiscreteStatsTable[GroupByKey]=DiscreteStatsTable[[#This Row],[GroupByKey]])*DiscreteStatsTable[Minimum]))</f>
        <v>0.10260384490715101</v>
      </c>
      <c r="U437" cm="1">
        <f t="array" ref="U437">MAX(IF((DiscreteStatsTable[GroupByKey]=DiscreteStatsTable[[#This Row],[GroupByKey]]),(DiscreteStatsTable[GroupByKey]=DiscreteStatsTable[[#This Row],[GroupByKey]])*DiscreteStatsTable[Maximum]))</f>
        <v>29.378397097512401</v>
      </c>
      <c r="V437" cm="1">
        <f t="array" ref="V43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7">
        <f>IF((DiscreteStatsTable[[#This Row],[RepsRequested]]&gt;1),DiscreteStatsTable[[#This Row],[HalfWidth]],DiscreteStatsTable[[#This Row],[BatchMeansHalfWidth]])</f>
        <v>6.0890831086538234E-2</v>
      </c>
      <c r="X437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131</v>
      </c>
      <c r="C438">
        <v>46</v>
      </c>
      <c r="D438" t="s">
        <v>78</v>
      </c>
      <c r="E438" t="s">
        <v>81</v>
      </c>
      <c r="F438" t="s">
        <v>80</v>
      </c>
      <c r="G438">
        <v>0.490701298726619</v>
      </c>
      <c r="H438">
        <v>1.32898990060447E-2</v>
      </c>
      <c r="I438">
        <v>0.104162535460603</v>
      </c>
      <c r="J438">
        <v>1.5655964972007701</v>
      </c>
      <c r="K438">
        <v>2429</v>
      </c>
      <c r="L438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38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cm="1">
        <f t="array" ref="N438">IFERROR(AVERAGE(IF((DiscreteStatsTable[GroupByKey]=DiscreteStatsTable[[#This Row],[GroupByKey]]),(DiscreteStatsTable[GroupByKey]=DiscreteStatsTable[[#This Row],[GroupByKey]])*DiscreteStatsTable[Average])),0)</f>
        <v>0.49210501840783172</v>
      </c>
      <c r="O438" cm="1">
        <f t="array" ref="O438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38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38" cm="1">
        <f t="array" ref="R438">MIN(IF((DiscreteStatsTable[GroupByKey]=DiscreteStatsTable[[#This Row],[GroupByKey]]),(DiscreteStatsTable[GroupByKey]=DiscreteStatsTable[[#This Row],[GroupByKey]])*DiscreteStatsTable[Average]))</f>
        <v>0.481748748376016</v>
      </c>
      <c r="S438" cm="1">
        <f t="array" ref="S438">MAX(IF((DiscreteStatsTable[GroupByKey]=DiscreteStatsTable[[#This Row],[GroupByKey]]),(DiscreteStatsTable[GroupByKey]=DiscreteStatsTable[[#This Row],[GroupByKey]])*DiscreteStatsTable[Average]))</f>
        <v>0.50324408220295003</v>
      </c>
      <c r="T438" cm="1">
        <f t="array" ref="T438">MIN(IF((DiscreteStatsTable[GroupByKey]=DiscreteStatsTable[[#This Row],[GroupByKey]]),(DiscreteStatsTable[GroupByKey]=DiscreteStatsTable[[#This Row],[GroupByKey]])*DiscreteStatsTable[Minimum]))</f>
        <v>0.101748731497707</v>
      </c>
      <c r="U438" cm="1">
        <f t="array" ref="U438">MAX(IF((DiscreteStatsTable[GroupByKey]=DiscreteStatsTable[[#This Row],[GroupByKey]]),(DiscreteStatsTable[GroupByKey]=DiscreteStatsTable[[#This Row],[GroupByKey]])*DiscreteStatsTable[Maximum]))</f>
        <v>1.5939517145847</v>
      </c>
      <c r="V438" cm="1">
        <f t="array" ref="V43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8">
        <f>IF((DiscreteStatsTable[[#This Row],[RepsRequested]]&gt;1),DiscreteStatsTable[[#This Row],[HalfWidth]],DiscreteStatsTable[[#This Row],[BatchMeansHalfWidth]])</f>
        <v>1.3583273853576923E-3</v>
      </c>
      <c r="X438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131</v>
      </c>
      <c r="C439">
        <v>46</v>
      </c>
      <c r="D439" t="s">
        <v>78</v>
      </c>
      <c r="E439" t="s">
        <v>82</v>
      </c>
      <c r="F439" t="s">
        <v>80</v>
      </c>
      <c r="G439">
        <v>0.80564655366523896</v>
      </c>
      <c r="H439">
        <v>3E+20</v>
      </c>
      <c r="I439">
        <v>0</v>
      </c>
      <c r="J439">
        <v>12.5134906635228</v>
      </c>
      <c r="K439">
        <v>2429</v>
      </c>
      <c r="L439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39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cm="1">
        <f t="array" ref="N439">IFERROR(AVERAGE(IF((DiscreteStatsTable[GroupByKey]=DiscreteStatsTable[[#This Row],[GroupByKey]]),(DiscreteStatsTable[GroupByKey]=DiscreteStatsTable[[#This Row],[GroupByKey]])*DiscreteStatsTable[Average])),0)</f>
        <v>0.80557345969139849</v>
      </c>
      <c r="O439" cm="1">
        <f t="array" ref="O439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39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39" cm="1">
        <f t="array" ref="R439">MIN(IF((DiscreteStatsTable[GroupByKey]=DiscreteStatsTable[[#This Row],[GroupByKey]]),(DiscreteStatsTable[GroupByKey]=DiscreteStatsTable[[#This Row],[GroupByKey]])*DiscreteStatsTable[Average]))</f>
        <v>0.515986961752252</v>
      </c>
      <c r="S439" cm="1">
        <f t="array" ref="S439">MAX(IF((DiscreteStatsTable[GroupByKey]=DiscreteStatsTable[[#This Row],[GroupByKey]]),(DiscreteStatsTable[GroupByKey]=DiscreteStatsTable[[#This Row],[GroupByKey]])*DiscreteStatsTable[Average]))</f>
        <v>1.3542194698792001</v>
      </c>
      <c r="T439" cm="1">
        <f t="array" ref="T439">MIN(IF((DiscreteStatsTable[GroupByKey]=DiscreteStatsTable[[#This Row],[GroupByKey]]),(DiscreteStatsTable[GroupByKey]=DiscreteStatsTable[[#This Row],[GroupByKey]])*DiscreteStatsTable[Minimum]))</f>
        <v>0</v>
      </c>
      <c r="U439" cm="1">
        <f t="array" ref="U439">MAX(IF((DiscreteStatsTable[GroupByKey]=DiscreteStatsTable[[#This Row],[GroupByKey]]),(DiscreteStatsTable[GroupByKey]=DiscreteStatsTable[[#This Row],[GroupByKey]])*DiscreteStatsTable[Maximum]))</f>
        <v>28.983199492767199</v>
      </c>
      <c r="V439" cm="1">
        <f t="array" ref="V43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39">
        <f>IF((DiscreteStatsTable[[#This Row],[RepsRequested]]&gt;1),DiscreteStatsTable[[#This Row],[HalfWidth]],DiscreteStatsTable[[#This Row],[BatchMeansHalfWidth]])</f>
        <v>6.0520109610092528E-2</v>
      </c>
      <c r="X439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131</v>
      </c>
      <c r="C440">
        <v>47</v>
      </c>
      <c r="D440" t="s">
        <v>78</v>
      </c>
      <c r="E440" t="s">
        <v>79</v>
      </c>
      <c r="F440" t="s">
        <v>80</v>
      </c>
      <c r="G440">
        <v>1.4597773686095901</v>
      </c>
      <c r="H440">
        <v>3E+20</v>
      </c>
      <c r="I440">
        <v>0.110963228897901</v>
      </c>
      <c r="J440">
        <v>24.1853898195535</v>
      </c>
      <c r="K440">
        <v>2450</v>
      </c>
      <c r="L440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40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cm="1">
        <f t="array" ref="N440">IFERROR(AVERAGE(IF((DiscreteStatsTable[GroupByKey]=DiscreteStatsTable[[#This Row],[GroupByKey]]),(DiscreteStatsTable[GroupByKey]=DiscreteStatsTable[[#This Row],[GroupByKey]])*DiscreteStatsTable[Average])),0)</f>
        <v>1.2976784780992308</v>
      </c>
      <c r="O440" cm="1">
        <f t="array" ref="O440">IFERROR(_xlfn.STDEV.S(IF((DiscreteStatsTable[GroupByKey]=DiscreteStatsTable[[#This Row],[GroupByKey]]),(DiscreteStatsTable[GroupByKey]=DiscreteStatsTable[[#This Row],[GroupByKey]])*DiscreteStatsTable[Average])),0)</f>
        <v>0.214255822712483</v>
      </c>
      <c r="P440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40" cm="1">
        <f t="array" ref="R440">MIN(IF((DiscreteStatsTable[GroupByKey]=DiscreteStatsTable[[#This Row],[GroupByKey]]),(DiscreteStatsTable[GroupByKey]=DiscreteStatsTable[[#This Row],[GroupByKey]])*DiscreteStatsTable[Average]))</f>
        <v>1.00825666115094</v>
      </c>
      <c r="S440" cm="1">
        <f t="array" ref="S440">MAX(IF((DiscreteStatsTable[GroupByKey]=DiscreteStatsTable[[#This Row],[GroupByKey]]),(DiscreteStatsTable[GroupByKey]=DiscreteStatsTable[[#This Row],[GroupByKey]])*DiscreteStatsTable[Average]))</f>
        <v>1.85589832994621</v>
      </c>
      <c r="T440" cm="1">
        <f t="array" ref="T440">MIN(IF((DiscreteStatsTable[GroupByKey]=DiscreteStatsTable[[#This Row],[GroupByKey]]),(DiscreteStatsTable[GroupByKey]=DiscreteStatsTable[[#This Row],[GroupByKey]])*DiscreteStatsTable[Minimum]))</f>
        <v>0.10260384490715101</v>
      </c>
      <c r="U440" cm="1">
        <f t="array" ref="U440">MAX(IF((DiscreteStatsTable[GroupByKey]=DiscreteStatsTable[[#This Row],[GroupByKey]]),(DiscreteStatsTable[GroupByKey]=DiscreteStatsTable[[#This Row],[GroupByKey]])*DiscreteStatsTable[Maximum]))</f>
        <v>29.378397097512401</v>
      </c>
      <c r="V440" cm="1">
        <f t="array" ref="V44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0">
        <f>IF((DiscreteStatsTable[[#This Row],[RepsRequested]]&gt;1),DiscreteStatsTable[[#This Row],[HalfWidth]],DiscreteStatsTable[[#This Row],[BatchMeansHalfWidth]])</f>
        <v>6.0890831086538234E-2</v>
      </c>
      <c r="X440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131</v>
      </c>
      <c r="C441">
        <v>47</v>
      </c>
      <c r="D441" t="s">
        <v>78</v>
      </c>
      <c r="E441" t="s">
        <v>81</v>
      </c>
      <c r="F441" t="s">
        <v>80</v>
      </c>
      <c r="G441">
        <v>0.487308215227437</v>
      </c>
      <c r="H441">
        <v>1.33474303912611E-2</v>
      </c>
      <c r="I441">
        <v>0.105562497457811</v>
      </c>
      <c r="J441">
        <v>1.57088833727698</v>
      </c>
      <c r="K441">
        <v>2450</v>
      </c>
      <c r="L441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41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cm="1">
        <f t="array" ref="N441">IFERROR(AVERAGE(IF((DiscreteStatsTable[GroupByKey]=DiscreteStatsTable[[#This Row],[GroupByKey]]),(DiscreteStatsTable[GroupByKey]=DiscreteStatsTable[[#This Row],[GroupByKey]])*DiscreteStatsTable[Average])),0)</f>
        <v>0.49210501840783172</v>
      </c>
      <c r="O441" cm="1">
        <f t="array" ref="O441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41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41" cm="1">
        <f t="array" ref="R441">MIN(IF((DiscreteStatsTable[GroupByKey]=DiscreteStatsTable[[#This Row],[GroupByKey]]),(DiscreteStatsTable[GroupByKey]=DiscreteStatsTable[[#This Row],[GroupByKey]])*DiscreteStatsTable[Average]))</f>
        <v>0.481748748376016</v>
      </c>
      <c r="S441" cm="1">
        <f t="array" ref="S441">MAX(IF((DiscreteStatsTable[GroupByKey]=DiscreteStatsTable[[#This Row],[GroupByKey]]),(DiscreteStatsTable[GroupByKey]=DiscreteStatsTable[[#This Row],[GroupByKey]])*DiscreteStatsTable[Average]))</f>
        <v>0.50324408220295003</v>
      </c>
      <c r="T441" cm="1">
        <f t="array" ref="T441">MIN(IF((DiscreteStatsTable[GroupByKey]=DiscreteStatsTable[[#This Row],[GroupByKey]]),(DiscreteStatsTable[GroupByKey]=DiscreteStatsTable[[#This Row],[GroupByKey]])*DiscreteStatsTable[Minimum]))</f>
        <v>0.101748731497707</v>
      </c>
      <c r="U441" cm="1">
        <f t="array" ref="U441">MAX(IF((DiscreteStatsTable[GroupByKey]=DiscreteStatsTable[[#This Row],[GroupByKey]]),(DiscreteStatsTable[GroupByKey]=DiscreteStatsTable[[#This Row],[GroupByKey]])*DiscreteStatsTable[Maximum]))</f>
        <v>1.5939517145847</v>
      </c>
      <c r="V441" cm="1">
        <f t="array" ref="V44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1">
        <f>IF((DiscreteStatsTable[[#This Row],[RepsRequested]]&gt;1),DiscreteStatsTable[[#This Row],[HalfWidth]],DiscreteStatsTable[[#This Row],[BatchMeansHalfWidth]])</f>
        <v>1.3583273853576923E-3</v>
      </c>
      <c r="X441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131</v>
      </c>
      <c r="C442">
        <v>47</v>
      </c>
      <c r="D442" t="s">
        <v>78</v>
      </c>
      <c r="E442" t="s">
        <v>82</v>
      </c>
      <c r="F442" t="s">
        <v>80</v>
      </c>
      <c r="G442">
        <v>0.972469153382155</v>
      </c>
      <c r="H442">
        <v>3E+20</v>
      </c>
      <c r="I442">
        <v>0</v>
      </c>
      <c r="J442">
        <v>23.894291668634001</v>
      </c>
      <c r="K442">
        <v>2450</v>
      </c>
      <c r="L442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42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cm="1">
        <f t="array" ref="N442">IFERROR(AVERAGE(IF((DiscreteStatsTable[GroupByKey]=DiscreteStatsTable[[#This Row],[GroupByKey]]),(DiscreteStatsTable[GroupByKey]=DiscreteStatsTable[[#This Row],[GroupByKey]])*DiscreteStatsTable[Average])),0)</f>
        <v>0.80557345969139849</v>
      </c>
      <c r="O442" cm="1">
        <f t="array" ref="O442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42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42" cm="1">
        <f t="array" ref="R442">MIN(IF((DiscreteStatsTable[GroupByKey]=DiscreteStatsTable[[#This Row],[GroupByKey]]),(DiscreteStatsTable[GroupByKey]=DiscreteStatsTable[[#This Row],[GroupByKey]])*DiscreteStatsTable[Average]))</f>
        <v>0.515986961752252</v>
      </c>
      <c r="S442" cm="1">
        <f t="array" ref="S442">MAX(IF((DiscreteStatsTable[GroupByKey]=DiscreteStatsTable[[#This Row],[GroupByKey]]),(DiscreteStatsTable[GroupByKey]=DiscreteStatsTable[[#This Row],[GroupByKey]])*DiscreteStatsTable[Average]))</f>
        <v>1.3542194698792001</v>
      </c>
      <c r="T442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cm="1">
        <f t="array" ref="U442">MAX(IF((DiscreteStatsTable[GroupByKey]=DiscreteStatsTable[[#This Row],[GroupByKey]]),(DiscreteStatsTable[GroupByKey]=DiscreteStatsTable[[#This Row],[GroupByKey]])*DiscreteStatsTable[Maximum]))</f>
        <v>28.983199492767199</v>
      </c>
      <c r="V442" cm="1">
        <f t="array" ref="V44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2">
        <f>IF((DiscreteStatsTable[[#This Row],[RepsRequested]]&gt;1),DiscreteStatsTable[[#This Row],[HalfWidth]],DiscreteStatsTable[[#This Row],[BatchMeansHalfWidth]])</f>
        <v>6.0520109610092528E-2</v>
      </c>
      <c r="X442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131</v>
      </c>
      <c r="C443">
        <v>48</v>
      </c>
      <c r="D443" t="s">
        <v>78</v>
      </c>
      <c r="E443" t="s">
        <v>79</v>
      </c>
      <c r="F443" t="s">
        <v>80</v>
      </c>
      <c r="G443">
        <v>1.1240577544309001</v>
      </c>
      <c r="H443">
        <v>0.22370673635589799</v>
      </c>
      <c r="I443">
        <v>0.120294396240695</v>
      </c>
      <c r="J443">
        <v>14.661140665307499</v>
      </c>
      <c r="K443">
        <v>2413</v>
      </c>
      <c r="L443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43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cm="1">
        <f t="array" ref="N443">IFERROR(AVERAGE(IF((DiscreteStatsTable[GroupByKey]=DiscreteStatsTable[[#This Row],[GroupByKey]]),(DiscreteStatsTable[GroupByKey]=DiscreteStatsTable[[#This Row],[GroupByKey]])*DiscreteStatsTable[Average])),0)</f>
        <v>1.2976784780992308</v>
      </c>
      <c r="O443" cm="1">
        <f t="array" ref="O443">IFERROR(_xlfn.STDEV.S(IF((DiscreteStatsTable[GroupByKey]=DiscreteStatsTable[[#This Row],[GroupByKey]]),(DiscreteStatsTable[GroupByKey]=DiscreteStatsTable[[#This Row],[GroupByKey]])*DiscreteStatsTable[Average])),0)</f>
        <v>0.214255822712483</v>
      </c>
      <c r="P443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43" cm="1">
        <f t="array" ref="R443">MIN(IF((DiscreteStatsTable[GroupByKey]=DiscreteStatsTable[[#This Row],[GroupByKey]]),(DiscreteStatsTable[GroupByKey]=DiscreteStatsTable[[#This Row],[GroupByKey]])*DiscreteStatsTable[Average]))</f>
        <v>1.00825666115094</v>
      </c>
      <c r="S443" cm="1">
        <f t="array" ref="S443">MAX(IF((DiscreteStatsTable[GroupByKey]=DiscreteStatsTable[[#This Row],[GroupByKey]]),(DiscreteStatsTable[GroupByKey]=DiscreteStatsTable[[#This Row],[GroupByKey]])*DiscreteStatsTable[Average]))</f>
        <v>1.85589832994621</v>
      </c>
      <c r="T443" cm="1">
        <f t="array" ref="T443">MIN(IF((DiscreteStatsTable[GroupByKey]=DiscreteStatsTable[[#This Row],[GroupByKey]]),(DiscreteStatsTable[GroupByKey]=DiscreteStatsTable[[#This Row],[GroupByKey]])*DiscreteStatsTable[Minimum]))</f>
        <v>0.10260384490715101</v>
      </c>
      <c r="U443" cm="1">
        <f t="array" ref="U443">MAX(IF((DiscreteStatsTable[GroupByKey]=DiscreteStatsTable[[#This Row],[GroupByKey]]),(DiscreteStatsTable[GroupByKey]=DiscreteStatsTable[[#This Row],[GroupByKey]])*DiscreteStatsTable[Maximum]))</f>
        <v>29.378397097512401</v>
      </c>
      <c r="V443" cm="1">
        <f t="array" ref="V44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3">
        <f>IF((DiscreteStatsTable[[#This Row],[RepsRequested]]&gt;1),DiscreteStatsTable[[#This Row],[HalfWidth]],DiscreteStatsTable[[#This Row],[BatchMeansHalfWidth]])</f>
        <v>6.0890831086538234E-2</v>
      </c>
      <c r="X443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131</v>
      </c>
      <c r="C444">
        <v>48</v>
      </c>
      <c r="D444" t="s">
        <v>78</v>
      </c>
      <c r="E444" t="s">
        <v>81</v>
      </c>
      <c r="F444" t="s">
        <v>80</v>
      </c>
      <c r="G444">
        <v>0.487944623143517</v>
      </c>
      <c r="H444">
        <v>1.38471516097159E-2</v>
      </c>
      <c r="I444">
        <v>0.113007597460296</v>
      </c>
      <c r="J444">
        <v>1.57745961460603</v>
      </c>
      <c r="K444">
        <v>2413</v>
      </c>
      <c r="L444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44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cm="1">
        <f t="array" ref="N444">IFERROR(AVERAGE(IF((DiscreteStatsTable[GroupByKey]=DiscreteStatsTable[[#This Row],[GroupByKey]]),(DiscreteStatsTable[GroupByKey]=DiscreteStatsTable[[#This Row],[GroupByKey]])*DiscreteStatsTable[Average])),0)</f>
        <v>0.49210501840783172</v>
      </c>
      <c r="O444" cm="1">
        <f t="array" ref="O444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44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44" cm="1">
        <f t="array" ref="R444">MIN(IF((DiscreteStatsTable[GroupByKey]=DiscreteStatsTable[[#This Row],[GroupByKey]]),(DiscreteStatsTable[GroupByKey]=DiscreteStatsTable[[#This Row],[GroupByKey]])*DiscreteStatsTable[Average]))</f>
        <v>0.481748748376016</v>
      </c>
      <c r="S444" cm="1">
        <f t="array" ref="S444">MAX(IF((DiscreteStatsTable[GroupByKey]=DiscreteStatsTable[[#This Row],[GroupByKey]]),(DiscreteStatsTable[GroupByKey]=DiscreteStatsTable[[#This Row],[GroupByKey]])*DiscreteStatsTable[Average]))</f>
        <v>0.50324408220295003</v>
      </c>
      <c r="T444" cm="1">
        <f t="array" ref="T444">MIN(IF((DiscreteStatsTable[GroupByKey]=DiscreteStatsTable[[#This Row],[GroupByKey]]),(DiscreteStatsTable[GroupByKey]=DiscreteStatsTable[[#This Row],[GroupByKey]])*DiscreteStatsTable[Minimum]))</f>
        <v>0.101748731497707</v>
      </c>
      <c r="U444" cm="1">
        <f t="array" ref="U444">MAX(IF((DiscreteStatsTable[GroupByKey]=DiscreteStatsTable[[#This Row],[GroupByKey]]),(DiscreteStatsTable[GroupByKey]=DiscreteStatsTable[[#This Row],[GroupByKey]])*DiscreteStatsTable[Maximum]))</f>
        <v>1.5939517145847</v>
      </c>
      <c r="V444" cm="1">
        <f t="array" ref="V44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4">
        <f>IF((DiscreteStatsTable[[#This Row],[RepsRequested]]&gt;1),DiscreteStatsTable[[#This Row],[HalfWidth]],DiscreteStatsTable[[#This Row],[BatchMeansHalfWidth]])</f>
        <v>1.3583273853576923E-3</v>
      </c>
      <c r="X444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131</v>
      </c>
      <c r="C445">
        <v>48</v>
      </c>
      <c r="D445" t="s">
        <v>78</v>
      </c>
      <c r="E445" t="s">
        <v>82</v>
      </c>
      <c r="F445" t="s">
        <v>80</v>
      </c>
      <c r="G445">
        <v>0.63611313128737701</v>
      </c>
      <c r="H445">
        <v>0.218888071558693</v>
      </c>
      <c r="I445">
        <v>0</v>
      </c>
      <c r="J445">
        <v>14.424010074673401</v>
      </c>
      <c r="K445">
        <v>2413</v>
      </c>
      <c r="L445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4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cm="1">
        <f t="array" ref="N445">IFERROR(AVERAGE(IF((DiscreteStatsTable[GroupByKey]=DiscreteStatsTable[[#This Row],[GroupByKey]]),(DiscreteStatsTable[GroupByKey]=DiscreteStatsTable[[#This Row],[GroupByKey]])*DiscreteStatsTable[Average])),0)</f>
        <v>0.80557345969139849</v>
      </c>
      <c r="O445" cm="1">
        <f t="array" ref="O445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4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45" cm="1">
        <f t="array" ref="R445">MIN(IF((DiscreteStatsTable[GroupByKey]=DiscreteStatsTable[[#This Row],[GroupByKey]]),(DiscreteStatsTable[GroupByKey]=DiscreteStatsTable[[#This Row],[GroupByKey]])*DiscreteStatsTable[Average]))</f>
        <v>0.515986961752252</v>
      </c>
      <c r="S445" cm="1">
        <f t="array" ref="S445">MAX(IF((DiscreteStatsTable[GroupByKey]=DiscreteStatsTable[[#This Row],[GroupByKey]]),(DiscreteStatsTable[GroupByKey]=DiscreteStatsTable[[#This Row],[GroupByKey]])*DiscreteStatsTable[Average]))</f>
        <v>1.3542194698792001</v>
      </c>
      <c r="T445" cm="1">
        <f t="array" ref="T445">MIN(IF((DiscreteStatsTable[GroupByKey]=DiscreteStatsTable[[#This Row],[GroupByKey]]),(DiscreteStatsTable[GroupByKey]=DiscreteStatsTable[[#This Row],[GroupByKey]])*DiscreteStatsTable[Minimum]))</f>
        <v>0</v>
      </c>
      <c r="U445" cm="1">
        <f t="array" ref="U445">MAX(IF((DiscreteStatsTable[GroupByKey]=DiscreteStatsTable[[#This Row],[GroupByKey]]),(DiscreteStatsTable[GroupByKey]=DiscreteStatsTable[[#This Row],[GroupByKey]])*DiscreteStatsTable[Maximum]))</f>
        <v>28.983199492767199</v>
      </c>
      <c r="V445" cm="1">
        <f t="array" ref="V44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5">
        <f>IF((DiscreteStatsTable[[#This Row],[RepsRequested]]&gt;1),DiscreteStatsTable[[#This Row],[HalfWidth]],DiscreteStatsTable[[#This Row],[BatchMeansHalfWidth]])</f>
        <v>6.0520109610092528E-2</v>
      </c>
      <c r="X44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131</v>
      </c>
      <c r="C446">
        <v>49</v>
      </c>
      <c r="D446" t="s">
        <v>78</v>
      </c>
      <c r="E446" t="s">
        <v>79</v>
      </c>
      <c r="F446" t="s">
        <v>80</v>
      </c>
      <c r="G446">
        <v>1.2210485668065501</v>
      </c>
      <c r="H446">
        <v>0.20935530192909599</v>
      </c>
      <c r="I446">
        <v>0.128763608989061</v>
      </c>
      <c r="J446">
        <v>12.1508305189734</v>
      </c>
      <c r="K446">
        <v>2385</v>
      </c>
      <c r="L446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46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cm="1">
        <f t="array" ref="N446">IFERROR(AVERAGE(IF((DiscreteStatsTable[GroupByKey]=DiscreteStatsTable[[#This Row],[GroupByKey]]),(DiscreteStatsTable[GroupByKey]=DiscreteStatsTable[[#This Row],[GroupByKey]])*DiscreteStatsTable[Average])),0)</f>
        <v>1.2976784780992308</v>
      </c>
      <c r="O446" cm="1">
        <f t="array" ref="O446">IFERROR(_xlfn.STDEV.S(IF((DiscreteStatsTable[GroupByKey]=DiscreteStatsTable[[#This Row],[GroupByKey]]),(DiscreteStatsTable[GroupByKey]=DiscreteStatsTable[[#This Row],[GroupByKey]])*DiscreteStatsTable[Average])),0)</f>
        <v>0.214255822712483</v>
      </c>
      <c r="P446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46" cm="1">
        <f t="array" ref="R446">MIN(IF((DiscreteStatsTable[GroupByKey]=DiscreteStatsTable[[#This Row],[GroupByKey]]),(DiscreteStatsTable[GroupByKey]=DiscreteStatsTable[[#This Row],[GroupByKey]])*DiscreteStatsTable[Average]))</f>
        <v>1.00825666115094</v>
      </c>
      <c r="S446" cm="1">
        <f t="array" ref="S446">MAX(IF((DiscreteStatsTable[GroupByKey]=DiscreteStatsTable[[#This Row],[GroupByKey]]),(DiscreteStatsTable[GroupByKey]=DiscreteStatsTable[[#This Row],[GroupByKey]])*DiscreteStatsTable[Average]))</f>
        <v>1.85589832994621</v>
      </c>
      <c r="T446" cm="1">
        <f t="array" ref="T446">MIN(IF((DiscreteStatsTable[GroupByKey]=DiscreteStatsTable[[#This Row],[GroupByKey]]),(DiscreteStatsTable[GroupByKey]=DiscreteStatsTable[[#This Row],[GroupByKey]])*DiscreteStatsTable[Minimum]))</f>
        <v>0.10260384490715101</v>
      </c>
      <c r="U446" cm="1">
        <f t="array" ref="U446">MAX(IF((DiscreteStatsTable[GroupByKey]=DiscreteStatsTable[[#This Row],[GroupByKey]]),(DiscreteStatsTable[GroupByKey]=DiscreteStatsTable[[#This Row],[GroupByKey]])*DiscreteStatsTable[Maximum]))</f>
        <v>29.378397097512401</v>
      </c>
      <c r="V446" cm="1">
        <f t="array" ref="V44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6">
        <f>IF((DiscreteStatsTable[[#This Row],[RepsRequested]]&gt;1),DiscreteStatsTable[[#This Row],[HalfWidth]],DiscreteStatsTable[[#This Row],[BatchMeansHalfWidth]])</f>
        <v>6.0890831086538234E-2</v>
      </c>
      <c r="X446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131</v>
      </c>
      <c r="C447">
        <v>49</v>
      </c>
      <c r="D447" t="s">
        <v>78</v>
      </c>
      <c r="E447" t="s">
        <v>81</v>
      </c>
      <c r="F447" t="s">
        <v>80</v>
      </c>
      <c r="G447">
        <v>0.49481357064850401</v>
      </c>
      <c r="H447">
        <v>1.28469705568351E-2</v>
      </c>
      <c r="I447">
        <v>0.10527522358881899</v>
      </c>
      <c r="J447">
        <v>1.5687777921322901</v>
      </c>
      <c r="K447">
        <v>2385</v>
      </c>
      <c r="L447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47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cm="1">
        <f t="array" ref="N447">IFERROR(AVERAGE(IF((DiscreteStatsTable[GroupByKey]=DiscreteStatsTable[[#This Row],[GroupByKey]]),(DiscreteStatsTable[GroupByKey]=DiscreteStatsTable[[#This Row],[GroupByKey]])*DiscreteStatsTable[Average])),0)</f>
        <v>0.49210501840783172</v>
      </c>
      <c r="O447" cm="1">
        <f t="array" ref="O447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47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47" cm="1">
        <f t="array" ref="R447">MIN(IF((DiscreteStatsTable[GroupByKey]=DiscreteStatsTable[[#This Row],[GroupByKey]]),(DiscreteStatsTable[GroupByKey]=DiscreteStatsTable[[#This Row],[GroupByKey]])*DiscreteStatsTable[Average]))</f>
        <v>0.481748748376016</v>
      </c>
      <c r="S447" cm="1">
        <f t="array" ref="S447">MAX(IF((DiscreteStatsTable[GroupByKey]=DiscreteStatsTable[[#This Row],[GroupByKey]]),(DiscreteStatsTable[GroupByKey]=DiscreteStatsTable[[#This Row],[GroupByKey]])*DiscreteStatsTable[Average]))</f>
        <v>0.50324408220295003</v>
      </c>
      <c r="T447" cm="1">
        <f t="array" ref="T447">MIN(IF((DiscreteStatsTable[GroupByKey]=DiscreteStatsTable[[#This Row],[GroupByKey]]),(DiscreteStatsTable[GroupByKey]=DiscreteStatsTable[[#This Row],[GroupByKey]])*DiscreteStatsTable[Minimum]))</f>
        <v>0.101748731497707</v>
      </c>
      <c r="U447" cm="1">
        <f t="array" ref="U447">MAX(IF((DiscreteStatsTable[GroupByKey]=DiscreteStatsTable[[#This Row],[GroupByKey]]),(DiscreteStatsTable[GroupByKey]=DiscreteStatsTable[[#This Row],[GroupByKey]])*DiscreteStatsTable[Maximum]))</f>
        <v>1.5939517145847</v>
      </c>
      <c r="V447" cm="1">
        <f t="array" ref="V44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7">
        <f>IF((DiscreteStatsTable[[#This Row],[RepsRequested]]&gt;1),DiscreteStatsTable[[#This Row],[HalfWidth]],DiscreteStatsTable[[#This Row],[BatchMeansHalfWidth]])</f>
        <v>1.3583273853576923E-3</v>
      </c>
      <c r="X447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131</v>
      </c>
      <c r="C448">
        <v>49</v>
      </c>
      <c r="D448" t="s">
        <v>78</v>
      </c>
      <c r="E448" t="s">
        <v>82</v>
      </c>
      <c r="F448" t="s">
        <v>80</v>
      </c>
      <c r="G448">
        <v>0.72623499615804898</v>
      </c>
      <c r="H448">
        <v>0.20529675748617801</v>
      </c>
      <c r="I448">
        <v>0</v>
      </c>
      <c r="J448">
        <v>11.8312658329769</v>
      </c>
      <c r="K448">
        <v>2385</v>
      </c>
      <c r="L448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48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cm="1">
        <f t="array" ref="N448">IFERROR(AVERAGE(IF((DiscreteStatsTable[GroupByKey]=DiscreteStatsTable[[#This Row],[GroupByKey]]),(DiscreteStatsTable[GroupByKey]=DiscreteStatsTable[[#This Row],[GroupByKey]])*DiscreteStatsTable[Average])),0)</f>
        <v>0.80557345969139849</v>
      </c>
      <c r="O448" cm="1">
        <f t="array" ref="O448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48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48" cm="1">
        <f t="array" ref="R448">MIN(IF((DiscreteStatsTable[GroupByKey]=DiscreteStatsTable[[#This Row],[GroupByKey]]),(DiscreteStatsTable[GroupByKey]=DiscreteStatsTable[[#This Row],[GroupByKey]])*DiscreteStatsTable[Average]))</f>
        <v>0.515986961752252</v>
      </c>
      <c r="S448" cm="1">
        <f t="array" ref="S448">MAX(IF((DiscreteStatsTable[GroupByKey]=DiscreteStatsTable[[#This Row],[GroupByKey]]),(DiscreteStatsTable[GroupByKey]=DiscreteStatsTable[[#This Row],[GroupByKey]])*DiscreteStatsTable[Average]))</f>
        <v>1.3542194698792001</v>
      </c>
      <c r="T448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cm="1">
        <f t="array" ref="U448">MAX(IF((DiscreteStatsTable[GroupByKey]=DiscreteStatsTable[[#This Row],[GroupByKey]]),(DiscreteStatsTable[GroupByKey]=DiscreteStatsTable[[#This Row],[GroupByKey]])*DiscreteStatsTable[Maximum]))</f>
        <v>28.983199492767199</v>
      </c>
      <c r="V448" cm="1">
        <f t="array" ref="V44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8">
        <f>IF((DiscreteStatsTable[[#This Row],[RepsRequested]]&gt;1),DiscreteStatsTable[[#This Row],[HalfWidth]],DiscreteStatsTable[[#This Row],[BatchMeansHalfWidth]])</f>
        <v>6.0520109610092528E-2</v>
      </c>
      <c r="X448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131</v>
      </c>
      <c r="C449">
        <v>50</v>
      </c>
      <c r="D449" t="s">
        <v>78</v>
      </c>
      <c r="E449" t="s">
        <v>79</v>
      </c>
      <c r="F449" t="s">
        <v>80</v>
      </c>
      <c r="G449">
        <v>1.56246636365172</v>
      </c>
      <c r="H449">
        <v>3E+20</v>
      </c>
      <c r="I449">
        <v>0.104746052617884</v>
      </c>
      <c r="J449">
        <v>18.928622767171699</v>
      </c>
      <c r="K449">
        <v>2431</v>
      </c>
      <c r="L449" t="str">
        <f>DiscreteStatsTable[[#This Row],[ProjectName]]&amp;DiscreteStatsTable[[#This Row],[Name]]&amp;DiscreteStatsTable[[#This Row],[Type]]&amp;DiscreteStatsTable[[#This Row],[Source]]</f>
        <v>PacientesProcess 2Total Time Per EntityProcess</v>
      </c>
      <c r="M449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cm="1">
        <f t="array" ref="N449">IFERROR(AVERAGE(IF((DiscreteStatsTable[GroupByKey]=DiscreteStatsTable[[#This Row],[GroupByKey]]),(DiscreteStatsTable[GroupByKey]=DiscreteStatsTable[[#This Row],[GroupByKey]])*DiscreteStatsTable[Average])),0)</f>
        <v>1.2976784780992308</v>
      </c>
      <c r="O449" cm="1">
        <f t="array" ref="O449">IFERROR(_xlfn.STDEV.S(IF((DiscreteStatsTable[GroupByKey]=DiscreteStatsTable[[#This Row],[GroupByKey]]),(DiscreteStatsTable[GroupByKey]=DiscreteStatsTable[[#This Row],[GroupByKey]])*DiscreteStatsTable[Average])),0)</f>
        <v>0.214255822712483</v>
      </c>
      <c r="P449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6.0890831086538234E-2</v>
      </c>
      <c r="R449" cm="1">
        <f t="array" ref="R449">MIN(IF((DiscreteStatsTable[GroupByKey]=DiscreteStatsTable[[#This Row],[GroupByKey]]),(DiscreteStatsTable[GroupByKey]=DiscreteStatsTable[[#This Row],[GroupByKey]])*DiscreteStatsTable[Average]))</f>
        <v>1.00825666115094</v>
      </c>
      <c r="S449" cm="1">
        <f t="array" ref="S449">MAX(IF((DiscreteStatsTable[GroupByKey]=DiscreteStatsTable[[#This Row],[GroupByKey]]),(DiscreteStatsTable[GroupByKey]=DiscreteStatsTable[[#This Row],[GroupByKey]])*DiscreteStatsTable[Average]))</f>
        <v>1.85589832994621</v>
      </c>
      <c r="T449" cm="1">
        <f t="array" ref="T449">MIN(IF((DiscreteStatsTable[GroupByKey]=DiscreteStatsTable[[#This Row],[GroupByKey]]),(DiscreteStatsTable[GroupByKey]=DiscreteStatsTable[[#This Row],[GroupByKey]])*DiscreteStatsTable[Minimum]))</f>
        <v>0.10260384490715101</v>
      </c>
      <c r="U449" cm="1">
        <f t="array" ref="U449">MAX(IF((DiscreteStatsTable[GroupByKey]=DiscreteStatsTable[[#This Row],[GroupByKey]]),(DiscreteStatsTable[GroupByKey]=DiscreteStatsTable[[#This Row],[GroupByKey]])*DiscreteStatsTable[Maximum]))</f>
        <v>29.378397097512401</v>
      </c>
      <c r="V449" cm="1">
        <f t="array" ref="V44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49">
        <f>IF((DiscreteStatsTable[[#This Row],[RepsRequested]]&gt;1),DiscreteStatsTable[[#This Row],[HalfWidth]],DiscreteStatsTable[[#This Row],[BatchMeansHalfWidth]])</f>
        <v>6.0890831086538234E-2</v>
      </c>
      <c r="X449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131</v>
      </c>
      <c r="C450">
        <v>50</v>
      </c>
      <c r="D450" t="s">
        <v>78</v>
      </c>
      <c r="E450" t="s">
        <v>81</v>
      </c>
      <c r="F450" t="s">
        <v>80</v>
      </c>
      <c r="G450">
        <v>0.48913982913037202</v>
      </c>
      <c r="H450">
        <v>1.59394895044534E-2</v>
      </c>
      <c r="I450">
        <v>0.104746052617884</v>
      </c>
      <c r="J450">
        <v>1.5367657655886</v>
      </c>
      <c r="K450">
        <v>2431</v>
      </c>
      <c r="L450" t="str">
        <f>DiscreteStatsTable[[#This Row],[ProjectName]]&amp;DiscreteStatsTable[[#This Row],[Name]]&amp;DiscreteStatsTable[[#This Row],[Type]]&amp;DiscreteStatsTable[[#This Row],[Source]]</f>
        <v>PacientesProcess 2VA Time Per EntityProcess</v>
      </c>
      <c r="M450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cm="1">
        <f t="array" ref="N450">IFERROR(AVERAGE(IF((DiscreteStatsTable[GroupByKey]=DiscreteStatsTable[[#This Row],[GroupByKey]]),(DiscreteStatsTable[GroupByKey]=DiscreteStatsTable[[#This Row],[GroupByKey]])*DiscreteStatsTable[Average])),0)</f>
        <v>0.49210501840783172</v>
      </c>
      <c r="O450" cm="1">
        <f t="array" ref="O450">IFERROR(_xlfn.STDEV.S(IF((DiscreteStatsTable[GroupByKey]=DiscreteStatsTable[[#This Row],[GroupByKey]]),(DiscreteStatsTable[GroupByKey]=DiscreteStatsTable[[#This Row],[GroupByKey]])*DiscreteStatsTable[Average])),0)</f>
        <v>4.7795299599228038E-3</v>
      </c>
      <c r="P450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1.3583273853576923E-3</v>
      </c>
      <c r="R450" cm="1">
        <f t="array" ref="R450">MIN(IF((DiscreteStatsTable[GroupByKey]=DiscreteStatsTable[[#This Row],[GroupByKey]]),(DiscreteStatsTable[GroupByKey]=DiscreteStatsTable[[#This Row],[GroupByKey]])*DiscreteStatsTable[Average]))</f>
        <v>0.481748748376016</v>
      </c>
      <c r="S450" cm="1">
        <f t="array" ref="S450">MAX(IF((DiscreteStatsTable[GroupByKey]=DiscreteStatsTable[[#This Row],[GroupByKey]]),(DiscreteStatsTable[GroupByKey]=DiscreteStatsTable[[#This Row],[GroupByKey]])*DiscreteStatsTable[Average]))</f>
        <v>0.50324408220295003</v>
      </c>
      <c r="T450" cm="1">
        <f t="array" ref="T450">MIN(IF((DiscreteStatsTable[GroupByKey]=DiscreteStatsTable[[#This Row],[GroupByKey]]),(DiscreteStatsTable[GroupByKey]=DiscreteStatsTable[[#This Row],[GroupByKey]])*DiscreteStatsTable[Minimum]))</f>
        <v>0.101748731497707</v>
      </c>
      <c r="U450" cm="1">
        <f t="array" ref="U450">MAX(IF((DiscreteStatsTable[GroupByKey]=DiscreteStatsTable[[#This Row],[GroupByKey]]),(DiscreteStatsTable[GroupByKey]=DiscreteStatsTable[[#This Row],[GroupByKey]])*DiscreteStatsTable[Maximum]))</f>
        <v>1.5939517145847</v>
      </c>
      <c r="V450" cm="1">
        <f t="array" ref="V45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50">
        <f>IF((DiscreteStatsTable[[#This Row],[RepsRequested]]&gt;1),DiscreteStatsTable[[#This Row],[HalfWidth]],DiscreteStatsTable[[#This Row],[BatchMeansHalfWidth]])</f>
        <v>1.3583273853576923E-3</v>
      </c>
      <c r="X450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131</v>
      </c>
      <c r="C451">
        <v>50</v>
      </c>
      <c r="D451" t="s">
        <v>78</v>
      </c>
      <c r="E451" t="s">
        <v>82</v>
      </c>
      <c r="F451" t="s">
        <v>80</v>
      </c>
      <c r="G451">
        <v>1.0733265345213501</v>
      </c>
      <c r="H451">
        <v>3E+20</v>
      </c>
      <c r="I451">
        <v>0</v>
      </c>
      <c r="J451">
        <v>18.6682802403873</v>
      </c>
      <c r="K451">
        <v>2431</v>
      </c>
      <c r="L451" t="str">
        <f>DiscreteStatsTable[[#This Row],[ProjectName]]&amp;DiscreteStatsTable[[#This Row],[Name]]&amp;DiscreteStatsTable[[#This Row],[Type]]&amp;DiscreteStatsTable[[#This Row],[Source]]</f>
        <v>PacientesProcess 2Wait Time Per EntityProcess</v>
      </c>
      <c r="M451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cm="1">
        <f t="array" ref="N451">IFERROR(AVERAGE(IF((DiscreteStatsTable[GroupByKey]=DiscreteStatsTable[[#This Row],[GroupByKey]]),(DiscreteStatsTable[GroupByKey]=DiscreteStatsTable[[#This Row],[GroupByKey]])*DiscreteStatsTable[Average])),0)</f>
        <v>0.80557345969139849</v>
      </c>
      <c r="O451" cm="1">
        <f t="array" ref="O451">IFERROR(_xlfn.STDEV.S(IF((DiscreteStatsTable[GroupByKey]=DiscreteStatsTable[[#This Row],[GroupByKey]]),(DiscreteStatsTable[GroupByKey]=DiscreteStatsTable[[#This Row],[GroupByKey]])*DiscreteStatsTable[Average])),0)</f>
        <v>0.21295136958685271</v>
      </c>
      <c r="P451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6.0520109610092528E-2</v>
      </c>
      <c r="R451" cm="1">
        <f t="array" ref="R451">MIN(IF((DiscreteStatsTable[GroupByKey]=DiscreteStatsTable[[#This Row],[GroupByKey]]),(DiscreteStatsTable[GroupByKey]=DiscreteStatsTable[[#This Row],[GroupByKey]])*DiscreteStatsTable[Average]))</f>
        <v>0.515986961752252</v>
      </c>
      <c r="S451" cm="1">
        <f t="array" ref="S451">MAX(IF((DiscreteStatsTable[GroupByKey]=DiscreteStatsTable[[#This Row],[GroupByKey]]),(DiscreteStatsTable[GroupByKey]=DiscreteStatsTable[[#This Row],[GroupByKey]])*DiscreteStatsTable[Average]))</f>
        <v>1.3542194698792001</v>
      </c>
      <c r="T451" cm="1">
        <f t="array" ref="T451">MIN(IF((DiscreteStatsTable[GroupByKey]=DiscreteStatsTable[[#This Row],[GroupByKey]]),(DiscreteStatsTable[GroupByKey]=DiscreteStatsTable[[#This Row],[GroupByKey]])*DiscreteStatsTable[Minimum]))</f>
        <v>0</v>
      </c>
      <c r="U451" cm="1">
        <f t="array" ref="U451">MAX(IF((DiscreteStatsTable[GroupByKey]=DiscreteStatsTable[[#This Row],[GroupByKey]]),(DiscreteStatsTable[GroupByKey]=DiscreteStatsTable[[#This Row],[GroupByKey]])*DiscreteStatsTable[Maximum]))</f>
        <v>28.983199492767199</v>
      </c>
      <c r="V451" cm="1">
        <f t="array" ref="V45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451">
        <f>IF((DiscreteStatsTable[[#This Row],[RepsRequested]]&gt;1),DiscreteStatsTable[[#This Row],[HalfWidth]],DiscreteStatsTable[[#This Row],[BatchMeansHalfWidth]])</f>
        <v>6.0520109610092528E-2</v>
      </c>
      <c r="X451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131</v>
      </c>
      <c r="C452">
        <v>1</v>
      </c>
      <c r="D452" t="s">
        <v>83</v>
      </c>
      <c r="E452" t="s">
        <v>84</v>
      </c>
      <c r="F452" t="s">
        <v>85</v>
      </c>
      <c r="G452">
        <v>0.93018992264089295</v>
      </c>
      <c r="H452">
        <v>0.32565170478405903</v>
      </c>
      <c r="I452">
        <v>0</v>
      </c>
      <c r="J452">
        <v>16.752914155724099</v>
      </c>
      <c r="K452">
        <v>2425</v>
      </c>
      <c r="L452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52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cm="1">
        <f t="array" ref="N452">IFERROR(AVERAGE(IF((DiscreteStatsTable[GroupByKey]=DiscreteStatsTable[[#This Row],[GroupByKey]]),(DiscreteStatsTable[GroupByKey]=DiscreteStatsTable[[#This Row],[GroupByKey]])*DiscreteStatsTable[Average])),0)</f>
        <v>0.80539766231092458</v>
      </c>
      <c r="O452" cm="1">
        <f t="array" ref="O452">IFERROR(_xlfn.STDEV.S(IF((DiscreteStatsTable[GroupByKey]=DiscreteStatsTable[[#This Row],[GroupByKey]]),(DiscreteStatsTable[GroupByKey]=DiscreteStatsTable[[#This Row],[GroupByKey]])*DiscreteStatsTable[Average])),0)</f>
        <v>0.2127393519392447</v>
      </c>
      <c r="P452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52" cm="1">
        <f t="array" ref="R452">MIN(IF((DiscreteStatsTable[GroupByKey]=DiscreteStatsTable[[#This Row],[GroupByKey]]),(DiscreteStatsTable[GroupByKey]=DiscreteStatsTable[[#This Row],[GroupByKey]])*DiscreteStatsTable[Average]))</f>
        <v>0.51658298033119898</v>
      </c>
      <c r="S452" cm="1">
        <f t="array" ref="S452">MAX(IF((DiscreteStatsTable[GroupByKey]=DiscreteStatsTable[[#This Row],[GroupByKey]]),(DiscreteStatsTable[GroupByKey]=DiscreteStatsTable[[#This Row],[GroupByKey]])*DiscreteStatsTable[Average]))</f>
        <v>1.35362284384225</v>
      </c>
      <c r="T452" cm="1">
        <f t="array" ref="T452">MIN(IF((DiscreteStatsTable[GroupByKey]=DiscreteStatsTable[[#This Row],[GroupByKey]]),(DiscreteStatsTable[GroupByKey]=DiscreteStatsTable[[#This Row],[GroupByKey]])*DiscreteStatsTable[Minimum]))</f>
        <v>0</v>
      </c>
      <c r="U452" cm="1">
        <f t="array" ref="U452">MAX(IF((DiscreteStatsTable[GroupByKey]=DiscreteStatsTable[[#This Row],[GroupByKey]]),(DiscreteStatsTable[GroupByKey]=DiscreteStatsTable[[#This Row],[GroupByKey]])*DiscreteStatsTable[Maximum]))</f>
        <v>28.983199492767199</v>
      </c>
      <c r="V452" cm="1">
        <f t="array" ref="V452">IFERROR(AVERAGE(IF((DiscreteStatsTable[GroupByKey]=DiscreteStatsTable[[#This Row],[GroupByKey]]),(DiscreteStatsTable[GroupByKey]=DiscreteStatsTable[[#This Row],[GroupByKey]])*DiscreteStatsTable[NumberObservations])),0)</f>
        <v>2401.9</v>
      </c>
      <c r="W452">
        <f>IF((DiscreteStatsTable[[#This Row],[RepsRequested]]&gt;1),DiscreteStatsTable[[#This Row],[HalfWidth]],DiscreteStatsTable[[#This Row],[BatchMeansHalfWidth]])</f>
        <v>6.0459854861332728E-2</v>
      </c>
      <c r="X452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131</v>
      </c>
      <c r="C453">
        <v>2</v>
      </c>
      <c r="D453" t="s">
        <v>83</v>
      </c>
      <c r="E453" t="s">
        <v>84</v>
      </c>
      <c r="F453" t="s">
        <v>85</v>
      </c>
      <c r="G453">
        <v>0.58378480255193799</v>
      </c>
      <c r="H453">
        <v>3E+20</v>
      </c>
      <c r="I453">
        <v>0</v>
      </c>
      <c r="J453">
        <v>8.7900931728595104</v>
      </c>
      <c r="K453">
        <v>2400</v>
      </c>
      <c r="L453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53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cm="1">
        <f t="array" ref="N453">IFERROR(AVERAGE(IF((DiscreteStatsTable[GroupByKey]=DiscreteStatsTable[[#This Row],[GroupByKey]]),(DiscreteStatsTable[GroupByKey]=DiscreteStatsTable[[#This Row],[GroupByKey]])*DiscreteStatsTable[Average])),0)</f>
        <v>0.80539766231092458</v>
      </c>
      <c r="O453" cm="1">
        <f t="array" ref="O453">IFERROR(_xlfn.STDEV.S(IF((DiscreteStatsTable[GroupByKey]=DiscreteStatsTable[[#This Row],[GroupByKey]]),(DiscreteStatsTable[GroupByKey]=DiscreteStatsTable[[#This Row],[GroupByKey]])*DiscreteStatsTable[Average])),0)</f>
        <v>0.2127393519392447</v>
      </c>
      <c r="P453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53" cm="1">
        <f t="array" ref="R453">MIN(IF((DiscreteStatsTable[GroupByKey]=DiscreteStatsTable[[#This Row],[GroupByKey]]),(DiscreteStatsTable[GroupByKey]=DiscreteStatsTable[[#This Row],[GroupByKey]])*DiscreteStatsTable[Average]))</f>
        <v>0.51658298033119898</v>
      </c>
      <c r="S453" cm="1">
        <f t="array" ref="S453">MAX(IF((DiscreteStatsTable[GroupByKey]=DiscreteStatsTable[[#This Row],[GroupByKey]]),(DiscreteStatsTable[GroupByKey]=DiscreteStatsTable[[#This Row],[GroupByKey]])*DiscreteStatsTable[Average]))</f>
        <v>1.35362284384225</v>
      </c>
      <c r="T453" cm="1">
        <f t="array" ref="T453">MIN(IF((DiscreteStatsTable[GroupByKey]=DiscreteStatsTable[[#This Row],[GroupByKey]]),(DiscreteStatsTable[GroupByKey]=DiscreteStatsTable[[#This Row],[GroupByKey]])*DiscreteStatsTable[Minimum]))</f>
        <v>0</v>
      </c>
      <c r="U453" cm="1">
        <f t="array" ref="U453">MAX(IF((DiscreteStatsTable[GroupByKey]=DiscreteStatsTable[[#This Row],[GroupByKey]]),(DiscreteStatsTable[GroupByKey]=DiscreteStatsTable[[#This Row],[GroupByKey]])*DiscreteStatsTable[Maximum]))</f>
        <v>28.983199492767199</v>
      </c>
      <c r="V453" cm="1">
        <f t="array" ref="V453">IFERROR(AVERAGE(IF((DiscreteStatsTable[GroupByKey]=DiscreteStatsTable[[#This Row],[GroupByKey]]),(DiscreteStatsTable[GroupByKey]=DiscreteStatsTable[[#This Row],[GroupByKey]])*DiscreteStatsTable[NumberObservations])),0)</f>
        <v>2401.9</v>
      </c>
      <c r="W453">
        <f>IF((DiscreteStatsTable[[#This Row],[RepsRequested]]&gt;1),DiscreteStatsTable[[#This Row],[HalfWidth]],DiscreteStatsTable[[#This Row],[BatchMeansHalfWidth]])</f>
        <v>6.0459854861332728E-2</v>
      </c>
      <c r="X453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131</v>
      </c>
      <c r="C454">
        <v>3</v>
      </c>
      <c r="D454" t="s">
        <v>83</v>
      </c>
      <c r="E454" t="s">
        <v>84</v>
      </c>
      <c r="F454" t="s">
        <v>85</v>
      </c>
      <c r="G454">
        <v>0.62130115960236898</v>
      </c>
      <c r="H454">
        <v>0.213672695964641</v>
      </c>
      <c r="I454">
        <v>0</v>
      </c>
      <c r="J454">
        <v>11.9700919824074</v>
      </c>
      <c r="K454">
        <v>2363</v>
      </c>
      <c r="L454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54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cm="1">
        <f t="array" ref="N454">IFERROR(AVERAGE(IF((DiscreteStatsTable[GroupByKey]=DiscreteStatsTable[[#This Row],[GroupByKey]]),(DiscreteStatsTable[GroupByKey]=DiscreteStatsTable[[#This Row],[GroupByKey]])*DiscreteStatsTable[Average])),0)</f>
        <v>0.80539766231092458</v>
      </c>
      <c r="O454" cm="1">
        <f t="array" ref="O454">IFERROR(_xlfn.STDEV.S(IF((DiscreteStatsTable[GroupByKey]=DiscreteStatsTable[[#This Row],[GroupByKey]]),(DiscreteStatsTable[GroupByKey]=DiscreteStatsTable[[#This Row],[GroupByKey]])*DiscreteStatsTable[Average])),0)</f>
        <v>0.2127393519392447</v>
      </c>
      <c r="P454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54" cm="1">
        <f t="array" ref="R454">MIN(IF((DiscreteStatsTable[GroupByKey]=DiscreteStatsTable[[#This Row],[GroupByKey]]),(DiscreteStatsTable[GroupByKey]=DiscreteStatsTable[[#This Row],[GroupByKey]])*DiscreteStatsTable[Average]))</f>
        <v>0.51658298033119898</v>
      </c>
      <c r="S454" cm="1">
        <f t="array" ref="S454">MAX(IF((DiscreteStatsTable[GroupByKey]=DiscreteStatsTable[[#This Row],[GroupByKey]]),(DiscreteStatsTable[GroupByKey]=DiscreteStatsTable[[#This Row],[GroupByKey]])*DiscreteStatsTable[Average]))</f>
        <v>1.35362284384225</v>
      </c>
      <c r="T454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cm="1">
        <f t="array" ref="U454">MAX(IF((DiscreteStatsTable[GroupByKey]=DiscreteStatsTable[[#This Row],[GroupByKey]]),(DiscreteStatsTable[GroupByKey]=DiscreteStatsTable[[#This Row],[GroupByKey]])*DiscreteStatsTable[Maximum]))</f>
        <v>28.983199492767199</v>
      </c>
      <c r="V454" cm="1">
        <f t="array" ref="V454">IFERROR(AVERAGE(IF((DiscreteStatsTable[GroupByKey]=DiscreteStatsTable[[#This Row],[GroupByKey]]),(DiscreteStatsTable[GroupByKey]=DiscreteStatsTable[[#This Row],[GroupByKey]])*DiscreteStatsTable[NumberObservations])),0)</f>
        <v>2401.9</v>
      </c>
      <c r="W454">
        <f>IF((DiscreteStatsTable[[#This Row],[RepsRequested]]&gt;1),DiscreteStatsTable[[#This Row],[HalfWidth]],DiscreteStatsTable[[#This Row],[BatchMeansHalfWidth]])</f>
        <v>6.0459854861332728E-2</v>
      </c>
      <c r="X454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131</v>
      </c>
      <c r="C455">
        <v>4</v>
      </c>
      <c r="D455" t="s">
        <v>83</v>
      </c>
      <c r="E455" t="s">
        <v>84</v>
      </c>
      <c r="F455" t="s">
        <v>85</v>
      </c>
      <c r="G455">
        <v>0.90301871539353096</v>
      </c>
      <c r="H455">
        <v>0.39092949170205299</v>
      </c>
      <c r="I455">
        <v>0</v>
      </c>
      <c r="J455">
        <v>18.924775423345601</v>
      </c>
      <c r="K455">
        <v>2373</v>
      </c>
      <c r="L455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5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cm="1">
        <f t="array" ref="N455">IFERROR(AVERAGE(IF((DiscreteStatsTable[GroupByKey]=DiscreteStatsTable[[#This Row],[GroupByKey]]),(DiscreteStatsTable[GroupByKey]=DiscreteStatsTable[[#This Row],[GroupByKey]])*DiscreteStatsTable[Average])),0)</f>
        <v>0.80539766231092458</v>
      </c>
      <c r="O455" cm="1">
        <f t="array" ref="O455">IFERROR(_xlfn.STDEV.S(IF((DiscreteStatsTable[GroupByKey]=DiscreteStatsTable[[#This Row],[GroupByKey]]),(DiscreteStatsTable[GroupByKey]=DiscreteStatsTable[[#This Row],[GroupByKey]])*DiscreteStatsTable[Average])),0)</f>
        <v>0.2127393519392447</v>
      </c>
      <c r="P45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55" cm="1">
        <f t="array" ref="R455">MIN(IF((DiscreteStatsTable[GroupByKey]=DiscreteStatsTable[[#This Row],[GroupByKey]]),(DiscreteStatsTable[GroupByKey]=DiscreteStatsTable[[#This Row],[GroupByKey]])*DiscreteStatsTable[Average]))</f>
        <v>0.51658298033119898</v>
      </c>
      <c r="S455" cm="1">
        <f t="array" ref="S455">MAX(IF((DiscreteStatsTable[GroupByKey]=DiscreteStatsTable[[#This Row],[GroupByKey]]),(DiscreteStatsTable[GroupByKey]=DiscreteStatsTable[[#This Row],[GroupByKey]])*DiscreteStatsTable[Average]))</f>
        <v>1.35362284384225</v>
      </c>
      <c r="T45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cm="1">
        <f t="array" ref="U455">MAX(IF((DiscreteStatsTable[GroupByKey]=DiscreteStatsTable[[#This Row],[GroupByKey]]),(DiscreteStatsTable[GroupByKey]=DiscreteStatsTable[[#This Row],[GroupByKey]])*DiscreteStatsTable[Maximum]))</f>
        <v>28.983199492767199</v>
      </c>
      <c r="V455" cm="1">
        <f t="array" ref="V455">IFERROR(AVERAGE(IF((DiscreteStatsTable[GroupByKey]=DiscreteStatsTable[[#This Row],[GroupByKey]]),(DiscreteStatsTable[GroupByKey]=DiscreteStatsTable[[#This Row],[GroupByKey]])*DiscreteStatsTable[NumberObservations])),0)</f>
        <v>2401.9</v>
      </c>
      <c r="W455">
        <f>IF((DiscreteStatsTable[[#This Row],[RepsRequested]]&gt;1),DiscreteStatsTable[[#This Row],[HalfWidth]],DiscreteStatsTable[[#This Row],[BatchMeansHalfWidth]])</f>
        <v>6.0459854861332728E-2</v>
      </c>
      <c r="X45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131</v>
      </c>
      <c r="C456">
        <v>5</v>
      </c>
      <c r="D456" t="s">
        <v>83</v>
      </c>
      <c r="E456" t="s">
        <v>84</v>
      </c>
      <c r="F456" t="s">
        <v>85</v>
      </c>
      <c r="G456">
        <v>0.64539413081494201</v>
      </c>
      <c r="H456">
        <v>3E+20</v>
      </c>
      <c r="I456">
        <v>0</v>
      </c>
      <c r="J456">
        <v>13.9940305381404</v>
      </c>
      <c r="K456">
        <v>2338</v>
      </c>
      <c r="L456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56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cm="1">
        <f t="array" ref="N456">IFERROR(AVERAGE(IF((DiscreteStatsTable[GroupByKey]=DiscreteStatsTable[[#This Row],[GroupByKey]]),(DiscreteStatsTable[GroupByKey]=DiscreteStatsTable[[#This Row],[GroupByKey]])*DiscreteStatsTable[Average])),0)</f>
        <v>0.80539766231092458</v>
      </c>
      <c r="O456" cm="1">
        <f t="array" ref="O456">IFERROR(_xlfn.STDEV.S(IF((DiscreteStatsTable[GroupByKey]=DiscreteStatsTable[[#This Row],[GroupByKey]]),(DiscreteStatsTable[GroupByKey]=DiscreteStatsTable[[#This Row],[GroupByKey]])*DiscreteStatsTable[Average])),0)</f>
        <v>0.2127393519392447</v>
      </c>
      <c r="P456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56" cm="1">
        <f t="array" ref="R456">MIN(IF((DiscreteStatsTable[GroupByKey]=DiscreteStatsTable[[#This Row],[GroupByKey]]),(DiscreteStatsTable[GroupByKey]=DiscreteStatsTable[[#This Row],[GroupByKey]])*DiscreteStatsTable[Average]))</f>
        <v>0.51658298033119898</v>
      </c>
      <c r="S456" cm="1">
        <f t="array" ref="S456">MAX(IF((DiscreteStatsTable[GroupByKey]=DiscreteStatsTable[[#This Row],[GroupByKey]]),(DiscreteStatsTable[GroupByKey]=DiscreteStatsTable[[#This Row],[GroupByKey]])*DiscreteStatsTable[Average]))</f>
        <v>1.35362284384225</v>
      </c>
      <c r="T456" cm="1">
        <f t="array" ref="T456">MIN(IF((DiscreteStatsTable[GroupByKey]=DiscreteStatsTable[[#This Row],[GroupByKey]]),(DiscreteStatsTable[GroupByKey]=DiscreteStatsTable[[#This Row],[GroupByKey]])*DiscreteStatsTable[Minimum]))</f>
        <v>0</v>
      </c>
      <c r="U456" cm="1">
        <f t="array" ref="U456">MAX(IF((DiscreteStatsTable[GroupByKey]=DiscreteStatsTable[[#This Row],[GroupByKey]]),(DiscreteStatsTable[GroupByKey]=DiscreteStatsTable[[#This Row],[GroupByKey]])*DiscreteStatsTable[Maximum]))</f>
        <v>28.983199492767199</v>
      </c>
      <c r="V456" cm="1">
        <f t="array" ref="V456">IFERROR(AVERAGE(IF((DiscreteStatsTable[GroupByKey]=DiscreteStatsTable[[#This Row],[GroupByKey]]),(DiscreteStatsTable[GroupByKey]=DiscreteStatsTable[[#This Row],[GroupByKey]])*DiscreteStatsTable[NumberObservations])),0)</f>
        <v>2401.9</v>
      </c>
      <c r="W456">
        <f>IF((DiscreteStatsTable[[#This Row],[RepsRequested]]&gt;1),DiscreteStatsTable[[#This Row],[HalfWidth]],DiscreteStatsTable[[#This Row],[BatchMeansHalfWidth]])</f>
        <v>6.0459854861332728E-2</v>
      </c>
      <c r="X456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131</v>
      </c>
      <c r="C457">
        <v>6</v>
      </c>
      <c r="D457" t="s">
        <v>83</v>
      </c>
      <c r="E457" t="s">
        <v>84</v>
      </c>
      <c r="F457" t="s">
        <v>85</v>
      </c>
      <c r="G457">
        <v>0.85599881766464303</v>
      </c>
      <c r="H457">
        <v>0.25399109509388401</v>
      </c>
      <c r="I457">
        <v>0</v>
      </c>
      <c r="J457">
        <v>11.995100015942301</v>
      </c>
      <c r="K457">
        <v>2506</v>
      </c>
      <c r="L457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57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cm="1">
        <f t="array" ref="N457">IFERROR(AVERAGE(IF((DiscreteStatsTable[GroupByKey]=DiscreteStatsTable[[#This Row],[GroupByKey]]),(DiscreteStatsTable[GroupByKey]=DiscreteStatsTable[[#This Row],[GroupByKey]])*DiscreteStatsTable[Average])),0)</f>
        <v>0.80539766231092458</v>
      </c>
      <c r="O457" cm="1">
        <f t="array" ref="O457">IFERROR(_xlfn.STDEV.S(IF((DiscreteStatsTable[GroupByKey]=DiscreteStatsTable[[#This Row],[GroupByKey]]),(DiscreteStatsTable[GroupByKey]=DiscreteStatsTable[[#This Row],[GroupByKey]])*DiscreteStatsTable[Average])),0)</f>
        <v>0.2127393519392447</v>
      </c>
      <c r="P457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57" cm="1">
        <f t="array" ref="R457">MIN(IF((DiscreteStatsTable[GroupByKey]=DiscreteStatsTable[[#This Row],[GroupByKey]]),(DiscreteStatsTable[GroupByKey]=DiscreteStatsTable[[#This Row],[GroupByKey]])*DiscreteStatsTable[Average]))</f>
        <v>0.51658298033119898</v>
      </c>
      <c r="S457" cm="1">
        <f t="array" ref="S457">MAX(IF((DiscreteStatsTable[GroupByKey]=DiscreteStatsTable[[#This Row],[GroupByKey]]),(DiscreteStatsTable[GroupByKey]=DiscreteStatsTable[[#This Row],[GroupByKey]])*DiscreteStatsTable[Average]))</f>
        <v>1.35362284384225</v>
      </c>
      <c r="T457" cm="1">
        <f t="array" ref="T457">MIN(IF((DiscreteStatsTable[GroupByKey]=DiscreteStatsTable[[#This Row],[GroupByKey]]),(DiscreteStatsTable[GroupByKey]=DiscreteStatsTable[[#This Row],[GroupByKey]])*DiscreteStatsTable[Minimum]))</f>
        <v>0</v>
      </c>
      <c r="U457" cm="1">
        <f t="array" ref="U457">MAX(IF((DiscreteStatsTable[GroupByKey]=DiscreteStatsTable[[#This Row],[GroupByKey]]),(DiscreteStatsTable[GroupByKey]=DiscreteStatsTable[[#This Row],[GroupByKey]])*DiscreteStatsTable[Maximum]))</f>
        <v>28.983199492767199</v>
      </c>
      <c r="V457" cm="1">
        <f t="array" ref="V457">IFERROR(AVERAGE(IF((DiscreteStatsTable[GroupByKey]=DiscreteStatsTable[[#This Row],[GroupByKey]]),(DiscreteStatsTable[GroupByKey]=DiscreteStatsTable[[#This Row],[GroupByKey]])*DiscreteStatsTable[NumberObservations])),0)</f>
        <v>2401.9</v>
      </c>
      <c r="W457">
        <f>IF((DiscreteStatsTable[[#This Row],[RepsRequested]]&gt;1),DiscreteStatsTable[[#This Row],[HalfWidth]],DiscreteStatsTable[[#This Row],[BatchMeansHalfWidth]])</f>
        <v>6.0459854861332728E-2</v>
      </c>
      <c r="X457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131</v>
      </c>
      <c r="C458">
        <v>7</v>
      </c>
      <c r="D458" t="s">
        <v>83</v>
      </c>
      <c r="E458" t="s">
        <v>84</v>
      </c>
      <c r="F458" t="s">
        <v>85</v>
      </c>
      <c r="G458">
        <v>0.72369751079971301</v>
      </c>
      <c r="H458">
        <v>0.22150019172260499</v>
      </c>
      <c r="I458">
        <v>0</v>
      </c>
      <c r="J458">
        <v>14.3681831855307</v>
      </c>
      <c r="K458">
        <v>2394</v>
      </c>
      <c r="L458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58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cm="1">
        <f t="array" ref="N458">IFERROR(AVERAGE(IF((DiscreteStatsTable[GroupByKey]=DiscreteStatsTable[[#This Row],[GroupByKey]]),(DiscreteStatsTable[GroupByKey]=DiscreteStatsTable[[#This Row],[GroupByKey]])*DiscreteStatsTable[Average])),0)</f>
        <v>0.80539766231092458</v>
      </c>
      <c r="O458" cm="1">
        <f t="array" ref="O458">IFERROR(_xlfn.STDEV.S(IF((DiscreteStatsTable[GroupByKey]=DiscreteStatsTable[[#This Row],[GroupByKey]]),(DiscreteStatsTable[GroupByKey]=DiscreteStatsTable[[#This Row],[GroupByKey]])*DiscreteStatsTable[Average])),0)</f>
        <v>0.2127393519392447</v>
      </c>
      <c r="P458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58" cm="1">
        <f t="array" ref="R458">MIN(IF((DiscreteStatsTable[GroupByKey]=DiscreteStatsTable[[#This Row],[GroupByKey]]),(DiscreteStatsTable[GroupByKey]=DiscreteStatsTable[[#This Row],[GroupByKey]])*DiscreteStatsTable[Average]))</f>
        <v>0.51658298033119898</v>
      </c>
      <c r="S458" cm="1">
        <f t="array" ref="S458">MAX(IF((DiscreteStatsTable[GroupByKey]=DiscreteStatsTable[[#This Row],[GroupByKey]]),(DiscreteStatsTable[GroupByKey]=DiscreteStatsTable[[#This Row],[GroupByKey]])*DiscreteStatsTable[Average]))</f>
        <v>1.35362284384225</v>
      </c>
      <c r="T458" cm="1">
        <f t="array" ref="T458">MIN(IF((DiscreteStatsTable[GroupByKey]=DiscreteStatsTable[[#This Row],[GroupByKey]]),(DiscreteStatsTable[GroupByKey]=DiscreteStatsTable[[#This Row],[GroupByKey]])*DiscreteStatsTable[Minimum]))</f>
        <v>0</v>
      </c>
      <c r="U458" cm="1">
        <f t="array" ref="U458">MAX(IF((DiscreteStatsTable[GroupByKey]=DiscreteStatsTable[[#This Row],[GroupByKey]]),(DiscreteStatsTable[GroupByKey]=DiscreteStatsTable[[#This Row],[GroupByKey]])*DiscreteStatsTable[Maximum]))</f>
        <v>28.983199492767199</v>
      </c>
      <c r="V458" cm="1">
        <f t="array" ref="V458">IFERROR(AVERAGE(IF((DiscreteStatsTable[GroupByKey]=DiscreteStatsTable[[#This Row],[GroupByKey]]),(DiscreteStatsTable[GroupByKey]=DiscreteStatsTable[[#This Row],[GroupByKey]])*DiscreteStatsTable[NumberObservations])),0)</f>
        <v>2401.9</v>
      </c>
      <c r="W458">
        <f>IF((DiscreteStatsTable[[#This Row],[RepsRequested]]&gt;1),DiscreteStatsTable[[#This Row],[HalfWidth]],DiscreteStatsTable[[#This Row],[BatchMeansHalfWidth]])</f>
        <v>6.0459854861332728E-2</v>
      </c>
      <c r="X458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131</v>
      </c>
      <c r="C459">
        <v>8</v>
      </c>
      <c r="D459" t="s">
        <v>83</v>
      </c>
      <c r="E459" t="s">
        <v>84</v>
      </c>
      <c r="F459" t="s">
        <v>85</v>
      </c>
      <c r="G459">
        <v>0.72277821959750199</v>
      </c>
      <c r="H459">
        <v>0.20957599883591599</v>
      </c>
      <c r="I459">
        <v>0</v>
      </c>
      <c r="J459">
        <v>9.5887786895350793</v>
      </c>
      <c r="K459">
        <v>2405</v>
      </c>
      <c r="L459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59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cm="1">
        <f t="array" ref="N459">IFERROR(AVERAGE(IF((DiscreteStatsTable[GroupByKey]=DiscreteStatsTable[[#This Row],[GroupByKey]]),(DiscreteStatsTable[GroupByKey]=DiscreteStatsTable[[#This Row],[GroupByKey]])*DiscreteStatsTable[Average])),0)</f>
        <v>0.80539766231092458</v>
      </c>
      <c r="O459" cm="1">
        <f t="array" ref="O459">IFERROR(_xlfn.STDEV.S(IF((DiscreteStatsTable[GroupByKey]=DiscreteStatsTable[[#This Row],[GroupByKey]]),(DiscreteStatsTable[GroupByKey]=DiscreteStatsTable[[#This Row],[GroupByKey]])*DiscreteStatsTable[Average])),0)</f>
        <v>0.2127393519392447</v>
      </c>
      <c r="P459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59" cm="1">
        <f t="array" ref="R459">MIN(IF((DiscreteStatsTable[GroupByKey]=DiscreteStatsTable[[#This Row],[GroupByKey]]),(DiscreteStatsTable[GroupByKey]=DiscreteStatsTable[[#This Row],[GroupByKey]])*DiscreteStatsTable[Average]))</f>
        <v>0.51658298033119898</v>
      </c>
      <c r="S459" cm="1">
        <f t="array" ref="S459">MAX(IF((DiscreteStatsTable[GroupByKey]=DiscreteStatsTable[[#This Row],[GroupByKey]]),(DiscreteStatsTable[GroupByKey]=DiscreteStatsTable[[#This Row],[GroupByKey]])*DiscreteStatsTable[Average]))</f>
        <v>1.35362284384225</v>
      </c>
      <c r="T459" cm="1">
        <f t="array" ref="T459">MIN(IF((DiscreteStatsTable[GroupByKey]=DiscreteStatsTable[[#This Row],[GroupByKey]]),(DiscreteStatsTable[GroupByKey]=DiscreteStatsTable[[#This Row],[GroupByKey]])*DiscreteStatsTable[Minimum]))</f>
        <v>0</v>
      </c>
      <c r="U459" cm="1">
        <f t="array" ref="U459">MAX(IF((DiscreteStatsTable[GroupByKey]=DiscreteStatsTable[[#This Row],[GroupByKey]]),(DiscreteStatsTable[GroupByKey]=DiscreteStatsTable[[#This Row],[GroupByKey]])*DiscreteStatsTable[Maximum]))</f>
        <v>28.983199492767199</v>
      </c>
      <c r="V459" cm="1">
        <f t="array" ref="V459">IFERROR(AVERAGE(IF((DiscreteStatsTable[GroupByKey]=DiscreteStatsTable[[#This Row],[GroupByKey]]),(DiscreteStatsTable[GroupByKey]=DiscreteStatsTable[[#This Row],[GroupByKey]])*DiscreteStatsTable[NumberObservations])),0)</f>
        <v>2401.9</v>
      </c>
      <c r="W459">
        <f>IF((DiscreteStatsTable[[#This Row],[RepsRequested]]&gt;1),DiscreteStatsTable[[#This Row],[HalfWidth]],DiscreteStatsTable[[#This Row],[BatchMeansHalfWidth]])</f>
        <v>6.0459854861332728E-2</v>
      </c>
      <c r="X459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131</v>
      </c>
      <c r="C460">
        <v>9</v>
      </c>
      <c r="D460" t="s">
        <v>83</v>
      </c>
      <c r="E460" t="s">
        <v>84</v>
      </c>
      <c r="F460" t="s">
        <v>85</v>
      </c>
      <c r="G460">
        <v>1.20270110961615</v>
      </c>
      <c r="H460">
        <v>0.42146113886333397</v>
      </c>
      <c r="I460">
        <v>0</v>
      </c>
      <c r="J460">
        <v>18.219088962396398</v>
      </c>
      <c r="K460">
        <v>2430</v>
      </c>
      <c r="L460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60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cm="1">
        <f t="array" ref="N460">IFERROR(AVERAGE(IF((DiscreteStatsTable[GroupByKey]=DiscreteStatsTable[[#This Row],[GroupByKey]]),(DiscreteStatsTable[GroupByKey]=DiscreteStatsTable[[#This Row],[GroupByKey]])*DiscreteStatsTable[Average])),0)</f>
        <v>0.80539766231092458</v>
      </c>
      <c r="O460" cm="1">
        <f t="array" ref="O460">IFERROR(_xlfn.STDEV.S(IF((DiscreteStatsTable[GroupByKey]=DiscreteStatsTable[[#This Row],[GroupByKey]]),(DiscreteStatsTable[GroupByKey]=DiscreteStatsTable[[#This Row],[GroupByKey]])*DiscreteStatsTable[Average])),0)</f>
        <v>0.2127393519392447</v>
      </c>
      <c r="P460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60" cm="1">
        <f t="array" ref="R460">MIN(IF((DiscreteStatsTable[GroupByKey]=DiscreteStatsTable[[#This Row],[GroupByKey]]),(DiscreteStatsTable[GroupByKey]=DiscreteStatsTable[[#This Row],[GroupByKey]])*DiscreteStatsTable[Average]))</f>
        <v>0.51658298033119898</v>
      </c>
      <c r="S460" cm="1">
        <f t="array" ref="S460">MAX(IF((DiscreteStatsTable[GroupByKey]=DiscreteStatsTable[[#This Row],[GroupByKey]]),(DiscreteStatsTable[GroupByKey]=DiscreteStatsTable[[#This Row],[GroupByKey]])*DiscreteStatsTable[Average]))</f>
        <v>1.35362284384225</v>
      </c>
      <c r="T460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cm="1">
        <f t="array" ref="U460">MAX(IF((DiscreteStatsTable[GroupByKey]=DiscreteStatsTable[[#This Row],[GroupByKey]]),(DiscreteStatsTable[GroupByKey]=DiscreteStatsTable[[#This Row],[GroupByKey]])*DiscreteStatsTable[Maximum]))</f>
        <v>28.983199492767199</v>
      </c>
      <c r="V460" cm="1">
        <f t="array" ref="V460">IFERROR(AVERAGE(IF((DiscreteStatsTable[GroupByKey]=DiscreteStatsTable[[#This Row],[GroupByKey]]),(DiscreteStatsTable[GroupByKey]=DiscreteStatsTable[[#This Row],[GroupByKey]])*DiscreteStatsTable[NumberObservations])),0)</f>
        <v>2401.9</v>
      </c>
      <c r="W460">
        <f>IF((DiscreteStatsTable[[#This Row],[RepsRequested]]&gt;1),DiscreteStatsTable[[#This Row],[HalfWidth]],DiscreteStatsTable[[#This Row],[BatchMeansHalfWidth]])</f>
        <v>6.0459854861332728E-2</v>
      </c>
      <c r="X460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131</v>
      </c>
      <c r="C461">
        <v>10</v>
      </c>
      <c r="D461" t="s">
        <v>83</v>
      </c>
      <c r="E461" t="s">
        <v>84</v>
      </c>
      <c r="F461" t="s">
        <v>85</v>
      </c>
      <c r="G461">
        <v>0.988937995066415</v>
      </c>
      <c r="H461">
        <v>0.30823110317331498</v>
      </c>
      <c r="I461">
        <v>0</v>
      </c>
      <c r="J461">
        <v>17.7238412625919</v>
      </c>
      <c r="K461">
        <v>2503</v>
      </c>
      <c r="L461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61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cm="1">
        <f t="array" ref="N461">IFERROR(AVERAGE(IF((DiscreteStatsTable[GroupByKey]=DiscreteStatsTable[[#This Row],[GroupByKey]]),(DiscreteStatsTable[GroupByKey]=DiscreteStatsTable[[#This Row],[GroupByKey]])*DiscreteStatsTable[Average])),0)</f>
        <v>0.80539766231092458</v>
      </c>
      <c r="O461" cm="1">
        <f t="array" ref="O461">IFERROR(_xlfn.STDEV.S(IF((DiscreteStatsTable[GroupByKey]=DiscreteStatsTable[[#This Row],[GroupByKey]]),(DiscreteStatsTable[GroupByKey]=DiscreteStatsTable[[#This Row],[GroupByKey]])*DiscreteStatsTable[Average])),0)</f>
        <v>0.2127393519392447</v>
      </c>
      <c r="P461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61" cm="1">
        <f t="array" ref="R461">MIN(IF((DiscreteStatsTable[GroupByKey]=DiscreteStatsTable[[#This Row],[GroupByKey]]),(DiscreteStatsTable[GroupByKey]=DiscreteStatsTable[[#This Row],[GroupByKey]])*DiscreteStatsTable[Average]))</f>
        <v>0.51658298033119898</v>
      </c>
      <c r="S461" cm="1">
        <f t="array" ref="S461">MAX(IF((DiscreteStatsTable[GroupByKey]=DiscreteStatsTable[[#This Row],[GroupByKey]]),(DiscreteStatsTable[GroupByKey]=DiscreteStatsTable[[#This Row],[GroupByKey]])*DiscreteStatsTable[Average]))</f>
        <v>1.35362284384225</v>
      </c>
      <c r="T461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cm="1">
        <f t="array" ref="U461">MAX(IF((DiscreteStatsTable[GroupByKey]=DiscreteStatsTable[[#This Row],[GroupByKey]]),(DiscreteStatsTable[GroupByKey]=DiscreteStatsTable[[#This Row],[GroupByKey]])*DiscreteStatsTable[Maximum]))</f>
        <v>28.983199492767199</v>
      </c>
      <c r="V461" cm="1">
        <f t="array" ref="V461">IFERROR(AVERAGE(IF((DiscreteStatsTable[GroupByKey]=DiscreteStatsTable[[#This Row],[GroupByKey]]),(DiscreteStatsTable[GroupByKey]=DiscreteStatsTable[[#This Row],[GroupByKey]])*DiscreteStatsTable[NumberObservations])),0)</f>
        <v>2401.9</v>
      </c>
      <c r="W461">
        <f>IF((DiscreteStatsTable[[#This Row],[RepsRequested]]&gt;1),DiscreteStatsTable[[#This Row],[HalfWidth]],DiscreteStatsTable[[#This Row],[BatchMeansHalfWidth]])</f>
        <v>6.0459854861332728E-2</v>
      </c>
      <c r="X461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131</v>
      </c>
      <c r="C462">
        <v>11</v>
      </c>
      <c r="D462" t="s">
        <v>83</v>
      </c>
      <c r="E462" t="s">
        <v>84</v>
      </c>
      <c r="F462" t="s">
        <v>85</v>
      </c>
      <c r="G462">
        <v>0.85396420558379504</v>
      </c>
      <c r="H462">
        <v>0.36444693273867401</v>
      </c>
      <c r="I462">
        <v>0</v>
      </c>
      <c r="J462">
        <v>16.836187242911102</v>
      </c>
      <c r="K462">
        <v>2447</v>
      </c>
      <c r="L462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62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cm="1">
        <f t="array" ref="N462">IFERROR(AVERAGE(IF((DiscreteStatsTable[GroupByKey]=DiscreteStatsTable[[#This Row],[GroupByKey]]),(DiscreteStatsTable[GroupByKey]=DiscreteStatsTable[[#This Row],[GroupByKey]])*DiscreteStatsTable[Average])),0)</f>
        <v>0.80539766231092458</v>
      </c>
      <c r="O462" cm="1">
        <f t="array" ref="O462">IFERROR(_xlfn.STDEV.S(IF((DiscreteStatsTable[GroupByKey]=DiscreteStatsTable[[#This Row],[GroupByKey]]),(DiscreteStatsTable[GroupByKey]=DiscreteStatsTable[[#This Row],[GroupByKey]])*DiscreteStatsTable[Average])),0)</f>
        <v>0.2127393519392447</v>
      </c>
      <c r="P462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62" cm="1">
        <f t="array" ref="R462">MIN(IF((DiscreteStatsTable[GroupByKey]=DiscreteStatsTable[[#This Row],[GroupByKey]]),(DiscreteStatsTable[GroupByKey]=DiscreteStatsTable[[#This Row],[GroupByKey]])*DiscreteStatsTable[Average]))</f>
        <v>0.51658298033119898</v>
      </c>
      <c r="S462" cm="1">
        <f t="array" ref="S462">MAX(IF((DiscreteStatsTable[GroupByKey]=DiscreteStatsTable[[#This Row],[GroupByKey]]),(DiscreteStatsTable[GroupByKey]=DiscreteStatsTable[[#This Row],[GroupByKey]])*DiscreteStatsTable[Average]))</f>
        <v>1.35362284384225</v>
      </c>
      <c r="T462" cm="1">
        <f t="array" ref="T462">MIN(IF((DiscreteStatsTable[GroupByKey]=DiscreteStatsTable[[#This Row],[GroupByKey]]),(DiscreteStatsTable[GroupByKey]=DiscreteStatsTable[[#This Row],[GroupByKey]])*DiscreteStatsTable[Minimum]))</f>
        <v>0</v>
      </c>
      <c r="U462" cm="1">
        <f t="array" ref="U462">MAX(IF((DiscreteStatsTable[GroupByKey]=DiscreteStatsTable[[#This Row],[GroupByKey]]),(DiscreteStatsTable[GroupByKey]=DiscreteStatsTable[[#This Row],[GroupByKey]])*DiscreteStatsTable[Maximum]))</f>
        <v>28.983199492767199</v>
      </c>
      <c r="V462" cm="1">
        <f t="array" ref="V462">IFERROR(AVERAGE(IF((DiscreteStatsTable[GroupByKey]=DiscreteStatsTable[[#This Row],[GroupByKey]]),(DiscreteStatsTable[GroupByKey]=DiscreteStatsTable[[#This Row],[GroupByKey]])*DiscreteStatsTable[NumberObservations])),0)</f>
        <v>2401.9</v>
      </c>
      <c r="W462">
        <f>IF((DiscreteStatsTable[[#This Row],[RepsRequested]]&gt;1),DiscreteStatsTable[[#This Row],[HalfWidth]],DiscreteStatsTable[[#This Row],[BatchMeansHalfWidth]])</f>
        <v>6.0459854861332728E-2</v>
      </c>
      <c r="X462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131</v>
      </c>
      <c r="C463">
        <v>12</v>
      </c>
      <c r="D463" t="s">
        <v>83</v>
      </c>
      <c r="E463" t="s">
        <v>84</v>
      </c>
      <c r="F463" t="s">
        <v>85</v>
      </c>
      <c r="G463">
        <v>1.0029160702364299</v>
      </c>
      <c r="H463">
        <v>0.28427863003728998</v>
      </c>
      <c r="I463">
        <v>0</v>
      </c>
      <c r="J463">
        <v>14.568521981048001</v>
      </c>
      <c r="K463">
        <v>2402</v>
      </c>
      <c r="L463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63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cm="1">
        <f t="array" ref="N463">IFERROR(AVERAGE(IF((DiscreteStatsTable[GroupByKey]=DiscreteStatsTable[[#This Row],[GroupByKey]]),(DiscreteStatsTable[GroupByKey]=DiscreteStatsTable[[#This Row],[GroupByKey]])*DiscreteStatsTable[Average])),0)</f>
        <v>0.80539766231092458</v>
      </c>
      <c r="O463" cm="1">
        <f t="array" ref="O463">IFERROR(_xlfn.STDEV.S(IF((DiscreteStatsTable[GroupByKey]=DiscreteStatsTable[[#This Row],[GroupByKey]]),(DiscreteStatsTable[GroupByKey]=DiscreteStatsTable[[#This Row],[GroupByKey]])*DiscreteStatsTable[Average])),0)</f>
        <v>0.2127393519392447</v>
      </c>
      <c r="P463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63" cm="1">
        <f t="array" ref="R463">MIN(IF((DiscreteStatsTable[GroupByKey]=DiscreteStatsTable[[#This Row],[GroupByKey]]),(DiscreteStatsTable[GroupByKey]=DiscreteStatsTable[[#This Row],[GroupByKey]])*DiscreteStatsTable[Average]))</f>
        <v>0.51658298033119898</v>
      </c>
      <c r="S463" cm="1">
        <f t="array" ref="S463">MAX(IF((DiscreteStatsTable[GroupByKey]=DiscreteStatsTable[[#This Row],[GroupByKey]]),(DiscreteStatsTable[GroupByKey]=DiscreteStatsTable[[#This Row],[GroupByKey]])*DiscreteStatsTable[Average]))</f>
        <v>1.35362284384225</v>
      </c>
      <c r="T463" cm="1">
        <f t="array" ref="T463">MIN(IF((DiscreteStatsTable[GroupByKey]=DiscreteStatsTable[[#This Row],[GroupByKey]]),(DiscreteStatsTable[GroupByKey]=DiscreteStatsTable[[#This Row],[GroupByKey]])*DiscreteStatsTable[Minimum]))</f>
        <v>0</v>
      </c>
      <c r="U463" cm="1">
        <f t="array" ref="U463">MAX(IF((DiscreteStatsTable[GroupByKey]=DiscreteStatsTable[[#This Row],[GroupByKey]]),(DiscreteStatsTable[GroupByKey]=DiscreteStatsTable[[#This Row],[GroupByKey]])*DiscreteStatsTable[Maximum]))</f>
        <v>28.983199492767199</v>
      </c>
      <c r="V463" cm="1">
        <f t="array" ref="V463">IFERROR(AVERAGE(IF((DiscreteStatsTable[GroupByKey]=DiscreteStatsTable[[#This Row],[GroupByKey]]),(DiscreteStatsTable[GroupByKey]=DiscreteStatsTable[[#This Row],[GroupByKey]])*DiscreteStatsTable[NumberObservations])),0)</f>
        <v>2401.9</v>
      </c>
      <c r="W463">
        <f>IF((DiscreteStatsTable[[#This Row],[RepsRequested]]&gt;1),DiscreteStatsTable[[#This Row],[HalfWidth]],DiscreteStatsTable[[#This Row],[BatchMeansHalfWidth]])</f>
        <v>6.0459854861332728E-2</v>
      </c>
      <c r="X463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131</v>
      </c>
      <c r="C464">
        <v>13</v>
      </c>
      <c r="D464" t="s">
        <v>83</v>
      </c>
      <c r="E464" t="s">
        <v>84</v>
      </c>
      <c r="F464" t="s">
        <v>85</v>
      </c>
      <c r="G464">
        <v>0.72401388980539905</v>
      </c>
      <c r="H464">
        <v>0.233460600799309</v>
      </c>
      <c r="I464">
        <v>0</v>
      </c>
      <c r="J464">
        <v>12.9125324924824</v>
      </c>
      <c r="K464">
        <v>2408</v>
      </c>
      <c r="L464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64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cm="1">
        <f t="array" ref="N464">IFERROR(AVERAGE(IF((DiscreteStatsTable[GroupByKey]=DiscreteStatsTable[[#This Row],[GroupByKey]]),(DiscreteStatsTable[GroupByKey]=DiscreteStatsTable[[#This Row],[GroupByKey]])*DiscreteStatsTable[Average])),0)</f>
        <v>0.80539766231092458</v>
      </c>
      <c r="O464" cm="1">
        <f t="array" ref="O464">IFERROR(_xlfn.STDEV.S(IF((DiscreteStatsTable[GroupByKey]=DiscreteStatsTable[[#This Row],[GroupByKey]]),(DiscreteStatsTable[GroupByKey]=DiscreteStatsTable[[#This Row],[GroupByKey]])*DiscreteStatsTable[Average])),0)</f>
        <v>0.2127393519392447</v>
      </c>
      <c r="P464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64" cm="1">
        <f t="array" ref="R464">MIN(IF((DiscreteStatsTable[GroupByKey]=DiscreteStatsTable[[#This Row],[GroupByKey]]),(DiscreteStatsTable[GroupByKey]=DiscreteStatsTable[[#This Row],[GroupByKey]])*DiscreteStatsTable[Average]))</f>
        <v>0.51658298033119898</v>
      </c>
      <c r="S464" cm="1">
        <f t="array" ref="S464">MAX(IF((DiscreteStatsTable[GroupByKey]=DiscreteStatsTable[[#This Row],[GroupByKey]]),(DiscreteStatsTable[GroupByKey]=DiscreteStatsTable[[#This Row],[GroupByKey]])*DiscreteStatsTable[Average]))</f>
        <v>1.35362284384225</v>
      </c>
      <c r="T464" cm="1">
        <f t="array" ref="T464">MIN(IF((DiscreteStatsTable[GroupByKey]=DiscreteStatsTable[[#This Row],[GroupByKey]]),(DiscreteStatsTable[GroupByKey]=DiscreteStatsTable[[#This Row],[GroupByKey]])*DiscreteStatsTable[Minimum]))</f>
        <v>0</v>
      </c>
      <c r="U464" cm="1">
        <f t="array" ref="U464">MAX(IF((DiscreteStatsTable[GroupByKey]=DiscreteStatsTable[[#This Row],[GroupByKey]]),(DiscreteStatsTable[GroupByKey]=DiscreteStatsTable[[#This Row],[GroupByKey]])*DiscreteStatsTable[Maximum]))</f>
        <v>28.983199492767199</v>
      </c>
      <c r="V464" cm="1">
        <f t="array" ref="V464">IFERROR(AVERAGE(IF((DiscreteStatsTable[GroupByKey]=DiscreteStatsTable[[#This Row],[GroupByKey]]),(DiscreteStatsTable[GroupByKey]=DiscreteStatsTable[[#This Row],[GroupByKey]])*DiscreteStatsTable[NumberObservations])),0)</f>
        <v>2401.9</v>
      </c>
      <c r="W464">
        <f>IF((DiscreteStatsTable[[#This Row],[RepsRequested]]&gt;1),DiscreteStatsTable[[#This Row],[HalfWidth]],DiscreteStatsTable[[#This Row],[BatchMeansHalfWidth]])</f>
        <v>6.0459854861332728E-2</v>
      </c>
      <c r="X464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131</v>
      </c>
      <c r="C465">
        <v>14</v>
      </c>
      <c r="D465" t="s">
        <v>83</v>
      </c>
      <c r="E465" t="s">
        <v>84</v>
      </c>
      <c r="F465" t="s">
        <v>85</v>
      </c>
      <c r="G465">
        <v>0.69867734243709601</v>
      </c>
      <c r="H465">
        <v>3E+20</v>
      </c>
      <c r="I465">
        <v>0</v>
      </c>
      <c r="J465">
        <v>13.693583513401601</v>
      </c>
      <c r="K465">
        <v>2372</v>
      </c>
      <c r="L465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6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cm="1">
        <f t="array" ref="N465">IFERROR(AVERAGE(IF((DiscreteStatsTable[GroupByKey]=DiscreteStatsTable[[#This Row],[GroupByKey]]),(DiscreteStatsTable[GroupByKey]=DiscreteStatsTable[[#This Row],[GroupByKey]])*DiscreteStatsTable[Average])),0)</f>
        <v>0.80539766231092458</v>
      </c>
      <c r="O465" cm="1">
        <f t="array" ref="O465">IFERROR(_xlfn.STDEV.S(IF((DiscreteStatsTable[GroupByKey]=DiscreteStatsTable[[#This Row],[GroupByKey]]),(DiscreteStatsTable[GroupByKey]=DiscreteStatsTable[[#This Row],[GroupByKey]])*DiscreteStatsTable[Average])),0)</f>
        <v>0.2127393519392447</v>
      </c>
      <c r="P46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65" cm="1">
        <f t="array" ref="R465">MIN(IF((DiscreteStatsTable[GroupByKey]=DiscreteStatsTable[[#This Row],[GroupByKey]]),(DiscreteStatsTable[GroupByKey]=DiscreteStatsTable[[#This Row],[GroupByKey]])*DiscreteStatsTable[Average]))</f>
        <v>0.51658298033119898</v>
      </c>
      <c r="S465" cm="1">
        <f t="array" ref="S465">MAX(IF((DiscreteStatsTable[GroupByKey]=DiscreteStatsTable[[#This Row],[GroupByKey]]),(DiscreteStatsTable[GroupByKey]=DiscreteStatsTable[[#This Row],[GroupByKey]])*DiscreteStatsTable[Average]))</f>
        <v>1.35362284384225</v>
      </c>
      <c r="T465" cm="1">
        <f t="array" ref="T465">MIN(IF((DiscreteStatsTable[GroupByKey]=DiscreteStatsTable[[#This Row],[GroupByKey]]),(DiscreteStatsTable[GroupByKey]=DiscreteStatsTable[[#This Row],[GroupByKey]])*DiscreteStatsTable[Minimum]))</f>
        <v>0</v>
      </c>
      <c r="U465" cm="1">
        <f t="array" ref="U465">MAX(IF((DiscreteStatsTable[GroupByKey]=DiscreteStatsTable[[#This Row],[GroupByKey]]),(DiscreteStatsTable[GroupByKey]=DiscreteStatsTable[[#This Row],[GroupByKey]])*DiscreteStatsTable[Maximum]))</f>
        <v>28.983199492767199</v>
      </c>
      <c r="V465" cm="1">
        <f t="array" ref="V465">IFERROR(AVERAGE(IF((DiscreteStatsTable[GroupByKey]=DiscreteStatsTable[[#This Row],[GroupByKey]]),(DiscreteStatsTable[GroupByKey]=DiscreteStatsTable[[#This Row],[GroupByKey]])*DiscreteStatsTable[NumberObservations])),0)</f>
        <v>2401.9</v>
      </c>
      <c r="W465">
        <f>IF((DiscreteStatsTable[[#This Row],[RepsRequested]]&gt;1),DiscreteStatsTable[[#This Row],[HalfWidth]],DiscreteStatsTable[[#This Row],[BatchMeansHalfWidth]])</f>
        <v>6.0459854861332728E-2</v>
      </c>
      <c r="X46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131</v>
      </c>
      <c r="C466">
        <v>15</v>
      </c>
      <c r="D466" t="s">
        <v>83</v>
      </c>
      <c r="E466" t="s">
        <v>84</v>
      </c>
      <c r="F466" t="s">
        <v>85</v>
      </c>
      <c r="G466">
        <v>1.15079937875463</v>
      </c>
      <c r="H466">
        <v>0.36380801182795802</v>
      </c>
      <c r="I466">
        <v>0</v>
      </c>
      <c r="J466">
        <v>15.5377565321104</v>
      </c>
      <c r="K466">
        <v>2505</v>
      </c>
      <c r="L466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66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cm="1">
        <f t="array" ref="N466">IFERROR(AVERAGE(IF((DiscreteStatsTable[GroupByKey]=DiscreteStatsTable[[#This Row],[GroupByKey]]),(DiscreteStatsTable[GroupByKey]=DiscreteStatsTable[[#This Row],[GroupByKey]])*DiscreteStatsTable[Average])),0)</f>
        <v>0.80539766231092458</v>
      </c>
      <c r="O466" cm="1">
        <f t="array" ref="O466">IFERROR(_xlfn.STDEV.S(IF((DiscreteStatsTable[GroupByKey]=DiscreteStatsTable[[#This Row],[GroupByKey]]),(DiscreteStatsTable[GroupByKey]=DiscreteStatsTable[[#This Row],[GroupByKey]])*DiscreteStatsTable[Average])),0)</f>
        <v>0.2127393519392447</v>
      </c>
      <c r="P466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66" cm="1">
        <f t="array" ref="R466">MIN(IF((DiscreteStatsTable[GroupByKey]=DiscreteStatsTable[[#This Row],[GroupByKey]]),(DiscreteStatsTable[GroupByKey]=DiscreteStatsTable[[#This Row],[GroupByKey]])*DiscreteStatsTable[Average]))</f>
        <v>0.51658298033119898</v>
      </c>
      <c r="S466" cm="1">
        <f t="array" ref="S466">MAX(IF((DiscreteStatsTable[GroupByKey]=DiscreteStatsTable[[#This Row],[GroupByKey]]),(DiscreteStatsTable[GroupByKey]=DiscreteStatsTable[[#This Row],[GroupByKey]])*DiscreteStatsTable[Average]))</f>
        <v>1.35362284384225</v>
      </c>
      <c r="T466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cm="1">
        <f t="array" ref="U466">MAX(IF((DiscreteStatsTable[GroupByKey]=DiscreteStatsTable[[#This Row],[GroupByKey]]),(DiscreteStatsTable[GroupByKey]=DiscreteStatsTable[[#This Row],[GroupByKey]])*DiscreteStatsTable[Maximum]))</f>
        <v>28.983199492767199</v>
      </c>
      <c r="V466" cm="1">
        <f t="array" ref="V466">IFERROR(AVERAGE(IF((DiscreteStatsTable[GroupByKey]=DiscreteStatsTable[[#This Row],[GroupByKey]]),(DiscreteStatsTable[GroupByKey]=DiscreteStatsTable[[#This Row],[GroupByKey]])*DiscreteStatsTable[NumberObservations])),0)</f>
        <v>2401.9</v>
      </c>
      <c r="W466">
        <f>IF((DiscreteStatsTable[[#This Row],[RepsRequested]]&gt;1),DiscreteStatsTable[[#This Row],[HalfWidth]],DiscreteStatsTable[[#This Row],[BatchMeansHalfWidth]])</f>
        <v>6.0459854861332728E-2</v>
      </c>
      <c r="X466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131</v>
      </c>
      <c r="C467">
        <v>16</v>
      </c>
      <c r="D467" t="s">
        <v>83</v>
      </c>
      <c r="E467" t="s">
        <v>84</v>
      </c>
      <c r="F467" t="s">
        <v>85</v>
      </c>
      <c r="G467">
        <v>1.12459993190299</v>
      </c>
      <c r="H467">
        <v>3E+20</v>
      </c>
      <c r="I467">
        <v>0</v>
      </c>
      <c r="J467">
        <v>21.971451775742299</v>
      </c>
      <c r="K467">
        <v>2359</v>
      </c>
      <c r="L467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67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cm="1">
        <f t="array" ref="N467">IFERROR(AVERAGE(IF((DiscreteStatsTable[GroupByKey]=DiscreteStatsTable[[#This Row],[GroupByKey]]),(DiscreteStatsTable[GroupByKey]=DiscreteStatsTable[[#This Row],[GroupByKey]])*DiscreteStatsTable[Average])),0)</f>
        <v>0.80539766231092458</v>
      </c>
      <c r="O467" cm="1">
        <f t="array" ref="O467">IFERROR(_xlfn.STDEV.S(IF((DiscreteStatsTable[GroupByKey]=DiscreteStatsTable[[#This Row],[GroupByKey]]),(DiscreteStatsTable[GroupByKey]=DiscreteStatsTable[[#This Row],[GroupByKey]])*DiscreteStatsTable[Average])),0)</f>
        <v>0.2127393519392447</v>
      </c>
      <c r="P467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67" cm="1">
        <f t="array" ref="R467">MIN(IF((DiscreteStatsTable[GroupByKey]=DiscreteStatsTable[[#This Row],[GroupByKey]]),(DiscreteStatsTable[GroupByKey]=DiscreteStatsTable[[#This Row],[GroupByKey]])*DiscreteStatsTable[Average]))</f>
        <v>0.51658298033119898</v>
      </c>
      <c r="S467" cm="1">
        <f t="array" ref="S467">MAX(IF((DiscreteStatsTable[GroupByKey]=DiscreteStatsTable[[#This Row],[GroupByKey]]),(DiscreteStatsTable[GroupByKey]=DiscreteStatsTable[[#This Row],[GroupByKey]])*DiscreteStatsTable[Average]))</f>
        <v>1.35362284384225</v>
      </c>
      <c r="T467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cm="1">
        <f t="array" ref="U467">MAX(IF((DiscreteStatsTable[GroupByKey]=DiscreteStatsTable[[#This Row],[GroupByKey]]),(DiscreteStatsTable[GroupByKey]=DiscreteStatsTable[[#This Row],[GroupByKey]])*DiscreteStatsTable[Maximum]))</f>
        <v>28.983199492767199</v>
      </c>
      <c r="V467" cm="1">
        <f t="array" ref="V467">IFERROR(AVERAGE(IF((DiscreteStatsTable[GroupByKey]=DiscreteStatsTable[[#This Row],[GroupByKey]]),(DiscreteStatsTable[GroupByKey]=DiscreteStatsTable[[#This Row],[GroupByKey]])*DiscreteStatsTable[NumberObservations])),0)</f>
        <v>2401.9</v>
      </c>
      <c r="W467">
        <f>IF((DiscreteStatsTable[[#This Row],[RepsRequested]]&gt;1),DiscreteStatsTable[[#This Row],[HalfWidth]],DiscreteStatsTable[[#This Row],[BatchMeansHalfWidth]])</f>
        <v>6.0459854861332728E-2</v>
      </c>
      <c r="X467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131</v>
      </c>
      <c r="C468">
        <v>17</v>
      </c>
      <c r="D468" t="s">
        <v>83</v>
      </c>
      <c r="E468" t="s">
        <v>84</v>
      </c>
      <c r="F468" t="s">
        <v>85</v>
      </c>
      <c r="G468">
        <v>0.66968933403963204</v>
      </c>
      <c r="H468">
        <v>0.20701766973612001</v>
      </c>
      <c r="I468">
        <v>0</v>
      </c>
      <c r="J468">
        <v>10.1664870836904</v>
      </c>
      <c r="K468">
        <v>2383</v>
      </c>
      <c r="L468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68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cm="1">
        <f t="array" ref="N468">IFERROR(AVERAGE(IF((DiscreteStatsTable[GroupByKey]=DiscreteStatsTable[[#This Row],[GroupByKey]]),(DiscreteStatsTable[GroupByKey]=DiscreteStatsTable[[#This Row],[GroupByKey]])*DiscreteStatsTable[Average])),0)</f>
        <v>0.80539766231092458</v>
      </c>
      <c r="O468" cm="1">
        <f t="array" ref="O468">IFERROR(_xlfn.STDEV.S(IF((DiscreteStatsTable[GroupByKey]=DiscreteStatsTable[[#This Row],[GroupByKey]]),(DiscreteStatsTable[GroupByKey]=DiscreteStatsTable[[#This Row],[GroupByKey]])*DiscreteStatsTable[Average])),0)</f>
        <v>0.2127393519392447</v>
      </c>
      <c r="P468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68" cm="1">
        <f t="array" ref="R468">MIN(IF((DiscreteStatsTable[GroupByKey]=DiscreteStatsTable[[#This Row],[GroupByKey]]),(DiscreteStatsTable[GroupByKey]=DiscreteStatsTable[[#This Row],[GroupByKey]])*DiscreteStatsTable[Average]))</f>
        <v>0.51658298033119898</v>
      </c>
      <c r="S468" cm="1">
        <f t="array" ref="S468">MAX(IF((DiscreteStatsTable[GroupByKey]=DiscreteStatsTable[[#This Row],[GroupByKey]]),(DiscreteStatsTable[GroupByKey]=DiscreteStatsTable[[#This Row],[GroupByKey]])*DiscreteStatsTable[Average]))</f>
        <v>1.35362284384225</v>
      </c>
      <c r="T468" cm="1">
        <f t="array" ref="T468">MIN(IF((DiscreteStatsTable[GroupByKey]=DiscreteStatsTable[[#This Row],[GroupByKey]]),(DiscreteStatsTable[GroupByKey]=DiscreteStatsTable[[#This Row],[GroupByKey]])*DiscreteStatsTable[Minimum]))</f>
        <v>0</v>
      </c>
      <c r="U468" cm="1">
        <f t="array" ref="U468">MAX(IF((DiscreteStatsTable[GroupByKey]=DiscreteStatsTable[[#This Row],[GroupByKey]]),(DiscreteStatsTable[GroupByKey]=DiscreteStatsTable[[#This Row],[GroupByKey]])*DiscreteStatsTable[Maximum]))</f>
        <v>28.983199492767199</v>
      </c>
      <c r="V468" cm="1">
        <f t="array" ref="V468">IFERROR(AVERAGE(IF((DiscreteStatsTable[GroupByKey]=DiscreteStatsTable[[#This Row],[GroupByKey]]),(DiscreteStatsTable[GroupByKey]=DiscreteStatsTable[[#This Row],[GroupByKey]])*DiscreteStatsTable[NumberObservations])),0)</f>
        <v>2401.9</v>
      </c>
      <c r="W468">
        <f>IF((DiscreteStatsTable[[#This Row],[RepsRequested]]&gt;1),DiscreteStatsTable[[#This Row],[HalfWidth]],DiscreteStatsTable[[#This Row],[BatchMeansHalfWidth]])</f>
        <v>6.0459854861332728E-2</v>
      </c>
      <c r="X468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131</v>
      </c>
      <c r="C469">
        <v>18</v>
      </c>
      <c r="D469" t="s">
        <v>83</v>
      </c>
      <c r="E469" t="s">
        <v>84</v>
      </c>
      <c r="F469" t="s">
        <v>85</v>
      </c>
      <c r="G469">
        <v>0.58245577220474798</v>
      </c>
      <c r="H469">
        <v>0.17232031771581099</v>
      </c>
      <c r="I469">
        <v>0</v>
      </c>
      <c r="J469">
        <v>8.5728594917944196</v>
      </c>
      <c r="K469">
        <v>2351</v>
      </c>
      <c r="L469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69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cm="1">
        <f t="array" ref="N469">IFERROR(AVERAGE(IF((DiscreteStatsTable[GroupByKey]=DiscreteStatsTable[[#This Row],[GroupByKey]]),(DiscreteStatsTable[GroupByKey]=DiscreteStatsTable[[#This Row],[GroupByKey]])*DiscreteStatsTable[Average])),0)</f>
        <v>0.80539766231092458</v>
      </c>
      <c r="O469" cm="1">
        <f t="array" ref="O469">IFERROR(_xlfn.STDEV.S(IF((DiscreteStatsTable[GroupByKey]=DiscreteStatsTable[[#This Row],[GroupByKey]]),(DiscreteStatsTable[GroupByKey]=DiscreteStatsTable[[#This Row],[GroupByKey]])*DiscreteStatsTable[Average])),0)</f>
        <v>0.2127393519392447</v>
      </c>
      <c r="P469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69" cm="1">
        <f t="array" ref="R469">MIN(IF((DiscreteStatsTable[GroupByKey]=DiscreteStatsTable[[#This Row],[GroupByKey]]),(DiscreteStatsTable[GroupByKey]=DiscreteStatsTable[[#This Row],[GroupByKey]])*DiscreteStatsTable[Average]))</f>
        <v>0.51658298033119898</v>
      </c>
      <c r="S469" cm="1">
        <f t="array" ref="S469">MAX(IF((DiscreteStatsTable[GroupByKey]=DiscreteStatsTable[[#This Row],[GroupByKey]]),(DiscreteStatsTable[GroupByKey]=DiscreteStatsTable[[#This Row],[GroupByKey]])*DiscreteStatsTable[Average]))</f>
        <v>1.35362284384225</v>
      </c>
      <c r="T469" cm="1">
        <f t="array" ref="T469">MIN(IF((DiscreteStatsTable[GroupByKey]=DiscreteStatsTable[[#This Row],[GroupByKey]]),(DiscreteStatsTable[GroupByKey]=DiscreteStatsTable[[#This Row],[GroupByKey]])*DiscreteStatsTable[Minimum]))</f>
        <v>0</v>
      </c>
      <c r="U469" cm="1">
        <f t="array" ref="U469">MAX(IF((DiscreteStatsTable[GroupByKey]=DiscreteStatsTable[[#This Row],[GroupByKey]]),(DiscreteStatsTable[GroupByKey]=DiscreteStatsTable[[#This Row],[GroupByKey]])*DiscreteStatsTable[Maximum]))</f>
        <v>28.983199492767199</v>
      </c>
      <c r="V469" cm="1">
        <f t="array" ref="V469">IFERROR(AVERAGE(IF((DiscreteStatsTable[GroupByKey]=DiscreteStatsTable[[#This Row],[GroupByKey]]),(DiscreteStatsTable[GroupByKey]=DiscreteStatsTable[[#This Row],[GroupByKey]])*DiscreteStatsTable[NumberObservations])),0)</f>
        <v>2401.9</v>
      </c>
      <c r="W469">
        <f>IF((DiscreteStatsTable[[#This Row],[RepsRequested]]&gt;1),DiscreteStatsTable[[#This Row],[HalfWidth]],DiscreteStatsTable[[#This Row],[BatchMeansHalfWidth]])</f>
        <v>6.0459854861332728E-2</v>
      </c>
      <c r="X469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131</v>
      </c>
      <c r="C470">
        <v>19</v>
      </c>
      <c r="D470" t="s">
        <v>83</v>
      </c>
      <c r="E470" t="s">
        <v>84</v>
      </c>
      <c r="F470" t="s">
        <v>85</v>
      </c>
      <c r="G470">
        <v>0.67649461120815702</v>
      </c>
      <c r="H470">
        <v>0.16201366152238</v>
      </c>
      <c r="I470">
        <v>0</v>
      </c>
      <c r="J470">
        <v>13.1265483090024</v>
      </c>
      <c r="K470">
        <v>2354</v>
      </c>
      <c r="L470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70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cm="1">
        <f t="array" ref="N470">IFERROR(AVERAGE(IF((DiscreteStatsTable[GroupByKey]=DiscreteStatsTable[[#This Row],[GroupByKey]]),(DiscreteStatsTable[GroupByKey]=DiscreteStatsTable[[#This Row],[GroupByKey]])*DiscreteStatsTable[Average])),0)</f>
        <v>0.80539766231092458</v>
      </c>
      <c r="O470" cm="1">
        <f t="array" ref="O470">IFERROR(_xlfn.STDEV.S(IF((DiscreteStatsTable[GroupByKey]=DiscreteStatsTable[[#This Row],[GroupByKey]]),(DiscreteStatsTable[GroupByKey]=DiscreteStatsTable[[#This Row],[GroupByKey]])*DiscreteStatsTable[Average])),0)</f>
        <v>0.2127393519392447</v>
      </c>
      <c r="P470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70" cm="1">
        <f t="array" ref="R470">MIN(IF((DiscreteStatsTable[GroupByKey]=DiscreteStatsTable[[#This Row],[GroupByKey]]),(DiscreteStatsTable[GroupByKey]=DiscreteStatsTable[[#This Row],[GroupByKey]])*DiscreteStatsTable[Average]))</f>
        <v>0.51658298033119898</v>
      </c>
      <c r="S470" cm="1">
        <f t="array" ref="S470">MAX(IF((DiscreteStatsTable[GroupByKey]=DiscreteStatsTable[[#This Row],[GroupByKey]]),(DiscreteStatsTable[GroupByKey]=DiscreteStatsTable[[#This Row],[GroupByKey]])*DiscreteStatsTable[Average]))</f>
        <v>1.35362284384225</v>
      </c>
      <c r="T470" cm="1">
        <f t="array" ref="T470">MIN(IF((DiscreteStatsTable[GroupByKey]=DiscreteStatsTable[[#This Row],[GroupByKey]]),(DiscreteStatsTable[GroupByKey]=DiscreteStatsTable[[#This Row],[GroupByKey]])*DiscreteStatsTable[Minimum]))</f>
        <v>0</v>
      </c>
      <c r="U470" cm="1">
        <f t="array" ref="U470">MAX(IF((DiscreteStatsTable[GroupByKey]=DiscreteStatsTable[[#This Row],[GroupByKey]]),(DiscreteStatsTable[GroupByKey]=DiscreteStatsTable[[#This Row],[GroupByKey]])*DiscreteStatsTable[Maximum]))</f>
        <v>28.983199492767199</v>
      </c>
      <c r="V470" cm="1">
        <f t="array" ref="V470">IFERROR(AVERAGE(IF((DiscreteStatsTable[GroupByKey]=DiscreteStatsTable[[#This Row],[GroupByKey]]),(DiscreteStatsTable[GroupByKey]=DiscreteStatsTable[[#This Row],[GroupByKey]])*DiscreteStatsTable[NumberObservations])),0)</f>
        <v>2401.9</v>
      </c>
      <c r="W470">
        <f>IF((DiscreteStatsTable[[#This Row],[RepsRequested]]&gt;1),DiscreteStatsTable[[#This Row],[HalfWidth]],DiscreteStatsTable[[#This Row],[BatchMeansHalfWidth]])</f>
        <v>6.0459854861332728E-2</v>
      </c>
      <c r="X470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131</v>
      </c>
      <c r="C471">
        <v>20</v>
      </c>
      <c r="D471" t="s">
        <v>83</v>
      </c>
      <c r="E471" t="s">
        <v>84</v>
      </c>
      <c r="F471" t="s">
        <v>85</v>
      </c>
      <c r="G471">
        <v>0.58893659034881696</v>
      </c>
      <c r="H471">
        <v>0.16296836098812501</v>
      </c>
      <c r="I471">
        <v>0</v>
      </c>
      <c r="J471">
        <v>10.192027379187</v>
      </c>
      <c r="K471">
        <v>2413</v>
      </c>
      <c r="L471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71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cm="1">
        <f t="array" ref="N471">IFERROR(AVERAGE(IF((DiscreteStatsTable[GroupByKey]=DiscreteStatsTable[[#This Row],[GroupByKey]]),(DiscreteStatsTable[GroupByKey]=DiscreteStatsTable[[#This Row],[GroupByKey]])*DiscreteStatsTable[Average])),0)</f>
        <v>0.80539766231092458</v>
      </c>
      <c r="O471" cm="1">
        <f t="array" ref="O471">IFERROR(_xlfn.STDEV.S(IF((DiscreteStatsTable[GroupByKey]=DiscreteStatsTable[[#This Row],[GroupByKey]]),(DiscreteStatsTable[GroupByKey]=DiscreteStatsTable[[#This Row],[GroupByKey]])*DiscreteStatsTable[Average])),0)</f>
        <v>0.2127393519392447</v>
      </c>
      <c r="P471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71" cm="1">
        <f t="array" ref="R471">MIN(IF((DiscreteStatsTable[GroupByKey]=DiscreteStatsTable[[#This Row],[GroupByKey]]),(DiscreteStatsTable[GroupByKey]=DiscreteStatsTable[[#This Row],[GroupByKey]])*DiscreteStatsTable[Average]))</f>
        <v>0.51658298033119898</v>
      </c>
      <c r="S471" cm="1">
        <f t="array" ref="S471">MAX(IF((DiscreteStatsTable[GroupByKey]=DiscreteStatsTable[[#This Row],[GroupByKey]]),(DiscreteStatsTable[GroupByKey]=DiscreteStatsTable[[#This Row],[GroupByKey]])*DiscreteStatsTable[Average]))</f>
        <v>1.35362284384225</v>
      </c>
      <c r="T471" cm="1">
        <f t="array" ref="T471">MIN(IF((DiscreteStatsTable[GroupByKey]=DiscreteStatsTable[[#This Row],[GroupByKey]]),(DiscreteStatsTable[GroupByKey]=DiscreteStatsTable[[#This Row],[GroupByKey]])*DiscreteStatsTable[Minimum]))</f>
        <v>0</v>
      </c>
      <c r="U471" cm="1">
        <f t="array" ref="U471">MAX(IF((DiscreteStatsTable[GroupByKey]=DiscreteStatsTable[[#This Row],[GroupByKey]]),(DiscreteStatsTable[GroupByKey]=DiscreteStatsTable[[#This Row],[GroupByKey]])*DiscreteStatsTable[Maximum]))</f>
        <v>28.983199492767199</v>
      </c>
      <c r="V471" cm="1">
        <f t="array" ref="V471">IFERROR(AVERAGE(IF((DiscreteStatsTable[GroupByKey]=DiscreteStatsTable[[#This Row],[GroupByKey]]),(DiscreteStatsTable[GroupByKey]=DiscreteStatsTable[[#This Row],[GroupByKey]])*DiscreteStatsTable[NumberObservations])),0)</f>
        <v>2401.9</v>
      </c>
      <c r="W471">
        <f>IF((DiscreteStatsTable[[#This Row],[RepsRequested]]&gt;1),DiscreteStatsTable[[#This Row],[HalfWidth]],DiscreteStatsTable[[#This Row],[BatchMeansHalfWidth]])</f>
        <v>6.0459854861332728E-2</v>
      </c>
      <c r="X471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131</v>
      </c>
      <c r="C472">
        <v>21</v>
      </c>
      <c r="D472" t="s">
        <v>83</v>
      </c>
      <c r="E472" t="s">
        <v>84</v>
      </c>
      <c r="F472" t="s">
        <v>85</v>
      </c>
      <c r="G472">
        <v>0.61570862411956695</v>
      </c>
      <c r="H472">
        <v>0.218710969691742</v>
      </c>
      <c r="I472">
        <v>0</v>
      </c>
      <c r="J472">
        <v>12.647789137893101</v>
      </c>
      <c r="K472">
        <v>2306</v>
      </c>
      <c r="L472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72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cm="1">
        <f t="array" ref="N472">IFERROR(AVERAGE(IF((DiscreteStatsTable[GroupByKey]=DiscreteStatsTable[[#This Row],[GroupByKey]]),(DiscreteStatsTable[GroupByKey]=DiscreteStatsTable[[#This Row],[GroupByKey]])*DiscreteStatsTable[Average])),0)</f>
        <v>0.80539766231092458</v>
      </c>
      <c r="O472" cm="1">
        <f t="array" ref="O472">IFERROR(_xlfn.STDEV.S(IF((DiscreteStatsTable[GroupByKey]=DiscreteStatsTable[[#This Row],[GroupByKey]]),(DiscreteStatsTable[GroupByKey]=DiscreteStatsTable[[#This Row],[GroupByKey]])*DiscreteStatsTable[Average])),0)</f>
        <v>0.2127393519392447</v>
      </c>
      <c r="P472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72" cm="1">
        <f t="array" ref="R472">MIN(IF((DiscreteStatsTable[GroupByKey]=DiscreteStatsTable[[#This Row],[GroupByKey]]),(DiscreteStatsTable[GroupByKey]=DiscreteStatsTable[[#This Row],[GroupByKey]])*DiscreteStatsTable[Average]))</f>
        <v>0.51658298033119898</v>
      </c>
      <c r="S472" cm="1">
        <f t="array" ref="S472">MAX(IF((DiscreteStatsTable[GroupByKey]=DiscreteStatsTable[[#This Row],[GroupByKey]]),(DiscreteStatsTable[GroupByKey]=DiscreteStatsTable[[#This Row],[GroupByKey]])*DiscreteStatsTable[Average]))</f>
        <v>1.35362284384225</v>
      </c>
      <c r="T472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cm="1">
        <f t="array" ref="U472">MAX(IF((DiscreteStatsTable[GroupByKey]=DiscreteStatsTable[[#This Row],[GroupByKey]]),(DiscreteStatsTable[GroupByKey]=DiscreteStatsTable[[#This Row],[GroupByKey]])*DiscreteStatsTable[Maximum]))</f>
        <v>28.983199492767199</v>
      </c>
      <c r="V472" cm="1">
        <f t="array" ref="V472">IFERROR(AVERAGE(IF((DiscreteStatsTable[GroupByKey]=DiscreteStatsTable[[#This Row],[GroupByKey]]),(DiscreteStatsTable[GroupByKey]=DiscreteStatsTable[[#This Row],[GroupByKey]])*DiscreteStatsTable[NumberObservations])),0)</f>
        <v>2401.9</v>
      </c>
      <c r="W472">
        <f>IF((DiscreteStatsTable[[#This Row],[RepsRequested]]&gt;1),DiscreteStatsTable[[#This Row],[HalfWidth]],DiscreteStatsTable[[#This Row],[BatchMeansHalfWidth]])</f>
        <v>6.0459854861332728E-2</v>
      </c>
      <c r="X472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131</v>
      </c>
      <c r="C473">
        <v>22</v>
      </c>
      <c r="D473" t="s">
        <v>83</v>
      </c>
      <c r="E473" t="s">
        <v>84</v>
      </c>
      <c r="F473" t="s">
        <v>85</v>
      </c>
      <c r="G473">
        <v>1.0215442325024899</v>
      </c>
      <c r="H473">
        <v>0.25329279273237798</v>
      </c>
      <c r="I473">
        <v>0</v>
      </c>
      <c r="J473">
        <v>11.549424164035299</v>
      </c>
      <c r="K473">
        <v>2430</v>
      </c>
      <c r="L473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73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cm="1">
        <f t="array" ref="N473">IFERROR(AVERAGE(IF((DiscreteStatsTable[GroupByKey]=DiscreteStatsTable[[#This Row],[GroupByKey]]),(DiscreteStatsTable[GroupByKey]=DiscreteStatsTable[[#This Row],[GroupByKey]])*DiscreteStatsTable[Average])),0)</f>
        <v>0.80539766231092458</v>
      </c>
      <c r="O473" cm="1">
        <f t="array" ref="O473">IFERROR(_xlfn.STDEV.S(IF((DiscreteStatsTable[GroupByKey]=DiscreteStatsTable[[#This Row],[GroupByKey]]),(DiscreteStatsTable[GroupByKey]=DiscreteStatsTable[[#This Row],[GroupByKey]])*DiscreteStatsTable[Average])),0)</f>
        <v>0.2127393519392447</v>
      </c>
      <c r="P473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73" cm="1">
        <f t="array" ref="R473">MIN(IF((DiscreteStatsTable[GroupByKey]=DiscreteStatsTable[[#This Row],[GroupByKey]]),(DiscreteStatsTable[GroupByKey]=DiscreteStatsTable[[#This Row],[GroupByKey]])*DiscreteStatsTable[Average]))</f>
        <v>0.51658298033119898</v>
      </c>
      <c r="S473" cm="1">
        <f t="array" ref="S473">MAX(IF((DiscreteStatsTable[GroupByKey]=DiscreteStatsTable[[#This Row],[GroupByKey]]),(DiscreteStatsTable[GroupByKey]=DiscreteStatsTable[[#This Row],[GroupByKey]])*DiscreteStatsTable[Average]))</f>
        <v>1.35362284384225</v>
      </c>
      <c r="T473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cm="1">
        <f t="array" ref="U473">MAX(IF((DiscreteStatsTable[GroupByKey]=DiscreteStatsTable[[#This Row],[GroupByKey]]),(DiscreteStatsTable[GroupByKey]=DiscreteStatsTable[[#This Row],[GroupByKey]])*DiscreteStatsTable[Maximum]))</f>
        <v>28.983199492767199</v>
      </c>
      <c r="V473" cm="1">
        <f t="array" ref="V473">IFERROR(AVERAGE(IF((DiscreteStatsTable[GroupByKey]=DiscreteStatsTable[[#This Row],[GroupByKey]]),(DiscreteStatsTable[GroupByKey]=DiscreteStatsTable[[#This Row],[GroupByKey]])*DiscreteStatsTable[NumberObservations])),0)</f>
        <v>2401.9</v>
      </c>
      <c r="W473">
        <f>IF((DiscreteStatsTable[[#This Row],[RepsRequested]]&gt;1),DiscreteStatsTable[[#This Row],[HalfWidth]],DiscreteStatsTable[[#This Row],[BatchMeansHalfWidth]])</f>
        <v>6.0459854861332728E-2</v>
      </c>
      <c r="X473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131</v>
      </c>
      <c r="C474">
        <v>23</v>
      </c>
      <c r="D474" t="s">
        <v>83</v>
      </c>
      <c r="E474" t="s">
        <v>84</v>
      </c>
      <c r="F474" t="s">
        <v>85</v>
      </c>
      <c r="G474">
        <v>0.82358310213308605</v>
      </c>
      <c r="H474">
        <v>0.26595068866704702</v>
      </c>
      <c r="I474">
        <v>0</v>
      </c>
      <c r="J474">
        <v>11.9195551942883</v>
      </c>
      <c r="K474">
        <v>2379</v>
      </c>
      <c r="L474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74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cm="1">
        <f t="array" ref="N474">IFERROR(AVERAGE(IF((DiscreteStatsTable[GroupByKey]=DiscreteStatsTable[[#This Row],[GroupByKey]]),(DiscreteStatsTable[GroupByKey]=DiscreteStatsTable[[#This Row],[GroupByKey]])*DiscreteStatsTable[Average])),0)</f>
        <v>0.80539766231092458</v>
      </c>
      <c r="O474" cm="1">
        <f t="array" ref="O474">IFERROR(_xlfn.STDEV.S(IF((DiscreteStatsTable[GroupByKey]=DiscreteStatsTable[[#This Row],[GroupByKey]]),(DiscreteStatsTable[GroupByKey]=DiscreteStatsTable[[#This Row],[GroupByKey]])*DiscreteStatsTable[Average])),0)</f>
        <v>0.2127393519392447</v>
      </c>
      <c r="P474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74" cm="1">
        <f t="array" ref="R474">MIN(IF((DiscreteStatsTable[GroupByKey]=DiscreteStatsTable[[#This Row],[GroupByKey]]),(DiscreteStatsTable[GroupByKey]=DiscreteStatsTable[[#This Row],[GroupByKey]])*DiscreteStatsTable[Average]))</f>
        <v>0.51658298033119898</v>
      </c>
      <c r="S474" cm="1">
        <f t="array" ref="S474">MAX(IF((DiscreteStatsTable[GroupByKey]=DiscreteStatsTable[[#This Row],[GroupByKey]]),(DiscreteStatsTable[GroupByKey]=DiscreteStatsTable[[#This Row],[GroupByKey]])*DiscreteStatsTable[Average]))</f>
        <v>1.35362284384225</v>
      </c>
      <c r="T474" cm="1">
        <f t="array" ref="T474">MIN(IF((DiscreteStatsTable[GroupByKey]=DiscreteStatsTable[[#This Row],[GroupByKey]]),(DiscreteStatsTable[GroupByKey]=DiscreteStatsTable[[#This Row],[GroupByKey]])*DiscreteStatsTable[Minimum]))</f>
        <v>0</v>
      </c>
      <c r="U474" cm="1">
        <f t="array" ref="U474">MAX(IF((DiscreteStatsTable[GroupByKey]=DiscreteStatsTable[[#This Row],[GroupByKey]]),(DiscreteStatsTable[GroupByKey]=DiscreteStatsTable[[#This Row],[GroupByKey]])*DiscreteStatsTable[Maximum]))</f>
        <v>28.983199492767199</v>
      </c>
      <c r="V474" cm="1">
        <f t="array" ref="V474">IFERROR(AVERAGE(IF((DiscreteStatsTable[GroupByKey]=DiscreteStatsTable[[#This Row],[GroupByKey]]),(DiscreteStatsTable[GroupByKey]=DiscreteStatsTable[[#This Row],[GroupByKey]])*DiscreteStatsTable[NumberObservations])),0)</f>
        <v>2401.9</v>
      </c>
      <c r="W474">
        <f>IF((DiscreteStatsTable[[#This Row],[RepsRequested]]&gt;1),DiscreteStatsTable[[#This Row],[HalfWidth]],DiscreteStatsTable[[#This Row],[BatchMeansHalfWidth]])</f>
        <v>6.0459854861332728E-2</v>
      </c>
      <c r="X474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131</v>
      </c>
      <c r="C475">
        <v>24</v>
      </c>
      <c r="D475" t="s">
        <v>83</v>
      </c>
      <c r="E475" t="s">
        <v>84</v>
      </c>
      <c r="F475" t="s">
        <v>85</v>
      </c>
      <c r="G475">
        <v>1.28799765968171</v>
      </c>
      <c r="H475">
        <v>3E+20</v>
      </c>
      <c r="I475">
        <v>0</v>
      </c>
      <c r="J475">
        <v>28.983199492767199</v>
      </c>
      <c r="K475">
        <v>2422</v>
      </c>
      <c r="L475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7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cm="1">
        <f t="array" ref="N475">IFERROR(AVERAGE(IF((DiscreteStatsTable[GroupByKey]=DiscreteStatsTable[[#This Row],[GroupByKey]]),(DiscreteStatsTable[GroupByKey]=DiscreteStatsTable[[#This Row],[GroupByKey]])*DiscreteStatsTable[Average])),0)</f>
        <v>0.80539766231092458</v>
      </c>
      <c r="O475" cm="1">
        <f t="array" ref="O475">IFERROR(_xlfn.STDEV.S(IF((DiscreteStatsTable[GroupByKey]=DiscreteStatsTable[[#This Row],[GroupByKey]]),(DiscreteStatsTable[GroupByKey]=DiscreteStatsTable[[#This Row],[GroupByKey]])*DiscreteStatsTable[Average])),0)</f>
        <v>0.2127393519392447</v>
      </c>
      <c r="P47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75" cm="1">
        <f t="array" ref="R475">MIN(IF((DiscreteStatsTable[GroupByKey]=DiscreteStatsTable[[#This Row],[GroupByKey]]),(DiscreteStatsTable[GroupByKey]=DiscreteStatsTable[[#This Row],[GroupByKey]])*DiscreteStatsTable[Average]))</f>
        <v>0.51658298033119898</v>
      </c>
      <c r="S475" cm="1">
        <f t="array" ref="S475">MAX(IF((DiscreteStatsTable[GroupByKey]=DiscreteStatsTable[[#This Row],[GroupByKey]]),(DiscreteStatsTable[GroupByKey]=DiscreteStatsTable[[#This Row],[GroupByKey]])*DiscreteStatsTable[Average]))</f>
        <v>1.35362284384225</v>
      </c>
      <c r="T475" cm="1">
        <f t="array" ref="T475">MIN(IF((DiscreteStatsTable[GroupByKey]=DiscreteStatsTable[[#This Row],[GroupByKey]]),(DiscreteStatsTable[GroupByKey]=DiscreteStatsTable[[#This Row],[GroupByKey]])*DiscreteStatsTable[Minimum]))</f>
        <v>0</v>
      </c>
      <c r="U475" cm="1">
        <f t="array" ref="U475">MAX(IF((DiscreteStatsTable[GroupByKey]=DiscreteStatsTable[[#This Row],[GroupByKey]]),(DiscreteStatsTable[GroupByKey]=DiscreteStatsTable[[#This Row],[GroupByKey]])*DiscreteStatsTable[Maximum]))</f>
        <v>28.983199492767199</v>
      </c>
      <c r="V475" cm="1">
        <f t="array" ref="V475">IFERROR(AVERAGE(IF((DiscreteStatsTable[GroupByKey]=DiscreteStatsTable[[#This Row],[GroupByKey]]),(DiscreteStatsTable[GroupByKey]=DiscreteStatsTable[[#This Row],[GroupByKey]])*DiscreteStatsTable[NumberObservations])),0)</f>
        <v>2401.9</v>
      </c>
      <c r="W475">
        <f>IF((DiscreteStatsTable[[#This Row],[RepsRequested]]&gt;1),DiscreteStatsTable[[#This Row],[HalfWidth]],DiscreteStatsTable[[#This Row],[BatchMeansHalfWidth]])</f>
        <v>6.0459854861332728E-2</v>
      </c>
      <c r="X47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131</v>
      </c>
      <c r="C476">
        <v>25</v>
      </c>
      <c r="D476" t="s">
        <v>83</v>
      </c>
      <c r="E476" t="s">
        <v>84</v>
      </c>
      <c r="F476" t="s">
        <v>85</v>
      </c>
      <c r="G476">
        <v>1.1638103140092899</v>
      </c>
      <c r="H476">
        <v>0.34551861003377199</v>
      </c>
      <c r="I476">
        <v>0</v>
      </c>
      <c r="J476">
        <v>14.607905646756601</v>
      </c>
      <c r="K476">
        <v>2506</v>
      </c>
      <c r="L476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76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cm="1">
        <f t="array" ref="N476">IFERROR(AVERAGE(IF((DiscreteStatsTable[GroupByKey]=DiscreteStatsTable[[#This Row],[GroupByKey]]),(DiscreteStatsTable[GroupByKey]=DiscreteStatsTable[[#This Row],[GroupByKey]])*DiscreteStatsTable[Average])),0)</f>
        <v>0.80539766231092458</v>
      </c>
      <c r="O476" cm="1">
        <f t="array" ref="O476">IFERROR(_xlfn.STDEV.S(IF((DiscreteStatsTable[GroupByKey]=DiscreteStatsTable[[#This Row],[GroupByKey]]),(DiscreteStatsTable[GroupByKey]=DiscreteStatsTable[[#This Row],[GroupByKey]])*DiscreteStatsTable[Average])),0)</f>
        <v>0.2127393519392447</v>
      </c>
      <c r="P476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76" cm="1">
        <f t="array" ref="R476">MIN(IF((DiscreteStatsTable[GroupByKey]=DiscreteStatsTable[[#This Row],[GroupByKey]]),(DiscreteStatsTable[GroupByKey]=DiscreteStatsTable[[#This Row],[GroupByKey]])*DiscreteStatsTable[Average]))</f>
        <v>0.51658298033119898</v>
      </c>
      <c r="S476" cm="1">
        <f t="array" ref="S476">MAX(IF((DiscreteStatsTable[GroupByKey]=DiscreteStatsTable[[#This Row],[GroupByKey]]),(DiscreteStatsTable[GroupByKey]=DiscreteStatsTable[[#This Row],[GroupByKey]])*DiscreteStatsTable[Average]))</f>
        <v>1.35362284384225</v>
      </c>
      <c r="T476" cm="1">
        <f t="array" ref="T476">MIN(IF((DiscreteStatsTable[GroupByKey]=DiscreteStatsTable[[#This Row],[GroupByKey]]),(DiscreteStatsTable[GroupByKey]=DiscreteStatsTable[[#This Row],[GroupByKey]])*DiscreteStatsTable[Minimum]))</f>
        <v>0</v>
      </c>
      <c r="U476" cm="1">
        <f t="array" ref="U476">MAX(IF((DiscreteStatsTable[GroupByKey]=DiscreteStatsTable[[#This Row],[GroupByKey]]),(DiscreteStatsTable[GroupByKey]=DiscreteStatsTable[[#This Row],[GroupByKey]])*DiscreteStatsTable[Maximum]))</f>
        <v>28.983199492767199</v>
      </c>
      <c r="V476" cm="1">
        <f t="array" ref="V476">IFERROR(AVERAGE(IF((DiscreteStatsTable[GroupByKey]=DiscreteStatsTable[[#This Row],[GroupByKey]]),(DiscreteStatsTable[GroupByKey]=DiscreteStatsTable[[#This Row],[GroupByKey]])*DiscreteStatsTable[NumberObservations])),0)</f>
        <v>2401.9</v>
      </c>
      <c r="W476">
        <f>IF((DiscreteStatsTable[[#This Row],[RepsRequested]]&gt;1),DiscreteStatsTable[[#This Row],[HalfWidth]],DiscreteStatsTable[[#This Row],[BatchMeansHalfWidth]])</f>
        <v>6.0459854861332728E-2</v>
      </c>
      <c r="X476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131</v>
      </c>
      <c r="C477">
        <v>26</v>
      </c>
      <c r="D477" t="s">
        <v>83</v>
      </c>
      <c r="E477" t="s">
        <v>84</v>
      </c>
      <c r="F477" t="s">
        <v>85</v>
      </c>
      <c r="G477">
        <v>0.67854014302016197</v>
      </c>
      <c r="H477">
        <v>0.190874230772141</v>
      </c>
      <c r="I477">
        <v>0</v>
      </c>
      <c r="J477">
        <v>9.8950223480855506</v>
      </c>
      <c r="K477">
        <v>2352</v>
      </c>
      <c r="L477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77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cm="1">
        <f t="array" ref="N477">IFERROR(AVERAGE(IF((DiscreteStatsTable[GroupByKey]=DiscreteStatsTable[[#This Row],[GroupByKey]]),(DiscreteStatsTable[GroupByKey]=DiscreteStatsTable[[#This Row],[GroupByKey]])*DiscreteStatsTable[Average])),0)</f>
        <v>0.80539766231092458</v>
      </c>
      <c r="O477" cm="1">
        <f t="array" ref="O477">IFERROR(_xlfn.STDEV.S(IF((DiscreteStatsTable[GroupByKey]=DiscreteStatsTable[[#This Row],[GroupByKey]]),(DiscreteStatsTable[GroupByKey]=DiscreteStatsTable[[#This Row],[GroupByKey]])*DiscreteStatsTable[Average])),0)</f>
        <v>0.2127393519392447</v>
      </c>
      <c r="P477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77" cm="1">
        <f t="array" ref="R477">MIN(IF((DiscreteStatsTable[GroupByKey]=DiscreteStatsTable[[#This Row],[GroupByKey]]),(DiscreteStatsTable[GroupByKey]=DiscreteStatsTable[[#This Row],[GroupByKey]])*DiscreteStatsTable[Average]))</f>
        <v>0.51658298033119898</v>
      </c>
      <c r="S477" cm="1">
        <f t="array" ref="S477">MAX(IF((DiscreteStatsTable[GroupByKey]=DiscreteStatsTable[[#This Row],[GroupByKey]]),(DiscreteStatsTable[GroupByKey]=DiscreteStatsTable[[#This Row],[GroupByKey]])*DiscreteStatsTable[Average]))</f>
        <v>1.35362284384225</v>
      </c>
      <c r="T477" cm="1">
        <f t="array" ref="T477">MIN(IF((DiscreteStatsTable[GroupByKey]=DiscreteStatsTable[[#This Row],[GroupByKey]]),(DiscreteStatsTable[GroupByKey]=DiscreteStatsTable[[#This Row],[GroupByKey]])*DiscreteStatsTable[Minimum]))</f>
        <v>0</v>
      </c>
      <c r="U477" cm="1">
        <f t="array" ref="U477">MAX(IF((DiscreteStatsTable[GroupByKey]=DiscreteStatsTable[[#This Row],[GroupByKey]]),(DiscreteStatsTable[GroupByKey]=DiscreteStatsTable[[#This Row],[GroupByKey]])*DiscreteStatsTable[Maximum]))</f>
        <v>28.983199492767199</v>
      </c>
      <c r="V477" cm="1">
        <f t="array" ref="V477">IFERROR(AVERAGE(IF((DiscreteStatsTable[GroupByKey]=DiscreteStatsTable[[#This Row],[GroupByKey]]),(DiscreteStatsTable[GroupByKey]=DiscreteStatsTable[[#This Row],[GroupByKey]])*DiscreteStatsTable[NumberObservations])),0)</f>
        <v>2401.9</v>
      </c>
      <c r="W477">
        <f>IF((DiscreteStatsTable[[#This Row],[RepsRequested]]&gt;1),DiscreteStatsTable[[#This Row],[HalfWidth]],DiscreteStatsTable[[#This Row],[BatchMeansHalfWidth]])</f>
        <v>6.0459854861332728E-2</v>
      </c>
      <c r="X477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131</v>
      </c>
      <c r="C478">
        <v>27</v>
      </c>
      <c r="D478" t="s">
        <v>83</v>
      </c>
      <c r="E478" t="s">
        <v>84</v>
      </c>
      <c r="F478" t="s">
        <v>85</v>
      </c>
      <c r="G478">
        <v>1.35362284384225</v>
      </c>
      <c r="H478">
        <v>0.57382425842198503</v>
      </c>
      <c r="I478">
        <v>0</v>
      </c>
      <c r="J478">
        <v>21.901400545917301</v>
      </c>
      <c r="K478">
        <v>2416</v>
      </c>
      <c r="L478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78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cm="1">
        <f t="array" ref="N478">IFERROR(AVERAGE(IF((DiscreteStatsTable[GroupByKey]=DiscreteStatsTable[[#This Row],[GroupByKey]]),(DiscreteStatsTable[GroupByKey]=DiscreteStatsTable[[#This Row],[GroupByKey]])*DiscreteStatsTable[Average])),0)</f>
        <v>0.80539766231092458</v>
      </c>
      <c r="O478" cm="1">
        <f t="array" ref="O478">IFERROR(_xlfn.STDEV.S(IF((DiscreteStatsTable[GroupByKey]=DiscreteStatsTable[[#This Row],[GroupByKey]]),(DiscreteStatsTable[GroupByKey]=DiscreteStatsTable[[#This Row],[GroupByKey]])*DiscreteStatsTable[Average])),0)</f>
        <v>0.2127393519392447</v>
      </c>
      <c r="P478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78" cm="1">
        <f t="array" ref="R478">MIN(IF((DiscreteStatsTable[GroupByKey]=DiscreteStatsTable[[#This Row],[GroupByKey]]),(DiscreteStatsTable[GroupByKey]=DiscreteStatsTable[[#This Row],[GroupByKey]])*DiscreteStatsTable[Average]))</f>
        <v>0.51658298033119898</v>
      </c>
      <c r="S478" cm="1">
        <f t="array" ref="S478">MAX(IF((DiscreteStatsTable[GroupByKey]=DiscreteStatsTable[[#This Row],[GroupByKey]]),(DiscreteStatsTable[GroupByKey]=DiscreteStatsTable[[#This Row],[GroupByKey]])*DiscreteStatsTable[Average]))</f>
        <v>1.35362284384225</v>
      </c>
      <c r="T478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cm="1">
        <f t="array" ref="U478">MAX(IF((DiscreteStatsTable[GroupByKey]=DiscreteStatsTable[[#This Row],[GroupByKey]]),(DiscreteStatsTable[GroupByKey]=DiscreteStatsTable[[#This Row],[GroupByKey]])*DiscreteStatsTable[Maximum]))</f>
        <v>28.983199492767199</v>
      </c>
      <c r="V478" cm="1">
        <f t="array" ref="V478">IFERROR(AVERAGE(IF((DiscreteStatsTable[GroupByKey]=DiscreteStatsTable[[#This Row],[GroupByKey]]),(DiscreteStatsTable[GroupByKey]=DiscreteStatsTable[[#This Row],[GroupByKey]])*DiscreteStatsTable[NumberObservations])),0)</f>
        <v>2401.9</v>
      </c>
      <c r="W478">
        <f>IF((DiscreteStatsTable[[#This Row],[RepsRequested]]&gt;1),DiscreteStatsTable[[#This Row],[HalfWidth]],DiscreteStatsTable[[#This Row],[BatchMeansHalfWidth]])</f>
        <v>6.0459854861332728E-2</v>
      </c>
      <c r="X478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131</v>
      </c>
      <c r="C479">
        <v>28</v>
      </c>
      <c r="D479" t="s">
        <v>83</v>
      </c>
      <c r="E479" t="s">
        <v>84</v>
      </c>
      <c r="F479" t="s">
        <v>85</v>
      </c>
      <c r="G479">
        <v>0.90054094264060902</v>
      </c>
      <c r="H479">
        <v>0.26680878958175902</v>
      </c>
      <c r="I479">
        <v>0</v>
      </c>
      <c r="J479">
        <v>10.7831082440727</v>
      </c>
      <c r="K479">
        <v>2340</v>
      </c>
      <c r="L479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79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cm="1">
        <f t="array" ref="N479">IFERROR(AVERAGE(IF((DiscreteStatsTable[GroupByKey]=DiscreteStatsTable[[#This Row],[GroupByKey]]),(DiscreteStatsTable[GroupByKey]=DiscreteStatsTable[[#This Row],[GroupByKey]])*DiscreteStatsTable[Average])),0)</f>
        <v>0.80539766231092458</v>
      </c>
      <c r="O479" cm="1">
        <f t="array" ref="O479">IFERROR(_xlfn.STDEV.S(IF((DiscreteStatsTable[GroupByKey]=DiscreteStatsTable[[#This Row],[GroupByKey]]),(DiscreteStatsTable[GroupByKey]=DiscreteStatsTable[[#This Row],[GroupByKey]])*DiscreteStatsTable[Average])),0)</f>
        <v>0.2127393519392447</v>
      </c>
      <c r="P479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79" cm="1">
        <f t="array" ref="R479">MIN(IF((DiscreteStatsTable[GroupByKey]=DiscreteStatsTable[[#This Row],[GroupByKey]]),(DiscreteStatsTable[GroupByKey]=DiscreteStatsTable[[#This Row],[GroupByKey]])*DiscreteStatsTable[Average]))</f>
        <v>0.51658298033119898</v>
      </c>
      <c r="S479" cm="1">
        <f t="array" ref="S479">MAX(IF((DiscreteStatsTable[GroupByKey]=DiscreteStatsTable[[#This Row],[GroupByKey]]),(DiscreteStatsTable[GroupByKey]=DiscreteStatsTable[[#This Row],[GroupByKey]])*DiscreteStatsTable[Average]))</f>
        <v>1.35362284384225</v>
      </c>
      <c r="T479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cm="1">
        <f t="array" ref="U479">MAX(IF((DiscreteStatsTable[GroupByKey]=DiscreteStatsTable[[#This Row],[GroupByKey]]),(DiscreteStatsTable[GroupByKey]=DiscreteStatsTable[[#This Row],[GroupByKey]])*DiscreteStatsTable[Maximum]))</f>
        <v>28.983199492767199</v>
      </c>
      <c r="V479" cm="1">
        <f t="array" ref="V479">IFERROR(AVERAGE(IF((DiscreteStatsTable[GroupByKey]=DiscreteStatsTable[[#This Row],[GroupByKey]]),(DiscreteStatsTable[GroupByKey]=DiscreteStatsTable[[#This Row],[GroupByKey]])*DiscreteStatsTable[NumberObservations])),0)</f>
        <v>2401.9</v>
      </c>
      <c r="W479">
        <f>IF((DiscreteStatsTable[[#This Row],[RepsRequested]]&gt;1),DiscreteStatsTable[[#This Row],[HalfWidth]],DiscreteStatsTable[[#This Row],[BatchMeansHalfWidth]])</f>
        <v>6.0459854861332728E-2</v>
      </c>
      <c r="X479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131</v>
      </c>
      <c r="C480">
        <v>29</v>
      </c>
      <c r="D480" t="s">
        <v>83</v>
      </c>
      <c r="E480" t="s">
        <v>84</v>
      </c>
      <c r="F480" t="s">
        <v>85</v>
      </c>
      <c r="G480">
        <v>0.92842961399800294</v>
      </c>
      <c r="H480">
        <v>3E+20</v>
      </c>
      <c r="I480">
        <v>0</v>
      </c>
      <c r="J480">
        <v>22.5156669692396</v>
      </c>
      <c r="K480">
        <v>2442</v>
      </c>
      <c r="L480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80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cm="1">
        <f t="array" ref="N480">IFERROR(AVERAGE(IF((DiscreteStatsTable[GroupByKey]=DiscreteStatsTable[[#This Row],[GroupByKey]]),(DiscreteStatsTable[GroupByKey]=DiscreteStatsTable[[#This Row],[GroupByKey]])*DiscreteStatsTable[Average])),0)</f>
        <v>0.80539766231092458</v>
      </c>
      <c r="O480" cm="1">
        <f t="array" ref="O480">IFERROR(_xlfn.STDEV.S(IF((DiscreteStatsTable[GroupByKey]=DiscreteStatsTable[[#This Row],[GroupByKey]]),(DiscreteStatsTable[GroupByKey]=DiscreteStatsTable[[#This Row],[GroupByKey]])*DiscreteStatsTable[Average])),0)</f>
        <v>0.2127393519392447</v>
      </c>
      <c r="P480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80" cm="1">
        <f t="array" ref="R480">MIN(IF((DiscreteStatsTable[GroupByKey]=DiscreteStatsTable[[#This Row],[GroupByKey]]),(DiscreteStatsTable[GroupByKey]=DiscreteStatsTable[[#This Row],[GroupByKey]])*DiscreteStatsTable[Average]))</f>
        <v>0.51658298033119898</v>
      </c>
      <c r="S480" cm="1">
        <f t="array" ref="S480">MAX(IF((DiscreteStatsTable[GroupByKey]=DiscreteStatsTable[[#This Row],[GroupByKey]]),(DiscreteStatsTable[GroupByKey]=DiscreteStatsTable[[#This Row],[GroupByKey]])*DiscreteStatsTable[Average]))</f>
        <v>1.35362284384225</v>
      </c>
      <c r="T480" cm="1">
        <f t="array" ref="T480">MIN(IF((DiscreteStatsTable[GroupByKey]=DiscreteStatsTable[[#This Row],[GroupByKey]]),(DiscreteStatsTable[GroupByKey]=DiscreteStatsTable[[#This Row],[GroupByKey]])*DiscreteStatsTable[Minimum]))</f>
        <v>0</v>
      </c>
      <c r="U480" cm="1">
        <f t="array" ref="U480">MAX(IF((DiscreteStatsTable[GroupByKey]=DiscreteStatsTable[[#This Row],[GroupByKey]]),(DiscreteStatsTable[GroupByKey]=DiscreteStatsTable[[#This Row],[GroupByKey]])*DiscreteStatsTable[Maximum]))</f>
        <v>28.983199492767199</v>
      </c>
      <c r="V480" cm="1">
        <f t="array" ref="V480">IFERROR(AVERAGE(IF((DiscreteStatsTable[GroupByKey]=DiscreteStatsTable[[#This Row],[GroupByKey]]),(DiscreteStatsTable[GroupByKey]=DiscreteStatsTable[[#This Row],[GroupByKey]])*DiscreteStatsTable[NumberObservations])),0)</f>
        <v>2401.9</v>
      </c>
      <c r="W480">
        <f>IF((DiscreteStatsTable[[#This Row],[RepsRequested]]&gt;1),DiscreteStatsTable[[#This Row],[HalfWidth]],DiscreteStatsTable[[#This Row],[BatchMeansHalfWidth]])</f>
        <v>6.0459854861332728E-2</v>
      </c>
      <c r="X480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131</v>
      </c>
      <c r="C481">
        <v>30</v>
      </c>
      <c r="D481" t="s">
        <v>83</v>
      </c>
      <c r="E481" t="s">
        <v>84</v>
      </c>
      <c r="F481" t="s">
        <v>85</v>
      </c>
      <c r="G481">
        <v>1.04199540112764</v>
      </c>
      <c r="H481">
        <v>3E+20</v>
      </c>
      <c r="I481">
        <v>0</v>
      </c>
      <c r="J481">
        <v>19.077497712210501</v>
      </c>
      <c r="K481">
        <v>2417</v>
      </c>
      <c r="L481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81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cm="1">
        <f t="array" ref="N481">IFERROR(AVERAGE(IF((DiscreteStatsTable[GroupByKey]=DiscreteStatsTable[[#This Row],[GroupByKey]]),(DiscreteStatsTable[GroupByKey]=DiscreteStatsTable[[#This Row],[GroupByKey]])*DiscreteStatsTable[Average])),0)</f>
        <v>0.80539766231092458</v>
      </c>
      <c r="O481" cm="1">
        <f t="array" ref="O481">IFERROR(_xlfn.STDEV.S(IF((DiscreteStatsTable[GroupByKey]=DiscreteStatsTable[[#This Row],[GroupByKey]]),(DiscreteStatsTable[GroupByKey]=DiscreteStatsTable[[#This Row],[GroupByKey]])*DiscreteStatsTable[Average])),0)</f>
        <v>0.2127393519392447</v>
      </c>
      <c r="P481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81" cm="1">
        <f t="array" ref="R481">MIN(IF((DiscreteStatsTable[GroupByKey]=DiscreteStatsTable[[#This Row],[GroupByKey]]),(DiscreteStatsTable[GroupByKey]=DiscreteStatsTable[[#This Row],[GroupByKey]])*DiscreteStatsTable[Average]))</f>
        <v>0.51658298033119898</v>
      </c>
      <c r="S481" cm="1">
        <f t="array" ref="S481">MAX(IF((DiscreteStatsTable[GroupByKey]=DiscreteStatsTable[[#This Row],[GroupByKey]]),(DiscreteStatsTable[GroupByKey]=DiscreteStatsTable[[#This Row],[GroupByKey]])*DiscreteStatsTable[Average]))</f>
        <v>1.35362284384225</v>
      </c>
      <c r="T481" cm="1">
        <f t="array" ref="T481">MIN(IF((DiscreteStatsTable[GroupByKey]=DiscreteStatsTable[[#This Row],[GroupByKey]]),(DiscreteStatsTable[GroupByKey]=DiscreteStatsTable[[#This Row],[GroupByKey]])*DiscreteStatsTable[Minimum]))</f>
        <v>0</v>
      </c>
      <c r="U481" cm="1">
        <f t="array" ref="U481">MAX(IF((DiscreteStatsTable[GroupByKey]=DiscreteStatsTable[[#This Row],[GroupByKey]]),(DiscreteStatsTable[GroupByKey]=DiscreteStatsTable[[#This Row],[GroupByKey]])*DiscreteStatsTable[Maximum]))</f>
        <v>28.983199492767199</v>
      </c>
      <c r="V481" cm="1">
        <f t="array" ref="V481">IFERROR(AVERAGE(IF((DiscreteStatsTable[GroupByKey]=DiscreteStatsTable[[#This Row],[GroupByKey]]),(DiscreteStatsTable[GroupByKey]=DiscreteStatsTable[[#This Row],[GroupByKey]])*DiscreteStatsTable[NumberObservations])),0)</f>
        <v>2401.9</v>
      </c>
      <c r="W481">
        <f>IF((DiscreteStatsTable[[#This Row],[RepsRequested]]&gt;1),DiscreteStatsTable[[#This Row],[HalfWidth]],DiscreteStatsTable[[#This Row],[BatchMeansHalfWidth]])</f>
        <v>6.0459854861332728E-2</v>
      </c>
      <c r="X481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131</v>
      </c>
      <c r="C482">
        <v>31</v>
      </c>
      <c r="D482" t="s">
        <v>83</v>
      </c>
      <c r="E482" t="s">
        <v>84</v>
      </c>
      <c r="F482" t="s">
        <v>85</v>
      </c>
      <c r="G482">
        <v>0.52833241769049499</v>
      </c>
      <c r="H482">
        <v>0.14027199450688299</v>
      </c>
      <c r="I482">
        <v>0</v>
      </c>
      <c r="J482">
        <v>9.5695252275513099</v>
      </c>
      <c r="K482">
        <v>2346</v>
      </c>
      <c r="L482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82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cm="1">
        <f t="array" ref="N482">IFERROR(AVERAGE(IF((DiscreteStatsTable[GroupByKey]=DiscreteStatsTable[[#This Row],[GroupByKey]]),(DiscreteStatsTable[GroupByKey]=DiscreteStatsTable[[#This Row],[GroupByKey]])*DiscreteStatsTable[Average])),0)</f>
        <v>0.80539766231092458</v>
      </c>
      <c r="O482" cm="1">
        <f t="array" ref="O482">IFERROR(_xlfn.STDEV.S(IF((DiscreteStatsTable[GroupByKey]=DiscreteStatsTable[[#This Row],[GroupByKey]]),(DiscreteStatsTable[GroupByKey]=DiscreteStatsTable[[#This Row],[GroupByKey]])*DiscreteStatsTable[Average])),0)</f>
        <v>0.2127393519392447</v>
      </c>
      <c r="P482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82" cm="1">
        <f t="array" ref="R482">MIN(IF((DiscreteStatsTable[GroupByKey]=DiscreteStatsTable[[#This Row],[GroupByKey]]),(DiscreteStatsTable[GroupByKey]=DiscreteStatsTable[[#This Row],[GroupByKey]])*DiscreteStatsTable[Average]))</f>
        <v>0.51658298033119898</v>
      </c>
      <c r="S482" cm="1">
        <f t="array" ref="S482">MAX(IF((DiscreteStatsTable[GroupByKey]=DiscreteStatsTable[[#This Row],[GroupByKey]]),(DiscreteStatsTable[GroupByKey]=DiscreteStatsTable[[#This Row],[GroupByKey]])*DiscreteStatsTable[Average]))</f>
        <v>1.35362284384225</v>
      </c>
      <c r="T482" cm="1">
        <f t="array" ref="T482">MIN(IF((DiscreteStatsTable[GroupByKey]=DiscreteStatsTable[[#This Row],[GroupByKey]]),(DiscreteStatsTable[GroupByKey]=DiscreteStatsTable[[#This Row],[GroupByKey]])*DiscreteStatsTable[Minimum]))</f>
        <v>0</v>
      </c>
      <c r="U482" cm="1">
        <f t="array" ref="U482">MAX(IF((DiscreteStatsTable[GroupByKey]=DiscreteStatsTable[[#This Row],[GroupByKey]]),(DiscreteStatsTable[GroupByKey]=DiscreteStatsTable[[#This Row],[GroupByKey]])*DiscreteStatsTable[Maximum]))</f>
        <v>28.983199492767199</v>
      </c>
      <c r="V482" cm="1">
        <f t="array" ref="V482">IFERROR(AVERAGE(IF((DiscreteStatsTable[GroupByKey]=DiscreteStatsTable[[#This Row],[GroupByKey]]),(DiscreteStatsTable[GroupByKey]=DiscreteStatsTable[[#This Row],[GroupByKey]])*DiscreteStatsTable[NumberObservations])),0)</f>
        <v>2401.9</v>
      </c>
      <c r="W482">
        <f>IF((DiscreteStatsTable[[#This Row],[RepsRequested]]&gt;1),DiscreteStatsTable[[#This Row],[HalfWidth]],DiscreteStatsTable[[#This Row],[BatchMeansHalfWidth]])</f>
        <v>6.0459854861332728E-2</v>
      </c>
      <c r="X482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131</v>
      </c>
      <c r="C483">
        <v>32</v>
      </c>
      <c r="D483" t="s">
        <v>83</v>
      </c>
      <c r="E483" t="s">
        <v>84</v>
      </c>
      <c r="F483" t="s">
        <v>85</v>
      </c>
      <c r="G483">
        <v>0.577961793288995</v>
      </c>
      <c r="H483">
        <v>0.147531689834494</v>
      </c>
      <c r="I483">
        <v>0</v>
      </c>
      <c r="J483">
        <v>11.228891736928199</v>
      </c>
      <c r="K483">
        <v>2333</v>
      </c>
      <c r="L483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83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cm="1">
        <f t="array" ref="N483">IFERROR(AVERAGE(IF((DiscreteStatsTable[GroupByKey]=DiscreteStatsTable[[#This Row],[GroupByKey]]),(DiscreteStatsTable[GroupByKey]=DiscreteStatsTable[[#This Row],[GroupByKey]])*DiscreteStatsTable[Average])),0)</f>
        <v>0.80539766231092458</v>
      </c>
      <c r="O483" cm="1">
        <f t="array" ref="O483">IFERROR(_xlfn.STDEV.S(IF((DiscreteStatsTable[GroupByKey]=DiscreteStatsTable[[#This Row],[GroupByKey]]),(DiscreteStatsTable[GroupByKey]=DiscreteStatsTable[[#This Row],[GroupByKey]])*DiscreteStatsTable[Average])),0)</f>
        <v>0.2127393519392447</v>
      </c>
      <c r="P483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83" cm="1">
        <f t="array" ref="R483">MIN(IF((DiscreteStatsTable[GroupByKey]=DiscreteStatsTable[[#This Row],[GroupByKey]]),(DiscreteStatsTable[GroupByKey]=DiscreteStatsTable[[#This Row],[GroupByKey]])*DiscreteStatsTable[Average]))</f>
        <v>0.51658298033119898</v>
      </c>
      <c r="S483" cm="1">
        <f t="array" ref="S483">MAX(IF((DiscreteStatsTable[GroupByKey]=DiscreteStatsTable[[#This Row],[GroupByKey]]),(DiscreteStatsTable[GroupByKey]=DiscreteStatsTable[[#This Row],[GroupByKey]])*DiscreteStatsTable[Average]))</f>
        <v>1.35362284384225</v>
      </c>
      <c r="T483" cm="1">
        <f t="array" ref="T483">MIN(IF((DiscreteStatsTable[GroupByKey]=DiscreteStatsTable[[#This Row],[GroupByKey]]),(DiscreteStatsTable[GroupByKey]=DiscreteStatsTable[[#This Row],[GroupByKey]])*DiscreteStatsTable[Minimum]))</f>
        <v>0</v>
      </c>
      <c r="U483" cm="1">
        <f t="array" ref="U483">MAX(IF((DiscreteStatsTable[GroupByKey]=DiscreteStatsTable[[#This Row],[GroupByKey]]),(DiscreteStatsTable[GroupByKey]=DiscreteStatsTable[[#This Row],[GroupByKey]])*DiscreteStatsTable[Maximum]))</f>
        <v>28.983199492767199</v>
      </c>
      <c r="V483" cm="1">
        <f t="array" ref="V483">IFERROR(AVERAGE(IF((DiscreteStatsTable[GroupByKey]=DiscreteStatsTable[[#This Row],[GroupByKey]]),(DiscreteStatsTable[GroupByKey]=DiscreteStatsTable[[#This Row],[GroupByKey]])*DiscreteStatsTable[NumberObservations])),0)</f>
        <v>2401.9</v>
      </c>
      <c r="W483">
        <f>IF((DiscreteStatsTable[[#This Row],[RepsRequested]]&gt;1),DiscreteStatsTable[[#This Row],[HalfWidth]],DiscreteStatsTable[[#This Row],[BatchMeansHalfWidth]])</f>
        <v>6.0459854861332728E-2</v>
      </c>
      <c r="X483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131</v>
      </c>
      <c r="C484">
        <v>33</v>
      </c>
      <c r="D484" t="s">
        <v>83</v>
      </c>
      <c r="E484" t="s">
        <v>84</v>
      </c>
      <c r="F484" t="s">
        <v>85</v>
      </c>
      <c r="G484">
        <v>0.69968791119653895</v>
      </c>
      <c r="H484">
        <v>0.17390055491525899</v>
      </c>
      <c r="I484">
        <v>0</v>
      </c>
      <c r="J484">
        <v>10.0353186465625</v>
      </c>
      <c r="K484">
        <v>2415</v>
      </c>
      <c r="L484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84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cm="1">
        <f t="array" ref="N484">IFERROR(AVERAGE(IF((DiscreteStatsTable[GroupByKey]=DiscreteStatsTable[[#This Row],[GroupByKey]]),(DiscreteStatsTable[GroupByKey]=DiscreteStatsTable[[#This Row],[GroupByKey]])*DiscreteStatsTable[Average])),0)</f>
        <v>0.80539766231092458</v>
      </c>
      <c r="O484" cm="1">
        <f t="array" ref="O484">IFERROR(_xlfn.STDEV.S(IF((DiscreteStatsTable[GroupByKey]=DiscreteStatsTable[[#This Row],[GroupByKey]]),(DiscreteStatsTable[GroupByKey]=DiscreteStatsTable[[#This Row],[GroupByKey]])*DiscreteStatsTable[Average])),0)</f>
        <v>0.2127393519392447</v>
      </c>
      <c r="P484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84" cm="1">
        <f t="array" ref="R484">MIN(IF((DiscreteStatsTable[GroupByKey]=DiscreteStatsTable[[#This Row],[GroupByKey]]),(DiscreteStatsTable[GroupByKey]=DiscreteStatsTable[[#This Row],[GroupByKey]])*DiscreteStatsTable[Average]))</f>
        <v>0.51658298033119898</v>
      </c>
      <c r="S484" cm="1">
        <f t="array" ref="S484">MAX(IF((DiscreteStatsTable[GroupByKey]=DiscreteStatsTable[[#This Row],[GroupByKey]]),(DiscreteStatsTable[GroupByKey]=DiscreteStatsTable[[#This Row],[GroupByKey]])*DiscreteStatsTable[Average]))</f>
        <v>1.35362284384225</v>
      </c>
      <c r="T484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cm="1">
        <f t="array" ref="U484">MAX(IF((DiscreteStatsTable[GroupByKey]=DiscreteStatsTable[[#This Row],[GroupByKey]]),(DiscreteStatsTable[GroupByKey]=DiscreteStatsTable[[#This Row],[GroupByKey]])*DiscreteStatsTable[Maximum]))</f>
        <v>28.983199492767199</v>
      </c>
      <c r="V484" cm="1">
        <f t="array" ref="V484">IFERROR(AVERAGE(IF((DiscreteStatsTable[GroupByKey]=DiscreteStatsTable[[#This Row],[GroupByKey]]),(DiscreteStatsTable[GroupByKey]=DiscreteStatsTable[[#This Row],[GroupByKey]])*DiscreteStatsTable[NumberObservations])),0)</f>
        <v>2401.9</v>
      </c>
      <c r="W484">
        <f>IF((DiscreteStatsTable[[#This Row],[RepsRequested]]&gt;1),DiscreteStatsTable[[#This Row],[HalfWidth]],DiscreteStatsTable[[#This Row],[BatchMeansHalfWidth]])</f>
        <v>6.0459854861332728E-2</v>
      </c>
      <c r="X484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131</v>
      </c>
      <c r="C485">
        <v>34</v>
      </c>
      <c r="D485" t="s">
        <v>83</v>
      </c>
      <c r="E485" t="s">
        <v>84</v>
      </c>
      <c r="F485" t="s">
        <v>85</v>
      </c>
      <c r="G485">
        <v>0.77125772038194995</v>
      </c>
      <c r="H485">
        <v>0.26749460831201</v>
      </c>
      <c r="I485">
        <v>0</v>
      </c>
      <c r="J485">
        <v>17.1306313892748</v>
      </c>
      <c r="K485">
        <v>2414</v>
      </c>
      <c r="L485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8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cm="1">
        <f t="array" ref="N485">IFERROR(AVERAGE(IF((DiscreteStatsTable[GroupByKey]=DiscreteStatsTable[[#This Row],[GroupByKey]]),(DiscreteStatsTable[GroupByKey]=DiscreteStatsTable[[#This Row],[GroupByKey]])*DiscreteStatsTable[Average])),0)</f>
        <v>0.80539766231092458</v>
      </c>
      <c r="O485" cm="1">
        <f t="array" ref="O485">IFERROR(_xlfn.STDEV.S(IF((DiscreteStatsTable[GroupByKey]=DiscreteStatsTable[[#This Row],[GroupByKey]]),(DiscreteStatsTable[GroupByKey]=DiscreteStatsTable[[#This Row],[GroupByKey]])*DiscreteStatsTable[Average])),0)</f>
        <v>0.2127393519392447</v>
      </c>
      <c r="P48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85" cm="1">
        <f t="array" ref="R485">MIN(IF((DiscreteStatsTable[GroupByKey]=DiscreteStatsTable[[#This Row],[GroupByKey]]),(DiscreteStatsTable[GroupByKey]=DiscreteStatsTable[[#This Row],[GroupByKey]])*DiscreteStatsTable[Average]))</f>
        <v>0.51658298033119898</v>
      </c>
      <c r="S485" cm="1">
        <f t="array" ref="S485">MAX(IF((DiscreteStatsTable[GroupByKey]=DiscreteStatsTable[[#This Row],[GroupByKey]]),(DiscreteStatsTable[GroupByKey]=DiscreteStatsTable[[#This Row],[GroupByKey]])*DiscreteStatsTable[Average]))</f>
        <v>1.35362284384225</v>
      </c>
      <c r="T48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cm="1">
        <f t="array" ref="U485">MAX(IF((DiscreteStatsTable[GroupByKey]=DiscreteStatsTable[[#This Row],[GroupByKey]]),(DiscreteStatsTable[GroupByKey]=DiscreteStatsTable[[#This Row],[GroupByKey]])*DiscreteStatsTable[Maximum]))</f>
        <v>28.983199492767199</v>
      </c>
      <c r="V485" cm="1">
        <f t="array" ref="V485">IFERROR(AVERAGE(IF((DiscreteStatsTable[GroupByKey]=DiscreteStatsTable[[#This Row],[GroupByKey]]),(DiscreteStatsTable[GroupByKey]=DiscreteStatsTable[[#This Row],[GroupByKey]])*DiscreteStatsTable[NumberObservations])),0)</f>
        <v>2401.9</v>
      </c>
      <c r="W485">
        <f>IF((DiscreteStatsTable[[#This Row],[RepsRequested]]&gt;1),DiscreteStatsTable[[#This Row],[HalfWidth]],DiscreteStatsTable[[#This Row],[BatchMeansHalfWidth]])</f>
        <v>6.0459854861332728E-2</v>
      </c>
      <c r="X48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131</v>
      </c>
      <c r="C486">
        <v>35</v>
      </c>
      <c r="D486" t="s">
        <v>83</v>
      </c>
      <c r="E486" t="s">
        <v>84</v>
      </c>
      <c r="F486" t="s">
        <v>85</v>
      </c>
      <c r="G486">
        <v>0.67510503813009204</v>
      </c>
      <c r="H486">
        <v>0.18731074784959201</v>
      </c>
      <c r="I486">
        <v>0</v>
      </c>
      <c r="J486">
        <v>13.2942085569052</v>
      </c>
      <c r="K486">
        <v>2438</v>
      </c>
      <c r="L486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86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cm="1">
        <f t="array" ref="N486">IFERROR(AVERAGE(IF((DiscreteStatsTable[GroupByKey]=DiscreteStatsTable[[#This Row],[GroupByKey]]),(DiscreteStatsTable[GroupByKey]=DiscreteStatsTable[[#This Row],[GroupByKey]])*DiscreteStatsTable[Average])),0)</f>
        <v>0.80539766231092458</v>
      </c>
      <c r="O486" cm="1">
        <f t="array" ref="O486">IFERROR(_xlfn.STDEV.S(IF((DiscreteStatsTable[GroupByKey]=DiscreteStatsTable[[#This Row],[GroupByKey]]),(DiscreteStatsTable[GroupByKey]=DiscreteStatsTable[[#This Row],[GroupByKey]])*DiscreteStatsTable[Average])),0)</f>
        <v>0.2127393519392447</v>
      </c>
      <c r="P486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86" cm="1">
        <f t="array" ref="R486">MIN(IF((DiscreteStatsTable[GroupByKey]=DiscreteStatsTable[[#This Row],[GroupByKey]]),(DiscreteStatsTable[GroupByKey]=DiscreteStatsTable[[#This Row],[GroupByKey]])*DiscreteStatsTable[Average]))</f>
        <v>0.51658298033119898</v>
      </c>
      <c r="S486" cm="1">
        <f t="array" ref="S486">MAX(IF((DiscreteStatsTable[GroupByKey]=DiscreteStatsTable[[#This Row],[GroupByKey]]),(DiscreteStatsTable[GroupByKey]=DiscreteStatsTable[[#This Row],[GroupByKey]])*DiscreteStatsTable[Average]))</f>
        <v>1.35362284384225</v>
      </c>
      <c r="T486" cm="1">
        <f t="array" ref="T486">MIN(IF((DiscreteStatsTable[GroupByKey]=DiscreteStatsTable[[#This Row],[GroupByKey]]),(DiscreteStatsTable[GroupByKey]=DiscreteStatsTable[[#This Row],[GroupByKey]])*DiscreteStatsTable[Minimum]))</f>
        <v>0</v>
      </c>
      <c r="U486" cm="1">
        <f t="array" ref="U486">MAX(IF((DiscreteStatsTable[GroupByKey]=DiscreteStatsTable[[#This Row],[GroupByKey]]),(DiscreteStatsTable[GroupByKey]=DiscreteStatsTable[[#This Row],[GroupByKey]])*DiscreteStatsTable[Maximum]))</f>
        <v>28.983199492767199</v>
      </c>
      <c r="V486" cm="1">
        <f t="array" ref="V486">IFERROR(AVERAGE(IF((DiscreteStatsTable[GroupByKey]=DiscreteStatsTable[[#This Row],[GroupByKey]]),(DiscreteStatsTable[GroupByKey]=DiscreteStatsTable[[#This Row],[GroupByKey]])*DiscreteStatsTable[NumberObservations])),0)</f>
        <v>2401.9</v>
      </c>
      <c r="W486">
        <f>IF((DiscreteStatsTable[[#This Row],[RepsRequested]]&gt;1),DiscreteStatsTable[[#This Row],[HalfWidth]],DiscreteStatsTable[[#This Row],[BatchMeansHalfWidth]])</f>
        <v>6.0459854861332728E-2</v>
      </c>
      <c r="X486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131</v>
      </c>
      <c r="C487">
        <v>36</v>
      </c>
      <c r="D487" t="s">
        <v>83</v>
      </c>
      <c r="E487" t="s">
        <v>84</v>
      </c>
      <c r="F487" t="s">
        <v>85</v>
      </c>
      <c r="G487">
        <v>0.51658298033119898</v>
      </c>
      <c r="H487">
        <v>0.11865234857786899</v>
      </c>
      <c r="I487">
        <v>0</v>
      </c>
      <c r="J487">
        <v>8.3881460223777804</v>
      </c>
      <c r="K487">
        <v>2395</v>
      </c>
      <c r="L487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87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cm="1">
        <f t="array" ref="N487">IFERROR(AVERAGE(IF((DiscreteStatsTable[GroupByKey]=DiscreteStatsTable[[#This Row],[GroupByKey]]),(DiscreteStatsTable[GroupByKey]=DiscreteStatsTable[[#This Row],[GroupByKey]])*DiscreteStatsTable[Average])),0)</f>
        <v>0.80539766231092458</v>
      </c>
      <c r="O487" cm="1">
        <f t="array" ref="O487">IFERROR(_xlfn.STDEV.S(IF((DiscreteStatsTable[GroupByKey]=DiscreteStatsTable[[#This Row],[GroupByKey]]),(DiscreteStatsTable[GroupByKey]=DiscreteStatsTable[[#This Row],[GroupByKey]])*DiscreteStatsTable[Average])),0)</f>
        <v>0.2127393519392447</v>
      </c>
      <c r="P487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87" cm="1">
        <f t="array" ref="R487">MIN(IF((DiscreteStatsTable[GroupByKey]=DiscreteStatsTable[[#This Row],[GroupByKey]]),(DiscreteStatsTable[GroupByKey]=DiscreteStatsTable[[#This Row],[GroupByKey]])*DiscreteStatsTable[Average]))</f>
        <v>0.51658298033119898</v>
      </c>
      <c r="S487" cm="1">
        <f t="array" ref="S487">MAX(IF((DiscreteStatsTable[GroupByKey]=DiscreteStatsTable[[#This Row],[GroupByKey]]),(DiscreteStatsTable[GroupByKey]=DiscreteStatsTable[[#This Row],[GroupByKey]])*DiscreteStatsTable[Average]))</f>
        <v>1.35362284384225</v>
      </c>
      <c r="T487" cm="1">
        <f t="array" ref="T487">MIN(IF((DiscreteStatsTable[GroupByKey]=DiscreteStatsTable[[#This Row],[GroupByKey]]),(DiscreteStatsTable[GroupByKey]=DiscreteStatsTable[[#This Row],[GroupByKey]])*DiscreteStatsTable[Minimum]))</f>
        <v>0</v>
      </c>
      <c r="U487" cm="1">
        <f t="array" ref="U487">MAX(IF((DiscreteStatsTable[GroupByKey]=DiscreteStatsTable[[#This Row],[GroupByKey]]),(DiscreteStatsTable[GroupByKey]=DiscreteStatsTable[[#This Row],[GroupByKey]])*DiscreteStatsTable[Maximum]))</f>
        <v>28.983199492767199</v>
      </c>
      <c r="V487" cm="1">
        <f t="array" ref="V487">IFERROR(AVERAGE(IF((DiscreteStatsTable[GroupByKey]=DiscreteStatsTable[[#This Row],[GroupByKey]]),(DiscreteStatsTable[GroupByKey]=DiscreteStatsTable[[#This Row],[GroupByKey]])*DiscreteStatsTable[NumberObservations])),0)</f>
        <v>2401.9</v>
      </c>
      <c r="W487">
        <f>IF((DiscreteStatsTable[[#This Row],[RepsRequested]]&gt;1),DiscreteStatsTable[[#This Row],[HalfWidth]],DiscreteStatsTable[[#This Row],[BatchMeansHalfWidth]])</f>
        <v>6.0459854861332728E-2</v>
      </c>
      <c r="X487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131</v>
      </c>
      <c r="C488">
        <v>37</v>
      </c>
      <c r="D488" t="s">
        <v>83</v>
      </c>
      <c r="E488" t="s">
        <v>84</v>
      </c>
      <c r="F488" t="s">
        <v>85</v>
      </c>
      <c r="G488">
        <v>0.98386249493187705</v>
      </c>
      <c r="H488">
        <v>3E+20</v>
      </c>
      <c r="I488">
        <v>0</v>
      </c>
      <c r="J488">
        <v>25.109038353632599</v>
      </c>
      <c r="K488">
        <v>2411</v>
      </c>
      <c r="L488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88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cm="1">
        <f t="array" ref="N488">IFERROR(AVERAGE(IF((DiscreteStatsTable[GroupByKey]=DiscreteStatsTable[[#This Row],[GroupByKey]]),(DiscreteStatsTable[GroupByKey]=DiscreteStatsTable[[#This Row],[GroupByKey]])*DiscreteStatsTable[Average])),0)</f>
        <v>0.80539766231092458</v>
      </c>
      <c r="O488" cm="1">
        <f t="array" ref="O488">IFERROR(_xlfn.STDEV.S(IF((DiscreteStatsTable[GroupByKey]=DiscreteStatsTable[[#This Row],[GroupByKey]]),(DiscreteStatsTable[GroupByKey]=DiscreteStatsTable[[#This Row],[GroupByKey]])*DiscreteStatsTable[Average])),0)</f>
        <v>0.2127393519392447</v>
      </c>
      <c r="P488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88" cm="1">
        <f t="array" ref="R488">MIN(IF((DiscreteStatsTable[GroupByKey]=DiscreteStatsTable[[#This Row],[GroupByKey]]),(DiscreteStatsTable[GroupByKey]=DiscreteStatsTable[[#This Row],[GroupByKey]])*DiscreteStatsTable[Average]))</f>
        <v>0.51658298033119898</v>
      </c>
      <c r="S488" cm="1">
        <f t="array" ref="S488">MAX(IF((DiscreteStatsTable[GroupByKey]=DiscreteStatsTable[[#This Row],[GroupByKey]]),(DiscreteStatsTable[GroupByKey]=DiscreteStatsTable[[#This Row],[GroupByKey]])*DiscreteStatsTable[Average]))</f>
        <v>1.35362284384225</v>
      </c>
      <c r="T488" cm="1">
        <f t="array" ref="T488">MIN(IF((DiscreteStatsTable[GroupByKey]=DiscreteStatsTable[[#This Row],[GroupByKey]]),(DiscreteStatsTable[GroupByKey]=DiscreteStatsTable[[#This Row],[GroupByKey]])*DiscreteStatsTable[Minimum]))</f>
        <v>0</v>
      </c>
      <c r="U488" cm="1">
        <f t="array" ref="U488">MAX(IF((DiscreteStatsTable[GroupByKey]=DiscreteStatsTable[[#This Row],[GroupByKey]]),(DiscreteStatsTable[GroupByKey]=DiscreteStatsTable[[#This Row],[GroupByKey]])*DiscreteStatsTable[Maximum]))</f>
        <v>28.983199492767199</v>
      </c>
      <c r="V488" cm="1">
        <f t="array" ref="V488">IFERROR(AVERAGE(IF((DiscreteStatsTable[GroupByKey]=DiscreteStatsTable[[#This Row],[GroupByKey]]),(DiscreteStatsTable[GroupByKey]=DiscreteStatsTable[[#This Row],[GroupByKey]])*DiscreteStatsTable[NumberObservations])),0)</f>
        <v>2401.9</v>
      </c>
      <c r="W488">
        <f>IF((DiscreteStatsTable[[#This Row],[RepsRequested]]&gt;1),DiscreteStatsTable[[#This Row],[HalfWidth]],DiscreteStatsTable[[#This Row],[BatchMeansHalfWidth]])</f>
        <v>6.0459854861332728E-2</v>
      </c>
      <c r="X488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131</v>
      </c>
      <c r="C489">
        <v>38</v>
      </c>
      <c r="D489" t="s">
        <v>83</v>
      </c>
      <c r="E489" t="s">
        <v>84</v>
      </c>
      <c r="F489" t="s">
        <v>85</v>
      </c>
      <c r="G489">
        <v>0.71263397369672798</v>
      </c>
      <c r="H489">
        <v>0.191533995750443</v>
      </c>
      <c r="I489">
        <v>0</v>
      </c>
      <c r="J489">
        <v>14.036465061938999</v>
      </c>
      <c r="K489">
        <v>2407</v>
      </c>
      <c r="L489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89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cm="1">
        <f t="array" ref="N489">IFERROR(AVERAGE(IF((DiscreteStatsTable[GroupByKey]=DiscreteStatsTable[[#This Row],[GroupByKey]]),(DiscreteStatsTable[GroupByKey]=DiscreteStatsTable[[#This Row],[GroupByKey]])*DiscreteStatsTable[Average])),0)</f>
        <v>0.80539766231092458</v>
      </c>
      <c r="O489" cm="1">
        <f t="array" ref="O489">IFERROR(_xlfn.STDEV.S(IF((DiscreteStatsTable[GroupByKey]=DiscreteStatsTable[[#This Row],[GroupByKey]]),(DiscreteStatsTable[GroupByKey]=DiscreteStatsTable[[#This Row],[GroupByKey]])*DiscreteStatsTable[Average])),0)</f>
        <v>0.2127393519392447</v>
      </c>
      <c r="P489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89" cm="1">
        <f t="array" ref="R489">MIN(IF((DiscreteStatsTable[GroupByKey]=DiscreteStatsTable[[#This Row],[GroupByKey]]),(DiscreteStatsTable[GroupByKey]=DiscreteStatsTable[[#This Row],[GroupByKey]])*DiscreteStatsTable[Average]))</f>
        <v>0.51658298033119898</v>
      </c>
      <c r="S489" cm="1">
        <f t="array" ref="S489">MAX(IF((DiscreteStatsTable[GroupByKey]=DiscreteStatsTable[[#This Row],[GroupByKey]]),(DiscreteStatsTable[GroupByKey]=DiscreteStatsTable[[#This Row],[GroupByKey]])*DiscreteStatsTable[Average]))</f>
        <v>1.35362284384225</v>
      </c>
      <c r="T489" cm="1">
        <f t="array" ref="T489">MIN(IF((DiscreteStatsTable[GroupByKey]=DiscreteStatsTable[[#This Row],[GroupByKey]]),(DiscreteStatsTable[GroupByKey]=DiscreteStatsTable[[#This Row],[GroupByKey]])*DiscreteStatsTable[Minimum]))</f>
        <v>0</v>
      </c>
      <c r="U489" cm="1">
        <f t="array" ref="U489">MAX(IF((DiscreteStatsTable[GroupByKey]=DiscreteStatsTable[[#This Row],[GroupByKey]]),(DiscreteStatsTable[GroupByKey]=DiscreteStatsTable[[#This Row],[GroupByKey]])*DiscreteStatsTable[Maximum]))</f>
        <v>28.983199492767199</v>
      </c>
      <c r="V489" cm="1">
        <f t="array" ref="V489">IFERROR(AVERAGE(IF((DiscreteStatsTable[GroupByKey]=DiscreteStatsTable[[#This Row],[GroupByKey]]),(DiscreteStatsTable[GroupByKey]=DiscreteStatsTable[[#This Row],[GroupByKey]])*DiscreteStatsTable[NumberObservations])),0)</f>
        <v>2401.9</v>
      </c>
      <c r="W489">
        <f>IF((DiscreteStatsTable[[#This Row],[RepsRequested]]&gt;1),DiscreteStatsTable[[#This Row],[HalfWidth]],DiscreteStatsTable[[#This Row],[BatchMeansHalfWidth]])</f>
        <v>6.0459854861332728E-2</v>
      </c>
      <c r="X489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131</v>
      </c>
      <c r="C490">
        <v>39</v>
      </c>
      <c r="D490" t="s">
        <v>83</v>
      </c>
      <c r="E490" t="s">
        <v>84</v>
      </c>
      <c r="F490" t="s">
        <v>85</v>
      </c>
      <c r="G490">
        <v>0.54738077604712698</v>
      </c>
      <c r="H490">
        <v>9.7247741518263403E-2</v>
      </c>
      <c r="I490">
        <v>0</v>
      </c>
      <c r="J490">
        <v>6.8680030951784898</v>
      </c>
      <c r="K490">
        <v>2402</v>
      </c>
      <c r="L490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90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cm="1">
        <f t="array" ref="N490">IFERROR(AVERAGE(IF((DiscreteStatsTable[GroupByKey]=DiscreteStatsTable[[#This Row],[GroupByKey]]),(DiscreteStatsTable[GroupByKey]=DiscreteStatsTable[[#This Row],[GroupByKey]])*DiscreteStatsTable[Average])),0)</f>
        <v>0.80539766231092458</v>
      </c>
      <c r="O490" cm="1">
        <f t="array" ref="O490">IFERROR(_xlfn.STDEV.S(IF((DiscreteStatsTable[GroupByKey]=DiscreteStatsTable[[#This Row],[GroupByKey]]),(DiscreteStatsTable[GroupByKey]=DiscreteStatsTable[[#This Row],[GroupByKey]])*DiscreteStatsTable[Average])),0)</f>
        <v>0.2127393519392447</v>
      </c>
      <c r="P490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90" cm="1">
        <f t="array" ref="R490">MIN(IF((DiscreteStatsTable[GroupByKey]=DiscreteStatsTable[[#This Row],[GroupByKey]]),(DiscreteStatsTable[GroupByKey]=DiscreteStatsTable[[#This Row],[GroupByKey]])*DiscreteStatsTable[Average]))</f>
        <v>0.51658298033119898</v>
      </c>
      <c r="S490" cm="1">
        <f t="array" ref="S490">MAX(IF((DiscreteStatsTable[GroupByKey]=DiscreteStatsTable[[#This Row],[GroupByKey]]),(DiscreteStatsTable[GroupByKey]=DiscreteStatsTable[[#This Row],[GroupByKey]])*DiscreteStatsTable[Average]))</f>
        <v>1.35362284384225</v>
      </c>
      <c r="T490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cm="1">
        <f t="array" ref="U490">MAX(IF((DiscreteStatsTable[GroupByKey]=DiscreteStatsTable[[#This Row],[GroupByKey]]),(DiscreteStatsTable[GroupByKey]=DiscreteStatsTable[[#This Row],[GroupByKey]])*DiscreteStatsTable[Maximum]))</f>
        <v>28.983199492767199</v>
      </c>
      <c r="V490" cm="1">
        <f t="array" ref="V490">IFERROR(AVERAGE(IF((DiscreteStatsTable[GroupByKey]=DiscreteStatsTable[[#This Row],[GroupByKey]]),(DiscreteStatsTable[GroupByKey]=DiscreteStatsTable[[#This Row],[GroupByKey]])*DiscreteStatsTable[NumberObservations])),0)</f>
        <v>2401.9</v>
      </c>
      <c r="W490">
        <f>IF((DiscreteStatsTable[[#This Row],[RepsRequested]]&gt;1),DiscreteStatsTable[[#This Row],[HalfWidth]],DiscreteStatsTable[[#This Row],[BatchMeansHalfWidth]])</f>
        <v>6.0459854861332728E-2</v>
      </c>
      <c r="X490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131</v>
      </c>
      <c r="C491">
        <v>40</v>
      </c>
      <c r="D491" t="s">
        <v>83</v>
      </c>
      <c r="E491" t="s">
        <v>84</v>
      </c>
      <c r="F491" t="s">
        <v>85</v>
      </c>
      <c r="G491">
        <v>0.63633402189139798</v>
      </c>
      <c r="H491">
        <v>3E+20</v>
      </c>
      <c r="I491">
        <v>0</v>
      </c>
      <c r="J491">
        <v>13.6593345275468</v>
      </c>
      <c r="K491">
        <v>2380</v>
      </c>
      <c r="L491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91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cm="1">
        <f t="array" ref="N491">IFERROR(AVERAGE(IF((DiscreteStatsTable[GroupByKey]=DiscreteStatsTable[[#This Row],[GroupByKey]]),(DiscreteStatsTable[GroupByKey]=DiscreteStatsTable[[#This Row],[GroupByKey]])*DiscreteStatsTable[Average])),0)</f>
        <v>0.80539766231092458</v>
      </c>
      <c r="O491" cm="1">
        <f t="array" ref="O491">IFERROR(_xlfn.STDEV.S(IF((DiscreteStatsTable[GroupByKey]=DiscreteStatsTable[[#This Row],[GroupByKey]]),(DiscreteStatsTable[GroupByKey]=DiscreteStatsTable[[#This Row],[GroupByKey]])*DiscreteStatsTable[Average])),0)</f>
        <v>0.2127393519392447</v>
      </c>
      <c r="P491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91" cm="1">
        <f t="array" ref="R491">MIN(IF((DiscreteStatsTable[GroupByKey]=DiscreteStatsTable[[#This Row],[GroupByKey]]),(DiscreteStatsTable[GroupByKey]=DiscreteStatsTable[[#This Row],[GroupByKey]])*DiscreteStatsTable[Average]))</f>
        <v>0.51658298033119898</v>
      </c>
      <c r="S491" cm="1">
        <f t="array" ref="S491">MAX(IF((DiscreteStatsTable[GroupByKey]=DiscreteStatsTable[[#This Row],[GroupByKey]]),(DiscreteStatsTable[GroupByKey]=DiscreteStatsTable[[#This Row],[GroupByKey]])*DiscreteStatsTable[Average]))</f>
        <v>1.35362284384225</v>
      </c>
      <c r="T491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cm="1">
        <f t="array" ref="U491">MAX(IF((DiscreteStatsTable[GroupByKey]=DiscreteStatsTable[[#This Row],[GroupByKey]]),(DiscreteStatsTable[GroupByKey]=DiscreteStatsTable[[#This Row],[GroupByKey]])*DiscreteStatsTable[Maximum]))</f>
        <v>28.983199492767199</v>
      </c>
      <c r="V491" cm="1">
        <f t="array" ref="V491">IFERROR(AVERAGE(IF((DiscreteStatsTable[GroupByKey]=DiscreteStatsTable[[#This Row],[GroupByKey]]),(DiscreteStatsTable[GroupByKey]=DiscreteStatsTable[[#This Row],[GroupByKey]])*DiscreteStatsTable[NumberObservations])),0)</f>
        <v>2401.9</v>
      </c>
      <c r="W491">
        <f>IF((DiscreteStatsTable[[#This Row],[RepsRequested]]&gt;1),DiscreteStatsTable[[#This Row],[HalfWidth]],DiscreteStatsTable[[#This Row],[BatchMeansHalfWidth]])</f>
        <v>6.0459854861332728E-2</v>
      </c>
      <c r="X491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131</v>
      </c>
      <c r="C492">
        <v>41</v>
      </c>
      <c r="D492" t="s">
        <v>83</v>
      </c>
      <c r="E492" t="s">
        <v>84</v>
      </c>
      <c r="F492" t="s">
        <v>85</v>
      </c>
      <c r="G492">
        <v>0.61845502974189503</v>
      </c>
      <c r="H492">
        <v>0.200015949697608</v>
      </c>
      <c r="I492">
        <v>0</v>
      </c>
      <c r="J492">
        <v>12.4475482909905</v>
      </c>
      <c r="K492">
        <v>2336</v>
      </c>
      <c r="L492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92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cm="1">
        <f t="array" ref="N492">IFERROR(AVERAGE(IF((DiscreteStatsTable[GroupByKey]=DiscreteStatsTable[[#This Row],[GroupByKey]]),(DiscreteStatsTable[GroupByKey]=DiscreteStatsTable[[#This Row],[GroupByKey]])*DiscreteStatsTable[Average])),0)</f>
        <v>0.80539766231092458</v>
      </c>
      <c r="O492" cm="1">
        <f t="array" ref="O492">IFERROR(_xlfn.STDEV.S(IF((DiscreteStatsTable[GroupByKey]=DiscreteStatsTable[[#This Row],[GroupByKey]]),(DiscreteStatsTable[GroupByKey]=DiscreteStatsTable[[#This Row],[GroupByKey]])*DiscreteStatsTable[Average])),0)</f>
        <v>0.2127393519392447</v>
      </c>
      <c r="P492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92" cm="1">
        <f t="array" ref="R492">MIN(IF((DiscreteStatsTable[GroupByKey]=DiscreteStatsTable[[#This Row],[GroupByKey]]),(DiscreteStatsTable[GroupByKey]=DiscreteStatsTable[[#This Row],[GroupByKey]])*DiscreteStatsTable[Average]))</f>
        <v>0.51658298033119898</v>
      </c>
      <c r="S492" cm="1">
        <f t="array" ref="S492">MAX(IF((DiscreteStatsTable[GroupByKey]=DiscreteStatsTable[[#This Row],[GroupByKey]]),(DiscreteStatsTable[GroupByKey]=DiscreteStatsTable[[#This Row],[GroupByKey]])*DiscreteStatsTable[Average]))</f>
        <v>1.35362284384225</v>
      </c>
      <c r="T492" cm="1">
        <f t="array" ref="T492">MIN(IF((DiscreteStatsTable[GroupByKey]=DiscreteStatsTable[[#This Row],[GroupByKey]]),(DiscreteStatsTable[GroupByKey]=DiscreteStatsTable[[#This Row],[GroupByKey]])*DiscreteStatsTable[Minimum]))</f>
        <v>0</v>
      </c>
      <c r="U492" cm="1">
        <f t="array" ref="U492">MAX(IF((DiscreteStatsTable[GroupByKey]=DiscreteStatsTable[[#This Row],[GroupByKey]]),(DiscreteStatsTable[GroupByKey]=DiscreteStatsTable[[#This Row],[GroupByKey]])*DiscreteStatsTable[Maximum]))</f>
        <v>28.983199492767199</v>
      </c>
      <c r="V492" cm="1">
        <f t="array" ref="V492">IFERROR(AVERAGE(IF((DiscreteStatsTable[GroupByKey]=DiscreteStatsTable[[#This Row],[GroupByKey]]),(DiscreteStatsTable[GroupByKey]=DiscreteStatsTable[[#This Row],[GroupByKey]])*DiscreteStatsTable[NumberObservations])),0)</f>
        <v>2401.9</v>
      </c>
      <c r="W492">
        <f>IF((DiscreteStatsTable[[#This Row],[RepsRequested]]&gt;1),DiscreteStatsTable[[#This Row],[HalfWidth]],DiscreteStatsTable[[#This Row],[BatchMeansHalfWidth]])</f>
        <v>6.0459854861332728E-2</v>
      </c>
      <c r="X492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131</v>
      </c>
      <c r="C493">
        <v>42</v>
      </c>
      <c r="D493" t="s">
        <v>83</v>
      </c>
      <c r="E493" t="s">
        <v>84</v>
      </c>
      <c r="F493" t="s">
        <v>85</v>
      </c>
      <c r="G493">
        <v>0.71667787055880905</v>
      </c>
      <c r="H493">
        <v>3E+20</v>
      </c>
      <c r="I493">
        <v>0</v>
      </c>
      <c r="J493">
        <v>15.103764369289699</v>
      </c>
      <c r="K493">
        <v>2423</v>
      </c>
      <c r="L493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93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cm="1">
        <f t="array" ref="N493">IFERROR(AVERAGE(IF((DiscreteStatsTable[GroupByKey]=DiscreteStatsTable[[#This Row],[GroupByKey]]),(DiscreteStatsTable[GroupByKey]=DiscreteStatsTable[[#This Row],[GroupByKey]])*DiscreteStatsTable[Average])),0)</f>
        <v>0.80539766231092458</v>
      </c>
      <c r="O493" cm="1">
        <f t="array" ref="O493">IFERROR(_xlfn.STDEV.S(IF((DiscreteStatsTable[GroupByKey]=DiscreteStatsTable[[#This Row],[GroupByKey]]),(DiscreteStatsTable[GroupByKey]=DiscreteStatsTable[[#This Row],[GroupByKey]])*DiscreteStatsTable[Average])),0)</f>
        <v>0.2127393519392447</v>
      </c>
      <c r="P493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93" cm="1">
        <f t="array" ref="R493">MIN(IF((DiscreteStatsTable[GroupByKey]=DiscreteStatsTable[[#This Row],[GroupByKey]]),(DiscreteStatsTable[GroupByKey]=DiscreteStatsTable[[#This Row],[GroupByKey]])*DiscreteStatsTable[Average]))</f>
        <v>0.51658298033119898</v>
      </c>
      <c r="S493" cm="1">
        <f t="array" ref="S493">MAX(IF((DiscreteStatsTable[GroupByKey]=DiscreteStatsTable[[#This Row],[GroupByKey]]),(DiscreteStatsTable[GroupByKey]=DiscreteStatsTable[[#This Row],[GroupByKey]])*DiscreteStatsTable[Average]))</f>
        <v>1.35362284384225</v>
      </c>
      <c r="T493" cm="1">
        <f t="array" ref="T493">MIN(IF((DiscreteStatsTable[GroupByKey]=DiscreteStatsTable[[#This Row],[GroupByKey]]),(DiscreteStatsTable[GroupByKey]=DiscreteStatsTable[[#This Row],[GroupByKey]])*DiscreteStatsTable[Minimum]))</f>
        <v>0</v>
      </c>
      <c r="U493" cm="1">
        <f t="array" ref="U493">MAX(IF((DiscreteStatsTable[GroupByKey]=DiscreteStatsTable[[#This Row],[GroupByKey]]),(DiscreteStatsTable[GroupByKey]=DiscreteStatsTable[[#This Row],[GroupByKey]])*DiscreteStatsTable[Maximum]))</f>
        <v>28.983199492767199</v>
      </c>
      <c r="V493" cm="1">
        <f t="array" ref="V493">IFERROR(AVERAGE(IF((DiscreteStatsTable[GroupByKey]=DiscreteStatsTable[[#This Row],[GroupByKey]]),(DiscreteStatsTable[GroupByKey]=DiscreteStatsTable[[#This Row],[GroupByKey]])*DiscreteStatsTable[NumberObservations])),0)</f>
        <v>2401.9</v>
      </c>
      <c r="W493">
        <f>IF((DiscreteStatsTable[[#This Row],[RepsRequested]]&gt;1),DiscreteStatsTable[[#This Row],[HalfWidth]],DiscreteStatsTable[[#This Row],[BatchMeansHalfWidth]])</f>
        <v>6.0459854861332728E-2</v>
      </c>
      <c r="X493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131</v>
      </c>
      <c r="C494">
        <v>43</v>
      </c>
      <c r="D494" t="s">
        <v>83</v>
      </c>
      <c r="E494" t="s">
        <v>84</v>
      </c>
      <c r="F494" t="s">
        <v>85</v>
      </c>
      <c r="G494">
        <v>0.71810708079209096</v>
      </c>
      <c r="H494">
        <v>3E+20</v>
      </c>
      <c r="I494">
        <v>0</v>
      </c>
      <c r="J494">
        <v>12.795156442757699</v>
      </c>
      <c r="K494">
        <v>2363</v>
      </c>
      <c r="L494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94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cm="1">
        <f t="array" ref="N494">IFERROR(AVERAGE(IF((DiscreteStatsTable[GroupByKey]=DiscreteStatsTable[[#This Row],[GroupByKey]]),(DiscreteStatsTable[GroupByKey]=DiscreteStatsTable[[#This Row],[GroupByKey]])*DiscreteStatsTable[Average])),0)</f>
        <v>0.80539766231092458</v>
      </c>
      <c r="O494" cm="1">
        <f t="array" ref="O494">IFERROR(_xlfn.STDEV.S(IF((DiscreteStatsTable[GroupByKey]=DiscreteStatsTable[[#This Row],[GroupByKey]]),(DiscreteStatsTable[GroupByKey]=DiscreteStatsTable[[#This Row],[GroupByKey]])*DiscreteStatsTable[Average])),0)</f>
        <v>0.2127393519392447</v>
      </c>
      <c r="P494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94" cm="1">
        <f t="array" ref="R494">MIN(IF((DiscreteStatsTable[GroupByKey]=DiscreteStatsTable[[#This Row],[GroupByKey]]),(DiscreteStatsTable[GroupByKey]=DiscreteStatsTable[[#This Row],[GroupByKey]])*DiscreteStatsTable[Average]))</f>
        <v>0.51658298033119898</v>
      </c>
      <c r="S494" cm="1">
        <f t="array" ref="S494">MAX(IF((DiscreteStatsTable[GroupByKey]=DiscreteStatsTable[[#This Row],[GroupByKey]]),(DiscreteStatsTable[GroupByKey]=DiscreteStatsTable[[#This Row],[GroupByKey]])*DiscreteStatsTable[Average]))</f>
        <v>1.35362284384225</v>
      </c>
      <c r="T494" cm="1">
        <f t="array" ref="T494">MIN(IF((DiscreteStatsTable[GroupByKey]=DiscreteStatsTable[[#This Row],[GroupByKey]]),(DiscreteStatsTable[GroupByKey]=DiscreteStatsTable[[#This Row],[GroupByKey]])*DiscreteStatsTable[Minimum]))</f>
        <v>0</v>
      </c>
      <c r="U494" cm="1">
        <f t="array" ref="U494">MAX(IF((DiscreteStatsTable[GroupByKey]=DiscreteStatsTable[[#This Row],[GroupByKey]]),(DiscreteStatsTable[GroupByKey]=DiscreteStatsTable[[#This Row],[GroupByKey]])*DiscreteStatsTable[Maximum]))</f>
        <v>28.983199492767199</v>
      </c>
      <c r="V494" cm="1">
        <f t="array" ref="V494">IFERROR(AVERAGE(IF((DiscreteStatsTable[GroupByKey]=DiscreteStatsTable[[#This Row],[GroupByKey]]),(DiscreteStatsTable[GroupByKey]=DiscreteStatsTable[[#This Row],[GroupByKey]])*DiscreteStatsTable[NumberObservations])),0)</f>
        <v>2401.9</v>
      </c>
      <c r="W494">
        <f>IF((DiscreteStatsTable[[#This Row],[RepsRequested]]&gt;1),DiscreteStatsTable[[#This Row],[HalfWidth]],DiscreteStatsTable[[#This Row],[BatchMeansHalfWidth]])</f>
        <v>6.0459854861332728E-2</v>
      </c>
      <c r="X494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131</v>
      </c>
      <c r="C495">
        <v>44</v>
      </c>
      <c r="D495" t="s">
        <v>83</v>
      </c>
      <c r="E495" t="s">
        <v>84</v>
      </c>
      <c r="F495" t="s">
        <v>85</v>
      </c>
      <c r="G495">
        <v>0.57391708433746702</v>
      </c>
      <c r="H495">
        <v>0.14653585227291799</v>
      </c>
      <c r="I495">
        <v>0</v>
      </c>
      <c r="J495">
        <v>10.036848257655</v>
      </c>
      <c r="K495">
        <v>2341</v>
      </c>
      <c r="L495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9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cm="1">
        <f t="array" ref="N495">IFERROR(AVERAGE(IF((DiscreteStatsTable[GroupByKey]=DiscreteStatsTable[[#This Row],[GroupByKey]]),(DiscreteStatsTable[GroupByKey]=DiscreteStatsTable[[#This Row],[GroupByKey]])*DiscreteStatsTable[Average])),0)</f>
        <v>0.80539766231092458</v>
      </c>
      <c r="O495" cm="1">
        <f t="array" ref="O495">IFERROR(_xlfn.STDEV.S(IF((DiscreteStatsTable[GroupByKey]=DiscreteStatsTable[[#This Row],[GroupByKey]]),(DiscreteStatsTable[GroupByKey]=DiscreteStatsTable[[#This Row],[GroupByKey]])*DiscreteStatsTable[Average])),0)</f>
        <v>0.2127393519392447</v>
      </c>
      <c r="P49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95" cm="1">
        <f t="array" ref="R495">MIN(IF((DiscreteStatsTable[GroupByKey]=DiscreteStatsTable[[#This Row],[GroupByKey]]),(DiscreteStatsTable[GroupByKey]=DiscreteStatsTable[[#This Row],[GroupByKey]])*DiscreteStatsTable[Average]))</f>
        <v>0.51658298033119898</v>
      </c>
      <c r="S495" cm="1">
        <f t="array" ref="S495">MAX(IF((DiscreteStatsTable[GroupByKey]=DiscreteStatsTable[[#This Row],[GroupByKey]]),(DiscreteStatsTable[GroupByKey]=DiscreteStatsTable[[#This Row],[GroupByKey]])*DiscreteStatsTable[Average]))</f>
        <v>1.35362284384225</v>
      </c>
      <c r="T495" cm="1">
        <f t="array" ref="T495">MIN(IF((DiscreteStatsTable[GroupByKey]=DiscreteStatsTable[[#This Row],[GroupByKey]]),(DiscreteStatsTable[GroupByKey]=DiscreteStatsTable[[#This Row],[GroupByKey]])*DiscreteStatsTable[Minimum]))</f>
        <v>0</v>
      </c>
      <c r="U495" cm="1">
        <f t="array" ref="U495">MAX(IF((DiscreteStatsTable[GroupByKey]=DiscreteStatsTable[[#This Row],[GroupByKey]]),(DiscreteStatsTable[GroupByKey]=DiscreteStatsTable[[#This Row],[GroupByKey]])*DiscreteStatsTable[Maximum]))</f>
        <v>28.983199492767199</v>
      </c>
      <c r="V495" cm="1">
        <f t="array" ref="V495">IFERROR(AVERAGE(IF((DiscreteStatsTable[GroupByKey]=DiscreteStatsTable[[#This Row],[GroupByKey]]),(DiscreteStatsTable[GroupByKey]=DiscreteStatsTable[[#This Row],[GroupByKey]])*DiscreteStatsTable[NumberObservations])),0)</f>
        <v>2401.9</v>
      </c>
      <c r="W495">
        <f>IF((DiscreteStatsTable[[#This Row],[RepsRequested]]&gt;1),DiscreteStatsTable[[#This Row],[HalfWidth]],DiscreteStatsTable[[#This Row],[BatchMeansHalfWidth]])</f>
        <v>6.0459854861332728E-2</v>
      </c>
      <c r="X49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131</v>
      </c>
      <c r="C496">
        <v>45</v>
      </c>
      <c r="D496" t="s">
        <v>83</v>
      </c>
      <c r="E496" t="s">
        <v>84</v>
      </c>
      <c r="F496" t="s">
        <v>85</v>
      </c>
      <c r="G496">
        <v>0.715710430450332</v>
      </c>
      <c r="H496">
        <v>0.209833775510995</v>
      </c>
      <c r="I496">
        <v>0</v>
      </c>
      <c r="J496">
        <v>10.736648954708899</v>
      </c>
      <c r="K496">
        <v>2434</v>
      </c>
      <c r="L496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96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cm="1">
        <f t="array" ref="N496">IFERROR(AVERAGE(IF((DiscreteStatsTable[GroupByKey]=DiscreteStatsTable[[#This Row],[GroupByKey]]),(DiscreteStatsTable[GroupByKey]=DiscreteStatsTable[[#This Row],[GroupByKey]])*DiscreteStatsTable[Average])),0)</f>
        <v>0.80539766231092458</v>
      </c>
      <c r="O496" cm="1">
        <f t="array" ref="O496">IFERROR(_xlfn.STDEV.S(IF((DiscreteStatsTable[GroupByKey]=DiscreteStatsTable[[#This Row],[GroupByKey]]),(DiscreteStatsTable[GroupByKey]=DiscreteStatsTable[[#This Row],[GroupByKey]])*DiscreteStatsTable[Average])),0)</f>
        <v>0.2127393519392447</v>
      </c>
      <c r="P496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96" cm="1">
        <f t="array" ref="R496">MIN(IF((DiscreteStatsTable[GroupByKey]=DiscreteStatsTable[[#This Row],[GroupByKey]]),(DiscreteStatsTable[GroupByKey]=DiscreteStatsTable[[#This Row],[GroupByKey]])*DiscreteStatsTable[Average]))</f>
        <v>0.51658298033119898</v>
      </c>
      <c r="S496" cm="1">
        <f t="array" ref="S496">MAX(IF((DiscreteStatsTable[GroupByKey]=DiscreteStatsTable[[#This Row],[GroupByKey]]),(DiscreteStatsTable[GroupByKey]=DiscreteStatsTable[[#This Row],[GroupByKey]])*DiscreteStatsTable[Average]))</f>
        <v>1.35362284384225</v>
      </c>
      <c r="T496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cm="1">
        <f t="array" ref="U496">MAX(IF((DiscreteStatsTable[GroupByKey]=DiscreteStatsTable[[#This Row],[GroupByKey]]),(DiscreteStatsTable[GroupByKey]=DiscreteStatsTable[[#This Row],[GroupByKey]])*DiscreteStatsTable[Maximum]))</f>
        <v>28.983199492767199</v>
      </c>
      <c r="V496" cm="1">
        <f t="array" ref="V496">IFERROR(AVERAGE(IF((DiscreteStatsTable[GroupByKey]=DiscreteStatsTable[[#This Row],[GroupByKey]]),(DiscreteStatsTable[GroupByKey]=DiscreteStatsTable[[#This Row],[GroupByKey]])*DiscreteStatsTable[NumberObservations])),0)</f>
        <v>2401.9</v>
      </c>
      <c r="W496">
        <f>IF((DiscreteStatsTable[[#This Row],[RepsRequested]]&gt;1),DiscreteStatsTable[[#This Row],[HalfWidth]],DiscreteStatsTable[[#This Row],[BatchMeansHalfWidth]])</f>
        <v>6.0459854861332728E-2</v>
      </c>
      <c r="X496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131</v>
      </c>
      <c r="C497">
        <v>46</v>
      </c>
      <c r="D497" t="s">
        <v>83</v>
      </c>
      <c r="E497" t="s">
        <v>84</v>
      </c>
      <c r="F497" t="s">
        <v>85</v>
      </c>
      <c r="G497">
        <v>0.80564655366523896</v>
      </c>
      <c r="H497">
        <v>3E+20</v>
      </c>
      <c r="I497">
        <v>0</v>
      </c>
      <c r="J497">
        <v>12.5134906635228</v>
      </c>
      <c r="K497">
        <v>2429</v>
      </c>
      <c r="L497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97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cm="1">
        <f t="array" ref="N497">IFERROR(AVERAGE(IF((DiscreteStatsTable[GroupByKey]=DiscreteStatsTable[[#This Row],[GroupByKey]]),(DiscreteStatsTable[GroupByKey]=DiscreteStatsTable[[#This Row],[GroupByKey]])*DiscreteStatsTable[Average])),0)</f>
        <v>0.80539766231092458</v>
      </c>
      <c r="O497" cm="1">
        <f t="array" ref="O497">IFERROR(_xlfn.STDEV.S(IF((DiscreteStatsTable[GroupByKey]=DiscreteStatsTable[[#This Row],[GroupByKey]]),(DiscreteStatsTable[GroupByKey]=DiscreteStatsTable[[#This Row],[GroupByKey]])*DiscreteStatsTable[Average])),0)</f>
        <v>0.2127393519392447</v>
      </c>
      <c r="P497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97" cm="1">
        <f t="array" ref="R497">MIN(IF((DiscreteStatsTable[GroupByKey]=DiscreteStatsTable[[#This Row],[GroupByKey]]),(DiscreteStatsTable[GroupByKey]=DiscreteStatsTable[[#This Row],[GroupByKey]])*DiscreteStatsTable[Average]))</f>
        <v>0.51658298033119898</v>
      </c>
      <c r="S497" cm="1">
        <f t="array" ref="S497">MAX(IF((DiscreteStatsTable[GroupByKey]=DiscreteStatsTable[[#This Row],[GroupByKey]]),(DiscreteStatsTable[GroupByKey]=DiscreteStatsTable[[#This Row],[GroupByKey]])*DiscreteStatsTable[Average]))</f>
        <v>1.35362284384225</v>
      </c>
      <c r="T497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cm="1">
        <f t="array" ref="U497">MAX(IF((DiscreteStatsTable[GroupByKey]=DiscreteStatsTable[[#This Row],[GroupByKey]]),(DiscreteStatsTable[GroupByKey]=DiscreteStatsTable[[#This Row],[GroupByKey]])*DiscreteStatsTable[Maximum]))</f>
        <v>28.983199492767199</v>
      </c>
      <c r="V497" cm="1">
        <f t="array" ref="V497">IFERROR(AVERAGE(IF((DiscreteStatsTable[GroupByKey]=DiscreteStatsTable[[#This Row],[GroupByKey]]),(DiscreteStatsTable[GroupByKey]=DiscreteStatsTable[[#This Row],[GroupByKey]])*DiscreteStatsTable[NumberObservations])),0)</f>
        <v>2401.9</v>
      </c>
      <c r="W497">
        <f>IF((DiscreteStatsTable[[#This Row],[RepsRequested]]&gt;1),DiscreteStatsTable[[#This Row],[HalfWidth]],DiscreteStatsTable[[#This Row],[BatchMeansHalfWidth]])</f>
        <v>6.0459854861332728E-2</v>
      </c>
      <c r="X497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131</v>
      </c>
      <c r="C498">
        <v>47</v>
      </c>
      <c r="D498" t="s">
        <v>83</v>
      </c>
      <c r="E498" t="s">
        <v>84</v>
      </c>
      <c r="F498" t="s">
        <v>85</v>
      </c>
      <c r="G498">
        <v>0.97184437862664697</v>
      </c>
      <c r="H498">
        <v>3E+20</v>
      </c>
      <c r="I498">
        <v>0</v>
      </c>
      <c r="J498">
        <v>23.894291668634001</v>
      </c>
      <c r="K498">
        <v>2452</v>
      </c>
      <c r="L498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98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cm="1">
        <f t="array" ref="N498">IFERROR(AVERAGE(IF((DiscreteStatsTable[GroupByKey]=DiscreteStatsTable[[#This Row],[GroupByKey]]),(DiscreteStatsTable[GroupByKey]=DiscreteStatsTable[[#This Row],[GroupByKey]])*DiscreteStatsTable[Average])),0)</f>
        <v>0.80539766231092458</v>
      </c>
      <c r="O498" cm="1">
        <f t="array" ref="O498">IFERROR(_xlfn.STDEV.S(IF((DiscreteStatsTable[GroupByKey]=DiscreteStatsTable[[#This Row],[GroupByKey]]),(DiscreteStatsTable[GroupByKey]=DiscreteStatsTable[[#This Row],[GroupByKey]])*DiscreteStatsTable[Average])),0)</f>
        <v>0.2127393519392447</v>
      </c>
      <c r="P498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98" cm="1">
        <f t="array" ref="R498">MIN(IF((DiscreteStatsTable[GroupByKey]=DiscreteStatsTable[[#This Row],[GroupByKey]]),(DiscreteStatsTable[GroupByKey]=DiscreteStatsTable[[#This Row],[GroupByKey]])*DiscreteStatsTable[Average]))</f>
        <v>0.51658298033119898</v>
      </c>
      <c r="S498" cm="1">
        <f t="array" ref="S498">MAX(IF((DiscreteStatsTable[GroupByKey]=DiscreteStatsTable[[#This Row],[GroupByKey]]),(DiscreteStatsTable[GroupByKey]=DiscreteStatsTable[[#This Row],[GroupByKey]])*DiscreteStatsTable[Average]))</f>
        <v>1.35362284384225</v>
      </c>
      <c r="T498" cm="1">
        <f t="array" ref="T498">MIN(IF((DiscreteStatsTable[GroupByKey]=DiscreteStatsTable[[#This Row],[GroupByKey]]),(DiscreteStatsTable[GroupByKey]=DiscreteStatsTable[[#This Row],[GroupByKey]])*DiscreteStatsTable[Minimum]))</f>
        <v>0</v>
      </c>
      <c r="U498" cm="1">
        <f t="array" ref="U498">MAX(IF((DiscreteStatsTable[GroupByKey]=DiscreteStatsTable[[#This Row],[GroupByKey]]),(DiscreteStatsTable[GroupByKey]=DiscreteStatsTable[[#This Row],[GroupByKey]])*DiscreteStatsTable[Maximum]))</f>
        <v>28.983199492767199</v>
      </c>
      <c r="V498" cm="1">
        <f t="array" ref="V498">IFERROR(AVERAGE(IF((DiscreteStatsTable[GroupByKey]=DiscreteStatsTable[[#This Row],[GroupByKey]]),(DiscreteStatsTable[GroupByKey]=DiscreteStatsTable[[#This Row],[GroupByKey]])*DiscreteStatsTable[NumberObservations])),0)</f>
        <v>2401.9</v>
      </c>
      <c r="W498">
        <f>IF((DiscreteStatsTable[[#This Row],[RepsRequested]]&gt;1),DiscreteStatsTable[[#This Row],[HalfWidth]],DiscreteStatsTable[[#This Row],[BatchMeansHalfWidth]])</f>
        <v>6.0459854861332728E-2</v>
      </c>
      <c r="X498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131</v>
      </c>
      <c r="C499">
        <v>48</v>
      </c>
      <c r="D499" t="s">
        <v>83</v>
      </c>
      <c r="E499" t="s">
        <v>84</v>
      </c>
      <c r="F499" t="s">
        <v>85</v>
      </c>
      <c r="G499">
        <v>0.635897221843164</v>
      </c>
      <c r="H499">
        <v>0.219173177239397</v>
      </c>
      <c r="I499">
        <v>0</v>
      </c>
      <c r="J499">
        <v>14.424010074673401</v>
      </c>
      <c r="K499">
        <v>2415</v>
      </c>
      <c r="L499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499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cm="1">
        <f t="array" ref="N499">IFERROR(AVERAGE(IF((DiscreteStatsTable[GroupByKey]=DiscreteStatsTable[[#This Row],[GroupByKey]]),(DiscreteStatsTable[GroupByKey]=DiscreteStatsTable[[#This Row],[GroupByKey]])*DiscreteStatsTable[Average])),0)</f>
        <v>0.80539766231092458</v>
      </c>
      <c r="O499" cm="1">
        <f t="array" ref="O499">IFERROR(_xlfn.STDEV.S(IF((DiscreteStatsTable[GroupByKey]=DiscreteStatsTable[[#This Row],[GroupByKey]]),(DiscreteStatsTable[GroupByKey]=DiscreteStatsTable[[#This Row],[GroupByKey]])*DiscreteStatsTable[Average])),0)</f>
        <v>0.2127393519392447</v>
      </c>
      <c r="P499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499" cm="1">
        <f t="array" ref="R499">MIN(IF((DiscreteStatsTable[GroupByKey]=DiscreteStatsTable[[#This Row],[GroupByKey]]),(DiscreteStatsTable[GroupByKey]=DiscreteStatsTable[[#This Row],[GroupByKey]])*DiscreteStatsTable[Average]))</f>
        <v>0.51658298033119898</v>
      </c>
      <c r="S499" cm="1">
        <f t="array" ref="S499">MAX(IF((DiscreteStatsTable[GroupByKey]=DiscreteStatsTable[[#This Row],[GroupByKey]]),(DiscreteStatsTable[GroupByKey]=DiscreteStatsTable[[#This Row],[GroupByKey]])*DiscreteStatsTable[Average]))</f>
        <v>1.35362284384225</v>
      </c>
      <c r="T499" cm="1">
        <f t="array" ref="T499">MIN(IF((DiscreteStatsTable[GroupByKey]=DiscreteStatsTable[[#This Row],[GroupByKey]]),(DiscreteStatsTable[GroupByKey]=DiscreteStatsTable[[#This Row],[GroupByKey]])*DiscreteStatsTable[Minimum]))</f>
        <v>0</v>
      </c>
      <c r="U499" cm="1">
        <f t="array" ref="U499">MAX(IF((DiscreteStatsTable[GroupByKey]=DiscreteStatsTable[[#This Row],[GroupByKey]]),(DiscreteStatsTable[GroupByKey]=DiscreteStatsTable[[#This Row],[GroupByKey]])*DiscreteStatsTable[Maximum]))</f>
        <v>28.983199492767199</v>
      </c>
      <c r="V499" cm="1">
        <f t="array" ref="V499">IFERROR(AVERAGE(IF((DiscreteStatsTable[GroupByKey]=DiscreteStatsTable[[#This Row],[GroupByKey]]),(DiscreteStatsTable[GroupByKey]=DiscreteStatsTable[[#This Row],[GroupByKey]])*DiscreteStatsTable[NumberObservations])),0)</f>
        <v>2401.9</v>
      </c>
      <c r="W499">
        <f>IF((DiscreteStatsTable[[#This Row],[RepsRequested]]&gt;1),DiscreteStatsTable[[#This Row],[HalfWidth]],DiscreteStatsTable[[#This Row],[BatchMeansHalfWidth]])</f>
        <v>6.0459854861332728E-2</v>
      </c>
      <c r="X499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131</v>
      </c>
      <c r="C500">
        <v>49</v>
      </c>
      <c r="D500" t="s">
        <v>83</v>
      </c>
      <c r="E500" t="s">
        <v>84</v>
      </c>
      <c r="F500" t="s">
        <v>85</v>
      </c>
      <c r="G500">
        <v>0.72592172313497905</v>
      </c>
      <c r="H500">
        <v>0.20537226618222401</v>
      </c>
      <c r="I500">
        <v>0</v>
      </c>
      <c r="J500">
        <v>11.8312658329769</v>
      </c>
      <c r="K500">
        <v>2387</v>
      </c>
      <c r="L500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500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cm="1">
        <f t="array" ref="N500">IFERROR(AVERAGE(IF((DiscreteStatsTable[GroupByKey]=DiscreteStatsTable[[#This Row],[GroupByKey]]),(DiscreteStatsTable[GroupByKey]=DiscreteStatsTable[[#This Row],[GroupByKey]])*DiscreteStatsTable[Average])),0)</f>
        <v>0.80539766231092458</v>
      </c>
      <c r="O500" cm="1">
        <f t="array" ref="O500">IFERROR(_xlfn.STDEV.S(IF((DiscreteStatsTable[GroupByKey]=DiscreteStatsTable[[#This Row],[GroupByKey]]),(DiscreteStatsTable[GroupByKey]=DiscreteStatsTable[[#This Row],[GroupByKey]])*DiscreteStatsTable[Average])),0)</f>
        <v>0.2127393519392447</v>
      </c>
      <c r="P500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500" cm="1">
        <f t="array" ref="R500">MIN(IF((DiscreteStatsTable[GroupByKey]=DiscreteStatsTable[[#This Row],[GroupByKey]]),(DiscreteStatsTable[GroupByKey]=DiscreteStatsTable[[#This Row],[GroupByKey]])*DiscreteStatsTable[Average]))</f>
        <v>0.51658298033119898</v>
      </c>
      <c r="S500" cm="1">
        <f t="array" ref="S500">MAX(IF((DiscreteStatsTable[GroupByKey]=DiscreteStatsTable[[#This Row],[GroupByKey]]),(DiscreteStatsTable[GroupByKey]=DiscreteStatsTable[[#This Row],[GroupByKey]])*DiscreteStatsTable[Average]))</f>
        <v>1.35362284384225</v>
      </c>
      <c r="T500" cm="1">
        <f t="array" ref="T500">MIN(IF((DiscreteStatsTable[GroupByKey]=DiscreteStatsTable[[#This Row],[GroupByKey]]),(DiscreteStatsTable[GroupByKey]=DiscreteStatsTable[[#This Row],[GroupByKey]])*DiscreteStatsTable[Minimum]))</f>
        <v>0</v>
      </c>
      <c r="U500" cm="1">
        <f t="array" ref="U500">MAX(IF((DiscreteStatsTable[GroupByKey]=DiscreteStatsTable[[#This Row],[GroupByKey]]),(DiscreteStatsTable[GroupByKey]=DiscreteStatsTable[[#This Row],[GroupByKey]])*DiscreteStatsTable[Maximum]))</f>
        <v>28.983199492767199</v>
      </c>
      <c r="V500" cm="1">
        <f t="array" ref="V500">IFERROR(AVERAGE(IF((DiscreteStatsTable[GroupByKey]=DiscreteStatsTable[[#This Row],[GroupByKey]]),(DiscreteStatsTable[GroupByKey]=DiscreteStatsTable[[#This Row],[GroupByKey]])*DiscreteStatsTable[NumberObservations])),0)</f>
        <v>2401.9</v>
      </c>
      <c r="W500">
        <f>IF((DiscreteStatsTable[[#This Row],[RepsRequested]]&gt;1),DiscreteStatsTable[[#This Row],[HalfWidth]],DiscreteStatsTable[[#This Row],[BatchMeansHalfWidth]])</f>
        <v>6.0459854861332728E-2</v>
      </c>
      <c r="X500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131</v>
      </c>
      <c r="C501">
        <v>50</v>
      </c>
      <c r="D501" t="s">
        <v>83</v>
      </c>
      <c r="E501" t="s">
        <v>84</v>
      </c>
      <c r="F501" t="s">
        <v>85</v>
      </c>
      <c r="G501">
        <v>1.07244422746461</v>
      </c>
      <c r="H501">
        <v>3E+20</v>
      </c>
      <c r="I501">
        <v>0</v>
      </c>
      <c r="J501">
        <v>18.6682802403873</v>
      </c>
      <c r="K501">
        <v>2433</v>
      </c>
      <c r="L501" t="str">
        <f>DiscreteStatsTable[[#This Row],[ProjectName]]&amp;DiscreteStatsTable[[#This Row],[Name]]&amp;DiscreteStatsTable[[#This Row],[Type]]&amp;DiscreteStatsTable[[#This Row],[Source]]</f>
        <v>PacientesProcess 2.QueueWaiting TimeQueue</v>
      </c>
      <c r="M501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cm="1">
        <f t="array" ref="N501">IFERROR(AVERAGE(IF((DiscreteStatsTable[GroupByKey]=DiscreteStatsTable[[#This Row],[GroupByKey]]),(DiscreteStatsTable[GroupByKey]=DiscreteStatsTable[[#This Row],[GroupByKey]])*DiscreteStatsTable[Average])),0)</f>
        <v>0.80539766231092458</v>
      </c>
      <c r="O501" cm="1">
        <f t="array" ref="O501">IFERROR(_xlfn.STDEV.S(IF((DiscreteStatsTable[GroupByKey]=DiscreteStatsTable[[#This Row],[GroupByKey]]),(DiscreteStatsTable[GroupByKey]=DiscreteStatsTable[[#This Row],[GroupByKey]])*DiscreteStatsTable[Average])),0)</f>
        <v>0.2127393519392447</v>
      </c>
      <c r="P501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6.0459854861332728E-2</v>
      </c>
      <c r="R501" cm="1">
        <f t="array" ref="R501">MIN(IF((DiscreteStatsTable[GroupByKey]=DiscreteStatsTable[[#This Row],[GroupByKey]]),(DiscreteStatsTable[GroupByKey]=DiscreteStatsTable[[#This Row],[GroupByKey]])*DiscreteStatsTable[Average]))</f>
        <v>0.51658298033119898</v>
      </c>
      <c r="S501" cm="1">
        <f t="array" ref="S501">MAX(IF((DiscreteStatsTable[GroupByKey]=DiscreteStatsTable[[#This Row],[GroupByKey]]),(DiscreteStatsTable[GroupByKey]=DiscreteStatsTable[[#This Row],[GroupByKey]])*DiscreteStatsTable[Average]))</f>
        <v>1.35362284384225</v>
      </c>
      <c r="T501" cm="1">
        <f t="array" ref="T501">MIN(IF((DiscreteStatsTable[GroupByKey]=DiscreteStatsTable[[#This Row],[GroupByKey]]),(DiscreteStatsTable[GroupByKey]=DiscreteStatsTable[[#This Row],[GroupByKey]])*DiscreteStatsTable[Minimum]))</f>
        <v>0</v>
      </c>
      <c r="U501" cm="1">
        <f t="array" ref="U501">MAX(IF((DiscreteStatsTable[GroupByKey]=DiscreteStatsTable[[#This Row],[GroupByKey]]),(DiscreteStatsTable[GroupByKey]=DiscreteStatsTable[[#This Row],[GroupByKey]])*DiscreteStatsTable[Maximum]))</f>
        <v>28.983199492767199</v>
      </c>
      <c r="V501" cm="1">
        <f t="array" ref="V501">IFERROR(AVERAGE(IF((DiscreteStatsTable[GroupByKey]=DiscreteStatsTable[[#This Row],[GroupByKey]]),(DiscreteStatsTable[GroupByKey]=DiscreteStatsTable[[#This Row],[GroupByKey]])*DiscreteStatsTable[NumberObservations])),0)</f>
        <v>2401.9</v>
      </c>
      <c r="W501">
        <f>IF((DiscreteStatsTable[[#This Row],[RepsRequested]]&gt;1),DiscreteStatsTable[[#This Row],[HalfWidth]],DiscreteStatsTable[[#This Row],[BatchMeansHalfWidth]])</f>
        <v>6.0459854861332728E-2</v>
      </c>
      <c r="X501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131</v>
      </c>
      <c r="C502">
        <v>1</v>
      </c>
      <c r="D502" t="s">
        <v>86</v>
      </c>
      <c r="E502" t="s">
        <v>79</v>
      </c>
      <c r="F502" t="s">
        <v>80</v>
      </c>
      <c r="G502">
        <v>0.217026927371366</v>
      </c>
      <c r="H502">
        <v>1.16556042925006E-2</v>
      </c>
      <c r="I502">
        <v>0.100086427460894</v>
      </c>
      <c r="J502">
        <v>1.1581003970189001</v>
      </c>
      <c r="K502">
        <v>2273</v>
      </c>
      <c r="L502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02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cm="1">
        <f t="array" ref="N502">IFERROR(AVERAGE(IF((DiscreteStatsTable[GroupByKey]=DiscreteStatsTable[[#This Row],[GroupByKey]]),(DiscreteStatsTable[GroupByKey]=DiscreteStatsTable[[#This Row],[GroupByKey]])*DiscreteStatsTable[Average])),0)</f>
        <v>0.21815512979204044</v>
      </c>
      <c r="O502" cm="1">
        <f t="array" ref="O502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02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02" cm="1">
        <f t="array" ref="R502">MIN(IF((DiscreteStatsTable[GroupByKey]=DiscreteStatsTable[[#This Row],[GroupByKey]]),(DiscreteStatsTable[GroupByKey]=DiscreteStatsTable[[#This Row],[GroupByKey]])*DiscreteStatsTable[Average]))</f>
        <v>0.204996218905765</v>
      </c>
      <c r="S502" cm="1">
        <f t="array" ref="S502">MAX(IF((DiscreteStatsTable[GroupByKey]=DiscreteStatsTable[[#This Row],[GroupByKey]]),(DiscreteStatsTable[GroupByKey]=DiscreteStatsTable[[#This Row],[GroupByKey]])*DiscreteStatsTable[Average]))</f>
        <v>0.22907589413377599</v>
      </c>
      <c r="T502" cm="1">
        <f t="array" ref="T502">MIN(IF((DiscreteStatsTable[GroupByKey]=DiscreteStatsTable[[#This Row],[GroupByKey]]),(DiscreteStatsTable[GroupByKey]=DiscreteStatsTable[[#This Row],[GroupByKey]])*DiscreteStatsTable[Minimum]))</f>
        <v>0.100000577163883</v>
      </c>
      <c r="U502" cm="1">
        <f t="array" ref="U502">MAX(IF((DiscreteStatsTable[GroupByKey]=DiscreteStatsTable[[#This Row],[GroupByKey]]),(DiscreteStatsTable[GroupByKey]=DiscreteStatsTable[[#This Row],[GroupByKey]])*DiscreteStatsTable[Maximum]))</f>
        <v>1.41452080991047</v>
      </c>
      <c r="V502" cm="1">
        <f t="array" ref="V502">IFERROR(AVERAGE(IF((DiscreteStatsTable[GroupByKey]=DiscreteStatsTable[[#This Row],[GroupByKey]]),(DiscreteStatsTable[GroupByKey]=DiscreteStatsTable[[#This Row],[GroupByKey]])*DiscreteStatsTable[NumberObservations])),0)</f>
        <v>2262.66</v>
      </c>
      <c r="W502">
        <f>IF((DiscreteStatsTable[[#This Row],[RepsRequested]]&gt;1),DiscreteStatsTable[[#This Row],[HalfWidth]],DiscreteStatsTable[[#This Row],[BatchMeansHalfWidth]])</f>
        <v>1.3927091897695423E-3</v>
      </c>
      <c r="X502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131</v>
      </c>
      <c r="C503">
        <v>1</v>
      </c>
      <c r="D503" t="s">
        <v>86</v>
      </c>
      <c r="E503" t="s">
        <v>81</v>
      </c>
      <c r="F503" t="s">
        <v>80</v>
      </c>
      <c r="G503">
        <v>0.14945321014229501</v>
      </c>
      <c r="H503">
        <v>9.9969251376637899E-4</v>
      </c>
      <c r="I503">
        <v>0.100086427460894</v>
      </c>
      <c r="J503">
        <v>0.19993172171194801</v>
      </c>
      <c r="K503">
        <v>2273</v>
      </c>
      <c r="L503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03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cm="1">
        <f t="array" ref="N503">IFERROR(AVERAGE(IF((DiscreteStatsTable[GroupByKey]=DiscreteStatsTable[[#This Row],[GroupByKey]]),(DiscreteStatsTable[GroupByKey]=DiscreteStatsTable[[#This Row],[GroupByKey]])*DiscreteStatsTable[Average])),0)</f>
        <v>0.15006283793025285</v>
      </c>
      <c r="O503" cm="1">
        <f t="array" ref="O503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03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03" cm="1">
        <f t="array" ref="R503">MIN(IF((DiscreteStatsTable[GroupByKey]=DiscreteStatsTable[[#This Row],[GroupByKey]]),(DiscreteStatsTable[GroupByKey]=DiscreteStatsTable[[#This Row],[GroupByKey]])*DiscreteStatsTable[Average]))</f>
        <v>0.14863412830584499</v>
      </c>
      <c r="S503" cm="1">
        <f t="array" ref="S503">MAX(IF((DiscreteStatsTable[GroupByKey]=DiscreteStatsTable[[#This Row],[GroupByKey]]),(DiscreteStatsTable[GroupByKey]=DiscreteStatsTable[[#This Row],[GroupByKey]])*DiscreteStatsTable[Average]))</f>
        <v>0.151606291486265</v>
      </c>
      <c r="T503" cm="1">
        <f t="array" ref="T503">MIN(IF((DiscreteStatsTable[GroupByKey]=DiscreteStatsTable[[#This Row],[GroupByKey]]),(DiscreteStatsTable[GroupByKey]=DiscreteStatsTable[[#This Row],[GroupByKey]])*DiscreteStatsTable[Minimum]))</f>
        <v>0.100000577163883</v>
      </c>
      <c r="U503" cm="1">
        <f t="array" ref="U503">MAX(IF((DiscreteStatsTable[GroupByKey]=DiscreteStatsTable[[#This Row],[GroupByKey]]),(DiscreteStatsTable[GroupByKey]=DiscreteStatsTable[[#This Row],[GroupByKey]])*DiscreteStatsTable[Maximum]))</f>
        <v>0.19999993084929499</v>
      </c>
      <c r="V503" cm="1">
        <f t="array" ref="V503">IFERROR(AVERAGE(IF((DiscreteStatsTable[GroupByKey]=DiscreteStatsTable[[#This Row],[GroupByKey]]),(DiscreteStatsTable[GroupByKey]=DiscreteStatsTable[[#This Row],[GroupByKey]])*DiscreteStatsTable[NumberObservations])),0)</f>
        <v>2262.66</v>
      </c>
      <c r="W503">
        <f>IF((DiscreteStatsTable[[#This Row],[RepsRequested]]&gt;1),DiscreteStatsTable[[#This Row],[HalfWidth]],DiscreteStatsTable[[#This Row],[BatchMeansHalfWidth]])</f>
        <v>1.7015423667850204E-4</v>
      </c>
      <c r="X503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131</v>
      </c>
      <c r="C504">
        <v>1</v>
      </c>
      <c r="D504" t="s">
        <v>86</v>
      </c>
      <c r="E504" t="s">
        <v>82</v>
      </c>
      <c r="F504" t="s">
        <v>80</v>
      </c>
      <c r="G504">
        <v>6.7573717229070795E-2</v>
      </c>
      <c r="H504">
        <v>1.15330201428595E-2</v>
      </c>
      <c r="I504">
        <v>0</v>
      </c>
      <c r="J504">
        <v>1.02693100144771</v>
      </c>
      <c r="K504">
        <v>2273</v>
      </c>
      <c r="L504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04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cm="1">
        <f t="array" ref="N504">IFERROR(AVERAGE(IF((DiscreteStatsTable[GroupByKey]=DiscreteStatsTable[[#This Row],[GroupByKey]]),(DiscreteStatsTable[GroupByKey]=DiscreteStatsTable[[#This Row],[GroupByKey]])*DiscreteStatsTable[Average])),0)</f>
        <v>6.8092291861787557E-2</v>
      </c>
      <c r="O504" cm="1">
        <f t="array" ref="O504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04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04" cm="1">
        <f t="array" ref="R504">MIN(IF((DiscreteStatsTable[GroupByKey]=DiscreteStatsTable[[#This Row],[GroupByKey]]),(DiscreteStatsTable[GroupByKey]=DiscreteStatsTable[[#This Row],[GroupByKey]])*DiscreteStatsTable[Average]))</f>
        <v>5.591228067423E-2</v>
      </c>
      <c r="S504" cm="1">
        <f t="array" ref="S504">MAX(IF((DiscreteStatsTable[GroupByKey]=DiscreteStatsTable[[#This Row],[GroupByKey]]),(DiscreteStatsTable[GroupByKey]=DiscreteStatsTable[[#This Row],[GroupByKey]])*DiscreteStatsTable[Average]))</f>
        <v>7.8817469083508104E-2</v>
      </c>
      <c r="T504" cm="1">
        <f t="array" ref="T504">MIN(IF((DiscreteStatsTable[GroupByKey]=DiscreteStatsTable[[#This Row],[GroupByKey]]),(DiscreteStatsTable[GroupByKey]=DiscreteStatsTable[[#This Row],[GroupByKey]])*DiscreteStatsTable[Minimum]))</f>
        <v>0</v>
      </c>
      <c r="U504" cm="1">
        <f t="array" ref="U504">MAX(IF((DiscreteStatsTable[GroupByKey]=DiscreteStatsTable[[#This Row],[GroupByKey]]),(DiscreteStatsTable[GroupByKey]=DiscreteStatsTable[[#This Row],[GroupByKey]])*DiscreteStatsTable[Maximum]))</f>
        <v>1.2170108122512</v>
      </c>
      <c r="V504" cm="1">
        <f t="array" ref="V504">IFERROR(AVERAGE(IF((DiscreteStatsTable[GroupByKey]=DiscreteStatsTable[[#This Row],[GroupByKey]]),(DiscreteStatsTable[GroupByKey]=DiscreteStatsTable[[#This Row],[GroupByKey]])*DiscreteStatsTable[NumberObservations])),0)</f>
        <v>2262.66</v>
      </c>
      <c r="W504">
        <f>IF((DiscreteStatsTable[[#This Row],[RepsRequested]]&gt;1),DiscreteStatsTable[[#This Row],[HalfWidth]],DiscreteStatsTable[[#This Row],[BatchMeansHalfWidth]])</f>
        <v>1.3221720552995685E-3</v>
      </c>
      <c r="X504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131</v>
      </c>
      <c r="C505">
        <v>2</v>
      </c>
      <c r="D505" t="s">
        <v>86</v>
      </c>
      <c r="E505" t="s">
        <v>79</v>
      </c>
      <c r="F505" t="s">
        <v>80</v>
      </c>
      <c r="G505">
        <v>0.21416998452316599</v>
      </c>
      <c r="H505">
        <v>8.4753002713491999E-3</v>
      </c>
      <c r="I505">
        <v>0.100144671679118</v>
      </c>
      <c r="J505">
        <v>0.69238610113165999</v>
      </c>
      <c r="K505">
        <v>2280</v>
      </c>
      <c r="L505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0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cm="1">
        <f t="array" ref="N505">IFERROR(AVERAGE(IF((DiscreteStatsTable[GroupByKey]=DiscreteStatsTable[[#This Row],[GroupByKey]]),(DiscreteStatsTable[GroupByKey]=DiscreteStatsTable[[#This Row],[GroupByKey]])*DiscreteStatsTable[Average])),0)</f>
        <v>0.21815512979204044</v>
      </c>
      <c r="O505" cm="1">
        <f t="array" ref="O505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0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05" cm="1">
        <f t="array" ref="R505">MIN(IF((DiscreteStatsTable[GroupByKey]=DiscreteStatsTable[[#This Row],[GroupByKey]]),(DiscreteStatsTable[GroupByKey]=DiscreteStatsTable[[#This Row],[GroupByKey]])*DiscreteStatsTable[Average]))</f>
        <v>0.204996218905765</v>
      </c>
      <c r="S505" cm="1">
        <f t="array" ref="S505">MAX(IF((DiscreteStatsTable[GroupByKey]=DiscreteStatsTable[[#This Row],[GroupByKey]]),(DiscreteStatsTable[GroupByKey]=DiscreteStatsTable[[#This Row],[GroupByKey]])*DiscreteStatsTable[Average]))</f>
        <v>0.22907589413377599</v>
      </c>
      <c r="T505" cm="1">
        <f t="array" ref="T505">MIN(IF((DiscreteStatsTable[GroupByKey]=DiscreteStatsTable[[#This Row],[GroupByKey]]),(DiscreteStatsTable[GroupByKey]=DiscreteStatsTable[[#This Row],[GroupByKey]])*DiscreteStatsTable[Minimum]))</f>
        <v>0.100000577163883</v>
      </c>
      <c r="U505" cm="1">
        <f t="array" ref="U505">MAX(IF((DiscreteStatsTable[GroupByKey]=DiscreteStatsTable[[#This Row],[GroupByKey]]),(DiscreteStatsTable[GroupByKey]=DiscreteStatsTable[[#This Row],[GroupByKey]])*DiscreteStatsTable[Maximum]))</f>
        <v>1.41452080991047</v>
      </c>
      <c r="V505" cm="1">
        <f t="array" ref="V505">IFERROR(AVERAGE(IF((DiscreteStatsTable[GroupByKey]=DiscreteStatsTable[[#This Row],[GroupByKey]]),(DiscreteStatsTable[GroupByKey]=DiscreteStatsTable[[#This Row],[GroupByKey]])*DiscreteStatsTable[NumberObservations])),0)</f>
        <v>2262.66</v>
      </c>
      <c r="W505">
        <f>IF((DiscreteStatsTable[[#This Row],[RepsRequested]]&gt;1),DiscreteStatsTable[[#This Row],[HalfWidth]],DiscreteStatsTable[[#This Row],[BatchMeansHalfWidth]])</f>
        <v>1.3927091897695423E-3</v>
      </c>
      <c r="X50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131</v>
      </c>
      <c r="C506">
        <v>2</v>
      </c>
      <c r="D506" t="s">
        <v>86</v>
      </c>
      <c r="E506" t="s">
        <v>81</v>
      </c>
      <c r="F506" t="s">
        <v>80</v>
      </c>
      <c r="G506">
        <v>0.14969960623357001</v>
      </c>
      <c r="H506">
        <v>1.4411964704666999E-3</v>
      </c>
      <c r="I506">
        <v>0.100010975311079</v>
      </c>
      <c r="J506">
        <v>0.19995964758368201</v>
      </c>
      <c r="K506">
        <v>2280</v>
      </c>
      <c r="L506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06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cm="1">
        <f t="array" ref="N506">IFERROR(AVERAGE(IF((DiscreteStatsTable[GroupByKey]=DiscreteStatsTable[[#This Row],[GroupByKey]]),(DiscreteStatsTable[GroupByKey]=DiscreteStatsTable[[#This Row],[GroupByKey]])*DiscreteStatsTable[Average])),0)</f>
        <v>0.15006283793025285</v>
      </c>
      <c r="O506" cm="1">
        <f t="array" ref="O506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06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06" cm="1">
        <f t="array" ref="R506">MIN(IF((DiscreteStatsTable[GroupByKey]=DiscreteStatsTable[[#This Row],[GroupByKey]]),(DiscreteStatsTable[GroupByKey]=DiscreteStatsTable[[#This Row],[GroupByKey]])*DiscreteStatsTable[Average]))</f>
        <v>0.14863412830584499</v>
      </c>
      <c r="S506" cm="1">
        <f t="array" ref="S506">MAX(IF((DiscreteStatsTable[GroupByKey]=DiscreteStatsTable[[#This Row],[GroupByKey]]),(DiscreteStatsTable[GroupByKey]=DiscreteStatsTable[[#This Row],[GroupByKey]])*DiscreteStatsTable[Average]))</f>
        <v>0.151606291486265</v>
      </c>
      <c r="T506" cm="1">
        <f t="array" ref="T506">MIN(IF((DiscreteStatsTable[GroupByKey]=DiscreteStatsTable[[#This Row],[GroupByKey]]),(DiscreteStatsTable[GroupByKey]=DiscreteStatsTable[[#This Row],[GroupByKey]])*DiscreteStatsTable[Minimum]))</f>
        <v>0.100000577163883</v>
      </c>
      <c r="U506" cm="1">
        <f t="array" ref="U506">MAX(IF((DiscreteStatsTable[GroupByKey]=DiscreteStatsTable[[#This Row],[GroupByKey]]),(DiscreteStatsTable[GroupByKey]=DiscreteStatsTable[[#This Row],[GroupByKey]])*DiscreteStatsTable[Maximum]))</f>
        <v>0.19999993084929499</v>
      </c>
      <c r="V506" cm="1">
        <f t="array" ref="V506">IFERROR(AVERAGE(IF((DiscreteStatsTable[GroupByKey]=DiscreteStatsTable[[#This Row],[GroupByKey]]),(DiscreteStatsTable[GroupByKey]=DiscreteStatsTable[[#This Row],[GroupByKey]])*DiscreteStatsTable[NumberObservations])),0)</f>
        <v>2262.66</v>
      </c>
      <c r="W506">
        <f>IF((DiscreteStatsTable[[#This Row],[RepsRequested]]&gt;1),DiscreteStatsTable[[#This Row],[HalfWidth]],DiscreteStatsTable[[#This Row],[BatchMeansHalfWidth]])</f>
        <v>1.7015423667850204E-4</v>
      </c>
      <c r="X506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131</v>
      </c>
      <c r="C507">
        <v>2</v>
      </c>
      <c r="D507" t="s">
        <v>86</v>
      </c>
      <c r="E507" t="s">
        <v>82</v>
      </c>
      <c r="F507" t="s">
        <v>80</v>
      </c>
      <c r="G507">
        <v>6.4470378289596106E-2</v>
      </c>
      <c r="H507">
        <v>7.8499405028640001E-3</v>
      </c>
      <c r="I507">
        <v>0</v>
      </c>
      <c r="J507">
        <v>0.53847934231134797</v>
      </c>
      <c r="K507">
        <v>2280</v>
      </c>
      <c r="L507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07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cm="1">
        <f t="array" ref="N507">IFERROR(AVERAGE(IF((DiscreteStatsTable[GroupByKey]=DiscreteStatsTable[[#This Row],[GroupByKey]]),(DiscreteStatsTable[GroupByKey]=DiscreteStatsTable[[#This Row],[GroupByKey]])*DiscreteStatsTable[Average])),0)</f>
        <v>6.8092291861787557E-2</v>
      </c>
      <c r="O507" cm="1">
        <f t="array" ref="O507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07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07" cm="1">
        <f t="array" ref="R507">MIN(IF((DiscreteStatsTable[GroupByKey]=DiscreteStatsTable[[#This Row],[GroupByKey]]),(DiscreteStatsTable[GroupByKey]=DiscreteStatsTable[[#This Row],[GroupByKey]])*DiscreteStatsTable[Average]))</f>
        <v>5.591228067423E-2</v>
      </c>
      <c r="S507" cm="1">
        <f t="array" ref="S507">MAX(IF((DiscreteStatsTable[GroupByKey]=DiscreteStatsTable[[#This Row],[GroupByKey]]),(DiscreteStatsTable[GroupByKey]=DiscreteStatsTable[[#This Row],[GroupByKey]])*DiscreteStatsTable[Average]))</f>
        <v>7.8817469083508104E-2</v>
      </c>
      <c r="T507" cm="1">
        <f t="array" ref="T507">MIN(IF((DiscreteStatsTable[GroupByKey]=DiscreteStatsTable[[#This Row],[GroupByKey]]),(DiscreteStatsTable[GroupByKey]=DiscreteStatsTable[[#This Row],[GroupByKey]])*DiscreteStatsTable[Minimum]))</f>
        <v>0</v>
      </c>
      <c r="U507" cm="1">
        <f t="array" ref="U507">MAX(IF((DiscreteStatsTable[GroupByKey]=DiscreteStatsTable[[#This Row],[GroupByKey]]),(DiscreteStatsTable[GroupByKey]=DiscreteStatsTable[[#This Row],[GroupByKey]])*DiscreteStatsTable[Maximum]))</f>
        <v>1.2170108122512</v>
      </c>
      <c r="V507" cm="1">
        <f t="array" ref="V507">IFERROR(AVERAGE(IF((DiscreteStatsTable[GroupByKey]=DiscreteStatsTable[[#This Row],[GroupByKey]]),(DiscreteStatsTable[GroupByKey]=DiscreteStatsTable[[#This Row],[GroupByKey]])*DiscreteStatsTable[NumberObservations])),0)</f>
        <v>2262.66</v>
      </c>
      <c r="W507">
        <f>IF((DiscreteStatsTable[[#This Row],[RepsRequested]]&gt;1),DiscreteStatsTable[[#This Row],[HalfWidth]],DiscreteStatsTable[[#This Row],[BatchMeansHalfWidth]])</f>
        <v>1.3221720552995685E-3</v>
      </c>
      <c r="X507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131</v>
      </c>
      <c r="C508">
        <v>3</v>
      </c>
      <c r="D508" t="s">
        <v>86</v>
      </c>
      <c r="E508" t="s">
        <v>79</v>
      </c>
      <c r="F508" t="s">
        <v>80</v>
      </c>
      <c r="G508">
        <v>0.204996218905765</v>
      </c>
      <c r="H508">
        <v>6.9949626063962999E-3</v>
      </c>
      <c r="I508">
        <v>0.10001262009666299</v>
      </c>
      <c r="J508">
        <v>0.78083206549599604</v>
      </c>
      <c r="K508">
        <v>2216</v>
      </c>
      <c r="L508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08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cm="1">
        <f t="array" ref="N508">IFERROR(AVERAGE(IF((DiscreteStatsTable[GroupByKey]=DiscreteStatsTable[[#This Row],[GroupByKey]]),(DiscreteStatsTable[GroupByKey]=DiscreteStatsTable[[#This Row],[GroupByKey]])*DiscreteStatsTable[Average])),0)</f>
        <v>0.21815512979204044</v>
      </c>
      <c r="O508" cm="1">
        <f t="array" ref="O508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08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08" cm="1">
        <f t="array" ref="R508">MIN(IF((DiscreteStatsTable[GroupByKey]=DiscreteStatsTable[[#This Row],[GroupByKey]]),(DiscreteStatsTable[GroupByKey]=DiscreteStatsTable[[#This Row],[GroupByKey]])*DiscreteStatsTable[Average]))</f>
        <v>0.204996218905765</v>
      </c>
      <c r="S508" cm="1">
        <f t="array" ref="S508">MAX(IF((DiscreteStatsTable[GroupByKey]=DiscreteStatsTable[[#This Row],[GroupByKey]]),(DiscreteStatsTable[GroupByKey]=DiscreteStatsTable[[#This Row],[GroupByKey]])*DiscreteStatsTable[Average]))</f>
        <v>0.22907589413377599</v>
      </c>
      <c r="T508" cm="1">
        <f t="array" ref="T508">MIN(IF((DiscreteStatsTable[GroupByKey]=DiscreteStatsTable[[#This Row],[GroupByKey]]),(DiscreteStatsTable[GroupByKey]=DiscreteStatsTable[[#This Row],[GroupByKey]])*DiscreteStatsTable[Minimum]))</f>
        <v>0.100000577163883</v>
      </c>
      <c r="U508" cm="1">
        <f t="array" ref="U508">MAX(IF((DiscreteStatsTable[GroupByKey]=DiscreteStatsTable[[#This Row],[GroupByKey]]),(DiscreteStatsTable[GroupByKey]=DiscreteStatsTable[[#This Row],[GroupByKey]])*DiscreteStatsTable[Maximum]))</f>
        <v>1.41452080991047</v>
      </c>
      <c r="V508" cm="1">
        <f t="array" ref="V508">IFERROR(AVERAGE(IF((DiscreteStatsTable[GroupByKey]=DiscreteStatsTable[[#This Row],[GroupByKey]]),(DiscreteStatsTable[GroupByKey]=DiscreteStatsTable[[#This Row],[GroupByKey]])*DiscreteStatsTable[NumberObservations])),0)</f>
        <v>2262.66</v>
      </c>
      <c r="W508">
        <f>IF((DiscreteStatsTable[[#This Row],[RepsRequested]]&gt;1),DiscreteStatsTable[[#This Row],[HalfWidth]],DiscreteStatsTable[[#This Row],[BatchMeansHalfWidth]])</f>
        <v>1.3927091897695423E-3</v>
      </c>
      <c r="X508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131</v>
      </c>
      <c r="C509">
        <v>3</v>
      </c>
      <c r="D509" t="s">
        <v>86</v>
      </c>
      <c r="E509" t="s">
        <v>81</v>
      </c>
      <c r="F509" t="s">
        <v>80</v>
      </c>
      <c r="G509">
        <v>0.14908393823153501</v>
      </c>
      <c r="H509">
        <v>1.19953888881872E-3</v>
      </c>
      <c r="I509">
        <v>0.10001262009666299</v>
      </c>
      <c r="J509">
        <v>0.19989683357496599</v>
      </c>
      <c r="K509">
        <v>2216</v>
      </c>
      <c r="L509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09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cm="1">
        <f t="array" ref="N509">IFERROR(AVERAGE(IF((DiscreteStatsTable[GroupByKey]=DiscreteStatsTable[[#This Row],[GroupByKey]]),(DiscreteStatsTable[GroupByKey]=DiscreteStatsTable[[#This Row],[GroupByKey]])*DiscreteStatsTable[Average])),0)</f>
        <v>0.15006283793025285</v>
      </c>
      <c r="O509" cm="1">
        <f t="array" ref="O509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09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09" cm="1">
        <f t="array" ref="R509">MIN(IF((DiscreteStatsTable[GroupByKey]=DiscreteStatsTable[[#This Row],[GroupByKey]]),(DiscreteStatsTable[GroupByKey]=DiscreteStatsTable[[#This Row],[GroupByKey]])*DiscreteStatsTable[Average]))</f>
        <v>0.14863412830584499</v>
      </c>
      <c r="S509" cm="1">
        <f t="array" ref="S509">MAX(IF((DiscreteStatsTable[GroupByKey]=DiscreteStatsTable[[#This Row],[GroupByKey]]),(DiscreteStatsTable[GroupByKey]=DiscreteStatsTable[[#This Row],[GroupByKey]])*DiscreteStatsTable[Average]))</f>
        <v>0.151606291486265</v>
      </c>
      <c r="T509" cm="1">
        <f t="array" ref="T509">MIN(IF((DiscreteStatsTable[GroupByKey]=DiscreteStatsTable[[#This Row],[GroupByKey]]),(DiscreteStatsTable[GroupByKey]=DiscreteStatsTable[[#This Row],[GroupByKey]])*DiscreteStatsTable[Minimum]))</f>
        <v>0.100000577163883</v>
      </c>
      <c r="U509" cm="1">
        <f t="array" ref="U509">MAX(IF((DiscreteStatsTable[GroupByKey]=DiscreteStatsTable[[#This Row],[GroupByKey]]),(DiscreteStatsTable[GroupByKey]=DiscreteStatsTable[[#This Row],[GroupByKey]])*DiscreteStatsTable[Maximum]))</f>
        <v>0.19999993084929499</v>
      </c>
      <c r="V509" cm="1">
        <f t="array" ref="V509">IFERROR(AVERAGE(IF((DiscreteStatsTable[GroupByKey]=DiscreteStatsTable[[#This Row],[GroupByKey]]),(DiscreteStatsTable[GroupByKey]=DiscreteStatsTable[[#This Row],[GroupByKey]])*DiscreteStatsTable[NumberObservations])),0)</f>
        <v>2262.66</v>
      </c>
      <c r="W509">
        <f>IF((DiscreteStatsTable[[#This Row],[RepsRequested]]&gt;1),DiscreteStatsTable[[#This Row],[HalfWidth]],DiscreteStatsTable[[#This Row],[BatchMeansHalfWidth]])</f>
        <v>1.7015423667850204E-4</v>
      </c>
      <c r="X509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131</v>
      </c>
      <c r="C510">
        <v>3</v>
      </c>
      <c r="D510" t="s">
        <v>86</v>
      </c>
      <c r="E510" t="s">
        <v>82</v>
      </c>
      <c r="F510" t="s">
        <v>80</v>
      </c>
      <c r="G510">
        <v>5.591228067423E-2</v>
      </c>
      <c r="H510">
        <v>6.6923641798625E-3</v>
      </c>
      <c r="I510">
        <v>0</v>
      </c>
      <c r="J510">
        <v>0.60456890138667896</v>
      </c>
      <c r="K510">
        <v>2216</v>
      </c>
      <c r="L510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10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cm="1">
        <f t="array" ref="N510">IFERROR(AVERAGE(IF((DiscreteStatsTable[GroupByKey]=DiscreteStatsTable[[#This Row],[GroupByKey]]),(DiscreteStatsTable[GroupByKey]=DiscreteStatsTable[[#This Row],[GroupByKey]])*DiscreteStatsTable[Average])),0)</f>
        <v>6.8092291861787557E-2</v>
      </c>
      <c r="O510" cm="1">
        <f t="array" ref="O510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10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10" cm="1">
        <f t="array" ref="R510">MIN(IF((DiscreteStatsTable[GroupByKey]=DiscreteStatsTable[[#This Row],[GroupByKey]]),(DiscreteStatsTable[GroupByKey]=DiscreteStatsTable[[#This Row],[GroupByKey]])*DiscreteStatsTable[Average]))</f>
        <v>5.591228067423E-2</v>
      </c>
      <c r="S510" cm="1">
        <f t="array" ref="S510">MAX(IF((DiscreteStatsTable[GroupByKey]=DiscreteStatsTable[[#This Row],[GroupByKey]]),(DiscreteStatsTable[GroupByKey]=DiscreteStatsTable[[#This Row],[GroupByKey]])*DiscreteStatsTable[Average]))</f>
        <v>7.8817469083508104E-2</v>
      </c>
      <c r="T510" cm="1">
        <f t="array" ref="T510">MIN(IF((DiscreteStatsTable[GroupByKey]=DiscreteStatsTable[[#This Row],[GroupByKey]]),(DiscreteStatsTable[GroupByKey]=DiscreteStatsTable[[#This Row],[GroupByKey]])*DiscreteStatsTable[Minimum]))</f>
        <v>0</v>
      </c>
      <c r="U510" cm="1">
        <f t="array" ref="U510">MAX(IF((DiscreteStatsTable[GroupByKey]=DiscreteStatsTable[[#This Row],[GroupByKey]]),(DiscreteStatsTable[GroupByKey]=DiscreteStatsTable[[#This Row],[GroupByKey]])*DiscreteStatsTable[Maximum]))</f>
        <v>1.2170108122512</v>
      </c>
      <c r="V510" cm="1">
        <f t="array" ref="V510">IFERROR(AVERAGE(IF((DiscreteStatsTable[GroupByKey]=DiscreteStatsTable[[#This Row],[GroupByKey]]),(DiscreteStatsTable[GroupByKey]=DiscreteStatsTable[[#This Row],[GroupByKey]])*DiscreteStatsTable[NumberObservations])),0)</f>
        <v>2262.66</v>
      </c>
      <c r="W510">
        <f>IF((DiscreteStatsTable[[#This Row],[RepsRequested]]&gt;1),DiscreteStatsTable[[#This Row],[HalfWidth]],DiscreteStatsTable[[#This Row],[BatchMeansHalfWidth]])</f>
        <v>1.3221720552995685E-3</v>
      </c>
      <c r="X510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131</v>
      </c>
      <c r="C511">
        <v>4</v>
      </c>
      <c r="D511" t="s">
        <v>86</v>
      </c>
      <c r="E511" t="s">
        <v>79</v>
      </c>
      <c r="F511" t="s">
        <v>80</v>
      </c>
      <c r="G511">
        <v>0.212346211757828</v>
      </c>
      <c r="H511">
        <v>8.7247232778707804E-3</v>
      </c>
      <c r="I511">
        <v>0.10003203370298799</v>
      </c>
      <c r="J511">
        <v>0.820923664478585</v>
      </c>
      <c r="K511">
        <v>2230</v>
      </c>
      <c r="L511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11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cm="1">
        <f t="array" ref="N511">IFERROR(AVERAGE(IF((DiscreteStatsTable[GroupByKey]=DiscreteStatsTable[[#This Row],[GroupByKey]]),(DiscreteStatsTable[GroupByKey]=DiscreteStatsTable[[#This Row],[GroupByKey]])*DiscreteStatsTable[Average])),0)</f>
        <v>0.21815512979204044</v>
      </c>
      <c r="O511" cm="1">
        <f t="array" ref="O511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11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11" cm="1">
        <f t="array" ref="R511">MIN(IF((DiscreteStatsTable[GroupByKey]=DiscreteStatsTable[[#This Row],[GroupByKey]]),(DiscreteStatsTable[GroupByKey]=DiscreteStatsTable[[#This Row],[GroupByKey]])*DiscreteStatsTable[Average]))</f>
        <v>0.204996218905765</v>
      </c>
      <c r="S511" cm="1">
        <f t="array" ref="S511">MAX(IF((DiscreteStatsTable[GroupByKey]=DiscreteStatsTable[[#This Row],[GroupByKey]]),(DiscreteStatsTable[GroupByKey]=DiscreteStatsTable[[#This Row],[GroupByKey]])*DiscreteStatsTable[Average]))</f>
        <v>0.22907589413377599</v>
      </c>
      <c r="T511" cm="1">
        <f t="array" ref="T511">MIN(IF((DiscreteStatsTable[GroupByKey]=DiscreteStatsTable[[#This Row],[GroupByKey]]),(DiscreteStatsTable[GroupByKey]=DiscreteStatsTable[[#This Row],[GroupByKey]])*DiscreteStatsTable[Minimum]))</f>
        <v>0.100000577163883</v>
      </c>
      <c r="U511" cm="1">
        <f t="array" ref="U511">MAX(IF((DiscreteStatsTable[GroupByKey]=DiscreteStatsTable[[#This Row],[GroupByKey]]),(DiscreteStatsTable[GroupByKey]=DiscreteStatsTable[[#This Row],[GroupByKey]])*DiscreteStatsTable[Maximum]))</f>
        <v>1.41452080991047</v>
      </c>
      <c r="V511" cm="1">
        <f t="array" ref="V511">IFERROR(AVERAGE(IF((DiscreteStatsTable[GroupByKey]=DiscreteStatsTable[[#This Row],[GroupByKey]]),(DiscreteStatsTable[GroupByKey]=DiscreteStatsTable[[#This Row],[GroupByKey]])*DiscreteStatsTable[NumberObservations])),0)</f>
        <v>2262.66</v>
      </c>
      <c r="W511">
        <f>IF((DiscreteStatsTable[[#This Row],[RepsRequested]]&gt;1),DiscreteStatsTable[[#This Row],[HalfWidth]],DiscreteStatsTable[[#This Row],[BatchMeansHalfWidth]])</f>
        <v>1.3927091897695423E-3</v>
      </c>
      <c r="X511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131</v>
      </c>
      <c r="C512">
        <v>4</v>
      </c>
      <c r="D512" t="s">
        <v>86</v>
      </c>
      <c r="E512" t="s">
        <v>81</v>
      </c>
      <c r="F512" t="s">
        <v>80</v>
      </c>
      <c r="G512">
        <v>0.14966729789900701</v>
      </c>
      <c r="H512">
        <v>3E+20</v>
      </c>
      <c r="I512">
        <v>0.10003203370298799</v>
      </c>
      <c r="J512">
        <v>0.19997057036818</v>
      </c>
      <c r="K512">
        <v>2230</v>
      </c>
      <c r="L512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12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cm="1">
        <f t="array" ref="N512">IFERROR(AVERAGE(IF((DiscreteStatsTable[GroupByKey]=DiscreteStatsTable[[#This Row],[GroupByKey]]),(DiscreteStatsTable[GroupByKey]=DiscreteStatsTable[[#This Row],[GroupByKey]])*DiscreteStatsTable[Average])),0)</f>
        <v>0.15006283793025285</v>
      </c>
      <c r="O512" cm="1">
        <f t="array" ref="O512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12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12" cm="1">
        <f t="array" ref="R512">MIN(IF((DiscreteStatsTable[GroupByKey]=DiscreteStatsTable[[#This Row],[GroupByKey]]),(DiscreteStatsTable[GroupByKey]=DiscreteStatsTable[[#This Row],[GroupByKey]])*DiscreteStatsTable[Average]))</f>
        <v>0.14863412830584499</v>
      </c>
      <c r="S512" cm="1">
        <f t="array" ref="S512">MAX(IF((DiscreteStatsTable[GroupByKey]=DiscreteStatsTable[[#This Row],[GroupByKey]]),(DiscreteStatsTable[GroupByKey]=DiscreteStatsTable[[#This Row],[GroupByKey]])*DiscreteStatsTable[Average]))</f>
        <v>0.151606291486265</v>
      </c>
      <c r="T512" cm="1">
        <f t="array" ref="T512">MIN(IF((DiscreteStatsTable[GroupByKey]=DiscreteStatsTable[[#This Row],[GroupByKey]]),(DiscreteStatsTable[GroupByKey]=DiscreteStatsTable[[#This Row],[GroupByKey]])*DiscreteStatsTable[Minimum]))</f>
        <v>0.100000577163883</v>
      </c>
      <c r="U512" cm="1">
        <f t="array" ref="U512">MAX(IF((DiscreteStatsTable[GroupByKey]=DiscreteStatsTable[[#This Row],[GroupByKey]]),(DiscreteStatsTable[GroupByKey]=DiscreteStatsTable[[#This Row],[GroupByKey]])*DiscreteStatsTable[Maximum]))</f>
        <v>0.19999993084929499</v>
      </c>
      <c r="V512" cm="1">
        <f t="array" ref="V512">IFERROR(AVERAGE(IF((DiscreteStatsTable[GroupByKey]=DiscreteStatsTable[[#This Row],[GroupByKey]]),(DiscreteStatsTable[GroupByKey]=DiscreteStatsTable[[#This Row],[GroupByKey]])*DiscreteStatsTable[NumberObservations])),0)</f>
        <v>2262.66</v>
      </c>
      <c r="W512">
        <f>IF((DiscreteStatsTable[[#This Row],[RepsRequested]]&gt;1),DiscreteStatsTable[[#This Row],[HalfWidth]],DiscreteStatsTable[[#This Row],[BatchMeansHalfWidth]])</f>
        <v>1.7015423667850204E-4</v>
      </c>
      <c r="X512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131</v>
      </c>
      <c r="C513">
        <v>4</v>
      </c>
      <c r="D513" t="s">
        <v>86</v>
      </c>
      <c r="E513" t="s">
        <v>82</v>
      </c>
      <c r="F513" t="s">
        <v>80</v>
      </c>
      <c r="G513">
        <v>6.26789138588216E-2</v>
      </c>
      <c r="H513">
        <v>8.3178778207005696E-3</v>
      </c>
      <c r="I513">
        <v>0</v>
      </c>
      <c r="J513">
        <v>0.65232100428784201</v>
      </c>
      <c r="K513">
        <v>2230</v>
      </c>
      <c r="L513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13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cm="1">
        <f t="array" ref="N513">IFERROR(AVERAGE(IF((DiscreteStatsTable[GroupByKey]=DiscreteStatsTable[[#This Row],[GroupByKey]]),(DiscreteStatsTable[GroupByKey]=DiscreteStatsTable[[#This Row],[GroupByKey]])*DiscreteStatsTable[Average])),0)</f>
        <v>6.8092291861787557E-2</v>
      </c>
      <c r="O513" cm="1">
        <f t="array" ref="O513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13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13" cm="1">
        <f t="array" ref="R513">MIN(IF((DiscreteStatsTable[GroupByKey]=DiscreteStatsTable[[#This Row],[GroupByKey]]),(DiscreteStatsTable[GroupByKey]=DiscreteStatsTable[[#This Row],[GroupByKey]])*DiscreteStatsTable[Average]))</f>
        <v>5.591228067423E-2</v>
      </c>
      <c r="S513" cm="1">
        <f t="array" ref="S513">MAX(IF((DiscreteStatsTable[GroupByKey]=DiscreteStatsTable[[#This Row],[GroupByKey]]),(DiscreteStatsTable[GroupByKey]=DiscreteStatsTable[[#This Row],[GroupByKey]])*DiscreteStatsTable[Average]))</f>
        <v>7.8817469083508104E-2</v>
      </c>
      <c r="T513" cm="1">
        <f t="array" ref="T513">MIN(IF((DiscreteStatsTable[GroupByKey]=DiscreteStatsTable[[#This Row],[GroupByKey]]),(DiscreteStatsTable[GroupByKey]=DiscreteStatsTable[[#This Row],[GroupByKey]])*DiscreteStatsTable[Minimum]))</f>
        <v>0</v>
      </c>
      <c r="U513" cm="1">
        <f t="array" ref="U513">MAX(IF((DiscreteStatsTable[GroupByKey]=DiscreteStatsTable[[#This Row],[GroupByKey]]),(DiscreteStatsTable[GroupByKey]=DiscreteStatsTable[[#This Row],[GroupByKey]])*DiscreteStatsTable[Maximum]))</f>
        <v>1.2170108122512</v>
      </c>
      <c r="V513" cm="1">
        <f t="array" ref="V513">IFERROR(AVERAGE(IF((DiscreteStatsTable[GroupByKey]=DiscreteStatsTable[[#This Row],[GroupByKey]]),(DiscreteStatsTable[GroupByKey]=DiscreteStatsTable[[#This Row],[GroupByKey]])*DiscreteStatsTable[NumberObservations])),0)</f>
        <v>2262.66</v>
      </c>
      <c r="W513">
        <f>IF((DiscreteStatsTable[[#This Row],[RepsRequested]]&gt;1),DiscreteStatsTable[[#This Row],[HalfWidth]],DiscreteStatsTable[[#This Row],[BatchMeansHalfWidth]])</f>
        <v>1.3221720552995685E-3</v>
      </c>
      <c r="X513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131</v>
      </c>
      <c r="C514">
        <v>5</v>
      </c>
      <c r="D514" t="s">
        <v>86</v>
      </c>
      <c r="E514" t="s">
        <v>79</v>
      </c>
      <c r="F514" t="s">
        <v>80</v>
      </c>
      <c r="G514">
        <v>0.21238087035964401</v>
      </c>
      <c r="H514">
        <v>9.1844364294511194E-3</v>
      </c>
      <c r="I514">
        <v>0.100108923093103</v>
      </c>
      <c r="J514">
        <v>0.782558679239994</v>
      </c>
      <c r="K514">
        <v>2200</v>
      </c>
      <c r="L514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14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cm="1">
        <f t="array" ref="N514">IFERROR(AVERAGE(IF((DiscreteStatsTable[GroupByKey]=DiscreteStatsTable[[#This Row],[GroupByKey]]),(DiscreteStatsTable[GroupByKey]=DiscreteStatsTable[[#This Row],[GroupByKey]])*DiscreteStatsTable[Average])),0)</f>
        <v>0.21815512979204044</v>
      </c>
      <c r="O514" cm="1">
        <f t="array" ref="O514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14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14" cm="1">
        <f t="array" ref="R514">MIN(IF((DiscreteStatsTable[GroupByKey]=DiscreteStatsTable[[#This Row],[GroupByKey]]),(DiscreteStatsTable[GroupByKey]=DiscreteStatsTable[[#This Row],[GroupByKey]])*DiscreteStatsTable[Average]))</f>
        <v>0.204996218905765</v>
      </c>
      <c r="S514" cm="1">
        <f t="array" ref="S514">MAX(IF((DiscreteStatsTable[GroupByKey]=DiscreteStatsTable[[#This Row],[GroupByKey]]),(DiscreteStatsTable[GroupByKey]=DiscreteStatsTable[[#This Row],[GroupByKey]])*DiscreteStatsTable[Average]))</f>
        <v>0.22907589413377599</v>
      </c>
      <c r="T514" cm="1">
        <f t="array" ref="T514">MIN(IF((DiscreteStatsTable[GroupByKey]=DiscreteStatsTable[[#This Row],[GroupByKey]]),(DiscreteStatsTable[GroupByKey]=DiscreteStatsTable[[#This Row],[GroupByKey]])*DiscreteStatsTable[Minimum]))</f>
        <v>0.100000577163883</v>
      </c>
      <c r="U514" cm="1">
        <f t="array" ref="U514">MAX(IF((DiscreteStatsTable[GroupByKey]=DiscreteStatsTable[[#This Row],[GroupByKey]]),(DiscreteStatsTable[GroupByKey]=DiscreteStatsTable[[#This Row],[GroupByKey]])*DiscreteStatsTable[Maximum]))</f>
        <v>1.41452080991047</v>
      </c>
      <c r="V514" cm="1">
        <f t="array" ref="V514">IFERROR(AVERAGE(IF((DiscreteStatsTable[GroupByKey]=DiscreteStatsTable[[#This Row],[GroupByKey]]),(DiscreteStatsTable[GroupByKey]=DiscreteStatsTable[[#This Row],[GroupByKey]])*DiscreteStatsTable[NumberObservations])),0)</f>
        <v>2262.66</v>
      </c>
      <c r="W514">
        <f>IF((DiscreteStatsTable[[#This Row],[RepsRequested]]&gt;1),DiscreteStatsTable[[#This Row],[HalfWidth]],DiscreteStatsTable[[#This Row],[BatchMeansHalfWidth]])</f>
        <v>1.3927091897695423E-3</v>
      </c>
      <c r="X514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131</v>
      </c>
      <c r="C515">
        <v>5</v>
      </c>
      <c r="D515" t="s">
        <v>86</v>
      </c>
      <c r="E515" t="s">
        <v>81</v>
      </c>
      <c r="F515" t="s">
        <v>80</v>
      </c>
      <c r="G515">
        <v>0.149641810163295</v>
      </c>
      <c r="H515">
        <v>1.18311712626569E-3</v>
      </c>
      <c r="I515">
        <v>0.10001018063681499</v>
      </c>
      <c r="J515">
        <v>0.19998926396897301</v>
      </c>
      <c r="K515">
        <v>2200</v>
      </c>
      <c r="L515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1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cm="1">
        <f t="array" ref="N515">IFERROR(AVERAGE(IF((DiscreteStatsTable[GroupByKey]=DiscreteStatsTable[[#This Row],[GroupByKey]]),(DiscreteStatsTable[GroupByKey]=DiscreteStatsTable[[#This Row],[GroupByKey]])*DiscreteStatsTable[Average])),0)</f>
        <v>0.15006283793025285</v>
      </c>
      <c r="O515" cm="1">
        <f t="array" ref="O515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1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15" cm="1">
        <f t="array" ref="R515">MIN(IF((DiscreteStatsTable[GroupByKey]=DiscreteStatsTable[[#This Row],[GroupByKey]]),(DiscreteStatsTable[GroupByKey]=DiscreteStatsTable[[#This Row],[GroupByKey]])*DiscreteStatsTable[Average]))</f>
        <v>0.14863412830584499</v>
      </c>
      <c r="S515" cm="1">
        <f t="array" ref="S515">MAX(IF((DiscreteStatsTable[GroupByKey]=DiscreteStatsTable[[#This Row],[GroupByKey]]),(DiscreteStatsTable[GroupByKey]=DiscreteStatsTable[[#This Row],[GroupByKey]])*DiscreteStatsTable[Average]))</f>
        <v>0.151606291486265</v>
      </c>
      <c r="T515" cm="1">
        <f t="array" ref="T515">MIN(IF((DiscreteStatsTable[GroupByKey]=DiscreteStatsTable[[#This Row],[GroupByKey]]),(DiscreteStatsTable[GroupByKey]=DiscreteStatsTable[[#This Row],[GroupByKey]])*DiscreteStatsTable[Minimum]))</f>
        <v>0.100000577163883</v>
      </c>
      <c r="U515" cm="1">
        <f t="array" ref="U515">MAX(IF((DiscreteStatsTable[GroupByKey]=DiscreteStatsTable[[#This Row],[GroupByKey]]),(DiscreteStatsTable[GroupByKey]=DiscreteStatsTable[[#This Row],[GroupByKey]])*DiscreteStatsTable[Maximum]))</f>
        <v>0.19999993084929499</v>
      </c>
      <c r="V515" cm="1">
        <f t="array" ref="V515">IFERROR(AVERAGE(IF((DiscreteStatsTable[GroupByKey]=DiscreteStatsTable[[#This Row],[GroupByKey]]),(DiscreteStatsTable[GroupByKey]=DiscreteStatsTable[[#This Row],[GroupByKey]])*DiscreteStatsTable[NumberObservations])),0)</f>
        <v>2262.66</v>
      </c>
      <c r="W515">
        <f>IF((DiscreteStatsTable[[#This Row],[RepsRequested]]&gt;1),DiscreteStatsTable[[#This Row],[HalfWidth]],DiscreteStatsTable[[#This Row],[BatchMeansHalfWidth]])</f>
        <v>1.7015423667850204E-4</v>
      </c>
      <c r="X51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131</v>
      </c>
      <c r="C516">
        <v>5</v>
      </c>
      <c r="D516" t="s">
        <v>86</v>
      </c>
      <c r="E516" t="s">
        <v>82</v>
      </c>
      <c r="F516" t="s">
        <v>80</v>
      </c>
      <c r="G516">
        <v>6.2739060196350005E-2</v>
      </c>
      <c r="H516">
        <v>8.9819236120082108E-3</v>
      </c>
      <c r="I516">
        <v>0</v>
      </c>
      <c r="J516">
        <v>0.62007862755060095</v>
      </c>
      <c r="K516">
        <v>2200</v>
      </c>
      <c r="L516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16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cm="1">
        <f t="array" ref="N516">IFERROR(AVERAGE(IF((DiscreteStatsTable[GroupByKey]=DiscreteStatsTable[[#This Row],[GroupByKey]]),(DiscreteStatsTable[GroupByKey]=DiscreteStatsTable[[#This Row],[GroupByKey]])*DiscreteStatsTable[Average])),0)</f>
        <v>6.8092291861787557E-2</v>
      </c>
      <c r="O516" cm="1">
        <f t="array" ref="O516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16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16" cm="1">
        <f t="array" ref="R516">MIN(IF((DiscreteStatsTable[GroupByKey]=DiscreteStatsTable[[#This Row],[GroupByKey]]),(DiscreteStatsTable[GroupByKey]=DiscreteStatsTable[[#This Row],[GroupByKey]])*DiscreteStatsTable[Average]))</f>
        <v>5.591228067423E-2</v>
      </c>
      <c r="S516" cm="1">
        <f t="array" ref="S516">MAX(IF((DiscreteStatsTable[GroupByKey]=DiscreteStatsTable[[#This Row],[GroupByKey]]),(DiscreteStatsTable[GroupByKey]=DiscreteStatsTable[[#This Row],[GroupByKey]])*DiscreteStatsTable[Average]))</f>
        <v>7.8817469083508104E-2</v>
      </c>
      <c r="T516" cm="1">
        <f t="array" ref="T516">MIN(IF((DiscreteStatsTable[GroupByKey]=DiscreteStatsTable[[#This Row],[GroupByKey]]),(DiscreteStatsTable[GroupByKey]=DiscreteStatsTable[[#This Row],[GroupByKey]])*DiscreteStatsTable[Minimum]))</f>
        <v>0</v>
      </c>
      <c r="U516" cm="1">
        <f t="array" ref="U516">MAX(IF((DiscreteStatsTable[GroupByKey]=DiscreteStatsTable[[#This Row],[GroupByKey]]),(DiscreteStatsTable[GroupByKey]=DiscreteStatsTable[[#This Row],[GroupByKey]])*DiscreteStatsTable[Maximum]))</f>
        <v>1.2170108122512</v>
      </c>
      <c r="V516" cm="1">
        <f t="array" ref="V516">IFERROR(AVERAGE(IF((DiscreteStatsTable[GroupByKey]=DiscreteStatsTable[[#This Row],[GroupByKey]]),(DiscreteStatsTable[GroupByKey]=DiscreteStatsTable[[#This Row],[GroupByKey]])*DiscreteStatsTable[NumberObservations])),0)</f>
        <v>2262.66</v>
      </c>
      <c r="W516">
        <f>IF((DiscreteStatsTable[[#This Row],[RepsRequested]]&gt;1),DiscreteStatsTable[[#This Row],[HalfWidth]],DiscreteStatsTable[[#This Row],[BatchMeansHalfWidth]])</f>
        <v>1.3221720552995685E-3</v>
      </c>
      <c r="X516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131</v>
      </c>
      <c r="C517">
        <v>6</v>
      </c>
      <c r="D517" t="s">
        <v>86</v>
      </c>
      <c r="E517" t="s">
        <v>79</v>
      </c>
      <c r="F517" t="s">
        <v>80</v>
      </c>
      <c r="G517">
        <v>0.224734868993407</v>
      </c>
      <c r="H517">
        <v>1.1791981671617701E-2</v>
      </c>
      <c r="I517">
        <v>0.100065634332992</v>
      </c>
      <c r="J517">
        <v>0.85140505169929503</v>
      </c>
      <c r="K517">
        <v>2386</v>
      </c>
      <c r="L517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17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cm="1">
        <f t="array" ref="N517">IFERROR(AVERAGE(IF((DiscreteStatsTable[GroupByKey]=DiscreteStatsTable[[#This Row],[GroupByKey]]),(DiscreteStatsTable[GroupByKey]=DiscreteStatsTable[[#This Row],[GroupByKey]])*DiscreteStatsTable[Average])),0)</f>
        <v>0.21815512979204044</v>
      </c>
      <c r="O517" cm="1">
        <f t="array" ref="O517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17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17" cm="1">
        <f t="array" ref="R517">MIN(IF((DiscreteStatsTable[GroupByKey]=DiscreteStatsTable[[#This Row],[GroupByKey]]),(DiscreteStatsTable[GroupByKey]=DiscreteStatsTable[[#This Row],[GroupByKey]])*DiscreteStatsTable[Average]))</f>
        <v>0.204996218905765</v>
      </c>
      <c r="S517" cm="1">
        <f t="array" ref="S517">MAX(IF((DiscreteStatsTable[GroupByKey]=DiscreteStatsTable[[#This Row],[GroupByKey]]),(DiscreteStatsTable[GroupByKey]=DiscreteStatsTable[[#This Row],[GroupByKey]])*DiscreteStatsTable[Average]))</f>
        <v>0.22907589413377599</v>
      </c>
      <c r="T517" cm="1">
        <f t="array" ref="T517">MIN(IF((DiscreteStatsTable[GroupByKey]=DiscreteStatsTable[[#This Row],[GroupByKey]]),(DiscreteStatsTable[GroupByKey]=DiscreteStatsTable[[#This Row],[GroupByKey]])*DiscreteStatsTable[Minimum]))</f>
        <v>0.100000577163883</v>
      </c>
      <c r="U517" cm="1">
        <f t="array" ref="U517">MAX(IF((DiscreteStatsTable[GroupByKey]=DiscreteStatsTable[[#This Row],[GroupByKey]]),(DiscreteStatsTable[GroupByKey]=DiscreteStatsTable[[#This Row],[GroupByKey]])*DiscreteStatsTable[Maximum]))</f>
        <v>1.41452080991047</v>
      </c>
      <c r="V517" cm="1">
        <f t="array" ref="V517">IFERROR(AVERAGE(IF((DiscreteStatsTable[GroupByKey]=DiscreteStatsTable[[#This Row],[GroupByKey]]),(DiscreteStatsTable[GroupByKey]=DiscreteStatsTable[[#This Row],[GroupByKey]])*DiscreteStatsTable[NumberObservations])),0)</f>
        <v>2262.66</v>
      </c>
      <c r="W517">
        <f>IF((DiscreteStatsTable[[#This Row],[RepsRequested]]&gt;1),DiscreteStatsTable[[#This Row],[HalfWidth]],DiscreteStatsTable[[#This Row],[BatchMeansHalfWidth]])</f>
        <v>1.3927091897695423E-3</v>
      </c>
      <c r="X517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131</v>
      </c>
      <c r="C518">
        <v>6</v>
      </c>
      <c r="D518" t="s">
        <v>86</v>
      </c>
      <c r="E518" t="s">
        <v>81</v>
      </c>
      <c r="F518" t="s">
        <v>80</v>
      </c>
      <c r="G518">
        <v>0.149948067952136</v>
      </c>
      <c r="H518">
        <v>1.2023453883060599E-3</v>
      </c>
      <c r="I518">
        <v>0.100065634332992</v>
      </c>
      <c r="J518">
        <v>0.19994072229312099</v>
      </c>
      <c r="K518">
        <v>2386</v>
      </c>
      <c r="L518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18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cm="1">
        <f t="array" ref="N518">IFERROR(AVERAGE(IF((DiscreteStatsTable[GroupByKey]=DiscreteStatsTable[[#This Row],[GroupByKey]]),(DiscreteStatsTable[GroupByKey]=DiscreteStatsTable[[#This Row],[GroupByKey]])*DiscreteStatsTable[Average])),0)</f>
        <v>0.15006283793025285</v>
      </c>
      <c r="O518" cm="1">
        <f t="array" ref="O518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18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18" cm="1">
        <f t="array" ref="R518">MIN(IF((DiscreteStatsTable[GroupByKey]=DiscreteStatsTable[[#This Row],[GroupByKey]]),(DiscreteStatsTable[GroupByKey]=DiscreteStatsTable[[#This Row],[GroupByKey]])*DiscreteStatsTable[Average]))</f>
        <v>0.14863412830584499</v>
      </c>
      <c r="S518" cm="1">
        <f t="array" ref="S518">MAX(IF((DiscreteStatsTable[GroupByKey]=DiscreteStatsTable[[#This Row],[GroupByKey]]),(DiscreteStatsTable[GroupByKey]=DiscreteStatsTable[[#This Row],[GroupByKey]])*DiscreteStatsTable[Average]))</f>
        <v>0.151606291486265</v>
      </c>
      <c r="T518" cm="1">
        <f t="array" ref="T518">MIN(IF((DiscreteStatsTable[GroupByKey]=DiscreteStatsTable[[#This Row],[GroupByKey]]),(DiscreteStatsTable[GroupByKey]=DiscreteStatsTable[[#This Row],[GroupByKey]])*DiscreteStatsTable[Minimum]))</f>
        <v>0.100000577163883</v>
      </c>
      <c r="U518" cm="1">
        <f t="array" ref="U518">MAX(IF((DiscreteStatsTable[GroupByKey]=DiscreteStatsTable[[#This Row],[GroupByKey]]),(DiscreteStatsTable[GroupByKey]=DiscreteStatsTable[[#This Row],[GroupByKey]])*DiscreteStatsTable[Maximum]))</f>
        <v>0.19999993084929499</v>
      </c>
      <c r="V518" cm="1">
        <f t="array" ref="V518">IFERROR(AVERAGE(IF((DiscreteStatsTable[GroupByKey]=DiscreteStatsTable[[#This Row],[GroupByKey]]),(DiscreteStatsTable[GroupByKey]=DiscreteStatsTable[[#This Row],[GroupByKey]])*DiscreteStatsTable[NumberObservations])),0)</f>
        <v>2262.66</v>
      </c>
      <c r="W518">
        <f>IF((DiscreteStatsTable[[#This Row],[RepsRequested]]&gt;1),DiscreteStatsTable[[#This Row],[HalfWidth]],DiscreteStatsTable[[#This Row],[BatchMeansHalfWidth]])</f>
        <v>1.7015423667850204E-4</v>
      </c>
      <c r="X518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131</v>
      </c>
      <c r="C519">
        <v>6</v>
      </c>
      <c r="D519" t="s">
        <v>86</v>
      </c>
      <c r="E519" t="s">
        <v>82</v>
      </c>
      <c r="F519" t="s">
        <v>80</v>
      </c>
      <c r="G519">
        <v>7.4786801041271306E-2</v>
      </c>
      <c r="H519">
        <v>1.1634777018962201E-2</v>
      </c>
      <c r="I519">
        <v>0</v>
      </c>
      <c r="J519">
        <v>0.72150975886023605</v>
      </c>
      <c r="K519">
        <v>2386</v>
      </c>
      <c r="L519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19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cm="1">
        <f t="array" ref="N519">IFERROR(AVERAGE(IF((DiscreteStatsTable[GroupByKey]=DiscreteStatsTable[[#This Row],[GroupByKey]]),(DiscreteStatsTable[GroupByKey]=DiscreteStatsTable[[#This Row],[GroupByKey]])*DiscreteStatsTable[Average])),0)</f>
        <v>6.8092291861787557E-2</v>
      </c>
      <c r="O519" cm="1">
        <f t="array" ref="O519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19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19" cm="1">
        <f t="array" ref="R519">MIN(IF((DiscreteStatsTable[GroupByKey]=DiscreteStatsTable[[#This Row],[GroupByKey]]),(DiscreteStatsTable[GroupByKey]=DiscreteStatsTable[[#This Row],[GroupByKey]])*DiscreteStatsTable[Average]))</f>
        <v>5.591228067423E-2</v>
      </c>
      <c r="S519" cm="1">
        <f t="array" ref="S519">MAX(IF((DiscreteStatsTable[GroupByKey]=DiscreteStatsTable[[#This Row],[GroupByKey]]),(DiscreteStatsTable[GroupByKey]=DiscreteStatsTable[[#This Row],[GroupByKey]])*DiscreteStatsTable[Average]))</f>
        <v>7.8817469083508104E-2</v>
      </c>
      <c r="T519" cm="1">
        <f t="array" ref="T519">MIN(IF((DiscreteStatsTable[GroupByKey]=DiscreteStatsTable[[#This Row],[GroupByKey]]),(DiscreteStatsTable[GroupByKey]=DiscreteStatsTable[[#This Row],[GroupByKey]])*DiscreteStatsTable[Minimum]))</f>
        <v>0</v>
      </c>
      <c r="U519" cm="1">
        <f t="array" ref="U519">MAX(IF((DiscreteStatsTable[GroupByKey]=DiscreteStatsTable[[#This Row],[GroupByKey]]),(DiscreteStatsTable[GroupByKey]=DiscreteStatsTable[[#This Row],[GroupByKey]])*DiscreteStatsTable[Maximum]))</f>
        <v>1.2170108122512</v>
      </c>
      <c r="V519" cm="1">
        <f t="array" ref="V519">IFERROR(AVERAGE(IF((DiscreteStatsTable[GroupByKey]=DiscreteStatsTable[[#This Row],[GroupByKey]]),(DiscreteStatsTable[GroupByKey]=DiscreteStatsTable[[#This Row],[GroupByKey]])*DiscreteStatsTable[NumberObservations])),0)</f>
        <v>2262.66</v>
      </c>
      <c r="W519">
        <f>IF((DiscreteStatsTable[[#This Row],[RepsRequested]]&gt;1),DiscreteStatsTable[[#This Row],[HalfWidth]],DiscreteStatsTable[[#This Row],[BatchMeansHalfWidth]])</f>
        <v>1.3221720552995685E-3</v>
      </c>
      <c r="X519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131</v>
      </c>
      <c r="C520">
        <v>7</v>
      </c>
      <c r="D520" t="s">
        <v>86</v>
      </c>
      <c r="E520" t="s">
        <v>79</v>
      </c>
      <c r="F520" t="s">
        <v>80</v>
      </c>
      <c r="G520">
        <v>0.22907589413377599</v>
      </c>
      <c r="H520">
        <v>1.1629696034311399E-2</v>
      </c>
      <c r="I520">
        <v>0.100001990352865</v>
      </c>
      <c r="J520">
        <v>1.1989748044199</v>
      </c>
      <c r="K520">
        <v>2254</v>
      </c>
      <c r="L520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20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cm="1">
        <f t="array" ref="N520">IFERROR(AVERAGE(IF((DiscreteStatsTable[GroupByKey]=DiscreteStatsTable[[#This Row],[GroupByKey]]),(DiscreteStatsTable[GroupByKey]=DiscreteStatsTable[[#This Row],[GroupByKey]])*DiscreteStatsTable[Average])),0)</f>
        <v>0.21815512979204044</v>
      </c>
      <c r="O520" cm="1">
        <f t="array" ref="O520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20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20" cm="1">
        <f t="array" ref="R520">MIN(IF((DiscreteStatsTable[GroupByKey]=DiscreteStatsTable[[#This Row],[GroupByKey]]),(DiscreteStatsTable[GroupByKey]=DiscreteStatsTable[[#This Row],[GroupByKey]])*DiscreteStatsTable[Average]))</f>
        <v>0.204996218905765</v>
      </c>
      <c r="S520" cm="1">
        <f t="array" ref="S520">MAX(IF((DiscreteStatsTable[GroupByKey]=DiscreteStatsTable[[#This Row],[GroupByKey]]),(DiscreteStatsTable[GroupByKey]=DiscreteStatsTable[[#This Row],[GroupByKey]])*DiscreteStatsTable[Average]))</f>
        <v>0.22907589413377599</v>
      </c>
      <c r="T520" cm="1">
        <f t="array" ref="T520">MIN(IF((DiscreteStatsTable[GroupByKey]=DiscreteStatsTable[[#This Row],[GroupByKey]]),(DiscreteStatsTable[GroupByKey]=DiscreteStatsTable[[#This Row],[GroupByKey]])*DiscreteStatsTable[Minimum]))</f>
        <v>0.100000577163883</v>
      </c>
      <c r="U520" cm="1">
        <f t="array" ref="U520">MAX(IF((DiscreteStatsTable[GroupByKey]=DiscreteStatsTable[[#This Row],[GroupByKey]]),(DiscreteStatsTable[GroupByKey]=DiscreteStatsTable[[#This Row],[GroupByKey]])*DiscreteStatsTable[Maximum]))</f>
        <v>1.41452080991047</v>
      </c>
      <c r="V520" cm="1">
        <f t="array" ref="V520">IFERROR(AVERAGE(IF((DiscreteStatsTable[GroupByKey]=DiscreteStatsTable[[#This Row],[GroupByKey]]),(DiscreteStatsTable[GroupByKey]=DiscreteStatsTable[[#This Row],[GroupByKey]])*DiscreteStatsTable[NumberObservations])),0)</f>
        <v>2262.66</v>
      </c>
      <c r="W520">
        <f>IF((DiscreteStatsTable[[#This Row],[RepsRequested]]&gt;1),DiscreteStatsTable[[#This Row],[HalfWidth]],DiscreteStatsTable[[#This Row],[BatchMeansHalfWidth]])</f>
        <v>1.3927091897695423E-3</v>
      </c>
      <c r="X520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131</v>
      </c>
      <c r="C521">
        <v>7</v>
      </c>
      <c r="D521" t="s">
        <v>86</v>
      </c>
      <c r="E521" t="s">
        <v>81</v>
      </c>
      <c r="F521" t="s">
        <v>80</v>
      </c>
      <c r="G521">
        <v>0.15025842505026801</v>
      </c>
      <c r="H521">
        <v>1.50656842406216E-3</v>
      </c>
      <c r="I521">
        <v>0.100001990352865</v>
      </c>
      <c r="J521">
        <v>0.19998860366121099</v>
      </c>
      <c r="K521">
        <v>2254</v>
      </c>
      <c r="L521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21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cm="1">
        <f t="array" ref="N521">IFERROR(AVERAGE(IF((DiscreteStatsTable[GroupByKey]=DiscreteStatsTable[[#This Row],[GroupByKey]]),(DiscreteStatsTable[GroupByKey]=DiscreteStatsTable[[#This Row],[GroupByKey]])*DiscreteStatsTable[Average])),0)</f>
        <v>0.15006283793025285</v>
      </c>
      <c r="O521" cm="1">
        <f t="array" ref="O521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21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21" cm="1">
        <f t="array" ref="R521">MIN(IF((DiscreteStatsTable[GroupByKey]=DiscreteStatsTable[[#This Row],[GroupByKey]]),(DiscreteStatsTable[GroupByKey]=DiscreteStatsTable[[#This Row],[GroupByKey]])*DiscreteStatsTable[Average]))</f>
        <v>0.14863412830584499</v>
      </c>
      <c r="S521" cm="1">
        <f t="array" ref="S521">MAX(IF((DiscreteStatsTable[GroupByKey]=DiscreteStatsTable[[#This Row],[GroupByKey]]),(DiscreteStatsTable[GroupByKey]=DiscreteStatsTable[[#This Row],[GroupByKey]])*DiscreteStatsTable[Average]))</f>
        <v>0.151606291486265</v>
      </c>
      <c r="T521" cm="1">
        <f t="array" ref="T521">MIN(IF((DiscreteStatsTable[GroupByKey]=DiscreteStatsTable[[#This Row],[GroupByKey]]),(DiscreteStatsTable[GroupByKey]=DiscreteStatsTable[[#This Row],[GroupByKey]])*DiscreteStatsTable[Minimum]))</f>
        <v>0.100000577163883</v>
      </c>
      <c r="U521" cm="1">
        <f t="array" ref="U521">MAX(IF((DiscreteStatsTable[GroupByKey]=DiscreteStatsTable[[#This Row],[GroupByKey]]),(DiscreteStatsTable[GroupByKey]=DiscreteStatsTable[[#This Row],[GroupByKey]])*DiscreteStatsTable[Maximum]))</f>
        <v>0.19999993084929499</v>
      </c>
      <c r="V521" cm="1">
        <f t="array" ref="V521">IFERROR(AVERAGE(IF((DiscreteStatsTable[GroupByKey]=DiscreteStatsTable[[#This Row],[GroupByKey]]),(DiscreteStatsTable[GroupByKey]=DiscreteStatsTable[[#This Row],[GroupByKey]])*DiscreteStatsTable[NumberObservations])),0)</f>
        <v>2262.66</v>
      </c>
      <c r="W521">
        <f>IF((DiscreteStatsTable[[#This Row],[RepsRequested]]&gt;1),DiscreteStatsTable[[#This Row],[HalfWidth]],DiscreteStatsTable[[#This Row],[BatchMeansHalfWidth]])</f>
        <v>1.7015423667850204E-4</v>
      </c>
      <c r="X521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131</v>
      </c>
      <c r="C522">
        <v>7</v>
      </c>
      <c r="D522" t="s">
        <v>86</v>
      </c>
      <c r="E522" t="s">
        <v>82</v>
      </c>
      <c r="F522" t="s">
        <v>80</v>
      </c>
      <c r="G522">
        <v>7.8817469083508104E-2</v>
      </c>
      <c r="H522">
        <v>1.16143910487784E-2</v>
      </c>
      <c r="I522">
        <v>0</v>
      </c>
      <c r="J522">
        <v>1.00890483460083</v>
      </c>
      <c r="K522">
        <v>2254</v>
      </c>
      <c r="L522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22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cm="1">
        <f t="array" ref="N522">IFERROR(AVERAGE(IF((DiscreteStatsTable[GroupByKey]=DiscreteStatsTable[[#This Row],[GroupByKey]]),(DiscreteStatsTable[GroupByKey]=DiscreteStatsTable[[#This Row],[GroupByKey]])*DiscreteStatsTable[Average])),0)</f>
        <v>6.8092291861787557E-2</v>
      </c>
      <c r="O522" cm="1">
        <f t="array" ref="O522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22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22" cm="1">
        <f t="array" ref="R522">MIN(IF((DiscreteStatsTable[GroupByKey]=DiscreteStatsTable[[#This Row],[GroupByKey]]),(DiscreteStatsTable[GroupByKey]=DiscreteStatsTable[[#This Row],[GroupByKey]])*DiscreteStatsTable[Average]))</f>
        <v>5.591228067423E-2</v>
      </c>
      <c r="S522" cm="1">
        <f t="array" ref="S522">MAX(IF((DiscreteStatsTable[GroupByKey]=DiscreteStatsTable[[#This Row],[GroupByKey]]),(DiscreteStatsTable[GroupByKey]=DiscreteStatsTable[[#This Row],[GroupByKey]])*DiscreteStatsTable[Average]))</f>
        <v>7.8817469083508104E-2</v>
      </c>
      <c r="T522" cm="1">
        <f t="array" ref="T522">MIN(IF((DiscreteStatsTable[GroupByKey]=DiscreteStatsTable[[#This Row],[GroupByKey]]),(DiscreteStatsTable[GroupByKey]=DiscreteStatsTable[[#This Row],[GroupByKey]])*DiscreteStatsTable[Minimum]))</f>
        <v>0</v>
      </c>
      <c r="U522" cm="1">
        <f t="array" ref="U522">MAX(IF((DiscreteStatsTable[GroupByKey]=DiscreteStatsTable[[#This Row],[GroupByKey]]),(DiscreteStatsTable[GroupByKey]=DiscreteStatsTable[[#This Row],[GroupByKey]])*DiscreteStatsTable[Maximum]))</f>
        <v>1.2170108122512</v>
      </c>
      <c r="V522" cm="1">
        <f t="array" ref="V522">IFERROR(AVERAGE(IF((DiscreteStatsTable[GroupByKey]=DiscreteStatsTable[[#This Row],[GroupByKey]]),(DiscreteStatsTable[GroupByKey]=DiscreteStatsTable[[#This Row],[GroupByKey]])*DiscreteStatsTable[NumberObservations])),0)</f>
        <v>2262.66</v>
      </c>
      <c r="W522">
        <f>IF((DiscreteStatsTable[[#This Row],[RepsRequested]]&gt;1),DiscreteStatsTable[[#This Row],[HalfWidth]],DiscreteStatsTable[[#This Row],[BatchMeansHalfWidth]])</f>
        <v>1.3221720552995685E-3</v>
      </c>
      <c r="X522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131</v>
      </c>
      <c r="C523">
        <v>8</v>
      </c>
      <c r="D523" t="s">
        <v>86</v>
      </c>
      <c r="E523" t="s">
        <v>79</v>
      </c>
      <c r="F523" t="s">
        <v>80</v>
      </c>
      <c r="G523">
        <v>0.22528901099823601</v>
      </c>
      <c r="H523">
        <v>1.8156196869696901E-2</v>
      </c>
      <c r="I523">
        <v>0.100104558240105</v>
      </c>
      <c r="J523">
        <v>1.0901729557211901</v>
      </c>
      <c r="K523">
        <v>2265</v>
      </c>
      <c r="L523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23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cm="1">
        <f t="array" ref="N523">IFERROR(AVERAGE(IF((DiscreteStatsTable[GroupByKey]=DiscreteStatsTable[[#This Row],[GroupByKey]]),(DiscreteStatsTable[GroupByKey]=DiscreteStatsTable[[#This Row],[GroupByKey]])*DiscreteStatsTable[Average])),0)</f>
        <v>0.21815512979204044</v>
      </c>
      <c r="O523" cm="1">
        <f t="array" ref="O523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23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23" cm="1">
        <f t="array" ref="R523">MIN(IF((DiscreteStatsTable[GroupByKey]=DiscreteStatsTable[[#This Row],[GroupByKey]]),(DiscreteStatsTable[GroupByKey]=DiscreteStatsTable[[#This Row],[GroupByKey]])*DiscreteStatsTable[Average]))</f>
        <v>0.204996218905765</v>
      </c>
      <c r="S523" cm="1">
        <f t="array" ref="S523">MAX(IF((DiscreteStatsTable[GroupByKey]=DiscreteStatsTable[[#This Row],[GroupByKey]]),(DiscreteStatsTable[GroupByKey]=DiscreteStatsTable[[#This Row],[GroupByKey]])*DiscreteStatsTable[Average]))</f>
        <v>0.22907589413377599</v>
      </c>
      <c r="T523" cm="1">
        <f t="array" ref="T523">MIN(IF((DiscreteStatsTable[GroupByKey]=DiscreteStatsTable[[#This Row],[GroupByKey]]),(DiscreteStatsTable[GroupByKey]=DiscreteStatsTable[[#This Row],[GroupByKey]])*DiscreteStatsTable[Minimum]))</f>
        <v>0.100000577163883</v>
      </c>
      <c r="U523" cm="1">
        <f t="array" ref="U523">MAX(IF((DiscreteStatsTable[GroupByKey]=DiscreteStatsTable[[#This Row],[GroupByKey]]),(DiscreteStatsTable[GroupByKey]=DiscreteStatsTable[[#This Row],[GroupByKey]])*DiscreteStatsTable[Maximum]))</f>
        <v>1.41452080991047</v>
      </c>
      <c r="V523" cm="1">
        <f t="array" ref="V523">IFERROR(AVERAGE(IF((DiscreteStatsTable[GroupByKey]=DiscreteStatsTable[[#This Row],[GroupByKey]]),(DiscreteStatsTable[GroupByKey]=DiscreteStatsTable[[#This Row],[GroupByKey]])*DiscreteStatsTable[NumberObservations])),0)</f>
        <v>2262.66</v>
      </c>
      <c r="W523">
        <f>IF((DiscreteStatsTable[[#This Row],[RepsRequested]]&gt;1),DiscreteStatsTable[[#This Row],[HalfWidth]],DiscreteStatsTable[[#This Row],[BatchMeansHalfWidth]])</f>
        <v>1.3927091897695423E-3</v>
      </c>
      <c r="X523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131</v>
      </c>
      <c r="C524">
        <v>8</v>
      </c>
      <c r="D524" t="s">
        <v>86</v>
      </c>
      <c r="E524" t="s">
        <v>81</v>
      </c>
      <c r="F524" t="s">
        <v>80</v>
      </c>
      <c r="G524">
        <v>0.15131539765975</v>
      </c>
      <c r="H524">
        <v>1.27813550361658E-3</v>
      </c>
      <c r="I524">
        <v>0.10009603347165801</v>
      </c>
      <c r="J524">
        <v>0.19993318926683601</v>
      </c>
      <c r="K524">
        <v>2265</v>
      </c>
      <c r="L524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24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cm="1">
        <f t="array" ref="N524">IFERROR(AVERAGE(IF((DiscreteStatsTable[GroupByKey]=DiscreteStatsTable[[#This Row],[GroupByKey]]),(DiscreteStatsTable[GroupByKey]=DiscreteStatsTable[[#This Row],[GroupByKey]])*DiscreteStatsTable[Average])),0)</f>
        <v>0.15006283793025285</v>
      </c>
      <c r="O524" cm="1">
        <f t="array" ref="O524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24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24" cm="1">
        <f t="array" ref="R524">MIN(IF((DiscreteStatsTable[GroupByKey]=DiscreteStatsTable[[#This Row],[GroupByKey]]),(DiscreteStatsTable[GroupByKey]=DiscreteStatsTable[[#This Row],[GroupByKey]])*DiscreteStatsTable[Average]))</f>
        <v>0.14863412830584499</v>
      </c>
      <c r="S524" cm="1">
        <f t="array" ref="S524">MAX(IF((DiscreteStatsTable[GroupByKey]=DiscreteStatsTable[[#This Row],[GroupByKey]]),(DiscreteStatsTable[GroupByKey]=DiscreteStatsTable[[#This Row],[GroupByKey]])*DiscreteStatsTable[Average]))</f>
        <v>0.151606291486265</v>
      </c>
      <c r="T524" cm="1">
        <f t="array" ref="T524">MIN(IF((DiscreteStatsTable[GroupByKey]=DiscreteStatsTable[[#This Row],[GroupByKey]]),(DiscreteStatsTable[GroupByKey]=DiscreteStatsTable[[#This Row],[GroupByKey]])*DiscreteStatsTable[Minimum]))</f>
        <v>0.100000577163883</v>
      </c>
      <c r="U524" cm="1">
        <f t="array" ref="U524">MAX(IF((DiscreteStatsTable[GroupByKey]=DiscreteStatsTable[[#This Row],[GroupByKey]]),(DiscreteStatsTable[GroupByKey]=DiscreteStatsTable[[#This Row],[GroupByKey]])*DiscreteStatsTable[Maximum]))</f>
        <v>0.19999993084929499</v>
      </c>
      <c r="V524" cm="1">
        <f t="array" ref="V524">IFERROR(AVERAGE(IF((DiscreteStatsTable[GroupByKey]=DiscreteStatsTable[[#This Row],[GroupByKey]]),(DiscreteStatsTable[GroupByKey]=DiscreteStatsTable[[#This Row],[GroupByKey]])*DiscreteStatsTable[NumberObservations])),0)</f>
        <v>2262.66</v>
      </c>
      <c r="W524">
        <f>IF((DiscreteStatsTable[[#This Row],[RepsRequested]]&gt;1),DiscreteStatsTable[[#This Row],[HalfWidth]],DiscreteStatsTable[[#This Row],[BatchMeansHalfWidth]])</f>
        <v>1.7015423667850204E-4</v>
      </c>
      <c r="X524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131</v>
      </c>
      <c r="C525">
        <v>8</v>
      </c>
      <c r="D525" t="s">
        <v>86</v>
      </c>
      <c r="E525" t="s">
        <v>82</v>
      </c>
      <c r="F525" t="s">
        <v>80</v>
      </c>
      <c r="G525">
        <v>7.3973613338485705E-2</v>
      </c>
      <c r="H525">
        <v>1.80332558073713E-2</v>
      </c>
      <c r="I525">
        <v>0</v>
      </c>
      <c r="J525">
        <v>0.95707773954825404</v>
      </c>
      <c r="K525">
        <v>2265</v>
      </c>
      <c r="L525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2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cm="1">
        <f t="array" ref="N525">IFERROR(AVERAGE(IF((DiscreteStatsTable[GroupByKey]=DiscreteStatsTable[[#This Row],[GroupByKey]]),(DiscreteStatsTable[GroupByKey]=DiscreteStatsTable[[#This Row],[GroupByKey]])*DiscreteStatsTable[Average])),0)</f>
        <v>6.8092291861787557E-2</v>
      </c>
      <c r="O525" cm="1">
        <f t="array" ref="O525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2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25" cm="1">
        <f t="array" ref="R525">MIN(IF((DiscreteStatsTable[GroupByKey]=DiscreteStatsTable[[#This Row],[GroupByKey]]),(DiscreteStatsTable[GroupByKey]=DiscreteStatsTable[[#This Row],[GroupByKey]])*DiscreteStatsTable[Average]))</f>
        <v>5.591228067423E-2</v>
      </c>
      <c r="S525" cm="1">
        <f t="array" ref="S525">MAX(IF((DiscreteStatsTable[GroupByKey]=DiscreteStatsTable[[#This Row],[GroupByKey]]),(DiscreteStatsTable[GroupByKey]=DiscreteStatsTable[[#This Row],[GroupByKey]])*DiscreteStatsTable[Average]))</f>
        <v>7.8817469083508104E-2</v>
      </c>
      <c r="T525" cm="1">
        <f t="array" ref="T525">MIN(IF((DiscreteStatsTable[GroupByKey]=DiscreteStatsTable[[#This Row],[GroupByKey]]),(DiscreteStatsTable[GroupByKey]=DiscreteStatsTable[[#This Row],[GroupByKey]])*DiscreteStatsTable[Minimum]))</f>
        <v>0</v>
      </c>
      <c r="U525" cm="1">
        <f t="array" ref="U525">MAX(IF((DiscreteStatsTable[GroupByKey]=DiscreteStatsTable[[#This Row],[GroupByKey]]),(DiscreteStatsTable[GroupByKey]=DiscreteStatsTable[[#This Row],[GroupByKey]])*DiscreteStatsTable[Maximum]))</f>
        <v>1.2170108122512</v>
      </c>
      <c r="V525" cm="1">
        <f t="array" ref="V525">IFERROR(AVERAGE(IF((DiscreteStatsTable[GroupByKey]=DiscreteStatsTable[[#This Row],[GroupByKey]]),(DiscreteStatsTable[GroupByKey]=DiscreteStatsTable[[#This Row],[GroupByKey]])*DiscreteStatsTable[NumberObservations])),0)</f>
        <v>2262.66</v>
      </c>
      <c r="W525">
        <f>IF((DiscreteStatsTable[[#This Row],[RepsRequested]]&gt;1),DiscreteStatsTable[[#This Row],[HalfWidth]],DiscreteStatsTable[[#This Row],[BatchMeansHalfWidth]])</f>
        <v>1.3221720552995685E-3</v>
      </c>
      <c r="X52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131</v>
      </c>
      <c r="C526">
        <v>9</v>
      </c>
      <c r="D526" t="s">
        <v>86</v>
      </c>
      <c r="E526" t="s">
        <v>79</v>
      </c>
      <c r="F526" t="s">
        <v>80</v>
      </c>
      <c r="G526">
        <v>0.21925337515825</v>
      </c>
      <c r="H526">
        <v>9.4794302058523999E-3</v>
      </c>
      <c r="I526">
        <v>0.100000577163883</v>
      </c>
      <c r="J526">
        <v>0.88470133701480302</v>
      </c>
      <c r="K526">
        <v>2253</v>
      </c>
      <c r="L526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26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cm="1">
        <f t="array" ref="N526">IFERROR(AVERAGE(IF((DiscreteStatsTable[GroupByKey]=DiscreteStatsTable[[#This Row],[GroupByKey]]),(DiscreteStatsTable[GroupByKey]=DiscreteStatsTable[[#This Row],[GroupByKey]])*DiscreteStatsTable[Average])),0)</f>
        <v>0.21815512979204044</v>
      </c>
      <c r="O526" cm="1">
        <f t="array" ref="O526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26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26" cm="1">
        <f t="array" ref="R526">MIN(IF((DiscreteStatsTable[GroupByKey]=DiscreteStatsTable[[#This Row],[GroupByKey]]),(DiscreteStatsTable[GroupByKey]=DiscreteStatsTable[[#This Row],[GroupByKey]])*DiscreteStatsTable[Average]))</f>
        <v>0.204996218905765</v>
      </c>
      <c r="S526" cm="1">
        <f t="array" ref="S526">MAX(IF((DiscreteStatsTable[GroupByKey]=DiscreteStatsTable[[#This Row],[GroupByKey]]),(DiscreteStatsTable[GroupByKey]=DiscreteStatsTable[[#This Row],[GroupByKey]])*DiscreteStatsTable[Average]))</f>
        <v>0.22907589413377599</v>
      </c>
      <c r="T526" cm="1">
        <f t="array" ref="T526">MIN(IF((DiscreteStatsTable[GroupByKey]=DiscreteStatsTable[[#This Row],[GroupByKey]]),(DiscreteStatsTable[GroupByKey]=DiscreteStatsTable[[#This Row],[GroupByKey]])*DiscreteStatsTable[Minimum]))</f>
        <v>0.100000577163883</v>
      </c>
      <c r="U526" cm="1">
        <f t="array" ref="U526">MAX(IF((DiscreteStatsTable[GroupByKey]=DiscreteStatsTable[[#This Row],[GroupByKey]]),(DiscreteStatsTable[GroupByKey]=DiscreteStatsTable[[#This Row],[GroupByKey]])*DiscreteStatsTable[Maximum]))</f>
        <v>1.41452080991047</v>
      </c>
      <c r="V526" cm="1">
        <f t="array" ref="V526">IFERROR(AVERAGE(IF((DiscreteStatsTable[GroupByKey]=DiscreteStatsTable[[#This Row],[GroupByKey]]),(DiscreteStatsTable[GroupByKey]=DiscreteStatsTable[[#This Row],[GroupByKey]])*DiscreteStatsTable[NumberObservations])),0)</f>
        <v>2262.66</v>
      </c>
      <c r="W526">
        <f>IF((DiscreteStatsTable[[#This Row],[RepsRequested]]&gt;1),DiscreteStatsTable[[#This Row],[HalfWidth]],DiscreteStatsTable[[#This Row],[BatchMeansHalfWidth]])</f>
        <v>1.3927091897695423E-3</v>
      </c>
      <c r="X526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131</v>
      </c>
      <c r="C527">
        <v>9</v>
      </c>
      <c r="D527" t="s">
        <v>86</v>
      </c>
      <c r="E527" t="s">
        <v>81</v>
      </c>
      <c r="F527" t="s">
        <v>80</v>
      </c>
      <c r="G527">
        <v>0.14920759074499901</v>
      </c>
      <c r="H527">
        <v>1.12805800231917E-3</v>
      </c>
      <c r="I527">
        <v>0.100000577163883</v>
      </c>
      <c r="J527">
        <v>0.19991807441294901</v>
      </c>
      <c r="K527">
        <v>2253</v>
      </c>
      <c r="L527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27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cm="1">
        <f t="array" ref="N527">IFERROR(AVERAGE(IF((DiscreteStatsTable[GroupByKey]=DiscreteStatsTable[[#This Row],[GroupByKey]]),(DiscreteStatsTable[GroupByKey]=DiscreteStatsTable[[#This Row],[GroupByKey]])*DiscreteStatsTable[Average])),0)</f>
        <v>0.15006283793025285</v>
      </c>
      <c r="O527" cm="1">
        <f t="array" ref="O527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27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27" cm="1">
        <f t="array" ref="R527">MIN(IF((DiscreteStatsTable[GroupByKey]=DiscreteStatsTable[[#This Row],[GroupByKey]]),(DiscreteStatsTable[GroupByKey]=DiscreteStatsTable[[#This Row],[GroupByKey]])*DiscreteStatsTable[Average]))</f>
        <v>0.14863412830584499</v>
      </c>
      <c r="S527" cm="1">
        <f t="array" ref="S527">MAX(IF((DiscreteStatsTable[GroupByKey]=DiscreteStatsTable[[#This Row],[GroupByKey]]),(DiscreteStatsTable[GroupByKey]=DiscreteStatsTable[[#This Row],[GroupByKey]])*DiscreteStatsTable[Average]))</f>
        <v>0.151606291486265</v>
      </c>
      <c r="T527" cm="1">
        <f t="array" ref="T527">MIN(IF((DiscreteStatsTable[GroupByKey]=DiscreteStatsTable[[#This Row],[GroupByKey]]),(DiscreteStatsTable[GroupByKey]=DiscreteStatsTable[[#This Row],[GroupByKey]])*DiscreteStatsTable[Minimum]))</f>
        <v>0.100000577163883</v>
      </c>
      <c r="U527" cm="1">
        <f t="array" ref="U527">MAX(IF((DiscreteStatsTable[GroupByKey]=DiscreteStatsTable[[#This Row],[GroupByKey]]),(DiscreteStatsTable[GroupByKey]=DiscreteStatsTable[[#This Row],[GroupByKey]])*DiscreteStatsTable[Maximum]))</f>
        <v>0.19999993084929499</v>
      </c>
      <c r="V527" cm="1">
        <f t="array" ref="V527">IFERROR(AVERAGE(IF((DiscreteStatsTable[GroupByKey]=DiscreteStatsTable[[#This Row],[GroupByKey]]),(DiscreteStatsTable[GroupByKey]=DiscreteStatsTable[[#This Row],[GroupByKey]])*DiscreteStatsTable[NumberObservations])),0)</f>
        <v>2262.66</v>
      </c>
      <c r="W527">
        <f>IF((DiscreteStatsTable[[#This Row],[RepsRequested]]&gt;1),DiscreteStatsTable[[#This Row],[HalfWidth]],DiscreteStatsTable[[#This Row],[BatchMeansHalfWidth]])</f>
        <v>1.7015423667850204E-4</v>
      </c>
      <c r="X527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131</v>
      </c>
      <c r="C528">
        <v>9</v>
      </c>
      <c r="D528" t="s">
        <v>86</v>
      </c>
      <c r="E528" t="s">
        <v>82</v>
      </c>
      <c r="F528" t="s">
        <v>80</v>
      </c>
      <c r="G528">
        <v>7.0045784413250406E-2</v>
      </c>
      <c r="H528">
        <v>9.1562860835176802E-3</v>
      </c>
      <c r="I528">
        <v>0</v>
      </c>
      <c r="J528">
        <v>0.77925978802812801</v>
      </c>
      <c r="K528">
        <v>2253</v>
      </c>
      <c r="L528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28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cm="1">
        <f t="array" ref="N528">IFERROR(AVERAGE(IF((DiscreteStatsTable[GroupByKey]=DiscreteStatsTable[[#This Row],[GroupByKey]]),(DiscreteStatsTable[GroupByKey]=DiscreteStatsTable[[#This Row],[GroupByKey]])*DiscreteStatsTable[Average])),0)</f>
        <v>6.8092291861787557E-2</v>
      </c>
      <c r="O528" cm="1">
        <f t="array" ref="O528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28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28" cm="1">
        <f t="array" ref="R528">MIN(IF((DiscreteStatsTable[GroupByKey]=DiscreteStatsTable[[#This Row],[GroupByKey]]),(DiscreteStatsTable[GroupByKey]=DiscreteStatsTable[[#This Row],[GroupByKey]])*DiscreteStatsTable[Average]))</f>
        <v>5.591228067423E-2</v>
      </c>
      <c r="S528" cm="1">
        <f t="array" ref="S528">MAX(IF((DiscreteStatsTable[GroupByKey]=DiscreteStatsTable[[#This Row],[GroupByKey]]),(DiscreteStatsTable[GroupByKey]=DiscreteStatsTable[[#This Row],[GroupByKey]])*DiscreteStatsTable[Average]))</f>
        <v>7.8817469083508104E-2</v>
      </c>
      <c r="T528" cm="1">
        <f t="array" ref="T528">MIN(IF((DiscreteStatsTable[GroupByKey]=DiscreteStatsTable[[#This Row],[GroupByKey]]),(DiscreteStatsTable[GroupByKey]=DiscreteStatsTable[[#This Row],[GroupByKey]])*DiscreteStatsTable[Minimum]))</f>
        <v>0</v>
      </c>
      <c r="U528" cm="1">
        <f t="array" ref="U528">MAX(IF((DiscreteStatsTable[GroupByKey]=DiscreteStatsTable[[#This Row],[GroupByKey]]),(DiscreteStatsTable[GroupByKey]=DiscreteStatsTable[[#This Row],[GroupByKey]])*DiscreteStatsTable[Maximum]))</f>
        <v>1.2170108122512</v>
      </c>
      <c r="V528" cm="1">
        <f t="array" ref="V528">IFERROR(AVERAGE(IF((DiscreteStatsTable[GroupByKey]=DiscreteStatsTable[[#This Row],[GroupByKey]]),(DiscreteStatsTable[GroupByKey]=DiscreteStatsTable[[#This Row],[GroupByKey]])*DiscreteStatsTable[NumberObservations])),0)</f>
        <v>2262.66</v>
      </c>
      <c r="W528">
        <f>IF((DiscreteStatsTable[[#This Row],[RepsRequested]]&gt;1),DiscreteStatsTable[[#This Row],[HalfWidth]],DiscreteStatsTable[[#This Row],[BatchMeansHalfWidth]])</f>
        <v>1.3221720552995685E-3</v>
      </c>
      <c r="X528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131</v>
      </c>
      <c r="C529">
        <v>10</v>
      </c>
      <c r="D529" t="s">
        <v>86</v>
      </c>
      <c r="E529" t="s">
        <v>79</v>
      </c>
      <c r="F529" t="s">
        <v>80</v>
      </c>
      <c r="G529">
        <v>0.22074710161469799</v>
      </c>
      <c r="H529">
        <v>9.1963906005873806E-3</v>
      </c>
      <c r="I529">
        <v>0.10008577648966401</v>
      </c>
      <c r="J529">
        <v>0.78596471705225202</v>
      </c>
      <c r="K529">
        <v>2371</v>
      </c>
      <c r="L529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29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cm="1">
        <f t="array" ref="N529">IFERROR(AVERAGE(IF((DiscreteStatsTable[GroupByKey]=DiscreteStatsTable[[#This Row],[GroupByKey]]),(DiscreteStatsTable[GroupByKey]=DiscreteStatsTable[[#This Row],[GroupByKey]])*DiscreteStatsTable[Average])),0)</f>
        <v>0.21815512979204044</v>
      </c>
      <c r="O529" cm="1">
        <f t="array" ref="O529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29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29" cm="1">
        <f t="array" ref="R529">MIN(IF((DiscreteStatsTable[GroupByKey]=DiscreteStatsTable[[#This Row],[GroupByKey]]),(DiscreteStatsTable[GroupByKey]=DiscreteStatsTable[[#This Row],[GroupByKey]])*DiscreteStatsTable[Average]))</f>
        <v>0.204996218905765</v>
      </c>
      <c r="S529" cm="1">
        <f t="array" ref="S529">MAX(IF((DiscreteStatsTable[GroupByKey]=DiscreteStatsTable[[#This Row],[GroupByKey]]),(DiscreteStatsTable[GroupByKey]=DiscreteStatsTable[[#This Row],[GroupByKey]])*DiscreteStatsTable[Average]))</f>
        <v>0.22907589413377599</v>
      </c>
      <c r="T529" cm="1">
        <f t="array" ref="T529">MIN(IF((DiscreteStatsTable[GroupByKey]=DiscreteStatsTable[[#This Row],[GroupByKey]]),(DiscreteStatsTable[GroupByKey]=DiscreteStatsTable[[#This Row],[GroupByKey]])*DiscreteStatsTable[Minimum]))</f>
        <v>0.100000577163883</v>
      </c>
      <c r="U529" cm="1">
        <f t="array" ref="U529">MAX(IF((DiscreteStatsTable[GroupByKey]=DiscreteStatsTable[[#This Row],[GroupByKey]]),(DiscreteStatsTable[GroupByKey]=DiscreteStatsTable[[#This Row],[GroupByKey]])*DiscreteStatsTable[Maximum]))</f>
        <v>1.41452080991047</v>
      </c>
      <c r="V529" cm="1">
        <f t="array" ref="V529">IFERROR(AVERAGE(IF((DiscreteStatsTable[GroupByKey]=DiscreteStatsTable[[#This Row],[GroupByKey]]),(DiscreteStatsTable[GroupByKey]=DiscreteStatsTable[[#This Row],[GroupByKey]])*DiscreteStatsTable[NumberObservations])),0)</f>
        <v>2262.66</v>
      </c>
      <c r="W529">
        <f>IF((DiscreteStatsTable[[#This Row],[RepsRequested]]&gt;1),DiscreteStatsTable[[#This Row],[HalfWidth]],DiscreteStatsTable[[#This Row],[BatchMeansHalfWidth]])</f>
        <v>1.3927091897695423E-3</v>
      </c>
      <c r="X529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131</v>
      </c>
      <c r="C530">
        <v>10</v>
      </c>
      <c r="D530" t="s">
        <v>86</v>
      </c>
      <c r="E530" t="s">
        <v>81</v>
      </c>
      <c r="F530" t="s">
        <v>80</v>
      </c>
      <c r="G530">
        <v>0.15002929949367699</v>
      </c>
      <c r="H530">
        <v>1.4931565344277701E-3</v>
      </c>
      <c r="I530">
        <v>0.100068209277083</v>
      </c>
      <c r="J530">
        <v>0.19997444890782401</v>
      </c>
      <c r="K530">
        <v>2371</v>
      </c>
      <c r="L530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30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cm="1">
        <f t="array" ref="N530">IFERROR(AVERAGE(IF((DiscreteStatsTable[GroupByKey]=DiscreteStatsTable[[#This Row],[GroupByKey]]),(DiscreteStatsTable[GroupByKey]=DiscreteStatsTable[[#This Row],[GroupByKey]])*DiscreteStatsTable[Average])),0)</f>
        <v>0.15006283793025285</v>
      </c>
      <c r="O530" cm="1">
        <f t="array" ref="O530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30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30" cm="1">
        <f t="array" ref="R530">MIN(IF((DiscreteStatsTable[GroupByKey]=DiscreteStatsTable[[#This Row],[GroupByKey]]),(DiscreteStatsTable[GroupByKey]=DiscreteStatsTable[[#This Row],[GroupByKey]])*DiscreteStatsTable[Average]))</f>
        <v>0.14863412830584499</v>
      </c>
      <c r="S530" cm="1">
        <f t="array" ref="S530">MAX(IF((DiscreteStatsTable[GroupByKey]=DiscreteStatsTable[[#This Row],[GroupByKey]]),(DiscreteStatsTable[GroupByKey]=DiscreteStatsTable[[#This Row],[GroupByKey]])*DiscreteStatsTable[Average]))</f>
        <v>0.151606291486265</v>
      </c>
      <c r="T530" cm="1">
        <f t="array" ref="T530">MIN(IF((DiscreteStatsTable[GroupByKey]=DiscreteStatsTable[[#This Row],[GroupByKey]]),(DiscreteStatsTable[GroupByKey]=DiscreteStatsTable[[#This Row],[GroupByKey]])*DiscreteStatsTable[Minimum]))</f>
        <v>0.100000577163883</v>
      </c>
      <c r="U530" cm="1">
        <f t="array" ref="U530">MAX(IF((DiscreteStatsTable[GroupByKey]=DiscreteStatsTable[[#This Row],[GroupByKey]]),(DiscreteStatsTable[GroupByKey]=DiscreteStatsTable[[#This Row],[GroupByKey]])*DiscreteStatsTable[Maximum]))</f>
        <v>0.19999993084929499</v>
      </c>
      <c r="V530" cm="1">
        <f t="array" ref="V530">IFERROR(AVERAGE(IF((DiscreteStatsTable[GroupByKey]=DiscreteStatsTable[[#This Row],[GroupByKey]]),(DiscreteStatsTable[GroupByKey]=DiscreteStatsTable[[#This Row],[GroupByKey]])*DiscreteStatsTable[NumberObservations])),0)</f>
        <v>2262.66</v>
      </c>
      <c r="W530">
        <f>IF((DiscreteStatsTable[[#This Row],[RepsRequested]]&gt;1),DiscreteStatsTable[[#This Row],[HalfWidth]],DiscreteStatsTable[[#This Row],[BatchMeansHalfWidth]])</f>
        <v>1.7015423667850204E-4</v>
      </c>
      <c r="X530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131</v>
      </c>
      <c r="C531">
        <v>10</v>
      </c>
      <c r="D531" t="s">
        <v>86</v>
      </c>
      <c r="E531" t="s">
        <v>82</v>
      </c>
      <c r="F531" t="s">
        <v>80</v>
      </c>
      <c r="G531">
        <v>7.0717802121021106E-2</v>
      </c>
      <c r="H531">
        <v>9.1926129259966502E-3</v>
      </c>
      <c r="I531">
        <v>0</v>
      </c>
      <c r="J531">
        <v>0.64159900266133696</v>
      </c>
      <c r="K531">
        <v>2371</v>
      </c>
      <c r="L531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31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cm="1">
        <f t="array" ref="N531">IFERROR(AVERAGE(IF((DiscreteStatsTable[GroupByKey]=DiscreteStatsTable[[#This Row],[GroupByKey]]),(DiscreteStatsTable[GroupByKey]=DiscreteStatsTable[[#This Row],[GroupByKey]])*DiscreteStatsTable[Average])),0)</f>
        <v>6.8092291861787557E-2</v>
      </c>
      <c r="O531" cm="1">
        <f t="array" ref="O531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31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31" cm="1">
        <f t="array" ref="R531">MIN(IF((DiscreteStatsTable[GroupByKey]=DiscreteStatsTable[[#This Row],[GroupByKey]]),(DiscreteStatsTable[GroupByKey]=DiscreteStatsTable[[#This Row],[GroupByKey]])*DiscreteStatsTable[Average]))</f>
        <v>5.591228067423E-2</v>
      </c>
      <c r="S531" cm="1">
        <f t="array" ref="S531">MAX(IF((DiscreteStatsTable[GroupByKey]=DiscreteStatsTable[[#This Row],[GroupByKey]]),(DiscreteStatsTable[GroupByKey]=DiscreteStatsTable[[#This Row],[GroupByKey]])*DiscreteStatsTable[Average]))</f>
        <v>7.8817469083508104E-2</v>
      </c>
      <c r="T531" cm="1">
        <f t="array" ref="T531">MIN(IF((DiscreteStatsTable[GroupByKey]=DiscreteStatsTable[[#This Row],[GroupByKey]]),(DiscreteStatsTable[GroupByKey]=DiscreteStatsTable[[#This Row],[GroupByKey]])*DiscreteStatsTable[Minimum]))</f>
        <v>0</v>
      </c>
      <c r="U531" cm="1">
        <f t="array" ref="U531">MAX(IF((DiscreteStatsTable[GroupByKey]=DiscreteStatsTable[[#This Row],[GroupByKey]]),(DiscreteStatsTable[GroupByKey]=DiscreteStatsTable[[#This Row],[GroupByKey]])*DiscreteStatsTable[Maximum]))</f>
        <v>1.2170108122512</v>
      </c>
      <c r="V531" cm="1">
        <f t="array" ref="V531">IFERROR(AVERAGE(IF((DiscreteStatsTable[GroupByKey]=DiscreteStatsTable[[#This Row],[GroupByKey]]),(DiscreteStatsTable[GroupByKey]=DiscreteStatsTable[[#This Row],[GroupByKey]])*DiscreteStatsTable[NumberObservations])),0)</f>
        <v>2262.66</v>
      </c>
      <c r="W531">
        <f>IF((DiscreteStatsTable[[#This Row],[RepsRequested]]&gt;1),DiscreteStatsTable[[#This Row],[HalfWidth]],DiscreteStatsTable[[#This Row],[BatchMeansHalfWidth]])</f>
        <v>1.3221720552995685E-3</v>
      </c>
      <c r="X531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131</v>
      </c>
      <c r="C532">
        <v>11</v>
      </c>
      <c r="D532" t="s">
        <v>86</v>
      </c>
      <c r="E532" t="s">
        <v>79</v>
      </c>
      <c r="F532" t="s">
        <v>80</v>
      </c>
      <c r="G532">
        <v>0.216906210201881</v>
      </c>
      <c r="H532">
        <v>1.08667888573448E-2</v>
      </c>
      <c r="I532">
        <v>0.10000086273071</v>
      </c>
      <c r="J532">
        <v>0.99374983527030702</v>
      </c>
      <c r="K532">
        <v>2308</v>
      </c>
      <c r="L532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32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cm="1">
        <f t="array" ref="N532">IFERROR(AVERAGE(IF((DiscreteStatsTable[GroupByKey]=DiscreteStatsTable[[#This Row],[GroupByKey]]),(DiscreteStatsTable[GroupByKey]=DiscreteStatsTable[[#This Row],[GroupByKey]])*DiscreteStatsTable[Average])),0)</f>
        <v>0.21815512979204044</v>
      </c>
      <c r="O532" cm="1">
        <f t="array" ref="O532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32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32" cm="1">
        <f t="array" ref="R532">MIN(IF((DiscreteStatsTable[GroupByKey]=DiscreteStatsTable[[#This Row],[GroupByKey]]),(DiscreteStatsTable[GroupByKey]=DiscreteStatsTable[[#This Row],[GroupByKey]])*DiscreteStatsTable[Average]))</f>
        <v>0.204996218905765</v>
      </c>
      <c r="S532" cm="1">
        <f t="array" ref="S532">MAX(IF((DiscreteStatsTable[GroupByKey]=DiscreteStatsTable[[#This Row],[GroupByKey]]),(DiscreteStatsTable[GroupByKey]=DiscreteStatsTable[[#This Row],[GroupByKey]])*DiscreteStatsTable[Average]))</f>
        <v>0.22907589413377599</v>
      </c>
      <c r="T532" cm="1">
        <f t="array" ref="T532">MIN(IF((DiscreteStatsTable[GroupByKey]=DiscreteStatsTable[[#This Row],[GroupByKey]]),(DiscreteStatsTable[GroupByKey]=DiscreteStatsTable[[#This Row],[GroupByKey]])*DiscreteStatsTable[Minimum]))</f>
        <v>0.100000577163883</v>
      </c>
      <c r="U532" cm="1">
        <f t="array" ref="U532">MAX(IF((DiscreteStatsTable[GroupByKey]=DiscreteStatsTable[[#This Row],[GroupByKey]]),(DiscreteStatsTable[GroupByKey]=DiscreteStatsTable[[#This Row],[GroupByKey]])*DiscreteStatsTable[Maximum]))</f>
        <v>1.41452080991047</v>
      </c>
      <c r="V532" cm="1">
        <f t="array" ref="V532">IFERROR(AVERAGE(IF((DiscreteStatsTable[GroupByKey]=DiscreteStatsTable[[#This Row],[GroupByKey]]),(DiscreteStatsTable[GroupByKey]=DiscreteStatsTable[[#This Row],[GroupByKey]])*DiscreteStatsTable[NumberObservations])),0)</f>
        <v>2262.66</v>
      </c>
      <c r="W532">
        <f>IF((DiscreteStatsTable[[#This Row],[RepsRequested]]&gt;1),DiscreteStatsTable[[#This Row],[HalfWidth]],DiscreteStatsTable[[#This Row],[BatchMeansHalfWidth]])</f>
        <v>1.3927091897695423E-3</v>
      </c>
      <c r="X532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131</v>
      </c>
      <c r="C533">
        <v>11</v>
      </c>
      <c r="D533" t="s">
        <v>86</v>
      </c>
      <c r="E533" t="s">
        <v>81</v>
      </c>
      <c r="F533" t="s">
        <v>80</v>
      </c>
      <c r="G533">
        <v>0.150174301386058</v>
      </c>
      <c r="H533">
        <v>3E+20</v>
      </c>
      <c r="I533">
        <v>0.10000086273071</v>
      </c>
      <c r="J533">
        <v>0.19990468238950099</v>
      </c>
      <c r="K533">
        <v>2308</v>
      </c>
      <c r="L533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33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cm="1">
        <f t="array" ref="N533">IFERROR(AVERAGE(IF((DiscreteStatsTable[GroupByKey]=DiscreteStatsTable[[#This Row],[GroupByKey]]),(DiscreteStatsTable[GroupByKey]=DiscreteStatsTable[[#This Row],[GroupByKey]])*DiscreteStatsTable[Average])),0)</f>
        <v>0.15006283793025285</v>
      </c>
      <c r="O533" cm="1">
        <f t="array" ref="O533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33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33" cm="1">
        <f t="array" ref="R533">MIN(IF((DiscreteStatsTable[GroupByKey]=DiscreteStatsTable[[#This Row],[GroupByKey]]),(DiscreteStatsTable[GroupByKey]=DiscreteStatsTable[[#This Row],[GroupByKey]])*DiscreteStatsTable[Average]))</f>
        <v>0.14863412830584499</v>
      </c>
      <c r="S533" cm="1">
        <f t="array" ref="S533">MAX(IF((DiscreteStatsTable[GroupByKey]=DiscreteStatsTable[[#This Row],[GroupByKey]]),(DiscreteStatsTable[GroupByKey]=DiscreteStatsTable[[#This Row],[GroupByKey]])*DiscreteStatsTable[Average]))</f>
        <v>0.151606291486265</v>
      </c>
      <c r="T533" cm="1">
        <f t="array" ref="T533">MIN(IF((DiscreteStatsTable[GroupByKey]=DiscreteStatsTable[[#This Row],[GroupByKey]]),(DiscreteStatsTable[GroupByKey]=DiscreteStatsTable[[#This Row],[GroupByKey]])*DiscreteStatsTable[Minimum]))</f>
        <v>0.100000577163883</v>
      </c>
      <c r="U533" cm="1">
        <f t="array" ref="U533">MAX(IF((DiscreteStatsTable[GroupByKey]=DiscreteStatsTable[[#This Row],[GroupByKey]]),(DiscreteStatsTable[GroupByKey]=DiscreteStatsTable[[#This Row],[GroupByKey]])*DiscreteStatsTable[Maximum]))</f>
        <v>0.19999993084929499</v>
      </c>
      <c r="V533" cm="1">
        <f t="array" ref="V533">IFERROR(AVERAGE(IF((DiscreteStatsTable[GroupByKey]=DiscreteStatsTable[[#This Row],[GroupByKey]]),(DiscreteStatsTable[GroupByKey]=DiscreteStatsTable[[#This Row],[GroupByKey]])*DiscreteStatsTable[NumberObservations])),0)</f>
        <v>2262.66</v>
      </c>
      <c r="W533">
        <f>IF((DiscreteStatsTable[[#This Row],[RepsRequested]]&gt;1),DiscreteStatsTable[[#This Row],[HalfWidth]],DiscreteStatsTable[[#This Row],[BatchMeansHalfWidth]])</f>
        <v>1.7015423667850204E-4</v>
      </c>
      <c r="X533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131</v>
      </c>
      <c r="C534">
        <v>11</v>
      </c>
      <c r="D534" t="s">
        <v>86</v>
      </c>
      <c r="E534" t="s">
        <v>82</v>
      </c>
      <c r="F534" t="s">
        <v>80</v>
      </c>
      <c r="G534">
        <v>6.6731908815824095E-2</v>
      </c>
      <c r="H534">
        <v>1.05431418170272E-2</v>
      </c>
      <c r="I534">
        <v>0</v>
      </c>
      <c r="J534">
        <v>0.79820374490742596</v>
      </c>
      <c r="K534">
        <v>2308</v>
      </c>
      <c r="L534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34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cm="1">
        <f t="array" ref="N534">IFERROR(AVERAGE(IF((DiscreteStatsTable[GroupByKey]=DiscreteStatsTable[[#This Row],[GroupByKey]]),(DiscreteStatsTable[GroupByKey]=DiscreteStatsTable[[#This Row],[GroupByKey]])*DiscreteStatsTable[Average])),0)</f>
        <v>6.8092291861787557E-2</v>
      </c>
      <c r="O534" cm="1">
        <f t="array" ref="O534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34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34" cm="1">
        <f t="array" ref="R534">MIN(IF((DiscreteStatsTable[GroupByKey]=DiscreteStatsTable[[#This Row],[GroupByKey]]),(DiscreteStatsTable[GroupByKey]=DiscreteStatsTable[[#This Row],[GroupByKey]])*DiscreteStatsTable[Average]))</f>
        <v>5.591228067423E-2</v>
      </c>
      <c r="S534" cm="1">
        <f t="array" ref="S534">MAX(IF((DiscreteStatsTable[GroupByKey]=DiscreteStatsTable[[#This Row],[GroupByKey]]),(DiscreteStatsTable[GroupByKey]=DiscreteStatsTable[[#This Row],[GroupByKey]])*DiscreteStatsTable[Average]))</f>
        <v>7.8817469083508104E-2</v>
      </c>
      <c r="T534" cm="1">
        <f t="array" ref="T534">MIN(IF((DiscreteStatsTable[GroupByKey]=DiscreteStatsTable[[#This Row],[GroupByKey]]),(DiscreteStatsTable[GroupByKey]=DiscreteStatsTable[[#This Row],[GroupByKey]])*DiscreteStatsTable[Minimum]))</f>
        <v>0</v>
      </c>
      <c r="U534" cm="1">
        <f t="array" ref="U534">MAX(IF((DiscreteStatsTable[GroupByKey]=DiscreteStatsTable[[#This Row],[GroupByKey]]),(DiscreteStatsTable[GroupByKey]=DiscreteStatsTable[[#This Row],[GroupByKey]])*DiscreteStatsTable[Maximum]))</f>
        <v>1.2170108122512</v>
      </c>
      <c r="V534" cm="1">
        <f t="array" ref="V534">IFERROR(AVERAGE(IF((DiscreteStatsTable[GroupByKey]=DiscreteStatsTable[[#This Row],[GroupByKey]]),(DiscreteStatsTable[GroupByKey]=DiscreteStatsTable[[#This Row],[GroupByKey]])*DiscreteStatsTable[NumberObservations])),0)</f>
        <v>2262.66</v>
      </c>
      <c r="W534">
        <f>IF((DiscreteStatsTable[[#This Row],[RepsRequested]]&gt;1),DiscreteStatsTable[[#This Row],[HalfWidth]],DiscreteStatsTable[[#This Row],[BatchMeansHalfWidth]])</f>
        <v>1.3221720552995685E-3</v>
      </c>
      <c r="X534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131</v>
      </c>
      <c r="C535">
        <v>12</v>
      </c>
      <c r="D535" t="s">
        <v>86</v>
      </c>
      <c r="E535" t="s">
        <v>79</v>
      </c>
      <c r="F535" t="s">
        <v>80</v>
      </c>
      <c r="G535">
        <v>0.22277959878672299</v>
      </c>
      <c r="H535">
        <v>1.0768147528368899E-2</v>
      </c>
      <c r="I535">
        <v>0.10005446647093701</v>
      </c>
      <c r="J535">
        <v>1.0161312761969199</v>
      </c>
      <c r="K535">
        <v>2254</v>
      </c>
      <c r="L535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3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cm="1">
        <f t="array" ref="N535">IFERROR(AVERAGE(IF((DiscreteStatsTable[GroupByKey]=DiscreteStatsTable[[#This Row],[GroupByKey]]),(DiscreteStatsTable[GroupByKey]=DiscreteStatsTable[[#This Row],[GroupByKey]])*DiscreteStatsTable[Average])),0)</f>
        <v>0.21815512979204044</v>
      </c>
      <c r="O535" cm="1">
        <f t="array" ref="O535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3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35" cm="1">
        <f t="array" ref="R535">MIN(IF((DiscreteStatsTable[GroupByKey]=DiscreteStatsTable[[#This Row],[GroupByKey]]),(DiscreteStatsTable[GroupByKey]=DiscreteStatsTable[[#This Row],[GroupByKey]])*DiscreteStatsTable[Average]))</f>
        <v>0.204996218905765</v>
      </c>
      <c r="S535" cm="1">
        <f t="array" ref="S535">MAX(IF((DiscreteStatsTable[GroupByKey]=DiscreteStatsTable[[#This Row],[GroupByKey]]),(DiscreteStatsTable[GroupByKey]=DiscreteStatsTable[[#This Row],[GroupByKey]])*DiscreteStatsTable[Average]))</f>
        <v>0.22907589413377599</v>
      </c>
      <c r="T535" cm="1">
        <f t="array" ref="T535">MIN(IF((DiscreteStatsTable[GroupByKey]=DiscreteStatsTable[[#This Row],[GroupByKey]]),(DiscreteStatsTable[GroupByKey]=DiscreteStatsTable[[#This Row],[GroupByKey]])*DiscreteStatsTable[Minimum]))</f>
        <v>0.100000577163883</v>
      </c>
      <c r="U535" cm="1">
        <f t="array" ref="U535">MAX(IF((DiscreteStatsTable[GroupByKey]=DiscreteStatsTable[[#This Row],[GroupByKey]]),(DiscreteStatsTable[GroupByKey]=DiscreteStatsTable[[#This Row],[GroupByKey]])*DiscreteStatsTable[Maximum]))</f>
        <v>1.41452080991047</v>
      </c>
      <c r="V535" cm="1">
        <f t="array" ref="V535">IFERROR(AVERAGE(IF((DiscreteStatsTable[GroupByKey]=DiscreteStatsTable[[#This Row],[GroupByKey]]),(DiscreteStatsTable[GroupByKey]=DiscreteStatsTable[[#This Row],[GroupByKey]])*DiscreteStatsTable[NumberObservations])),0)</f>
        <v>2262.66</v>
      </c>
      <c r="W535">
        <f>IF((DiscreteStatsTable[[#This Row],[RepsRequested]]&gt;1),DiscreteStatsTable[[#This Row],[HalfWidth]],DiscreteStatsTable[[#This Row],[BatchMeansHalfWidth]])</f>
        <v>1.3927091897695423E-3</v>
      </c>
      <c r="X53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131</v>
      </c>
      <c r="C536">
        <v>12</v>
      </c>
      <c r="D536" t="s">
        <v>86</v>
      </c>
      <c r="E536" t="s">
        <v>81</v>
      </c>
      <c r="F536" t="s">
        <v>80</v>
      </c>
      <c r="G536">
        <v>0.15022353235779501</v>
      </c>
      <c r="H536">
        <v>1.03715275450751E-3</v>
      </c>
      <c r="I536">
        <v>0.10005446647093701</v>
      </c>
      <c r="J536">
        <v>0.199942402166357</v>
      </c>
      <c r="K536">
        <v>2254</v>
      </c>
      <c r="L536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36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cm="1">
        <f t="array" ref="N536">IFERROR(AVERAGE(IF((DiscreteStatsTable[GroupByKey]=DiscreteStatsTable[[#This Row],[GroupByKey]]),(DiscreteStatsTable[GroupByKey]=DiscreteStatsTable[[#This Row],[GroupByKey]])*DiscreteStatsTable[Average])),0)</f>
        <v>0.15006283793025285</v>
      </c>
      <c r="O536" cm="1">
        <f t="array" ref="O536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36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36" cm="1">
        <f t="array" ref="R536">MIN(IF((DiscreteStatsTable[GroupByKey]=DiscreteStatsTable[[#This Row],[GroupByKey]]),(DiscreteStatsTable[GroupByKey]=DiscreteStatsTable[[#This Row],[GroupByKey]])*DiscreteStatsTable[Average]))</f>
        <v>0.14863412830584499</v>
      </c>
      <c r="S536" cm="1">
        <f t="array" ref="S536">MAX(IF((DiscreteStatsTable[GroupByKey]=DiscreteStatsTable[[#This Row],[GroupByKey]]),(DiscreteStatsTable[GroupByKey]=DiscreteStatsTable[[#This Row],[GroupByKey]])*DiscreteStatsTable[Average]))</f>
        <v>0.151606291486265</v>
      </c>
      <c r="T536" cm="1">
        <f t="array" ref="T536">MIN(IF((DiscreteStatsTable[GroupByKey]=DiscreteStatsTable[[#This Row],[GroupByKey]]),(DiscreteStatsTable[GroupByKey]=DiscreteStatsTable[[#This Row],[GroupByKey]])*DiscreteStatsTable[Minimum]))</f>
        <v>0.100000577163883</v>
      </c>
      <c r="U536" cm="1">
        <f t="array" ref="U536">MAX(IF((DiscreteStatsTable[GroupByKey]=DiscreteStatsTable[[#This Row],[GroupByKey]]),(DiscreteStatsTable[GroupByKey]=DiscreteStatsTable[[#This Row],[GroupByKey]])*DiscreteStatsTable[Maximum]))</f>
        <v>0.19999993084929499</v>
      </c>
      <c r="V536" cm="1">
        <f t="array" ref="V536">IFERROR(AVERAGE(IF((DiscreteStatsTable[GroupByKey]=DiscreteStatsTable[[#This Row],[GroupByKey]]),(DiscreteStatsTable[GroupByKey]=DiscreteStatsTable[[#This Row],[GroupByKey]])*DiscreteStatsTable[NumberObservations])),0)</f>
        <v>2262.66</v>
      </c>
      <c r="W536">
        <f>IF((DiscreteStatsTable[[#This Row],[RepsRequested]]&gt;1),DiscreteStatsTable[[#This Row],[HalfWidth]],DiscreteStatsTable[[#This Row],[BatchMeansHalfWidth]])</f>
        <v>1.7015423667850204E-4</v>
      </c>
      <c r="X536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131</v>
      </c>
      <c r="C537">
        <v>12</v>
      </c>
      <c r="D537" t="s">
        <v>86</v>
      </c>
      <c r="E537" t="s">
        <v>82</v>
      </c>
      <c r="F537" t="s">
        <v>80</v>
      </c>
      <c r="G537">
        <v>7.2556066428927701E-2</v>
      </c>
      <c r="H537">
        <v>1.07272633331528E-2</v>
      </c>
      <c r="I537">
        <v>0</v>
      </c>
      <c r="J537">
        <v>0.86756515045607296</v>
      </c>
      <c r="K537">
        <v>2254</v>
      </c>
      <c r="L537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37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cm="1">
        <f t="array" ref="N537">IFERROR(AVERAGE(IF((DiscreteStatsTable[GroupByKey]=DiscreteStatsTable[[#This Row],[GroupByKey]]),(DiscreteStatsTable[GroupByKey]=DiscreteStatsTable[[#This Row],[GroupByKey]])*DiscreteStatsTable[Average])),0)</f>
        <v>6.8092291861787557E-2</v>
      </c>
      <c r="O537" cm="1">
        <f t="array" ref="O537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37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37" cm="1">
        <f t="array" ref="R537">MIN(IF((DiscreteStatsTable[GroupByKey]=DiscreteStatsTable[[#This Row],[GroupByKey]]),(DiscreteStatsTable[GroupByKey]=DiscreteStatsTable[[#This Row],[GroupByKey]])*DiscreteStatsTable[Average]))</f>
        <v>5.591228067423E-2</v>
      </c>
      <c r="S537" cm="1">
        <f t="array" ref="S537">MAX(IF((DiscreteStatsTable[GroupByKey]=DiscreteStatsTable[[#This Row],[GroupByKey]]),(DiscreteStatsTable[GroupByKey]=DiscreteStatsTable[[#This Row],[GroupByKey]])*DiscreteStatsTable[Average]))</f>
        <v>7.8817469083508104E-2</v>
      </c>
      <c r="T537" cm="1">
        <f t="array" ref="T537">MIN(IF((DiscreteStatsTable[GroupByKey]=DiscreteStatsTable[[#This Row],[GroupByKey]]),(DiscreteStatsTable[GroupByKey]=DiscreteStatsTable[[#This Row],[GroupByKey]])*DiscreteStatsTable[Minimum]))</f>
        <v>0</v>
      </c>
      <c r="U537" cm="1">
        <f t="array" ref="U537">MAX(IF((DiscreteStatsTable[GroupByKey]=DiscreteStatsTable[[#This Row],[GroupByKey]]),(DiscreteStatsTable[GroupByKey]=DiscreteStatsTable[[#This Row],[GroupByKey]])*DiscreteStatsTable[Maximum]))</f>
        <v>1.2170108122512</v>
      </c>
      <c r="V537" cm="1">
        <f t="array" ref="V537">IFERROR(AVERAGE(IF((DiscreteStatsTable[GroupByKey]=DiscreteStatsTable[[#This Row],[GroupByKey]]),(DiscreteStatsTable[GroupByKey]=DiscreteStatsTable[[#This Row],[GroupByKey]])*DiscreteStatsTable[NumberObservations])),0)</f>
        <v>2262.66</v>
      </c>
      <c r="W537">
        <f>IF((DiscreteStatsTable[[#This Row],[RepsRequested]]&gt;1),DiscreteStatsTable[[#This Row],[HalfWidth]],DiscreteStatsTable[[#This Row],[BatchMeansHalfWidth]])</f>
        <v>1.3221720552995685E-3</v>
      </c>
      <c r="X537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131</v>
      </c>
      <c r="C538">
        <v>13</v>
      </c>
      <c r="D538" t="s">
        <v>86</v>
      </c>
      <c r="E538" t="s">
        <v>79</v>
      </c>
      <c r="F538" t="s">
        <v>80</v>
      </c>
      <c r="G538">
        <v>0.22524586870410099</v>
      </c>
      <c r="H538">
        <v>1.35206949539646E-2</v>
      </c>
      <c r="I538">
        <v>0.100108048488039</v>
      </c>
      <c r="J538">
        <v>1.0534018236974101</v>
      </c>
      <c r="K538">
        <v>2265</v>
      </c>
      <c r="L538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38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cm="1">
        <f t="array" ref="N538">IFERROR(AVERAGE(IF((DiscreteStatsTable[GroupByKey]=DiscreteStatsTable[[#This Row],[GroupByKey]]),(DiscreteStatsTable[GroupByKey]=DiscreteStatsTable[[#This Row],[GroupByKey]])*DiscreteStatsTable[Average])),0)</f>
        <v>0.21815512979204044</v>
      </c>
      <c r="O538" cm="1">
        <f t="array" ref="O538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38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38" cm="1">
        <f t="array" ref="R538">MIN(IF((DiscreteStatsTable[GroupByKey]=DiscreteStatsTable[[#This Row],[GroupByKey]]),(DiscreteStatsTable[GroupByKey]=DiscreteStatsTable[[#This Row],[GroupByKey]])*DiscreteStatsTable[Average]))</f>
        <v>0.204996218905765</v>
      </c>
      <c r="S538" cm="1">
        <f t="array" ref="S538">MAX(IF((DiscreteStatsTable[GroupByKey]=DiscreteStatsTable[[#This Row],[GroupByKey]]),(DiscreteStatsTable[GroupByKey]=DiscreteStatsTable[[#This Row],[GroupByKey]])*DiscreteStatsTable[Average]))</f>
        <v>0.22907589413377599</v>
      </c>
      <c r="T538" cm="1">
        <f t="array" ref="T538">MIN(IF((DiscreteStatsTable[GroupByKey]=DiscreteStatsTable[[#This Row],[GroupByKey]]),(DiscreteStatsTable[GroupByKey]=DiscreteStatsTable[[#This Row],[GroupByKey]])*DiscreteStatsTable[Minimum]))</f>
        <v>0.100000577163883</v>
      </c>
      <c r="U538" cm="1">
        <f t="array" ref="U538">MAX(IF((DiscreteStatsTable[GroupByKey]=DiscreteStatsTable[[#This Row],[GroupByKey]]),(DiscreteStatsTable[GroupByKey]=DiscreteStatsTable[[#This Row],[GroupByKey]])*DiscreteStatsTable[Maximum]))</f>
        <v>1.41452080991047</v>
      </c>
      <c r="V538" cm="1">
        <f t="array" ref="V538">IFERROR(AVERAGE(IF((DiscreteStatsTable[GroupByKey]=DiscreteStatsTable[[#This Row],[GroupByKey]]),(DiscreteStatsTable[GroupByKey]=DiscreteStatsTable[[#This Row],[GroupByKey]])*DiscreteStatsTable[NumberObservations])),0)</f>
        <v>2262.66</v>
      </c>
      <c r="W538">
        <f>IF((DiscreteStatsTable[[#This Row],[RepsRequested]]&gt;1),DiscreteStatsTable[[#This Row],[HalfWidth]],DiscreteStatsTable[[#This Row],[BatchMeansHalfWidth]])</f>
        <v>1.3927091897695423E-3</v>
      </c>
      <c r="X538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131</v>
      </c>
      <c r="C539">
        <v>13</v>
      </c>
      <c r="D539" t="s">
        <v>86</v>
      </c>
      <c r="E539" t="s">
        <v>81</v>
      </c>
      <c r="F539" t="s">
        <v>80</v>
      </c>
      <c r="G539">
        <v>0.15017457510997401</v>
      </c>
      <c r="H539">
        <v>1.1835466206834601E-3</v>
      </c>
      <c r="I539">
        <v>0.10002315694112</v>
      </c>
      <c r="J539">
        <v>0.19994517049951799</v>
      </c>
      <c r="K539">
        <v>2265</v>
      </c>
      <c r="L539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39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cm="1">
        <f t="array" ref="N539">IFERROR(AVERAGE(IF((DiscreteStatsTable[GroupByKey]=DiscreteStatsTable[[#This Row],[GroupByKey]]),(DiscreteStatsTable[GroupByKey]=DiscreteStatsTable[[#This Row],[GroupByKey]])*DiscreteStatsTable[Average])),0)</f>
        <v>0.15006283793025285</v>
      </c>
      <c r="O539" cm="1">
        <f t="array" ref="O539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39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39" cm="1">
        <f t="array" ref="R539">MIN(IF((DiscreteStatsTable[GroupByKey]=DiscreteStatsTable[[#This Row],[GroupByKey]]),(DiscreteStatsTable[GroupByKey]=DiscreteStatsTable[[#This Row],[GroupByKey]])*DiscreteStatsTable[Average]))</f>
        <v>0.14863412830584499</v>
      </c>
      <c r="S539" cm="1">
        <f t="array" ref="S539">MAX(IF((DiscreteStatsTable[GroupByKey]=DiscreteStatsTable[[#This Row],[GroupByKey]]),(DiscreteStatsTable[GroupByKey]=DiscreteStatsTable[[#This Row],[GroupByKey]])*DiscreteStatsTable[Average]))</f>
        <v>0.151606291486265</v>
      </c>
      <c r="T539" cm="1">
        <f t="array" ref="T539">MIN(IF((DiscreteStatsTable[GroupByKey]=DiscreteStatsTable[[#This Row],[GroupByKey]]),(DiscreteStatsTable[GroupByKey]=DiscreteStatsTable[[#This Row],[GroupByKey]])*DiscreteStatsTable[Minimum]))</f>
        <v>0.100000577163883</v>
      </c>
      <c r="U539" cm="1">
        <f t="array" ref="U539">MAX(IF((DiscreteStatsTable[GroupByKey]=DiscreteStatsTable[[#This Row],[GroupByKey]]),(DiscreteStatsTable[GroupByKey]=DiscreteStatsTable[[#This Row],[GroupByKey]])*DiscreteStatsTable[Maximum]))</f>
        <v>0.19999993084929499</v>
      </c>
      <c r="V539" cm="1">
        <f t="array" ref="V539">IFERROR(AVERAGE(IF((DiscreteStatsTable[GroupByKey]=DiscreteStatsTable[[#This Row],[GroupByKey]]),(DiscreteStatsTable[GroupByKey]=DiscreteStatsTable[[#This Row],[GroupByKey]])*DiscreteStatsTable[NumberObservations])),0)</f>
        <v>2262.66</v>
      </c>
      <c r="W539">
        <f>IF((DiscreteStatsTable[[#This Row],[RepsRequested]]&gt;1),DiscreteStatsTable[[#This Row],[HalfWidth]],DiscreteStatsTable[[#This Row],[BatchMeansHalfWidth]])</f>
        <v>1.7015423667850204E-4</v>
      </c>
      <c r="X539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131</v>
      </c>
      <c r="C540">
        <v>13</v>
      </c>
      <c r="D540" t="s">
        <v>86</v>
      </c>
      <c r="E540" t="s">
        <v>82</v>
      </c>
      <c r="F540" t="s">
        <v>80</v>
      </c>
      <c r="G540">
        <v>7.5071293594126995E-2</v>
      </c>
      <c r="H540">
        <v>1.3138030489798801E-2</v>
      </c>
      <c r="I540">
        <v>0</v>
      </c>
      <c r="J540">
        <v>0.91752881282695897</v>
      </c>
      <c r="K540">
        <v>2265</v>
      </c>
      <c r="L540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40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cm="1">
        <f t="array" ref="N540">IFERROR(AVERAGE(IF((DiscreteStatsTable[GroupByKey]=DiscreteStatsTable[[#This Row],[GroupByKey]]),(DiscreteStatsTable[GroupByKey]=DiscreteStatsTable[[#This Row],[GroupByKey]])*DiscreteStatsTable[Average])),0)</f>
        <v>6.8092291861787557E-2</v>
      </c>
      <c r="O540" cm="1">
        <f t="array" ref="O540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40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40" cm="1">
        <f t="array" ref="R540">MIN(IF((DiscreteStatsTable[GroupByKey]=DiscreteStatsTable[[#This Row],[GroupByKey]]),(DiscreteStatsTable[GroupByKey]=DiscreteStatsTable[[#This Row],[GroupByKey]])*DiscreteStatsTable[Average]))</f>
        <v>5.591228067423E-2</v>
      </c>
      <c r="S540" cm="1">
        <f t="array" ref="S540">MAX(IF((DiscreteStatsTable[GroupByKey]=DiscreteStatsTable[[#This Row],[GroupByKey]]),(DiscreteStatsTable[GroupByKey]=DiscreteStatsTable[[#This Row],[GroupByKey]])*DiscreteStatsTable[Average]))</f>
        <v>7.8817469083508104E-2</v>
      </c>
      <c r="T540" cm="1">
        <f t="array" ref="T540">MIN(IF((DiscreteStatsTable[GroupByKey]=DiscreteStatsTable[[#This Row],[GroupByKey]]),(DiscreteStatsTable[GroupByKey]=DiscreteStatsTable[[#This Row],[GroupByKey]])*DiscreteStatsTable[Minimum]))</f>
        <v>0</v>
      </c>
      <c r="U540" cm="1">
        <f t="array" ref="U540">MAX(IF((DiscreteStatsTable[GroupByKey]=DiscreteStatsTable[[#This Row],[GroupByKey]]),(DiscreteStatsTable[GroupByKey]=DiscreteStatsTable[[#This Row],[GroupByKey]])*DiscreteStatsTable[Maximum]))</f>
        <v>1.2170108122512</v>
      </c>
      <c r="V540" cm="1">
        <f t="array" ref="V540">IFERROR(AVERAGE(IF((DiscreteStatsTable[GroupByKey]=DiscreteStatsTable[[#This Row],[GroupByKey]]),(DiscreteStatsTable[GroupByKey]=DiscreteStatsTable[[#This Row],[GroupByKey]])*DiscreteStatsTable[NumberObservations])),0)</f>
        <v>2262.66</v>
      </c>
      <c r="W540">
        <f>IF((DiscreteStatsTable[[#This Row],[RepsRequested]]&gt;1),DiscreteStatsTable[[#This Row],[HalfWidth]],DiscreteStatsTable[[#This Row],[BatchMeansHalfWidth]])</f>
        <v>1.3221720552995685E-3</v>
      </c>
      <c r="X540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131</v>
      </c>
      <c r="C541">
        <v>14</v>
      </c>
      <c r="D541" t="s">
        <v>86</v>
      </c>
      <c r="E541" t="s">
        <v>79</v>
      </c>
      <c r="F541" t="s">
        <v>80</v>
      </c>
      <c r="G541">
        <v>0.22777457589935099</v>
      </c>
      <c r="H541">
        <v>1.54520900352035E-2</v>
      </c>
      <c r="I541">
        <v>0.100077695799115</v>
      </c>
      <c r="J541">
        <v>1.41452080991047</v>
      </c>
      <c r="K541">
        <v>2245</v>
      </c>
      <c r="L541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41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cm="1">
        <f t="array" ref="N541">IFERROR(AVERAGE(IF((DiscreteStatsTable[GroupByKey]=DiscreteStatsTable[[#This Row],[GroupByKey]]),(DiscreteStatsTable[GroupByKey]=DiscreteStatsTable[[#This Row],[GroupByKey]])*DiscreteStatsTable[Average])),0)</f>
        <v>0.21815512979204044</v>
      </c>
      <c r="O541" cm="1">
        <f t="array" ref="O541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41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41" cm="1">
        <f t="array" ref="R541">MIN(IF((DiscreteStatsTable[GroupByKey]=DiscreteStatsTable[[#This Row],[GroupByKey]]),(DiscreteStatsTable[GroupByKey]=DiscreteStatsTable[[#This Row],[GroupByKey]])*DiscreteStatsTable[Average]))</f>
        <v>0.204996218905765</v>
      </c>
      <c r="S541" cm="1">
        <f t="array" ref="S541">MAX(IF((DiscreteStatsTable[GroupByKey]=DiscreteStatsTable[[#This Row],[GroupByKey]]),(DiscreteStatsTable[GroupByKey]=DiscreteStatsTable[[#This Row],[GroupByKey]])*DiscreteStatsTable[Average]))</f>
        <v>0.22907589413377599</v>
      </c>
      <c r="T541" cm="1">
        <f t="array" ref="T541">MIN(IF((DiscreteStatsTable[GroupByKey]=DiscreteStatsTable[[#This Row],[GroupByKey]]),(DiscreteStatsTable[GroupByKey]=DiscreteStatsTable[[#This Row],[GroupByKey]])*DiscreteStatsTable[Minimum]))</f>
        <v>0.100000577163883</v>
      </c>
      <c r="U541" cm="1">
        <f t="array" ref="U541">MAX(IF((DiscreteStatsTable[GroupByKey]=DiscreteStatsTable[[#This Row],[GroupByKey]]),(DiscreteStatsTable[GroupByKey]=DiscreteStatsTable[[#This Row],[GroupByKey]])*DiscreteStatsTable[Maximum]))</f>
        <v>1.41452080991047</v>
      </c>
      <c r="V541" cm="1">
        <f t="array" ref="V541">IFERROR(AVERAGE(IF((DiscreteStatsTable[GroupByKey]=DiscreteStatsTable[[#This Row],[GroupByKey]]),(DiscreteStatsTable[GroupByKey]=DiscreteStatsTable[[#This Row],[GroupByKey]])*DiscreteStatsTable[NumberObservations])),0)</f>
        <v>2262.66</v>
      </c>
      <c r="W541">
        <f>IF((DiscreteStatsTable[[#This Row],[RepsRequested]]&gt;1),DiscreteStatsTable[[#This Row],[HalfWidth]],DiscreteStatsTable[[#This Row],[BatchMeansHalfWidth]])</f>
        <v>1.3927091897695423E-3</v>
      </c>
      <c r="X541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131</v>
      </c>
      <c r="C542">
        <v>14</v>
      </c>
      <c r="D542" t="s">
        <v>86</v>
      </c>
      <c r="E542" t="s">
        <v>81</v>
      </c>
      <c r="F542" t="s">
        <v>80</v>
      </c>
      <c r="G542">
        <v>0.151606291486265</v>
      </c>
      <c r="H542">
        <v>1.45650242984494E-3</v>
      </c>
      <c r="I542">
        <v>0.100077695799115</v>
      </c>
      <c r="J542">
        <v>0.19998484044259601</v>
      </c>
      <c r="K542">
        <v>2245</v>
      </c>
      <c r="L542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42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cm="1">
        <f t="array" ref="N542">IFERROR(AVERAGE(IF((DiscreteStatsTable[GroupByKey]=DiscreteStatsTable[[#This Row],[GroupByKey]]),(DiscreteStatsTable[GroupByKey]=DiscreteStatsTable[[#This Row],[GroupByKey]])*DiscreteStatsTable[Average])),0)</f>
        <v>0.15006283793025285</v>
      </c>
      <c r="O542" cm="1">
        <f t="array" ref="O542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42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42" cm="1">
        <f t="array" ref="R542">MIN(IF((DiscreteStatsTable[GroupByKey]=DiscreteStatsTable[[#This Row],[GroupByKey]]),(DiscreteStatsTable[GroupByKey]=DiscreteStatsTable[[#This Row],[GroupByKey]])*DiscreteStatsTable[Average]))</f>
        <v>0.14863412830584499</v>
      </c>
      <c r="S542" cm="1">
        <f t="array" ref="S542">MAX(IF((DiscreteStatsTable[GroupByKey]=DiscreteStatsTable[[#This Row],[GroupByKey]]),(DiscreteStatsTable[GroupByKey]=DiscreteStatsTable[[#This Row],[GroupByKey]])*DiscreteStatsTable[Average]))</f>
        <v>0.151606291486265</v>
      </c>
      <c r="T542" cm="1">
        <f t="array" ref="T542">MIN(IF((DiscreteStatsTable[GroupByKey]=DiscreteStatsTable[[#This Row],[GroupByKey]]),(DiscreteStatsTable[GroupByKey]=DiscreteStatsTable[[#This Row],[GroupByKey]])*DiscreteStatsTable[Minimum]))</f>
        <v>0.100000577163883</v>
      </c>
      <c r="U542" cm="1">
        <f t="array" ref="U542">MAX(IF((DiscreteStatsTable[GroupByKey]=DiscreteStatsTable[[#This Row],[GroupByKey]]),(DiscreteStatsTable[GroupByKey]=DiscreteStatsTable[[#This Row],[GroupByKey]])*DiscreteStatsTable[Maximum]))</f>
        <v>0.19999993084929499</v>
      </c>
      <c r="V542" cm="1">
        <f t="array" ref="V542">IFERROR(AVERAGE(IF((DiscreteStatsTable[GroupByKey]=DiscreteStatsTable[[#This Row],[GroupByKey]]),(DiscreteStatsTable[GroupByKey]=DiscreteStatsTable[[#This Row],[GroupByKey]])*DiscreteStatsTable[NumberObservations])),0)</f>
        <v>2262.66</v>
      </c>
      <c r="W542">
        <f>IF((DiscreteStatsTable[[#This Row],[RepsRequested]]&gt;1),DiscreteStatsTable[[#This Row],[HalfWidth]],DiscreteStatsTable[[#This Row],[BatchMeansHalfWidth]])</f>
        <v>1.7015423667850204E-4</v>
      </c>
      <c r="X542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131</v>
      </c>
      <c r="C543">
        <v>14</v>
      </c>
      <c r="D543" t="s">
        <v>86</v>
      </c>
      <c r="E543" t="s">
        <v>82</v>
      </c>
      <c r="F543" t="s">
        <v>80</v>
      </c>
      <c r="G543">
        <v>7.6168284413085902E-2</v>
      </c>
      <c r="H543">
        <v>1.53750796060299E-2</v>
      </c>
      <c r="I543">
        <v>0</v>
      </c>
      <c r="J543">
        <v>1.2170108122512</v>
      </c>
      <c r="K543">
        <v>2245</v>
      </c>
      <c r="L543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43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cm="1">
        <f t="array" ref="N543">IFERROR(AVERAGE(IF((DiscreteStatsTable[GroupByKey]=DiscreteStatsTable[[#This Row],[GroupByKey]]),(DiscreteStatsTable[GroupByKey]=DiscreteStatsTable[[#This Row],[GroupByKey]])*DiscreteStatsTable[Average])),0)</f>
        <v>6.8092291861787557E-2</v>
      </c>
      <c r="O543" cm="1">
        <f t="array" ref="O543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43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43" cm="1">
        <f t="array" ref="R543">MIN(IF((DiscreteStatsTable[GroupByKey]=DiscreteStatsTable[[#This Row],[GroupByKey]]),(DiscreteStatsTable[GroupByKey]=DiscreteStatsTable[[#This Row],[GroupByKey]])*DiscreteStatsTable[Average]))</f>
        <v>5.591228067423E-2</v>
      </c>
      <c r="S543" cm="1">
        <f t="array" ref="S543">MAX(IF((DiscreteStatsTable[GroupByKey]=DiscreteStatsTable[[#This Row],[GroupByKey]]),(DiscreteStatsTable[GroupByKey]=DiscreteStatsTable[[#This Row],[GroupByKey]])*DiscreteStatsTable[Average]))</f>
        <v>7.8817469083508104E-2</v>
      </c>
      <c r="T543" cm="1">
        <f t="array" ref="T543">MIN(IF((DiscreteStatsTable[GroupByKey]=DiscreteStatsTable[[#This Row],[GroupByKey]]),(DiscreteStatsTable[GroupByKey]=DiscreteStatsTable[[#This Row],[GroupByKey]])*DiscreteStatsTable[Minimum]))</f>
        <v>0</v>
      </c>
      <c r="U543" cm="1">
        <f t="array" ref="U543">MAX(IF((DiscreteStatsTable[GroupByKey]=DiscreteStatsTable[[#This Row],[GroupByKey]]),(DiscreteStatsTable[GroupByKey]=DiscreteStatsTable[[#This Row],[GroupByKey]])*DiscreteStatsTable[Maximum]))</f>
        <v>1.2170108122512</v>
      </c>
      <c r="V543" cm="1">
        <f t="array" ref="V543">IFERROR(AVERAGE(IF((DiscreteStatsTable[GroupByKey]=DiscreteStatsTable[[#This Row],[GroupByKey]]),(DiscreteStatsTable[GroupByKey]=DiscreteStatsTable[[#This Row],[GroupByKey]])*DiscreteStatsTable[NumberObservations])),0)</f>
        <v>2262.66</v>
      </c>
      <c r="W543">
        <f>IF((DiscreteStatsTable[[#This Row],[RepsRequested]]&gt;1),DiscreteStatsTable[[#This Row],[HalfWidth]],DiscreteStatsTable[[#This Row],[BatchMeansHalfWidth]])</f>
        <v>1.3221720552995685E-3</v>
      </c>
      <c r="X543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131</v>
      </c>
      <c r="C544">
        <v>15</v>
      </c>
      <c r="D544" t="s">
        <v>86</v>
      </c>
      <c r="E544" t="s">
        <v>79</v>
      </c>
      <c r="F544" t="s">
        <v>80</v>
      </c>
      <c r="G544">
        <v>0.21589823794694801</v>
      </c>
      <c r="H544">
        <v>8.41932341115878E-3</v>
      </c>
      <c r="I544">
        <v>0.10018342697020401</v>
      </c>
      <c r="J544">
        <v>0.82522276172215903</v>
      </c>
      <c r="K544">
        <v>2375</v>
      </c>
      <c r="L544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44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cm="1">
        <f t="array" ref="N544">IFERROR(AVERAGE(IF((DiscreteStatsTable[GroupByKey]=DiscreteStatsTable[[#This Row],[GroupByKey]]),(DiscreteStatsTable[GroupByKey]=DiscreteStatsTable[[#This Row],[GroupByKey]])*DiscreteStatsTable[Average])),0)</f>
        <v>0.21815512979204044</v>
      </c>
      <c r="O544" cm="1">
        <f t="array" ref="O544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44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44" cm="1">
        <f t="array" ref="R544">MIN(IF((DiscreteStatsTable[GroupByKey]=DiscreteStatsTable[[#This Row],[GroupByKey]]),(DiscreteStatsTable[GroupByKey]=DiscreteStatsTable[[#This Row],[GroupByKey]])*DiscreteStatsTable[Average]))</f>
        <v>0.204996218905765</v>
      </c>
      <c r="S544" cm="1">
        <f t="array" ref="S544">MAX(IF((DiscreteStatsTable[GroupByKey]=DiscreteStatsTable[[#This Row],[GroupByKey]]),(DiscreteStatsTable[GroupByKey]=DiscreteStatsTable[[#This Row],[GroupByKey]])*DiscreteStatsTable[Average]))</f>
        <v>0.22907589413377599</v>
      </c>
      <c r="T544" cm="1">
        <f t="array" ref="T544">MIN(IF((DiscreteStatsTable[GroupByKey]=DiscreteStatsTable[[#This Row],[GroupByKey]]),(DiscreteStatsTable[GroupByKey]=DiscreteStatsTable[[#This Row],[GroupByKey]])*DiscreteStatsTable[Minimum]))</f>
        <v>0.100000577163883</v>
      </c>
      <c r="U544" cm="1">
        <f t="array" ref="U544">MAX(IF((DiscreteStatsTable[GroupByKey]=DiscreteStatsTable[[#This Row],[GroupByKey]]),(DiscreteStatsTable[GroupByKey]=DiscreteStatsTable[[#This Row],[GroupByKey]])*DiscreteStatsTable[Maximum]))</f>
        <v>1.41452080991047</v>
      </c>
      <c r="V544" cm="1">
        <f t="array" ref="V544">IFERROR(AVERAGE(IF((DiscreteStatsTable[GroupByKey]=DiscreteStatsTable[[#This Row],[GroupByKey]]),(DiscreteStatsTable[GroupByKey]=DiscreteStatsTable[[#This Row],[GroupByKey]])*DiscreteStatsTable[NumberObservations])),0)</f>
        <v>2262.66</v>
      </c>
      <c r="W544">
        <f>IF((DiscreteStatsTable[[#This Row],[RepsRequested]]&gt;1),DiscreteStatsTable[[#This Row],[HalfWidth]],DiscreteStatsTable[[#This Row],[BatchMeansHalfWidth]])</f>
        <v>1.3927091897695423E-3</v>
      </c>
      <c r="X544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131</v>
      </c>
      <c r="C545">
        <v>15</v>
      </c>
      <c r="D545" t="s">
        <v>86</v>
      </c>
      <c r="E545" t="s">
        <v>81</v>
      </c>
      <c r="F545" t="s">
        <v>80</v>
      </c>
      <c r="G545">
        <v>0.14957231761321599</v>
      </c>
      <c r="H545">
        <v>9.4006693913669E-4</v>
      </c>
      <c r="I545">
        <v>0.10007403949634899</v>
      </c>
      <c r="J545">
        <v>0.19996484077830201</v>
      </c>
      <c r="K545">
        <v>2375</v>
      </c>
      <c r="L545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4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cm="1">
        <f t="array" ref="N545">IFERROR(AVERAGE(IF((DiscreteStatsTable[GroupByKey]=DiscreteStatsTable[[#This Row],[GroupByKey]]),(DiscreteStatsTable[GroupByKey]=DiscreteStatsTable[[#This Row],[GroupByKey]])*DiscreteStatsTable[Average])),0)</f>
        <v>0.15006283793025285</v>
      </c>
      <c r="O545" cm="1">
        <f t="array" ref="O545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4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45" cm="1">
        <f t="array" ref="R545">MIN(IF((DiscreteStatsTable[GroupByKey]=DiscreteStatsTable[[#This Row],[GroupByKey]]),(DiscreteStatsTable[GroupByKey]=DiscreteStatsTable[[#This Row],[GroupByKey]])*DiscreteStatsTable[Average]))</f>
        <v>0.14863412830584499</v>
      </c>
      <c r="S545" cm="1">
        <f t="array" ref="S545">MAX(IF((DiscreteStatsTable[GroupByKey]=DiscreteStatsTable[[#This Row],[GroupByKey]]),(DiscreteStatsTable[GroupByKey]=DiscreteStatsTable[[#This Row],[GroupByKey]])*DiscreteStatsTable[Average]))</f>
        <v>0.151606291486265</v>
      </c>
      <c r="T545" cm="1">
        <f t="array" ref="T545">MIN(IF((DiscreteStatsTable[GroupByKey]=DiscreteStatsTable[[#This Row],[GroupByKey]]),(DiscreteStatsTable[GroupByKey]=DiscreteStatsTable[[#This Row],[GroupByKey]])*DiscreteStatsTable[Minimum]))</f>
        <v>0.100000577163883</v>
      </c>
      <c r="U545" cm="1">
        <f t="array" ref="U545">MAX(IF((DiscreteStatsTable[GroupByKey]=DiscreteStatsTable[[#This Row],[GroupByKey]]),(DiscreteStatsTable[GroupByKey]=DiscreteStatsTable[[#This Row],[GroupByKey]])*DiscreteStatsTable[Maximum]))</f>
        <v>0.19999993084929499</v>
      </c>
      <c r="V545" cm="1">
        <f t="array" ref="V545">IFERROR(AVERAGE(IF((DiscreteStatsTable[GroupByKey]=DiscreteStatsTable[[#This Row],[GroupByKey]]),(DiscreteStatsTable[GroupByKey]=DiscreteStatsTable[[#This Row],[GroupByKey]])*DiscreteStatsTable[NumberObservations])),0)</f>
        <v>2262.66</v>
      </c>
      <c r="W545">
        <f>IF((DiscreteStatsTable[[#This Row],[RepsRequested]]&gt;1),DiscreteStatsTable[[#This Row],[HalfWidth]],DiscreteStatsTable[[#This Row],[BatchMeansHalfWidth]])</f>
        <v>1.7015423667850204E-4</v>
      </c>
      <c r="X54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131</v>
      </c>
      <c r="C546">
        <v>15</v>
      </c>
      <c r="D546" t="s">
        <v>86</v>
      </c>
      <c r="E546" t="s">
        <v>82</v>
      </c>
      <c r="F546" t="s">
        <v>80</v>
      </c>
      <c r="G546">
        <v>6.6325920333731497E-2</v>
      </c>
      <c r="H546">
        <v>8.4540327576469697E-3</v>
      </c>
      <c r="I546">
        <v>0</v>
      </c>
      <c r="J546">
        <v>0.68532684579798797</v>
      </c>
      <c r="K546">
        <v>2375</v>
      </c>
      <c r="L546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46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cm="1">
        <f t="array" ref="N546">IFERROR(AVERAGE(IF((DiscreteStatsTable[GroupByKey]=DiscreteStatsTable[[#This Row],[GroupByKey]]),(DiscreteStatsTable[GroupByKey]=DiscreteStatsTable[[#This Row],[GroupByKey]])*DiscreteStatsTable[Average])),0)</f>
        <v>6.8092291861787557E-2</v>
      </c>
      <c r="O546" cm="1">
        <f t="array" ref="O546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46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46" cm="1">
        <f t="array" ref="R546">MIN(IF((DiscreteStatsTable[GroupByKey]=DiscreteStatsTable[[#This Row],[GroupByKey]]),(DiscreteStatsTable[GroupByKey]=DiscreteStatsTable[[#This Row],[GroupByKey]])*DiscreteStatsTable[Average]))</f>
        <v>5.591228067423E-2</v>
      </c>
      <c r="S546" cm="1">
        <f t="array" ref="S546">MAX(IF((DiscreteStatsTable[GroupByKey]=DiscreteStatsTable[[#This Row],[GroupByKey]]),(DiscreteStatsTable[GroupByKey]=DiscreteStatsTable[[#This Row],[GroupByKey]])*DiscreteStatsTable[Average]))</f>
        <v>7.8817469083508104E-2</v>
      </c>
      <c r="T546" cm="1">
        <f t="array" ref="T546">MIN(IF((DiscreteStatsTable[GroupByKey]=DiscreteStatsTable[[#This Row],[GroupByKey]]),(DiscreteStatsTable[GroupByKey]=DiscreteStatsTable[[#This Row],[GroupByKey]])*DiscreteStatsTable[Minimum]))</f>
        <v>0</v>
      </c>
      <c r="U546" cm="1">
        <f t="array" ref="U546">MAX(IF((DiscreteStatsTable[GroupByKey]=DiscreteStatsTable[[#This Row],[GroupByKey]]),(DiscreteStatsTable[GroupByKey]=DiscreteStatsTable[[#This Row],[GroupByKey]])*DiscreteStatsTable[Maximum]))</f>
        <v>1.2170108122512</v>
      </c>
      <c r="V546" cm="1">
        <f t="array" ref="V546">IFERROR(AVERAGE(IF((DiscreteStatsTable[GroupByKey]=DiscreteStatsTable[[#This Row],[GroupByKey]]),(DiscreteStatsTable[GroupByKey]=DiscreteStatsTable[[#This Row],[GroupByKey]])*DiscreteStatsTable[NumberObservations])),0)</f>
        <v>2262.66</v>
      </c>
      <c r="W546">
        <f>IF((DiscreteStatsTable[[#This Row],[RepsRequested]]&gt;1),DiscreteStatsTable[[#This Row],[HalfWidth]],DiscreteStatsTable[[#This Row],[BatchMeansHalfWidth]])</f>
        <v>1.3221720552995685E-3</v>
      </c>
      <c r="X546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131</v>
      </c>
      <c r="C547">
        <v>16</v>
      </c>
      <c r="D547" t="s">
        <v>86</v>
      </c>
      <c r="E547" t="s">
        <v>79</v>
      </c>
      <c r="F547" t="s">
        <v>80</v>
      </c>
      <c r="G547">
        <v>0.218029052903984</v>
      </c>
      <c r="H547">
        <v>9.8379075614046293E-3</v>
      </c>
      <c r="I547">
        <v>0.100018323702699</v>
      </c>
      <c r="J547">
        <v>0.98102994386682196</v>
      </c>
      <c r="K547">
        <v>2211</v>
      </c>
      <c r="L547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47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cm="1">
        <f t="array" ref="N547">IFERROR(AVERAGE(IF((DiscreteStatsTable[GroupByKey]=DiscreteStatsTable[[#This Row],[GroupByKey]]),(DiscreteStatsTable[GroupByKey]=DiscreteStatsTable[[#This Row],[GroupByKey]])*DiscreteStatsTable[Average])),0)</f>
        <v>0.21815512979204044</v>
      </c>
      <c r="O547" cm="1">
        <f t="array" ref="O547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47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47" cm="1">
        <f t="array" ref="R547">MIN(IF((DiscreteStatsTable[GroupByKey]=DiscreteStatsTable[[#This Row],[GroupByKey]]),(DiscreteStatsTable[GroupByKey]=DiscreteStatsTable[[#This Row],[GroupByKey]])*DiscreteStatsTable[Average]))</f>
        <v>0.204996218905765</v>
      </c>
      <c r="S547" cm="1">
        <f t="array" ref="S547">MAX(IF((DiscreteStatsTable[GroupByKey]=DiscreteStatsTable[[#This Row],[GroupByKey]]),(DiscreteStatsTable[GroupByKey]=DiscreteStatsTable[[#This Row],[GroupByKey]])*DiscreteStatsTable[Average]))</f>
        <v>0.22907589413377599</v>
      </c>
      <c r="T547" cm="1">
        <f t="array" ref="T547">MIN(IF((DiscreteStatsTable[GroupByKey]=DiscreteStatsTable[[#This Row],[GroupByKey]]),(DiscreteStatsTable[GroupByKey]=DiscreteStatsTable[[#This Row],[GroupByKey]])*DiscreteStatsTable[Minimum]))</f>
        <v>0.100000577163883</v>
      </c>
      <c r="U547" cm="1">
        <f t="array" ref="U547">MAX(IF((DiscreteStatsTable[GroupByKey]=DiscreteStatsTable[[#This Row],[GroupByKey]]),(DiscreteStatsTable[GroupByKey]=DiscreteStatsTable[[#This Row],[GroupByKey]])*DiscreteStatsTable[Maximum]))</f>
        <v>1.41452080991047</v>
      </c>
      <c r="V547" cm="1">
        <f t="array" ref="V547">IFERROR(AVERAGE(IF((DiscreteStatsTable[GroupByKey]=DiscreteStatsTable[[#This Row],[GroupByKey]]),(DiscreteStatsTable[GroupByKey]=DiscreteStatsTable[[#This Row],[GroupByKey]])*DiscreteStatsTable[NumberObservations])),0)</f>
        <v>2262.66</v>
      </c>
      <c r="W547">
        <f>IF((DiscreteStatsTable[[#This Row],[RepsRequested]]&gt;1),DiscreteStatsTable[[#This Row],[HalfWidth]],DiscreteStatsTable[[#This Row],[BatchMeansHalfWidth]])</f>
        <v>1.3927091897695423E-3</v>
      </c>
      <c r="X547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131</v>
      </c>
      <c r="C548">
        <v>16</v>
      </c>
      <c r="D548" t="s">
        <v>86</v>
      </c>
      <c r="E548" t="s">
        <v>81</v>
      </c>
      <c r="F548" t="s">
        <v>80</v>
      </c>
      <c r="G548">
        <v>0.14935956640029699</v>
      </c>
      <c r="H548">
        <v>1.0784981491168901E-3</v>
      </c>
      <c r="I548">
        <v>0.100018323702699</v>
      </c>
      <c r="J548">
        <v>0.19999993084929499</v>
      </c>
      <c r="K548">
        <v>2211</v>
      </c>
      <c r="L548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48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cm="1">
        <f t="array" ref="N548">IFERROR(AVERAGE(IF((DiscreteStatsTable[GroupByKey]=DiscreteStatsTable[[#This Row],[GroupByKey]]),(DiscreteStatsTable[GroupByKey]=DiscreteStatsTable[[#This Row],[GroupByKey]])*DiscreteStatsTable[Average])),0)</f>
        <v>0.15006283793025285</v>
      </c>
      <c r="O548" cm="1">
        <f t="array" ref="O548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48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48" cm="1">
        <f t="array" ref="R548">MIN(IF((DiscreteStatsTable[GroupByKey]=DiscreteStatsTable[[#This Row],[GroupByKey]]),(DiscreteStatsTable[GroupByKey]=DiscreteStatsTable[[#This Row],[GroupByKey]])*DiscreteStatsTable[Average]))</f>
        <v>0.14863412830584499</v>
      </c>
      <c r="S548" cm="1">
        <f t="array" ref="S548">MAX(IF((DiscreteStatsTable[GroupByKey]=DiscreteStatsTable[[#This Row],[GroupByKey]]),(DiscreteStatsTable[GroupByKey]=DiscreteStatsTable[[#This Row],[GroupByKey]])*DiscreteStatsTable[Average]))</f>
        <v>0.151606291486265</v>
      </c>
      <c r="T548" cm="1">
        <f t="array" ref="T548">MIN(IF((DiscreteStatsTable[GroupByKey]=DiscreteStatsTable[[#This Row],[GroupByKey]]),(DiscreteStatsTable[GroupByKey]=DiscreteStatsTable[[#This Row],[GroupByKey]])*DiscreteStatsTable[Minimum]))</f>
        <v>0.100000577163883</v>
      </c>
      <c r="U548" cm="1">
        <f t="array" ref="U548">MAX(IF((DiscreteStatsTable[GroupByKey]=DiscreteStatsTable[[#This Row],[GroupByKey]]),(DiscreteStatsTable[GroupByKey]=DiscreteStatsTable[[#This Row],[GroupByKey]])*DiscreteStatsTable[Maximum]))</f>
        <v>0.19999993084929499</v>
      </c>
      <c r="V548" cm="1">
        <f t="array" ref="V548">IFERROR(AVERAGE(IF((DiscreteStatsTable[GroupByKey]=DiscreteStatsTable[[#This Row],[GroupByKey]]),(DiscreteStatsTable[GroupByKey]=DiscreteStatsTable[[#This Row],[GroupByKey]])*DiscreteStatsTable[NumberObservations])),0)</f>
        <v>2262.66</v>
      </c>
      <c r="W548">
        <f>IF((DiscreteStatsTable[[#This Row],[RepsRequested]]&gt;1),DiscreteStatsTable[[#This Row],[HalfWidth]],DiscreteStatsTable[[#This Row],[BatchMeansHalfWidth]])</f>
        <v>1.7015423667850204E-4</v>
      </c>
      <c r="X548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131</v>
      </c>
      <c r="C549">
        <v>16</v>
      </c>
      <c r="D549" t="s">
        <v>86</v>
      </c>
      <c r="E549" t="s">
        <v>82</v>
      </c>
      <c r="F549" t="s">
        <v>80</v>
      </c>
      <c r="G549">
        <v>6.8669486503686802E-2</v>
      </c>
      <c r="H549">
        <v>9.9814062227798796E-3</v>
      </c>
      <c r="I549">
        <v>0</v>
      </c>
      <c r="J549">
        <v>0.83811610181250995</v>
      </c>
      <c r="K549">
        <v>2211</v>
      </c>
      <c r="L549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49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cm="1">
        <f t="array" ref="N549">IFERROR(AVERAGE(IF((DiscreteStatsTable[GroupByKey]=DiscreteStatsTable[[#This Row],[GroupByKey]]),(DiscreteStatsTable[GroupByKey]=DiscreteStatsTable[[#This Row],[GroupByKey]])*DiscreteStatsTable[Average])),0)</f>
        <v>6.8092291861787557E-2</v>
      </c>
      <c r="O549" cm="1">
        <f t="array" ref="O549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49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49" cm="1">
        <f t="array" ref="R549">MIN(IF((DiscreteStatsTable[GroupByKey]=DiscreteStatsTable[[#This Row],[GroupByKey]]),(DiscreteStatsTable[GroupByKey]=DiscreteStatsTable[[#This Row],[GroupByKey]])*DiscreteStatsTable[Average]))</f>
        <v>5.591228067423E-2</v>
      </c>
      <c r="S549" cm="1">
        <f t="array" ref="S549">MAX(IF((DiscreteStatsTable[GroupByKey]=DiscreteStatsTable[[#This Row],[GroupByKey]]),(DiscreteStatsTable[GroupByKey]=DiscreteStatsTable[[#This Row],[GroupByKey]])*DiscreteStatsTable[Average]))</f>
        <v>7.8817469083508104E-2</v>
      </c>
      <c r="T549" cm="1">
        <f t="array" ref="T549">MIN(IF((DiscreteStatsTable[GroupByKey]=DiscreteStatsTable[[#This Row],[GroupByKey]]),(DiscreteStatsTable[GroupByKey]=DiscreteStatsTable[[#This Row],[GroupByKey]])*DiscreteStatsTable[Minimum]))</f>
        <v>0</v>
      </c>
      <c r="U549" cm="1">
        <f t="array" ref="U549">MAX(IF((DiscreteStatsTable[GroupByKey]=DiscreteStatsTable[[#This Row],[GroupByKey]]),(DiscreteStatsTable[GroupByKey]=DiscreteStatsTable[[#This Row],[GroupByKey]])*DiscreteStatsTable[Maximum]))</f>
        <v>1.2170108122512</v>
      </c>
      <c r="V549" cm="1">
        <f t="array" ref="V549">IFERROR(AVERAGE(IF((DiscreteStatsTable[GroupByKey]=DiscreteStatsTable[[#This Row],[GroupByKey]]),(DiscreteStatsTable[GroupByKey]=DiscreteStatsTable[[#This Row],[GroupByKey]])*DiscreteStatsTable[NumberObservations])),0)</f>
        <v>2262.66</v>
      </c>
      <c r="W549">
        <f>IF((DiscreteStatsTable[[#This Row],[RepsRequested]]&gt;1),DiscreteStatsTable[[#This Row],[HalfWidth]],DiscreteStatsTable[[#This Row],[BatchMeansHalfWidth]])</f>
        <v>1.3221720552995685E-3</v>
      </c>
      <c r="X549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131</v>
      </c>
      <c r="C550">
        <v>17</v>
      </c>
      <c r="D550" t="s">
        <v>86</v>
      </c>
      <c r="E550" t="s">
        <v>79</v>
      </c>
      <c r="F550" t="s">
        <v>80</v>
      </c>
      <c r="G550">
        <v>0.21897058309640099</v>
      </c>
      <c r="H550">
        <v>8.6856703734119606E-3</v>
      </c>
      <c r="I550">
        <v>0.100005696271808</v>
      </c>
      <c r="J550">
        <v>0.984442199978389</v>
      </c>
      <c r="K550">
        <v>2245</v>
      </c>
      <c r="L550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50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cm="1">
        <f t="array" ref="N550">IFERROR(AVERAGE(IF((DiscreteStatsTable[GroupByKey]=DiscreteStatsTable[[#This Row],[GroupByKey]]),(DiscreteStatsTable[GroupByKey]=DiscreteStatsTable[[#This Row],[GroupByKey]])*DiscreteStatsTable[Average])),0)</f>
        <v>0.21815512979204044</v>
      </c>
      <c r="O550" cm="1">
        <f t="array" ref="O550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50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50" cm="1">
        <f t="array" ref="R550">MIN(IF((DiscreteStatsTable[GroupByKey]=DiscreteStatsTable[[#This Row],[GroupByKey]]),(DiscreteStatsTable[GroupByKey]=DiscreteStatsTable[[#This Row],[GroupByKey]])*DiscreteStatsTable[Average]))</f>
        <v>0.204996218905765</v>
      </c>
      <c r="S550" cm="1">
        <f t="array" ref="S550">MAX(IF((DiscreteStatsTable[GroupByKey]=DiscreteStatsTable[[#This Row],[GroupByKey]]),(DiscreteStatsTable[GroupByKey]=DiscreteStatsTable[[#This Row],[GroupByKey]])*DiscreteStatsTable[Average]))</f>
        <v>0.22907589413377599</v>
      </c>
      <c r="T550" cm="1">
        <f t="array" ref="T550">MIN(IF((DiscreteStatsTable[GroupByKey]=DiscreteStatsTable[[#This Row],[GroupByKey]]),(DiscreteStatsTable[GroupByKey]=DiscreteStatsTable[[#This Row],[GroupByKey]])*DiscreteStatsTable[Minimum]))</f>
        <v>0.100000577163883</v>
      </c>
      <c r="U550" cm="1">
        <f t="array" ref="U550">MAX(IF((DiscreteStatsTable[GroupByKey]=DiscreteStatsTable[[#This Row],[GroupByKey]]),(DiscreteStatsTable[GroupByKey]=DiscreteStatsTable[[#This Row],[GroupByKey]])*DiscreteStatsTable[Maximum]))</f>
        <v>1.41452080991047</v>
      </c>
      <c r="V550" cm="1">
        <f t="array" ref="V550">IFERROR(AVERAGE(IF((DiscreteStatsTable[GroupByKey]=DiscreteStatsTable[[#This Row],[GroupByKey]]),(DiscreteStatsTable[GroupByKey]=DiscreteStatsTable[[#This Row],[GroupByKey]])*DiscreteStatsTable[NumberObservations])),0)</f>
        <v>2262.66</v>
      </c>
      <c r="W550">
        <f>IF((DiscreteStatsTable[[#This Row],[RepsRequested]]&gt;1),DiscreteStatsTable[[#This Row],[HalfWidth]],DiscreteStatsTable[[#This Row],[BatchMeansHalfWidth]])</f>
        <v>1.3927091897695423E-3</v>
      </c>
      <c r="X550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131</v>
      </c>
      <c r="C551">
        <v>17</v>
      </c>
      <c r="D551" t="s">
        <v>86</v>
      </c>
      <c r="E551" t="s">
        <v>81</v>
      </c>
      <c r="F551" t="s">
        <v>80</v>
      </c>
      <c r="G551">
        <v>0.150453276948878</v>
      </c>
      <c r="H551">
        <v>3E+20</v>
      </c>
      <c r="I551">
        <v>0.100005696271808</v>
      </c>
      <c r="J551">
        <v>0.199977335705256</v>
      </c>
      <c r="K551">
        <v>2245</v>
      </c>
      <c r="L551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51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cm="1">
        <f t="array" ref="N551">IFERROR(AVERAGE(IF((DiscreteStatsTable[GroupByKey]=DiscreteStatsTable[[#This Row],[GroupByKey]]),(DiscreteStatsTable[GroupByKey]=DiscreteStatsTable[[#This Row],[GroupByKey]])*DiscreteStatsTable[Average])),0)</f>
        <v>0.15006283793025285</v>
      </c>
      <c r="O551" cm="1">
        <f t="array" ref="O551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51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51" cm="1">
        <f t="array" ref="R551">MIN(IF((DiscreteStatsTable[GroupByKey]=DiscreteStatsTable[[#This Row],[GroupByKey]]),(DiscreteStatsTable[GroupByKey]=DiscreteStatsTable[[#This Row],[GroupByKey]])*DiscreteStatsTable[Average]))</f>
        <v>0.14863412830584499</v>
      </c>
      <c r="S551" cm="1">
        <f t="array" ref="S551">MAX(IF((DiscreteStatsTable[GroupByKey]=DiscreteStatsTable[[#This Row],[GroupByKey]]),(DiscreteStatsTable[GroupByKey]=DiscreteStatsTable[[#This Row],[GroupByKey]])*DiscreteStatsTable[Average]))</f>
        <v>0.151606291486265</v>
      </c>
      <c r="T551" cm="1">
        <f t="array" ref="T551">MIN(IF((DiscreteStatsTable[GroupByKey]=DiscreteStatsTable[[#This Row],[GroupByKey]]),(DiscreteStatsTable[GroupByKey]=DiscreteStatsTable[[#This Row],[GroupByKey]])*DiscreteStatsTable[Minimum]))</f>
        <v>0.100000577163883</v>
      </c>
      <c r="U551" cm="1">
        <f t="array" ref="U551">MAX(IF((DiscreteStatsTable[GroupByKey]=DiscreteStatsTable[[#This Row],[GroupByKey]]),(DiscreteStatsTable[GroupByKey]=DiscreteStatsTable[[#This Row],[GroupByKey]])*DiscreteStatsTable[Maximum]))</f>
        <v>0.19999993084929499</v>
      </c>
      <c r="V551" cm="1">
        <f t="array" ref="V551">IFERROR(AVERAGE(IF((DiscreteStatsTable[GroupByKey]=DiscreteStatsTable[[#This Row],[GroupByKey]]),(DiscreteStatsTable[GroupByKey]=DiscreteStatsTable[[#This Row],[GroupByKey]])*DiscreteStatsTable[NumberObservations])),0)</f>
        <v>2262.66</v>
      </c>
      <c r="W551">
        <f>IF((DiscreteStatsTable[[#This Row],[RepsRequested]]&gt;1),DiscreteStatsTable[[#This Row],[HalfWidth]],DiscreteStatsTable[[#This Row],[BatchMeansHalfWidth]])</f>
        <v>1.7015423667850204E-4</v>
      </c>
      <c r="X551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131</v>
      </c>
      <c r="C552">
        <v>17</v>
      </c>
      <c r="D552" t="s">
        <v>86</v>
      </c>
      <c r="E552" t="s">
        <v>82</v>
      </c>
      <c r="F552" t="s">
        <v>80</v>
      </c>
      <c r="G552">
        <v>6.8517306147522994E-2</v>
      </c>
      <c r="H552">
        <v>8.7181239766424903E-3</v>
      </c>
      <c r="I552">
        <v>0</v>
      </c>
      <c r="J552">
        <v>0.84840047524232898</v>
      </c>
      <c r="K552">
        <v>2245</v>
      </c>
      <c r="L552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52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cm="1">
        <f t="array" ref="N552">IFERROR(AVERAGE(IF((DiscreteStatsTable[GroupByKey]=DiscreteStatsTable[[#This Row],[GroupByKey]]),(DiscreteStatsTable[GroupByKey]=DiscreteStatsTable[[#This Row],[GroupByKey]])*DiscreteStatsTable[Average])),0)</f>
        <v>6.8092291861787557E-2</v>
      </c>
      <c r="O552" cm="1">
        <f t="array" ref="O552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52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52" cm="1">
        <f t="array" ref="R552">MIN(IF((DiscreteStatsTable[GroupByKey]=DiscreteStatsTable[[#This Row],[GroupByKey]]),(DiscreteStatsTable[GroupByKey]=DiscreteStatsTable[[#This Row],[GroupByKey]])*DiscreteStatsTable[Average]))</f>
        <v>5.591228067423E-2</v>
      </c>
      <c r="S552" cm="1">
        <f t="array" ref="S552">MAX(IF((DiscreteStatsTable[GroupByKey]=DiscreteStatsTable[[#This Row],[GroupByKey]]),(DiscreteStatsTable[GroupByKey]=DiscreteStatsTable[[#This Row],[GroupByKey]])*DiscreteStatsTable[Average]))</f>
        <v>7.8817469083508104E-2</v>
      </c>
      <c r="T552" cm="1">
        <f t="array" ref="T552">MIN(IF((DiscreteStatsTable[GroupByKey]=DiscreteStatsTable[[#This Row],[GroupByKey]]),(DiscreteStatsTable[GroupByKey]=DiscreteStatsTable[[#This Row],[GroupByKey]])*DiscreteStatsTable[Minimum]))</f>
        <v>0</v>
      </c>
      <c r="U552" cm="1">
        <f t="array" ref="U552">MAX(IF((DiscreteStatsTable[GroupByKey]=DiscreteStatsTable[[#This Row],[GroupByKey]]),(DiscreteStatsTable[GroupByKey]=DiscreteStatsTable[[#This Row],[GroupByKey]])*DiscreteStatsTable[Maximum]))</f>
        <v>1.2170108122512</v>
      </c>
      <c r="V552" cm="1">
        <f t="array" ref="V552">IFERROR(AVERAGE(IF((DiscreteStatsTable[GroupByKey]=DiscreteStatsTable[[#This Row],[GroupByKey]]),(DiscreteStatsTable[GroupByKey]=DiscreteStatsTable[[#This Row],[GroupByKey]])*DiscreteStatsTable[NumberObservations])),0)</f>
        <v>2262.66</v>
      </c>
      <c r="W552">
        <f>IF((DiscreteStatsTable[[#This Row],[RepsRequested]]&gt;1),DiscreteStatsTable[[#This Row],[HalfWidth]],DiscreteStatsTable[[#This Row],[BatchMeansHalfWidth]])</f>
        <v>1.3221720552995685E-3</v>
      </c>
      <c r="X552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131</v>
      </c>
      <c r="C553">
        <v>18</v>
      </c>
      <c r="D553" t="s">
        <v>86</v>
      </c>
      <c r="E553" t="s">
        <v>79</v>
      </c>
      <c r="F553" t="s">
        <v>80</v>
      </c>
      <c r="G553">
        <v>0.21712855974812301</v>
      </c>
      <c r="H553">
        <v>9.4638431969524001E-3</v>
      </c>
      <c r="I553">
        <v>0.100008549238964</v>
      </c>
      <c r="J553">
        <v>0.84509843797105999</v>
      </c>
      <c r="K553">
        <v>2213</v>
      </c>
      <c r="L553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53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cm="1">
        <f t="array" ref="N553">IFERROR(AVERAGE(IF((DiscreteStatsTable[GroupByKey]=DiscreteStatsTable[[#This Row],[GroupByKey]]),(DiscreteStatsTable[GroupByKey]=DiscreteStatsTable[[#This Row],[GroupByKey]])*DiscreteStatsTable[Average])),0)</f>
        <v>0.21815512979204044</v>
      </c>
      <c r="O553" cm="1">
        <f t="array" ref="O553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53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53" cm="1">
        <f t="array" ref="R553">MIN(IF((DiscreteStatsTable[GroupByKey]=DiscreteStatsTable[[#This Row],[GroupByKey]]),(DiscreteStatsTable[GroupByKey]=DiscreteStatsTable[[#This Row],[GroupByKey]])*DiscreteStatsTable[Average]))</f>
        <v>0.204996218905765</v>
      </c>
      <c r="S553" cm="1">
        <f t="array" ref="S553">MAX(IF((DiscreteStatsTable[GroupByKey]=DiscreteStatsTable[[#This Row],[GroupByKey]]),(DiscreteStatsTable[GroupByKey]=DiscreteStatsTable[[#This Row],[GroupByKey]])*DiscreteStatsTable[Average]))</f>
        <v>0.22907589413377599</v>
      </c>
      <c r="T553" cm="1">
        <f t="array" ref="T553">MIN(IF((DiscreteStatsTable[GroupByKey]=DiscreteStatsTable[[#This Row],[GroupByKey]]),(DiscreteStatsTable[GroupByKey]=DiscreteStatsTable[[#This Row],[GroupByKey]])*DiscreteStatsTable[Minimum]))</f>
        <v>0.100000577163883</v>
      </c>
      <c r="U553" cm="1">
        <f t="array" ref="U553">MAX(IF((DiscreteStatsTable[GroupByKey]=DiscreteStatsTable[[#This Row],[GroupByKey]]),(DiscreteStatsTable[GroupByKey]=DiscreteStatsTable[[#This Row],[GroupByKey]])*DiscreteStatsTable[Maximum]))</f>
        <v>1.41452080991047</v>
      </c>
      <c r="V553" cm="1">
        <f t="array" ref="V553">IFERROR(AVERAGE(IF((DiscreteStatsTable[GroupByKey]=DiscreteStatsTable[[#This Row],[GroupByKey]]),(DiscreteStatsTable[GroupByKey]=DiscreteStatsTable[[#This Row],[GroupByKey]])*DiscreteStatsTable[NumberObservations])),0)</f>
        <v>2262.66</v>
      </c>
      <c r="W553">
        <f>IF((DiscreteStatsTable[[#This Row],[RepsRequested]]&gt;1),DiscreteStatsTable[[#This Row],[HalfWidth]],DiscreteStatsTable[[#This Row],[BatchMeansHalfWidth]])</f>
        <v>1.3927091897695423E-3</v>
      </c>
      <c r="X553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131</v>
      </c>
      <c r="C554">
        <v>18</v>
      </c>
      <c r="D554" t="s">
        <v>86</v>
      </c>
      <c r="E554" t="s">
        <v>81</v>
      </c>
      <c r="F554" t="s">
        <v>80</v>
      </c>
      <c r="G554">
        <v>0.150342467404291</v>
      </c>
      <c r="H554">
        <v>1.5309741063541499E-3</v>
      </c>
      <c r="I554">
        <v>0.100008549238964</v>
      </c>
      <c r="J554">
        <v>0.199963474155538</v>
      </c>
      <c r="K554">
        <v>2213</v>
      </c>
      <c r="L554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54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cm="1">
        <f t="array" ref="N554">IFERROR(AVERAGE(IF((DiscreteStatsTable[GroupByKey]=DiscreteStatsTable[[#This Row],[GroupByKey]]),(DiscreteStatsTable[GroupByKey]=DiscreteStatsTable[[#This Row],[GroupByKey]])*DiscreteStatsTable[Average])),0)</f>
        <v>0.15006283793025285</v>
      </c>
      <c r="O554" cm="1">
        <f t="array" ref="O554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54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54" cm="1">
        <f t="array" ref="R554">MIN(IF((DiscreteStatsTable[GroupByKey]=DiscreteStatsTable[[#This Row],[GroupByKey]]),(DiscreteStatsTable[GroupByKey]=DiscreteStatsTable[[#This Row],[GroupByKey]])*DiscreteStatsTable[Average]))</f>
        <v>0.14863412830584499</v>
      </c>
      <c r="S554" cm="1">
        <f t="array" ref="S554">MAX(IF((DiscreteStatsTable[GroupByKey]=DiscreteStatsTable[[#This Row],[GroupByKey]]),(DiscreteStatsTable[GroupByKey]=DiscreteStatsTable[[#This Row],[GroupByKey]])*DiscreteStatsTable[Average]))</f>
        <v>0.151606291486265</v>
      </c>
      <c r="T554" cm="1">
        <f t="array" ref="T554">MIN(IF((DiscreteStatsTable[GroupByKey]=DiscreteStatsTable[[#This Row],[GroupByKey]]),(DiscreteStatsTable[GroupByKey]=DiscreteStatsTable[[#This Row],[GroupByKey]])*DiscreteStatsTable[Minimum]))</f>
        <v>0.100000577163883</v>
      </c>
      <c r="U554" cm="1">
        <f t="array" ref="U554">MAX(IF((DiscreteStatsTable[GroupByKey]=DiscreteStatsTable[[#This Row],[GroupByKey]]),(DiscreteStatsTable[GroupByKey]=DiscreteStatsTable[[#This Row],[GroupByKey]])*DiscreteStatsTable[Maximum]))</f>
        <v>0.19999993084929499</v>
      </c>
      <c r="V554" cm="1">
        <f t="array" ref="V554">IFERROR(AVERAGE(IF((DiscreteStatsTable[GroupByKey]=DiscreteStatsTable[[#This Row],[GroupByKey]]),(DiscreteStatsTable[GroupByKey]=DiscreteStatsTable[[#This Row],[GroupByKey]])*DiscreteStatsTable[NumberObservations])),0)</f>
        <v>2262.66</v>
      </c>
      <c r="W554">
        <f>IF((DiscreteStatsTable[[#This Row],[RepsRequested]]&gt;1),DiscreteStatsTable[[#This Row],[HalfWidth]],DiscreteStatsTable[[#This Row],[BatchMeansHalfWidth]])</f>
        <v>1.7015423667850204E-4</v>
      </c>
      <c r="X554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131</v>
      </c>
      <c r="C555">
        <v>18</v>
      </c>
      <c r="D555" t="s">
        <v>86</v>
      </c>
      <c r="E555" t="s">
        <v>82</v>
      </c>
      <c r="F555" t="s">
        <v>80</v>
      </c>
      <c r="G555">
        <v>6.6786092343832107E-2</v>
      </c>
      <c r="H555">
        <v>9.3563575510636106E-3</v>
      </c>
      <c r="I555">
        <v>0</v>
      </c>
      <c r="J555">
        <v>0.73578625045254897</v>
      </c>
      <c r="K555">
        <v>2213</v>
      </c>
      <c r="L555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5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cm="1">
        <f t="array" ref="N555">IFERROR(AVERAGE(IF((DiscreteStatsTable[GroupByKey]=DiscreteStatsTable[[#This Row],[GroupByKey]]),(DiscreteStatsTable[GroupByKey]=DiscreteStatsTable[[#This Row],[GroupByKey]])*DiscreteStatsTable[Average])),0)</f>
        <v>6.8092291861787557E-2</v>
      </c>
      <c r="O555" cm="1">
        <f t="array" ref="O555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5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55" cm="1">
        <f t="array" ref="R555">MIN(IF((DiscreteStatsTable[GroupByKey]=DiscreteStatsTable[[#This Row],[GroupByKey]]),(DiscreteStatsTable[GroupByKey]=DiscreteStatsTable[[#This Row],[GroupByKey]])*DiscreteStatsTable[Average]))</f>
        <v>5.591228067423E-2</v>
      </c>
      <c r="S555" cm="1">
        <f t="array" ref="S555">MAX(IF((DiscreteStatsTable[GroupByKey]=DiscreteStatsTable[[#This Row],[GroupByKey]]),(DiscreteStatsTable[GroupByKey]=DiscreteStatsTable[[#This Row],[GroupByKey]])*DiscreteStatsTable[Average]))</f>
        <v>7.8817469083508104E-2</v>
      </c>
      <c r="T555" cm="1">
        <f t="array" ref="T555">MIN(IF((DiscreteStatsTable[GroupByKey]=DiscreteStatsTable[[#This Row],[GroupByKey]]),(DiscreteStatsTable[GroupByKey]=DiscreteStatsTable[[#This Row],[GroupByKey]])*DiscreteStatsTable[Minimum]))</f>
        <v>0</v>
      </c>
      <c r="U555" cm="1">
        <f t="array" ref="U555">MAX(IF((DiscreteStatsTable[GroupByKey]=DiscreteStatsTable[[#This Row],[GroupByKey]]),(DiscreteStatsTable[GroupByKey]=DiscreteStatsTable[[#This Row],[GroupByKey]])*DiscreteStatsTable[Maximum]))</f>
        <v>1.2170108122512</v>
      </c>
      <c r="V555" cm="1">
        <f t="array" ref="V555">IFERROR(AVERAGE(IF((DiscreteStatsTable[GroupByKey]=DiscreteStatsTable[[#This Row],[GroupByKey]]),(DiscreteStatsTable[GroupByKey]=DiscreteStatsTable[[#This Row],[GroupByKey]])*DiscreteStatsTable[NumberObservations])),0)</f>
        <v>2262.66</v>
      </c>
      <c r="W555">
        <f>IF((DiscreteStatsTable[[#This Row],[RepsRequested]]&gt;1),DiscreteStatsTable[[#This Row],[HalfWidth]],DiscreteStatsTable[[#This Row],[BatchMeansHalfWidth]])</f>
        <v>1.3221720552995685E-3</v>
      </c>
      <c r="X55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131</v>
      </c>
      <c r="C556">
        <v>19</v>
      </c>
      <c r="D556" t="s">
        <v>86</v>
      </c>
      <c r="E556" t="s">
        <v>79</v>
      </c>
      <c r="F556" t="s">
        <v>80</v>
      </c>
      <c r="G556">
        <v>0.216887626292114</v>
      </c>
      <c r="H556">
        <v>8.5849468355635797E-3</v>
      </c>
      <c r="I556">
        <v>0.10005897616790101</v>
      </c>
      <c r="J556">
        <v>1.0458046117073001</v>
      </c>
      <c r="K556">
        <v>2236</v>
      </c>
      <c r="L556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56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cm="1">
        <f t="array" ref="N556">IFERROR(AVERAGE(IF((DiscreteStatsTable[GroupByKey]=DiscreteStatsTable[[#This Row],[GroupByKey]]),(DiscreteStatsTable[GroupByKey]=DiscreteStatsTable[[#This Row],[GroupByKey]])*DiscreteStatsTable[Average])),0)</f>
        <v>0.21815512979204044</v>
      </c>
      <c r="O556" cm="1">
        <f t="array" ref="O556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56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56" cm="1">
        <f t="array" ref="R556">MIN(IF((DiscreteStatsTable[GroupByKey]=DiscreteStatsTable[[#This Row],[GroupByKey]]),(DiscreteStatsTable[GroupByKey]=DiscreteStatsTable[[#This Row],[GroupByKey]])*DiscreteStatsTable[Average]))</f>
        <v>0.204996218905765</v>
      </c>
      <c r="S556" cm="1">
        <f t="array" ref="S556">MAX(IF((DiscreteStatsTable[GroupByKey]=DiscreteStatsTable[[#This Row],[GroupByKey]]),(DiscreteStatsTable[GroupByKey]=DiscreteStatsTable[[#This Row],[GroupByKey]])*DiscreteStatsTable[Average]))</f>
        <v>0.22907589413377599</v>
      </c>
      <c r="T556" cm="1">
        <f t="array" ref="T556">MIN(IF((DiscreteStatsTable[GroupByKey]=DiscreteStatsTable[[#This Row],[GroupByKey]]),(DiscreteStatsTable[GroupByKey]=DiscreteStatsTable[[#This Row],[GroupByKey]])*DiscreteStatsTable[Minimum]))</f>
        <v>0.100000577163883</v>
      </c>
      <c r="U556" cm="1">
        <f t="array" ref="U556">MAX(IF((DiscreteStatsTable[GroupByKey]=DiscreteStatsTable[[#This Row],[GroupByKey]]),(DiscreteStatsTable[GroupByKey]=DiscreteStatsTable[[#This Row],[GroupByKey]])*DiscreteStatsTable[Maximum]))</f>
        <v>1.41452080991047</v>
      </c>
      <c r="V556" cm="1">
        <f t="array" ref="V556">IFERROR(AVERAGE(IF((DiscreteStatsTable[GroupByKey]=DiscreteStatsTable[[#This Row],[GroupByKey]]),(DiscreteStatsTable[GroupByKey]=DiscreteStatsTable[[#This Row],[GroupByKey]])*DiscreteStatsTable[NumberObservations])),0)</f>
        <v>2262.66</v>
      </c>
      <c r="W556">
        <f>IF((DiscreteStatsTable[[#This Row],[RepsRequested]]&gt;1),DiscreteStatsTable[[#This Row],[HalfWidth]],DiscreteStatsTable[[#This Row],[BatchMeansHalfWidth]])</f>
        <v>1.3927091897695423E-3</v>
      </c>
      <c r="X556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131</v>
      </c>
      <c r="C557">
        <v>19</v>
      </c>
      <c r="D557" t="s">
        <v>86</v>
      </c>
      <c r="E557" t="s">
        <v>81</v>
      </c>
      <c r="F557" t="s">
        <v>80</v>
      </c>
      <c r="G557">
        <v>0.150009692944644</v>
      </c>
      <c r="H557">
        <v>1.1996484099372599E-3</v>
      </c>
      <c r="I557">
        <v>0.10005897616790101</v>
      </c>
      <c r="J557">
        <v>0.199856639297224</v>
      </c>
      <c r="K557">
        <v>2236</v>
      </c>
      <c r="L557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57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cm="1">
        <f t="array" ref="N557">IFERROR(AVERAGE(IF((DiscreteStatsTable[GroupByKey]=DiscreteStatsTable[[#This Row],[GroupByKey]]),(DiscreteStatsTable[GroupByKey]=DiscreteStatsTable[[#This Row],[GroupByKey]])*DiscreteStatsTable[Average])),0)</f>
        <v>0.15006283793025285</v>
      </c>
      <c r="O557" cm="1">
        <f t="array" ref="O557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57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57" cm="1">
        <f t="array" ref="R557">MIN(IF((DiscreteStatsTable[GroupByKey]=DiscreteStatsTable[[#This Row],[GroupByKey]]),(DiscreteStatsTable[GroupByKey]=DiscreteStatsTable[[#This Row],[GroupByKey]])*DiscreteStatsTable[Average]))</f>
        <v>0.14863412830584499</v>
      </c>
      <c r="S557" cm="1">
        <f t="array" ref="S557">MAX(IF((DiscreteStatsTable[GroupByKey]=DiscreteStatsTable[[#This Row],[GroupByKey]]),(DiscreteStatsTable[GroupByKey]=DiscreteStatsTable[[#This Row],[GroupByKey]])*DiscreteStatsTable[Average]))</f>
        <v>0.151606291486265</v>
      </c>
      <c r="T557" cm="1">
        <f t="array" ref="T557">MIN(IF((DiscreteStatsTable[GroupByKey]=DiscreteStatsTable[[#This Row],[GroupByKey]]),(DiscreteStatsTable[GroupByKey]=DiscreteStatsTable[[#This Row],[GroupByKey]])*DiscreteStatsTable[Minimum]))</f>
        <v>0.100000577163883</v>
      </c>
      <c r="U557" cm="1">
        <f t="array" ref="U557">MAX(IF((DiscreteStatsTable[GroupByKey]=DiscreteStatsTable[[#This Row],[GroupByKey]]),(DiscreteStatsTable[GroupByKey]=DiscreteStatsTable[[#This Row],[GroupByKey]])*DiscreteStatsTable[Maximum]))</f>
        <v>0.19999993084929499</v>
      </c>
      <c r="V557" cm="1">
        <f t="array" ref="V557">IFERROR(AVERAGE(IF((DiscreteStatsTable[GroupByKey]=DiscreteStatsTable[[#This Row],[GroupByKey]]),(DiscreteStatsTable[GroupByKey]=DiscreteStatsTable[[#This Row],[GroupByKey]])*DiscreteStatsTable[NumberObservations])),0)</f>
        <v>2262.66</v>
      </c>
      <c r="W557">
        <f>IF((DiscreteStatsTable[[#This Row],[RepsRequested]]&gt;1),DiscreteStatsTable[[#This Row],[HalfWidth]],DiscreteStatsTable[[#This Row],[BatchMeansHalfWidth]])</f>
        <v>1.7015423667850204E-4</v>
      </c>
      <c r="X557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131</v>
      </c>
      <c r="C558">
        <v>19</v>
      </c>
      <c r="D558" t="s">
        <v>86</v>
      </c>
      <c r="E558" t="s">
        <v>82</v>
      </c>
      <c r="F558" t="s">
        <v>80</v>
      </c>
      <c r="G558">
        <v>6.6877933347470095E-2</v>
      </c>
      <c r="H558">
        <v>8.2899702786000205E-3</v>
      </c>
      <c r="I558">
        <v>0</v>
      </c>
      <c r="J558">
        <v>0.90852746779518201</v>
      </c>
      <c r="K558">
        <v>2236</v>
      </c>
      <c r="L558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58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cm="1">
        <f t="array" ref="N558">IFERROR(AVERAGE(IF((DiscreteStatsTable[GroupByKey]=DiscreteStatsTable[[#This Row],[GroupByKey]]),(DiscreteStatsTable[GroupByKey]=DiscreteStatsTable[[#This Row],[GroupByKey]])*DiscreteStatsTable[Average])),0)</f>
        <v>6.8092291861787557E-2</v>
      </c>
      <c r="O558" cm="1">
        <f t="array" ref="O558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58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58" cm="1">
        <f t="array" ref="R558">MIN(IF((DiscreteStatsTable[GroupByKey]=DiscreteStatsTable[[#This Row],[GroupByKey]]),(DiscreteStatsTable[GroupByKey]=DiscreteStatsTable[[#This Row],[GroupByKey]])*DiscreteStatsTable[Average]))</f>
        <v>5.591228067423E-2</v>
      </c>
      <c r="S558" cm="1">
        <f t="array" ref="S558">MAX(IF((DiscreteStatsTable[GroupByKey]=DiscreteStatsTable[[#This Row],[GroupByKey]]),(DiscreteStatsTable[GroupByKey]=DiscreteStatsTable[[#This Row],[GroupByKey]])*DiscreteStatsTable[Average]))</f>
        <v>7.8817469083508104E-2</v>
      </c>
      <c r="T558" cm="1">
        <f t="array" ref="T558">MIN(IF((DiscreteStatsTable[GroupByKey]=DiscreteStatsTable[[#This Row],[GroupByKey]]),(DiscreteStatsTable[GroupByKey]=DiscreteStatsTable[[#This Row],[GroupByKey]])*DiscreteStatsTable[Minimum]))</f>
        <v>0</v>
      </c>
      <c r="U558" cm="1">
        <f t="array" ref="U558">MAX(IF((DiscreteStatsTable[GroupByKey]=DiscreteStatsTable[[#This Row],[GroupByKey]]),(DiscreteStatsTable[GroupByKey]=DiscreteStatsTable[[#This Row],[GroupByKey]])*DiscreteStatsTable[Maximum]))</f>
        <v>1.2170108122512</v>
      </c>
      <c r="V558" cm="1">
        <f t="array" ref="V558">IFERROR(AVERAGE(IF((DiscreteStatsTable[GroupByKey]=DiscreteStatsTable[[#This Row],[GroupByKey]]),(DiscreteStatsTable[GroupByKey]=DiscreteStatsTable[[#This Row],[GroupByKey]])*DiscreteStatsTable[NumberObservations])),0)</f>
        <v>2262.66</v>
      </c>
      <c r="W558">
        <f>IF((DiscreteStatsTable[[#This Row],[RepsRequested]]&gt;1),DiscreteStatsTable[[#This Row],[HalfWidth]],DiscreteStatsTable[[#This Row],[BatchMeansHalfWidth]])</f>
        <v>1.3221720552995685E-3</v>
      </c>
      <c r="X558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131</v>
      </c>
      <c r="C559">
        <v>20</v>
      </c>
      <c r="D559" t="s">
        <v>86</v>
      </c>
      <c r="E559" t="s">
        <v>79</v>
      </c>
      <c r="F559" t="s">
        <v>80</v>
      </c>
      <c r="G559">
        <v>0.21138440397854599</v>
      </c>
      <c r="H559">
        <v>8.1139524198198098E-3</v>
      </c>
      <c r="I559">
        <v>0.10010110051859999</v>
      </c>
      <c r="J559">
        <v>0.84997783380504199</v>
      </c>
      <c r="K559">
        <v>2272</v>
      </c>
      <c r="L559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59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cm="1">
        <f t="array" ref="N559">IFERROR(AVERAGE(IF((DiscreteStatsTable[GroupByKey]=DiscreteStatsTable[[#This Row],[GroupByKey]]),(DiscreteStatsTable[GroupByKey]=DiscreteStatsTable[[#This Row],[GroupByKey]])*DiscreteStatsTable[Average])),0)</f>
        <v>0.21815512979204044</v>
      </c>
      <c r="O559" cm="1">
        <f t="array" ref="O559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59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59" cm="1">
        <f t="array" ref="R559">MIN(IF((DiscreteStatsTable[GroupByKey]=DiscreteStatsTable[[#This Row],[GroupByKey]]),(DiscreteStatsTable[GroupByKey]=DiscreteStatsTable[[#This Row],[GroupByKey]])*DiscreteStatsTable[Average]))</f>
        <v>0.204996218905765</v>
      </c>
      <c r="S559" cm="1">
        <f t="array" ref="S559">MAX(IF((DiscreteStatsTable[GroupByKey]=DiscreteStatsTable[[#This Row],[GroupByKey]]),(DiscreteStatsTable[GroupByKey]=DiscreteStatsTable[[#This Row],[GroupByKey]])*DiscreteStatsTable[Average]))</f>
        <v>0.22907589413377599</v>
      </c>
      <c r="T559" cm="1">
        <f t="array" ref="T559">MIN(IF((DiscreteStatsTable[GroupByKey]=DiscreteStatsTable[[#This Row],[GroupByKey]]),(DiscreteStatsTable[GroupByKey]=DiscreteStatsTable[[#This Row],[GroupByKey]])*DiscreteStatsTable[Minimum]))</f>
        <v>0.100000577163883</v>
      </c>
      <c r="U559" cm="1">
        <f t="array" ref="U559">MAX(IF((DiscreteStatsTable[GroupByKey]=DiscreteStatsTable[[#This Row],[GroupByKey]]),(DiscreteStatsTable[GroupByKey]=DiscreteStatsTable[[#This Row],[GroupByKey]])*DiscreteStatsTable[Maximum]))</f>
        <v>1.41452080991047</v>
      </c>
      <c r="V559" cm="1">
        <f t="array" ref="V559">IFERROR(AVERAGE(IF((DiscreteStatsTable[GroupByKey]=DiscreteStatsTable[[#This Row],[GroupByKey]]),(DiscreteStatsTable[GroupByKey]=DiscreteStatsTable[[#This Row],[GroupByKey]])*DiscreteStatsTable[NumberObservations])),0)</f>
        <v>2262.66</v>
      </c>
      <c r="W559">
        <f>IF((DiscreteStatsTable[[#This Row],[RepsRequested]]&gt;1),DiscreteStatsTable[[#This Row],[HalfWidth]],DiscreteStatsTable[[#This Row],[BatchMeansHalfWidth]])</f>
        <v>1.3927091897695423E-3</v>
      </c>
      <c r="X559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131</v>
      </c>
      <c r="C560">
        <v>20</v>
      </c>
      <c r="D560" t="s">
        <v>86</v>
      </c>
      <c r="E560" t="s">
        <v>81</v>
      </c>
      <c r="F560" t="s">
        <v>80</v>
      </c>
      <c r="G560">
        <v>0.149330271800514</v>
      </c>
      <c r="H560">
        <v>1.0894248987147199E-3</v>
      </c>
      <c r="I560">
        <v>0.100072258830792</v>
      </c>
      <c r="J560">
        <v>0.19999940628179</v>
      </c>
      <c r="K560">
        <v>2272</v>
      </c>
      <c r="L560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60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cm="1">
        <f t="array" ref="N560">IFERROR(AVERAGE(IF((DiscreteStatsTable[GroupByKey]=DiscreteStatsTable[[#This Row],[GroupByKey]]),(DiscreteStatsTable[GroupByKey]=DiscreteStatsTable[[#This Row],[GroupByKey]])*DiscreteStatsTable[Average])),0)</f>
        <v>0.15006283793025285</v>
      </c>
      <c r="O560" cm="1">
        <f t="array" ref="O560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60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60" cm="1">
        <f t="array" ref="R560">MIN(IF((DiscreteStatsTable[GroupByKey]=DiscreteStatsTable[[#This Row],[GroupByKey]]),(DiscreteStatsTable[GroupByKey]=DiscreteStatsTable[[#This Row],[GroupByKey]])*DiscreteStatsTable[Average]))</f>
        <v>0.14863412830584499</v>
      </c>
      <c r="S560" cm="1">
        <f t="array" ref="S560">MAX(IF((DiscreteStatsTable[GroupByKey]=DiscreteStatsTable[[#This Row],[GroupByKey]]),(DiscreteStatsTable[GroupByKey]=DiscreteStatsTable[[#This Row],[GroupByKey]])*DiscreteStatsTable[Average]))</f>
        <v>0.151606291486265</v>
      </c>
      <c r="T560" cm="1">
        <f t="array" ref="T560">MIN(IF((DiscreteStatsTable[GroupByKey]=DiscreteStatsTable[[#This Row],[GroupByKey]]),(DiscreteStatsTable[GroupByKey]=DiscreteStatsTable[[#This Row],[GroupByKey]])*DiscreteStatsTable[Minimum]))</f>
        <v>0.100000577163883</v>
      </c>
      <c r="U560" cm="1">
        <f t="array" ref="U560">MAX(IF((DiscreteStatsTable[GroupByKey]=DiscreteStatsTable[[#This Row],[GroupByKey]]),(DiscreteStatsTable[GroupByKey]=DiscreteStatsTable[[#This Row],[GroupByKey]])*DiscreteStatsTable[Maximum]))</f>
        <v>0.19999993084929499</v>
      </c>
      <c r="V560" cm="1">
        <f t="array" ref="V560">IFERROR(AVERAGE(IF((DiscreteStatsTable[GroupByKey]=DiscreteStatsTable[[#This Row],[GroupByKey]]),(DiscreteStatsTable[GroupByKey]=DiscreteStatsTable[[#This Row],[GroupByKey]])*DiscreteStatsTable[NumberObservations])),0)</f>
        <v>2262.66</v>
      </c>
      <c r="W560">
        <f>IF((DiscreteStatsTable[[#This Row],[RepsRequested]]&gt;1),DiscreteStatsTable[[#This Row],[HalfWidth]],DiscreteStatsTable[[#This Row],[BatchMeansHalfWidth]])</f>
        <v>1.7015423667850204E-4</v>
      </c>
      <c r="X560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131</v>
      </c>
      <c r="C561">
        <v>20</v>
      </c>
      <c r="D561" t="s">
        <v>86</v>
      </c>
      <c r="E561" t="s">
        <v>82</v>
      </c>
      <c r="F561" t="s">
        <v>80</v>
      </c>
      <c r="G561">
        <v>6.2054132178032899E-2</v>
      </c>
      <c r="H561">
        <v>7.7604388601089603E-3</v>
      </c>
      <c r="I561">
        <v>0</v>
      </c>
      <c r="J561">
        <v>0.698950926645864</v>
      </c>
      <c r="K561">
        <v>2272</v>
      </c>
      <c r="L561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61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cm="1">
        <f t="array" ref="N561">IFERROR(AVERAGE(IF((DiscreteStatsTable[GroupByKey]=DiscreteStatsTable[[#This Row],[GroupByKey]]),(DiscreteStatsTable[GroupByKey]=DiscreteStatsTable[[#This Row],[GroupByKey]])*DiscreteStatsTable[Average])),0)</f>
        <v>6.8092291861787557E-2</v>
      </c>
      <c r="O561" cm="1">
        <f t="array" ref="O561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61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61" cm="1">
        <f t="array" ref="R561">MIN(IF((DiscreteStatsTable[GroupByKey]=DiscreteStatsTable[[#This Row],[GroupByKey]]),(DiscreteStatsTable[GroupByKey]=DiscreteStatsTable[[#This Row],[GroupByKey]])*DiscreteStatsTable[Average]))</f>
        <v>5.591228067423E-2</v>
      </c>
      <c r="S561" cm="1">
        <f t="array" ref="S561">MAX(IF((DiscreteStatsTable[GroupByKey]=DiscreteStatsTable[[#This Row],[GroupByKey]]),(DiscreteStatsTable[GroupByKey]=DiscreteStatsTable[[#This Row],[GroupByKey]])*DiscreteStatsTable[Average]))</f>
        <v>7.8817469083508104E-2</v>
      </c>
      <c r="T561" cm="1">
        <f t="array" ref="T561">MIN(IF((DiscreteStatsTable[GroupByKey]=DiscreteStatsTable[[#This Row],[GroupByKey]]),(DiscreteStatsTable[GroupByKey]=DiscreteStatsTable[[#This Row],[GroupByKey]])*DiscreteStatsTable[Minimum]))</f>
        <v>0</v>
      </c>
      <c r="U561" cm="1">
        <f t="array" ref="U561">MAX(IF((DiscreteStatsTable[GroupByKey]=DiscreteStatsTable[[#This Row],[GroupByKey]]),(DiscreteStatsTable[GroupByKey]=DiscreteStatsTable[[#This Row],[GroupByKey]])*DiscreteStatsTable[Maximum]))</f>
        <v>1.2170108122512</v>
      </c>
      <c r="V561" cm="1">
        <f t="array" ref="V561">IFERROR(AVERAGE(IF((DiscreteStatsTable[GroupByKey]=DiscreteStatsTable[[#This Row],[GroupByKey]]),(DiscreteStatsTable[GroupByKey]=DiscreteStatsTable[[#This Row],[GroupByKey]])*DiscreteStatsTable[NumberObservations])),0)</f>
        <v>2262.66</v>
      </c>
      <c r="W561">
        <f>IF((DiscreteStatsTable[[#This Row],[RepsRequested]]&gt;1),DiscreteStatsTable[[#This Row],[HalfWidth]],DiscreteStatsTable[[#This Row],[BatchMeansHalfWidth]])</f>
        <v>1.3221720552995685E-3</v>
      </c>
      <c r="X561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131</v>
      </c>
      <c r="C562">
        <v>21</v>
      </c>
      <c r="D562" t="s">
        <v>86</v>
      </c>
      <c r="E562" t="s">
        <v>79</v>
      </c>
      <c r="F562" t="s">
        <v>80</v>
      </c>
      <c r="G562">
        <v>0.21549955170083601</v>
      </c>
      <c r="H562">
        <v>9.3529660301052506E-3</v>
      </c>
      <c r="I562">
        <v>0.100164574974775</v>
      </c>
      <c r="J562">
        <v>0.86920836596436901</v>
      </c>
      <c r="K562">
        <v>2171</v>
      </c>
      <c r="L562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62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cm="1">
        <f t="array" ref="N562">IFERROR(AVERAGE(IF((DiscreteStatsTable[GroupByKey]=DiscreteStatsTable[[#This Row],[GroupByKey]]),(DiscreteStatsTable[GroupByKey]=DiscreteStatsTable[[#This Row],[GroupByKey]])*DiscreteStatsTable[Average])),0)</f>
        <v>0.21815512979204044</v>
      </c>
      <c r="O562" cm="1">
        <f t="array" ref="O562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62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62" cm="1">
        <f t="array" ref="R562">MIN(IF((DiscreteStatsTable[GroupByKey]=DiscreteStatsTable[[#This Row],[GroupByKey]]),(DiscreteStatsTable[GroupByKey]=DiscreteStatsTable[[#This Row],[GroupByKey]])*DiscreteStatsTable[Average]))</f>
        <v>0.204996218905765</v>
      </c>
      <c r="S562" cm="1">
        <f t="array" ref="S562">MAX(IF((DiscreteStatsTable[GroupByKey]=DiscreteStatsTable[[#This Row],[GroupByKey]]),(DiscreteStatsTable[GroupByKey]=DiscreteStatsTable[[#This Row],[GroupByKey]])*DiscreteStatsTable[Average]))</f>
        <v>0.22907589413377599</v>
      </c>
      <c r="T562" cm="1">
        <f t="array" ref="T562">MIN(IF((DiscreteStatsTable[GroupByKey]=DiscreteStatsTable[[#This Row],[GroupByKey]]),(DiscreteStatsTable[GroupByKey]=DiscreteStatsTable[[#This Row],[GroupByKey]])*DiscreteStatsTable[Minimum]))</f>
        <v>0.100000577163883</v>
      </c>
      <c r="U562" cm="1">
        <f t="array" ref="U562">MAX(IF((DiscreteStatsTable[GroupByKey]=DiscreteStatsTable[[#This Row],[GroupByKey]]),(DiscreteStatsTable[GroupByKey]=DiscreteStatsTable[[#This Row],[GroupByKey]])*DiscreteStatsTable[Maximum]))</f>
        <v>1.41452080991047</v>
      </c>
      <c r="V562" cm="1">
        <f t="array" ref="V562">IFERROR(AVERAGE(IF((DiscreteStatsTable[GroupByKey]=DiscreteStatsTable[[#This Row],[GroupByKey]]),(DiscreteStatsTable[GroupByKey]=DiscreteStatsTable[[#This Row],[GroupByKey]])*DiscreteStatsTable[NumberObservations])),0)</f>
        <v>2262.66</v>
      </c>
      <c r="W562">
        <f>IF((DiscreteStatsTable[[#This Row],[RepsRequested]]&gt;1),DiscreteStatsTable[[#This Row],[HalfWidth]],DiscreteStatsTable[[#This Row],[BatchMeansHalfWidth]])</f>
        <v>1.3927091897695423E-3</v>
      </c>
      <c r="X562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131</v>
      </c>
      <c r="C563">
        <v>21</v>
      </c>
      <c r="D563" t="s">
        <v>86</v>
      </c>
      <c r="E563" t="s">
        <v>81</v>
      </c>
      <c r="F563" t="s">
        <v>80</v>
      </c>
      <c r="G563">
        <v>0.14998013779752101</v>
      </c>
      <c r="H563">
        <v>1.00257892748992E-3</v>
      </c>
      <c r="I563">
        <v>0.10003710102935801</v>
      </c>
      <c r="J563">
        <v>0.19994591045860899</v>
      </c>
      <c r="K563">
        <v>2171</v>
      </c>
      <c r="L563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63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cm="1">
        <f t="array" ref="N563">IFERROR(AVERAGE(IF((DiscreteStatsTable[GroupByKey]=DiscreteStatsTable[[#This Row],[GroupByKey]]),(DiscreteStatsTable[GroupByKey]=DiscreteStatsTable[[#This Row],[GroupByKey]])*DiscreteStatsTable[Average])),0)</f>
        <v>0.15006283793025285</v>
      </c>
      <c r="O563" cm="1">
        <f t="array" ref="O563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63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63" cm="1">
        <f t="array" ref="R563">MIN(IF((DiscreteStatsTable[GroupByKey]=DiscreteStatsTable[[#This Row],[GroupByKey]]),(DiscreteStatsTable[GroupByKey]=DiscreteStatsTable[[#This Row],[GroupByKey]])*DiscreteStatsTable[Average]))</f>
        <v>0.14863412830584499</v>
      </c>
      <c r="S563" cm="1">
        <f t="array" ref="S563">MAX(IF((DiscreteStatsTable[GroupByKey]=DiscreteStatsTable[[#This Row],[GroupByKey]]),(DiscreteStatsTable[GroupByKey]=DiscreteStatsTable[[#This Row],[GroupByKey]])*DiscreteStatsTable[Average]))</f>
        <v>0.151606291486265</v>
      </c>
      <c r="T563" cm="1">
        <f t="array" ref="T563">MIN(IF((DiscreteStatsTable[GroupByKey]=DiscreteStatsTable[[#This Row],[GroupByKey]]),(DiscreteStatsTable[GroupByKey]=DiscreteStatsTable[[#This Row],[GroupByKey]])*DiscreteStatsTable[Minimum]))</f>
        <v>0.100000577163883</v>
      </c>
      <c r="U563" cm="1">
        <f t="array" ref="U563">MAX(IF((DiscreteStatsTable[GroupByKey]=DiscreteStatsTable[[#This Row],[GroupByKey]]),(DiscreteStatsTable[GroupByKey]=DiscreteStatsTable[[#This Row],[GroupByKey]])*DiscreteStatsTable[Maximum]))</f>
        <v>0.19999993084929499</v>
      </c>
      <c r="V563" cm="1">
        <f t="array" ref="V563">IFERROR(AVERAGE(IF((DiscreteStatsTable[GroupByKey]=DiscreteStatsTable[[#This Row],[GroupByKey]]),(DiscreteStatsTable[GroupByKey]=DiscreteStatsTable[[#This Row],[GroupByKey]])*DiscreteStatsTable[NumberObservations])),0)</f>
        <v>2262.66</v>
      </c>
      <c r="W563">
        <f>IF((DiscreteStatsTable[[#This Row],[RepsRequested]]&gt;1),DiscreteStatsTable[[#This Row],[HalfWidth]],DiscreteStatsTable[[#This Row],[BatchMeansHalfWidth]])</f>
        <v>1.7015423667850204E-4</v>
      </c>
      <c r="X563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131</v>
      </c>
      <c r="C564">
        <v>21</v>
      </c>
      <c r="D564" t="s">
        <v>86</v>
      </c>
      <c r="E564" t="s">
        <v>82</v>
      </c>
      <c r="F564" t="s">
        <v>80</v>
      </c>
      <c r="G564">
        <v>6.5519413903314602E-2</v>
      </c>
      <c r="H564">
        <v>9.1148222072788207E-3</v>
      </c>
      <c r="I564">
        <v>0</v>
      </c>
      <c r="J564">
        <v>0.71438996521408205</v>
      </c>
      <c r="K564">
        <v>2171</v>
      </c>
      <c r="L564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64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cm="1">
        <f t="array" ref="N564">IFERROR(AVERAGE(IF((DiscreteStatsTable[GroupByKey]=DiscreteStatsTable[[#This Row],[GroupByKey]]),(DiscreteStatsTable[GroupByKey]=DiscreteStatsTable[[#This Row],[GroupByKey]])*DiscreteStatsTable[Average])),0)</f>
        <v>6.8092291861787557E-2</v>
      </c>
      <c r="O564" cm="1">
        <f t="array" ref="O564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64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64" cm="1">
        <f t="array" ref="R564">MIN(IF((DiscreteStatsTable[GroupByKey]=DiscreteStatsTable[[#This Row],[GroupByKey]]),(DiscreteStatsTable[GroupByKey]=DiscreteStatsTable[[#This Row],[GroupByKey]])*DiscreteStatsTable[Average]))</f>
        <v>5.591228067423E-2</v>
      </c>
      <c r="S564" cm="1">
        <f t="array" ref="S564">MAX(IF((DiscreteStatsTable[GroupByKey]=DiscreteStatsTable[[#This Row],[GroupByKey]]),(DiscreteStatsTable[GroupByKey]=DiscreteStatsTable[[#This Row],[GroupByKey]])*DiscreteStatsTable[Average]))</f>
        <v>7.8817469083508104E-2</v>
      </c>
      <c r="T564" cm="1">
        <f t="array" ref="T564">MIN(IF((DiscreteStatsTable[GroupByKey]=DiscreteStatsTable[[#This Row],[GroupByKey]]),(DiscreteStatsTable[GroupByKey]=DiscreteStatsTable[[#This Row],[GroupByKey]])*DiscreteStatsTable[Minimum]))</f>
        <v>0</v>
      </c>
      <c r="U564" cm="1">
        <f t="array" ref="U564">MAX(IF((DiscreteStatsTable[GroupByKey]=DiscreteStatsTable[[#This Row],[GroupByKey]]),(DiscreteStatsTable[GroupByKey]=DiscreteStatsTable[[#This Row],[GroupByKey]])*DiscreteStatsTable[Maximum]))</f>
        <v>1.2170108122512</v>
      </c>
      <c r="V564" cm="1">
        <f t="array" ref="V564">IFERROR(AVERAGE(IF((DiscreteStatsTable[GroupByKey]=DiscreteStatsTable[[#This Row],[GroupByKey]]),(DiscreteStatsTable[GroupByKey]=DiscreteStatsTable[[#This Row],[GroupByKey]])*DiscreteStatsTable[NumberObservations])),0)</f>
        <v>2262.66</v>
      </c>
      <c r="W564">
        <f>IF((DiscreteStatsTable[[#This Row],[RepsRequested]]&gt;1),DiscreteStatsTable[[#This Row],[HalfWidth]],DiscreteStatsTable[[#This Row],[BatchMeansHalfWidth]])</f>
        <v>1.3221720552995685E-3</v>
      </c>
      <c r="X564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131</v>
      </c>
      <c r="C565">
        <v>22</v>
      </c>
      <c r="D565" t="s">
        <v>86</v>
      </c>
      <c r="E565" t="s">
        <v>79</v>
      </c>
      <c r="F565" t="s">
        <v>80</v>
      </c>
      <c r="G565">
        <v>0.21747676617992401</v>
      </c>
      <c r="H565">
        <v>1.35616975916366E-2</v>
      </c>
      <c r="I565">
        <v>0.100028512302288</v>
      </c>
      <c r="J565">
        <v>1.1946985508616901</v>
      </c>
      <c r="K565">
        <v>2281</v>
      </c>
      <c r="L565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6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cm="1">
        <f t="array" ref="N565">IFERROR(AVERAGE(IF((DiscreteStatsTable[GroupByKey]=DiscreteStatsTable[[#This Row],[GroupByKey]]),(DiscreteStatsTable[GroupByKey]=DiscreteStatsTable[[#This Row],[GroupByKey]])*DiscreteStatsTable[Average])),0)</f>
        <v>0.21815512979204044</v>
      </c>
      <c r="O565" cm="1">
        <f t="array" ref="O565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6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65" cm="1">
        <f t="array" ref="R565">MIN(IF((DiscreteStatsTable[GroupByKey]=DiscreteStatsTable[[#This Row],[GroupByKey]]),(DiscreteStatsTable[GroupByKey]=DiscreteStatsTable[[#This Row],[GroupByKey]])*DiscreteStatsTable[Average]))</f>
        <v>0.204996218905765</v>
      </c>
      <c r="S565" cm="1">
        <f t="array" ref="S565">MAX(IF((DiscreteStatsTable[GroupByKey]=DiscreteStatsTable[[#This Row],[GroupByKey]]),(DiscreteStatsTable[GroupByKey]=DiscreteStatsTable[[#This Row],[GroupByKey]])*DiscreteStatsTable[Average]))</f>
        <v>0.22907589413377599</v>
      </c>
      <c r="T565" cm="1">
        <f t="array" ref="T565">MIN(IF((DiscreteStatsTable[GroupByKey]=DiscreteStatsTable[[#This Row],[GroupByKey]]),(DiscreteStatsTable[GroupByKey]=DiscreteStatsTable[[#This Row],[GroupByKey]])*DiscreteStatsTable[Minimum]))</f>
        <v>0.100000577163883</v>
      </c>
      <c r="U565" cm="1">
        <f t="array" ref="U565">MAX(IF((DiscreteStatsTable[GroupByKey]=DiscreteStatsTable[[#This Row],[GroupByKey]]),(DiscreteStatsTable[GroupByKey]=DiscreteStatsTable[[#This Row],[GroupByKey]])*DiscreteStatsTable[Maximum]))</f>
        <v>1.41452080991047</v>
      </c>
      <c r="V565" cm="1">
        <f t="array" ref="V565">IFERROR(AVERAGE(IF((DiscreteStatsTable[GroupByKey]=DiscreteStatsTable[[#This Row],[GroupByKey]]),(DiscreteStatsTable[GroupByKey]=DiscreteStatsTable[[#This Row],[GroupByKey]])*DiscreteStatsTable[NumberObservations])),0)</f>
        <v>2262.66</v>
      </c>
      <c r="W565">
        <f>IF((DiscreteStatsTable[[#This Row],[RepsRequested]]&gt;1),DiscreteStatsTable[[#This Row],[HalfWidth]],DiscreteStatsTable[[#This Row],[BatchMeansHalfWidth]])</f>
        <v>1.3927091897695423E-3</v>
      </c>
      <c r="X56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131</v>
      </c>
      <c r="C566">
        <v>22</v>
      </c>
      <c r="D566" t="s">
        <v>86</v>
      </c>
      <c r="E566" t="s">
        <v>81</v>
      </c>
      <c r="F566" t="s">
        <v>80</v>
      </c>
      <c r="G566">
        <v>0.14945675101203801</v>
      </c>
      <c r="H566">
        <v>1.4641050993344799E-3</v>
      </c>
      <c r="I566">
        <v>0.100028512302288</v>
      </c>
      <c r="J566">
        <v>0.19998027651939801</v>
      </c>
      <c r="K566">
        <v>2281</v>
      </c>
      <c r="L566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66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cm="1">
        <f t="array" ref="N566">IFERROR(AVERAGE(IF((DiscreteStatsTable[GroupByKey]=DiscreteStatsTable[[#This Row],[GroupByKey]]),(DiscreteStatsTable[GroupByKey]=DiscreteStatsTable[[#This Row],[GroupByKey]])*DiscreteStatsTable[Average])),0)</f>
        <v>0.15006283793025285</v>
      </c>
      <c r="O566" cm="1">
        <f t="array" ref="O566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66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66" cm="1">
        <f t="array" ref="R566">MIN(IF((DiscreteStatsTable[GroupByKey]=DiscreteStatsTable[[#This Row],[GroupByKey]]),(DiscreteStatsTable[GroupByKey]=DiscreteStatsTable[[#This Row],[GroupByKey]])*DiscreteStatsTable[Average]))</f>
        <v>0.14863412830584499</v>
      </c>
      <c r="S566" cm="1">
        <f t="array" ref="S566">MAX(IF((DiscreteStatsTable[GroupByKey]=DiscreteStatsTable[[#This Row],[GroupByKey]]),(DiscreteStatsTable[GroupByKey]=DiscreteStatsTable[[#This Row],[GroupByKey]])*DiscreteStatsTable[Average]))</f>
        <v>0.151606291486265</v>
      </c>
      <c r="T566" cm="1">
        <f t="array" ref="T566">MIN(IF((DiscreteStatsTable[GroupByKey]=DiscreteStatsTable[[#This Row],[GroupByKey]]),(DiscreteStatsTable[GroupByKey]=DiscreteStatsTable[[#This Row],[GroupByKey]])*DiscreteStatsTable[Minimum]))</f>
        <v>0.100000577163883</v>
      </c>
      <c r="U566" cm="1">
        <f t="array" ref="U566">MAX(IF((DiscreteStatsTable[GroupByKey]=DiscreteStatsTable[[#This Row],[GroupByKey]]),(DiscreteStatsTable[GroupByKey]=DiscreteStatsTable[[#This Row],[GroupByKey]])*DiscreteStatsTable[Maximum]))</f>
        <v>0.19999993084929499</v>
      </c>
      <c r="V566" cm="1">
        <f t="array" ref="V566">IFERROR(AVERAGE(IF((DiscreteStatsTable[GroupByKey]=DiscreteStatsTable[[#This Row],[GroupByKey]]),(DiscreteStatsTable[GroupByKey]=DiscreteStatsTable[[#This Row],[GroupByKey]])*DiscreteStatsTable[NumberObservations])),0)</f>
        <v>2262.66</v>
      </c>
      <c r="W566">
        <f>IF((DiscreteStatsTable[[#This Row],[RepsRequested]]&gt;1),DiscreteStatsTable[[#This Row],[HalfWidth]],DiscreteStatsTable[[#This Row],[BatchMeansHalfWidth]])</f>
        <v>1.7015423667850204E-4</v>
      </c>
      <c r="X566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131</v>
      </c>
      <c r="C567">
        <v>22</v>
      </c>
      <c r="D567" t="s">
        <v>86</v>
      </c>
      <c r="E567" t="s">
        <v>82</v>
      </c>
      <c r="F567" t="s">
        <v>80</v>
      </c>
      <c r="G567">
        <v>6.8020015167886499E-2</v>
      </c>
      <c r="H567">
        <v>1.3040415999138201E-2</v>
      </c>
      <c r="I567">
        <v>0</v>
      </c>
      <c r="J567">
        <v>1.0922908228650401</v>
      </c>
      <c r="K567">
        <v>2281</v>
      </c>
      <c r="L567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67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cm="1">
        <f t="array" ref="N567">IFERROR(AVERAGE(IF((DiscreteStatsTable[GroupByKey]=DiscreteStatsTable[[#This Row],[GroupByKey]]),(DiscreteStatsTable[GroupByKey]=DiscreteStatsTable[[#This Row],[GroupByKey]])*DiscreteStatsTable[Average])),0)</f>
        <v>6.8092291861787557E-2</v>
      </c>
      <c r="O567" cm="1">
        <f t="array" ref="O567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67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67" cm="1">
        <f t="array" ref="R567">MIN(IF((DiscreteStatsTable[GroupByKey]=DiscreteStatsTable[[#This Row],[GroupByKey]]),(DiscreteStatsTable[GroupByKey]=DiscreteStatsTable[[#This Row],[GroupByKey]])*DiscreteStatsTable[Average]))</f>
        <v>5.591228067423E-2</v>
      </c>
      <c r="S567" cm="1">
        <f t="array" ref="S567">MAX(IF((DiscreteStatsTable[GroupByKey]=DiscreteStatsTable[[#This Row],[GroupByKey]]),(DiscreteStatsTable[GroupByKey]=DiscreteStatsTable[[#This Row],[GroupByKey]])*DiscreteStatsTable[Average]))</f>
        <v>7.8817469083508104E-2</v>
      </c>
      <c r="T567" cm="1">
        <f t="array" ref="T567">MIN(IF((DiscreteStatsTable[GroupByKey]=DiscreteStatsTable[[#This Row],[GroupByKey]]),(DiscreteStatsTable[GroupByKey]=DiscreteStatsTable[[#This Row],[GroupByKey]])*DiscreteStatsTable[Minimum]))</f>
        <v>0</v>
      </c>
      <c r="U567" cm="1">
        <f t="array" ref="U567">MAX(IF((DiscreteStatsTable[GroupByKey]=DiscreteStatsTable[[#This Row],[GroupByKey]]),(DiscreteStatsTable[GroupByKey]=DiscreteStatsTable[[#This Row],[GroupByKey]])*DiscreteStatsTable[Maximum]))</f>
        <v>1.2170108122512</v>
      </c>
      <c r="V567" cm="1">
        <f t="array" ref="V567">IFERROR(AVERAGE(IF((DiscreteStatsTable[GroupByKey]=DiscreteStatsTable[[#This Row],[GroupByKey]]),(DiscreteStatsTable[GroupByKey]=DiscreteStatsTable[[#This Row],[GroupByKey]])*DiscreteStatsTable[NumberObservations])),0)</f>
        <v>2262.66</v>
      </c>
      <c r="W567">
        <f>IF((DiscreteStatsTable[[#This Row],[RepsRequested]]&gt;1),DiscreteStatsTable[[#This Row],[HalfWidth]],DiscreteStatsTable[[#This Row],[BatchMeansHalfWidth]])</f>
        <v>1.3221720552995685E-3</v>
      </c>
      <c r="X567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131</v>
      </c>
      <c r="C568">
        <v>23</v>
      </c>
      <c r="D568" t="s">
        <v>86</v>
      </c>
      <c r="E568" t="s">
        <v>79</v>
      </c>
      <c r="F568" t="s">
        <v>80</v>
      </c>
      <c r="G568">
        <v>0.21722009553688101</v>
      </c>
      <c r="H568">
        <v>9.7458121742952201E-3</v>
      </c>
      <c r="I568">
        <v>0.100019307924441</v>
      </c>
      <c r="J568">
        <v>0.94847821857629799</v>
      </c>
      <c r="K568">
        <v>2233</v>
      </c>
      <c r="L568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68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cm="1">
        <f t="array" ref="N568">IFERROR(AVERAGE(IF((DiscreteStatsTable[GroupByKey]=DiscreteStatsTable[[#This Row],[GroupByKey]]),(DiscreteStatsTable[GroupByKey]=DiscreteStatsTable[[#This Row],[GroupByKey]])*DiscreteStatsTable[Average])),0)</f>
        <v>0.21815512979204044</v>
      </c>
      <c r="O568" cm="1">
        <f t="array" ref="O568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68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68" cm="1">
        <f t="array" ref="R568">MIN(IF((DiscreteStatsTable[GroupByKey]=DiscreteStatsTable[[#This Row],[GroupByKey]]),(DiscreteStatsTable[GroupByKey]=DiscreteStatsTable[[#This Row],[GroupByKey]])*DiscreteStatsTable[Average]))</f>
        <v>0.204996218905765</v>
      </c>
      <c r="S568" cm="1">
        <f t="array" ref="S568">MAX(IF((DiscreteStatsTable[GroupByKey]=DiscreteStatsTable[[#This Row],[GroupByKey]]),(DiscreteStatsTable[GroupByKey]=DiscreteStatsTable[[#This Row],[GroupByKey]])*DiscreteStatsTable[Average]))</f>
        <v>0.22907589413377599</v>
      </c>
      <c r="T568" cm="1">
        <f t="array" ref="T568">MIN(IF((DiscreteStatsTable[GroupByKey]=DiscreteStatsTable[[#This Row],[GroupByKey]]),(DiscreteStatsTable[GroupByKey]=DiscreteStatsTable[[#This Row],[GroupByKey]])*DiscreteStatsTable[Minimum]))</f>
        <v>0.100000577163883</v>
      </c>
      <c r="U568" cm="1">
        <f t="array" ref="U568">MAX(IF((DiscreteStatsTable[GroupByKey]=DiscreteStatsTable[[#This Row],[GroupByKey]]),(DiscreteStatsTable[GroupByKey]=DiscreteStatsTable[[#This Row],[GroupByKey]])*DiscreteStatsTable[Maximum]))</f>
        <v>1.41452080991047</v>
      </c>
      <c r="V568" cm="1">
        <f t="array" ref="V568">IFERROR(AVERAGE(IF((DiscreteStatsTable[GroupByKey]=DiscreteStatsTable[[#This Row],[GroupByKey]]),(DiscreteStatsTable[GroupByKey]=DiscreteStatsTable[[#This Row],[GroupByKey]])*DiscreteStatsTable[NumberObservations])),0)</f>
        <v>2262.66</v>
      </c>
      <c r="W568">
        <f>IF((DiscreteStatsTable[[#This Row],[RepsRequested]]&gt;1),DiscreteStatsTable[[#This Row],[HalfWidth]],DiscreteStatsTable[[#This Row],[BatchMeansHalfWidth]])</f>
        <v>1.3927091897695423E-3</v>
      </c>
      <c r="X568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131</v>
      </c>
      <c r="C569">
        <v>23</v>
      </c>
      <c r="D569" t="s">
        <v>86</v>
      </c>
      <c r="E569" t="s">
        <v>81</v>
      </c>
      <c r="F569" t="s">
        <v>80</v>
      </c>
      <c r="G569">
        <v>0.150367037520689</v>
      </c>
      <c r="H569">
        <v>9.9840217027403707E-4</v>
      </c>
      <c r="I569">
        <v>0.100019307924441</v>
      </c>
      <c r="J569">
        <v>0.199904486788441</v>
      </c>
      <c r="K569">
        <v>2233</v>
      </c>
      <c r="L569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69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cm="1">
        <f t="array" ref="N569">IFERROR(AVERAGE(IF((DiscreteStatsTable[GroupByKey]=DiscreteStatsTable[[#This Row],[GroupByKey]]),(DiscreteStatsTable[GroupByKey]=DiscreteStatsTable[[#This Row],[GroupByKey]])*DiscreteStatsTable[Average])),0)</f>
        <v>0.15006283793025285</v>
      </c>
      <c r="O569" cm="1">
        <f t="array" ref="O569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69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69" cm="1">
        <f t="array" ref="R569">MIN(IF((DiscreteStatsTable[GroupByKey]=DiscreteStatsTable[[#This Row],[GroupByKey]]),(DiscreteStatsTable[GroupByKey]=DiscreteStatsTable[[#This Row],[GroupByKey]])*DiscreteStatsTable[Average]))</f>
        <v>0.14863412830584499</v>
      </c>
      <c r="S569" cm="1">
        <f t="array" ref="S569">MAX(IF((DiscreteStatsTable[GroupByKey]=DiscreteStatsTable[[#This Row],[GroupByKey]]),(DiscreteStatsTable[GroupByKey]=DiscreteStatsTable[[#This Row],[GroupByKey]])*DiscreteStatsTable[Average]))</f>
        <v>0.151606291486265</v>
      </c>
      <c r="T569" cm="1">
        <f t="array" ref="T569">MIN(IF((DiscreteStatsTable[GroupByKey]=DiscreteStatsTable[[#This Row],[GroupByKey]]),(DiscreteStatsTable[GroupByKey]=DiscreteStatsTable[[#This Row],[GroupByKey]])*DiscreteStatsTable[Minimum]))</f>
        <v>0.100000577163883</v>
      </c>
      <c r="U569" cm="1">
        <f t="array" ref="U569">MAX(IF((DiscreteStatsTable[GroupByKey]=DiscreteStatsTable[[#This Row],[GroupByKey]]),(DiscreteStatsTable[GroupByKey]=DiscreteStatsTable[[#This Row],[GroupByKey]])*DiscreteStatsTable[Maximum]))</f>
        <v>0.19999993084929499</v>
      </c>
      <c r="V569" cm="1">
        <f t="array" ref="V569">IFERROR(AVERAGE(IF((DiscreteStatsTable[GroupByKey]=DiscreteStatsTable[[#This Row],[GroupByKey]]),(DiscreteStatsTable[GroupByKey]=DiscreteStatsTable[[#This Row],[GroupByKey]])*DiscreteStatsTable[NumberObservations])),0)</f>
        <v>2262.66</v>
      </c>
      <c r="W569">
        <f>IF((DiscreteStatsTable[[#This Row],[RepsRequested]]&gt;1),DiscreteStatsTable[[#This Row],[HalfWidth]],DiscreteStatsTable[[#This Row],[BatchMeansHalfWidth]])</f>
        <v>1.7015423667850204E-4</v>
      </c>
      <c r="X569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131</v>
      </c>
      <c r="C570">
        <v>23</v>
      </c>
      <c r="D570" t="s">
        <v>86</v>
      </c>
      <c r="E570" t="s">
        <v>82</v>
      </c>
      <c r="F570" t="s">
        <v>80</v>
      </c>
      <c r="G570">
        <v>6.6853058016192499E-2</v>
      </c>
      <c r="H570">
        <v>9.3005539565691794E-3</v>
      </c>
      <c r="I570">
        <v>0</v>
      </c>
      <c r="J570">
        <v>0.77795412547746401</v>
      </c>
      <c r="K570">
        <v>2233</v>
      </c>
      <c r="L570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70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cm="1">
        <f t="array" ref="N570">IFERROR(AVERAGE(IF((DiscreteStatsTable[GroupByKey]=DiscreteStatsTable[[#This Row],[GroupByKey]]),(DiscreteStatsTable[GroupByKey]=DiscreteStatsTable[[#This Row],[GroupByKey]])*DiscreteStatsTable[Average])),0)</f>
        <v>6.8092291861787557E-2</v>
      </c>
      <c r="O570" cm="1">
        <f t="array" ref="O570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70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70" cm="1">
        <f t="array" ref="R570">MIN(IF((DiscreteStatsTable[GroupByKey]=DiscreteStatsTable[[#This Row],[GroupByKey]]),(DiscreteStatsTable[GroupByKey]=DiscreteStatsTable[[#This Row],[GroupByKey]])*DiscreteStatsTable[Average]))</f>
        <v>5.591228067423E-2</v>
      </c>
      <c r="S570" cm="1">
        <f t="array" ref="S570">MAX(IF((DiscreteStatsTable[GroupByKey]=DiscreteStatsTable[[#This Row],[GroupByKey]]),(DiscreteStatsTable[GroupByKey]=DiscreteStatsTable[[#This Row],[GroupByKey]])*DiscreteStatsTable[Average]))</f>
        <v>7.8817469083508104E-2</v>
      </c>
      <c r="T570" cm="1">
        <f t="array" ref="T570">MIN(IF((DiscreteStatsTable[GroupByKey]=DiscreteStatsTable[[#This Row],[GroupByKey]]),(DiscreteStatsTable[GroupByKey]=DiscreteStatsTable[[#This Row],[GroupByKey]])*DiscreteStatsTable[Minimum]))</f>
        <v>0</v>
      </c>
      <c r="U570" cm="1">
        <f t="array" ref="U570">MAX(IF((DiscreteStatsTable[GroupByKey]=DiscreteStatsTable[[#This Row],[GroupByKey]]),(DiscreteStatsTable[GroupByKey]=DiscreteStatsTable[[#This Row],[GroupByKey]])*DiscreteStatsTable[Maximum]))</f>
        <v>1.2170108122512</v>
      </c>
      <c r="V570" cm="1">
        <f t="array" ref="V570">IFERROR(AVERAGE(IF((DiscreteStatsTable[GroupByKey]=DiscreteStatsTable[[#This Row],[GroupByKey]]),(DiscreteStatsTable[GroupByKey]=DiscreteStatsTable[[#This Row],[GroupByKey]])*DiscreteStatsTable[NumberObservations])),0)</f>
        <v>2262.66</v>
      </c>
      <c r="W570">
        <f>IF((DiscreteStatsTable[[#This Row],[RepsRequested]]&gt;1),DiscreteStatsTable[[#This Row],[HalfWidth]],DiscreteStatsTable[[#This Row],[BatchMeansHalfWidth]])</f>
        <v>1.3221720552995685E-3</v>
      </c>
      <c r="X570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131</v>
      </c>
      <c r="C571">
        <v>24</v>
      </c>
      <c r="D571" t="s">
        <v>86</v>
      </c>
      <c r="E571" t="s">
        <v>79</v>
      </c>
      <c r="F571" t="s">
        <v>80</v>
      </c>
      <c r="G571">
        <v>0.22138642638366701</v>
      </c>
      <c r="H571">
        <v>8.96554981608144E-3</v>
      </c>
      <c r="I571">
        <v>0.100061543870879</v>
      </c>
      <c r="J571">
        <v>0.883118092208804</v>
      </c>
      <c r="K571">
        <v>2282</v>
      </c>
      <c r="L571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71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cm="1">
        <f t="array" ref="N571">IFERROR(AVERAGE(IF((DiscreteStatsTable[GroupByKey]=DiscreteStatsTable[[#This Row],[GroupByKey]]),(DiscreteStatsTable[GroupByKey]=DiscreteStatsTable[[#This Row],[GroupByKey]])*DiscreteStatsTable[Average])),0)</f>
        <v>0.21815512979204044</v>
      </c>
      <c r="O571" cm="1">
        <f t="array" ref="O571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71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71" cm="1">
        <f t="array" ref="R571">MIN(IF((DiscreteStatsTable[GroupByKey]=DiscreteStatsTable[[#This Row],[GroupByKey]]),(DiscreteStatsTable[GroupByKey]=DiscreteStatsTable[[#This Row],[GroupByKey]])*DiscreteStatsTable[Average]))</f>
        <v>0.204996218905765</v>
      </c>
      <c r="S571" cm="1">
        <f t="array" ref="S571">MAX(IF((DiscreteStatsTable[GroupByKey]=DiscreteStatsTable[[#This Row],[GroupByKey]]),(DiscreteStatsTable[GroupByKey]=DiscreteStatsTable[[#This Row],[GroupByKey]])*DiscreteStatsTable[Average]))</f>
        <v>0.22907589413377599</v>
      </c>
      <c r="T571" cm="1">
        <f t="array" ref="T571">MIN(IF((DiscreteStatsTable[GroupByKey]=DiscreteStatsTable[[#This Row],[GroupByKey]]),(DiscreteStatsTable[GroupByKey]=DiscreteStatsTable[[#This Row],[GroupByKey]])*DiscreteStatsTable[Minimum]))</f>
        <v>0.100000577163883</v>
      </c>
      <c r="U571" cm="1">
        <f t="array" ref="U571">MAX(IF((DiscreteStatsTable[GroupByKey]=DiscreteStatsTable[[#This Row],[GroupByKey]]),(DiscreteStatsTable[GroupByKey]=DiscreteStatsTable[[#This Row],[GroupByKey]])*DiscreteStatsTable[Maximum]))</f>
        <v>1.41452080991047</v>
      </c>
      <c r="V571" cm="1">
        <f t="array" ref="V571">IFERROR(AVERAGE(IF((DiscreteStatsTable[GroupByKey]=DiscreteStatsTable[[#This Row],[GroupByKey]]),(DiscreteStatsTable[GroupByKey]=DiscreteStatsTable[[#This Row],[GroupByKey]])*DiscreteStatsTable[NumberObservations])),0)</f>
        <v>2262.66</v>
      </c>
      <c r="W571">
        <f>IF((DiscreteStatsTable[[#This Row],[RepsRequested]]&gt;1),DiscreteStatsTable[[#This Row],[HalfWidth]],DiscreteStatsTable[[#This Row],[BatchMeansHalfWidth]])</f>
        <v>1.3927091897695423E-3</v>
      </c>
      <c r="X571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131</v>
      </c>
      <c r="C572">
        <v>24</v>
      </c>
      <c r="D572" t="s">
        <v>86</v>
      </c>
      <c r="E572" t="s">
        <v>81</v>
      </c>
      <c r="F572" t="s">
        <v>80</v>
      </c>
      <c r="G572">
        <v>0.150263889075503</v>
      </c>
      <c r="H572">
        <v>1.38132031939367E-3</v>
      </c>
      <c r="I572">
        <v>0.100061543870879</v>
      </c>
      <c r="J572">
        <v>0.19993982303128599</v>
      </c>
      <c r="K572">
        <v>2282</v>
      </c>
      <c r="L572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72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cm="1">
        <f t="array" ref="N572">IFERROR(AVERAGE(IF((DiscreteStatsTable[GroupByKey]=DiscreteStatsTable[[#This Row],[GroupByKey]]),(DiscreteStatsTable[GroupByKey]=DiscreteStatsTable[[#This Row],[GroupByKey]])*DiscreteStatsTable[Average])),0)</f>
        <v>0.15006283793025285</v>
      </c>
      <c r="O572" cm="1">
        <f t="array" ref="O572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72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72" cm="1">
        <f t="array" ref="R572">MIN(IF((DiscreteStatsTable[GroupByKey]=DiscreteStatsTable[[#This Row],[GroupByKey]]),(DiscreteStatsTable[GroupByKey]=DiscreteStatsTable[[#This Row],[GroupByKey]])*DiscreteStatsTable[Average]))</f>
        <v>0.14863412830584499</v>
      </c>
      <c r="S572" cm="1">
        <f t="array" ref="S572">MAX(IF((DiscreteStatsTable[GroupByKey]=DiscreteStatsTable[[#This Row],[GroupByKey]]),(DiscreteStatsTable[GroupByKey]=DiscreteStatsTable[[#This Row],[GroupByKey]])*DiscreteStatsTable[Average]))</f>
        <v>0.151606291486265</v>
      </c>
      <c r="T572" cm="1">
        <f t="array" ref="T572">MIN(IF((DiscreteStatsTable[GroupByKey]=DiscreteStatsTable[[#This Row],[GroupByKey]]),(DiscreteStatsTable[GroupByKey]=DiscreteStatsTable[[#This Row],[GroupByKey]])*DiscreteStatsTable[Minimum]))</f>
        <v>0.100000577163883</v>
      </c>
      <c r="U572" cm="1">
        <f t="array" ref="U572">MAX(IF((DiscreteStatsTable[GroupByKey]=DiscreteStatsTable[[#This Row],[GroupByKey]]),(DiscreteStatsTable[GroupByKey]=DiscreteStatsTable[[#This Row],[GroupByKey]])*DiscreteStatsTable[Maximum]))</f>
        <v>0.19999993084929499</v>
      </c>
      <c r="V572" cm="1">
        <f t="array" ref="V572">IFERROR(AVERAGE(IF((DiscreteStatsTable[GroupByKey]=DiscreteStatsTable[[#This Row],[GroupByKey]]),(DiscreteStatsTable[GroupByKey]=DiscreteStatsTable[[#This Row],[GroupByKey]])*DiscreteStatsTable[NumberObservations])),0)</f>
        <v>2262.66</v>
      </c>
      <c r="W572">
        <f>IF((DiscreteStatsTable[[#This Row],[RepsRequested]]&gt;1),DiscreteStatsTable[[#This Row],[HalfWidth]],DiscreteStatsTable[[#This Row],[BatchMeansHalfWidth]])</f>
        <v>1.7015423667850204E-4</v>
      </c>
      <c r="X572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131</v>
      </c>
      <c r="C573">
        <v>24</v>
      </c>
      <c r="D573" t="s">
        <v>86</v>
      </c>
      <c r="E573" t="s">
        <v>82</v>
      </c>
      <c r="F573" t="s">
        <v>80</v>
      </c>
      <c r="G573">
        <v>7.11225373081633E-2</v>
      </c>
      <c r="H573">
        <v>9.0663462060967797E-3</v>
      </c>
      <c r="I573">
        <v>0</v>
      </c>
      <c r="J573">
        <v>0.708280305541507</v>
      </c>
      <c r="K573">
        <v>2282</v>
      </c>
      <c r="L573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73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cm="1">
        <f t="array" ref="N573">IFERROR(AVERAGE(IF((DiscreteStatsTable[GroupByKey]=DiscreteStatsTable[[#This Row],[GroupByKey]]),(DiscreteStatsTable[GroupByKey]=DiscreteStatsTable[[#This Row],[GroupByKey]])*DiscreteStatsTable[Average])),0)</f>
        <v>6.8092291861787557E-2</v>
      </c>
      <c r="O573" cm="1">
        <f t="array" ref="O573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73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73" cm="1">
        <f t="array" ref="R573">MIN(IF((DiscreteStatsTable[GroupByKey]=DiscreteStatsTable[[#This Row],[GroupByKey]]),(DiscreteStatsTable[GroupByKey]=DiscreteStatsTable[[#This Row],[GroupByKey]])*DiscreteStatsTable[Average]))</f>
        <v>5.591228067423E-2</v>
      </c>
      <c r="S573" cm="1">
        <f t="array" ref="S573">MAX(IF((DiscreteStatsTable[GroupByKey]=DiscreteStatsTable[[#This Row],[GroupByKey]]),(DiscreteStatsTable[GroupByKey]=DiscreteStatsTable[[#This Row],[GroupByKey]])*DiscreteStatsTable[Average]))</f>
        <v>7.8817469083508104E-2</v>
      </c>
      <c r="T573" cm="1">
        <f t="array" ref="T573">MIN(IF((DiscreteStatsTable[GroupByKey]=DiscreteStatsTable[[#This Row],[GroupByKey]]),(DiscreteStatsTable[GroupByKey]=DiscreteStatsTable[[#This Row],[GroupByKey]])*DiscreteStatsTable[Minimum]))</f>
        <v>0</v>
      </c>
      <c r="U573" cm="1">
        <f t="array" ref="U573">MAX(IF((DiscreteStatsTable[GroupByKey]=DiscreteStatsTable[[#This Row],[GroupByKey]]),(DiscreteStatsTable[GroupByKey]=DiscreteStatsTable[[#This Row],[GroupByKey]])*DiscreteStatsTable[Maximum]))</f>
        <v>1.2170108122512</v>
      </c>
      <c r="V573" cm="1">
        <f t="array" ref="V573">IFERROR(AVERAGE(IF((DiscreteStatsTable[GroupByKey]=DiscreteStatsTable[[#This Row],[GroupByKey]]),(DiscreteStatsTable[GroupByKey]=DiscreteStatsTable[[#This Row],[GroupByKey]])*DiscreteStatsTable[NumberObservations])),0)</f>
        <v>2262.66</v>
      </c>
      <c r="W573">
        <f>IF((DiscreteStatsTable[[#This Row],[RepsRequested]]&gt;1),DiscreteStatsTable[[#This Row],[HalfWidth]],DiscreteStatsTable[[#This Row],[BatchMeansHalfWidth]])</f>
        <v>1.3221720552995685E-3</v>
      </c>
      <c r="X573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131</v>
      </c>
      <c r="C574">
        <v>25</v>
      </c>
      <c r="D574" t="s">
        <v>86</v>
      </c>
      <c r="E574" t="s">
        <v>79</v>
      </c>
      <c r="F574" t="s">
        <v>80</v>
      </c>
      <c r="G574">
        <v>0.22434976362846801</v>
      </c>
      <c r="H574">
        <v>1.16741928849517E-2</v>
      </c>
      <c r="I574">
        <v>0.10005395238079</v>
      </c>
      <c r="J574">
        <v>1.0121690279404001</v>
      </c>
      <c r="K574">
        <v>2363</v>
      </c>
      <c r="L574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74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cm="1">
        <f t="array" ref="N574">IFERROR(AVERAGE(IF((DiscreteStatsTable[GroupByKey]=DiscreteStatsTable[[#This Row],[GroupByKey]]),(DiscreteStatsTable[GroupByKey]=DiscreteStatsTable[[#This Row],[GroupByKey]])*DiscreteStatsTable[Average])),0)</f>
        <v>0.21815512979204044</v>
      </c>
      <c r="O574" cm="1">
        <f t="array" ref="O574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74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74" cm="1">
        <f t="array" ref="R574">MIN(IF((DiscreteStatsTable[GroupByKey]=DiscreteStatsTable[[#This Row],[GroupByKey]]),(DiscreteStatsTable[GroupByKey]=DiscreteStatsTable[[#This Row],[GroupByKey]])*DiscreteStatsTable[Average]))</f>
        <v>0.204996218905765</v>
      </c>
      <c r="S574" cm="1">
        <f t="array" ref="S574">MAX(IF((DiscreteStatsTable[GroupByKey]=DiscreteStatsTable[[#This Row],[GroupByKey]]),(DiscreteStatsTable[GroupByKey]=DiscreteStatsTable[[#This Row],[GroupByKey]])*DiscreteStatsTable[Average]))</f>
        <v>0.22907589413377599</v>
      </c>
      <c r="T574" cm="1">
        <f t="array" ref="T574">MIN(IF((DiscreteStatsTable[GroupByKey]=DiscreteStatsTable[[#This Row],[GroupByKey]]),(DiscreteStatsTable[GroupByKey]=DiscreteStatsTable[[#This Row],[GroupByKey]])*DiscreteStatsTable[Minimum]))</f>
        <v>0.100000577163883</v>
      </c>
      <c r="U574" cm="1">
        <f t="array" ref="U574">MAX(IF((DiscreteStatsTable[GroupByKey]=DiscreteStatsTable[[#This Row],[GroupByKey]]),(DiscreteStatsTable[GroupByKey]=DiscreteStatsTable[[#This Row],[GroupByKey]])*DiscreteStatsTable[Maximum]))</f>
        <v>1.41452080991047</v>
      </c>
      <c r="V574" cm="1">
        <f t="array" ref="V574">IFERROR(AVERAGE(IF((DiscreteStatsTable[GroupByKey]=DiscreteStatsTable[[#This Row],[GroupByKey]]),(DiscreteStatsTable[GroupByKey]=DiscreteStatsTable[[#This Row],[GroupByKey]])*DiscreteStatsTable[NumberObservations])),0)</f>
        <v>2262.66</v>
      </c>
      <c r="W574">
        <f>IF((DiscreteStatsTable[[#This Row],[RepsRequested]]&gt;1),DiscreteStatsTable[[#This Row],[HalfWidth]],DiscreteStatsTable[[#This Row],[BatchMeansHalfWidth]])</f>
        <v>1.3927091897695423E-3</v>
      </c>
      <c r="X574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131</v>
      </c>
      <c r="C575">
        <v>25</v>
      </c>
      <c r="D575" t="s">
        <v>86</v>
      </c>
      <c r="E575" t="s">
        <v>81</v>
      </c>
      <c r="F575" t="s">
        <v>80</v>
      </c>
      <c r="G575">
        <v>0.14964762737964199</v>
      </c>
      <c r="H575">
        <v>1.5027230734313501E-3</v>
      </c>
      <c r="I575">
        <v>0.10005395238079</v>
      </c>
      <c r="J575">
        <v>0.19999456799097001</v>
      </c>
      <c r="K575">
        <v>2363</v>
      </c>
      <c r="L575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7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cm="1">
        <f t="array" ref="N575">IFERROR(AVERAGE(IF((DiscreteStatsTable[GroupByKey]=DiscreteStatsTable[[#This Row],[GroupByKey]]),(DiscreteStatsTable[GroupByKey]=DiscreteStatsTable[[#This Row],[GroupByKey]])*DiscreteStatsTable[Average])),0)</f>
        <v>0.15006283793025285</v>
      </c>
      <c r="O575" cm="1">
        <f t="array" ref="O575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7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75" cm="1">
        <f t="array" ref="R575">MIN(IF((DiscreteStatsTable[GroupByKey]=DiscreteStatsTable[[#This Row],[GroupByKey]]),(DiscreteStatsTable[GroupByKey]=DiscreteStatsTable[[#This Row],[GroupByKey]])*DiscreteStatsTable[Average]))</f>
        <v>0.14863412830584499</v>
      </c>
      <c r="S575" cm="1">
        <f t="array" ref="S575">MAX(IF((DiscreteStatsTable[GroupByKey]=DiscreteStatsTable[[#This Row],[GroupByKey]]),(DiscreteStatsTable[GroupByKey]=DiscreteStatsTable[[#This Row],[GroupByKey]])*DiscreteStatsTable[Average]))</f>
        <v>0.151606291486265</v>
      </c>
      <c r="T575" cm="1">
        <f t="array" ref="T575">MIN(IF((DiscreteStatsTable[GroupByKey]=DiscreteStatsTable[[#This Row],[GroupByKey]]),(DiscreteStatsTable[GroupByKey]=DiscreteStatsTable[[#This Row],[GroupByKey]])*DiscreteStatsTable[Minimum]))</f>
        <v>0.100000577163883</v>
      </c>
      <c r="U575" cm="1">
        <f t="array" ref="U575">MAX(IF((DiscreteStatsTable[GroupByKey]=DiscreteStatsTable[[#This Row],[GroupByKey]]),(DiscreteStatsTable[GroupByKey]=DiscreteStatsTable[[#This Row],[GroupByKey]])*DiscreteStatsTable[Maximum]))</f>
        <v>0.19999993084929499</v>
      </c>
      <c r="V575" cm="1">
        <f t="array" ref="V575">IFERROR(AVERAGE(IF((DiscreteStatsTable[GroupByKey]=DiscreteStatsTable[[#This Row],[GroupByKey]]),(DiscreteStatsTable[GroupByKey]=DiscreteStatsTable[[#This Row],[GroupByKey]])*DiscreteStatsTable[NumberObservations])),0)</f>
        <v>2262.66</v>
      </c>
      <c r="W575">
        <f>IF((DiscreteStatsTable[[#This Row],[RepsRequested]]&gt;1),DiscreteStatsTable[[#This Row],[HalfWidth]],DiscreteStatsTable[[#This Row],[BatchMeansHalfWidth]])</f>
        <v>1.7015423667850204E-4</v>
      </c>
      <c r="X57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131</v>
      </c>
      <c r="C576">
        <v>25</v>
      </c>
      <c r="D576" t="s">
        <v>86</v>
      </c>
      <c r="E576" t="s">
        <v>82</v>
      </c>
      <c r="F576" t="s">
        <v>80</v>
      </c>
      <c r="G576">
        <v>7.4702136248825296E-2</v>
      </c>
      <c r="H576">
        <v>1.12926639218208E-2</v>
      </c>
      <c r="I576">
        <v>0</v>
      </c>
      <c r="J576">
        <v>0.85690707971304603</v>
      </c>
      <c r="K576">
        <v>2363</v>
      </c>
      <c r="L576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76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cm="1">
        <f t="array" ref="N576">IFERROR(AVERAGE(IF((DiscreteStatsTable[GroupByKey]=DiscreteStatsTable[[#This Row],[GroupByKey]]),(DiscreteStatsTable[GroupByKey]=DiscreteStatsTable[[#This Row],[GroupByKey]])*DiscreteStatsTable[Average])),0)</f>
        <v>6.8092291861787557E-2</v>
      </c>
      <c r="O576" cm="1">
        <f t="array" ref="O576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76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76" cm="1">
        <f t="array" ref="R576">MIN(IF((DiscreteStatsTable[GroupByKey]=DiscreteStatsTable[[#This Row],[GroupByKey]]),(DiscreteStatsTable[GroupByKey]=DiscreteStatsTable[[#This Row],[GroupByKey]])*DiscreteStatsTable[Average]))</f>
        <v>5.591228067423E-2</v>
      </c>
      <c r="S576" cm="1">
        <f t="array" ref="S576">MAX(IF((DiscreteStatsTable[GroupByKey]=DiscreteStatsTable[[#This Row],[GroupByKey]]),(DiscreteStatsTable[GroupByKey]=DiscreteStatsTable[[#This Row],[GroupByKey]])*DiscreteStatsTable[Average]))</f>
        <v>7.8817469083508104E-2</v>
      </c>
      <c r="T576" cm="1">
        <f t="array" ref="T576">MIN(IF((DiscreteStatsTable[GroupByKey]=DiscreteStatsTable[[#This Row],[GroupByKey]]),(DiscreteStatsTable[GroupByKey]=DiscreteStatsTable[[#This Row],[GroupByKey]])*DiscreteStatsTable[Minimum]))</f>
        <v>0</v>
      </c>
      <c r="U576" cm="1">
        <f t="array" ref="U576">MAX(IF((DiscreteStatsTable[GroupByKey]=DiscreteStatsTable[[#This Row],[GroupByKey]]),(DiscreteStatsTable[GroupByKey]=DiscreteStatsTable[[#This Row],[GroupByKey]])*DiscreteStatsTable[Maximum]))</f>
        <v>1.2170108122512</v>
      </c>
      <c r="V576" cm="1">
        <f t="array" ref="V576">IFERROR(AVERAGE(IF((DiscreteStatsTable[GroupByKey]=DiscreteStatsTable[[#This Row],[GroupByKey]]),(DiscreteStatsTable[GroupByKey]=DiscreteStatsTable[[#This Row],[GroupByKey]])*DiscreteStatsTable[NumberObservations])),0)</f>
        <v>2262.66</v>
      </c>
      <c r="W576">
        <f>IF((DiscreteStatsTable[[#This Row],[RepsRequested]]&gt;1),DiscreteStatsTable[[#This Row],[HalfWidth]],DiscreteStatsTable[[#This Row],[BatchMeansHalfWidth]])</f>
        <v>1.3221720552995685E-3</v>
      </c>
      <c r="X576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131</v>
      </c>
      <c r="C577">
        <v>26</v>
      </c>
      <c r="D577" t="s">
        <v>86</v>
      </c>
      <c r="E577" t="s">
        <v>79</v>
      </c>
      <c r="F577" t="s">
        <v>80</v>
      </c>
      <c r="G577">
        <v>0.21689211775767001</v>
      </c>
      <c r="H577">
        <v>3E+20</v>
      </c>
      <c r="I577">
        <v>0.100300358134035</v>
      </c>
      <c r="J577">
        <v>0.99944075015039902</v>
      </c>
      <c r="K577">
        <v>2222</v>
      </c>
      <c r="L577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77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cm="1">
        <f t="array" ref="N577">IFERROR(AVERAGE(IF((DiscreteStatsTable[GroupByKey]=DiscreteStatsTable[[#This Row],[GroupByKey]]),(DiscreteStatsTable[GroupByKey]=DiscreteStatsTable[[#This Row],[GroupByKey]])*DiscreteStatsTable[Average])),0)</f>
        <v>0.21815512979204044</v>
      </c>
      <c r="O577" cm="1">
        <f t="array" ref="O577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77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77" cm="1">
        <f t="array" ref="R577">MIN(IF((DiscreteStatsTable[GroupByKey]=DiscreteStatsTable[[#This Row],[GroupByKey]]),(DiscreteStatsTable[GroupByKey]=DiscreteStatsTable[[#This Row],[GroupByKey]])*DiscreteStatsTable[Average]))</f>
        <v>0.204996218905765</v>
      </c>
      <c r="S577" cm="1">
        <f t="array" ref="S577">MAX(IF((DiscreteStatsTable[GroupByKey]=DiscreteStatsTable[[#This Row],[GroupByKey]]),(DiscreteStatsTable[GroupByKey]=DiscreteStatsTable[[#This Row],[GroupByKey]])*DiscreteStatsTable[Average]))</f>
        <v>0.22907589413377599</v>
      </c>
      <c r="T577" cm="1">
        <f t="array" ref="T577">MIN(IF((DiscreteStatsTable[GroupByKey]=DiscreteStatsTable[[#This Row],[GroupByKey]]),(DiscreteStatsTable[GroupByKey]=DiscreteStatsTable[[#This Row],[GroupByKey]])*DiscreteStatsTable[Minimum]))</f>
        <v>0.100000577163883</v>
      </c>
      <c r="U577" cm="1">
        <f t="array" ref="U577">MAX(IF((DiscreteStatsTable[GroupByKey]=DiscreteStatsTable[[#This Row],[GroupByKey]]),(DiscreteStatsTable[GroupByKey]=DiscreteStatsTable[[#This Row],[GroupByKey]])*DiscreteStatsTable[Maximum]))</f>
        <v>1.41452080991047</v>
      </c>
      <c r="V577" cm="1">
        <f t="array" ref="V577">IFERROR(AVERAGE(IF((DiscreteStatsTable[GroupByKey]=DiscreteStatsTable[[#This Row],[GroupByKey]]),(DiscreteStatsTable[GroupByKey]=DiscreteStatsTable[[#This Row],[GroupByKey]])*DiscreteStatsTable[NumberObservations])),0)</f>
        <v>2262.66</v>
      </c>
      <c r="W577">
        <f>IF((DiscreteStatsTable[[#This Row],[RepsRequested]]&gt;1),DiscreteStatsTable[[#This Row],[HalfWidth]],DiscreteStatsTable[[#This Row],[BatchMeansHalfWidth]])</f>
        <v>1.3927091897695423E-3</v>
      </c>
      <c r="X577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131</v>
      </c>
      <c r="C578">
        <v>26</v>
      </c>
      <c r="D578" t="s">
        <v>86</v>
      </c>
      <c r="E578" t="s">
        <v>81</v>
      </c>
      <c r="F578" t="s">
        <v>80</v>
      </c>
      <c r="G578">
        <v>0.151188670036458</v>
      </c>
      <c r="H578">
        <v>1.04981288916369E-3</v>
      </c>
      <c r="I578">
        <v>0.10006806122009899</v>
      </c>
      <c r="J578">
        <v>0.19995545933272801</v>
      </c>
      <c r="K578">
        <v>2222</v>
      </c>
      <c r="L578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78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cm="1">
        <f t="array" ref="N578">IFERROR(AVERAGE(IF((DiscreteStatsTable[GroupByKey]=DiscreteStatsTable[[#This Row],[GroupByKey]]),(DiscreteStatsTable[GroupByKey]=DiscreteStatsTable[[#This Row],[GroupByKey]])*DiscreteStatsTable[Average])),0)</f>
        <v>0.15006283793025285</v>
      </c>
      <c r="O578" cm="1">
        <f t="array" ref="O578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78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78" cm="1">
        <f t="array" ref="R578">MIN(IF((DiscreteStatsTable[GroupByKey]=DiscreteStatsTable[[#This Row],[GroupByKey]]),(DiscreteStatsTable[GroupByKey]=DiscreteStatsTable[[#This Row],[GroupByKey]])*DiscreteStatsTable[Average]))</f>
        <v>0.14863412830584499</v>
      </c>
      <c r="S578" cm="1">
        <f t="array" ref="S578">MAX(IF((DiscreteStatsTable[GroupByKey]=DiscreteStatsTable[[#This Row],[GroupByKey]]),(DiscreteStatsTable[GroupByKey]=DiscreteStatsTable[[#This Row],[GroupByKey]])*DiscreteStatsTable[Average]))</f>
        <v>0.151606291486265</v>
      </c>
      <c r="T578" cm="1">
        <f t="array" ref="T578">MIN(IF((DiscreteStatsTable[GroupByKey]=DiscreteStatsTable[[#This Row],[GroupByKey]]),(DiscreteStatsTable[GroupByKey]=DiscreteStatsTable[[#This Row],[GroupByKey]])*DiscreteStatsTable[Minimum]))</f>
        <v>0.100000577163883</v>
      </c>
      <c r="U578" cm="1">
        <f t="array" ref="U578">MAX(IF((DiscreteStatsTable[GroupByKey]=DiscreteStatsTable[[#This Row],[GroupByKey]]),(DiscreteStatsTable[GroupByKey]=DiscreteStatsTable[[#This Row],[GroupByKey]])*DiscreteStatsTable[Maximum]))</f>
        <v>0.19999993084929499</v>
      </c>
      <c r="V578" cm="1">
        <f t="array" ref="V578">IFERROR(AVERAGE(IF((DiscreteStatsTable[GroupByKey]=DiscreteStatsTable[[#This Row],[GroupByKey]]),(DiscreteStatsTable[GroupByKey]=DiscreteStatsTable[[#This Row],[GroupByKey]])*DiscreteStatsTable[NumberObservations])),0)</f>
        <v>2262.66</v>
      </c>
      <c r="W578">
        <f>IF((DiscreteStatsTable[[#This Row],[RepsRequested]]&gt;1),DiscreteStatsTable[[#This Row],[HalfWidth]],DiscreteStatsTable[[#This Row],[BatchMeansHalfWidth]])</f>
        <v>1.7015423667850204E-4</v>
      </c>
      <c r="X578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131</v>
      </c>
      <c r="C579">
        <v>26</v>
      </c>
      <c r="D579" t="s">
        <v>86</v>
      </c>
      <c r="E579" t="s">
        <v>82</v>
      </c>
      <c r="F579" t="s">
        <v>80</v>
      </c>
      <c r="G579">
        <v>6.5703447721212602E-2</v>
      </c>
      <c r="H579">
        <v>3E+20</v>
      </c>
      <c r="I579">
        <v>0</v>
      </c>
      <c r="J579">
        <v>0.82012182052898197</v>
      </c>
      <c r="K579">
        <v>2222</v>
      </c>
      <c r="L579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79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cm="1">
        <f t="array" ref="N579">IFERROR(AVERAGE(IF((DiscreteStatsTable[GroupByKey]=DiscreteStatsTable[[#This Row],[GroupByKey]]),(DiscreteStatsTable[GroupByKey]=DiscreteStatsTable[[#This Row],[GroupByKey]])*DiscreteStatsTable[Average])),0)</f>
        <v>6.8092291861787557E-2</v>
      </c>
      <c r="O579" cm="1">
        <f t="array" ref="O579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79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79" cm="1">
        <f t="array" ref="R579">MIN(IF((DiscreteStatsTable[GroupByKey]=DiscreteStatsTable[[#This Row],[GroupByKey]]),(DiscreteStatsTable[GroupByKey]=DiscreteStatsTable[[#This Row],[GroupByKey]])*DiscreteStatsTable[Average]))</f>
        <v>5.591228067423E-2</v>
      </c>
      <c r="S579" cm="1">
        <f t="array" ref="S579">MAX(IF((DiscreteStatsTable[GroupByKey]=DiscreteStatsTable[[#This Row],[GroupByKey]]),(DiscreteStatsTable[GroupByKey]=DiscreteStatsTable[[#This Row],[GroupByKey]])*DiscreteStatsTable[Average]))</f>
        <v>7.8817469083508104E-2</v>
      </c>
      <c r="T579" cm="1">
        <f t="array" ref="T579">MIN(IF((DiscreteStatsTable[GroupByKey]=DiscreteStatsTable[[#This Row],[GroupByKey]]),(DiscreteStatsTable[GroupByKey]=DiscreteStatsTable[[#This Row],[GroupByKey]])*DiscreteStatsTable[Minimum]))</f>
        <v>0</v>
      </c>
      <c r="U579" cm="1">
        <f t="array" ref="U579">MAX(IF((DiscreteStatsTable[GroupByKey]=DiscreteStatsTable[[#This Row],[GroupByKey]]),(DiscreteStatsTable[GroupByKey]=DiscreteStatsTable[[#This Row],[GroupByKey]])*DiscreteStatsTable[Maximum]))</f>
        <v>1.2170108122512</v>
      </c>
      <c r="V579" cm="1">
        <f t="array" ref="V579">IFERROR(AVERAGE(IF((DiscreteStatsTable[GroupByKey]=DiscreteStatsTable[[#This Row],[GroupByKey]]),(DiscreteStatsTable[GroupByKey]=DiscreteStatsTable[[#This Row],[GroupByKey]])*DiscreteStatsTable[NumberObservations])),0)</f>
        <v>2262.66</v>
      </c>
      <c r="W579">
        <f>IF((DiscreteStatsTable[[#This Row],[RepsRequested]]&gt;1),DiscreteStatsTable[[#This Row],[HalfWidth]],DiscreteStatsTable[[#This Row],[BatchMeansHalfWidth]])</f>
        <v>1.3221720552995685E-3</v>
      </c>
      <c r="X579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131</v>
      </c>
      <c r="C580">
        <v>27</v>
      </c>
      <c r="D580" t="s">
        <v>86</v>
      </c>
      <c r="E580" t="s">
        <v>79</v>
      </c>
      <c r="F580" t="s">
        <v>80</v>
      </c>
      <c r="G580">
        <v>0.22233872984781999</v>
      </c>
      <c r="H580">
        <v>1.1338291167961201E-2</v>
      </c>
      <c r="I580">
        <v>0.100310413857187</v>
      </c>
      <c r="J580">
        <v>0.99060160775036399</v>
      </c>
      <c r="K580">
        <v>2272</v>
      </c>
      <c r="L580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80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cm="1">
        <f t="array" ref="N580">IFERROR(AVERAGE(IF((DiscreteStatsTable[GroupByKey]=DiscreteStatsTable[[#This Row],[GroupByKey]]),(DiscreteStatsTable[GroupByKey]=DiscreteStatsTable[[#This Row],[GroupByKey]])*DiscreteStatsTable[Average])),0)</f>
        <v>0.21815512979204044</v>
      </c>
      <c r="O580" cm="1">
        <f t="array" ref="O580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80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80" cm="1">
        <f t="array" ref="R580">MIN(IF((DiscreteStatsTable[GroupByKey]=DiscreteStatsTable[[#This Row],[GroupByKey]]),(DiscreteStatsTable[GroupByKey]=DiscreteStatsTable[[#This Row],[GroupByKey]])*DiscreteStatsTable[Average]))</f>
        <v>0.204996218905765</v>
      </c>
      <c r="S580" cm="1">
        <f t="array" ref="S580">MAX(IF((DiscreteStatsTable[GroupByKey]=DiscreteStatsTable[[#This Row],[GroupByKey]]),(DiscreteStatsTable[GroupByKey]=DiscreteStatsTable[[#This Row],[GroupByKey]])*DiscreteStatsTable[Average]))</f>
        <v>0.22907589413377599</v>
      </c>
      <c r="T580" cm="1">
        <f t="array" ref="T580">MIN(IF((DiscreteStatsTable[GroupByKey]=DiscreteStatsTable[[#This Row],[GroupByKey]]),(DiscreteStatsTable[GroupByKey]=DiscreteStatsTable[[#This Row],[GroupByKey]])*DiscreteStatsTable[Minimum]))</f>
        <v>0.100000577163883</v>
      </c>
      <c r="U580" cm="1">
        <f t="array" ref="U580">MAX(IF((DiscreteStatsTable[GroupByKey]=DiscreteStatsTable[[#This Row],[GroupByKey]]),(DiscreteStatsTable[GroupByKey]=DiscreteStatsTable[[#This Row],[GroupByKey]])*DiscreteStatsTable[Maximum]))</f>
        <v>1.41452080991047</v>
      </c>
      <c r="V580" cm="1">
        <f t="array" ref="V580">IFERROR(AVERAGE(IF((DiscreteStatsTable[GroupByKey]=DiscreteStatsTable[[#This Row],[GroupByKey]]),(DiscreteStatsTable[GroupByKey]=DiscreteStatsTable[[#This Row],[GroupByKey]])*DiscreteStatsTable[NumberObservations])),0)</f>
        <v>2262.66</v>
      </c>
      <c r="W580">
        <f>IF((DiscreteStatsTable[[#This Row],[RepsRequested]]&gt;1),DiscreteStatsTable[[#This Row],[HalfWidth]],DiscreteStatsTable[[#This Row],[BatchMeansHalfWidth]])</f>
        <v>1.3927091897695423E-3</v>
      </c>
      <c r="X580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131</v>
      </c>
      <c r="C581">
        <v>27</v>
      </c>
      <c r="D581" t="s">
        <v>86</v>
      </c>
      <c r="E581" t="s">
        <v>81</v>
      </c>
      <c r="F581" t="s">
        <v>80</v>
      </c>
      <c r="G581">
        <v>0.15024977582009799</v>
      </c>
      <c r="H581">
        <v>1.3288556580183799E-3</v>
      </c>
      <c r="I581">
        <v>0.100270485402206</v>
      </c>
      <c r="J581">
        <v>0.199985234578378</v>
      </c>
      <c r="K581">
        <v>2272</v>
      </c>
      <c r="L581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81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cm="1">
        <f t="array" ref="N581">IFERROR(AVERAGE(IF((DiscreteStatsTable[GroupByKey]=DiscreteStatsTable[[#This Row],[GroupByKey]]),(DiscreteStatsTable[GroupByKey]=DiscreteStatsTable[[#This Row],[GroupByKey]])*DiscreteStatsTable[Average])),0)</f>
        <v>0.15006283793025285</v>
      </c>
      <c r="O581" cm="1">
        <f t="array" ref="O581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81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81" cm="1">
        <f t="array" ref="R581">MIN(IF((DiscreteStatsTable[GroupByKey]=DiscreteStatsTable[[#This Row],[GroupByKey]]),(DiscreteStatsTable[GroupByKey]=DiscreteStatsTable[[#This Row],[GroupByKey]])*DiscreteStatsTable[Average]))</f>
        <v>0.14863412830584499</v>
      </c>
      <c r="S581" cm="1">
        <f t="array" ref="S581">MAX(IF((DiscreteStatsTable[GroupByKey]=DiscreteStatsTable[[#This Row],[GroupByKey]]),(DiscreteStatsTable[GroupByKey]=DiscreteStatsTable[[#This Row],[GroupByKey]])*DiscreteStatsTable[Average]))</f>
        <v>0.151606291486265</v>
      </c>
      <c r="T581" cm="1">
        <f t="array" ref="T581">MIN(IF((DiscreteStatsTable[GroupByKey]=DiscreteStatsTable[[#This Row],[GroupByKey]]),(DiscreteStatsTable[GroupByKey]=DiscreteStatsTable[[#This Row],[GroupByKey]])*DiscreteStatsTable[Minimum]))</f>
        <v>0.100000577163883</v>
      </c>
      <c r="U581" cm="1">
        <f t="array" ref="U581">MAX(IF((DiscreteStatsTable[GroupByKey]=DiscreteStatsTable[[#This Row],[GroupByKey]]),(DiscreteStatsTable[GroupByKey]=DiscreteStatsTable[[#This Row],[GroupByKey]])*DiscreteStatsTable[Maximum]))</f>
        <v>0.19999993084929499</v>
      </c>
      <c r="V581" cm="1">
        <f t="array" ref="V581">IFERROR(AVERAGE(IF((DiscreteStatsTable[GroupByKey]=DiscreteStatsTable[[#This Row],[GroupByKey]]),(DiscreteStatsTable[GroupByKey]=DiscreteStatsTable[[#This Row],[GroupByKey]])*DiscreteStatsTable[NumberObservations])),0)</f>
        <v>2262.66</v>
      </c>
      <c r="W581">
        <f>IF((DiscreteStatsTable[[#This Row],[RepsRequested]]&gt;1),DiscreteStatsTable[[#This Row],[HalfWidth]],DiscreteStatsTable[[#This Row],[BatchMeansHalfWidth]])</f>
        <v>1.7015423667850204E-4</v>
      </c>
      <c r="X581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131</v>
      </c>
      <c r="C582">
        <v>27</v>
      </c>
      <c r="D582" t="s">
        <v>86</v>
      </c>
      <c r="E582" t="s">
        <v>82</v>
      </c>
      <c r="F582" t="s">
        <v>80</v>
      </c>
      <c r="G582">
        <v>7.2088954027721905E-2</v>
      </c>
      <c r="H582">
        <v>1.13096610545132E-2</v>
      </c>
      <c r="I582">
        <v>0</v>
      </c>
      <c r="J582">
        <v>0.79177746179016095</v>
      </c>
      <c r="K582">
        <v>2272</v>
      </c>
      <c r="L582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82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cm="1">
        <f t="array" ref="N582">IFERROR(AVERAGE(IF((DiscreteStatsTable[GroupByKey]=DiscreteStatsTable[[#This Row],[GroupByKey]]),(DiscreteStatsTable[GroupByKey]=DiscreteStatsTable[[#This Row],[GroupByKey]])*DiscreteStatsTable[Average])),0)</f>
        <v>6.8092291861787557E-2</v>
      </c>
      <c r="O582" cm="1">
        <f t="array" ref="O582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82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82" cm="1">
        <f t="array" ref="R582">MIN(IF((DiscreteStatsTable[GroupByKey]=DiscreteStatsTable[[#This Row],[GroupByKey]]),(DiscreteStatsTable[GroupByKey]=DiscreteStatsTable[[#This Row],[GroupByKey]])*DiscreteStatsTable[Average]))</f>
        <v>5.591228067423E-2</v>
      </c>
      <c r="S582" cm="1">
        <f t="array" ref="S582">MAX(IF((DiscreteStatsTable[GroupByKey]=DiscreteStatsTable[[#This Row],[GroupByKey]]),(DiscreteStatsTable[GroupByKey]=DiscreteStatsTable[[#This Row],[GroupByKey]])*DiscreteStatsTable[Average]))</f>
        <v>7.8817469083508104E-2</v>
      </c>
      <c r="T582" cm="1">
        <f t="array" ref="T582">MIN(IF((DiscreteStatsTable[GroupByKey]=DiscreteStatsTable[[#This Row],[GroupByKey]]),(DiscreteStatsTable[GroupByKey]=DiscreteStatsTable[[#This Row],[GroupByKey]])*DiscreteStatsTable[Minimum]))</f>
        <v>0</v>
      </c>
      <c r="U582" cm="1">
        <f t="array" ref="U582">MAX(IF((DiscreteStatsTable[GroupByKey]=DiscreteStatsTable[[#This Row],[GroupByKey]]),(DiscreteStatsTable[GroupByKey]=DiscreteStatsTable[[#This Row],[GroupByKey]])*DiscreteStatsTable[Maximum]))</f>
        <v>1.2170108122512</v>
      </c>
      <c r="V582" cm="1">
        <f t="array" ref="V582">IFERROR(AVERAGE(IF((DiscreteStatsTable[GroupByKey]=DiscreteStatsTable[[#This Row],[GroupByKey]]),(DiscreteStatsTable[GroupByKey]=DiscreteStatsTable[[#This Row],[GroupByKey]])*DiscreteStatsTable[NumberObservations])),0)</f>
        <v>2262.66</v>
      </c>
      <c r="W582">
        <f>IF((DiscreteStatsTable[[#This Row],[RepsRequested]]&gt;1),DiscreteStatsTable[[#This Row],[HalfWidth]],DiscreteStatsTable[[#This Row],[BatchMeansHalfWidth]])</f>
        <v>1.3221720552995685E-3</v>
      </c>
      <c r="X582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131</v>
      </c>
      <c r="C583">
        <v>28</v>
      </c>
      <c r="D583" t="s">
        <v>86</v>
      </c>
      <c r="E583" t="s">
        <v>79</v>
      </c>
      <c r="F583" t="s">
        <v>80</v>
      </c>
      <c r="G583">
        <v>0.22116105234857</v>
      </c>
      <c r="H583">
        <v>7.7918602554042102E-3</v>
      </c>
      <c r="I583">
        <v>0.10008717228618</v>
      </c>
      <c r="J583">
        <v>0.90426730723038395</v>
      </c>
      <c r="K583">
        <v>2192</v>
      </c>
      <c r="L583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83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cm="1">
        <f t="array" ref="N583">IFERROR(AVERAGE(IF((DiscreteStatsTable[GroupByKey]=DiscreteStatsTable[[#This Row],[GroupByKey]]),(DiscreteStatsTable[GroupByKey]=DiscreteStatsTable[[#This Row],[GroupByKey]])*DiscreteStatsTable[Average])),0)</f>
        <v>0.21815512979204044</v>
      </c>
      <c r="O583" cm="1">
        <f t="array" ref="O583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83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83" cm="1">
        <f t="array" ref="R583">MIN(IF((DiscreteStatsTable[GroupByKey]=DiscreteStatsTable[[#This Row],[GroupByKey]]),(DiscreteStatsTable[GroupByKey]=DiscreteStatsTable[[#This Row],[GroupByKey]])*DiscreteStatsTable[Average]))</f>
        <v>0.204996218905765</v>
      </c>
      <c r="S583" cm="1">
        <f t="array" ref="S583">MAX(IF((DiscreteStatsTable[GroupByKey]=DiscreteStatsTable[[#This Row],[GroupByKey]]),(DiscreteStatsTable[GroupByKey]=DiscreteStatsTable[[#This Row],[GroupByKey]])*DiscreteStatsTable[Average]))</f>
        <v>0.22907589413377599</v>
      </c>
      <c r="T583" cm="1">
        <f t="array" ref="T583">MIN(IF((DiscreteStatsTable[GroupByKey]=DiscreteStatsTable[[#This Row],[GroupByKey]]),(DiscreteStatsTable[GroupByKey]=DiscreteStatsTable[[#This Row],[GroupByKey]])*DiscreteStatsTable[Minimum]))</f>
        <v>0.100000577163883</v>
      </c>
      <c r="U583" cm="1">
        <f t="array" ref="U583">MAX(IF((DiscreteStatsTable[GroupByKey]=DiscreteStatsTable[[#This Row],[GroupByKey]]),(DiscreteStatsTable[GroupByKey]=DiscreteStatsTable[[#This Row],[GroupByKey]])*DiscreteStatsTable[Maximum]))</f>
        <v>1.41452080991047</v>
      </c>
      <c r="V583" cm="1">
        <f t="array" ref="V583">IFERROR(AVERAGE(IF((DiscreteStatsTable[GroupByKey]=DiscreteStatsTable[[#This Row],[GroupByKey]]),(DiscreteStatsTable[GroupByKey]=DiscreteStatsTable[[#This Row],[GroupByKey]])*DiscreteStatsTable[NumberObservations])),0)</f>
        <v>2262.66</v>
      </c>
      <c r="W583">
        <f>IF((DiscreteStatsTable[[#This Row],[RepsRequested]]&gt;1),DiscreteStatsTable[[#This Row],[HalfWidth]],DiscreteStatsTable[[#This Row],[BatchMeansHalfWidth]])</f>
        <v>1.3927091897695423E-3</v>
      </c>
      <c r="X583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131</v>
      </c>
      <c r="C584">
        <v>28</v>
      </c>
      <c r="D584" t="s">
        <v>86</v>
      </c>
      <c r="E584" t="s">
        <v>81</v>
      </c>
      <c r="F584" t="s">
        <v>80</v>
      </c>
      <c r="G584">
        <v>0.15036680267289901</v>
      </c>
      <c r="H584">
        <v>1.2876492482473999E-3</v>
      </c>
      <c r="I584">
        <v>0.10008717228618</v>
      </c>
      <c r="J584">
        <v>0.19999992246738399</v>
      </c>
      <c r="K584">
        <v>2192</v>
      </c>
      <c r="L584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84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cm="1">
        <f t="array" ref="N584">IFERROR(AVERAGE(IF((DiscreteStatsTable[GroupByKey]=DiscreteStatsTable[[#This Row],[GroupByKey]]),(DiscreteStatsTable[GroupByKey]=DiscreteStatsTable[[#This Row],[GroupByKey]])*DiscreteStatsTable[Average])),0)</f>
        <v>0.15006283793025285</v>
      </c>
      <c r="O584" cm="1">
        <f t="array" ref="O584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84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84" cm="1">
        <f t="array" ref="R584">MIN(IF((DiscreteStatsTable[GroupByKey]=DiscreteStatsTable[[#This Row],[GroupByKey]]),(DiscreteStatsTable[GroupByKey]=DiscreteStatsTable[[#This Row],[GroupByKey]])*DiscreteStatsTable[Average]))</f>
        <v>0.14863412830584499</v>
      </c>
      <c r="S584" cm="1">
        <f t="array" ref="S584">MAX(IF((DiscreteStatsTable[GroupByKey]=DiscreteStatsTable[[#This Row],[GroupByKey]]),(DiscreteStatsTable[GroupByKey]=DiscreteStatsTable[[#This Row],[GroupByKey]])*DiscreteStatsTable[Average]))</f>
        <v>0.151606291486265</v>
      </c>
      <c r="T584" cm="1">
        <f t="array" ref="T584">MIN(IF((DiscreteStatsTable[GroupByKey]=DiscreteStatsTable[[#This Row],[GroupByKey]]),(DiscreteStatsTable[GroupByKey]=DiscreteStatsTable[[#This Row],[GroupByKey]])*DiscreteStatsTable[Minimum]))</f>
        <v>0.100000577163883</v>
      </c>
      <c r="U584" cm="1">
        <f t="array" ref="U584">MAX(IF((DiscreteStatsTable[GroupByKey]=DiscreteStatsTable[[#This Row],[GroupByKey]]),(DiscreteStatsTable[GroupByKey]=DiscreteStatsTable[[#This Row],[GroupByKey]])*DiscreteStatsTable[Maximum]))</f>
        <v>0.19999993084929499</v>
      </c>
      <c r="V584" cm="1">
        <f t="array" ref="V584">IFERROR(AVERAGE(IF((DiscreteStatsTable[GroupByKey]=DiscreteStatsTable[[#This Row],[GroupByKey]]),(DiscreteStatsTable[GroupByKey]=DiscreteStatsTable[[#This Row],[GroupByKey]])*DiscreteStatsTable[NumberObservations])),0)</f>
        <v>2262.66</v>
      </c>
      <c r="W584">
        <f>IF((DiscreteStatsTable[[#This Row],[RepsRequested]]&gt;1),DiscreteStatsTable[[#This Row],[HalfWidth]],DiscreteStatsTable[[#This Row],[BatchMeansHalfWidth]])</f>
        <v>1.7015423667850204E-4</v>
      </c>
      <c r="X584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131</v>
      </c>
      <c r="C585">
        <v>28</v>
      </c>
      <c r="D585" t="s">
        <v>86</v>
      </c>
      <c r="E585" t="s">
        <v>82</v>
      </c>
      <c r="F585" t="s">
        <v>80</v>
      </c>
      <c r="G585">
        <v>7.0794249675670301E-2</v>
      </c>
      <c r="H585">
        <v>7.3965281094457401E-3</v>
      </c>
      <c r="I585">
        <v>0</v>
      </c>
      <c r="J585">
        <v>0.72903218385124502</v>
      </c>
      <c r="K585">
        <v>2192</v>
      </c>
      <c r="L585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8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cm="1">
        <f t="array" ref="N585">IFERROR(AVERAGE(IF((DiscreteStatsTable[GroupByKey]=DiscreteStatsTable[[#This Row],[GroupByKey]]),(DiscreteStatsTable[GroupByKey]=DiscreteStatsTable[[#This Row],[GroupByKey]])*DiscreteStatsTable[Average])),0)</f>
        <v>6.8092291861787557E-2</v>
      </c>
      <c r="O585" cm="1">
        <f t="array" ref="O585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8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85" cm="1">
        <f t="array" ref="R585">MIN(IF((DiscreteStatsTable[GroupByKey]=DiscreteStatsTable[[#This Row],[GroupByKey]]),(DiscreteStatsTable[GroupByKey]=DiscreteStatsTable[[#This Row],[GroupByKey]])*DiscreteStatsTable[Average]))</f>
        <v>5.591228067423E-2</v>
      </c>
      <c r="S585" cm="1">
        <f t="array" ref="S585">MAX(IF((DiscreteStatsTable[GroupByKey]=DiscreteStatsTable[[#This Row],[GroupByKey]]),(DiscreteStatsTable[GroupByKey]=DiscreteStatsTable[[#This Row],[GroupByKey]])*DiscreteStatsTable[Average]))</f>
        <v>7.8817469083508104E-2</v>
      </c>
      <c r="T585" cm="1">
        <f t="array" ref="T585">MIN(IF((DiscreteStatsTable[GroupByKey]=DiscreteStatsTable[[#This Row],[GroupByKey]]),(DiscreteStatsTable[GroupByKey]=DiscreteStatsTable[[#This Row],[GroupByKey]])*DiscreteStatsTable[Minimum]))</f>
        <v>0</v>
      </c>
      <c r="U585" cm="1">
        <f t="array" ref="U585">MAX(IF((DiscreteStatsTable[GroupByKey]=DiscreteStatsTable[[#This Row],[GroupByKey]]),(DiscreteStatsTable[GroupByKey]=DiscreteStatsTable[[#This Row],[GroupByKey]])*DiscreteStatsTable[Maximum]))</f>
        <v>1.2170108122512</v>
      </c>
      <c r="V585" cm="1">
        <f t="array" ref="V585">IFERROR(AVERAGE(IF((DiscreteStatsTable[GroupByKey]=DiscreteStatsTable[[#This Row],[GroupByKey]]),(DiscreteStatsTable[GroupByKey]=DiscreteStatsTable[[#This Row],[GroupByKey]])*DiscreteStatsTable[NumberObservations])),0)</f>
        <v>2262.66</v>
      </c>
      <c r="W585">
        <f>IF((DiscreteStatsTable[[#This Row],[RepsRequested]]&gt;1),DiscreteStatsTable[[#This Row],[HalfWidth]],DiscreteStatsTable[[#This Row],[BatchMeansHalfWidth]])</f>
        <v>1.3221720552995685E-3</v>
      </c>
      <c r="X58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131</v>
      </c>
      <c r="C586">
        <v>29</v>
      </c>
      <c r="D586" t="s">
        <v>86</v>
      </c>
      <c r="E586" t="s">
        <v>79</v>
      </c>
      <c r="F586" t="s">
        <v>80</v>
      </c>
      <c r="G586">
        <v>0.22115686566089801</v>
      </c>
      <c r="H586">
        <v>1.07815849782986E-2</v>
      </c>
      <c r="I586">
        <v>0.100062618733631</v>
      </c>
      <c r="J586">
        <v>0.90710012976910503</v>
      </c>
      <c r="K586">
        <v>2313</v>
      </c>
      <c r="L586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86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cm="1">
        <f t="array" ref="N586">IFERROR(AVERAGE(IF((DiscreteStatsTable[GroupByKey]=DiscreteStatsTable[[#This Row],[GroupByKey]]),(DiscreteStatsTable[GroupByKey]=DiscreteStatsTable[[#This Row],[GroupByKey]])*DiscreteStatsTable[Average])),0)</f>
        <v>0.21815512979204044</v>
      </c>
      <c r="O586" cm="1">
        <f t="array" ref="O586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86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86" cm="1">
        <f t="array" ref="R586">MIN(IF((DiscreteStatsTable[GroupByKey]=DiscreteStatsTable[[#This Row],[GroupByKey]]),(DiscreteStatsTable[GroupByKey]=DiscreteStatsTable[[#This Row],[GroupByKey]])*DiscreteStatsTable[Average]))</f>
        <v>0.204996218905765</v>
      </c>
      <c r="S586" cm="1">
        <f t="array" ref="S586">MAX(IF((DiscreteStatsTable[GroupByKey]=DiscreteStatsTable[[#This Row],[GroupByKey]]),(DiscreteStatsTable[GroupByKey]=DiscreteStatsTable[[#This Row],[GroupByKey]])*DiscreteStatsTable[Average]))</f>
        <v>0.22907589413377599</v>
      </c>
      <c r="T586" cm="1">
        <f t="array" ref="T586">MIN(IF((DiscreteStatsTable[GroupByKey]=DiscreteStatsTable[[#This Row],[GroupByKey]]),(DiscreteStatsTable[GroupByKey]=DiscreteStatsTable[[#This Row],[GroupByKey]])*DiscreteStatsTable[Minimum]))</f>
        <v>0.100000577163883</v>
      </c>
      <c r="U586" cm="1">
        <f t="array" ref="U586">MAX(IF((DiscreteStatsTable[GroupByKey]=DiscreteStatsTable[[#This Row],[GroupByKey]]),(DiscreteStatsTable[GroupByKey]=DiscreteStatsTable[[#This Row],[GroupByKey]])*DiscreteStatsTable[Maximum]))</f>
        <v>1.41452080991047</v>
      </c>
      <c r="V586" cm="1">
        <f t="array" ref="V586">IFERROR(AVERAGE(IF((DiscreteStatsTable[GroupByKey]=DiscreteStatsTable[[#This Row],[GroupByKey]]),(DiscreteStatsTable[GroupByKey]=DiscreteStatsTable[[#This Row],[GroupByKey]])*DiscreteStatsTable[NumberObservations])),0)</f>
        <v>2262.66</v>
      </c>
      <c r="W586">
        <f>IF((DiscreteStatsTable[[#This Row],[RepsRequested]]&gt;1),DiscreteStatsTable[[#This Row],[HalfWidth]],DiscreteStatsTable[[#This Row],[BatchMeansHalfWidth]])</f>
        <v>1.3927091897695423E-3</v>
      </c>
      <c r="X586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131</v>
      </c>
      <c r="C587">
        <v>29</v>
      </c>
      <c r="D587" t="s">
        <v>86</v>
      </c>
      <c r="E587" t="s">
        <v>81</v>
      </c>
      <c r="F587" t="s">
        <v>80</v>
      </c>
      <c r="G587">
        <v>0.150694103618119</v>
      </c>
      <c r="H587">
        <v>3E+20</v>
      </c>
      <c r="I587">
        <v>0.100038863045199</v>
      </c>
      <c r="J587">
        <v>0.19990104527195701</v>
      </c>
      <c r="K587">
        <v>2313</v>
      </c>
      <c r="L587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87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cm="1">
        <f t="array" ref="N587">IFERROR(AVERAGE(IF((DiscreteStatsTable[GroupByKey]=DiscreteStatsTable[[#This Row],[GroupByKey]]),(DiscreteStatsTable[GroupByKey]=DiscreteStatsTable[[#This Row],[GroupByKey]])*DiscreteStatsTable[Average])),0)</f>
        <v>0.15006283793025285</v>
      </c>
      <c r="O587" cm="1">
        <f t="array" ref="O587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87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87" cm="1">
        <f t="array" ref="R587">MIN(IF((DiscreteStatsTable[GroupByKey]=DiscreteStatsTable[[#This Row],[GroupByKey]]),(DiscreteStatsTable[GroupByKey]=DiscreteStatsTable[[#This Row],[GroupByKey]])*DiscreteStatsTable[Average]))</f>
        <v>0.14863412830584499</v>
      </c>
      <c r="S587" cm="1">
        <f t="array" ref="S587">MAX(IF((DiscreteStatsTable[GroupByKey]=DiscreteStatsTable[[#This Row],[GroupByKey]]),(DiscreteStatsTable[GroupByKey]=DiscreteStatsTable[[#This Row],[GroupByKey]])*DiscreteStatsTable[Average]))</f>
        <v>0.151606291486265</v>
      </c>
      <c r="T587" cm="1">
        <f t="array" ref="T587">MIN(IF((DiscreteStatsTable[GroupByKey]=DiscreteStatsTable[[#This Row],[GroupByKey]]),(DiscreteStatsTable[GroupByKey]=DiscreteStatsTable[[#This Row],[GroupByKey]])*DiscreteStatsTable[Minimum]))</f>
        <v>0.100000577163883</v>
      </c>
      <c r="U587" cm="1">
        <f t="array" ref="U587">MAX(IF((DiscreteStatsTable[GroupByKey]=DiscreteStatsTable[[#This Row],[GroupByKey]]),(DiscreteStatsTable[GroupByKey]=DiscreteStatsTable[[#This Row],[GroupByKey]])*DiscreteStatsTable[Maximum]))</f>
        <v>0.19999993084929499</v>
      </c>
      <c r="V587" cm="1">
        <f t="array" ref="V587">IFERROR(AVERAGE(IF((DiscreteStatsTable[GroupByKey]=DiscreteStatsTable[[#This Row],[GroupByKey]]),(DiscreteStatsTable[GroupByKey]=DiscreteStatsTable[[#This Row],[GroupByKey]])*DiscreteStatsTable[NumberObservations])),0)</f>
        <v>2262.66</v>
      </c>
      <c r="W587">
        <f>IF((DiscreteStatsTable[[#This Row],[RepsRequested]]&gt;1),DiscreteStatsTable[[#This Row],[HalfWidth]],DiscreteStatsTable[[#This Row],[BatchMeansHalfWidth]])</f>
        <v>1.7015423667850204E-4</v>
      </c>
      <c r="X587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131</v>
      </c>
      <c r="C588">
        <v>29</v>
      </c>
      <c r="D588" t="s">
        <v>86</v>
      </c>
      <c r="E588" t="s">
        <v>82</v>
      </c>
      <c r="F588" t="s">
        <v>80</v>
      </c>
      <c r="G588">
        <v>7.0462762042779306E-2</v>
      </c>
      <c r="H588">
        <v>1.0326481008171099E-2</v>
      </c>
      <c r="I588">
        <v>0</v>
      </c>
      <c r="J588">
        <v>0.74518958977805005</v>
      </c>
      <c r="K588">
        <v>2313</v>
      </c>
      <c r="L588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88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cm="1">
        <f t="array" ref="N588">IFERROR(AVERAGE(IF((DiscreteStatsTable[GroupByKey]=DiscreteStatsTable[[#This Row],[GroupByKey]]),(DiscreteStatsTable[GroupByKey]=DiscreteStatsTable[[#This Row],[GroupByKey]])*DiscreteStatsTable[Average])),0)</f>
        <v>6.8092291861787557E-2</v>
      </c>
      <c r="O588" cm="1">
        <f t="array" ref="O588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88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88" cm="1">
        <f t="array" ref="R588">MIN(IF((DiscreteStatsTable[GroupByKey]=DiscreteStatsTable[[#This Row],[GroupByKey]]),(DiscreteStatsTable[GroupByKey]=DiscreteStatsTable[[#This Row],[GroupByKey]])*DiscreteStatsTable[Average]))</f>
        <v>5.591228067423E-2</v>
      </c>
      <c r="S588" cm="1">
        <f t="array" ref="S588">MAX(IF((DiscreteStatsTable[GroupByKey]=DiscreteStatsTable[[#This Row],[GroupByKey]]),(DiscreteStatsTable[GroupByKey]=DiscreteStatsTable[[#This Row],[GroupByKey]])*DiscreteStatsTable[Average]))</f>
        <v>7.8817469083508104E-2</v>
      </c>
      <c r="T588" cm="1">
        <f t="array" ref="T588">MIN(IF((DiscreteStatsTable[GroupByKey]=DiscreteStatsTable[[#This Row],[GroupByKey]]),(DiscreteStatsTable[GroupByKey]=DiscreteStatsTable[[#This Row],[GroupByKey]])*DiscreteStatsTable[Minimum]))</f>
        <v>0</v>
      </c>
      <c r="U588" cm="1">
        <f t="array" ref="U588">MAX(IF((DiscreteStatsTable[GroupByKey]=DiscreteStatsTable[[#This Row],[GroupByKey]]),(DiscreteStatsTable[GroupByKey]=DiscreteStatsTable[[#This Row],[GroupByKey]])*DiscreteStatsTable[Maximum]))</f>
        <v>1.2170108122512</v>
      </c>
      <c r="V588" cm="1">
        <f t="array" ref="V588">IFERROR(AVERAGE(IF((DiscreteStatsTable[GroupByKey]=DiscreteStatsTable[[#This Row],[GroupByKey]]),(DiscreteStatsTable[GroupByKey]=DiscreteStatsTable[[#This Row],[GroupByKey]])*DiscreteStatsTable[NumberObservations])),0)</f>
        <v>2262.66</v>
      </c>
      <c r="W588">
        <f>IF((DiscreteStatsTable[[#This Row],[RepsRequested]]&gt;1),DiscreteStatsTable[[#This Row],[HalfWidth]],DiscreteStatsTable[[#This Row],[BatchMeansHalfWidth]])</f>
        <v>1.3221720552995685E-3</v>
      </c>
      <c r="X588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131</v>
      </c>
      <c r="C589">
        <v>30</v>
      </c>
      <c r="D589" t="s">
        <v>86</v>
      </c>
      <c r="E589" t="s">
        <v>79</v>
      </c>
      <c r="F589" t="s">
        <v>80</v>
      </c>
      <c r="G589">
        <v>0.21650719659808099</v>
      </c>
      <c r="H589">
        <v>1.38998559977732E-2</v>
      </c>
      <c r="I589">
        <v>0.100262670394727</v>
      </c>
      <c r="J589">
        <v>1.03481791241785</v>
      </c>
      <c r="K589">
        <v>2263</v>
      </c>
      <c r="L589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89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cm="1">
        <f t="array" ref="N589">IFERROR(AVERAGE(IF((DiscreteStatsTable[GroupByKey]=DiscreteStatsTable[[#This Row],[GroupByKey]]),(DiscreteStatsTable[GroupByKey]=DiscreteStatsTable[[#This Row],[GroupByKey]])*DiscreteStatsTable[Average])),0)</f>
        <v>0.21815512979204044</v>
      </c>
      <c r="O589" cm="1">
        <f t="array" ref="O589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89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89" cm="1">
        <f t="array" ref="R589">MIN(IF((DiscreteStatsTable[GroupByKey]=DiscreteStatsTable[[#This Row],[GroupByKey]]),(DiscreteStatsTable[GroupByKey]=DiscreteStatsTable[[#This Row],[GroupByKey]])*DiscreteStatsTable[Average]))</f>
        <v>0.204996218905765</v>
      </c>
      <c r="S589" cm="1">
        <f t="array" ref="S589">MAX(IF((DiscreteStatsTable[GroupByKey]=DiscreteStatsTable[[#This Row],[GroupByKey]]),(DiscreteStatsTable[GroupByKey]=DiscreteStatsTable[[#This Row],[GroupByKey]])*DiscreteStatsTable[Average]))</f>
        <v>0.22907589413377599</v>
      </c>
      <c r="T589" cm="1">
        <f t="array" ref="T589">MIN(IF((DiscreteStatsTable[GroupByKey]=DiscreteStatsTable[[#This Row],[GroupByKey]]),(DiscreteStatsTable[GroupByKey]=DiscreteStatsTable[[#This Row],[GroupByKey]])*DiscreteStatsTable[Minimum]))</f>
        <v>0.100000577163883</v>
      </c>
      <c r="U589" cm="1">
        <f t="array" ref="U589">MAX(IF((DiscreteStatsTable[GroupByKey]=DiscreteStatsTable[[#This Row],[GroupByKey]]),(DiscreteStatsTable[GroupByKey]=DiscreteStatsTable[[#This Row],[GroupByKey]])*DiscreteStatsTable[Maximum]))</f>
        <v>1.41452080991047</v>
      </c>
      <c r="V589" cm="1">
        <f t="array" ref="V589">IFERROR(AVERAGE(IF((DiscreteStatsTable[GroupByKey]=DiscreteStatsTable[[#This Row],[GroupByKey]]),(DiscreteStatsTable[GroupByKey]=DiscreteStatsTable[[#This Row],[GroupByKey]])*DiscreteStatsTable[NumberObservations])),0)</f>
        <v>2262.66</v>
      </c>
      <c r="W589">
        <f>IF((DiscreteStatsTable[[#This Row],[RepsRequested]]&gt;1),DiscreteStatsTable[[#This Row],[HalfWidth]],DiscreteStatsTable[[#This Row],[BatchMeansHalfWidth]])</f>
        <v>1.3927091897695423E-3</v>
      </c>
      <c r="X589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131</v>
      </c>
      <c r="C590">
        <v>30</v>
      </c>
      <c r="D590" t="s">
        <v>86</v>
      </c>
      <c r="E590" t="s">
        <v>81</v>
      </c>
      <c r="F590" t="s">
        <v>80</v>
      </c>
      <c r="G590">
        <v>0.15013058705965901</v>
      </c>
      <c r="H590">
        <v>1.4444815712476801E-3</v>
      </c>
      <c r="I590">
        <v>0.100076034296251</v>
      </c>
      <c r="J590">
        <v>0.19997561741502101</v>
      </c>
      <c r="K590">
        <v>2263</v>
      </c>
      <c r="L590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90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cm="1">
        <f t="array" ref="N590">IFERROR(AVERAGE(IF((DiscreteStatsTable[GroupByKey]=DiscreteStatsTable[[#This Row],[GroupByKey]]),(DiscreteStatsTable[GroupByKey]=DiscreteStatsTable[[#This Row],[GroupByKey]])*DiscreteStatsTable[Average])),0)</f>
        <v>0.15006283793025285</v>
      </c>
      <c r="O590" cm="1">
        <f t="array" ref="O590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90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90" cm="1">
        <f t="array" ref="R590">MIN(IF((DiscreteStatsTable[GroupByKey]=DiscreteStatsTable[[#This Row],[GroupByKey]]),(DiscreteStatsTable[GroupByKey]=DiscreteStatsTable[[#This Row],[GroupByKey]])*DiscreteStatsTable[Average]))</f>
        <v>0.14863412830584499</v>
      </c>
      <c r="S590" cm="1">
        <f t="array" ref="S590">MAX(IF((DiscreteStatsTable[GroupByKey]=DiscreteStatsTable[[#This Row],[GroupByKey]]),(DiscreteStatsTable[GroupByKey]=DiscreteStatsTable[[#This Row],[GroupByKey]])*DiscreteStatsTable[Average]))</f>
        <v>0.151606291486265</v>
      </c>
      <c r="T590" cm="1">
        <f t="array" ref="T590">MIN(IF((DiscreteStatsTable[GroupByKey]=DiscreteStatsTable[[#This Row],[GroupByKey]]),(DiscreteStatsTable[GroupByKey]=DiscreteStatsTable[[#This Row],[GroupByKey]])*DiscreteStatsTable[Minimum]))</f>
        <v>0.100000577163883</v>
      </c>
      <c r="U590" cm="1">
        <f t="array" ref="U590">MAX(IF((DiscreteStatsTable[GroupByKey]=DiscreteStatsTable[[#This Row],[GroupByKey]]),(DiscreteStatsTable[GroupByKey]=DiscreteStatsTable[[#This Row],[GroupByKey]])*DiscreteStatsTable[Maximum]))</f>
        <v>0.19999993084929499</v>
      </c>
      <c r="V590" cm="1">
        <f t="array" ref="V590">IFERROR(AVERAGE(IF((DiscreteStatsTable[GroupByKey]=DiscreteStatsTable[[#This Row],[GroupByKey]]),(DiscreteStatsTable[GroupByKey]=DiscreteStatsTable[[#This Row],[GroupByKey]])*DiscreteStatsTable[NumberObservations])),0)</f>
        <v>2262.66</v>
      </c>
      <c r="W590">
        <f>IF((DiscreteStatsTable[[#This Row],[RepsRequested]]&gt;1),DiscreteStatsTable[[#This Row],[HalfWidth]],DiscreteStatsTable[[#This Row],[BatchMeansHalfWidth]])</f>
        <v>1.7015423667850204E-4</v>
      </c>
      <c r="X590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131</v>
      </c>
      <c r="C591">
        <v>30</v>
      </c>
      <c r="D591" t="s">
        <v>86</v>
      </c>
      <c r="E591" t="s">
        <v>82</v>
      </c>
      <c r="F591" t="s">
        <v>80</v>
      </c>
      <c r="G591">
        <v>6.6376609538423406E-2</v>
      </c>
      <c r="H591">
        <v>1.3478424523588901E-2</v>
      </c>
      <c r="I591">
        <v>0</v>
      </c>
      <c r="J591">
        <v>0.88415136918433701</v>
      </c>
      <c r="K591">
        <v>2263</v>
      </c>
      <c r="L591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91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cm="1">
        <f t="array" ref="N591">IFERROR(AVERAGE(IF((DiscreteStatsTable[GroupByKey]=DiscreteStatsTable[[#This Row],[GroupByKey]]),(DiscreteStatsTable[GroupByKey]=DiscreteStatsTable[[#This Row],[GroupByKey]])*DiscreteStatsTable[Average])),0)</f>
        <v>6.8092291861787557E-2</v>
      </c>
      <c r="O591" cm="1">
        <f t="array" ref="O591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91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91" cm="1">
        <f t="array" ref="R591">MIN(IF((DiscreteStatsTable[GroupByKey]=DiscreteStatsTable[[#This Row],[GroupByKey]]),(DiscreteStatsTable[GroupByKey]=DiscreteStatsTable[[#This Row],[GroupByKey]])*DiscreteStatsTable[Average]))</f>
        <v>5.591228067423E-2</v>
      </c>
      <c r="S591" cm="1">
        <f t="array" ref="S591">MAX(IF((DiscreteStatsTable[GroupByKey]=DiscreteStatsTable[[#This Row],[GroupByKey]]),(DiscreteStatsTable[GroupByKey]=DiscreteStatsTable[[#This Row],[GroupByKey]])*DiscreteStatsTable[Average]))</f>
        <v>7.8817469083508104E-2</v>
      </c>
      <c r="T591" cm="1">
        <f t="array" ref="T591">MIN(IF((DiscreteStatsTable[GroupByKey]=DiscreteStatsTable[[#This Row],[GroupByKey]]),(DiscreteStatsTable[GroupByKey]=DiscreteStatsTable[[#This Row],[GroupByKey]])*DiscreteStatsTable[Minimum]))</f>
        <v>0</v>
      </c>
      <c r="U591" cm="1">
        <f t="array" ref="U591">MAX(IF((DiscreteStatsTable[GroupByKey]=DiscreteStatsTable[[#This Row],[GroupByKey]]),(DiscreteStatsTable[GroupByKey]=DiscreteStatsTable[[#This Row],[GroupByKey]])*DiscreteStatsTable[Maximum]))</f>
        <v>1.2170108122512</v>
      </c>
      <c r="V591" cm="1">
        <f t="array" ref="V591">IFERROR(AVERAGE(IF((DiscreteStatsTable[GroupByKey]=DiscreteStatsTable[[#This Row],[GroupByKey]]),(DiscreteStatsTable[GroupByKey]=DiscreteStatsTable[[#This Row],[GroupByKey]])*DiscreteStatsTable[NumberObservations])),0)</f>
        <v>2262.66</v>
      </c>
      <c r="W591">
        <f>IF((DiscreteStatsTable[[#This Row],[RepsRequested]]&gt;1),DiscreteStatsTable[[#This Row],[HalfWidth]],DiscreteStatsTable[[#This Row],[BatchMeansHalfWidth]])</f>
        <v>1.3221720552995685E-3</v>
      </c>
      <c r="X591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131</v>
      </c>
      <c r="C592">
        <v>31</v>
      </c>
      <c r="D592" t="s">
        <v>86</v>
      </c>
      <c r="E592" t="s">
        <v>79</v>
      </c>
      <c r="F592" t="s">
        <v>80</v>
      </c>
      <c r="G592">
        <v>0.21345923446422899</v>
      </c>
      <c r="H592">
        <v>7.0909594163913701E-3</v>
      </c>
      <c r="I592">
        <v>0.100126685953342</v>
      </c>
      <c r="J592">
        <v>0.85156877431199995</v>
      </c>
      <c r="K592">
        <v>2218</v>
      </c>
      <c r="L592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92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cm="1">
        <f t="array" ref="N592">IFERROR(AVERAGE(IF((DiscreteStatsTable[GroupByKey]=DiscreteStatsTable[[#This Row],[GroupByKey]]),(DiscreteStatsTable[GroupByKey]=DiscreteStatsTable[[#This Row],[GroupByKey]])*DiscreteStatsTable[Average])),0)</f>
        <v>0.21815512979204044</v>
      </c>
      <c r="O592" cm="1">
        <f t="array" ref="O592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92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92" cm="1">
        <f t="array" ref="R592">MIN(IF((DiscreteStatsTable[GroupByKey]=DiscreteStatsTable[[#This Row],[GroupByKey]]),(DiscreteStatsTable[GroupByKey]=DiscreteStatsTable[[#This Row],[GroupByKey]])*DiscreteStatsTable[Average]))</f>
        <v>0.204996218905765</v>
      </c>
      <c r="S592" cm="1">
        <f t="array" ref="S592">MAX(IF((DiscreteStatsTable[GroupByKey]=DiscreteStatsTable[[#This Row],[GroupByKey]]),(DiscreteStatsTable[GroupByKey]=DiscreteStatsTable[[#This Row],[GroupByKey]])*DiscreteStatsTable[Average]))</f>
        <v>0.22907589413377599</v>
      </c>
      <c r="T592" cm="1">
        <f t="array" ref="T592">MIN(IF((DiscreteStatsTable[GroupByKey]=DiscreteStatsTable[[#This Row],[GroupByKey]]),(DiscreteStatsTable[GroupByKey]=DiscreteStatsTable[[#This Row],[GroupByKey]])*DiscreteStatsTable[Minimum]))</f>
        <v>0.100000577163883</v>
      </c>
      <c r="U592" cm="1">
        <f t="array" ref="U592">MAX(IF((DiscreteStatsTable[GroupByKey]=DiscreteStatsTable[[#This Row],[GroupByKey]]),(DiscreteStatsTable[GroupByKey]=DiscreteStatsTable[[#This Row],[GroupByKey]])*DiscreteStatsTable[Maximum]))</f>
        <v>1.41452080991047</v>
      </c>
      <c r="V592" cm="1">
        <f t="array" ref="V592">IFERROR(AVERAGE(IF((DiscreteStatsTable[GroupByKey]=DiscreteStatsTable[[#This Row],[GroupByKey]]),(DiscreteStatsTable[GroupByKey]=DiscreteStatsTable[[#This Row],[GroupByKey]])*DiscreteStatsTable[NumberObservations])),0)</f>
        <v>2262.66</v>
      </c>
      <c r="W592">
        <f>IF((DiscreteStatsTable[[#This Row],[RepsRequested]]&gt;1),DiscreteStatsTable[[#This Row],[HalfWidth]],DiscreteStatsTable[[#This Row],[BatchMeansHalfWidth]])</f>
        <v>1.3927091897695423E-3</v>
      </c>
      <c r="X592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131</v>
      </c>
      <c r="C593">
        <v>31</v>
      </c>
      <c r="D593" t="s">
        <v>86</v>
      </c>
      <c r="E593" t="s">
        <v>81</v>
      </c>
      <c r="F593" t="s">
        <v>80</v>
      </c>
      <c r="G593">
        <v>0.15042139410967301</v>
      </c>
      <c r="H593">
        <v>1.46014123891683E-3</v>
      </c>
      <c r="I593">
        <v>0.100126685953342</v>
      </c>
      <c r="J593">
        <v>0.19998781848642</v>
      </c>
      <c r="K593">
        <v>2218</v>
      </c>
      <c r="L593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93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cm="1">
        <f t="array" ref="N593">IFERROR(AVERAGE(IF((DiscreteStatsTable[GroupByKey]=DiscreteStatsTable[[#This Row],[GroupByKey]]),(DiscreteStatsTable[GroupByKey]=DiscreteStatsTable[[#This Row],[GroupByKey]])*DiscreteStatsTable[Average])),0)</f>
        <v>0.15006283793025285</v>
      </c>
      <c r="O593" cm="1">
        <f t="array" ref="O593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93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93" cm="1">
        <f t="array" ref="R593">MIN(IF((DiscreteStatsTable[GroupByKey]=DiscreteStatsTable[[#This Row],[GroupByKey]]),(DiscreteStatsTable[GroupByKey]=DiscreteStatsTable[[#This Row],[GroupByKey]])*DiscreteStatsTable[Average]))</f>
        <v>0.14863412830584499</v>
      </c>
      <c r="S593" cm="1">
        <f t="array" ref="S593">MAX(IF((DiscreteStatsTable[GroupByKey]=DiscreteStatsTable[[#This Row],[GroupByKey]]),(DiscreteStatsTable[GroupByKey]=DiscreteStatsTable[[#This Row],[GroupByKey]])*DiscreteStatsTable[Average]))</f>
        <v>0.151606291486265</v>
      </c>
      <c r="T593" cm="1">
        <f t="array" ref="T593">MIN(IF((DiscreteStatsTable[GroupByKey]=DiscreteStatsTable[[#This Row],[GroupByKey]]),(DiscreteStatsTable[GroupByKey]=DiscreteStatsTable[[#This Row],[GroupByKey]])*DiscreteStatsTable[Minimum]))</f>
        <v>0.100000577163883</v>
      </c>
      <c r="U593" cm="1">
        <f t="array" ref="U593">MAX(IF((DiscreteStatsTable[GroupByKey]=DiscreteStatsTable[[#This Row],[GroupByKey]]),(DiscreteStatsTable[GroupByKey]=DiscreteStatsTable[[#This Row],[GroupByKey]])*DiscreteStatsTable[Maximum]))</f>
        <v>0.19999993084929499</v>
      </c>
      <c r="V593" cm="1">
        <f t="array" ref="V593">IFERROR(AVERAGE(IF((DiscreteStatsTable[GroupByKey]=DiscreteStatsTable[[#This Row],[GroupByKey]]),(DiscreteStatsTable[GroupByKey]=DiscreteStatsTable[[#This Row],[GroupByKey]])*DiscreteStatsTable[NumberObservations])),0)</f>
        <v>2262.66</v>
      </c>
      <c r="W593">
        <f>IF((DiscreteStatsTable[[#This Row],[RepsRequested]]&gt;1),DiscreteStatsTable[[#This Row],[HalfWidth]],DiscreteStatsTable[[#This Row],[BatchMeansHalfWidth]])</f>
        <v>1.7015423667850204E-4</v>
      </c>
      <c r="X593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131</v>
      </c>
      <c r="C594">
        <v>31</v>
      </c>
      <c r="D594" t="s">
        <v>86</v>
      </c>
      <c r="E594" t="s">
        <v>82</v>
      </c>
      <c r="F594" t="s">
        <v>80</v>
      </c>
      <c r="G594">
        <v>6.3037840354556299E-2</v>
      </c>
      <c r="H594">
        <v>6.7468688866899398E-3</v>
      </c>
      <c r="I594">
        <v>0</v>
      </c>
      <c r="J594">
        <v>0.72105721404955103</v>
      </c>
      <c r="K594">
        <v>2218</v>
      </c>
      <c r="L594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94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cm="1">
        <f t="array" ref="N594">IFERROR(AVERAGE(IF((DiscreteStatsTable[GroupByKey]=DiscreteStatsTable[[#This Row],[GroupByKey]]),(DiscreteStatsTable[GroupByKey]=DiscreteStatsTable[[#This Row],[GroupByKey]])*DiscreteStatsTable[Average])),0)</f>
        <v>6.8092291861787557E-2</v>
      </c>
      <c r="O594" cm="1">
        <f t="array" ref="O594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94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94" cm="1">
        <f t="array" ref="R594">MIN(IF((DiscreteStatsTable[GroupByKey]=DiscreteStatsTable[[#This Row],[GroupByKey]]),(DiscreteStatsTable[GroupByKey]=DiscreteStatsTable[[#This Row],[GroupByKey]])*DiscreteStatsTable[Average]))</f>
        <v>5.591228067423E-2</v>
      </c>
      <c r="S594" cm="1">
        <f t="array" ref="S594">MAX(IF((DiscreteStatsTable[GroupByKey]=DiscreteStatsTable[[#This Row],[GroupByKey]]),(DiscreteStatsTable[GroupByKey]=DiscreteStatsTable[[#This Row],[GroupByKey]])*DiscreteStatsTable[Average]))</f>
        <v>7.8817469083508104E-2</v>
      </c>
      <c r="T594" cm="1">
        <f t="array" ref="T594">MIN(IF((DiscreteStatsTable[GroupByKey]=DiscreteStatsTable[[#This Row],[GroupByKey]]),(DiscreteStatsTable[GroupByKey]=DiscreteStatsTable[[#This Row],[GroupByKey]])*DiscreteStatsTable[Minimum]))</f>
        <v>0</v>
      </c>
      <c r="U594" cm="1">
        <f t="array" ref="U594">MAX(IF((DiscreteStatsTable[GroupByKey]=DiscreteStatsTable[[#This Row],[GroupByKey]]),(DiscreteStatsTable[GroupByKey]=DiscreteStatsTable[[#This Row],[GroupByKey]])*DiscreteStatsTable[Maximum]))</f>
        <v>1.2170108122512</v>
      </c>
      <c r="V594" cm="1">
        <f t="array" ref="V594">IFERROR(AVERAGE(IF((DiscreteStatsTable[GroupByKey]=DiscreteStatsTable[[#This Row],[GroupByKey]]),(DiscreteStatsTable[GroupByKey]=DiscreteStatsTable[[#This Row],[GroupByKey]])*DiscreteStatsTable[NumberObservations])),0)</f>
        <v>2262.66</v>
      </c>
      <c r="W594">
        <f>IF((DiscreteStatsTable[[#This Row],[RepsRequested]]&gt;1),DiscreteStatsTable[[#This Row],[HalfWidth]],DiscreteStatsTable[[#This Row],[BatchMeansHalfWidth]])</f>
        <v>1.3221720552995685E-3</v>
      </c>
      <c r="X594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131</v>
      </c>
      <c r="C595">
        <v>32</v>
      </c>
      <c r="D595" t="s">
        <v>86</v>
      </c>
      <c r="E595" t="s">
        <v>79</v>
      </c>
      <c r="F595" t="s">
        <v>80</v>
      </c>
      <c r="G595">
        <v>0.21827050912013199</v>
      </c>
      <c r="H595">
        <v>9.9757881797797199E-3</v>
      </c>
      <c r="I595">
        <v>0.100015891390683</v>
      </c>
      <c r="J595">
        <v>0.89319463440514801</v>
      </c>
      <c r="K595">
        <v>2192</v>
      </c>
      <c r="L595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9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cm="1">
        <f t="array" ref="N595">IFERROR(AVERAGE(IF((DiscreteStatsTable[GroupByKey]=DiscreteStatsTable[[#This Row],[GroupByKey]]),(DiscreteStatsTable[GroupByKey]=DiscreteStatsTable[[#This Row],[GroupByKey]])*DiscreteStatsTable[Average])),0)</f>
        <v>0.21815512979204044</v>
      </c>
      <c r="O595" cm="1">
        <f t="array" ref="O595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9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95" cm="1">
        <f t="array" ref="R595">MIN(IF((DiscreteStatsTable[GroupByKey]=DiscreteStatsTable[[#This Row],[GroupByKey]]),(DiscreteStatsTable[GroupByKey]=DiscreteStatsTable[[#This Row],[GroupByKey]])*DiscreteStatsTable[Average]))</f>
        <v>0.204996218905765</v>
      </c>
      <c r="S595" cm="1">
        <f t="array" ref="S595">MAX(IF((DiscreteStatsTable[GroupByKey]=DiscreteStatsTable[[#This Row],[GroupByKey]]),(DiscreteStatsTable[GroupByKey]=DiscreteStatsTable[[#This Row],[GroupByKey]])*DiscreteStatsTable[Average]))</f>
        <v>0.22907589413377599</v>
      </c>
      <c r="T595" cm="1">
        <f t="array" ref="T595">MIN(IF((DiscreteStatsTable[GroupByKey]=DiscreteStatsTable[[#This Row],[GroupByKey]]),(DiscreteStatsTable[GroupByKey]=DiscreteStatsTable[[#This Row],[GroupByKey]])*DiscreteStatsTable[Minimum]))</f>
        <v>0.100000577163883</v>
      </c>
      <c r="U595" cm="1">
        <f t="array" ref="U595">MAX(IF((DiscreteStatsTable[GroupByKey]=DiscreteStatsTable[[#This Row],[GroupByKey]]),(DiscreteStatsTable[GroupByKey]=DiscreteStatsTable[[#This Row],[GroupByKey]])*DiscreteStatsTable[Maximum]))</f>
        <v>1.41452080991047</v>
      </c>
      <c r="V595" cm="1">
        <f t="array" ref="V595">IFERROR(AVERAGE(IF((DiscreteStatsTable[GroupByKey]=DiscreteStatsTable[[#This Row],[GroupByKey]]),(DiscreteStatsTable[GroupByKey]=DiscreteStatsTable[[#This Row],[GroupByKey]])*DiscreteStatsTable[NumberObservations])),0)</f>
        <v>2262.66</v>
      </c>
      <c r="W595">
        <f>IF((DiscreteStatsTable[[#This Row],[RepsRequested]]&gt;1),DiscreteStatsTable[[#This Row],[HalfWidth]],DiscreteStatsTable[[#This Row],[BatchMeansHalfWidth]])</f>
        <v>1.3927091897695423E-3</v>
      </c>
      <c r="X59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131</v>
      </c>
      <c r="C596">
        <v>32</v>
      </c>
      <c r="D596" t="s">
        <v>86</v>
      </c>
      <c r="E596" t="s">
        <v>81</v>
      </c>
      <c r="F596" t="s">
        <v>80</v>
      </c>
      <c r="G596">
        <v>0.15047295918356701</v>
      </c>
      <c r="H596">
        <v>1.3704268371373301E-3</v>
      </c>
      <c r="I596">
        <v>0.100009359140401</v>
      </c>
      <c r="J596">
        <v>0.199961751185356</v>
      </c>
      <c r="K596">
        <v>2192</v>
      </c>
      <c r="L596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96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cm="1">
        <f t="array" ref="N596">IFERROR(AVERAGE(IF((DiscreteStatsTable[GroupByKey]=DiscreteStatsTable[[#This Row],[GroupByKey]]),(DiscreteStatsTable[GroupByKey]=DiscreteStatsTable[[#This Row],[GroupByKey]])*DiscreteStatsTable[Average])),0)</f>
        <v>0.15006283793025285</v>
      </c>
      <c r="O596" cm="1">
        <f t="array" ref="O596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96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96" cm="1">
        <f t="array" ref="R596">MIN(IF((DiscreteStatsTable[GroupByKey]=DiscreteStatsTable[[#This Row],[GroupByKey]]),(DiscreteStatsTable[GroupByKey]=DiscreteStatsTable[[#This Row],[GroupByKey]])*DiscreteStatsTable[Average]))</f>
        <v>0.14863412830584499</v>
      </c>
      <c r="S596" cm="1">
        <f t="array" ref="S596">MAX(IF((DiscreteStatsTable[GroupByKey]=DiscreteStatsTable[[#This Row],[GroupByKey]]),(DiscreteStatsTable[GroupByKey]=DiscreteStatsTable[[#This Row],[GroupByKey]])*DiscreteStatsTable[Average]))</f>
        <v>0.151606291486265</v>
      </c>
      <c r="T596" cm="1">
        <f t="array" ref="T596">MIN(IF((DiscreteStatsTable[GroupByKey]=DiscreteStatsTable[[#This Row],[GroupByKey]]),(DiscreteStatsTable[GroupByKey]=DiscreteStatsTable[[#This Row],[GroupByKey]])*DiscreteStatsTable[Minimum]))</f>
        <v>0.100000577163883</v>
      </c>
      <c r="U596" cm="1">
        <f t="array" ref="U596">MAX(IF((DiscreteStatsTable[GroupByKey]=DiscreteStatsTable[[#This Row],[GroupByKey]]),(DiscreteStatsTable[GroupByKey]=DiscreteStatsTable[[#This Row],[GroupByKey]])*DiscreteStatsTable[Maximum]))</f>
        <v>0.19999993084929499</v>
      </c>
      <c r="V596" cm="1">
        <f t="array" ref="V596">IFERROR(AVERAGE(IF((DiscreteStatsTable[GroupByKey]=DiscreteStatsTable[[#This Row],[GroupByKey]]),(DiscreteStatsTable[GroupByKey]=DiscreteStatsTable[[#This Row],[GroupByKey]])*DiscreteStatsTable[NumberObservations])),0)</f>
        <v>2262.66</v>
      </c>
      <c r="W596">
        <f>IF((DiscreteStatsTable[[#This Row],[RepsRequested]]&gt;1),DiscreteStatsTable[[#This Row],[HalfWidth]],DiscreteStatsTable[[#This Row],[BatchMeansHalfWidth]])</f>
        <v>1.7015423667850204E-4</v>
      </c>
      <c r="X596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131</v>
      </c>
      <c r="C597">
        <v>32</v>
      </c>
      <c r="D597" t="s">
        <v>86</v>
      </c>
      <c r="E597" t="s">
        <v>82</v>
      </c>
      <c r="F597" t="s">
        <v>80</v>
      </c>
      <c r="G597">
        <v>6.7797549936565005E-2</v>
      </c>
      <c r="H597">
        <v>9.4797136369696305E-3</v>
      </c>
      <c r="I597">
        <v>0</v>
      </c>
      <c r="J597">
        <v>0.73697631924486695</v>
      </c>
      <c r="K597">
        <v>2192</v>
      </c>
      <c r="L597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597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cm="1">
        <f t="array" ref="N597">IFERROR(AVERAGE(IF((DiscreteStatsTable[GroupByKey]=DiscreteStatsTable[[#This Row],[GroupByKey]]),(DiscreteStatsTable[GroupByKey]=DiscreteStatsTable[[#This Row],[GroupByKey]])*DiscreteStatsTable[Average])),0)</f>
        <v>6.8092291861787557E-2</v>
      </c>
      <c r="O597" cm="1">
        <f t="array" ref="O597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597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597" cm="1">
        <f t="array" ref="R597">MIN(IF((DiscreteStatsTable[GroupByKey]=DiscreteStatsTable[[#This Row],[GroupByKey]]),(DiscreteStatsTable[GroupByKey]=DiscreteStatsTable[[#This Row],[GroupByKey]])*DiscreteStatsTable[Average]))</f>
        <v>5.591228067423E-2</v>
      </c>
      <c r="S597" cm="1">
        <f t="array" ref="S597">MAX(IF((DiscreteStatsTable[GroupByKey]=DiscreteStatsTable[[#This Row],[GroupByKey]]),(DiscreteStatsTable[GroupByKey]=DiscreteStatsTable[[#This Row],[GroupByKey]])*DiscreteStatsTable[Average]))</f>
        <v>7.8817469083508104E-2</v>
      </c>
      <c r="T597" cm="1">
        <f t="array" ref="T597">MIN(IF((DiscreteStatsTable[GroupByKey]=DiscreteStatsTable[[#This Row],[GroupByKey]]),(DiscreteStatsTable[GroupByKey]=DiscreteStatsTable[[#This Row],[GroupByKey]])*DiscreteStatsTable[Minimum]))</f>
        <v>0</v>
      </c>
      <c r="U597" cm="1">
        <f t="array" ref="U597">MAX(IF((DiscreteStatsTable[GroupByKey]=DiscreteStatsTable[[#This Row],[GroupByKey]]),(DiscreteStatsTable[GroupByKey]=DiscreteStatsTable[[#This Row],[GroupByKey]])*DiscreteStatsTable[Maximum]))</f>
        <v>1.2170108122512</v>
      </c>
      <c r="V597" cm="1">
        <f t="array" ref="V597">IFERROR(AVERAGE(IF((DiscreteStatsTable[GroupByKey]=DiscreteStatsTable[[#This Row],[GroupByKey]]),(DiscreteStatsTable[GroupByKey]=DiscreteStatsTable[[#This Row],[GroupByKey]])*DiscreteStatsTable[NumberObservations])),0)</f>
        <v>2262.66</v>
      </c>
      <c r="W597">
        <f>IF((DiscreteStatsTable[[#This Row],[RepsRequested]]&gt;1),DiscreteStatsTable[[#This Row],[HalfWidth]],DiscreteStatsTable[[#This Row],[BatchMeansHalfWidth]])</f>
        <v>1.3221720552995685E-3</v>
      </c>
      <c r="X597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131</v>
      </c>
      <c r="C598">
        <v>33</v>
      </c>
      <c r="D598" t="s">
        <v>86</v>
      </c>
      <c r="E598" t="s">
        <v>79</v>
      </c>
      <c r="F598" t="s">
        <v>80</v>
      </c>
      <c r="G598">
        <v>0.21573389321198999</v>
      </c>
      <c r="H598">
        <v>8.38982262108714E-3</v>
      </c>
      <c r="I598">
        <v>0.10005685952768301</v>
      </c>
      <c r="J598">
        <v>0.73090224118550395</v>
      </c>
      <c r="K598">
        <v>2270</v>
      </c>
      <c r="L598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598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cm="1">
        <f t="array" ref="N598">IFERROR(AVERAGE(IF((DiscreteStatsTable[GroupByKey]=DiscreteStatsTable[[#This Row],[GroupByKey]]),(DiscreteStatsTable[GroupByKey]=DiscreteStatsTable[[#This Row],[GroupByKey]])*DiscreteStatsTable[Average])),0)</f>
        <v>0.21815512979204044</v>
      </c>
      <c r="O598" cm="1">
        <f t="array" ref="O598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598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598" cm="1">
        <f t="array" ref="R598">MIN(IF((DiscreteStatsTable[GroupByKey]=DiscreteStatsTable[[#This Row],[GroupByKey]]),(DiscreteStatsTable[GroupByKey]=DiscreteStatsTable[[#This Row],[GroupByKey]])*DiscreteStatsTable[Average]))</f>
        <v>0.204996218905765</v>
      </c>
      <c r="S598" cm="1">
        <f t="array" ref="S598">MAX(IF((DiscreteStatsTable[GroupByKey]=DiscreteStatsTable[[#This Row],[GroupByKey]]),(DiscreteStatsTable[GroupByKey]=DiscreteStatsTable[[#This Row],[GroupByKey]])*DiscreteStatsTable[Average]))</f>
        <v>0.22907589413377599</v>
      </c>
      <c r="T598" cm="1">
        <f t="array" ref="T598">MIN(IF((DiscreteStatsTable[GroupByKey]=DiscreteStatsTable[[#This Row],[GroupByKey]]),(DiscreteStatsTable[GroupByKey]=DiscreteStatsTable[[#This Row],[GroupByKey]])*DiscreteStatsTable[Minimum]))</f>
        <v>0.100000577163883</v>
      </c>
      <c r="U598" cm="1">
        <f t="array" ref="U598">MAX(IF((DiscreteStatsTable[GroupByKey]=DiscreteStatsTable[[#This Row],[GroupByKey]]),(DiscreteStatsTable[GroupByKey]=DiscreteStatsTable[[#This Row],[GroupByKey]])*DiscreteStatsTable[Maximum]))</f>
        <v>1.41452080991047</v>
      </c>
      <c r="V598" cm="1">
        <f t="array" ref="V598">IFERROR(AVERAGE(IF((DiscreteStatsTable[GroupByKey]=DiscreteStatsTable[[#This Row],[GroupByKey]]),(DiscreteStatsTable[GroupByKey]=DiscreteStatsTable[[#This Row],[GroupByKey]])*DiscreteStatsTable[NumberObservations])),0)</f>
        <v>2262.66</v>
      </c>
      <c r="W598">
        <f>IF((DiscreteStatsTable[[#This Row],[RepsRequested]]&gt;1),DiscreteStatsTable[[#This Row],[HalfWidth]],DiscreteStatsTable[[#This Row],[BatchMeansHalfWidth]])</f>
        <v>1.3927091897695423E-3</v>
      </c>
      <c r="X598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131</v>
      </c>
      <c r="C599">
        <v>33</v>
      </c>
      <c r="D599" t="s">
        <v>86</v>
      </c>
      <c r="E599" t="s">
        <v>81</v>
      </c>
      <c r="F599" t="s">
        <v>80</v>
      </c>
      <c r="G599">
        <v>0.15010171133501199</v>
      </c>
      <c r="H599">
        <v>1.2830702730214801E-3</v>
      </c>
      <c r="I599">
        <v>0.100025029225549</v>
      </c>
      <c r="J599">
        <v>0.19997640587274601</v>
      </c>
      <c r="K599">
        <v>2270</v>
      </c>
      <c r="L599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599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cm="1">
        <f t="array" ref="N599">IFERROR(AVERAGE(IF((DiscreteStatsTable[GroupByKey]=DiscreteStatsTable[[#This Row],[GroupByKey]]),(DiscreteStatsTable[GroupByKey]=DiscreteStatsTable[[#This Row],[GroupByKey]])*DiscreteStatsTable[Average])),0)</f>
        <v>0.15006283793025285</v>
      </c>
      <c r="O599" cm="1">
        <f t="array" ref="O599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599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599" cm="1">
        <f t="array" ref="R599">MIN(IF((DiscreteStatsTable[GroupByKey]=DiscreteStatsTable[[#This Row],[GroupByKey]]),(DiscreteStatsTable[GroupByKey]=DiscreteStatsTable[[#This Row],[GroupByKey]])*DiscreteStatsTable[Average]))</f>
        <v>0.14863412830584499</v>
      </c>
      <c r="S599" cm="1">
        <f t="array" ref="S599">MAX(IF((DiscreteStatsTable[GroupByKey]=DiscreteStatsTable[[#This Row],[GroupByKey]]),(DiscreteStatsTable[GroupByKey]=DiscreteStatsTable[[#This Row],[GroupByKey]])*DiscreteStatsTable[Average]))</f>
        <v>0.151606291486265</v>
      </c>
      <c r="T599" cm="1">
        <f t="array" ref="T599">MIN(IF((DiscreteStatsTable[GroupByKey]=DiscreteStatsTable[[#This Row],[GroupByKey]]),(DiscreteStatsTable[GroupByKey]=DiscreteStatsTable[[#This Row],[GroupByKey]])*DiscreteStatsTable[Minimum]))</f>
        <v>0.100000577163883</v>
      </c>
      <c r="U599" cm="1">
        <f t="array" ref="U599">MAX(IF((DiscreteStatsTable[GroupByKey]=DiscreteStatsTable[[#This Row],[GroupByKey]]),(DiscreteStatsTable[GroupByKey]=DiscreteStatsTable[[#This Row],[GroupByKey]])*DiscreteStatsTable[Maximum]))</f>
        <v>0.19999993084929499</v>
      </c>
      <c r="V599" cm="1">
        <f t="array" ref="V599">IFERROR(AVERAGE(IF((DiscreteStatsTable[GroupByKey]=DiscreteStatsTable[[#This Row],[GroupByKey]]),(DiscreteStatsTable[GroupByKey]=DiscreteStatsTable[[#This Row],[GroupByKey]])*DiscreteStatsTable[NumberObservations])),0)</f>
        <v>2262.66</v>
      </c>
      <c r="W599">
        <f>IF((DiscreteStatsTable[[#This Row],[RepsRequested]]&gt;1),DiscreteStatsTable[[#This Row],[HalfWidth]],DiscreteStatsTable[[#This Row],[BatchMeansHalfWidth]])</f>
        <v>1.7015423667850204E-4</v>
      </c>
      <c r="X599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131</v>
      </c>
      <c r="C600">
        <v>33</v>
      </c>
      <c r="D600" t="s">
        <v>86</v>
      </c>
      <c r="E600" t="s">
        <v>82</v>
      </c>
      <c r="F600" t="s">
        <v>80</v>
      </c>
      <c r="G600">
        <v>6.5632181876977905E-2</v>
      </c>
      <c r="H600">
        <v>8.0810988775662194E-3</v>
      </c>
      <c r="I600">
        <v>0</v>
      </c>
      <c r="J600">
        <v>0.59601976952286895</v>
      </c>
      <c r="K600">
        <v>2270</v>
      </c>
      <c r="L600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00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cm="1">
        <f t="array" ref="N600">IFERROR(AVERAGE(IF((DiscreteStatsTable[GroupByKey]=DiscreteStatsTable[[#This Row],[GroupByKey]]),(DiscreteStatsTable[GroupByKey]=DiscreteStatsTable[[#This Row],[GroupByKey]])*DiscreteStatsTable[Average])),0)</f>
        <v>6.8092291861787557E-2</v>
      </c>
      <c r="O600" cm="1">
        <f t="array" ref="O600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00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00" cm="1">
        <f t="array" ref="R600">MIN(IF((DiscreteStatsTable[GroupByKey]=DiscreteStatsTable[[#This Row],[GroupByKey]]),(DiscreteStatsTable[GroupByKey]=DiscreteStatsTable[[#This Row],[GroupByKey]])*DiscreteStatsTable[Average]))</f>
        <v>5.591228067423E-2</v>
      </c>
      <c r="S600" cm="1">
        <f t="array" ref="S600">MAX(IF((DiscreteStatsTable[GroupByKey]=DiscreteStatsTable[[#This Row],[GroupByKey]]),(DiscreteStatsTable[GroupByKey]=DiscreteStatsTable[[#This Row],[GroupByKey]])*DiscreteStatsTable[Average]))</f>
        <v>7.8817469083508104E-2</v>
      </c>
      <c r="T600" cm="1">
        <f t="array" ref="T600">MIN(IF((DiscreteStatsTable[GroupByKey]=DiscreteStatsTable[[#This Row],[GroupByKey]]),(DiscreteStatsTable[GroupByKey]=DiscreteStatsTable[[#This Row],[GroupByKey]])*DiscreteStatsTable[Minimum]))</f>
        <v>0</v>
      </c>
      <c r="U600" cm="1">
        <f t="array" ref="U600">MAX(IF((DiscreteStatsTable[GroupByKey]=DiscreteStatsTable[[#This Row],[GroupByKey]]),(DiscreteStatsTable[GroupByKey]=DiscreteStatsTable[[#This Row],[GroupByKey]])*DiscreteStatsTable[Maximum]))</f>
        <v>1.2170108122512</v>
      </c>
      <c r="V600" cm="1">
        <f t="array" ref="V600">IFERROR(AVERAGE(IF((DiscreteStatsTable[GroupByKey]=DiscreteStatsTable[[#This Row],[GroupByKey]]),(DiscreteStatsTable[GroupByKey]=DiscreteStatsTable[[#This Row],[GroupByKey]])*DiscreteStatsTable[NumberObservations])),0)</f>
        <v>2262.66</v>
      </c>
      <c r="W600">
        <f>IF((DiscreteStatsTable[[#This Row],[RepsRequested]]&gt;1),DiscreteStatsTable[[#This Row],[HalfWidth]],DiscreteStatsTable[[#This Row],[BatchMeansHalfWidth]])</f>
        <v>1.3221720552995685E-3</v>
      </c>
      <c r="X600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131</v>
      </c>
      <c r="C601">
        <v>34</v>
      </c>
      <c r="D601" t="s">
        <v>86</v>
      </c>
      <c r="E601" t="s">
        <v>79</v>
      </c>
      <c r="F601" t="s">
        <v>80</v>
      </c>
      <c r="G601">
        <v>0.21473008697589699</v>
      </c>
      <c r="H601">
        <v>1.10556545271253E-2</v>
      </c>
      <c r="I601">
        <v>0.100008288585059</v>
      </c>
      <c r="J601">
        <v>0.98532614633290905</v>
      </c>
      <c r="K601">
        <v>2281</v>
      </c>
      <c r="L601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01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cm="1">
        <f t="array" ref="N601">IFERROR(AVERAGE(IF((DiscreteStatsTable[GroupByKey]=DiscreteStatsTable[[#This Row],[GroupByKey]]),(DiscreteStatsTable[GroupByKey]=DiscreteStatsTable[[#This Row],[GroupByKey]])*DiscreteStatsTable[Average])),0)</f>
        <v>0.21815512979204044</v>
      </c>
      <c r="O601" cm="1">
        <f t="array" ref="O601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01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01" cm="1">
        <f t="array" ref="R601">MIN(IF((DiscreteStatsTable[GroupByKey]=DiscreteStatsTable[[#This Row],[GroupByKey]]),(DiscreteStatsTable[GroupByKey]=DiscreteStatsTable[[#This Row],[GroupByKey]])*DiscreteStatsTable[Average]))</f>
        <v>0.204996218905765</v>
      </c>
      <c r="S601" cm="1">
        <f t="array" ref="S601">MAX(IF((DiscreteStatsTable[GroupByKey]=DiscreteStatsTable[[#This Row],[GroupByKey]]),(DiscreteStatsTable[GroupByKey]=DiscreteStatsTable[[#This Row],[GroupByKey]])*DiscreteStatsTable[Average]))</f>
        <v>0.22907589413377599</v>
      </c>
      <c r="T601" cm="1">
        <f t="array" ref="T601">MIN(IF((DiscreteStatsTable[GroupByKey]=DiscreteStatsTable[[#This Row],[GroupByKey]]),(DiscreteStatsTable[GroupByKey]=DiscreteStatsTable[[#This Row],[GroupByKey]])*DiscreteStatsTable[Minimum]))</f>
        <v>0.100000577163883</v>
      </c>
      <c r="U601" cm="1">
        <f t="array" ref="U601">MAX(IF((DiscreteStatsTable[GroupByKey]=DiscreteStatsTable[[#This Row],[GroupByKey]]),(DiscreteStatsTable[GroupByKey]=DiscreteStatsTable[[#This Row],[GroupByKey]])*DiscreteStatsTable[Maximum]))</f>
        <v>1.41452080991047</v>
      </c>
      <c r="V601" cm="1">
        <f t="array" ref="V601">IFERROR(AVERAGE(IF((DiscreteStatsTable[GroupByKey]=DiscreteStatsTable[[#This Row],[GroupByKey]]),(DiscreteStatsTable[GroupByKey]=DiscreteStatsTable[[#This Row],[GroupByKey]])*DiscreteStatsTable[NumberObservations])),0)</f>
        <v>2262.66</v>
      </c>
      <c r="W601">
        <f>IF((DiscreteStatsTable[[#This Row],[RepsRequested]]&gt;1),DiscreteStatsTable[[#This Row],[HalfWidth]],DiscreteStatsTable[[#This Row],[BatchMeansHalfWidth]])</f>
        <v>1.3927091897695423E-3</v>
      </c>
      <c r="X601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131</v>
      </c>
      <c r="C602">
        <v>34</v>
      </c>
      <c r="D602" t="s">
        <v>86</v>
      </c>
      <c r="E602" t="s">
        <v>81</v>
      </c>
      <c r="F602" t="s">
        <v>80</v>
      </c>
      <c r="G602">
        <v>0.149420188419917</v>
      </c>
      <c r="H602">
        <v>1.0396413909087099E-3</v>
      </c>
      <c r="I602">
        <v>0.100008288585059</v>
      </c>
      <c r="J602">
        <v>0.19999923105342499</v>
      </c>
      <c r="K602">
        <v>2281</v>
      </c>
      <c r="L602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02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cm="1">
        <f t="array" ref="N602">IFERROR(AVERAGE(IF((DiscreteStatsTable[GroupByKey]=DiscreteStatsTable[[#This Row],[GroupByKey]]),(DiscreteStatsTable[GroupByKey]=DiscreteStatsTable[[#This Row],[GroupByKey]])*DiscreteStatsTable[Average])),0)</f>
        <v>0.15006283793025285</v>
      </c>
      <c r="O602" cm="1">
        <f t="array" ref="O602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02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02" cm="1">
        <f t="array" ref="R602">MIN(IF((DiscreteStatsTable[GroupByKey]=DiscreteStatsTable[[#This Row],[GroupByKey]]),(DiscreteStatsTable[GroupByKey]=DiscreteStatsTable[[#This Row],[GroupByKey]])*DiscreteStatsTable[Average]))</f>
        <v>0.14863412830584499</v>
      </c>
      <c r="S602" cm="1">
        <f t="array" ref="S602">MAX(IF((DiscreteStatsTable[GroupByKey]=DiscreteStatsTable[[#This Row],[GroupByKey]]),(DiscreteStatsTable[GroupByKey]=DiscreteStatsTable[[#This Row],[GroupByKey]])*DiscreteStatsTable[Average]))</f>
        <v>0.151606291486265</v>
      </c>
      <c r="T602" cm="1">
        <f t="array" ref="T602">MIN(IF((DiscreteStatsTable[GroupByKey]=DiscreteStatsTable[[#This Row],[GroupByKey]]),(DiscreteStatsTable[GroupByKey]=DiscreteStatsTable[[#This Row],[GroupByKey]])*DiscreteStatsTable[Minimum]))</f>
        <v>0.100000577163883</v>
      </c>
      <c r="U602" cm="1">
        <f t="array" ref="U602">MAX(IF((DiscreteStatsTable[GroupByKey]=DiscreteStatsTable[[#This Row],[GroupByKey]]),(DiscreteStatsTable[GroupByKey]=DiscreteStatsTable[[#This Row],[GroupByKey]])*DiscreteStatsTable[Maximum]))</f>
        <v>0.19999993084929499</v>
      </c>
      <c r="V602" cm="1">
        <f t="array" ref="V602">IFERROR(AVERAGE(IF((DiscreteStatsTable[GroupByKey]=DiscreteStatsTable[[#This Row],[GroupByKey]]),(DiscreteStatsTable[GroupByKey]=DiscreteStatsTable[[#This Row],[GroupByKey]])*DiscreteStatsTable[NumberObservations])),0)</f>
        <v>2262.66</v>
      </c>
      <c r="W602">
        <f>IF((DiscreteStatsTable[[#This Row],[RepsRequested]]&gt;1),DiscreteStatsTable[[#This Row],[HalfWidth]],DiscreteStatsTable[[#This Row],[BatchMeansHalfWidth]])</f>
        <v>1.7015423667850204E-4</v>
      </c>
      <c r="X602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131</v>
      </c>
      <c r="C603">
        <v>34</v>
      </c>
      <c r="D603" t="s">
        <v>86</v>
      </c>
      <c r="E603" t="s">
        <v>82</v>
      </c>
      <c r="F603" t="s">
        <v>80</v>
      </c>
      <c r="G603">
        <v>6.5309898555979407E-2</v>
      </c>
      <c r="H603">
        <v>1.0969671115584299E-2</v>
      </c>
      <c r="I603">
        <v>0</v>
      </c>
      <c r="J603">
        <v>0.87702435119342703</v>
      </c>
      <c r="K603">
        <v>2281</v>
      </c>
      <c r="L603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03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cm="1">
        <f t="array" ref="N603">IFERROR(AVERAGE(IF((DiscreteStatsTable[GroupByKey]=DiscreteStatsTable[[#This Row],[GroupByKey]]),(DiscreteStatsTable[GroupByKey]=DiscreteStatsTable[[#This Row],[GroupByKey]])*DiscreteStatsTable[Average])),0)</f>
        <v>6.8092291861787557E-2</v>
      </c>
      <c r="O603" cm="1">
        <f t="array" ref="O603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03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03" cm="1">
        <f t="array" ref="R603">MIN(IF((DiscreteStatsTable[GroupByKey]=DiscreteStatsTable[[#This Row],[GroupByKey]]),(DiscreteStatsTable[GroupByKey]=DiscreteStatsTable[[#This Row],[GroupByKey]])*DiscreteStatsTable[Average]))</f>
        <v>5.591228067423E-2</v>
      </c>
      <c r="S603" cm="1">
        <f t="array" ref="S603">MAX(IF((DiscreteStatsTable[GroupByKey]=DiscreteStatsTable[[#This Row],[GroupByKey]]),(DiscreteStatsTable[GroupByKey]=DiscreteStatsTable[[#This Row],[GroupByKey]])*DiscreteStatsTable[Average]))</f>
        <v>7.8817469083508104E-2</v>
      </c>
      <c r="T603" cm="1">
        <f t="array" ref="T603">MIN(IF((DiscreteStatsTable[GroupByKey]=DiscreteStatsTable[[#This Row],[GroupByKey]]),(DiscreteStatsTable[GroupByKey]=DiscreteStatsTable[[#This Row],[GroupByKey]])*DiscreteStatsTable[Minimum]))</f>
        <v>0</v>
      </c>
      <c r="U603" cm="1">
        <f t="array" ref="U603">MAX(IF((DiscreteStatsTable[GroupByKey]=DiscreteStatsTable[[#This Row],[GroupByKey]]),(DiscreteStatsTable[GroupByKey]=DiscreteStatsTable[[#This Row],[GroupByKey]])*DiscreteStatsTable[Maximum]))</f>
        <v>1.2170108122512</v>
      </c>
      <c r="V603" cm="1">
        <f t="array" ref="V603">IFERROR(AVERAGE(IF((DiscreteStatsTable[GroupByKey]=DiscreteStatsTable[[#This Row],[GroupByKey]]),(DiscreteStatsTable[GroupByKey]=DiscreteStatsTable[[#This Row],[GroupByKey]])*DiscreteStatsTable[NumberObservations])),0)</f>
        <v>2262.66</v>
      </c>
      <c r="W603">
        <f>IF((DiscreteStatsTable[[#This Row],[RepsRequested]]&gt;1),DiscreteStatsTable[[#This Row],[HalfWidth]],DiscreteStatsTable[[#This Row],[BatchMeansHalfWidth]])</f>
        <v>1.3221720552995685E-3</v>
      </c>
      <c r="X603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131</v>
      </c>
      <c r="C604">
        <v>35</v>
      </c>
      <c r="D604" t="s">
        <v>86</v>
      </c>
      <c r="E604" t="s">
        <v>79</v>
      </c>
      <c r="F604" t="s">
        <v>80</v>
      </c>
      <c r="G604">
        <v>0.223171507705687</v>
      </c>
      <c r="H604">
        <v>1.34297732691819E-2</v>
      </c>
      <c r="I604">
        <v>0.100088094854357</v>
      </c>
      <c r="J604">
        <v>1.1227165877130301</v>
      </c>
      <c r="K604">
        <v>2305</v>
      </c>
      <c r="L604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04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cm="1">
        <f t="array" ref="N604">IFERROR(AVERAGE(IF((DiscreteStatsTable[GroupByKey]=DiscreteStatsTable[[#This Row],[GroupByKey]]),(DiscreteStatsTable[GroupByKey]=DiscreteStatsTable[[#This Row],[GroupByKey]])*DiscreteStatsTable[Average])),0)</f>
        <v>0.21815512979204044</v>
      </c>
      <c r="O604" cm="1">
        <f t="array" ref="O604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04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04" cm="1">
        <f t="array" ref="R604">MIN(IF((DiscreteStatsTable[GroupByKey]=DiscreteStatsTable[[#This Row],[GroupByKey]]),(DiscreteStatsTable[GroupByKey]=DiscreteStatsTable[[#This Row],[GroupByKey]])*DiscreteStatsTable[Average]))</f>
        <v>0.204996218905765</v>
      </c>
      <c r="S604" cm="1">
        <f t="array" ref="S604">MAX(IF((DiscreteStatsTable[GroupByKey]=DiscreteStatsTable[[#This Row],[GroupByKey]]),(DiscreteStatsTable[GroupByKey]=DiscreteStatsTable[[#This Row],[GroupByKey]])*DiscreteStatsTable[Average]))</f>
        <v>0.22907589413377599</v>
      </c>
      <c r="T604" cm="1">
        <f t="array" ref="T604">MIN(IF((DiscreteStatsTable[GroupByKey]=DiscreteStatsTable[[#This Row],[GroupByKey]]),(DiscreteStatsTable[GroupByKey]=DiscreteStatsTable[[#This Row],[GroupByKey]])*DiscreteStatsTable[Minimum]))</f>
        <v>0.100000577163883</v>
      </c>
      <c r="U604" cm="1">
        <f t="array" ref="U604">MAX(IF((DiscreteStatsTable[GroupByKey]=DiscreteStatsTable[[#This Row],[GroupByKey]]),(DiscreteStatsTable[GroupByKey]=DiscreteStatsTable[[#This Row],[GroupByKey]])*DiscreteStatsTable[Maximum]))</f>
        <v>1.41452080991047</v>
      </c>
      <c r="V604" cm="1">
        <f t="array" ref="V604">IFERROR(AVERAGE(IF((DiscreteStatsTable[GroupByKey]=DiscreteStatsTable[[#This Row],[GroupByKey]]),(DiscreteStatsTable[GroupByKey]=DiscreteStatsTable[[#This Row],[GroupByKey]])*DiscreteStatsTable[NumberObservations])),0)</f>
        <v>2262.66</v>
      </c>
      <c r="W604">
        <f>IF((DiscreteStatsTable[[#This Row],[RepsRequested]]&gt;1),DiscreteStatsTable[[#This Row],[HalfWidth]],DiscreteStatsTable[[#This Row],[BatchMeansHalfWidth]])</f>
        <v>1.3927091897695423E-3</v>
      </c>
      <c r="X604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131</v>
      </c>
      <c r="C605">
        <v>35</v>
      </c>
      <c r="D605" t="s">
        <v>86</v>
      </c>
      <c r="E605" t="s">
        <v>81</v>
      </c>
      <c r="F605" t="s">
        <v>80</v>
      </c>
      <c r="G605">
        <v>0.14990477625901599</v>
      </c>
      <c r="H605">
        <v>1.3480080900284E-3</v>
      </c>
      <c r="I605">
        <v>0.100088094854357</v>
      </c>
      <c r="J605">
        <v>0.19999866450666601</v>
      </c>
      <c r="K605">
        <v>2305</v>
      </c>
      <c r="L605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0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cm="1">
        <f t="array" ref="N605">IFERROR(AVERAGE(IF((DiscreteStatsTable[GroupByKey]=DiscreteStatsTable[[#This Row],[GroupByKey]]),(DiscreteStatsTable[GroupByKey]=DiscreteStatsTable[[#This Row],[GroupByKey]])*DiscreteStatsTable[Average])),0)</f>
        <v>0.15006283793025285</v>
      </c>
      <c r="O605" cm="1">
        <f t="array" ref="O605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0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05" cm="1">
        <f t="array" ref="R605">MIN(IF((DiscreteStatsTable[GroupByKey]=DiscreteStatsTable[[#This Row],[GroupByKey]]),(DiscreteStatsTable[GroupByKey]=DiscreteStatsTable[[#This Row],[GroupByKey]])*DiscreteStatsTable[Average]))</f>
        <v>0.14863412830584499</v>
      </c>
      <c r="S605" cm="1">
        <f t="array" ref="S605">MAX(IF((DiscreteStatsTable[GroupByKey]=DiscreteStatsTable[[#This Row],[GroupByKey]]),(DiscreteStatsTable[GroupByKey]=DiscreteStatsTable[[#This Row],[GroupByKey]])*DiscreteStatsTable[Average]))</f>
        <v>0.151606291486265</v>
      </c>
      <c r="T605" cm="1">
        <f t="array" ref="T605">MIN(IF((DiscreteStatsTable[GroupByKey]=DiscreteStatsTable[[#This Row],[GroupByKey]]),(DiscreteStatsTable[GroupByKey]=DiscreteStatsTable[[#This Row],[GroupByKey]])*DiscreteStatsTable[Minimum]))</f>
        <v>0.100000577163883</v>
      </c>
      <c r="U605" cm="1">
        <f t="array" ref="U605">MAX(IF((DiscreteStatsTable[GroupByKey]=DiscreteStatsTable[[#This Row],[GroupByKey]]),(DiscreteStatsTable[GroupByKey]=DiscreteStatsTable[[#This Row],[GroupByKey]])*DiscreteStatsTable[Maximum]))</f>
        <v>0.19999993084929499</v>
      </c>
      <c r="V605" cm="1">
        <f t="array" ref="V605">IFERROR(AVERAGE(IF((DiscreteStatsTable[GroupByKey]=DiscreteStatsTable[[#This Row],[GroupByKey]]),(DiscreteStatsTable[GroupByKey]=DiscreteStatsTable[[#This Row],[GroupByKey]])*DiscreteStatsTable[NumberObservations])),0)</f>
        <v>2262.66</v>
      </c>
      <c r="W605">
        <f>IF((DiscreteStatsTable[[#This Row],[RepsRequested]]&gt;1),DiscreteStatsTable[[#This Row],[HalfWidth]],DiscreteStatsTable[[#This Row],[BatchMeansHalfWidth]])</f>
        <v>1.7015423667850204E-4</v>
      </c>
      <c r="X60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131</v>
      </c>
      <c r="C606">
        <v>35</v>
      </c>
      <c r="D606" t="s">
        <v>86</v>
      </c>
      <c r="E606" t="s">
        <v>82</v>
      </c>
      <c r="F606" t="s">
        <v>80</v>
      </c>
      <c r="G606">
        <v>7.3266731446670702E-2</v>
      </c>
      <c r="H606">
        <v>1.28621122650606E-2</v>
      </c>
      <c r="I606">
        <v>0</v>
      </c>
      <c r="J606">
        <v>0.95490986707056902</v>
      </c>
      <c r="K606">
        <v>2305</v>
      </c>
      <c r="L606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06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cm="1">
        <f t="array" ref="N606">IFERROR(AVERAGE(IF((DiscreteStatsTable[GroupByKey]=DiscreteStatsTable[[#This Row],[GroupByKey]]),(DiscreteStatsTable[GroupByKey]=DiscreteStatsTable[[#This Row],[GroupByKey]])*DiscreteStatsTable[Average])),0)</f>
        <v>6.8092291861787557E-2</v>
      </c>
      <c r="O606" cm="1">
        <f t="array" ref="O606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06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06" cm="1">
        <f t="array" ref="R606">MIN(IF((DiscreteStatsTable[GroupByKey]=DiscreteStatsTable[[#This Row],[GroupByKey]]),(DiscreteStatsTable[GroupByKey]=DiscreteStatsTable[[#This Row],[GroupByKey]])*DiscreteStatsTable[Average]))</f>
        <v>5.591228067423E-2</v>
      </c>
      <c r="S606" cm="1">
        <f t="array" ref="S606">MAX(IF((DiscreteStatsTable[GroupByKey]=DiscreteStatsTable[[#This Row],[GroupByKey]]),(DiscreteStatsTable[GroupByKey]=DiscreteStatsTable[[#This Row],[GroupByKey]])*DiscreteStatsTable[Average]))</f>
        <v>7.8817469083508104E-2</v>
      </c>
      <c r="T606" cm="1">
        <f t="array" ref="T606">MIN(IF((DiscreteStatsTable[GroupByKey]=DiscreteStatsTable[[#This Row],[GroupByKey]]),(DiscreteStatsTable[GroupByKey]=DiscreteStatsTable[[#This Row],[GroupByKey]])*DiscreteStatsTable[Minimum]))</f>
        <v>0</v>
      </c>
      <c r="U606" cm="1">
        <f t="array" ref="U606">MAX(IF((DiscreteStatsTable[GroupByKey]=DiscreteStatsTable[[#This Row],[GroupByKey]]),(DiscreteStatsTable[GroupByKey]=DiscreteStatsTable[[#This Row],[GroupByKey]])*DiscreteStatsTable[Maximum]))</f>
        <v>1.2170108122512</v>
      </c>
      <c r="V606" cm="1">
        <f t="array" ref="V606">IFERROR(AVERAGE(IF((DiscreteStatsTable[GroupByKey]=DiscreteStatsTable[[#This Row],[GroupByKey]]),(DiscreteStatsTable[GroupByKey]=DiscreteStatsTable[[#This Row],[GroupByKey]])*DiscreteStatsTable[NumberObservations])),0)</f>
        <v>2262.66</v>
      </c>
      <c r="W606">
        <f>IF((DiscreteStatsTable[[#This Row],[RepsRequested]]&gt;1),DiscreteStatsTable[[#This Row],[HalfWidth]],DiscreteStatsTable[[#This Row],[BatchMeansHalfWidth]])</f>
        <v>1.3221720552995685E-3</v>
      </c>
      <c r="X606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131</v>
      </c>
      <c r="C607">
        <v>36</v>
      </c>
      <c r="D607" t="s">
        <v>86</v>
      </c>
      <c r="E607" t="s">
        <v>79</v>
      </c>
      <c r="F607" t="s">
        <v>80</v>
      </c>
      <c r="G607">
        <v>0.22258938107491599</v>
      </c>
      <c r="H607">
        <v>1.21243141838848E-2</v>
      </c>
      <c r="I607">
        <v>0.100281004737781</v>
      </c>
      <c r="J607">
        <v>1.1813615890670199</v>
      </c>
      <c r="K607">
        <v>2263</v>
      </c>
      <c r="L607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07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cm="1">
        <f t="array" ref="N607">IFERROR(AVERAGE(IF((DiscreteStatsTable[GroupByKey]=DiscreteStatsTable[[#This Row],[GroupByKey]]),(DiscreteStatsTable[GroupByKey]=DiscreteStatsTable[[#This Row],[GroupByKey]])*DiscreteStatsTable[Average])),0)</f>
        <v>0.21815512979204044</v>
      </c>
      <c r="O607" cm="1">
        <f t="array" ref="O607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07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07" cm="1">
        <f t="array" ref="R607">MIN(IF((DiscreteStatsTable[GroupByKey]=DiscreteStatsTable[[#This Row],[GroupByKey]]),(DiscreteStatsTable[GroupByKey]=DiscreteStatsTable[[#This Row],[GroupByKey]])*DiscreteStatsTable[Average]))</f>
        <v>0.204996218905765</v>
      </c>
      <c r="S607" cm="1">
        <f t="array" ref="S607">MAX(IF((DiscreteStatsTable[GroupByKey]=DiscreteStatsTable[[#This Row],[GroupByKey]]),(DiscreteStatsTable[GroupByKey]=DiscreteStatsTable[[#This Row],[GroupByKey]])*DiscreteStatsTable[Average]))</f>
        <v>0.22907589413377599</v>
      </c>
      <c r="T607" cm="1">
        <f t="array" ref="T607">MIN(IF((DiscreteStatsTable[GroupByKey]=DiscreteStatsTable[[#This Row],[GroupByKey]]),(DiscreteStatsTable[GroupByKey]=DiscreteStatsTable[[#This Row],[GroupByKey]])*DiscreteStatsTable[Minimum]))</f>
        <v>0.100000577163883</v>
      </c>
      <c r="U607" cm="1">
        <f t="array" ref="U607">MAX(IF((DiscreteStatsTable[GroupByKey]=DiscreteStatsTable[[#This Row],[GroupByKey]]),(DiscreteStatsTable[GroupByKey]=DiscreteStatsTable[[#This Row],[GroupByKey]])*DiscreteStatsTable[Maximum]))</f>
        <v>1.41452080991047</v>
      </c>
      <c r="V607" cm="1">
        <f t="array" ref="V607">IFERROR(AVERAGE(IF((DiscreteStatsTable[GroupByKey]=DiscreteStatsTable[[#This Row],[GroupByKey]]),(DiscreteStatsTable[GroupByKey]=DiscreteStatsTable[[#This Row],[GroupByKey]])*DiscreteStatsTable[NumberObservations])),0)</f>
        <v>2262.66</v>
      </c>
      <c r="W607">
        <f>IF((DiscreteStatsTable[[#This Row],[RepsRequested]]&gt;1),DiscreteStatsTable[[#This Row],[HalfWidth]],DiscreteStatsTable[[#This Row],[BatchMeansHalfWidth]])</f>
        <v>1.3927091897695423E-3</v>
      </c>
      <c r="X607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131</v>
      </c>
      <c r="C608">
        <v>36</v>
      </c>
      <c r="D608" t="s">
        <v>86</v>
      </c>
      <c r="E608" t="s">
        <v>81</v>
      </c>
      <c r="F608" t="s">
        <v>80</v>
      </c>
      <c r="G608">
        <v>0.15025076699666701</v>
      </c>
      <c r="H608">
        <v>9.70450612333597E-4</v>
      </c>
      <c r="I608">
        <v>0.100281004737781</v>
      </c>
      <c r="J608">
        <v>0.19999034479212699</v>
      </c>
      <c r="K608">
        <v>2263</v>
      </c>
      <c r="L608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08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cm="1">
        <f t="array" ref="N608">IFERROR(AVERAGE(IF((DiscreteStatsTable[GroupByKey]=DiscreteStatsTable[[#This Row],[GroupByKey]]),(DiscreteStatsTable[GroupByKey]=DiscreteStatsTable[[#This Row],[GroupByKey]])*DiscreteStatsTable[Average])),0)</f>
        <v>0.15006283793025285</v>
      </c>
      <c r="O608" cm="1">
        <f t="array" ref="O608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08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08" cm="1">
        <f t="array" ref="R608">MIN(IF((DiscreteStatsTable[GroupByKey]=DiscreteStatsTable[[#This Row],[GroupByKey]]),(DiscreteStatsTable[GroupByKey]=DiscreteStatsTable[[#This Row],[GroupByKey]])*DiscreteStatsTable[Average]))</f>
        <v>0.14863412830584499</v>
      </c>
      <c r="S608" cm="1">
        <f t="array" ref="S608">MAX(IF((DiscreteStatsTable[GroupByKey]=DiscreteStatsTable[[#This Row],[GroupByKey]]),(DiscreteStatsTable[GroupByKey]=DiscreteStatsTable[[#This Row],[GroupByKey]])*DiscreteStatsTable[Average]))</f>
        <v>0.151606291486265</v>
      </c>
      <c r="T608" cm="1">
        <f t="array" ref="T608">MIN(IF((DiscreteStatsTable[GroupByKey]=DiscreteStatsTable[[#This Row],[GroupByKey]]),(DiscreteStatsTable[GroupByKey]=DiscreteStatsTable[[#This Row],[GroupByKey]])*DiscreteStatsTable[Minimum]))</f>
        <v>0.100000577163883</v>
      </c>
      <c r="U608" cm="1">
        <f t="array" ref="U608">MAX(IF((DiscreteStatsTable[GroupByKey]=DiscreteStatsTable[[#This Row],[GroupByKey]]),(DiscreteStatsTable[GroupByKey]=DiscreteStatsTable[[#This Row],[GroupByKey]])*DiscreteStatsTable[Maximum]))</f>
        <v>0.19999993084929499</v>
      </c>
      <c r="V608" cm="1">
        <f t="array" ref="V608">IFERROR(AVERAGE(IF((DiscreteStatsTable[GroupByKey]=DiscreteStatsTable[[#This Row],[GroupByKey]]),(DiscreteStatsTable[GroupByKey]=DiscreteStatsTable[[#This Row],[GroupByKey]])*DiscreteStatsTable[NumberObservations])),0)</f>
        <v>2262.66</v>
      </c>
      <c r="W608">
        <f>IF((DiscreteStatsTable[[#This Row],[RepsRequested]]&gt;1),DiscreteStatsTable[[#This Row],[HalfWidth]],DiscreteStatsTable[[#This Row],[BatchMeansHalfWidth]])</f>
        <v>1.7015423667850204E-4</v>
      </c>
      <c r="X608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131</v>
      </c>
      <c r="C609">
        <v>36</v>
      </c>
      <c r="D609" t="s">
        <v>86</v>
      </c>
      <c r="E609" t="s">
        <v>82</v>
      </c>
      <c r="F609" t="s">
        <v>80</v>
      </c>
      <c r="G609">
        <v>7.2338614078248695E-2</v>
      </c>
      <c r="H609">
        <v>1.2198095575528501E-2</v>
      </c>
      <c r="I609">
        <v>0</v>
      </c>
      <c r="J609">
        <v>1.05431619392266</v>
      </c>
      <c r="K609">
        <v>2263</v>
      </c>
      <c r="L609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09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cm="1">
        <f t="array" ref="N609">IFERROR(AVERAGE(IF((DiscreteStatsTable[GroupByKey]=DiscreteStatsTable[[#This Row],[GroupByKey]]),(DiscreteStatsTable[GroupByKey]=DiscreteStatsTable[[#This Row],[GroupByKey]])*DiscreteStatsTable[Average])),0)</f>
        <v>6.8092291861787557E-2</v>
      </c>
      <c r="O609" cm="1">
        <f t="array" ref="O609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09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09" cm="1">
        <f t="array" ref="R609">MIN(IF((DiscreteStatsTable[GroupByKey]=DiscreteStatsTable[[#This Row],[GroupByKey]]),(DiscreteStatsTable[GroupByKey]=DiscreteStatsTable[[#This Row],[GroupByKey]])*DiscreteStatsTable[Average]))</f>
        <v>5.591228067423E-2</v>
      </c>
      <c r="S609" cm="1">
        <f t="array" ref="S609">MAX(IF((DiscreteStatsTable[GroupByKey]=DiscreteStatsTable[[#This Row],[GroupByKey]]),(DiscreteStatsTable[GroupByKey]=DiscreteStatsTable[[#This Row],[GroupByKey]])*DiscreteStatsTable[Average]))</f>
        <v>7.8817469083508104E-2</v>
      </c>
      <c r="T609" cm="1">
        <f t="array" ref="T609">MIN(IF((DiscreteStatsTable[GroupByKey]=DiscreteStatsTable[[#This Row],[GroupByKey]]),(DiscreteStatsTable[GroupByKey]=DiscreteStatsTable[[#This Row],[GroupByKey]])*DiscreteStatsTable[Minimum]))</f>
        <v>0</v>
      </c>
      <c r="U609" cm="1">
        <f t="array" ref="U609">MAX(IF((DiscreteStatsTable[GroupByKey]=DiscreteStatsTable[[#This Row],[GroupByKey]]),(DiscreteStatsTable[GroupByKey]=DiscreteStatsTable[[#This Row],[GroupByKey]])*DiscreteStatsTable[Maximum]))</f>
        <v>1.2170108122512</v>
      </c>
      <c r="V609" cm="1">
        <f t="array" ref="V609">IFERROR(AVERAGE(IF((DiscreteStatsTable[GroupByKey]=DiscreteStatsTable[[#This Row],[GroupByKey]]),(DiscreteStatsTable[GroupByKey]=DiscreteStatsTable[[#This Row],[GroupByKey]])*DiscreteStatsTable[NumberObservations])),0)</f>
        <v>2262.66</v>
      </c>
      <c r="W609">
        <f>IF((DiscreteStatsTable[[#This Row],[RepsRequested]]&gt;1),DiscreteStatsTable[[#This Row],[HalfWidth]],DiscreteStatsTable[[#This Row],[BatchMeansHalfWidth]])</f>
        <v>1.3221720552995685E-3</v>
      </c>
      <c r="X609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131</v>
      </c>
      <c r="C610">
        <v>37</v>
      </c>
      <c r="D610" t="s">
        <v>86</v>
      </c>
      <c r="E610" t="s">
        <v>79</v>
      </c>
      <c r="F610" t="s">
        <v>80</v>
      </c>
      <c r="G610">
        <v>0.217382946494416</v>
      </c>
      <c r="H610">
        <v>1.28418546608136E-2</v>
      </c>
      <c r="I610">
        <v>0.10002880625100399</v>
      </c>
      <c r="J610">
        <v>1.2505418548163301</v>
      </c>
      <c r="K610">
        <v>2279</v>
      </c>
      <c r="L610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10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cm="1">
        <f t="array" ref="N610">IFERROR(AVERAGE(IF((DiscreteStatsTable[GroupByKey]=DiscreteStatsTable[[#This Row],[GroupByKey]]),(DiscreteStatsTable[GroupByKey]=DiscreteStatsTable[[#This Row],[GroupByKey]])*DiscreteStatsTable[Average])),0)</f>
        <v>0.21815512979204044</v>
      </c>
      <c r="O610" cm="1">
        <f t="array" ref="O610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10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10" cm="1">
        <f t="array" ref="R610">MIN(IF((DiscreteStatsTable[GroupByKey]=DiscreteStatsTable[[#This Row],[GroupByKey]]),(DiscreteStatsTable[GroupByKey]=DiscreteStatsTable[[#This Row],[GroupByKey]])*DiscreteStatsTable[Average]))</f>
        <v>0.204996218905765</v>
      </c>
      <c r="S610" cm="1">
        <f t="array" ref="S610">MAX(IF((DiscreteStatsTable[GroupByKey]=DiscreteStatsTable[[#This Row],[GroupByKey]]),(DiscreteStatsTable[GroupByKey]=DiscreteStatsTable[[#This Row],[GroupByKey]])*DiscreteStatsTable[Average]))</f>
        <v>0.22907589413377599</v>
      </c>
      <c r="T610" cm="1">
        <f t="array" ref="T610">MIN(IF((DiscreteStatsTable[GroupByKey]=DiscreteStatsTable[[#This Row],[GroupByKey]]),(DiscreteStatsTable[GroupByKey]=DiscreteStatsTable[[#This Row],[GroupByKey]])*DiscreteStatsTable[Minimum]))</f>
        <v>0.100000577163883</v>
      </c>
      <c r="U610" cm="1">
        <f t="array" ref="U610">MAX(IF((DiscreteStatsTable[GroupByKey]=DiscreteStatsTable[[#This Row],[GroupByKey]]),(DiscreteStatsTable[GroupByKey]=DiscreteStatsTable[[#This Row],[GroupByKey]])*DiscreteStatsTable[Maximum]))</f>
        <v>1.41452080991047</v>
      </c>
      <c r="V610" cm="1">
        <f t="array" ref="V610">IFERROR(AVERAGE(IF((DiscreteStatsTable[GroupByKey]=DiscreteStatsTable[[#This Row],[GroupByKey]]),(DiscreteStatsTable[GroupByKey]=DiscreteStatsTable[[#This Row],[GroupByKey]])*DiscreteStatsTable[NumberObservations])),0)</f>
        <v>2262.66</v>
      </c>
      <c r="W610">
        <f>IF((DiscreteStatsTable[[#This Row],[RepsRequested]]&gt;1),DiscreteStatsTable[[#This Row],[HalfWidth]],DiscreteStatsTable[[#This Row],[BatchMeansHalfWidth]])</f>
        <v>1.3927091897695423E-3</v>
      </c>
      <c r="X610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131</v>
      </c>
      <c r="C611">
        <v>37</v>
      </c>
      <c r="D611" t="s">
        <v>86</v>
      </c>
      <c r="E611" t="s">
        <v>81</v>
      </c>
      <c r="F611" t="s">
        <v>80</v>
      </c>
      <c r="G611">
        <v>0.150550133946592</v>
      </c>
      <c r="H611">
        <v>1.69891694488716E-3</v>
      </c>
      <c r="I611">
        <v>0.10002880625100399</v>
      </c>
      <c r="J611">
        <v>0.199924946176878</v>
      </c>
      <c r="K611">
        <v>2279</v>
      </c>
      <c r="L611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11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cm="1">
        <f t="array" ref="N611">IFERROR(AVERAGE(IF((DiscreteStatsTable[GroupByKey]=DiscreteStatsTable[[#This Row],[GroupByKey]]),(DiscreteStatsTable[GroupByKey]=DiscreteStatsTable[[#This Row],[GroupByKey]])*DiscreteStatsTable[Average])),0)</f>
        <v>0.15006283793025285</v>
      </c>
      <c r="O611" cm="1">
        <f t="array" ref="O611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11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11" cm="1">
        <f t="array" ref="R611">MIN(IF((DiscreteStatsTable[GroupByKey]=DiscreteStatsTable[[#This Row],[GroupByKey]]),(DiscreteStatsTable[GroupByKey]=DiscreteStatsTable[[#This Row],[GroupByKey]])*DiscreteStatsTable[Average]))</f>
        <v>0.14863412830584499</v>
      </c>
      <c r="S611" cm="1">
        <f t="array" ref="S611">MAX(IF((DiscreteStatsTable[GroupByKey]=DiscreteStatsTable[[#This Row],[GroupByKey]]),(DiscreteStatsTable[GroupByKey]=DiscreteStatsTable[[#This Row],[GroupByKey]])*DiscreteStatsTable[Average]))</f>
        <v>0.151606291486265</v>
      </c>
      <c r="T611" cm="1">
        <f t="array" ref="T611">MIN(IF((DiscreteStatsTable[GroupByKey]=DiscreteStatsTable[[#This Row],[GroupByKey]]),(DiscreteStatsTable[GroupByKey]=DiscreteStatsTable[[#This Row],[GroupByKey]])*DiscreteStatsTable[Minimum]))</f>
        <v>0.100000577163883</v>
      </c>
      <c r="U611" cm="1">
        <f t="array" ref="U611">MAX(IF((DiscreteStatsTable[GroupByKey]=DiscreteStatsTable[[#This Row],[GroupByKey]]),(DiscreteStatsTable[GroupByKey]=DiscreteStatsTable[[#This Row],[GroupByKey]])*DiscreteStatsTable[Maximum]))</f>
        <v>0.19999993084929499</v>
      </c>
      <c r="V611" cm="1">
        <f t="array" ref="V611">IFERROR(AVERAGE(IF((DiscreteStatsTable[GroupByKey]=DiscreteStatsTable[[#This Row],[GroupByKey]]),(DiscreteStatsTable[GroupByKey]=DiscreteStatsTable[[#This Row],[GroupByKey]])*DiscreteStatsTable[NumberObservations])),0)</f>
        <v>2262.66</v>
      </c>
      <c r="W611">
        <f>IF((DiscreteStatsTable[[#This Row],[RepsRequested]]&gt;1),DiscreteStatsTable[[#This Row],[HalfWidth]],DiscreteStatsTable[[#This Row],[BatchMeansHalfWidth]])</f>
        <v>1.7015423667850204E-4</v>
      </c>
      <c r="X611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131</v>
      </c>
      <c r="C612">
        <v>37</v>
      </c>
      <c r="D612" t="s">
        <v>86</v>
      </c>
      <c r="E612" t="s">
        <v>82</v>
      </c>
      <c r="F612" t="s">
        <v>80</v>
      </c>
      <c r="G612">
        <v>6.6832812547823903E-2</v>
      </c>
      <c r="H612">
        <v>1.2218572783164201E-2</v>
      </c>
      <c r="I612">
        <v>0</v>
      </c>
      <c r="J612">
        <v>1.0976406710825599</v>
      </c>
      <c r="K612">
        <v>2279</v>
      </c>
      <c r="L612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12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cm="1">
        <f t="array" ref="N612">IFERROR(AVERAGE(IF((DiscreteStatsTable[GroupByKey]=DiscreteStatsTable[[#This Row],[GroupByKey]]),(DiscreteStatsTable[GroupByKey]=DiscreteStatsTable[[#This Row],[GroupByKey]])*DiscreteStatsTable[Average])),0)</f>
        <v>6.8092291861787557E-2</v>
      </c>
      <c r="O612" cm="1">
        <f t="array" ref="O612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12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12" cm="1">
        <f t="array" ref="R612">MIN(IF((DiscreteStatsTable[GroupByKey]=DiscreteStatsTable[[#This Row],[GroupByKey]]),(DiscreteStatsTable[GroupByKey]=DiscreteStatsTable[[#This Row],[GroupByKey]])*DiscreteStatsTable[Average]))</f>
        <v>5.591228067423E-2</v>
      </c>
      <c r="S612" cm="1">
        <f t="array" ref="S612">MAX(IF((DiscreteStatsTable[GroupByKey]=DiscreteStatsTable[[#This Row],[GroupByKey]]),(DiscreteStatsTable[GroupByKey]=DiscreteStatsTable[[#This Row],[GroupByKey]])*DiscreteStatsTable[Average]))</f>
        <v>7.8817469083508104E-2</v>
      </c>
      <c r="T612" cm="1">
        <f t="array" ref="T612">MIN(IF((DiscreteStatsTable[GroupByKey]=DiscreteStatsTable[[#This Row],[GroupByKey]]),(DiscreteStatsTable[GroupByKey]=DiscreteStatsTable[[#This Row],[GroupByKey]])*DiscreteStatsTable[Minimum]))</f>
        <v>0</v>
      </c>
      <c r="U612" cm="1">
        <f t="array" ref="U612">MAX(IF((DiscreteStatsTable[GroupByKey]=DiscreteStatsTable[[#This Row],[GroupByKey]]),(DiscreteStatsTable[GroupByKey]=DiscreteStatsTable[[#This Row],[GroupByKey]])*DiscreteStatsTable[Maximum]))</f>
        <v>1.2170108122512</v>
      </c>
      <c r="V612" cm="1">
        <f t="array" ref="V612">IFERROR(AVERAGE(IF((DiscreteStatsTable[GroupByKey]=DiscreteStatsTable[[#This Row],[GroupByKey]]),(DiscreteStatsTable[GroupByKey]=DiscreteStatsTable[[#This Row],[GroupByKey]])*DiscreteStatsTable[NumberObservations])),0)</f>
        <v>2262.66</v>
      </c>
      <c r="W612">
        <f>IF((DiscreteStatsTable[[#This Row],[RepsRequested]]&gt;1),DiscreteStatsTable[[#This Row],[HalfWidth]],DiscreteStatsTable[[#This Row],[BatchMeansHalfWidth]])</f>
        <v>1.3221720552995685E-3</v>
      </c>
      <c r="X612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131</v>
      </c>
      <c r="C613">
        <v>38</v>
      </c>
      <c r="D613" t="s">
        <v>86</v>
      </c>
      <c r="E613" t="s">
        <v>79</v>
      </c>
      <c r="F613" t="s">
        <v>80</v>
      </c>
      <c r="G613">
        <v>0.22016585107904399</v>
      </c>
      <c r="H613">
        <v>1.36870683281994E-2</v>
      </c>
      <c r="I613">
        <v>0.10019501481224299</v>
      </c>
      <c r="J613">
        <v>0.97580465568270802</v>
      </c>
      <c r="K613">
        <v>2261</v>
      </c>
      <c r="L613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13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cm="1">
        <f t="array" ref="N613">IFERROR(AVERAGE(IF((DiscreteStatsTable[GroupByKey]=DiscreteStatsTable[[#This Row],[GroupByKey]]),(DiscreteStatsTable[GroupByKey]=DiscreteStatsTable[[#This Row],[GroupByKey]])*DiscreteStatsTable[Average])),0)</f>
        <v>0.21815512979204044</v>
      </c>
      <c r="O613" cm="1">
        <f t="array" ref="O613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13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13" cm="1">
        <f t="array" ref="R613">MIN(IF((DiscreteStatsTable[GroupByKey]=DiscreteStatsTable[[#This Row],[GroupByKey]]),(DiscreteStatsTable[GroupByKey]=DiscreteStatsTable[[#This Row],[GroupByKey]])*DiscreteStatsTable[Average]))</f>
        <v>0.204996218905765</v>
      </c>
      <c r="S613" cm="1">
        <f t="array" ref="S613">MAX(IF((DiscreteStatsTable[GroupByKey]=DiscreteStatsTable[[#This Row],[GroupByKey]]),(DiscreteStatsTable[GroupByKey]=DiscreteStatsTable[[#This Row],[GroupByKey]])*DiscreteStatsTable[Average]))</f>
        <v>0.22907589413377599</v>
      </c>
      <c r="T613" cm="1">
        <f t="array" ref="T613">MIN(IF((DiscreteStatsTable[GroupByKey]=DiscreteStatsTable[[#This Row],[GroupByKey]]),(DiscreteStatsTable[GroupByKey]=DiscreteStatsTable[[#This Row],[GroupByKey]])*DiscreteStatsTable[Minimum]))</f>
        <v>0.100000577163883</v>
      </c>
      <c r="U613" cm="1">
        <f t="array" ref="U613">MAX(IF((DiscreteStatsTable[GroupByKey]=DiscreteStatsTable[[#This Row],[GroupByKey]]),(DiscreteStatsTable[GroupByKey]=DiscreteStatsTable[[#This Row],[GroupByKey]])*DiscreteStatsTable[Maximum]))</f>
        <v>1.41452080991047</v>
      </c>
      <c r="V613" cm="1">
        <f t="array" ref="V613">IFERROR(AVERAGE(IF((DiscreteStatsTable[GroupByKey]=DiscreteStatsTable[[#This Row],[GroupByKey]]),(DiscreteStatsTable[GroupByKey]=DiscreteStatsTable[[#This Row],[GroupByKey]])*DiscreteStatsTable[NumberObservations])),0)</f>
        <v>2262.66</v>
      </c>
      <c r="W613">
        <f>IF((DiscreteStatsTable[[#This Row],[RepsRequested]]&gt;1),DiscreteStatsTable[[#This Row],[HalfWidth]],DiscreteStatsTable[[#This Row],[BatchMeansHalfWidth]])</f>
        <v>1.3927091897695423E-3</v>
      </c>
      <c r="X613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131</v>
      </c>
      <c r="C614">
        <v>38</v>
      </c>
      <c r="D614" t="s">
        <v>86</v>
      </c>
      <c r="E614" t="s">
        <v>81</v>
      </c>
      <c r="F614" t="s">
        <v>80</v>
      </c>
      <c r="G614">
        <v>0.15044889237176501</v>
      </c>
      <c r="H614">
        <v>1.39406552767437E-3</v>
      </c>
      <c r="I614">
        <v>0.10019501481224299</v>
      </c>
      <c r="J614">
        <v>0.19997441288887799</v>
      </c>
      <c r="K614">
        <v>2261</v>
      </c>
      <c r="L614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14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cm="1">
        <f t="array" ref="N614">IFERROR(AVERAGE(IF((DiscreteStatsTable[GroupByKey]=DiscreteStatsTable[[#This Row],[GroupByKey]]),(DiscreteStatsTable[GroupByKey]=DiscreteStatsTable[[#This Row],[GroupByKey]])*DiscreteStatsTable[Average])),0)</f>
        <v>0.15006283793025285</v>
      </c>
      <c r="O614" cm="1">
        <f t="array" ref="O614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14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14" cm="1">
        <f t="array" ref="R614">MIN(IF((DiscreteStatsTable[GroupByKey]=DiscreteStatsTable[[#This Row],[GroupByKey]]),(DiscreteStatsTable[GroupByKey]=DiscreteStatsTable[[#This Row],[GroupByKey]])*DiscreteStatsTable[Average]))</f>
        <v>0.14863412830584499</v>
      </c>
      <c r="S614" cm="1">
        <f t="array" ref="S614">MAX(IF((DiscreteStatsTable[GroupByKey]=DiscreteStatsTable[[#This Row],[GroupByKey]]),(DiscreteStatsTable[GroupByKey]=DiscreteStatsTable[[#This Row],[GroupByKey]])*DiscreteStatsTable[Average]))</f>
        <v>0.151606291486265</v>
      </c>
      <c r="T614" cm="1">
        <f t="array" ref="T614">MIN(IF((DiscreteStatsTable[GroupByKey]=DiscreteStatsTable[[#This Row],[GroupByKey]]),(DiscreteStatsTable[GroupByKey]=DiscreteStatsTable[[#This Row],[GroupByKey]])*DiscreteStatsTable[Minimum]))</f>
        <v>0.100000577163883</v>
      </c>
      <c r="U614" cm="1">
        <f t="array" ref="U614">MAX(IF((DiscreteStatsTable[GroupByKey]=DiscreteStatsTable[[#This Row],[GroupByKey]]),(DiscreteStatsTable[GroupByKey]=DiscreteStatsTable[[#This Row],[GroupByKey]])*DiscreteStatsTable[Maximum]))</f>
        <v>0.19999993084929499</v>
      </c>
      <c r="V614" cm="1">
        <f t="array" ref="V614">IFERROR(AVERAGE(IF((DiscreteStatsTable[GroupByKey]=DiscreteStatsTable[[#This Row],[GroupByKey]]),(DiscreteStatsTable[GroupByKey]=DiscreteStatsTable[[#This Row],[GroupByKey]])*DiscreteStatsTable[NumberObservations])),0)</f>
        <v>2262.66</v>
      </c>
      <c r="W614">
        <f>IF((DiscreteStatsTable[[#This Row],[RepsRequested]]&gt;1),DiscreteStatsTable[[#This Row],[HalfWidth]],DiscreteStatsTable[[#This Row],[BatchMeansHalfWidth]])</f>
        <v>1.7015423667850204E-4</v>
      </c>
      <c r="X614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131</v>
      </c>
      <c r="C615">
        <v>38</v>
      </c>
      <c r="D615" t="s">
        <v>86</v>
      </c>
      <c r="E615" t="s">
        <v>82</v>
      </c>
      <c r="F615" t="s">
        <v>80</v>
      </c>
      <c r="G615">
        <v>6.9716958707278495E-2</v>
      </c>
      <c r="H615">
        <v>1.33215432238704E-2</v>
      </c>
      <c r="I615">
        <v>0</v>
      </c>
      <c r="J615">
        <v>0.80614505692230398</v>
      </c>
      <c r="K615">
        <v>2261</v>
      </c>
      <c r="L615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1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cm="1">
        <f t="array" ref="N615">IFERROR(AVERAGE(IF((DiscreteStatsTable[GroupByKey]=DiscreteStatsTable[[#This Row],[GroupByKey]]),(DiscreteStatsTable[GroupByKey]=DiscreteStatsTable[[#This Row],[GroupByKey]])*DiscreteStatsTable[Average])),0)</f>
        <v>6.8092291861787557E-2</v>
      </c>
      <c r="O615" cm="1">
        <f t="array" ref="O615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1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15" cm="1">
        <f t="array" ref="R615">MIN(IF((DiscreteStatsTable[GroupByKey]=DiscreteStatsTable[[#This Row],[GroupByKey]]),(DiscreteStatsTable[GroupByKey]=DiscreteStatsTable[[#This Row],[GroupByKey]])*DiscreteStatsTable[Average]))</f>
        <v>5.591228067423E-2</v>
      </c>
      <c r="S615" cm="1">
        <f t="array" ref="S615">MAX(IF((DiscreteStatsTable[GroupByKey]=DiscreteStatsTable[[#This Row],[GroupByKey]]),(DiscreteStatsTable[GroupByKey]=DiscreteStatsTable[[#This Row],[GroupByKey]])*DiscreteStatsTable[Average]))</f>
        <v>7.8817469083508104E-2</v>
      </c>
      <c r="T615" cm="1">
        <f t="array" ref="T615">MIN(IF((DiscreteStatsTable[GroupByKey]=DiscreteStatsTable[[#This Row],[GroupByKey]]),(DiscreteStatsTable[GroupByKey]=DiscreteStatsTable[[#This Row],[GroupByKey]])*DiscreteStatsTable[Minimum]))</f>
        <v>0</v>
      </c>
      <c r="U615" cm="1">
        <f t="array" ref="U615">MAX(IF((DiscreteStatsTable[GroupByKey]=DiscreteStatsTable[[#This Row],[GroupByKey]]),(DiscreteStatsTable[GroupByKey]=DiscreteStatsTable[[#This Row],[GroupByKey]])*DiscreteStatsTable[Maximum]))</f>
        <v>1.2170108122512</v>
      </c>
      <c r="V615" cm="1">
        <f t="array" ref="V615">IFERROR(AVERAGE(IF((DiscreteStatsTable[GroupByKey]=DiscreteStatsTable[[#This Row],[GroupByKey]]),(DiscreteStatsTable[GroupByKey]=DiscreteStatsTable[[#This Row],[GroupByKey]])*DiscreteStatsTable[NumberObservations])),0)</f>
        <v>2262.66</v>
      </c>
      <c r="W615">
        <f>IF((DiscreteStatsTable[[#This Row],[RepsRequested]]&gt;1),DiscreteStatsTable[[#This Row],[HalfWidth]],DiscreteStatsTable[[#This Row],[BatchMeansHalfWidth]])</f>
        <v>1.3221720552995685E-3</v>
      </c>
      <c r="X61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131</v>
      </c>
      <c r="C616">
        <v>39</v>
      </c>
      <c r="D616" t="s">
        <v>86</v>
      </c>
      <c r="E616" t="s">
        <v>79</v>
      </c>
      <c r="F616" t="s">
        <v>80</v>
      </c>
      <c r="G616">
        <v>0.212312945491545</v>
      </c>
      <c r="H616">
        <v>8.1560638626663896E-3</v>
      </c>
      <c r="I616">
        <v>0.10016966190551101</v>
      </c>
      <c r="J616">
        <v>0.70410981700490505</v>
      </c>
      <c r="K616">
        <v>2256</v>
      </c>
      <c r="L616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16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cm="1">
        <f t="array" ref="N616">IFERROR(AVERAGE(IF((DiscreteStatsTable[GroupByKey]=DiscreteStatsTable[[#This Row],[GroupByKey]]),(DiscreteStatsTable[GroupByKey]=DiscreteStatsTable[[#This Row],[GroupByKey]])*DiscreteStatsTable[Average])),0)</f>
        <v>0.21815512979204044</v>
      </c>
      <c r="O616" cm="1">
        <f t="array" ref="O616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16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16" cm="1">
        <f t="array" ref="R616">MIN(IF((DiscreteStatsTable[GroupByKey]=DiscreteStatsTable[[#This Row],[GroupByKey]]),(DiscreteStatsTable[GroupByKey]=DiscreteStatsTable[[#This Row],[GroupByKey]])*DiscreteStatsTable[Average]))</f>
        <v>0.204996218905765</v>
      </c>
      <c r="S616" cm="1">
        <f t="array" ref="S616">MAX(IF((DiscreteStatsTable[GroupByKey]=DiscreteStatsTable[[#This Row],[GroupByKey]]),(DiscreteStatsTable[GroupByKey]=DiscreteStatsTable[[#This Row],[GroupByKey]])*DiscreteStatsTable[Average]))</f>
        <v>0.22907589413377599</v>
      </c>
      <c r="T616" cm="1">
        <f t="array" ref="T616">MIN(IF((DiscreteStatsTable[GroupByKey]=DiscreteStatsTable[[#This Row],[GroupByKey]]),(DiscreteStatsTable[GroupByKey]=DiscreteStatsTable[[#This Row],[GroupByKey]])*DiscreteStatsTable[Minimum]))</f>
        <v>0.100000577163883</v>
      </c>
      <c r="U616" cm="1">
        <f t="array" ref="U616">MAX(IF((DiscreteStatsTable[GroupByKey]=DiscreteStatsTable[[#This Row],[GroupByKey]]),(DiscreteStatsTable[GroupByKey]=DiscreteStatsTable[[#This Row],[GroupByKey]])*DiscreteStatsTable[Maximum]))</f>
        <v>1.41452080991047</v>
      </c>
      <c r="V616" cm="1">
        <f t="array" ref="V616">IFERROR(AVERAGE(IF((DiscreteStatsTable[GroupByKey]=DiscreteStatsTable[[#This Row],[GroupByKey]]),(DiscreteStatsTable[GroupByKey]=DiscreteStatsTable[[#This Row],[GroupByKey]])*DiscreteStatsTable[NumberObservations])),0)</f>
        <v>2262.66</v>
      </c>
      <c r="W616">
        <f>IF((DiscreteStatsTable[[#This Row],[RepsRequested]]&gt;1),DiscreteStatsTable[[#This Row],[HalfWidth]],DiscreteStatsTable[[#This Row],[BatchMeansHalfWidth]])</f>
        <v>1.3927091897695423E-3</v>
      </c>
      <c r="X616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131</v>
      </c>
      <c r="C617">
        <v>39</v>
      </c>
      <c r="D617" t="s">
        <v>86</v>
      </c>
      <c r="E617" t="s">
        <v>81</v>
      </c>
      <c r="F617" t="s">
        <v>80</v>
      </c>
      <c r="G617">
        <v>0.15013620608568101</v>
      </c>
      <c r="H617">
        <v>1.1217203204686001E-3</v>
      </c>
      <c r="I617">
        <v>0.10016966190551101</v>
      </c>
      <c r="J617">
        <v>0.199990388866922</v>
      </c>
      <c r="K617">
        <v>2256</v>
      </c>
      <c r="L617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17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cm="1">
        <f t="array" ref="N617">IFERROR(AVERAGE(IF((DiscreteStatsTable[GroupByKey]=DiscreteStatsTable[[#This Row],[GroupByKey]]),(DiscreteStatsTable[GroupByKey]=DiscreteStatsTable[[#This Row],[GroupByKey]])*DiscreteStatsTable[Average])),0)</f>
        <v>0.15006283793025285</v>
      </c>
      <c r="O617" cm="1">
        <f t="array" ref="O617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17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17" cm="1">
        <f t="array" ref="R617">MIN(IF((DiscreteStatsTable[GroupByKey]=DiscreteStatsTable[[#This Row],[GroupByKey]]),(DiscreteStatsTable[GroupByKey]=DiscreteStatsTable[[#This Row],[GroupByKey]])*DiscreteStatsTable[Average]))</f>
        <v>0.14863412830584499</v>
      </c>
      <c r="S617" cm="1">
        <f t="array" ref="S617">MAX(IF((DiscreteStatsTable[GroupByKey]=DiscreteStatsTable[[#This Row],[GroupByKey]]),(DiscreteStatsTable[GroupByKey]=DiscreteStatsTable[[#This Row],[GroupByKey]])*DiscreteStatsTable[Average]))</f>
        <v>0.151606291486265</v>
      </c>
      <c r="T617" cm="1">
        <f t="array" ref="T617">MIN(IF((DiscreteStatsTable[GroupByKey]=DiscreteStatsTable[[#This Row],[GroupByKey]]),(DiscreteStatsTable[GroupByKey]=DiscreteStatsTable[[#This Row],[GroupByKey]])*DiscreteStatsTable[Minimum]))</f>
        <v>0.100000577163883</v>
      </c>
      <c r="U617" cm="1">
        <f t="array" ref="U617">MAX(IF((DiscreteStatsTable[GroupByKey]=DiscreteStatsTable[[#This Row],[GroupByKey]]),(DiscreteStatsTable[GroupByKey]=DiscreteStatsTable[[#This Row],[GroupByKey]])*DiscreteStatsTable[Maximum]))</f>
        <v>0.19999993084929499</v>
      </c>
      <c r="V617" cm="1">
        <f t="array" ref="V617">IFERROR(AVERAGE(IF((DiscreteStatsTable[GroupByKey]=DiscreteStatsTable[[#This Row],[GroupByKey]]),(DiscreteStatsTable[GroupByKey]=DiscreteStatsTable[[#This Row],[GroupByKey]])*DiscreteStatsTable[NumberObservations])),0)</f>
        <v>2262.66</v>
      </c>
      <c r="W617">
        <f>IF((DiscreteStatsTable[[#This Row],[RepsRequested]]&gt;1),DiscreteStatsTable[[#This Row],[HalfWidth]],DiscreteStatsTable[[#This Row],[BatchMeansHalfWidth]])</f>
        <v>1.7015423667850204E-4</v>
      </c>
      <c r="X617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131</v>
      </c>
      <c r="C618">
        <v>39</v>
      </c>
      <c r="D618" t="s">
        <v>86</v>
      </c>
      <c r="E618" t="s">
        <v>82</v>
      </c>
      <c r="F618" t="s">
        <v>80</v>
      </c>
      <c r="G618">
        <v>6.2176739405864101E-2</v>
      </c>
      <c r="H618">
        <v>7.7345856601585897E-3</v>
      </c>
      <c r="I618">
        <v>0</v>
      </c>
      <c r="J618">
        <v>0.56896884410738802</v>
      </c>
      <c r="K618">
        <v>2256</v>
      </c>
      <c r="L618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18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cm="1">
        <f t="array" ref="N618">IFERROR(AVERAGE(IF((DiscreteStatsTable[GroupByKey]=DiscreteStatsTable[[#This Row],[GroupByKey]]),(DiscreteStatsTable[GroupByKey]=DiscreteStatsTable[[#This Row],[GroupByKey]])*DiscreteStatsTable[Average])),0)</f>
        <v>6.8092291861787557E-2</v>
      </c>
      <c r="O618" cm="1">
        <f t="array" ref="O618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18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18" cm="1">
        <f t="array" ref="R618">MIN(IF((DiscreteStatsTable[GroupByKey]=DiscreteStatsTable[[#This Row],[GroupByKey]]),(DiscreteStatsTable[GroupByKey]=DiscreteStatsTable[[#This Row],[GroupByKey]])*DiscreteStatsTable[Average]))</f>
        <v>5.591228067423E-2</v>
      </c>
      <c r="S618" cm="1">
        <f t="array" ref="S618">MAX(IF((DiscreteStatsTable[GroupByKey]=DiscreteStatsTable[[#This Row],[GroupByKey]]),(DiscreteStatsTable[GroupByKey]=DiscreteStatsTable[[#This Row],[GroupByKey]])*DiscreteStatsTable[Average]))</f>
        <v>7.8817469083508104E-2</v>
      </c>
      <c r="T618" cm="1">
        <f t="array" ref="T618">MIN(IF((DiscreteStatsTable[GroupByKey]=DiscreteStatsTable[[#This Row],[GroupByKey]]),(DiscreteStatsTable[GroupByKey]=DiscreteStatsTable[[#This Row],[GroupByKey]])*DiscreteStatsTable[Minimum]))</f>
        <v>0</v>
      </c>
      <c r="U618" cm="1">
        <f t="array" ref="U618">MAX(IF((DiscreteStatsTable[GroupByKey]=DiscreteStatsTable[[#This Row],[GroupByKey]]),(DiscreteStatsTable[GroupByKey]=DiscreteStatsTable[[#This Row],[GroupByKey]])*DiscreteStatsTable[Maximum]))</f>
        <v>1.2170108122512</v>
      </c>
      <c r="V618" cm="1">
        <f t="array" ref="V618">IFERROR(AVERAGE(IF((DiscreteStatsTable[GroupByKey]=DiscreteStatsTable[[#This Row],[GroupByKey]]),(DiscreteStatsTable[GroupByKey]=DiscreteStatsTable[[#This Row],[GroupByKey]])*DiscreteStatsTable[NumberObservations])),0)</f>
        <v>2262.66</v>
      </c>
      <c r="W618">
        <f>IF((DiscreteStatsTable[[#This Row],[RepsRequested]]&gt;1),DiscreteStatsTable[[#This Row],[HalfWidth]],DiscreteStatsTable[[#This Row],[BatchMeansHalfWidth]])</f>
        <v>1.3221720552995685E-3</v>
      </c>
      <c r="X618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131</v>
      </c>
      <c r="C619">
        <v>40</v>
      </c>
      <c r="D619" t="s">
        <v>86</v>
      </c>
      <c r="E619" t="s">
        <v>79</v>
      </c>
      <c r="F619" t="s">
        <v>80</v>
      </c>
      <c r="G619">
        <v>0.218634182177461</v>
      </c>
      <c r="H619">
        <v>7.8145094913226899E-3</v>
      </c>
      <c r="I619">
        <v>0.100009422842845</v>
      </c>
      <c r="J619">
        <v>1.11878229294047</v>
      </c>
      <c r="K619">
        <v>2256</v>
      </c>
      <c r="L619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19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cm="1">
        <f t="array" ref="N619">IFERROR(AVERAGE(IF((DiscreteStatsTable[GroupByKey]=DiscreteStatsTable[[#This Row],[GroupByKey]]),(DiscreteStatsTable[GroupByKey]=DiscreteStatsTable[[#This Row],[GroupByKey]])*DiscreteStatsTable[Average])),0)</f>
        <v>0.21815512979204044</v>
      </c>
      <c r="O619" cm="1">
        <f t="array" ref="O619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19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19" cm="1">
        <f t="array" ref="R619">MIN(IF((DiscreteStatsTable[GroupByKey]=DiscreteStatsTable[[#This Row],[GroupByKey]]),(DiscreteStatsTable[GroupByKey]=DiscreteStatsTable[[#This Row],[GroupByKey]])*DiscreteStatsTable[Average]))</f>
        <v>0.204996218905765</v>
      </c>
      <c r="S619" cm="1">
        <f t="array" ref="S619">MAX(IF((DiscreteStatsTable[GroupByKey]=DiscreteStatsTable[[#This Row],[GroupByKey]]),(DiscreteStatsTable[GroupByKey]=DiscreteStatsTable[[#This Row],[GroupByKey]])*DiscreteStatsTable[Average]))</f>
        <v>0.22907589413377599</v>
      </c>
      <c r="T619" cm="1">
        <f t="array" ref="T619">MIN(IF((DiscreteStatsTable[GroupByKey]=DiscreteStatsTable[[#This Row],[GroupByKey]]),(DiscreteStatsTable[GroupByKey]=DiscreteStatsTable[[#This Row],[GroupByKey]])*DiscreteStatsTable[Minimum]))</f>
        <v>0.100000577163883</v>
      </c>
      <c r="U619" cm="1">
        <f t="array" ref="U619">MAX(IF((DiscreteStatsTable[GroupByKey]=DiscreteStatsTable[[#This Row],[GroupByKey]]),(DiscreteStatsTable[GroupByKey]=DiscreteStatsTable[[#This Row],[GroupByKey]])*DiscreteStatsTable[Maximum]))</f>
        <v>1.41452080991047</v>
      </c>
      <c r="V619" cm="1">
        <f t="array" ref="V619">IFERROR(AVERAGE(IF((DiscreteStatsTable[GroupByKey]=DiscreteStatsTable[[#This Row],[GroupByKey]]),(DiscreteStatsTable[GroupByKey]=DiscreteStatsTable[[#This Row],[GroupByKey]])*DiscreteStatsTable[NumberObservations])),0)</f>
        <v>2262.66</v>
      </c>
      <c r="W619">
        <f>IF((DiscreteStatsTable[[#This Row],[RepsRequested]]&gt;1),DiscreteStatsTable[[#This Row],[HalfWidth]],DiscreteStatsTable[[#This Row],[BatchMeansHalfWidth]])</f>
        <v>1.3927091897695423E-3</v>
      </c>
      <c r="X619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131</v>
      </c>
      <c r="C620">
        <v>40</v>
      </c>
      <c r="D620" t="s">
        <v>86</v>
      </c>
      <c r="E620" t="s">
        <v>81</v>
      </c>
      <c r="F620" t="s">
        <v>80</v>
      </c>
      <c r="G620">
        <v>0.15068448063644899</v>
      </c>
      <c r="H620">
        <v>1.0394039543597899E-3</v>
      </c>
      <c r="I620">
        <v>0.100009422842845</v>
      </c>
      <c r="J620">
        <v>0.19990123561103701</v>
      </c>
      <c r="K620">
        <v>2256</v>
      </c>
      <c r="L620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20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cm="1">
        <f t="array" ref="N620">IFERROR(AVERAGE(IF((DiscreteStatsTable[GroupByKey]=DiscreteStatsTable[[#This Row],[GroupByKey]]),(DiscreteStatsTable[GroupByKey]=DiscreteStatsTable[[#This Row],[GroupByKey]])*DiscreteStatsTable[Average])),0)</f>
        <v>0.15006283793025285</v>
      </c>
      <c r="O620" cm="1">
        <f t="array" ref="O620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20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20" cm="1">
        <f t="array" ref="R620">MIN(IF((DiscreteStatsTable[GroupByKey]=DiscreteStatsTable[[#This Row],[GroupByKey]]),(DiscreteStatsTable[GroupByKey]=DiscreteStatsTable[[#This Row],[GroupByKey]])*DiscreteStatsTable[Average]))</f>
        <v>0.14863412830584499</v>
      </c>
      <c r="S620" cm="1">
        <f t="array" ref="S620">MAX(IF((DiscreteStatsTable[GroupByKey]=DiscreteStatsTable[[#This Row],[GroupByKey]]),(DiscreteStatsTable[GroupByKey]=DiscreteStatsTable[[#This Row],[GroupByKey]])*DiscreteStatsTable[Average]))</f>
        <v>0.151606291486265</v>
      </c>
      <c r="T620" cm="1">
        <f t="array" ref="T620">MIN(IF((DiscreteStatsTable[GroupByKey]=DiscreteStatsTable[[#This Row],[GroupByKey]]),(DiscreteStatsTable[GroupByKey]=DiscreteStatsTable[[#This Row],[GroupByKey]])*DiscreteStatsTable[Minimum]))</f>
        <v>0.100000577163883</v>
      </c>
      <c r="U620" cm="1">
        <f t="array" ref="U620">MAX(IF((DiscreteStatsTable[GroupByKey]=DiscreteStatsTable[[#This Row],[GroupByKey]]),(DiscreteStatsTable[GroupByKey]=DiscreteStatsTable[[#This Row],[GroupByKey]])*DiscreteStatsTable[Maximum]))</f>
        <v>0.19999993084929499</v>
      </c>
      <c r="V620" cm="1">
        <f t="array" ref="V620">IFERROR(AVERAGE(IF((DiscreteStatsTable[GroupByKey]=DiscreteStatsTable[[#This Row],[GroupByKey]]),(DiscreteStatsTable[GroupByKey]=DiscreteStatsTable[[#This Row],[GroupByKey]])*DiscreteStatsTable[NumberObservations])),0)</f>
        <v>2262.66</v>
      </c>
      <c r="W620">
        <f>IF((DiscreteStatsTable[[#This Row],[RepsRequested]]&gt;1),DiscreteStatsTable[[#This Row],[HalfWidth]],DiscreteStatsTable[[#This Row],[BatchMeansHalfWidth]])</f>
        <v>1.7015423667850204E-4</v>
      </c>
      <c r="X620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131</v>
      </c>
      <c r="C621">
        <v>40</v>
      </c>
      <c r="D621" t="s">
        <v>86</v>
      </c>
      <c r="E621" t="s">
        <v>82</v>
      </c>
      <c r="F621" t="s">
        <v>80</v>
      </c>
      <c r="G621">
        <v>6.7949701541012902E-2</v>
      </c>
      <c r="H621">
        <v>7.4079095647682997E-3</v>
      </c>
      <c r="I621">
        <v>0</v>
      </c>
      <c r="J621">
        <v>0.98661305285054401</v>
      </c>
      <c r="K621">
        <v>2256</v>
      </c>
      <c r="L621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21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cm="1">
        <f t="array" ref="N621">IFERROR(AVERAGE(IF((DiscreteStatsTable[GroupByKey]=DiscreteStatsTable[[#This Row],[GroupByKey]]),(DiscreteStatsTable[GroupByKey]=DiscreteStatsTable[[#This Row],[GroupByKey]])*DiscreteStatsTable[Average])),0)</f>
        <v>6.8092291861787557E-2</v>
      </c>
      <c r="O621" cm="1">
        <f t="array" ref="O621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21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21" cm="1">
        <f t="array" ref="R621">MIN(IF((DiscreteStatsTable[GroupByKey]=DiscreteStatsTable[[#This Row],[GroupByKey]]),(DiscreteStatsTable[GroupByKey]=DiscreteStatsTable[[#This Row],[GroupByKey]])*DiscreteStatsTable[Average]))</f>
        <v>5.591228067423E-2</v>
      </c>
      <c r="S621" cm="1">
        <f t="array" ref="S621">MAX(IF((DiscreteStatsTable[GroupByKey]=DiscreteStatsTable[[#This Row],[GroupByKey]]),(DiscreteStatsTable[GroupByKey]=DiscreteStatsTable[[#This Row],[GroupByKey]])*DiscreteStatsTable[Average]))</f>
        <v>7.8817469083508104E-2</v>
      </c>
      <c r="T621" cm="1">
        <f t="array" ref="T621">MIN(IF((DiscreteStatsTable[GroupByKey]=DiscreteStatsTable[[#This Row],[GroupByKey]]),(DiscreteStatsTable[GroupByKey]=DiscreteStatsTable[[#This Row],[GroupByKey]])*DiscreteStatsTable[Minimum]))</f>
        <v>0</v>
      </c>
      <c r="U621" cm="1">
        <f t="array" ref="U621">MAX(IF((DiscreteStatsTable[GroupByKey]=DiscreteStatsTable[[#This Row],[GroupByKey]]),(DiscreteStatsTable[GroupByKey]=DiscreteStatsTable[[#This Row],[GroupByKey]])*DiscreteStatsTable[Maximum]))</f>
        <v>1.2170108122512</v>
      </c>
      <c r="V621" cm="1">
        <f t="array" ref="V621">IFERROR(AVERAGE(IF((DiscreteStatsTable[GroupByKey]=DiscreteStatsTable[[#This Row],[GroupByKey]]),(DiscreteStatsTable[GroupByKey]=DiscreteStatsTable[[#This Row],[GroupByKey]])*DiscreteStatsTable[NumberObservations])),0)</f>
        <v>2262.66</v>
      </c>
      <c r="W621">
        <f>IF((DiscreteStatsTable[[#This Row],[RepsRequested]]&gt;1),DiscreteStatsTable[[#This Row],[HalfWidth]],DiscreteStatsTable[[#This Row],[BatchMeansHalfWidth]])</f>
        <v>1.3221720552995685E-3</v>
      </c>
      <c r="X621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131</v>
      </c>
      <c r="C622">
        <v>41</v>
      </c>
      <c r="D622" t="s">
        <v>86</v>
      </c>
      <c r="E622" t="s">
        <v>79</v>
      </c>
      <c r="F622" t="s">
        <v>80</v>
      </c>
      <c r="G622">
        <v>0.21083904902654499</v>
      </c>
      <c r="H622">
        <v>7.6057423834077504E-3</v>
      </c>
      <c r="I622">
        <v>0.10001862947922301</v>
      </c>
      <c r="J622">
        <v>1.00960350345099</v>
      </c>
      <c r="K622">
        <v>2211</v>
      </c>
      <c r="L622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22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cm="1">
        <f t="array" ref="N622">IFERROR(AVERAGE(IF((DiscreteStatsTable[GroupByKey]=DiscreteStatsTable[[#This Row],[GroupByKey]]),(DiscreteStatsTable[GroupByKey]=DiscreteStatsTable[[#This Row],[GroupByKey]])*DiscreteStatsTable[Average])),0)</f>
        <v>0.21815512979204044</v>
      </c>
      <c r="O622" cm="1">
        <f t="array" ref="O622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22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22" cm="1">
        <f t="array" ref="R622">MIN(IF((DiscreteStatsTable[GroupByKey]=DiscreteStatsTable[[#This Row],[GroupByKey]]),(DiscreteStatsTable[GroupByKey]=DiscreteStatsTable[[#This Row],[GroupByKey]])*DiscreteStatsTable[Average]))</f>
        <v>0.204996218905765</v>
      </c>
      <c r="S622" cm="1">
        <f t="array" ref="S622">MAX(IF((DiscreteStatsTable[GroupByKey]=DiscreteStatsTable[[#This Row],[GroupByKey]]),(DiscreteStatsTable[GroupByKey]=DiscreteStatsTable[[#This Row],[GroupByKey]])*DiscreteStatsTable[Average]))</f>
        <v>0.22907589413377599</v>
      </c>
      <c r="T622" cm="1">
        <f t="array" ref="T622">MIN(IF((DiscreteStatsTable[GroupByKey]=DiscreteStatsTable[[#This Row],[GroupByKey]]),(DiscreteStatsTable[GroupByKey]=DiscreteStatsTable[[#This Row],[GroupByKey]])*DiscreteStatsTable[Minimum]))</f>
        <v>0.100000577163883</v>
      </c>
      <c r="U622" cm="1">
        <f t="array" ref="U622">MAX(IF((DiscreteStatsTable[GroupByKey]=DiscreteStatsTable[[#This Row],[GroupByKey]]),(DiscreteStatsTable[GroupByKey]=DiscreteStatsTable[[#This Row],[GroupByKey]])*DiscreteStatsTable[Maximum]))</f>
        <v>1.41452080991047</v>
      </c>
      <c r="V622" cm="1">
        <f t="array" ref="V622">IFERROR(AVERAGE(IF((DiscreteStatsTable[GroupByKey]=DiscreteStatsTable[[#This Row],[GroupByKey]]),(DiscreteStatsTable[GroupByKey]=DiscreteStatsTable[[#This Row],[GroupByKey]])*DiscreteStatsTable[NumberObservations])),0)</f>
        <v>2262.66</v>
      </c>
      <c r="W622">
        <f>IF((DiscreteStatsTable[[#This Row],[RepsRequested]]&gt;1),DiscreteStatsTable[[#This Row],[HalfWidth]],DiscreteStatsTable[[#This Row],[BatchMeansHalfWidth]])</f>
        <v>1.3927091897695423E-3</v>
      </c>
      <c r="X622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131</v>
      </c>
      <c r="C623">
        <v>41</v>
      </c>
      <c r="D623" t="s">
        <v>86</v>
      </c>
      <c r="E623" t="s">
        <v>81</v>
      </c>
      <c r="F623" t="s">
        <v>80</v>
      </c>
      <c r="G623">
        <v>0.15042320566911399</v>
      </c>
      <c r="H623">
        <v>1.25506778011057E-3</v>
      </c>
      <c r="I623">
        <v>0.10001862947922301</v>
      </c>
      <c r="J623">
        <v>0.19999569018815999</v>
      </c>
      <c r="K623">
        <v>2211</v>
      </c>
      <c r="L623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23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cm="1">
        <f t="array" ref="N623">IFERROR(AVERAGE(IF((DiscreteStatsTable[GroupByKey]=DiscreteStatsTable[[#This Row],[GroupByKey]]),(DiscreteStatsTable[GroupByKey]=DiscreteStatsTable[[#This Row],[GroupByKey]])*DiscreteStatsTable[Average])),0)</f>
        <v>0.15006283793025285</v>
      </c>
      <c r="O623" cm="1">
        <f t="array" ref="O623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23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23" cm="1">
        <f t="array" ref="R623">MIN(IF((DiscreteStatsTable[GroupByKey]=DiscreteStatsTable[[#This Row],[GroupByKey]]),(DiscreteStatsTable[GroupByKey]=DiscreteStatsTable[[#This Row],[GroupByKey]])*DiscreteStatsTable[Average]))</f>
        <v>0.14863412830584499</v>
      </c>
      <c r="S623" cm="1">
        <f t="array" ref="S623">MAX(IF((DiscreteStatsTable[GroupByKey]=DiscreteStatsTable[[#This Row],[GroupByKey]]),(DiscreteStatsTable[GroupByKey]=DiscreteStatsTable[[#This Row],[GroupByKey]])*DiscreteStatsTable[Average]))</f>
        <v>0.151606291486265</v>
      </c>
      <c r="T623" cm="1">
        <f t="array" ref="T623">MIN(IF((DiscreteStatsTable[GroupByKey]=DiscreteStatsTable[[#This Row],[GroupByKey]]),(DiscreteStatsTable[GroupByKey]=DiscreteStatsTable[[#This Row],[GroupByKey]])*DiscreteStatsTable[Minimum]))</f>
        <v>0.100000577163883</v>
      </c>
      <c r="U623" cm="1">
        <f t="array" ref="U623">MAX(IF((DiscreteStatsTable[GroupByKey]=DiscreteStatsTable[[#This Row],[GroupByKey]]),(DiscreteStatsTable[GroupByKey]=DiscreteStatsTable[[#This Row],[GroupByKey]])*DiscreteStatsTable[Maximum]))</f>
        <v>0.19999993084929499</v>
      </c>
      <c r="V623" cm="1">
        <f t="array" ref="V623">IFERROR(AVERAGE(IF((DiscreteStatsTable[GroupByKey]=DiscreteStatsTable[[#This Row],[GroupByKey]]),(DiscreteStatsTable[GroupByKey]=DiscreteStatsTable[[#This Row],[GroupByKey]])*DiscreteStatsTable[NumberObservations])),0)</f>
        <v>2262.66</v>
      </c>
      <c r="W623">
        <f>IF((DiscreteStatsTable[[#This Row],[RepsRequested]]&gt;1),DiscreteStatsTable[[#This Row],[HalfWidth]],DiscreteStatsTable[[#This Row],[BatchMeansHalfWidth]])</f>
        <v>1.7015423667850204E-4</v>
      </c>
      <c r="X623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131</v>
      </c>
      <c r="C624">
        <v>41</v>
      </c>
      <c r="D624" t="s">
        <v>86</v>
      </c>
      <c r="E624" t="s">
        <v>82</v>
      </c>
      <c r="F624" t="s">
        <v>80</v>
      </c>
      <c r="G624">
        <v>6.0415843357431699E-2</v>
      </c>
      <c r="H624">
        <v>3E+20</v>
      </c>
      <c r="I624">
        <v>0</v>
      </c>
      <c r="J624">
        <v>0.84073249498726499</v>
      </c>
      <c r="K624">
        <v>2211</v>
      </c>
      <c r="L624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24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cm="1">
        <f t="array" ref="N624">IFERROR(AVERAGE(IF((DiscreteStatsTable[GroupByKey]=DiscreteStatsTable[[#This Row],[GroupByKey]]),(DiscreteStatsTable[GroupByKey]=DiscreteStatsTable[[#This Row],[GroupByKey]])*DiscreteStatsTable[Average])),0)</f>
        <v>6.8092291861787557E-2</v>
      </c>
      <c r="O624" cm="1">
        <f t="array" ref="O624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24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24" cm="1">
        <f t="array" ref="R624">MIN(IF((DiscreteStatsTable[GroupByKey]=DiscreteStatsTable[[#This Row],[GroupByKey]]),(DiscreteStatsTable[GroupByKey]=DiscreteStatsTable[[#This Row],[GroupByKey]])*DiscreteStatsTable[Average]))</f>
        <v>5.591228067423E-2</v>
      </c>
      <c r="S624" cm="1">
        <f t="array" ref="S624">MAX(IF((DiscreteStatsTable[GroupByKey]=DiscreteStatsTable[[#This Row],[GroupByKey]]),(DiscreteStatsTable[GroupByKey]=DiscreteStatsTable[[#This Row],[GroupByKey]])*DiscreteStatsTable[Average]))</f>
        <v>7.8817469083508104E-2</v>
      </c>
      <c r="T624" cm="1">
        <f t="array" ref="T624">MIN(IF((DiscreteStatsTable[GroupByKey]=DiscreteStatsTable[[#This Row],[GroupByKey]]),(DiscreteStatsTable[GroupByKey]=DiscreteStatsTable[[#This Row],[GroupByKey]])*DiscreteStatsTable[Minimum]))</f>
        <v>0</v>
      </c>
      <c r="U624" cm="1">
        <f t="array" ref="U624">MAX(IF((DiscreteStatsTable[GroupByKey]=DiscreteStatsTable[[#This Row],[GroupByKey]]),(DiscreteStatsTable[GroupByKey]=DiscreteStatsTable[[#This Row],[GroupByKey]])*DiscreteStatsTable[Maximum]))</f>
        <v>1.2170108122512</v>
      </c>
      <c r="V624" cm="1">
        <f t="array" ref="V624">IFERROR(AVERAGE(IF((DiscreteStatsTable[GroupByKey]=DiscreteStatsTable[[#This Row],[GroupByKey]]),(DiscreteStatsTable[GroupByKey]=DiscreteStatsTable[[#This Row],[GroupByKey]])*DiscreteStatsTable[NumberObservations])),0)</f>
        <v>2262.66</v>
      </c>
      <c r="W624">
        <f>IF((DiscreteStatsTable[[#This Row],[RepsRequested]]&gt;1),DiscreteStatsTable[[#This Row],[HalfWidth]],DiscreteStatsTable[[#This Row],[BatchMeansHalfWidth]])</f>
        <v>1.3221720552995685E-3</v>
      </c>
      <c r="X624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131</v>
      </c>
      <c r="C625">
        <v>42</v>
      </c>
      <c r="D625" t="s">
        <v>86</v>
      </c>
      <c r="E625" t="s">
        <v>79</v>
      </c>
      <c r="F625" t="s">
        <v>80</v>
      </c>
      <c r="G625">
        <v>0.222937273380413</v>
      </c>
      <c r="H625">
        <v>1.25972080757519E-2</v>
      </c>
      <c r="I625">
        <v>0.100042043651626</v>
      </c>
      <c r="J625">
        <v>0.972517091851273</v>
      </c>
      <c r="K625">
        <v>2285</v>
      </c>
      <c r="L625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2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cm="1">
        <f t="array" ref="N625">IFERROR(AVERAGE(IF((DiscreteStatsTable[GroupByKey]=DiscreteStatsTable[[#This Row],[GroupByKey]]),(DiscreteStatsTable[GroupByKey]=DiscreteStatsTable[[#This Row],[GroupByKey]])*DiscreteStatsTable[Average])),0)</f>
        <v>0.21815512979204044</v>
      </c>
      <c r="O625" cm="1">
        <f t="array" ref="O625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2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25" cm="1">
        <f t="array" ref="R625">MIN(IF((DiscreteStatsTable[GroupByKey]=DiscreteStatsTable[[#This Row],[GroupByKey]]),(DiscreteStatsTable[GroupByKey]=DiscreteStatsTable[[#This Row],[GroupByKey]])*DiscreteStatsTable[Average]))</f>
        <v>0.204996218905765</v>
      </c>
      <c r="S625" cm="1">
        <f t="array" ref="S625">MAX(IF((DiscreteStatsTable[GroupByKey]=DiscreteStatsTable[[#This Row],[GroupByKey]]),(DiscreteStatsTable[GroupByKey]=DiscreteStatsTable[[#This Row],[GroupByKey]])*DiscreteStatsTable[Average]))</f>
        <v>0.22907589413377599</v>
      </c>
      <c r="T625" cm="1">
        <f t="array" ref="T625">MIN(IF((DiscreteStatsTable[GroupByKey]=DiscreteStatsTable[[#This Row],[GroupByKey]]),(DiscreteStatsTable[GroupByKey]=DiscreteStatsTable[[#This Row],[GroupByKey]])*DiscreteStatsTable[Minimum]))</f>
        <v>0.100000577163883</v>
      </c>
      <c r="U625" cm="1">
        <f t="array" ref="U625">MAX(IF((DiscreteStatsTable[GroupByKey]=DiscreteStatsTable[[#This Row],[GroupByKey]]),(DiscreteStatsTable[GroupByKey]=DiscreteStatsTable[[#This Row],[GroupByKey]])*DiscreteStatsTable[Maximum]))</f>
        <v>1.41452080991047</v>
      </c>
      <c r="V625" cm="1">
        <f t="array" ref="V625">IFERROR(AVERAGE(IF((DiscreteStatsTable[GroupByKey]=DiscreteStatsTable[[#This Row],[GroupByKey]]),(DiscreteStatsTable[GroupByKey]=DiscreteStatsTable[[#This Row],[GroupByKey]])*DiscreteStatsTable[NumberObservations])),0)</f>
        <v>2262.66</v>
      </c>
      <c r="W625">
        <f>IF((DiscreteStatsTable[[#This Row],[RepsRequested]]&gt;1),DiscreteStatsTable[[#This Row],[HalfWidth]],DiscreteStatsTable[[#This Row],[BatchMeansHalfWidth]])</f>
        <v>1.3927091897695423E-3</v>
      </c>
      <c r="X62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131</v>
      </c>
      <c r="C626">
        <v>42</v>
      </c>
      <c r="D626" t="s">
        <v>86</v>
      </c>
      <c r="E626" t="s">
        <v>81</v>
      </c>
      <c r="F626" t="s">
        <v>80</v>
      </c>
      <c r="G626">
        <v>0.14992436721177399</v>
      </c>
      <c r="H626">
        <v>3E+20</v>
      </c>
      <c r="I626">
        <v>0.100037630998486</v>
      </c>
      <c r="J626">
        <v>0.19998248529071799</v>
      </c>
      <c r="K626">
        <v>2285</v>
      </c>
      <c r="L626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26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cm="1">
        <f t="array" ref="N626">IFERROR(AVERAGE(IF((DiscreteStatsTable[GroupByKey]=DiscreteStatsTable[[#This Row],[GroupByKey]]),(DiscreteStatsTable[GroupByKey]=DiscreteStatsTable[[#This Row],[GroupByKey]])*DiscreteStatsTable[Average])),0)</f>
        <v>0.15006283793025285</v>
      </c>
      <c r="O626" cm="1">
        <f t="array" ref="O626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26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26" cm="1">
        <f t="array" ref="R626">MIN(IF((DiscreteStatsTable[GroupByKey]=DiscreteStatsTable[[#This Row],[GroupByKey]]),(DiscreteStatsTable[GroupByKey]=DiscreteStatsTable[[#This Row],[GroupByKey]])*DiscreteStatsTable[Average]))</f>
        <v>0.14863412830584499</v>
      </c>
      <c r="S626" cm="1">
        <f t="array" ref="S626">MAX(IF((DiscreteStatsTable[GroupByKey]=DiscreteStatsTable[[#This Row],[GroupByKey]]),(DiscreteStatsTable[GroupByKey]=DiscreteStatsTable[[#This Row],[GroupByKey]])*DiscreteStatsTable[Average]))</f>
        <v>0.151606291486265</v>
      </c>
      <c r="T626" cm="1">
        <f t="array" ref="T626">MIN(IF((DiscreteStatsTable[GroupByKey]=DiscreteStatsTable[[#This Row],[GroupByKey]]),(DiscreteStatsTable[GroupByKey]=DiscreteStatsTable[[#This Row],[GroupByKey]])*DiscreteStatsTable[Minimum]))</f>
        <v>0.100000577163883</v>
      </c>
      <c r="U626" cm="1">
        <f t="array" ref="U626">MAX(IF((DiscreteStatsTable[GroupByKey]=DiscreteStatsTable[[#This Row],[GroupByKey]]),(DiscreteStatsTable[GroupByKey]=DiscreteStatsTable[[#This Row],[GroupByKey]])*DiscreteStatsTable[Maximum]))</f>
        <v>0.19999993084929499</v>
      </c>
      <c r="V626" cm="1">
        <f t="array" ref="V626">IFERROR(AVERAGE(IF((DiscreteStatsTable[GroupByKey]=DiscreteStatsTable[[#This Row],[GroupByKey]]),(DiscreteStatsTable[GroupByKey]=DiscreteStatsTable[[#This Row],[GroupByKey]])*DiscreteStatsTable[NumberObservations])),0)</f>
        <v>2262.66</v>
      </c>
      <c r="W626">
        <f>IF((DiscreteStatsTable[[#This Row],[RepsRequested]]&gt;1),DiscreteStatsTable[[#This Row],[HalfWidth]],DiscreteStatsTable[[#This Row],[BatchMeansHalfWidth]])</f>
        <v>1.7015423667850204E-4</v>
      </c>
      <c r="X626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131</v>
      </c>
      <c r="C627">
        <v>42</v>
      </c>
      <c r="D627" t="s">
        <v>86</v>
      </c>
      <c r="E627" t="s">
        <v>82</v>
      </c>
      <c r="F627" t="s">
        <v>80</v>
      </c>
      <c r="G627">
        <v>7.30129061686388E-2</v>
      </c>
      <c r="H627">
        <v>1.2616265455194699E-2</v>
      </c>
      <c r="I627">
        <v>0</v>
      </c>
      <c r="J627">
        <v>0.84432274578364297</v>
      </c>
      <c r="K627">
        <v>2285</v>
      </c>
      <c r="L627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27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cm="1">
        <f t="array" ref="N627">IFERROR(AVERAGE(IF((DiscreteStatsTable[GroupByKey]=DiscreteStatsTable[[#This Row],[GroupByKey]]),(DiscreteStatsTable[GroupByKey]=DiscreteStatsTable[[#This Row],[GroupByKey]])*DiscreteStatsTable[Average])),0)</f>
        <v>6.8092291861787557E-2</v>
      </c>
      <c r="O627" cm="1">
        <f t="array" ref="O627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27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27" cm="1">
        <f t="array" ref="R627">MIN(IF((DiscreteStatsTable[GroupByKey]=DiscreteStatsTable[[#This Row],[GroupByKey]]),(DiscreteStatsTable[GroupByKey]=DiscreteStatsTable[[#This Row],[GroupByKey]])*DiscreteStatsTable[Average]))</f>
        <v>5.591228067423E-2</v>
      </c>
      <c r="S627" cm="1">
        <f t="array" ref="S627">MAX(IF((DiscreteStatsTable[GroupByKey]=DiscreteStatsTable[[#This Row],[GroupByKey]]),(DiscreteStatsTable[GroupByKey]=DiscreteStatsTable[[#This Row],[GroupByKey]])*DiscreteStatsTable[Average]))</f>
        <v>7.8817469083508104E-2</v>
      </c>
      <c r="T627" cm="1">
        <f t="array" ref="T627">MIN(IF((DiscreteStatsTable[GroupByKey]=DiscreteStatsTable[[#This Row],[GroupByKey]]),(DiscreteStatsTable[GroupByKey]=DiscreteStatsTable[[#This Row],[GroupByKey]])*DiscreteStatsTable[Minimum]))</f>
        <v>0</v>
      </c>
      <c r="U627" cm="1">
        <f t="array" ref="U627">MAX(IF((DiscreteStatsTable[GroupByKey]=DiscreteStatsTable[[#This Row],[GroupByKey]]),(DiscreteStatsTable[GroupByKey]=DiscreteStatsTable[[#This Row],[GroupByKey]])*DiscreteStatsTable[Maximum]))</f>
        <v>1.2170108122512</v>
      </c>
      <c r="V627" cm="1">
        <f t="array" ref="V627">IFERROR(AVERAGE(IF((DiscreteStatsTable[GroupByKey]=DiscreteStatsTable[[#This Row],[GroupByKey]]),(DiscreteStatsTable[GroupByKey]=DiscreteStatsTable[[#This Row],[GroupByKey]])*DiscreteStatsTable[NumberObservations])),0)</f>
        <v>2262.66</v>
      </c>
      <c r="W627">
        <f>IF((DiscreteStatsTable[[#This Row],[RepsRequested]]&gt;1),DiscreteStatsTable[[#This Row],[HalfWidth]],DiscreteStatsTable[[#This Row],[BatchMeansHalfWidth]])</f>
        <v>1.3221720552995685E-3</v>
      </c>
      <c r="X627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131</v>
      </c>
      <c r="C628">
        <v>43</v>
      </c>
      <c r="D628" t="s">
        <v>86</v>
      </c>
      <c r="E628" t="s">
        <v>79</v>
      </c>
      <c r="F628" t="s">
        <v>80</v>
      </c>
      <c r="G628">
        <v>0.21350576258336501</v>
      </c>
      <c r="H628">
        <v>7.28552340756616E-3</v>
      </c>
      <c r="I628">
        <v>0.100044864790831</v>
      </c>
      <c r="J628">
        <v>0.76316421447518201</v>
      </c>
      <c r="K628">
        <v>2226</v>
      </c>
      <c r="L628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28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cm="1">
        <f t="array" ref="N628">IFERROR(AVERAGE(IF((DiscreteStatsTable[GroupByKey]=DiscreteStatsTable[[#This Row],[GroupByKey]]),(DiscreteStatsTable[GroupByKey]=DiscreteStatsTable[[#This Row],[GroupByKey]])*DiscreteStatsTable[Average])),0)</f>
        <v>0.21815512979204044</v>
      </c>
      <c r="O628" cm="1">
        <f t="array" ref="O628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28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28" cm="1">
        <f t="array" ref="R628">MIN(IF((DiscreteStatsTable[GroupByKey]=DiscreteStatsTable[[#This Row],[GroupByKey]]),(DiscreteStatsTable[GroupByKey]=DiscreteStatsTable[[#This Row],[GroupByKey]])*DiscreteStatsTable[Average]))</f>
        <v>0.204996218905765</v>
      </c>
      <c r="S628" cm="1">
        <f t="array" ref="S628">MAX(IF((DiscreteStatsTable[GroupByKey]=DiscreteStatsTable[[#This Row],[GroupByKey]]),(DiscreteStatsTable[GroupByKey]=DiscreteStatsTable[[#This Row],[GroupByKey]])*DiscreteStatsTable[Average]))</f>
        <v>0.22907589413377599</v>
      </c>
      <c r="T628" cm="1">
        <f t="array" ref="T628">MIN(IF((DiscreteStatsTable[GroupByKey]=DiscreteStatsTable[[#This Row],[GroupByKey]]),(DiscreteStatsTable[GroupByKey]=DiscreteStatsTable[[#This Row],[GroupByKey]])*DiscreteStatsTable[Minimum]))</f>
        <v>0.100000577163883</v>
      </c>
      <c r="U628" cm="1">
        <f t="array" ref="U628">MAX(IF((DiscreteStatsTable[GroupByKey]=DiscreteStatsTable[[#This Row],[GroupByKey]]),(DiscreteStatsTable[GroupByKey]=DiscreteStatsTable[[#This Row],[GroupByKey]])*DiscreteStatsTable[Maximum]))</f>
        <v>1.41452080991047</v>
      </c>
      <c r="V628" cm="1">
        <f t="array" ref="V628">IFERROR(AVERAGE(IF((DiscreteStatsTable[GroupByKey]=DiscreteStatsTable[[#This Row],[GroupByKey]]),(DiscreteStatsTable[GroupByKey]=DiscreteStatsTable[[#This Row],[GroupByKey]])*DiscreteStatsTable[NumberObservations])),0)</f>
        <v>2262.66</v>
      </c>
      <c r="W628">
        <f>IF((DiscreteStatsTable[[#This Row],[RepsRequested]]&gt;1),DiscreteStatsTable[[#This Row],[HalfWidth]],DiscreteStatsTable[[#This Row],[BatchMeansHalfWidth]])</f>
        <v>1.3927091897695423E-3</v>
      </c>
      <c r="X628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131</v>
      </c>
      <c r="C629">
        <v>43</v>
      </c>
      <c r="D629" t="s">
        <v>86</v>
      </c>
      <c r="E629" t="s">
        <v>81</v>
      </c>
      <c r="F629" t="s">
        <v>80</v>
      </c>
      <c r="G629">
        <v>0.150379919396228</v>
      </c>
      <c r="H629">
        <v>3E+20</v>
      </c>
      <c r="I629">
        <v>0.100044864790831</v>
      </c>
      <c r="J629">
        <v>0.199985727899957</v>
      </c>
      <c r="K629">
        <v>2226</v>
      </c>
      <c r="L629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29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cm="1">
        <f t="array" ref="N629">IFERROR(AVERAGE(IF((DiscreteStatsTable[GroupByKey]=DiscreteStatsTable[[#This Row],[GroupByKey]]),(DiscreteStatsTable[GroupByKey]=DiscreteStatsTable[[#This Row],[GroupByKey]])*DiscreteStatsTable[Average])),0)</f>
        <v>0.15006283793025285</v>
      </c>
      <c r="O629" cm="1">
        <f t="array" ref="O629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29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29" cm="1">
        <f t="array" ref="R629">MIN(IF((DiscreteStatsTable[GroupByKey]=DiscreteStatsTable[[#This Row],[GroupByKey]]),(DiscreteStatsTable[GroupByKey]=DiscreteStatsTable[[#This Row],[GroupByKey]])*DiscreteStatsTable[Average]))</f>
        <v>0.14863412830584499</v>
      </c>
      <c r="S629" cm="1">
        <f t="array" ref="S629">MAX(IF((DiscreteStatsTable[GroupByKey]=DiscreteStatsTable[[#This Row],[GroupByKey]]),(DiscreteStatsTable[GroupByKey]=DiscreteStatsTable[[#This Row],[GroupByKey]])*DiscreteStatsTable[Average]))</f>
        <v>0.151606291486265</v>
      </c>
      <c r="T629" cm="1">
        <f t="array" ref="T629">MIN(IF((DiscreteStatsTable[GroupByKey]=DiscreteStatsTable[[#This Row],[GroupByKey]]),(DiscreteStatsTable[GroupByKey]=DiscreteStatsTable[[#This Row],[GroupByKey]])*DiscreteStatsTable[Minimum]))</f>
        <v>0.100000577163883</v>
      </c>
      <c r="U629" cm="1">
        <f t="array" ref="U629">MAX(IF((DiscreteStatsTable[GroupByKey]=DiscreteStatsTable[[#This Row],[GroupByKey]]),(DiscreteStatsTable[GroupByKey]=DiscreteStatsTable[[#This Row],[GroupByKey]])*DiscreteStatsTable[Maximum]))</f>
        <v>0.19999993084929499</v>
      </c>
      <c r="V629" cm="1">
        <f t="array" ref="V629">IFERROR(AVERAGE(IF((DiscreteStatsTable[GroupByKey]=DiscreteStatsTable[[#This Row],[GroupByKey]]),(DiscreteStatsTable[GroupByKey]=DiscreteStatsTable[[#This Row],[GroupByKey]])*DiscreteStatsTable[NumberObservations])),0)</f>
        <v>2262.66</v>
      </c>
      <c r="W629">
        <f>IF((DiscreteStatsTable[[#This Row],[RepsRequested]]&gt;1),DiscreteStatsTable[[#This Row],[HalfWidth]],DiscreteStatsTable[[#This Row],[BatchMeansHalfWidth]])</f>
        <v>1.7015423667850204E-4</v>
      </c>
      <c r="X629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131</v>
      </c>
      <c r="C630">
        <v>43</v>
      </c>
      <c r="D630" t="s">
        <v>86</v>
      </c>
      <c r="E630" t="s">
        <v>82</v>
      </c>
      <c r="F630" t="s">
        <v>80</v>
      </c>
      <c r="G630">
        <v>6.3125843187137098E-2</v>
      </c>
      <c r="H630">
        <v>7.0902686894228802E-3</v>
      </c>
      <c r="I630">
        <v>0</v>
      </c>
      <c r="J630">
        <v>0.66233602153960203</v>
      </c>
      <c r="K630">
        <v>2226</v>
      </c>
      <c r="L630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30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cm="1">
        <f t="array" ref="N630">IFERROR(AVERAGE(IF((DiscreteStatsTable[GroupByKey]=DiscreteStatsTable[[#This Row],[GroupByKey]]),(DiscreteStatsTable[GroupByKey]=DiscreteStatsTable[[#This Row],[GroupByKey]])*DiscreteStatsTable[Average])),0)</f>
        <v>6.8092291861787557E-2</v>
      </c>
      <c r="O630" cm="1">
        <f t="array" ref="O630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30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30" cm="1">
        <f t="array" ref="R630">MIN(IF((DiscreteStatsTable[GroupByKey]=DiscreteStatsTable[[#This Row],[GroupByKey]]),(DiscreteStatsTable[GroupByKey]=DiscreteStatsTable[[#This Row],[GroupByKey]])*DiscreteStatsTable[Average]))</f>
        <v>5.591228067423E-2</v>
      </c>
      <c r="S630" cm="1">
        <f t="array" ref="S630">MAX(IF((DiscreteStatsTable[GroupByKey]=DiscreteStatsTable[[#This Row],[GroupByKey]]),(DiscreteStatsTable[GroupByKey]=DiscreteStatsTable[[#This Row],[GroupByKey]])*DiscreteStatsTable[Average]))</f>
        <v>7.8817469083508104E-2</v>
      </c>
      <c r="T630" cm="1">
        <f t="array" ref="T630">MIN(IF((DiscreteStatsTable[GroupByKey]=DiscreteStatsTable[[#This Row],[GroupByKey]]),(DiscreteStatsTable[GroupByKey]=DiscreteStatsTable[[#This Row],[GroupByKey]])*DiscreteStatsTable[Minimum]))</f>
        <v>0</v>
      </c>
      <c r="U630" cm="1">
        <f t="array" ref="U630">MAX(IF((DiscreteStatsTable[GroupByKey]=DiscreteStatsTable[[#This Row],[GroupByKey]]),(DiscreteStatsTable[GroupByKey]=DiscreteStatsTable[[#This Row],[GroupByKey]])*DiscreteStatsTable[Maximum]))</f>
        <v>1.2170108122512</v>
      </c>
      <c r="V630" cm="1">
        <f t="array" ref="V630">IFERROR(AVERAGE(IF((DiscreteStatsTable[GroupByKey]=DiscreteStatsTable[[#This Row],[GroupByKey]]),(DiscreteStatsTable[GroupByKey]=DiscreteStatsTable[[#This Row],[GroupByKey]])*DiscreteStatsTable[NumberObservations])),0)</f>
        <v>2262.66</v>
      </c>
      <c r="W630">
        <f>IF((DiscreteStatsTable[[#This Row],[RepsRequested]]&gt;1),DiscreteStatsTable[[#This Row],[HalfWidth]],DiscreteStatsTable[[#This Row],[BatchMeansHalfWidth]])</f>
        <v>1.3221720552995685E-3</v>
      </c>
      <c r="X630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131</v>
      </c>
      <c r="C631">
        <v>44</v>
      </c>
      <c r="D631" t="s">
        <v>86</v>
      </c>
      <c r="E631" t="s">
        <v>79</v>
      </c>
      <c r="F631" t="s">
        <v>80</v>
      </c>
      <c r="G631">
        <v>0.219670386466602</v>
      </c>
      <c r="H631">
        <v>1.2709428600088399E-2</v>
      </c>
      <c r="I631">
        <v>0.100063712618635</v>
      </c>
      <c r="J631">
        <v>0.89952436146833703</v>
      </c>
      <c r="K631">
        <v>2189</v>
      </c>
      <c r="L631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31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cm="1">
        <f t="array" ref="N631">IFERROR(AVERAGE(IF((DiscreteStatsTable[GroupByKey]=DiscreteStatsTable[[#This Row],[GroupByKey]]),(DiscreteStatsTable[GroupByKey]=DiscreteStatsTable[[#This Row],[GroupByKey]])*DiscreteStatsTable[Average])),0)</f>
        <v>0.21815512979204044</v>
      </c>
      <c r="O631" cm="1">
        <f t="array" ref="O631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31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31" cm="1">
        <f t="array" ref="R631">MIN(IF((DiscreteStatsTable[GroupByKey]=DiscreteStatsTable[[#This Row],[GroupByKey]]),(DiscreteStatsTable[GroupByKey]=DiscreteStatsTable[[#This Row],[GroupByKey]])*DiscreteStatsTable[Average]))</f>
        <v>0.204996218905765</v>
      </c>
      <c r="S631" cm="1">
        <f t="array" ref="S631">MAX(IF((DiscreteStatsTable[GroupByKey]=DiscreteStatsTable[[#This Row],[GroupByKey]]),(DiscreteStatsTable[GroupByKey]=DiscreteStatsTable[[#This Row],[GroupByKey]])*DiscreteStatsTable[Average]))</f>
        <v>0.22907589413377599</v>
      </c>
      <c r="T631" cm="1">
        <f t="array" ref="T631">MIN(IF((DiscreteStatsTable[GroupByKey]=DiscreteStatsTable[[#This Row],[GroupByKey]]),(DiscreteStatsTable[GroupByKey]=DiscreteStatsTable[[#This Row],[GroupByKey]])*DiscreteStatsTable[Minimum]))</f>
        <v>0.100000577163883</v>
      </c>
      <c r="U631" cm="1">
        <f t="array" ref="U631">MAX(IF((DiscreteStatsTable[GroupByKey]=DiscreteStatsTable[[#This Row],[GroupByKey]]),(DiscreteStatsTable[GroupByKey]=DiscreteStatsTable[[#This Row],[GroupByKey]])*DiscreteStatsTable[Maximum]))</f>
        <v>1.41452080991047</v>
      </c>
      <c r="V631" cm="1">
        <f t="array" ref="V631">IFERROR(AVERAGE(IF((DiscreteStatsTable[GroupByKey]=DiscreteStatsTable[[#This Row],[GroupByKey]]),(DiscreteStatsTable[GroupByKey]=DiscreteStatsTable[[#This Row],[GroupByKey]])*DiscreteStatsTable[NumberObservations])),0)</f>
        <v>2262.66</v>
      </c>
      <c r="W631">
        <f>IF((DiscreteStatsTable[[#This Row],[RepsRequested]]&gt;1),DiscreteStatsTable[[#This Row],[HalfWidth]],DiscreteStatsTable[[#This Row],[BatchMeansHalfWidth]])</f>
        <v>1.3927091897695423E-3</v>
      </c>
      <c r="X631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131</v>
      </c>
      <c r="C632">
        <v>44</v>
      </c>
      <c r="D632" t="s">
        <v>86</v>
      </c>
      <c r="E632" t="s">
        <v>81</v>
      </c>
      <c r="F632" t="s">
        <v>80</v>
      </c>
      <c r="G632">
        <v>0.15099569972056201</v>
      </c>
      <c r="H632">
        <v>1.19863155682409E-3</v>
      </c>
      <c r="I632">
        <v>0.100063712618635</v>
      </c>
      <c r="J632">
        <v>0.19995217264863599</v>
      </c>
      <c r="K632">
        <v>2189</v>
      </c>
      <c r="L632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32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cm="1">
        <f t="array" ref="N632">IFERROR(AVERAGE(IF((DiscreteStatsTable[GroupByKey]=DiscreteStatsTable[[#This Row],[GroupByKey]]),(DiscreteStatsTable[GroupByKey]=DiscreteStatsTable[[#This Row],[GroupByKey]])*DiscreteStatsTable[Average])),0)</f>
        <v>0.15006283793025285</v>
      </c>
      <c r="O632" cm="1">
        <f t="array" ref="O632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32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32" cm="1">
        <f t="array" ref="R632">MIN(IF((DiscreteStatsTable[GroupByKey]=DiscreteStatsTable[[#This Row],[GroupByKey]]),(DiscreteStatsTable[GroupByKey]=DiscreteStatsTable[[#This Row],[GroupByKey]])*DiscreteStatsTable[Average]))</f>
        <v>0.14863412830584499</v>
      </c>
      <c r="S632" cm="1">
        <f t="array" ref="S632">MAX(IF((DiscreteStatsTable[GroupByKey]=DiscreteStatsTable[[#This Row],[GroupByKey]]),(DiscreteStatsTable[GroupByKey]=DiscreteStatsTable[[#This Row],[GroupByKey]])*DiscreteStatsTable[Average]))</f>
        <v>0.151606291486265</v>
      </c>
      <c r="T632" cm="1">
        <f t="array" ref="T632">MIN(IF((DiscreteStatsTable[GroupByKey]=DiscreteStatsTable[[#This Row],[GroupByKey]]),(DiscreteStatsTable[GroupByKey]=DiscreteStatsTable[[#This Row],[GroupByKey]])*DiscreteStatsTable[Minimum]))</f>
        <v>0.100000577163883</v>
      </c>
      <c r="U632" cm="1">
        <f t="array" ref="U632">MAX(IF((DiscreteStatsTable[GroupByKey]=DiscreteStatsTable[[#This Row],[GroupByKey]]),(DiscreteStatsTable[GroupByKey]=DiscreteStatsTable[[#This Row],[GroupByKey]])*DiscreteStatsTable[Maximum]))</f>
        <v>0.19999993084929499</v>
      </c>
      <c r="V632" cm="1">
        <f t="array" ref="V632">IFERROR(AVERAGE(IF((DiscreteStatsTable[GroupByKey]=DiscreteStatsTable[[#This Row],[GroupByKey]]),(DiscreteStatsTable[GroupByKey]=DiscreteStatsTable[[#This Row],[GroupByKey]])*DiscreteStatsTable[NumberObservations])),0)</f>
        <v>2262.66</v>
      </c>
      <c r="W632">
        <f>IF((DiscreteStatsTable[[#This Row],[RepsRequested]]&gt;1),DiscreteStatsTable[[#This Row],[HalfWidth]],DiscreteStatsTable[[#This Row],[BatchMeansHalfWidth]])</f>
        <v>1.7015423667850204E-4</v>
      </c>
      <c r="X632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131</v>
      </c>
      <c r="C633">
        <v>44</v>
      </c>
      <c r="D633" t="s">
        <v>86</v>
      </c>
      <c r="E633" t="s">
        <v>82</v>
      </c>
      <c r="F633" t="s">
        <v>80</v>
      </c>
      <c r="G633">
        <v>6.8674686746040395E-2</v>
      </c>
      <c r="H633">
        <v>1.21056284137871E-2</v>
      </c>
      <c r="I633">
        <v>0</v>
      </c>
      <c r="J633">
        <v>0.74316777530668798</v>
      </c>
      <c r="K633">
        <v>2189</v>
      </c>
      <c r="L633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33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cm="1">
        <f t="array" ref="N633">IFERROR(AVERAGE(IF((DiscreteStatsTable[GroupByKey]=DiscreteStatsTable[[#This Row],[GroupByKey]]),(DiscreteStatsTable[GroupByKey]=DiscreteStatsTable[[#This Row],[GroupByKey]])*DiscreteStatsTable[Average])),0)</f>
        <v>6.8092291861787557E-2</v>
      </c>
      <c r="O633" cm="1">
        <f t="array" ref="O633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33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33" cm="1">
        <f t="array" ref="R633">MIN(IF((DiscreteStatsTable[GroupByKey]=DiscreteStatsTable[[#This Row],[GroupByKey]]),(DiscreteStatsTable[GroupByKey]=DiscreteStatsTable[[#This Row],[GroupByKey]])*DiscreteStatsTable[Average]))</f>
        <v>5.591228067423E-2</v>
      </c>
      <c r="S633" cm="1">
        <f t="array" ref="S633">MAX(IF((DiscreteStatsTable[GroupByKey]=DiscreteStatsTable[[#This Row],[GroupByKey]]),(DiscreteStatsTable[GroupByKey]=DiscreteStatsTable[[#This Row],[GroupByKey]])*DiscreteStatsTable[Average]))</f>
        <v>7.8817469083508104E-2</v>
      </c>
      <c r="T633" cm="1">
        <f t="array" ref="T633">MIN(IF((DiscreteStatsTable[GroupByKey]=DiscreteStatsTable[[#This Row],[GroupByKey]]),(DiscreteStatsTable[GroupByKey]=DiscreteStatsTable[[#This Row],[GroupByKey]])*DiscreteStatsTable[Minimum]))</f>
        <v>0</v>
      </c>
      <c r="U633" cm="1">
        <f t="array" ref="U633">MAX(IF((DiscreteStatsTable[GroupByKey]=DiscreteStatsTable[[#This Row],[GroupByKey]]),(DiscreteStatsTable[GroupByKey]=DiscreteStatsTable[[#This Row],[GroupByKey]])*DiscreteStatsTable[Maximum]))</f>
        <v>1.2170108122512</v>
      </c>
      <c r="V633" cm="1">
        <f t="array" ref="V633">IFERROR(AVERAGE(IF((DiscreteStatsTable[GroupByKey]=DiscreteStatsTable[[#This Row],[GroupByKey]]),(DiscreteStatsTable[GroupByKey]=DiscreteStatsTable[[#This Row],[GroupByKey]])*DiscreteStatsTable[NumberObservations])),0)</f>
        <v>2262.66</v>
      </c>
      <c r="W633">
        <f>IF((DiscreteStatsTable[[#This Row],[RepsRequested]]&gt;1),DiscreteStatsTable[[#This Row],[HalfWidth]],DiscreteStatsTable[[#This Row],[BatchMeansHalfWidth]])</f>
        <v>1.3221720552995685E-3</v>
      </c>
      <c r="X633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131</v>
      </c>
      <c r="C634">
        <v>45</v>
      </c>
      <c r="D634" t="s">
        <v>86</v>
      </c>
      <c r="E634" t="s">
        <v>79</v>
      </c>
      <c r="F634" t="s">
        <v>80</v>
      </c>
      <c r="G634">
        <v>0.21421634270144899</v>
      </c>
      <c r="H634">
        <v>1.13342837407833E-2</v>
      </c>
      <c r="I634">
        <v>0.100038701297763</v>
      </c>
      <c r="J634">
        <v>0.87639477273342004</v>
      </c>
      <c r="K634">
        <v>2292</v>
      </c>
      <c r="L634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34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cm="1">
        <f t="array" ref="N634">IFERROR(AVERAGE(IF((DiscreteStatsTable[GroupByKey]=DiscreteStatsTable[[#This Row],[GroupByKey]]),(DiscreteStatsTable[GroupByKey]=DiscreteStatsTable[[#This Row],[GroupByKey]])*DiscreteStatsTable[Average])),0)</f>
        <v>0.21815512979204044</v>
      </c>
      <c r="O634" cm="1">
        <f t="array" ref="O634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34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34" cm="1">
        <f t="array" ref="R634">MIN(IF((DiscreteStatsTable[GroupByKey]=DiscreteStatsTable[[#This Row],[GroupByKey]]),(DiscreteStatsTable[GroupByKey]=DiscreteStatsTable[[#This Row],[GroupByKey]])*DiscreteStatsTable[Average]))</f>
        <v>0.204996218905765</v>
      </c>
      <c r="S634" cm="1">
        <f t="array" ref="S634">MAX(IF((DiscreteStatsTable[GroupByKey]=DiscreteStatsTable[[#This Row],[GroupByKey]]),(DiscreteStatsTable[GroupByKey]=DiscreteStatsTable[[#This Row],[GroupByKey]])*DiscreteStatsTable[Average]))</f>
        <v>0.22907589413377599</v>
      </c>
      <c r="T634" cm="1">
        <f t="array" ref="T634">MIN(IF((DiscreteStatsTable[GroupByKey]=DiscreteStatsTable[[#This Row],[GroupByKey]]),(DiscreteStatsTable[GroupByKey]=DiscreteStatsTable[[#This Row],[GroupByKey]])*DiscreteStatsTable[Minimum]))</f>
        <v>0.100000577163883</v>
      </c>
      <c r="U634" cm="1">
        <f t="array" ref="U634">MAX(IF((DiscreteStatsTable[GroupByKey]=DiscreteStatsTable[[#This Row],[GroupByKey]]),(DiscreteStatsTable[GroupByKey]=DiscreteStatsTable[[#This Row],[GroupByKey]])*DiscreteStatsTable[Maximum]))</f>
        <v>1.41452080991047</v>
      </c>
      <c r="V634" cm="1">
        <f t="array" ref="V634">IFERROR(AVERAGE(IF((DiscreteStatsTable[GroupByKey]=DiscreteStatsTable[[#This Row],[GroupByKey]]),(DiscreteStatsTable[GroupByKey]=DiscreteStatsTable[[#This Row],[GroupByKey]])*DiscreteStatsTable[NumberObservations])),0)</f>
        <v>2262.66</v>
      </c>
      <c r="W634">
        <f>IF((DiscreteStatsTable[[#This Row],[RepsRequested]]&gt;1),DiscreteStatsTable[[#This Row],[HalfWidth]],DiscreteStatsTable[[#This Row],[BatchMeansHalfWidth]])</f>
        <v>1.3927091897695423E-3</v>
      </c>
      <c r="X634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131</v>
      </c>
      <c r="C635">
        <v>45</v>
      </c>
      <c r="D635" t="s">
        <v>86</v>
      </c>
      <c r="E635" t="s">
        <v>81</v>
      </c>
      <c r="F635" t="s">
        <v>80</v>
      </c>
      <c r="G635">
        <v>0.14912954415705901</v>
      </c>
      <c r="H635">
        <v>1.14895237359508E-3</v>
      </c>
      <c r="I635">
        <v>0.100038701297763</v>
      </c>
      <c r="J635">
        <v>0.19988249411699099</v>
      </c>
      <c r="K635">
        <v>2292</v>
      </c>
      <c r="L635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3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cm="1">
        <f t="array" ref="N635">IFERROR(AVERAGE(IF((DiscreteStatsTable[GroupByKey]=DiscreteStatsTable[[#This Row],[GroupByKey]]),(DiscreteStatsTable[GroupByKey]=DiscreteStatsTable[[#This Row],[GroupByKey]])*DiscreteStatsTable[Average])),0)</f>
        <v>0.15006283793025285</v>
      </c>
      <c r="O635" cm="1">
        <f t="array" ref="O635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3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35" cm="1">
        <f t="array" ref="R635">MIN(IF((DiscreteStatsTable[GroupByKey]=DiscreteStatsTable[[#This Row],[GroupByKey]]),(DiscreteStatsTable[GroupByKey]=DiscreteStatsTable[[#This Row],[GroupByKey]])*DiscreteStatsTable[Average]))</f>
        <v>0.14863412830584499</v>
      </c>
      <c r="S635" cm="1">
        <f t="array" ref="S635">MAX(IF((DiscreteStatsTable[GroupByKey]=DiscreteStatsTable[[#This Row],[GroupByKey]]),(DiscreteStatsTable[GroupByKey]=DiscreteStatsTable[[#This Row],[GroupByKey]])*DiscreteStatsTable[Average]))</f>
        <v>0.151606291486265</v>
      </c>
      <c r="T635" cm="1">
        <f t="array" ref="T635">MIN(IF((DiscreteStatsTable[GroupByKey]=DiscreteStatsTable[[#This Row],[GroupByKey]]),(DiscreteStatsTable[GroupByKey]=DiscreteStatsTable[[#This Row],[GroupByKey]])*DiscreteStatsTable[Minimum]))</f>
        <v>0.100000577163883</v>
      </c>
      <c r="U635" cm="1">
        <f t="array" ref="U635">MAX(IF((DiscreteStatsTable[GroupByKey]=DiscreteStatsTable[[#This Row],[GroupByKey]]),(DiscreteStatsTable[GroupByKey]=DiscreteStatsTable[[#This Row],[GroupByKey]])*DiscreteStatsTable[Maximum]))</f>
        <v>0.19999993084929499</v>
      </c>
      <c r="V635" cm="1">
        <f t="array" ref="V635">IFERROR(AVERAGE(IF((DiscreteStatsTable[GroupByKey]=DiscreteStatsTable[[#This Row],[GroupByKey]]),(DiscreteStatsTable[GroupByKey]=DiscreteStatsTable[[#This Row],[GroupByKey]])*DiscreteStatsTable[NumberObservations])),0)</f>
        <v>2262.66</v>
      </c>
      <c r="W635">
        <f>IF((DiscreteStatsTable[[#This Row],[RepsRequested]]&gt;1),DiscreteStatsTable[[#This Row],[HalfWidth]],DiscreteStatsTable[[#This Row],[BatchMeansHalfWidth]])</f>
        <v>1.7015423667850204E-4</v>
      </c>
      <c r="X63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131</v>
      </c>
      <c r="C636">
        <v>45</v>
      </c>
      <c r="D636" t="s">
        <v>86</v>
      </c>
      <c r="E636" t="s">
        <v>82</v>
      </c>
      <c r="F636" t="s">
        <v>80</v>
      </c>
      <c r="G636">
        <v>6.5086798544389798E-2</v>
      </c>
      <c r="H636">
        <v>1.13652362511301E-2</v>
      </c>
      <c r="I636">
        <v>0</v>
      </c>
      <c r="J636">
        <v>0.68972426305083401</v>
      </c>
      <c r="K636">
        <v>2292</v>
      </c>
      <c r="L636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36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cm="1">
        <f t="array" ref="N636">IFERROR(AVERAGE(IF((DiscreteStatsTable[GroupByKey]=DiscreteStatsTable[[#This Row],[GroupByKey]]),(DiscreteStatsTable[GroupByKey]=DiscreteStatsTable[[#This Row],[GroupByKey]])*DiscreteStatsTable[Average])),0)</f>
        <v>6.8092291861787557E-2</v>
      </c>
      <c r="O636" cm="1">
        <f t="array" ref="O636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36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36" cm="1">
        <f t="array" ref="R636">MIN(IF((DiscreteStatsTable[GroupByKey]=DiscreteStatsTable[[#This Row],[GroupByKey]]),(DiscreteStatsTable[GroupByKey]=DiscreteStatsTable[[#This Row],[GroupByKey]])*DiscreteStatsTable[Average]))</f>
        <v>5.591228067423E-2</v>
      </c>
      <c r="S636" cm="1">
        <f t="array" ref="S636">MAX(IF((DiscreteStatsTable[GroupByKey]=DiscreteStatsTable[[#This Row],[GroupByKey]]),(DiscreteStatsTable[GroupByKey]=DiscreteStatsTable[[#This Row],[GroupByKey]])*DiscreteStatsTable[Average]))</f>
        <v>7.8817469083508104E-2</v>
      </c>
      <c r="T636" cm="1">
        <f t="array" ref="T636">MIN(IF((DiscreteStatsTable[GroupByKey]=DiscreteStatsTable[[#This Row],[GroupByKey]]),(DiscreteStatsTable[GroupByKey]=DiscreteStatsTable[[#This Row],[GroupByKey]])*DiscreteStatsTable[Minimum]))</f>
        <v>0</v>
      </c>
      <c r="U636" cm="1">
        <f t="array" ref="U636">MAX(IF((DiscreteStatsTable[GroupByKey]=DiscreteStatsTable[[#This Row],[GroupByKey]]),(DiscreteStatsTable[GroupByKey]=DiscreteStatsTable[[#This Row],[GroupByKey]])*DiscreteStatsTable[Maximum]))</f>
        <v>1.2170108122512</v>
      </c>
      <c r="V636" cm="1">
        <f t="array" ref="V636">IFERROR(AVERAGE(IF((DiscreteStatsTable[GroupByKey]=DiscreteStatsTable[[#This Row],[GroupByKey]]),(DiscreteStatsTable[GroupByKey]=DiscreteStatsTable[[#This Row],[GroupByKey]])*DiscreteStatsTable[NumberObservations])),0)</f>
        <v>2262.66</v>
      </c>
      <c r="W636">
        <f>IF((DiscreteStatsTable[[#This Row],[RepsRequested]]&gt;1),DiscreteStatsTable[[#This Row],[HalfWidth]],DiscreteStatsTable[[#This Row],[BatchMeansHalfWidth]])</f>
        <v>1.3221720552995685E-3</v>
      </c>
      <c r="X636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131</v>
      </c>
      <c r="C637">
        <v>46</v>
      </c>
      <c r="D637" t="s">
        <v>86</v>
      </c>
      <c r="E637" t="s">
        <v>79</v>
      </c>
      <c r="F637" t="s">
        <v>80</v>
      </c>
      <c r="G637">
        <v>0.215429199807042</v>
      </c>
      <c r="H637">
        <v>9.3418503195618098E-3</v>
      </c>
      <c r="I637">
        <v>0.100062397404827</v>
      </c>
      <c r="J637">
        <v>0.79675679250590303</v>
      </c>
      <c r="K637">
        <v>2283</v>
      </c>
      <c r="L637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37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cm="1">
        <f t="array" ref="N637">IFERROR(AVERAGE(IF((DiscreteStatsTable[GroupByKey]=DiscreteStatsTable[[#This Row],[GroupByKey]]),(DiscreteStatsTable[GroupByKey]=DiscreteStatsTable[[#This Row],[GroupByKey]])*DiscreteStatsTable[Average])),0)</f>
        <v>0.21815512979204044</v>
      </c>
      <c r="O637" cm="1">
        <f t="array" ref="O637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37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37" cm="1">
        <f t="array" ref="R637">MIN(IF((DiscreteStatsTable[GroupByKey]=DiscreteStatsTable[[#This Row],[GroupByKey]]),(DiscreteStatsTable[GroupByKey]=DiscreteStatsTable[[#This Row],[GroupByKey]])*DiscreteStatsTable[Average]))</f>
        <v>0.204996218905765</v>
      </c>
      <c r="S637" cm="1">
        <f t="array" ref="S637">MAX(IF((DiscreteStatsTable[GroupByKey]=DiscreteStatsTable[[#This Row],[GroupByKey]]),(DiscreteStatsTable[GroupByKey]=DiscreteStatsTable[[#This Row],[GroupByKey]])*DiscreteStatsTable[Average]))</f>
        <v>0.22907589413377599</v>
      </c>
      <c r="T637" cm="1">
        <f t="array" ref="T637">MIN(IF((DiscreteStatsTable[GroupByKey]=DiscreteStatsTable[[#This Row],[GroupByKey]]),(DiscreteStatsTable[GroupByKey]=DiscreteStatsTable[[#This Row],[GroupByKey]])*DiscreteStatsTable[Minimum]))</f>
        <v>0.100000577163883</v>
      </c>
      <c r="U637" cm="1">
        <f t="array" ref="U637">MAX(IF((DiscreteStatsTable[GroupByKey]=DiscreteStatsTable[[#This Row],[GroupByKey]]),(DiscreteStatsTable[GroupByKey]=DiscreteStatsTable[[#This Row],[GroupByKey]])*DiscreteStatsTable[Maximum]))</f>
        <v>1.41452080991047</v>
      </c>
      <c r="V637" cm="1">
        <f t="array" ref="V637">IFERROR(AVERAGE(IF((DiscreteStatsTable[GroupByKey]=DiscreteStatsTable[[#This Row],[GroupByKey]]),(DiscreteStatsTable[GroupByKey]=DiscreteStatsTable[[#This Row],[GroupByKey]])*DiscreteStatsTable[NumberObservations])),0)</f>
        <v>2262.66</v>
      </c>
      <c r="W637">
        <f>IF((DiscreteStatsTable[[#This Row],[RepsRequested]]&gt;1),DiscreteStatsTable[[#This Row],[HalfWidth]],DiscreteStatsTable[[#This Row],[BatchMeansHalfWidth]])</f>
        <v>1.3927091897695423E-3</v>
      </c>
      <c r="X637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131</v>
      </c>
      <c r="C638">
        <v>46</v>
      </c>
      <c r="D638" t="s">
        <v>86</v>
      </c>
      <c r="E638" t="s">
        <v>81</v>
      </c>
      <c r="F638" t="s">
        <v>80</v>
      </c>
      <c r="G638">
        <v>0.14863412830584499</v>
      </c>
      <c r="H638">
        <v>1.07458038405567E-3</v>
      </c>
      <c r="I638">
        <v>0.10001855981624901</v>
      </c>
      <c r="J638">
        <v>0.19995912324901599</v>
      </c>
      <c r="K638">
        <v>2283</v>
      </c>
      <c r="L638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38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cm="1">
        <f t="array" ref="N638">IFERROR(AVERAGE(IF((DiscreteStatsTable[GroupByKey]=DiscreteStatsTable[[#This Row],[GroupByKey]]),(DiscreteStatsTable[GroupByKey]=DiscreteStatsTable[[#This Row],[GroupByKey]])*DiscreteStatsTable[Average])),0)</f>
        <v>0.15006283793025285</v>
      </c>
      <c r="O638" cm="1">
        <f t="array" ref="O638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38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38" cm="1">
        <f t="array" ref="R638">MIN(IF((DiscreteStatsTable[GroupByKey]=DiscreteStatsTable[[#This Row],[GroupByKey]]),(DiscreteStatsTable[GroupByKey]=DiscreteStatsTable[[#This Row],[GroupByKey]])*DiscreteStatsTable[Average]))</f>
        <v>0.14863412830584499</v>
      </c>
      <c r="S638" cm="1">
        <f t="array" ref="S638">MAX(IF((DiscreteStatsTable[GroupByKey]=DiscreteStatsTable[[#This Row],[GroupByKey]]),(DiscreteStatsTable[GroupByKey]=DiscreteStatsTable[[#This Row],[GroupByKey]])*DiscreteStatsTable[Average]))</f>
        <v>0.151606291486265</v>
      </c>
      <c r="T638" cm="1">
        <f t="array" ref="T638">MIN(IF((DiscreteStatsTable[GroupByKey]=DiscreteStatsTable[[#This Row],[GroupByKey]]),(DiscreteStatsTable[GroupByKey]=DiscreteStatsTable[[#This Row],[GroupByKey]])*DiscreteStatsTable[Minimum]))</f>
        <v>0.100000577163883</v>
      </c>
      <c r="U638" cm="1">
        <f t="array" ref="U638">MAX(IF((DiscreteStatsTable[GroupByKey]=DiscreteStatsTable[[#This Row],[GroupByKey]]),(DiscreteStatsTable[GroupByKey]=DiscreteStatsTable[[#This Row],[GroupByKey]])*DiscreteStatsTable[Maximum]))</f>
        <v>0.19999993084929499</v>
      </c>
      <c r="V638" cm="1">
        <f t="array" ref="V638">IFERROR(AVERAGE(IF((DiscreteStatsTable[GroupByKey]=DiscreteStatsTable[[#This Row],[GroupByKey]]),(DiscreteStatsTable[GroupByKey]=DiscreteStatsTable[[#This Row],[GroupByKey]])*DiscreteStatsTable[NumberObservations])),0)</f>
        <v>2262.66</v>
      </c>
      <c r="W638">
        <f>IF((DiscreteStatsTable[[#This Row],[RepsRequested]]&gt;1),DiscreteStatsTable[[#This Row],[HalfWidth]],DiscreteStatsTable[[#This Row],[BatchMeansHalfWidth]])</f>
        <v>1.7015423667850204E-4</v>
      </c>
      <c r="X638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131</v>
      </c>
      <c r="C639">
        <v>46</v>
      </c>
      <c r="D639" t="s">
        <v>86</v>
      </c>
      <c r="E639" t="s">
        <v>82</v>
      </c>
      <c r="F639" t="s">
        <v>80</v>
      </c>
      <c r="G639">
        <v>6.6795071501196401E-2</v>
      </c>
      <c r="H639">
        <v>9.4575531212910697E-3</v>
      </c>
      <c r="I639">
        <v>0</v>
      </c>
      <c r="J639">
        <v>0.65130237752543996</v>
      </c>
      <c r="K639">
        <v>2283</v>
      </c>
      <c r="L639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39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cm="1">
        <f t="array" ref="N639">IFERROR(AVERAGE(IF((DiscreteStatsTable[GroupByKey]=DiscreteStatsTable[[#This Row],[GroupByKey]]),(DiscreteStatsTable[GroupByKey]=DiscreteStatsTable[[#This Row],[GroupByKey]])*DiscreteStatsTable[Average])),0)</f>
        <v>6.8092291861787557E-2</v>
      </c>
      <c r="O639" cm="1">
        <f t="array" ref="O639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39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39" cm="1">
        <f t="array" ref="R639">MIN(IF((DiscreteStatsTable[GroupByKey]=DiscreteStatsTable[[#This Row],[GroupByKey]]),(DiscreteStatsTable[GroupByKey]=DiscreteStatsTable[[#This Row],[GroupByKey]])*DiscreteStatsTable[Average]))</f>
        <v>5.591228067423E-2</v>
      </c>
      <c r="S639" cm="1">
        <f t="array" ref="S639">MAX(IF((DiscreteStatsTable[GroupByKey]=DiscreteStatsTable[[#This Row],[GroupByKey]]),(DiscreteStatsTable[GroupByKey]=DiscreteStatsTable[[#This Row],[GroupByKey]])*DiscreteStatsTable[Average]))</f>
        <v>7.8817469083508104E-2</v>
      </c>
      <c r="T639" cm="1">
        <f t="array" ref="T639">MIN(IF((DiscreteStatsTable[GroupByKey]=DiscreteStatsTable[[#This Row],[GroupByKey]]),(DiscreteStatsTable[GroupByKey]=DiscreteStatsTable[[#This Row],[GroupByKey]])*DiscreteStatsTable[Minimum]))</f>
        <v>0</v>
      </c>
      <c r="U639" cm="1">
        <f t="array" ref="U639">MAX(IF((DiscreteStatsTable[GroupByKey]=DiscreteStatsTable[[#This Row],[GroupByKey]]),(DiscreteStatsTable[GroupByKey]=DiscreteStatsTable[[#This Row],[GroupByKey]])*DiscreteStatsTable[Maximum]))</f>
        <v>1.2170108122512</v>
      </c>
      <c r="V639" cm="1">
        <f t="array" ref="V639">IFERROR(AVERAGE(IF((DiscreteStatsTable[GroupByKey]=DiscreteStatsTable[[#This Row],[GroupByKey]]),(DiscreteStatsTable[GroupByKey]=DiscreteStatsTable[[#This Row],[GroupByKey]])*DiscreteStatsTable[NumberObservations])),0)</f>
        <v>2262.66</v>
      </c>
      <c r="W639">
        <f>IF((DiscreteStatsTable[[#This Row],[RepsRequested]]&gt;1),DiscreteStatsTable[[#This Row],[HalfWidth]],DiscreteStatsTable[[#This Row],[BatchMeansHalfWidth]])</f>
        <v>1.3221720552995685E-3</v>
      </c>
      <c r="X639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131</v>
      </c>
      <c r="C640">
        <v>47</v>
      </c>
      <c r="D640" t="s">
        <v>86</v>
      </c>
      <c r="E640" t="s">
        <v>79</v>
      </c>
      <c r="F640" t="s">
        <v>80</v>
      </c>
      <c r="G640">
        <v>0.22427562810072199</v>
      </c>
      <c r="H640">
        <v>9.6142887720308302E-3</v>
      </c>
      <c r="I640">
        <v>0.10002577027899</v>
      </c>
      <c r="J640">
        <v>0.87500031845377202</v>
      </c>
      <c r="K640">
        <v>2316</v>
      </c>
      <c r="L640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40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cm="1">
        <f t="array" ref="N640">IFERROR(AVERAGE(IF((DiscreteStatsTable[GroupByKey]=DiscreteStatsTable[[#This Row],[GroupByKey]]),(DiscreteStatsTable[GroupByKey]=DiscreteStatsTable[[#This Row],[GroupByKey]])*DiscreteStatsTable[Average])),0)</f>
        <v>0.21815512979204044</v>
      </c>
      <c r="O640" cm="1">
        <f t="array" ref="O640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40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40" cm="1">
        <f t="array" ref="R640">MIN(IF((DiscreteStatsTable[GroupByKey]=DiscreteStatsTable[[#This Row],[GroupByKey]]),(DiscreteStatsTable[GroupByKey]=DiscreteStatsTable[[#This Row],[GroupByKey]])*DiscreteStatsTable[Average]))</f>
        <v>0.204996218905765</v>
      </c>
      <c r="S640" cm="1">
        <f t="array" ref="S640">MAX(IF((DiscreteStatsTable[GroupByKey]=DiscreteStatsTable[[#This Row],[GroupByKey]]),(DiscreteStatsTable[GroupByKey]=DiscreteStatsTable[[#This Row],[GroupByKey]])*DiscreteStatsTable[Average]))</f>
        <v>0.22907589413377599</v>
      </c>
      <c r="T640" cm="1">
        <f t="array" ref="T640">MIN(IF((DiscreteStatsTable[GroupByKey]=DiscreteStatsTable[[#This Row],[GroupByKey]]),(DiscreteStatsTable[GroupByKey]=DiscreteStatsTable[[#This Row],[GroupByKey]])*DiscreteStatsTable[Minimum]))</f>
        <v>0.100000577163883</v>
      </c>
      <c r="U640" cm="1">
        <f t="array" ref="U640">MAX(IF((DiscreteStatsTable[GroupByKey]=DiscreteStatsTable[[#This Row],[GroupByKey]]),(DiscreteStatsTable[GroupByKey]=DiscreteStatsTable[[#This Row],[GroupByKey]])*DiscreteStatsTable[Maximum]))</f>
        <v>1.41452080991047</v>
      </c>
      <c r="V640" cm="1">
        <f t="array" ref="V640">IFERROR(AVERAGE(IF((DiscreteStatsTable[GroupByKey]=DiscreteStatsTable[[#This Row],[GroupByKey]]),(DiscreteStatsTable[GroupByKey]=DiscreteStatsTable[[#This Row],[GroupByKey]])*DiscreteStatsTable[NumberObservations])),0)</f>
        <v>2262.66</v>
      </c>
      <c r="W640">
        <f>IF((DiscreteStatsTable[[#This Row],[RepsRequested]]&gt;1),DiscreteStatsTable[[#This Row],[HalfWidth]],DiscreteStatsTable[[#This Row],[BatchMeansHalfWidth]])</f>
        <v>1.3927091897695423E-3</v>
      </c>
      <c r="X640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131</v>
      </c>
      <c r="C641">
        <v>47</v>
      </c>
      <c r="D641" t="s">
        <v>86</v>
      </c>
      <c r="E641" t="s">
        <v>81</v>
      </c>
      <c r="F641" t="s">
        <v>80</v>
      </c>
      <c r="G641">
        <v>0.15007395094107001</v>
      </c>
      <c r="H641">
        <v>9.981972184388429E-4</v>
      </c>
      <c r="I641">
        <v>0.10002577027899</v>
      </c>
      <c r="J641">
        <v>0.199982017510621</v>
      </c>
      <c r="K641">
        <v>2316</v>
      </c>
      <c r="L641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41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cm="1">
        <f t="array" ref="N641">IFERROR(AVERAGE(IF((DiscreteStatsTable[GroupByKey]=DiscreteStatsTable[[#This Row],[GroupByKey]]),(DiscreteStatsTable[GroupByKey]=DiscreteStatsTable[[#This Row],[GroupByKey]])*DiscreteStatsTable[Average])),0)</f>
        <v>0.15006283793025285</v>
      </c>
      <c r="O641" cm="1">
        <f t="array" ref="O641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41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41" cm="1">
        <f t="array" ref="R641">MIN(IF((DiscreteStatsTable[GroupByKey]=DiscreteStatsTable[[#This Row],[GroupByKey]]),(DiscreteStatsTable[GroupByKey]=DiscreteStatsTable[[#This Row],[GroupByKey]])*DiscreteStatsTable[Average]))</f>
        <v>0.14863412830584499</v>
      </c>
      <c r="S641" cm="1">
        <f t="array" ref="S641">MAX(IF((DiscreteStatsTable[GroupByKey]=DiscreteStatsTable[[#This Row],[GroupByKey]]),(DiscreteStatsTable[GroupByKey]=DiscreteStatsTable[[#This Row],[GroupByKey]])*DiscreteStatsTable[Average]))</f>
        <v>0.151606291486265</v>
      </c>
      <c r="T641" cm="1">
        <f t="array" ref="T641">MIN(IF((DiscreteStatsTable[GroupByKey]=DiscreteStatsTable[[#This Row],[GroupByKey]]),(DiscreteStatsTable[GroupByKey]=DiscreteStatsTable[[#This Row],[GroupByKey]])*DiscreteStatsTable[Minimum]))</f>
        <v>0.100000577163883</v>
      </c>
      <c r="U641" cm="1">
        <f t="array" ref="U641">MAX(IF((DiscreteStatsTable[GroupByKey]=DiscreteStatsTable[[#This Row],[GroupByKey]]),(DiscreteStatsTable[GroupByKey]=DiscreteStatsTable[[#This Row],[GroupByKey]])*DiscreteStatsTable[Maximum]))</f>
        <v>0.19999993084929499</v>
      </c>
      <c r="V641" cm="1">
        <f t="array" ref="V641">IFERROR(AVERAGE(IF((DiscreteStatsTable[GroupByKey]=DiscreteStatsTable[[#This Row],[GroupByKey]]),(DiscreteStatsTable[GroupByKey]=DiscreteStatsTable[[#This Row],[GroupByKey]])*DiscreteStatsTable[NumberObservations])),0)</f>
        <v>2262.66</v>
      </c>
      <c r="W641">
        <f>IF((DiscreteStatsTable[[#This Row],[RepsRequested]]&gt;1),DiscreteStatsTable[[#This Row],[HalfWidth]],DiscreteStatsTable[[#This Row],[BatchMeansHalfWidth]])</f>
        <v>1.7015423667850204E-4</v>
      </c>
      <c r="X641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131</v>
      </c>
      <c r="C642">
        <v>47</v>
      </c>
      <c r="D642" t="s">
        <v>86</v>
      </c>
      <c r="E642" t="s">
        <v>82</v>
      </c>
      <c r="F642" t="s">
        <v>80</v>
      </c>
      <c r="G642">
        <v>7.4201677159652701E-2</v>
      </c>
      <c r="H642">
        <v>9.2218129857270098E-3</v>
      </c>
      <c r="I642">
        <v>0</v>
      </c>
      <c r="J642">
        <v>0.72955494173498903</v>
      </c>
      <c r="K642">
        <v>2316</v>
      </c>
      <c r="L642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42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cm="1">
        <f t="array" ref="N642">IFERROR(AVERAGE(IF((DiscreteStatsTable[GroupByKey]=DiscreteStatsTable[[#This Row],[GroupByKey]]),(DiscreteStatsTable[GroupByKey]=DiscreteStatsTable[[#This Row],[GroupByKey]])*DiscreteStatsTable[Average])),0)</f>
        <v>6.8092291861787557E-2</v>
      </c>
      <c r="O642" cm="1">
        <f t="array" ref="O642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42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42" cm="1">
        <f t="array" ref="R642">MIN(IF((DiscreteStatsTable[GroupByKey]=DiscreteStatsTable[[#This Row],[GroupByKey]]),(DiscreteStatsTable[GroupByKey]=DiscreteStatsTable[[#This Row],[GroupByKey]])*DiscreteStatsTable[Average]))</f>
        <v>5.591228067423E-2</v>
      </c>
      <c r="S642" cm="1">
        <f t="array" ref="S642">MAX(IF((DiscreteStatsTable[GroupByKey]=DiscreteStatsTable[[#This Row],[GroupByKey]]),(DiscreteStatsTable[GroupByKey]=DiscreteStatsTable[[#This Row],[GroupByKey]])*DiscreteStatsTable[Average]))</f>
        <v>7.8817469083508104E-2</v>
      </c>
      <c r="T642" cm="1">
        <f t="array" ref="T642">MIN(IF((DiscreteStatsTable[GroupByKey]=DiscreteStatsTable[[#This Row],[GroupByKey]]),(DiscreteStatsTable[GroupByKey]=DiscreteStatsTable[[#This Row],[GroupByKey]])*DiscreteStatsTable[Minimum]))</f>
        <v>0</v>
      </c>
      <c r="U642" cm="1">
        <f t="array" ref="U642">MAX(IF((DiscreteStatsTable[GroupByKey]=DiscreteStatsTable[[#This Row],[GroupByKey]]),(DiscreteStatsTable[GroupByKey]=DiscreteStatsTable[[#This Row],[GroupByKey]])*DiscreteStatsTable[Maximum]))</f>
        <v>1.2170108122512</v>
      </c>
      <c r="V642" cm="1">
        <f t="array" ref="V642">IFERROR(AVERAGE(IF((DiscreteStatsTable[GroupByKey]=DiscreteStatsTable[[#This Row],[GroupByKey]]),(DiscreteStatsTable[GroupByKey]=DiscreteStatsTable[[#This Row],[GroupByKey]])*DiscreteStatsTable[NumberObservations])),0)</f>
        <v>2262.66</v>
      </c>
      <c r="W642">
        <f>IF((DiscreteStatsTable[[#This Row],[RepsRequested]]&gt;1),DiscreteStatsTable[[#This Row],[HalfWidth]],DiscreteStatsTable[[#This Row],[BatchMeansHalfWidth]])</f>
        <v>1.3221720552995685E-3</v>
      </c>
      <c r="X642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131</v>
      </c>
      <c r="C643">
        <v>48</v>
      </c>
      <c r="D643" t="s">
        <v>86</v>
      </c>
      <c r="E643" t="s">
        <v>79</v>
      </c>
      <c r="F643" t="s">
        <v>80</v>
      </c>
      <c r="G643">
        <v>0.217854424735695</v>
      </c>
      <c r="H643">
        <v>7.7718622799603397E-3</v>
      </c>
      <c r="I643">
        <v>0.100143646269544</v>
      </c>
      <c r="J643">
        <v>0.90980554084001097</v>
      </c>
      <c r="K643">
        <v>2275</v>
      </c>
      <c r="L643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43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cm="1">
        <f t="array" ref="N643">IFERROR(AVERAGE(IF((DiscreteStatsTable[GroupByKey]=DiscreteStatsTable[[#This Row],[GroupByKey]]),(DiscreteStatsTable[GroupByKey]=DiscreteStatsTable[[#This Row],[GroupByKey]])*DiscreteStatsTable[Average])),0)</f>
        <v>0.21815512979204044</v>
      </c>
      <c r="O643" cm="1">
        <f t="array" ref="O643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43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43" cm="1">
        <f t="array" ref="R643">MIN(IF((DiscreteStatsTable[GroupByKey]=DiscreteStatsTable[[#This Row],[GroupByKey]]),(DiscreteStatsTable[GroupByKey]=DiscreteStatsTable[[#This Row],[GroupByKey]])*DiscreteStatsTable[Average]))</f>
        <v>0.204996218905765</v>
      </c>
      <c r="S643" cm="1">
        <f t="array" ref="S643">MAX(IF((DiscreteStatsTable[GroupByKey]=DiscreteStatsTable[[#This Row],[GroupByKey]]),(DiscreteStatsTable[GroupByKey]=DiscreteStatsTable[[#This Row],[GroupByKey]])*DiscreteStatsTable[Average]))</f>
        <v>0.22907589413377599</v>
      </c>
      <c r="T643" cm="1">
        <f t="array" ref="T643">MIN(IF((DiscreteStatsTable[GroupByKey]=DiscreteStatsTable[[#This Row],[GroupByKey]]),(DiscreteStatsTable[GroupByKey]=DiscreteStatsTable[[#This Row],[GroupByKey]])*DiscreteStatsTable[Minimum]))</f>
        <v>0.100000577163883</v>
      </c>
      <c r="U643" cm="1">
        <f t="array" ref="U643">MAX(IF((DiscreteStatsTable[GroupByKey]=DiscreteStatsTable[[#This Row],[GroupByKey]]),(DiscreteStatsTable[GroupByKey]=DiscreteStatsTable[[#This Row],[GroupByKey]])*DiscreteStatsTable[Maximum]))</f>
        <v>1.41452080991047</v>
      </c>
      <c r="V643" cm="1">
        <f t="array" ref="V643">IFERROR(AVERAGE(IF((DiscreteStatsTable[GroupByKey]=DiscreteStatsTable[[#This Row],[GroupByKey]]),(DiscreteStatsTable[GroupByKey]=DiscreteStatsTable[[#This Row],[GroupByKey]])*DiscreteStatsTable[NumberObservations])),0)</f>
        <v>2262.66</v>
      </c>
      <c r="W643">
        <f>IF((DiscreteStatsTable[[#This Row],[RepsRequested]]&gt;1),DiscreteStatsTable[[#This Row],[HalfWidth]],DiscreteStatsTable[[#This Row],[BatchMeansHalfWidth]])</f>
        <v>1.3927091897695423E-3</v>
      </c>
      <c r="X643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131</v>
      </c>
      <c r="C644">
        <v>48</v>
      </c>
      <c r="D644" t="s">
        <v>86</v>
      </c>
      <c r="E644" t="s">
        <v>81</v>
      </c>
      <c r="F644" t="s">
        <v>80</v>
      </c>
      <c r="G644">
        <v>0.150530322703011</v>
      </c>
      <c r="H644">
        <v>1.4355339715560801E-3</v>
      </c>
      <c r="I644">
        <v>0.10007806313603899</v>
      </c>
      <c r="J644">
        <v>0.19998783715936999</v>
      </c>
      <c r="K644">
        <v>2275</v>
      </c>
      <c r="L644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44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cm="1">
        <f t="array" ref="N644">IFERROR(AVERAGE(IF((DiscreteStatsTable[GroupByKey]=DiscreteStatsTable[[#This Row],[GroupByKey]]),(DiscreteStatsTable[GroupByKey]=DiscreteStatsTable[[#This Row],[GroupByKey]])*DiscreteStatsTable[Average])),0)</f>
        <v>0.15006283793025285</v>
      </c>
      <c r="O644" cm="1">
        <f t="array" ref="O644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44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44" cm="1">
        <f t="array" ref="R644">MIN(IF((DiscreteStatsTable[GroupByKey]=DiscreteStatsTable[[#This Row],[GroupByKey]]),(DiscreteStatsTable[GroupByKey]=DiscreteStatsTable[[#This Row],[GroupByKey]])*DiscreteStatsTable[Average]))</f>
        <v>0.14863412830584499</v>
      </c>
      <c r="S644" cm="1">
        <f t="array" ref="S644">MAX(IF((DiscreteStatsTable[GroupByKey]=DiscreteStatsTable[[#This Row],[GroupByKey]]),(DiscreteStatsTable[GroupByKey]=DiscreteStatsTable[[#This Row],[GroupByKey]])*DiscreteStatsTable[Average]))</f>
        <v>0.151606291486265</v>
      </c>
      <c r="T644" cm="1">
        <f t="array" ref="T644">MIN(IF((DiscreteStatsTable[GroupByKey]=DiscreteStatsTable[[#This Row],[GroupByKey]]),(DiscreteStatsTable[GroupByKey]=DiscreteStatsTable[[#This Row],[GroupByKey]])*DiscreteStatsTable[Minimum]))</f>
        <v>0.100000577163883</v>
      </c>
      <c r="U644" cm="1">
        <f t="array" ref="U644">MAX(IF((DiscreteStatsTable[GroupByKey]=DiscreteStatsTable[[#This Row],[GroupByKey]]),(DiscreteStatsTable[GroupByKey]=DiscreteStatsTable[[#This Row],[GroupByKey]])*DiscreteStatsTable[Maximum]))</f>
        <v>0.19999993084929499</v>
      </c>
      <c r="V644" cm="1">
        <f t="array" ref="V644">IFERROR(AVERAGE(IF((DiscreteStatsTable[GroupByKey]=DiscreteStatsTable[[#This Row],[GroupByKey]]),(DiscreteStatsTable[GroupByKey]=DiscreteStatsTable[[#This Row],[GroupByKey]])*DiscreteStatsTable[NumberObservations])),0)</f>
        <v>2262.66</v>
      </c>
      <c r="W644">
        <f>IF((DiscreteStatsTable[[#This Row],[RepsRequested]]&gt;1),DiscreteStatsTable[[#This Row],[HalfWidth]],DiscreteStatsTable[[#This Row],[BatchMeansHalfWidth]])</f>
        <v>1.7015423667850204E-4</v>
      </c>
      <c r="X644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131</v>
      </c>
      <c r="C645">
        <v>48</v>
      </c>
      <c r="D645" t="s">
        <v>86</v>
      </c>
      <c r="E645" t="s">
        <v>82</v>
      </c>
      <c r="F645" t="s">
        <v>80</v>
      </c>
      <c r="G645">
        <v>6.7324102032683797E-2</v>
      </c>
      <c r="H645">
        <v>7.0210655360831197E-3</v>
      </c>
      <c r="I645">
        <v>0</v>
      </c>
      <c r="J645">
        <v>0.74535274404490803</v>
      </c>
      <c r="K645">
        <v>2275</v>
      </c>
      <c r="L645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4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cm="1">
        <f t="array" ref="N645">IFERROR(AVERAGE(IF((DiscreteStatsTable[GroupByKey]=DiscreteStatsTable[[#This Row],[GroupByKey]]),(DiscreteStatsTable[GroupByKey]=DiscreteStatsTable[[#This Row],[GroupByKey]])*DiscreteStatsTable[Average])),0)</f>
        <v>6.8092291861787557E-2</v>
      </c>
      <c r="O645" cm="1">
        <f t="array" ref="O645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4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45" cm="1">
        <f t="array" ref="R645">MIN(IF((DiscreteStatsTable[GroupByKey]=DiscreteStatsTable[[#This Row],[GroupByKey]]),(DiscreteStatsTable[GroupByKey]=DiscreteStatsTable[[#This Row],[GroupByKey]])*DiscreteStatsTable[Average]))</f>
        <v>5.591228067423E-2</v>
      </c>
      <c r="S645" cm="1">
        <f t="array" ref="S645">MAX(IF((DiscreteStatsTable[GroupByKey]=DiscreteStatsTable[[#This Row],[GroupByKey]]),(DiscreteStatsTable[GroupByKey]=DiscreteStatsTable[[#This Row],[GroupByKey]])*DiscreteStatsTable[Average]))</f>
        <v>7.8817469083508104E-2</v>
      </c>
      <c r="T645" cm="1">
        <f t="array" ref="T645">MIN(IF((DiscreteStatsTable[GroupByKey]=DiscreteStatsTable[[#This Row],[GroupByKey]]),(DiscreteStatsTable[GroupByKey]=DiscreteStatsTable[[#This Row],[GroupByKey]])*DiscreteStatsTable[Minimum]))</f>
        <v>0</v>
      </c>
      <c r="U645" cm="1">
        <f t="array" ref="U645">MAX(IF((DiscreteStatsTable[GroupByKey]=DiscreteStatsTable[[#This Row],[GroupByKey]]),(DiscreteStatsTable[GroupByKey]=DiscreteStatsTable[[#This Row],[GroupByKey]])*DiscreteStatsTable[Maximum]))</f>
        <v>1.2170108122512</v>
      </c>
      <c r="V645" cm="1">
        <f t="array" ref="V645">IFERROR(AVERAGE(IF((DiscreteStatsTable[GroupByKey]=DiscreteStatsTable[[#This Row],[GroupByKey]]),(DiscreteStatsTable[GroupByKey]=DiscreteStatsTable[[#This Row],[GroupByKey]])*DiscreteStatsTable[NumberObservations])),0)</f>
        <v>2262.66</v>
      </c>
      <c r="W645">
        <f>IF((DiscreteStatsTable[[#This Row],[RepsRequested]]&gt;1),DiscreteStatsTable[[#This Row],[HalfWidth]],DiscreteStatsTable[[#This Row],[BatchMeansHalfWidth]])</f>
        <v>1.3221720552995685E-3</v>
      </c>
      <c r="X64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131</v>
      </c>
      <c r="C646">
        <v>49</v>
      </c>
      <c r="D646" t="s">
        <v>86</v>
      </c>
      <c r="E646" t="s">
        <v>79</v>
      </c>
      <c r="F646" t="s">
        <v>80</v>
      </c>
      <c r="G646">
        <v>0.20838139332980499</v>
      </c>
      <c r="H646">
        <v>5.6801605912489197E-3</v>
      </c>
      <c r="I646">
        <v>0.100061016462973</v>
      </c>
      <c r="J646">
        <v>0.80256890730014196</v>
      </c>
      <c r="K646">
        <v>2239</v>
      </c>
      <c r="L646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46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cm="1">
        <f t="array" ref="N646">IFERROR(AVERAGE(IF((DiscreteStatsTable[GroupByKey]=DiscreteStatsTable[[#This Row],[GroupByKey]]),(DiscreteStatsTable[GroupByKey]=DiscreteStatsTable[[#This Row],[GroupByKey]])*DiscreteStatsTable[Average])),0)</f>
        <v>0.21815512979204044</v>
      </c>
      <c r="O646" cm="1">
        <f t="array" ref="O646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46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46" cm="1">
        <f t="array" ref="R646">MIN(IF((DiscreteStatsTable[GroupByKey]=DiscreteStatsTable[[#This Row],[GroupByKey]]),(DiscreteStatsTable[GroupByKey]=DiscreteStatsTable[[#This Row],[GroupByKey]])*DiscreteStatsTable[Average]))</f>
        <v>0.204996218905765</v>
      </c>
      <c r="S646" cm="1">
        <f t="array" ref="S646">MAX(IF((DiscreteStatsTable[GroupByKey]=DiscreteStatsTable[[#This Row],[GroupByKey]]),(DiscreteStatsTable[GroupByKey]=DiscreteStatsTable[[#This Row],[GroupByKey]])*DiscreteStatsTable[Average]))</f>
        <v>0.22907589413377599</v>
      </c>
      <c r="T646" cm="1">
        <f t="array" ref="T646">MIN(IF((DiscreteStatsTable[GroupByKey]=DiscreteStatsTable[[#This Row],[GroupByKey]]),(DiscreteStatsTable[GroupByKey]=DiscreteStatsTable[[#This Row],[GroupByKey]])*DiscreteStatsTable[Minimum]))</f>
        <v>0.100000577163883</v>
      </c>
      <c r="U646" cm="1">
        <f t="array" ref="U646">MAX(IF((DiscreteStatsTable[GroupByKey]=DiscreteStatsTable[[#This Row],[GroupByKey]]),(DiscreteStatsTable[GroupByKey]=DiscreteStatsTable[[#This Row],[GroupByKey]])*DiscreteStatsTable[Maximum]))</f>
        <v>1.41452080991047</v>
      </c>
      <c r="V646" cm="1">
        <f t="array" ref="V646">IFERROR(AVERAGE(IF((DiscreteStatsTable[GroupByKey]=DiscreteStatsTable[[#This Row],[GroupByKey]]),(DiscreteStatsTable[GroupByKey]=DiscreteStatsTable[[#This Row],[GroupByKey]])*DiscreteStatsTable[NumberObservations])),0)</f>
        <v>2262.66</v>
      </c>
      <c r="W646">
        <f>IF((DiscreteStatsTable[[#This Row],[RepsRequested]]&gt;1),DiscreteStatsTable[[#This Row],[HalfWidth]],DiscreteStatsTable[[#This Row],[BatchMeansHalfWidth]])</f>
        <v>1.3927091897695423E-3</v>
      </c>
      <c r="X646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131</v>
      </c>
      <c r="C647">
        <v>49</v>
      </c>
      <c r="D647" t="s">
        <v>86</v>
      </c>
      <c r="E647" t="s">
        <v>81</v>
      </c>
      <c r="F647" t="s">
        <v>80</v>
      </c>
      <c r="G647">
        <v>0.14901306737921999</v>
      </c>
      <c r="H647">
        <v>1.10802321127361E-3</v>
      </c>
      <c r="I647">
        <v>0.100061016462973</v>
      </c>
      <c r="J647">
        <v>0.19996467605062701</v>
      </c>
      <c r="K647">
        <v>2239</v>
      </c>
      <c r="L647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47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cm="1">
        <f t="array" ref="N647">IFERROR(AVERAGE(IF((DiscreteStatsTable[GroupByKey]=DiscreteStatsTable[[#This Row],[GroupByKey]]),(DiscreteStatsTable[GroupByKey]=DiscreteStatsTable[[#This Row],[GroupByKey]])*DiscreteStatsTable[Average])),0)</f>
        <v>0.15006283793025285</v>
      </c>
      <c r="O647" cm="1">
        <f t="array" ref="O647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47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47" cm="1">
        <f t="array" ref="R647">MIN(IF((DiscreteStatsTable[GroupByKey]=DiscreteStatsTable[[#This Row],[GroupByKey]]),(DiscreteStatsTable[GroupByKey]=DiscreteStatsTable[[#This Row],[GroupByKey]])*DiscreteStatsTable[Average]))</f>
        <v>0.14863412830584499</v>
      </c>
      <c r="S647" cm="1">
        <f t="array" ref="S647">MAX(IF((DiscreteStatsTable[GroupByKey]=DiscreteStatsTable[[#This Row],[GroupByKey]]),(DiscreteStatsTable[GroupByKey]=DiscreteStatsTable[[#This Row],[GroupByKey]])*DiscreteStatsTable[Average]))</f>
        <v>0.151606291486265</v>
      </c>
      <c r="T647" cm="1">
        <f t="array" ref="T647">MIN(IF((DiscreteStatsTable[GroupByKey]=DiscreteStatsTable[[#This Row],[GroupByKey]]),(DiscreteStatsTable[GroupByKey]=DiscreteStatsTable[[#This Row],[GroupByKey]])*DiscreteStatsTable[Minimum]))</f>
        <v>0.100000577163883</v>
      </c>
      <c r="U647" cm="1">
        <f t="array" ref="U647">MAX(IF((DiscreteStatsTable[GroupByKey]=DiscreteStatsTable[[#This Row],[GroupByKey]]),(DiscreteStatsTable[GroupByKey]=DiscreteStatsTable[[#This Row],[GroupByKey]])*DiscreteStatsTable[Maximum]))</f>
        <v>0.19999993084929499</v>
      </c>
      <c r="V647" cm="1">
        <f t="array" ref="V647">IFERROR(AVERAGE(IF((DiscreteStatsTable[GroupByKey]=DiscreteStatsTable[[#This Row],[GroupByKey]]),(DiscreteStatsTable[GroupByKey]=DiscreteStatsTable[[#This Row],[GroupByKey]])*DiscreteStatsTable[NumberObservations])),0)</f>
        <v>2262.66</v>
      </c>
      <c r="W647">
        <f>IF((DiscreteStatsTable[[#This Row],[RepsRequested]]&gt;1),DiscreteStatsTable[[#This Row],[HalfWidth]],DiscreteStatsTable[[#This Row],[BatchMeansHalfWidth]])</f>
        <v>1.7015423667850204E-4</v>
      </c>
      <c r="X647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131</v>
      </c>
      <c r="C648">
        <v>49</v>
      </c>
      <c r="D648" t="s">
        <v>86</v>
      </c>
      <c r="E648" t="s">
        <v>82</v>
      </c>
      <c r="F648" t="s">
        <v>80</v>
      </c>
      <c r="G648">
        <v>5.9368325950584597E-2</v>
      </c>
      <c r="H648">
        <v>5.4321399696575998E-3</v>
      </c>
      <c r="I648">
        <v>0</v>
      </c>
      <c r="J648">
        <v>0.65880988933959395</v>
      </c>
      <c r="K648">
        <v>2239</v>
      </c>
      <c r="L648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48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cm="1">
        <f t="array" ref="N648">IFERROR(AVERAGE(IF((DiscreteStatsTable[GroupByKey]=DiscreteStatsTable[[#This Row],[GroupByKey]]),(DiscreteStatsTable[GroupByKey]=DiscreteStatsTable[[#This Row],[GroupByKey]])*DiscreteStatsTable[Average])),0)</f>
        <v>6.8092291861787557E-2</v>
      </c>
      <c r="O648" cm="1">
        <f t="array" ref="O648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48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48" cm="1">
        <f t="array" ref="R648">MIN(IF((DiscreteStatsTable[GroupByKey]=DiscreteStatsTable[[#This Row],[GroupByKey]]),(DiscreteStatsTable[GroupByKey]=DiscreteStatsTable[[#This Row],[GroupByKey]])*DiscreteStatsTable[Average]))</f>
        <v>5.591228067423E-2</v>
      </c>
      <c r="S648" cm="1">
        <f t="array" ref="S648">MAX(IF((DiscreteStatsTable[GroupByKey]=DiscreteStatsTable[[#This Row],[GroupByKey]]),(DiscreteStatsTable[GroupByKey]=DiscreteStatsTable[[#This Row],[GroupByKey]])*DiscreteStatsTable[Average]))</f>
        <v>7.8817469083508104E-2</v>
      </c>
      <c r="T648" cm="1">
        <f t="array" ref="T648">MIN(IF((DiscreteStatsTable[GroupByKey]=DiscreteStatsTable[[#This Row],[GroupByKey]]),(DiscreteStatsTable[GroupByKey]=DiscreteStatsTable[[#This Row],[GroupByKey]])*DiscreteStatsTable[Minimum]))</f>
        <v>0</v>
      </c>
      <c r="U648" cm="1">
        <f t="array" ref="U648">MAX(IF((DiscreteStatsTable[GroupByKey]=DiscreteStatsTable[[#This Row],[GroupByKey]]),(DiscreteStatsTable[GroupByKey]=DiscreteStatsTable[[#This Row],[GroupByKey]])*DiscreteStatsTable[Maximum]))</f>
        <v>1.2170108122512</v>
      </c>
      <c r="V648" cm="1">
        <f t="array" ref="V648">IFERROR(AVERAGE(IF((DiscreteStatsTable[GroupByKey]=DiscreteStatsTable[[#This Row],[GroupByKey]]),(DiscreteStatsTable[GroupByKey]=DiscreteStatsTable[[#This Row],[GroupByKey]])*DiscreteStatsTable[NumberObservations])),0)</f>
        <v>2262.66</v>
      </c>
      <c r="W648">
        <f>IF((DiscreteStatsTable[[#This Row],[RepsRequested]]&gt;1),DiscreteStatsTable[[#This Row],[HalfWidth]],DiscreteStatsTable[[#This Row],[BatchMeansHalfWidth]])</f>
        <v>1.3221720552995685E-3</v>
      </c>
      <c r="X648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131</v>
      </c>
      <c r="C649">
        <v>50</v>
      </c>
      <c r="D649" t="s">
        <v>86</v>
      </c>
      <c r="E649" t="s">
        <v>79</v>
      </c>
      <c r="F649" t="s">
        <v>80</v>
      </c>
      <c r="G649">
        <v>0.21918274465794299</v>
      </c>
      <c r="H649">
        <v>1.20194238361145E-2</v>
      </c>
      <c r="I649">
        <v>0.100008251634847</v>
      </c>
      <c r="J649">
        <v>0.90689236695379805</v>
      </c>
      <c r="K649">
        <v>2292</v>
      </c>
      <c r="L649" t="str">
        <f>DiscreteStatsTable[[#This Row],[ProjectName]]&amp;DiscreteStatsTable[[#This Row],[Name]]&amp;DiscreteStatsTable[[#This Row],[Type]]&amp;DiscreteStatsTable[[#This Row],[Source]]</f>
        <v>PacientesRegistroTotal Time Per EntityProcess</v>
      </c>
      <c r="M649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cm="1">
        <f t="array" ref="N649">IFERROR(AVERAGE(IF((DiscreteStatsTable[GroupByKey]=DiscreteStatsTable[[#This Row],[GroupByKey]]),(DiscreteStatsTable[GroupByKey]=DiscreteStatsTable[[#This Row],[GroupByKey]])*DiscreteStatsTable[Average])),0)</f>
        <v>0.21815512979204044</v>
      </c>
      <c r="O649" cm="1">
        <f t="array" ref="O649">IFERROR(_xlfn.STDEV.S(IF((DiscreteStatsTable[GroupByKey]=DiscreteStatsTable[[#This Row],[GroupByKey]]),(DiscreteStatsTable[GroupByKey]=DiscreteStatsTable[[#This Row],[GroupByKey]])*DiscreteStatsTable[Average])),0)</f>
        <v>4.9005087946529672E-3</v>
      </c>
      <c r="P649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1.3927091897695423E-3</v>
      </c>
      <c r="R649" cm="1">
        <f t="array" ref="R649">MIN(IF((DiscreteStatsTable[GroupByKey]=DiscreteStatsTable[[#This Row],[GroupByKey]]),(DiscreteStatsTable[GroupByKey]=DiscreteStatsTable[[#This Row],[GroupByKey]])*DiscreteStatsTable[Average]))</f>
        <v>0.204996218905765</v>
      </c>
      <c r="S649" cm="1">
        <f t="array" ref="S649">MAX(IF((DiscreteStatsTable[GroupByKey]=DiscreteStatsTable[[#This Row],[GroupByKey]]),(DiscreteStatsTable[GroupByKey]=DiscreteStatsTable[[#This Row],[GroupByKey]])*DiscreteStatsTable[Average]))</f>
        <v>0.22907589413377599</v>
      </c>
      <c r="T649" cm="1">
        <f t="array" ref="T649">MIN(IF((DiscreteStatsTable[GroupByKey]=DiscreteStatsTable[[#This Row],[GroupByKey]]),(DiscreteStatsTable[GroupByKey]=DiscreteStatsTable[[#This Row],[GroupByKey]])*DiscreteStatsTable[Minimum]))</f>
        <v>0.100000577163883</v>
      </c>
      <c r="U649" cm="1">
        <f t="array" ref="U649">MAX(IF((DiscreteStatsTable[GroupByKey]=DiscreteStatsTable[[#This Row],[GroupByKey]]),(DiscreteStatsTable[GroupByKey]=DiscreteStatsTable[[#This Row],[GroupByKey]])*DiscreteStatsTable[Maximum]))</f>
        <v>1.41452080991047</v>
      </c>
      <c r="V649" cm="1">
        <f t="array" ref="V649">IFERROR(AVERAGE(IF((DiscreteStatsTable[GroupByKey]=DiscreteStatsTable[[#This Row],[GroupByKey]]),(DiscreteStatsTable[GroupByKey]=DiscreteStatsTable[[#This Row],[GroupByKey]])*DiscreteStatsTable[NumberObservations])),0)</f>
        <v>2262.66</v>
      </c>
      <c r="W649">
        <f>IF((DiscreteStatsTable[[#This Row],[RepsRequested]]&gt;1),DiscreteStatsTable[[#This Row],[HalfWidth]],DiscreteStatsTable[[#This Row],[BatchMeansHalfWidth]])</f>
        <v>1.3927091897695423E-3</v>
      </c>
      <c r="X649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131</v>
      </c>
      <c r="C650">
        <v>50</v>
      </c>
      <c r="D650" t="s">
        <v>86</v>
      </c>
      <c r="E650" t="s">
        <v>81</v>
      </c>
      <c r="F650" t="s">
        <v>80</v>
      </c>
      <c r="G650">
        <v>0.14974986266933299</v>
      </c>
      <c r="H650">
        <v>1.2697792999660201E-3</v>
      </c>
      <c r="I650">
        <v>0.100008251634847</v>
      </c>
      <c r="J650">
        <v>0.199982094717257</v>
      </c>
      <c r="K650">
        <v>2292</v>
      </c>
      <c r="L650" t="str">
        <f>DiscreteStatsTable[[#This Row],[ProjectName]]&amp;DiscreteStatsTable[[#This Row],[Name]]&amp;DiscreteStatsTable[[#This Row],[Type]]&amp;DiscreteStatsTable[[#This Row],[Source]]</f>
        <v>PacientesRegistroVA Time Per EntityProcess</v>
      </c>
      <c r="M650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cm="1">
        <f t="array" ref="N650">IFERROR(AVERAGE(IF((DiscreteStatsTable[GroupByKey]=DiscreteStatsTable[[#This Row],[GroupByKey]]),(DiscreteStatsTable[GroupByKey]=DiscreteStatsTable[[#This Row],[GroupByKey]])*DiscreteStatsTable[Average])),0)</f>
        <v>0.15006283793025285</v>
      </c>
      <c r="O650" cm="1">
        <f t="array" ref="O650">IFERROR(_xlfn.STDEV.S(IF((DiscreteStatsTable[GroupByKey]=DiscreteStatsTable[[#This Row],[GroupByKey]]),(DiscreteStatsTable[GroupByKey]=DiscreteStatsTable[[#This Row],[GroupByKey]])*DiscreteStatsTable[Average])),0)</f>
        <v>5.9871963179078413E-4</v>
      </c>
      <c r="P650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1.7015423667850204E-4</v>
      </c>
      <c r="R650" cm="1">
        <f t="array" ref="R650">MIN(IF((DiscreteStatsTable[GroupByKey]=DiscreteStatsTable[[#This Row],[GroupByKey]]),(DiscreteStatsTable[GroupByKey]=DiscreteStatsTable[[#This Row],[GroupByKey]])*DiscreteStatsTable[Average]))</f>
        <v>0.14863412830584499</v>
      </c>
      <c r="S650" cm="1">
        <f t="array" ref="S650">MAX(IF((DiscreteStatsTable[GroupByKey]=DiscreteStatsTable[[#This Row],[GroupByKey]]),(DiscreteStatsTable[GroupByKey]=DiscreteStatsTable[[#This Row],[GroupByKey]])*DiscreteStatsTable[Average]))</f>
        <v>0.151606291486265</v>
      </c>
      <c r="T650" cm="1">
        <f t="array" ref="T650">MIN(IF((DiscreteStatsTable[GroupByKey]=DiscreteStatsTable[[#This Row],[GroupByKey]]),(DiscreteStatsTable[GroupByKey]=DiscreteStatsTable[[#This Row],[GroupByKey]])*DiscreteStatsTable[Minimum]))</f>
        <v>0.100000577163883</v>
      </c>
      <c r="U650" cm="1">
        <f t="array" ref="U650">MAX(IF((DiscreteStatsTable[GroupByKey]=DiscreteStatsTable[[#This Row],[GroupByKey]]),(DiscreteStatsTable[GroupByKey]=DiscreteStatsTable[[#This Row],[GroupByKey]])*DiscreteStatsTable[Maximum]))</f>
        <v>0.19999993084929499</v>
      </c>
      <c r="V650" cm="1">
        <f t="array" ref="V650">IFERROR(AVERAGE(IF((DiscreteStatsTable[GroupByKey]=DiscreteStatsTable[[#This Row],[GroupByKey]]),(DiscreteStatsTable[GroupByKey]=DiscreteStatsTable[[#This Row],[GroupByKey]])*DiscreteStatsTable[NumberObservations])),0)</f>
        <v>2262.66</v>
      </c>
      <c r="W650">
        <f>IF((DiscreteStatsTable[[#This Row],[RepsRequested]]&gt;1),DiscreteStatsTable[[#This Row],[HalfWidth]],DiscreteStatsTable[[#This Row],[BatchMeansHalfWidth]])</f>
        <v>1.7015423667850204E-4</v>
      </c>
      <c r="X650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131</v>
      </c>
      <c r="C651">
        <v>50</v>
      </c>
      <c r="D651" t="s">
        <v>86</v>
      </c>
      <c r="E651" t="s">
        <v>82</v>
      </c>
      <c r="F651" t="s">
        <v>80</v>
      </c>
      <c r="G651">
        <v>6.9432881988610196E-2</v>
      </c>
      <c r="H651">
        <v>1.17671893383828E-2</v>
      </c>
      <c r="I651">
        <v>0</v>
      </c>
      <c r="J651">
        <v>0.77893442727810203</v>
      </c>
      <c r="K651">
        <v>2292</v>
      </c>
      <c r="L651" t="str">
        <f>DiscreteStatsTable[[#This Row],[ProjectName]]&amp;DiscreteStatsTable[[#This Row],[Name]]&amp;DiscreteStatsTable[[#This Row],[Type]]&amp;DiscreteStatsTable[[#This Row],[Source]]</f>
        <v>PacientesRegistroWait Time Per EntityProcess</v>
      </c>
      <c r="M651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cm="1">
        <f t="array" ref="N651">IFERROR(AVERAGE(IF((DiscreteStatsTable[GroupByKey]=DiscreteStatsTable[[#This Row],[GroupByKey]]),(DiscreteStatsTable[GroupByKey]=DiscreteStatsTable[[#This Row],[GroupByKey]])*DiscreteStatsTable[Average])),0)</f>
        <v>6.8092291861787557E-2</v>
      </c>
      <c r="O651" cm="1">
        <f t="array" ref="O651">IFERROR(_xlfn.STDEV.S(IF((DiscreteStatsTable[GroupByKey]=DiscreteStatsTable[[#This Row],[GroupByKey]]),(DiscreteStatsTable[GroupByKey]=DiscreteStatsTable[[#This Row],[GroupByKey]])*DiscreteStatsTable[Average])),0)</f>
        <v>4.6523106421894759E-3</v>
      </c>
      <c r="P651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1.3221720552995685E-3</v>
      </c>
      <c r="R651" cm="1">
        <f t="array" ref="R651">MIN(IF((DiscreteStatsTable[GroupByKey]=DiscreteStatsTable[[#This Row],[GroupByKey]]),(DiscreteStatsTable[GroupByKey]=DiscreteStatsTable[[#This Row],[GroupByKey]])*DiscreteStatsTable[Average]))</f>
        <v>5.591228067423E-2</v>
      </c>
      <c r="S651" cm="1">
        <f t="array" ref="S651">MAX(IF((DiscreteStatsTable[GroupByKey]=DiscreteStatsTable[[#This Row],[GroupByKey]]),(DiscreteStatsTable[GroupByKey]=DiscreteStatsTable[[#This Row],[GroupByKey]])*DiscreteStatsTable[Average]))</f>
        <v>7.8817469083508104E-2</v>
      </c>
      <c r="T651" cm="1">
        <f t="array" ref="T651">MIN(IF((DiscreteStatsTable[GroupByKey]=DiscreteStatsTable[[#This Row],[GroupByKey]]),(DiscreteStatsTable[GroupByKey]=DiscreteStatsTable[[#This Row],[GroupByKey]])*DiscreteStatsTable[Minimum]))</f>
        <v>0</v>
      </c>
      <c r="U651" cm="1">
        <f t="array" ref="U651">MAX(IF((DiscreteStatsTable[GroupByKey]=DiscreteStatsTable[[#This Row],[GroupByKey]]),(DiscreteStatsTable[GroupByKey]=DiscreteStatsTable[[#This Row],[GroupByKey]])*DiscreteStatsTable[Maximum]))</f>
        <v>1.2170108122512</v>
      </c>
      <c r="V651" cm="1">
        <f t="array" ref="V651">IFERROR(AVERAGE(IF((DiscreteStatsTable[GroupByKey]=DiscreteStatsTable[[#This Row],[GroupByKey]]),(DiscreteStatsTable[GroupByKey]=DiscreteStatsTable[[#This Row],[GroupByKey]])*DiscreteStatsTable[NumberObservations])),0)</f>
        <v>2262.66</v>
      </c>
      <c r="W651">
        <f>IF((DiscreteStatsTable[[#This Row],[RepsRequested]]&gt;1),DiscreteStatsTable[[#This Row],[HalfWidth]],DiscreteStatsTable[[#This Row],[BatchMeansHalfWidth]])</f>
        <v>1.3221720552995685E-3</v>
      </c>
      <c r="X651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131</v>
      </c>
      <c r="C652">
        <v>1</v>
      </c>
      <c r="D652" t="s">
        <v>87</v>
      </c>
      <c r="E652" t="s">
        <v>84</v>
      </c>
      <c r="F652" t="s">
        <v>85</v>
      </c>
      <c r="G652">
        <v>6.7626622789115395E-2</v>
      </c>
      <c r="H652">
        <v>1.15330201428595E-2</v>
      </c>
      <c r="I652">
        <v>0</v>
      </c>
      <c r="J652">
        <v>1.02693100144771</v>
      </c>
      <c r="K652">
        <v>2274</v>
      </c>
      <c r="L652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52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cm="1">
        <f t="array" ref="N652">IFERROR(AVERAGE(IF((DiscreteStatsTable[GroupByKey]=DiscreteStatsTable[[#This Row],[GroupByKey]]),(DiscreteStatsTable[GroupByKey]=DiscreteStatsTable[[#This Row],[GroupByKey]])*DiscreteStatsTable[Average])),0)</f>
        <v>6.8098620832941548E-2</v>
      </c>
      <c r="O652" cm="1">
        <f t="array" ref="O652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52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52" cm="1">
        <f t="array" ref="R652">MIN(IF((DiscreteStatsTable[GroupByKey]=DiscreteStatsTable[[#This Row],[GroupByKey]]),(DiscreteStatsTable[GroupByKey]=DiscreteStatsTable[[#This Row],[GroupByKey]])*DiscreteStatsTable[Average]))</f>
        <v>5.5993386493398203E-2</v>
      </c>
      <c r="S652" cm="1">
        <f t="array" ref="S652">MAX(IF((DiscreteStatsTable[GroupByKey]=DiscreteStatsTable[[#This Row],[GroupByKey]]),(DiscreteStatsTable[GroupByKey]=DiscreteStatsTable[[#This Row],[GroupByKey]])*DiscreteStatsTable[Average]))</f>
        <v>7.8817469083508104E-2</v>
      </c>
      <c r="T652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cm="1">
        <f t="array" ref="U652">MAX(IF((DiscreteStatsTable[GroupByKey]=DiscreteStatsTable[[#This Row],[GroupByKey]]),(DiscreteStatsTable[GroupByKey]=DiscreteStatsTable[[#This Row],[GroupByKey]])*DiscreteStatsTable[Maximum]))</f>
        <v>1.2170108122512</v>
      </c>
      <c r="V652" cm="1">
        <f t="array" ref="V652">IFERROR(AVERAGE(IF((DiscreteStatsTable[GroupByKey]=DiscreteStatsTable[[#This Row],[GroupByKey]]),(DiscreteStatsTable[GroupByKey]=DiscreteStatsTable[[#This Row],[GroupByKey]])*DiscreteStatsTable[NumberObservations])),0)</f>
        <v>2263.14</v>
      </c>
      <c r="W652">
        <f>IF((DiscreteStatsTable[[#This Row],[RepsRequested]]&gt;1),DiscreteStatsTable[[#This Row],[HalfWidth]],DiscreteStatsTable[[#This Row],[BatchMeansHalfWidth]])</f>
        <v>1.3194809635704845E-3</v>
      </c>
      <c r="X652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131</v>
      </c>
      <c r="C653">
        <v>2</v>
      </c>
      <c r="D653" t="s">
        <v>87</v>
      </c>
      <c r="E653" t="s">
        <v>84</v>
      </c>
      <c r="F653" t="s">
        <v>85</v>
      </c>
      <c r="G653">
        <v>6.4484899422145803E-2</v>
      </c>
      <c r="H653">
        <v>7.8499405028640001E-3</v>
      </c>
      <c r="I653">
        <v>0</v>
      </c>
      <c r="J653">
        <v>0.53847934231134797</v>
      </c>
      <c r="K653">
        <v>2281</v>
      </c>
      <c r="L653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53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cm="1">
        <f t="array" ref="N653">IFERROR(AVERAGE(IF((DiscreteStatsTable[GroupByKey]=DiscreteStatsTable[[#This Row],[GroupByKey]]),(DiscreteStatsTable[GroupByKey]=DiscreteStatsTable[[#This Row],[GroupByKey]])*DiscreteStatsTable[Average])),0)</f>
        <v>6.8098620832941548E-2</v>
      </c>
      <c r="O653" cm="1">
        <f t="array" ref="O653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53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53" cm="1">
        <f t="array" ref="R653">MIN(IF((DiscreteStatsTable[GroupByKey]=DiscreteStatsTable[[#This Row],[GroupByKey]]),(DiscreteStatsTable[GroupByKey]=DiscreteStatsTable[[#This Row],[GroupByKey]])*DiscreteStatsTable[Average]))</f>
        <v>5.5993386493398203E-2</v>
      </c>
      <c r="S653" cm="1">
        <f t="array" ref="S653">MAX(IF((DiscreteStatsTable[GroupByKey]=DiscreteStatsTable[[#This Row],[GroupByKey]]),(DiscreteStatsTable[GroupByKey]=DiscreteStatsTable[[#This Row],[GroupByKey]])*DiscreteStatsTable[Average]))</f>
        <v>7.8817469083508104E-2</v>
      </c>
      <c r="T653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cm="1">
        <f t="array" ref="U653">MAX(IF((DiscreteStatsTable[GroupByKey]=DiscreteStatsTable[[#This Row],[GroupByKey]]),(DiscreteStatsTable[GroupByKey]=DiscreteStatsTable[[#This Row],[GroupByKey]])*DiscreteStatsTable[Maximum]))</f>
        <v>1.2170108122512</v>
      </c>
      <c r="V653" cm="1">
        <f t="array" ref="V653">IFERROR(AVERAGE(IF((DiscreteStatsTable[GroupByKey]=DiscreteStatsTable[[#This Row],[GroupByKey]]),(DiscreteStatsTable[GroupByKey]=DiscreteStatsTable[[#This Row],[GroupByKey]])*DiscreteStatsTable[NumberObservations])),0)</f>
        <v>2263.14</v>
      </c>
      <c r="W653">
        <f>IF((DiscreteStatsTable[[#This Row],[RepsRequested]]&gt;1),DiscreteStatsTable[[#This Row],[HalfWidth]],DiscreteStatsTable[[#This Row],[BatchMeansHalfWidth]])</f>
        <v>1.3194809635704845E-3</v>
      </c>
      <c r="X653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131</v>
      </c>
      <c r="C654">
        <v>3</v>
      </c>
      <c r="D654" t="s">
        <v>87</v>
      </c>
      <c r="E654" t="s">
        <v>84</v>
      </c>
      <c r="F654" t="s">
        <v>85</v>
      </c>
      <c r="G654">
        <v>5.5993386493398203E-2</v>
      </c>
      <c r="H654">
        <v>6.6923641798625E-3</v>
      </c>
      <c r="I654">
        <v>0</v>
      </c>
      <c r="J654">
        <v>0.60456890138667896</v>
      </c>
      <c r="K654">
        <v>2217</v>
      </c>
      <c r="L654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54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cm="1">
        <f t="array" ref="N654">IFERROR(AVERAGE(IF((DiscreteStatsTable[GroupByKey]=DiscreteStatsTable[[#This Row],[GroupByKey]]),(DiscreteStatsTable[GroupByKey]=DiscreteStatsTable[[#This Row],[GroupByKey]])*DiscreteStatsTable[Average])),0)</f>
        <v>6.8098620832941548E-2</v>
      </c>
      <c r="O654" cm="1">
        <f t="array" ref="O654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54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54" cm="1">
        <f t="array" ref="R654">MIN(IF((DiscreteStatsTable[GroupByKey]=DiscreteStatsTable[[#This Row],[GroupByKey]]),(DiscreteStatsTable[GroupByKey]=DiscreteStatsTable[[#This Row],[GroupByKey]])*DiscreteStatsTable[Average]))</f>
        <v>5.5993386493398203E-2</v>
      </c>
      <c r="S654" cm="1">
        <f t="array" ref="S654">MAX(IF((DiscreteStatsTable[GroupByKey]=DiscreteStatsTable[[#This Row],[GroupByKey]]),(DiscreteStatsTable[GroupByKey]=DiscreteStatsTable[[#This Row],[GroupByKey]])*DiscreteStatsTable[Average]))</f>
        <v>7.8817469083508104E-2</v>
      </c>
      <c r="T654" cm="1">
        <f t="array" ref="T654">MIN(IF((DiscreteStatsTable[GroupByKey]=DiscreteStatsTable[[#This Row],[GroupByKey]]),(DiscreteStatsTable[GroupByKey]=DiscreteStatsTable[[#This Row],[GroupByKey]])*DiscreteStatsTable[Minimum]))</f>
        <v>0</v>
      </c>
      <c r="U654" cm="1">
        <f t="array" ref="U654">MAX(IF((DiscreteStatsTable[GroupByKey]=DiscreteStatsTable[[#This Row],[GroupByKey]]),(DiscreteStatsTable[GroupByKey]=DiscreteStatsTable[[#This Row],[GroupByKey]])*DiscreteStatsTable[Maximum]))</f>
        <v>1.2170108122512</v>
      </c>
      <c r="V654" cm="1">
        <f t="array" ref="V654">IFERROR(AVERAGE(IF((DiscreteStatsTable[GroupByKey]=DiscreteStatsTable[[#This Row],[GroupByKey]]),(DiscreteStatsTable[GroupByKey]=DiscreteStatsTable[[#This Row],[GroupByKey]])*DiscreteStatsTable[NumberObservations])),0)</f>
        <v>2263.14</v>
      </c>
      <c r="W654">
        <f>IF((DiscreteStatsTable[[#This Row],[RepsRequested]]&gt;1),DiscreteStatsTable[[#This Row],[HalfWidth]],DiscreteStatsTable[[#This Row],[BatchMeansHalfWidth]])</f>
        <v>1.3194809635704845E-3</v>
      </c>
      <c r="X654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131</v>
      </c>
      <c r="C655">
        <v>4</v>
      </c>
      <c r="D655" t="s">
        <v>87</v>
      </c>
      <c r="E655" t="s">
        <v>84</v>
      </c>
      <c r="F655" t="s">
        <v>85</v>
      </c>
      <c r="G655">
        <v>6.2702949446474004E-2</v>
      </c>
      <c r="H655">
        <v>8.3178778207005696E-3</v>
      </c>
      <c r="I655">
        <v>0</v>
      </c>
      <c r="J655">
        <v>0.65232100428784201</v>
      </c>
      <c r="K655">
        <v>2231</v>
      </c>
      <c r="L655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5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cm="1">
        <f t="array" ref="N655">IFERROR(AVERAGE(IF((DiscreteStatsTable[GroupByKey]=DiscreteStatsTable[[#This Row],[GroupByKey]]),(DiscreteStatsTable[GroupByKey]=DiscreteStatsTable[[#This Row],[GroupByKey]])*DiscreteStatsTable[Average])),0)</f>
        <v>6.8098620832941548E-2</v>
      </c>
      <c r="O655" cm="1">
        <f t="array" ref="O655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5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55" cm="1">
        <f t="array" ref="R655">MIN(IF((DiscreteStatsTable[GroupByKey]=DiscreteStatsTable[[#This Row],[GroupByKey]]),(DiscreteStatsTable[GroupByKey]=DiscreteStatsTable[[#This Row],[GroupByKey]])*DiscreteStatsTable[Average]))</f>
        <v>5.5993386493398203E-2</v>
      </c>
      <c r="S655" cm="1">
        <f t="array" ref="S655">MAX(IF((DiscreteStatsTable[GroupByKey]=DiscreteStatsTable[[#This Row],[GroupByKey]]),(DiscreteStatsTable[GroupByKey]=DiscreteStatsTable[[#This Row],[GroupByKey]])*DiscreteStatsTable[Average]))</f>
        <v>7.8817469083508104E-2</v>
      </c>
      <c r="T655" cm="1">
        <f t="array" ref="T655">MIN(IF((DiscreteStatsTable[GroupByKey]=DiscreteStatsTable[[#This Row],[GroupByKey]]),(DiscreteStatsTable[GroupByKey]=DiscreteStatsTable[[#This Row],[GroupByKey]])*DiscreteStatsTable[Minimum]))</f>
        <v>0</v>
      </c>
      <c r="U655" cm="1">
        <f t="array" ref="U655">MAX(IF((DiscreteStatsTable[GroupByKey]=DiscreteStatsTable[[#This Row],[GroupByKey]]),(DiscreteStatsTable[GroupByKey]=DiscreteStatsTable[[#This Row],[GroupByKey]])*DiscreteStatsTable[Maximum]))</f>
        <v>1.2170108122512</v>
      </c>
      <c r="V655" cm="1">
        <f t="array" ref="V655">IFERROR(AVERAGE(IF((DiscreteStatsTable[GroupByKey]=DiscreteStatsTable[[#This Row],[GroupByKey]]),(DiscreteStatsTable[GroupByKey]=DiscreteStatsTable[[#This Row],[GroupByKey]])*DiscreteStatsTable[NumberObservations])),0)</f>
        <v>2263.14</v>
      </c>
      <c r="W655">
        <f>IF((DiscreteStatsTable[[#This Row],[RepsRequested]]&gt;1),DiscreteStatsTable[[#This Row],[HalfWidth]],DiscreteStatsTable[[#This Row],[BatchMeansHalfWidth]])</f>
        <v>1.3194809635704845E-3</v>
      </c>
      <c r="X65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131</v>
      </c>
      <c r="C656">
        <v>5</v>
      </c>
      <c r="D656" t="s">
        <v>87</v>
      </c>
      <c r="E656" t="s">
        <v>84</v>
      </c>
      <c r="F656" t="s">
        <v>85</v>
      </c>
      <c r="G656">
        <v>6.27105553984416E-2</v>
      </c>
      <c r="H656">
        <v>8.9819236120082108E-3</v>
      </c>
      <c r="I656">
        <v>0</v>
      </c>
      <c r="J656">
        <v>0.62007862755060095</v>
      </c>
      <c r="K656">
        <v>2201</v>
      </c>
      <c r="L656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56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cm="1">
        <f t="array" ref="N656">IFERROR(AVERAGE(IF((DiscreteStatsTable[GroupByKey]=DiscreteStatsTable[[#This Row],[GroupByKey]]),(DiscreteStatsTable[GroupByKey]=DiscreteStatsTable[[#This Row],[GroupByKey]])*DiscreteStatsTable[Average])),0)</f>
        <v>6.8098620832941548E-2</v>
      </c>
      <c r="O656" cm="1">
        <f t="array" ref="O656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56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56" cm="1">
        <f t="array" ref="R656">MIN(IF((DiscreteStatsTable[GroupByKey]=DiscreteStatsTable[[#This Row],[GroupByKey]]),(DiscreteStatsTable[GroupByKey]=DiscreteStatsTable[[#This Row],[GroupByKey]])*DiscreteStatsTable[Average]))</f>
        <v>5.5993386493398203E-2</v>
      </c>
      <c r="S656" cm="1">
        <f t="array" ref="S656">MAX(IF((DiscreteStatsTable[GroupByKey]=DiscreteStatsTable[[#This Row],[GroupByKey]]),(DiscreteStatsTable[GroupByKey]=DiscreteStatsTable[[#This Row],[GroupByKey]])*DiscreteStatsTable[Average]))</f>
        <v>7.8817469083508104E-2</v>
      </c>
      <c r="T656" cm="1">
        <f t="array" ref="T656">MIN(IF((DiscreteStatsTable[GroupByKey]=DiscreteStatsTable[[#This Row],[GroupByKey]]),(DiscreteStatsTable[GroupByKey]=DiscreteStatsTable[[#This Row],[GroupByKey]])*DiscreteStatsTable[Minimum]))</f>
        <v>0</v>
      </c>
      <c r="U656" cm="1">
        <f t="array" ref="U656">MAX(IF((DiscreteStatsTable[GroupByKey]=DiscreteStatsTable[[#This Row],[GroupByKey]]),(DiscreteStatsTable[GroupByKey]=DiscreteStatsTable[[#This Row],[GroupByKey]])*DiscreteStatsTable[Maximum]))</f>
        <v>1.2170108122512</v>
      </c>
      <c r="V656" cm="1">
        <f t="array" ref="V656">IFERROR(AVERAGE(IF((DiscreteStatsTable[GroupByKey]=DiscreteStatsTable[[#This Row],[GroupByKey]]),(DiscreteStatsTable[GroupByKey]=DiscreteStatsTable[[#This Row],[GroupByKey]])*DiscreteStatsTable[NumberObservations])),0)</f>
        <v>2263.14</v>
      </c>
      <c r="W656">
        <f>IF((DiscreteStatsTable[[#This Row],[RepsRequested]]&gt;1),DiscreteStatsTable[[#This Row],[HalfWidth]],DiscreteStatsTable[[#This Row],[BatchMeansHalfWidth]])</f>
        <v>1.3194809635704845E-3</v>
      </c>
      <c r="X656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131</v>
      </c>
      <c r="C657">
        <v>6</v>
      </c>
      <c r="D657" t="s">
        <v>87</v>
      </c>
      <c r="E657" t="s">
        <v>84</v>
      </c>
      <c r="F657" t="s">
        <v>85</v>
      </c>
      <c r="G657">
        <v>7.4786801041271306E-2</v>
      </c>
      <c r="H657">
        <v>1.1634777018962201E-2</v>
      </c>
      <c r="I657">
        <v>0</v>
      </c>
      <c r="J657">
        <v>0.72150975886023605</v>
      </c>
      <c r="K657">
        <v>2386</v>
      </c>
      <c r="L657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57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cm="1">
        <f t="array" ref="N657">IFERROR(AVERAGE(IF((DiscreteStatsTable[GroupByKey]=DiscreteStatsTable[[#This Row],[GroupByKey]]),(DiscreteStatsTable[GroupByKey]=DiscreteStatsTable[[#This Row],[GroupByKey]])*DiscreteStatsTable[Average])),0)</f>
        <v>6.8098620832941548E-2</v>
      </c>
      <c r="O657" cm="1">
        <f t="array" ref="O657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57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57" cm="1">
        <f t="array" ref="R657">MIN(IF((DiscreteStatsTable[GroupByKey]=DiscreteStatsTable[[#This Row],[GroupByKey]]),(DiscreteStatsTable[GroupByKey]=DiscreteStatsTable[[#This Row],[GroupByKey]])*DiscreteStatsTable[Average]))</f>
        <v>5.5993386493398203E-2</v>
      </c>
      <c r="S657" cm="1">
        <f t="array" ref="S657">MAX(IF((DiscreteStatsTable[GroupByKey]=DiscreteStatsTable[[#This Row],[GroupByKey]]),(DiscreteStatsTable[GroupByKey]=DiscreteStatsTable[[#This Row],[GroupByKey]])*DiscreteStatsTable[Average]))</f>
        <v>7.8817469083508104E-2</v>
      </c>
      <c r="T657" cm="1">
        <f t="array" ref="T657">MIN(IF((DiscreteStatsTable[GroupByKey]=DiscreteStatsTable[[#This Row],[GroupByKey]]),(DiscreteStatsTable[GroupByKey]=DiscreteStatsTable[[#This Row],[GroupByKey]])*DiscreteStatsTable[Minimum]))</f>
        <v>0</v>
      </c>
      <c r="U657" cm="1">
        <f t="array" ref="U657">MAX(IF((DiscreteStatsTable[GroupByKey]=DiscreteStatsTable[[#This Row],[GroupByKey]]),(DiscreteStatsTable[GroupByKey]=DiscreteStatsTable[[#This Row],[GroupByKey]])*DiscreteStatsTable[Maximum]))</f>
        <v>1.2170108122512</v>
      </c>
      <c r="V657" cm="1">
        <f t="array" ref="V657">IFERROR(AVERAGE(IF((DiscreteStatsTable[GroupByKey]=DiscreteStatsTable[[#This Row],[GroupByKey]]),(DiscreteStatsTable[GroupByKey]=DiscreteStatsTable[[#This Row],[GroupByKey]])*DiscreteStatsTable[NumberObservations])),0)</f>
        <v>2263.14</v>
      </c>
      <c r="W657">
        <f>IF((DiscreteStatsTable[[#This Row],[RepsRequested]]&gt;1),DiscreteStatsTable[[#This Row],[HalfWidth]],DiscreteStatsTable[[#This Row],[BatchMeansHalfWidth]])</f>
        <v>1.3194809635704845E-3</v>
      </c>
      <c r="X657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131</v>
      </c>
      <c r="C658">
        <v>7</v>
      </c>
      <c r="D658" t="s">
        <v>87</v>
      </c>
      <c r="E658" t="s">
        <v>84</v>
      </c>
      <c r="F658" t="s">
        <v>85</v>
      </c>
      <c r="G658">
        <v>7.8817469083508104E-2</v>
      </c>
      <c r="H658">
        <v>1.16143910487784E-2</v>
      </c>
      <c r="I658">
        <v>0</v>
      </c>
      <c r="J658">
        <v>1.00890483460083</v>
      </c>
      <c r="K658">
        <v>2254</v>
      </c>
      <c r="L658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58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cm="1">
        <f t="array" ref="N658">IFERROR(AVERAGE(IF((DiscreteStatsTable[GroupByKey]=DiscreteStatsTable[[#This Row],[GroupByKey]]),(DiscreteStatsTable[GroupByKey]=DiscreteStatsTable[[#This Row],[GroupByKey]])*DiscreteStatsTable[Average])),0)</f>
        <v>6.8098620832941548E-2</v>
      </c>
      <c r="O658" cm="1">
        <f t="array" ref="O658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58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58" cm="1">
        <f t="array" ref="R658">MIN(IF((DiscreteStatsTable[GroupByKey]=DiscreteStatsTable[[#This Row],[GroupByKey]]),(DiscreteStatsTable[GroupByKey]=DiscreteStatsTable[[#This Row],[GroupByKey]])*DiscreteStatsTable[Average]))</f>
        <v>5.5993386493398203E-2</v>
      </c>
      <c r="S658" cm="1">
        <f t="array" ref="S658">MAX(IF((DiscreteStatsTable[GroupByKey]=DiscreteStatsTable[[#This Row],[GroupByKey]]),(DiscreteStatsTable[GroupByKey]=DiscreteStatsTable[[#This Row],[GroupByKey]])*DiscreteStatsTable[Average]))</f>
        <v>7.8817469083508104E-2</v>
      </c>
      <c r="T658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cm="1">
        <f t="array" ref="U658">MAX(IF((DiscreteStatsTable[GroupByKey]=DiscreteStatsTable[[#This Row],[GroupByKey]]),(DiscreteStatsTable[GroupByKey]=DiscreteStatsTable[[#This Row],[GroupByKey]])*DiscreteStatsTable[Maximum]))</f>
        <v>1.2170108122512</v>
      </c>
      <c r="V658" cm="1">
        <f t="array" ref="V658">IFERROR(AVERAGE(IF((DiscreteStatsTable[GroupByKey]=DiscreteStatsTable[[#This Row],[GroupByKey]]),(DiscreteStatsTable[GroupByKey]=DiscreteStatsTable[[#This Row],[GroupByKey]])*DiscreteStatsTable[NumberObservations])),0)</f>
        <v>2263.14</v>
      </c>
      <c r="W658">
        <f>IF((DiscreteStatsTable[[#This Row],[RepsRequested]]&gt;1),DiscreteStatsTable[[#This Row],[HalfWidth]],DiscreteStatsTable[[#This Row],[BatchMeansHalfWidth]])</f>
        <v>1.3194809635704845E-3</v>
      </c>
      <c r="X658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131</v>
      </c>
      <c r="C659">
        <v>8</v>
      </c>
      <c r="D659" t="s">
        <v>87</v>
      </c>
      <c r="E659" t="s">
        <v>84</v>
      </c>
      <c r="F659" t="s">
        <v>85</v>
      </c>
      <c r="G659">
        <v>7.3940968319360201E-2</v>
      </c>
      <c r="H659">
        <v>1.80332558073713E-2</v>
      </c>
      <c r="I659">
        <v>0</v>
      </c>
      <c r="J659">
        <v>0.95707773954825404</v>
      </c>
      <c r="K659">
        <v>2266</v>
      </c>
      <c r="L659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59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cm="1">
        <f t="array" ref="N659">IFERROR(AVERAGE(IF((DiscreteStatsTable[GroupByKey]=DiscreteStatsTable[[#This Row],[GroupByKey]]),(DiscreteStatsTable[GroupByKey]=DiscreteStatsTable[[#This Row],[GroupByKey]])*DiscreteStatsTable[Average])),0)</f>
        <v>6.8098620832941548E-2</v>
      </c>
      <c r="O659" cm="1">
        <f t="array" ref="O659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59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59" cm="1">
        <f t="array" ref="R659">MIN(IF((DiscreteStatsTable[GroupByKey]=DiscreteStatsTable[[#This Row],[GroupByKey]]),(DiscreteStatsTable[GroupByKey]=DiscreteStatsTable[[#This Row],[GroupByKey]])*DiscreteStatsTable[Average]))</f>
        <v>5.5993386493398203E-2</v>
      </c>
      <c r="S659" cm="1">
        <f t="array" ref="S659">MAX(IF((DiscreteStatsTable[GroupByKey]=DiscreteStatsTable[[#This Row],[GroupByKey]]),(DiscreteStatsTable[GroupByKey]=DiscreteStatsTable[[#This Row],[GroupByKey]])*DiscreteStatsTable[Average]))</f>
        <v>7.8817469083508104E-2</v>
      </c>
      <c r="T659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cm="1">
        <f t="array" ref="U659">MAX(IF((DiscreteStatsTable[GroupByKey]=DiscreteStatsTable[[#This Row],[GroupByKey]]),(DiscreteStatsTable[GroupByKey]=DiscreteStatsTable[[#This Row],[GroupByKey]])*DiscreteStatsTable[Maximum]))</f>
        <v>1.2170108122512</v>
      </c>
      <c r="V659" cm="1">
        <f t="array" ref="V659">IFERROR(AVERAGE(IF((DiscreteStatsTable[GroupByKey]=DiscreteStatsTable[[#This Row],[GroupByKey]]),(DiscreteStatsTable[GroupByKey]=DiscreteStatsTable[[#This Row],[GroupByKey]])*DiscreteStatsTable[NumberObservations])),0)</f>
        <v>2263.14</v>
      </c>
      <c r="W659">
        <f>IF((DiscreteStatsTable[[#This Row],[RepsRequested]]&gt;1),DiscreteStatsTable[[#This Row],[HalfWidth]],DiscreteStatsTable[[#This Row],[BatchMeansHalfWidth]])</f>
        <v>1.3194809635704845E-3</v>
      </c>
      <c r="X659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131</v>
      </c>
      <c r="C660">
        <v>9</v>
      </c>
      <c r="D660" t="s">
        <v>87</v>
      </c>
      <c r="E660" t="s">
        <v>84</v>
      </c>
      <c r="F660" t="s">
        <v>85</v>
      </c>
      <c r="G660">
        <v>7.0014708200112297E-2</v>
      </c>
      <c r="H660">
        <v>9.1562860835176802E-3</v>
      </c>
      <c r="I660">
        <v>0</v>
      </c>
      <c r="J660">
        <v>0.77925978802812801</v>
      </c>
      <c r="K660">
        <v>2254</v>
      </c>
      <c r="L660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60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cm="1">
        <f t="array" ref="N660">IFERROR(AVERAGE(IF((DiscreteStatsTable[GroupByKey]=DiscreteStatsTable[[#This Row],[GroupByKey]]),(DiscreteStatsTable[GroupByKey]=DiscreteStatsTable[[#This Row],[GroupByKey]])*DiscreteStatsTable[Average])),0)</f>
        <v>6.8098620832941548E-2</v>
      </c>
      <c r="O660" cm="1">
        <f t="array" ref="O660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60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60" cm="1">
        <f t="array" ref="R660">MIN(IF((DiscreteStatsTable[GroupByKey]=DiscreteStatsTable[[#This Row],[GroupByKey]]),(DiscreteStatsTable[GroupByKey]=DiscreteStatsTable[[#This Row],[GroupByKey]])*DiscreteStatsTable[Average]))</f>
        <v>5.5993386493398203E-2</v>
      </c>
      <c r="S660" cm="1">
        <f t="array" ref="S660">MAX(IF((DiscreteStatsTable[GroupByKey]=DiscreteStatsTable[[#This Row],[GroupByKey]]),(DiscreteStatsTable[GroupByKey]=DiscreteStatsTable[[#This Row],[GroupByKey]])*DiscreteStatsTable[Average]))</f>
        <v>7.8817469083508104E-2</v>
      </c>
      <c r="T660" cm="1">
        <f t="array" ref="T660">MIN(IF((DiscreteStatsTable[GroupByKey]=DiscreteStatsTable[[#This Row],[GroupByKey]]),(DiscreteStatsTable[GroupByKey]=DiscreteStatsTable[[#This Row],[GroupByKey]])*DiscreteStatsTable[Minimum]))</f>
        <v>0</v>
      </c>
      <c r="U660" cm="1">
        <f t="array" ref="U660">MAX(IF((DiscreteStatsTable[GroupByKey]=DiscreteStatsTable[[#This Row],[GroupByKey]]),(DiscreteStatsTable[GroupByKey]=DiscreteStatsTable[[#This Row],[GroupByKey]])*DiscreteStatsTable[Maximum]))</f>
        <v>1.2170108122512</v>
      </c>
      <c r="V660" cm="1">
        <f t="array" ref="V660">IFERROR(AVERAGE(IF((DiscreteStatsTable[GroupByKey]=DiscreteStatsTable[[#This Row],[GroupByKey]]),(DiscreteStatsTable[GroupByKey]=DiscreteStatsTable[[#This Row],[GroupByKey]])*DiscreteStatsTable[NumberObservations])),0)</f>
        <v>2263.14</v>
      </c>
      <c r="W660">
        <f>IF((DiscreteStatsTable[[#This Row],[RepsRequested]]&gt;1),DiscreteStatsTable[[#This Row],[HalfWidth]],DiscreteStatsTable[[#This Row],[BatchMeansHalfWidth]])</f>
        <v>1.3194809635704845E-3</v>
      </c>
      <c r="X660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131</v>
      </c>
      <c r="C661">
        <v>10</v>
      </c>
      <c r="D661" t="s">
        <v>87</v>
      </c>
      <c r="E661" t="s">
        <v>84</v>
      </c>
      <c r="F661" t="s">
        <v>85</v>
      </c>
      <c r="G661">
        <v>7.0687988545084804E-2</v>
      </c>
      <c r="H661">
        <v>9.1926129259966502E-3</v>
      </c>
      <c r="I661">
        <v>0</v>
      </c>
      <c r="J661">
        <v>0.64159900266133696</v>
      </c>
      <c r="K661">
        <v>2372</v>
      </c>
      <c r="L661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61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cm="1">
        <f t="array" ref="N661">IFERROR(AVERAGE(IF((DiscreteStatsTable[GroupByKey]=DiscreteStatsTable[[#This Row],[GroupByKey]]),(DiscreteStatsTable[GroupByKey]=DiscreteStatsTable[[#This Row],[GroupByKey]])*DiscreteStatsTable[Average])),0)</f>
        <v>6.8098620832941548E-2</v>
      </c>
      <c r="O661" cm="1">
        <f t="array" ref="O661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61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61" cm="1">
        <f t="array" ref="R661">MIN(IF((DiscreteStatsTable[GroupByKey]=DiscreteStatsTable[[#This Row],[GroupByKey]]),(DiscreteStatsTable[GroupByKey]=DiscreteStatsTable[[#This Row],[GroupByKey]])*DiscreteStatsTable[Average]))</f>
        <v>5.5993386493398203E-2</v>
      </c>
      <c r="S661" cm="1">
        <f t="array" ref="S661">MAX(IF((DiscreteStatsTable[GroupByKey]=DiscreteStatsTable[[#This Row],[GroupByKey]]),(DiscreteStatsTable[GroupByKey]=DiscreteStatsTable[[#This Row],[GroupByKey]])*DiscreteStatsTable[Average]))</f>
        <v>7.8817469083508104E-2</v>
      </c>
      <c r="T661" cm="1">
        <f t="array" ref="T661">MIN(IF((DiscreteStatsTable[GroupByKey]=DiscreteStatsTable[[#This Row],[GroupByKey]]),(DiscreteStatsTable[GroupByKey]=DiscreteStatsTable[[#This Row],[GroupByKey]])*DiscreteStatsTable[Minimum]))</f>
        <v>0</v>
      </c>
      <c r="U661" cm="1">
        <f t="array" ref="U661">MAX(IF((DiscreteStatsTable[GroupByKey]=DiscreteStatsTable[[#This Row],[GroupByKey]]),(DiscreteStatsTable[GroupByKey]=DiscreteStatsTable[[#This Row],[GroupByKey]])*DiscreteStatsTable[Maximum]))</f>
        <v>1.2170108122512</v>
      </c>
      <c r="V661" cm="1">
        <f t="array" ref="V661">IFERROR(AVERAGE(IF((DiscreteStatsTable[GroupByKey]=DiscreteStatsTable[[#This Row],[GroupByKey]]),(DiscreteStatsTable[GroupByKey]=DiscreteStatsTable[[#This Row],[GroupByKey]])*DiscreteStatsTable[NumberObservations])),0)</f>
        <v>2263.14</v>
      </c>
      <c r="W661">
        <f>IF((DiscreteStatsTable[[#This Row],[RepsRequested]]&gt;1),DiscreteStatsTable[[#This Row],[HalfWidth]],DiscreteStatsTable[[#This Row],[BatchMeansHalfWidth]])</f>
        <v>1.3194809635704845E-3</v>
      </c>
      <c r="X661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131</v>
      </c>
      <c r="C662">
        <v>11</v>
      </c>
      <c r="D662" t="s">
        <v>87</v>
      </c>
      <c r="E662" t="s">
        <v>84</v>
      </c>
      <c r="F662" t="s">
        <v>85</v>
      </c>
      <c r="G662">
        <v>6.6731908815824095E-2</v>
      </c>
      <c r="H662">
        <v>1.05431418170272E-2</v>
      </c>
      <c r="I662">
        <v>0</v>
      </c>
      <c r="J662">
        <v>0.79820374490742596</v>
      </c>
      <c r="K662">
        <v>2308</v>
      </c>
      <c r="L662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62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cm="1">
        <f t="array" ref="N662">IFERROR(AVERAGE(IF((DiscreteStatsTable[GroupByKey]=DiscreteStatsTable[[#This Row],[GroupByKey]]),(DiscreteStatsTable[GroupByKey]=DiscreteStatsTable[[#This Row],[GroupByKey]])*DiscreteStatsTable[Average])),0)</f>
        <v>6.8098620832941548E-2</v>
      </c>
      <c r="O662" cm="1">
        <f t="array" ref="O662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62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62" cm="1">
        <f t="array" ref="R662">MIN(IF((DiscreteStatsTable[GroupByKey]=DiscreteStatsTable[[#This Row],[GroupByKey]]),(DiscreteStatsTable[GroupByKey]=DiscreteStatsTable[[#This Row],[GroupByKey]])*DiscreteStatsTable[Average]))</f>
        <v>5.5993386493398203E-2</v>
      </c>
      <c r="S662" cm="1">
        <f t="array" ref="S662">MAX(IF((DiscreteStatsTable[GroupByKey]=DiscreteStatsTable[[#This Row],[GroupByKey]]),(DiscreteStatsTable[GroupByKey]=DiscreteStatsTable[[#This Row],[GroupByKey]])*DiscreteStatsTable[Average]))</f>
        <v>7.8817469083508104E-2</v>
      </c>
      <c r="T662" cm="1">
        <f t="array" ref="T662">MIN(IF((DiscreteStatsTable[GroupByKey]=DiscreteStatsTable[[#This Row],[GroupByKey]]),(DiscreteStatsTable[GroupByKey]=DiscreteStatsTable[[#This Row],[GroupByKey]])*DiscreteStatsTable[Minimum]))</f>
        <v>0</v>
      </c>
      <c r="U662" cm="1">
        <f t="array" ref="U662">MAX(IF((DiscreteStatsTable[GroupByKey]=DiscreteStatsTable[[#This Row],[GroupByKey]]),(DiscreteStatsTable[GroupByKey]=DiscreteStatsTable[[#This Row],[GroupByKey]])*DiscreteStatsTable[Maximum]))</f>
        <v>1.2170108122512</v>
      </c>
      <c r="V662" cm="1">
        <f t="array" ref="V662">IFERROR(AVERAGE(IF((DiscreteStatsTable[GroupByKey]=DiscreteStatsTable[[#This Row],[GroupByKey]]),(DiscreteStatsTable[GroupByKey]=DiscreteStatsTable[[#This Row],[GroupByKey]])*DiscreteStatsTable[NumberObservations])),0)</f>
        <v>2263.14</v>
      </c>
      <c r="W662">
        <f>IF((DiscreteStatsTable[[#This Row],[RepsRequested]]&gt;1),DiscreteStatsTable[[#This Row],[HalfWidth]],DiscreteStatsTable[[#This Row],[BatchMeansHalfWidth]])</f>
        <v>1.3194809635704845E-3</v>
      </c>
      <c r="X662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131</v>
      </c>
      <c r="C663">
        <v>12</v>
      </c>
      <c r="D663" t="s">
        <v>87</v>
      </c>
      <c r="E663" t="s">
        <v>84</v>
      </c>
      <c r="F663" t="s">
        <v>85</v>
      </c>
      <c r="G663">
        <v>7.2556066428927701E-2</v>
      </c>
      <c r="H663">
        <v>1.07272633331528E-2</v>
      </c>
      <c r="I663">
        <v>0</v>
      </c>
      <c r="J663">
        <v>0.86756515045607296</v>
      </c>
      <c r="K663">
        <v>2254</v>
      </c>
      <c r="L663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63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cm="1">
        <f t="array" ref="N663">IFERROR(AVERAGE(IF((DiscreteStatsTable[GroupByKey]=DiscreteStatsTable[[#This Row],[GroupByKey]]),(DiscreteStatsTable[GroupByKey]=DiscreteStatsTable[[#This Row],[GroupByKey]])*DiscreteStatsTable[Average])),0)</f>
        <v>6.8098620832941548E-2</v>
      </c>
      <c r="O663" cm="1">
        <f t="array" ref="O663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63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63" cm="1">
        <f t="array" ref="R663">MIN(IF((DiscreteStatsTable[GroupByKey]=DiscreteStatsTable[[#This Row],[GroupByKey]]),(DiscreteStatsTable[GroupByKey]=DiscreteStatsTable[[#This Row],[GroupByKey]])*DiscreteStatsTable[Average]))</f>
        <v>5.5993386493398203E-2</v>
      </c>
      <c r="S663" cm="1">
        <f t="array" ref="S663">MAX(IF((DiscreteStatsTable[GroupByKey]=DiscreteStatsTable[[#This Row],[GroupByKey]]),(DiscreteStatsTable[GroupByKey]=DiscreteStatsTable[[#This Row],[GroupByKey]])*DiscreteStatsTable[Average]))</f>
        <v>7.8817469083508104E-2</v>
      </c>
      <c r="T663" cm="1">
        <f t="array" ref="T663">MIN(IF((DiscreteStatsTable[GroupByKey]=DiscreteStatsTable[[#This Row],[GroupByKey]]),(DiscreteStatsTable[GroupByKey]=DiscreteStatsTable[[#This Row],[GroupByKey]])*DiscreteStatsTable[Minimum]))</f>
        <v>0</v>
      </c>
      <c r="U663" cm="1">
        <f t="array" ref="U663">MAX(IF((DiscreteStatsTable[GroupByKey]=DiscreteStatsTable[[#This Row],[GroupByKey]]),(DiscreteStatsTable[GroupByKey]=DiscreteStatsTable[[#This Row],[GroupByKey]])*DiscreteStatsTable[Maximum]))</f>
        <v>1.2170108122512</v>
      </c>
      <c r="V663" cm="1">
        <f t="array" ref="V663">IFERROR(AVERAGE(IF((DiscreteStatsTable[GroupByKey]=DiscreteStatsTable[[#This Row],[GroupByKey]]),(DiscreteStatsTable[GroupByKey]=DiscreteStatsTable[[#This Row],[GroupByKey]])*DiscreteStatsTable[NumberObservations])),0)</f>
        <v>2263.14</v>
      </c>
      <c r="W663">
        <f>IF((DiscreteStatsTable[[#This Row],[RepsRequested]]&gt;1),DiscreteStatsTable[[#This Row],[HalfWidth]],DiscreteStatsTable[[#This Row],[BatchMeansHalfWidth]])</f>
        <v>1.3194809635704845E-3</v>
      </c>
      <c r="X663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131</v>
      </c>
      <c r="C664">
        <v>13</v>
      </c>
      <c r="D664" t="s">
        <v>87</v>
      </c>
      <c r="E664" t="s">
        <v>84</v>
      </c>
      <c r="F664" t="s">
        <v>85</v>
      </c>
      <c r="G664">
        <v>7.5038164161826001E-2</v>
      </c>
      <c r="H664">
        <v>1.3138030489798801E-2</v>
      </c>
      <c r="I664">
        <v>0</v>
      </c>
      <c r="J664">
        <v>0.91752881282695897</v>
      </c>
      <c r="K664">
        <v>2266</v>
      </c>
      <c r="L664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64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cm="1">
        <f t="array" ref="N664">IFERROR(AVERAGE(IF((DiscreteStatsTable[GroupByKey]=DiscreteStatsTable[[#This Row],[GroupByKey]]),(DiscreteStatsTable[GroupByKey]=DiscreteStatsTable[[#This Row],[GroupByKey]])*DiscreteStatsTable[Average])),0)</f>
        <v>6.8098620832941548E-2</v>
      </c>
      <c r="O664" cm="1">
        <f t="array" ref="O664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64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64" cm="1">
        <f t="array" ref="R664">MIN(IF((DiscreteStatsTable[GroupByKey]=DiscreteStatsTable[[#This Row],[GroupByKey]]),(DiscreteStatsTable[GroupByKey]=DiscreteStatsTable[[#This Row],[GroupByKey]])*DiscreteStatsTable[Average]))</f>
        <v>5.5993386493398203E-2</v>
      </c>
      <c r="S664" cm="1">
        <f t="array" ref="S664">MAX(IF((DiscreteStatsTable[GroupByKey]=DiscreteStatsTable[[#This Row],[GroupByKey]]),(DiscreteStatsTable[GroupByKey]=DiscreteStatsTable[[#This Row],[GroupByKey]])*DiscreteStatsTable[Average]))</f>
        <v>7.8817469083508104E-2</v>
      </c>
      <c r="T664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cm="1">
        <f t="array" ref="U664">MAX(IF((DiscreteStatsTable[GroupByKey]=DiscreteStatsTable[[#This Row],[GroupByKey]]),(DiscreteStatsTable[GroupByKey]=DiscreteStatsTable[[#This Row],[GroupByKey]])*DiscreteStatsTable[Maximum]))</f>
        <v>1.2170108122512</v>
      </c>
      <c r="V664" cm="1">
        <f t="array" ref="V664">IFERROR(AVERAGE(IF((DiscreteStatsTable[GroupByKey]=DiscreteStatsTable[[#This Row],[GroupByKey]]),(DiscreteStatsTable[GroupByKey]=DiscreteStatsTable[[#This Row],[GroupByKey]])*DiscreteStatsTable[NumberObservations])),0)</f>
        <v>2263.14</v>
      </c>
      <c r="W664">
        <f>IF((DiscreteStatsTable[[#This Row],[RepsRequested]]&gt;1),DiscreteStatsTable[[#This Row],[HalfWidth]],DiscreteStatsTable[[#This Row],[BatchMeansHalfWidth]])</f>
        <v>1.3194809635704845E-3</v>
      </c>
      <c r="X664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131</v>
      </c>
      <c r="C665">
        <v>14</v>
      </c>
      <c r="D665" t="s">
        <v>87</v>
      </c>
      <c r="E665" t="s">
        <v>84</v>
      </c>
      <c r="F665" t="s">
        <v>85</v>
      </c>
      <c r="G665">
        <v>7.6168284413085902E-2</v>
      </c>
      <c r="H665">
        <v>1.53750796060299E-2</v>
      </c>
      <c r="I665">
        <v>0</v>
      </c>
      <c r="J665">
        <v>1.2170108122512</v>
      </c>
      <c r="K665">
        <v>2245</v>
      </c>
      <c r="L665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6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cm="1">
        <f t="array" ref="N665">IFERROR(AVERAGE(IF((DiscreteStatsTable[GroupByKey]=DiscreteStatsTable[[#This Row],[GroupByKey]]),(DiscreteStatsTable[GroupByKey]=DiscreteStatsTable[[#This Row],[GroupByKey]])*DiscreteStatsTable[Average])),0)</f>
        <v>6.8098620832941548E-2</v>
      </c>
      <c r="O665" cm="1">
        <f t="array" ref="O665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6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65" cm="1">
        <f t="array" ref="R665">MIN(IF((DiscreteStatsTable[GroupByKey]=DiscreteStatsTable[[#This Row],[GroupByKey]]),(DiscreteStatsTable[GroupByKey]=DiscreteStatsTable[[#This Row],[GroupByKey]])*DiscreteStatsTable[Average]))</f>
        <v>5.5993386493398203E-2</v>
      </c>
      <c r="S665" cm="1">
        <f t="array" ref="S665">MAX(IF((DiscreteStatsTable[GroupByKey]=DiscreteStatsTable[[#This Row],[GroupByKey]]),(DiscreteStatsTable[GroupByKey]=DiscreteStatsTable[[#This Row],[GroupByKey]])*DiscreteStatsTable[Average]))</f>
        <v>7.8817469083508104E-2</v>
      </c>
      <c r="T66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cm="1">
        <f t="array" ref="U665">MAX(IF((DiscreteStatsTable[GroupByKey]=DiscreteStatsTable[[#This Row],[GroupByKey]]),(DiscreteStatsTable[GroupByKey]=DiscreteStatsTable[[#This Row],[GroupByKey]])*DiscreteStatsTable[Maximum]))</f>
        <v>1.2170108122512</v>
      </c>
      <c r="V665" cm="1">
        <f t="array" ref="V665">IFERROR(AVERAGE(IF((DiscreteStatsTable[GroupByKey]=DiscreteStatsTable[[#This Row],[GroupByKey]]),(DiscreteStatsTable[GroupByKey]=DiscreteStatsTable[[#This Row],[GroupByKey]])*DiscreteStatsTable[NumberObservations])),0)</f>
        <v>2263.14</v>
      </c>
      <c r="W665">
        <f>IF((DiscreteStatsTable[[#This Row],[RepsRequested]]&gt;1),DiscreteStatsTable[[#This Row],[HalfWidth]],DiscreteStatsTable[[#This Row],[BatchMeansHalfWidth]])</f>
        <v>1.3194809635704845E-3</v>
      </c>
      <c r="X66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131</v>
      </c>
      <c r="C666">
        <v>15</v>
      </c>
      <c r="D666" t="s">
        <v>87</v>
      </c>
      <c r="E666" t="s">
        <v>84</v>
      </c>
      <c r="F666" t="s">
        <v>85</v>
      </c>
      <c r="G666">
        <v>6.6325920333731497E-2</v>
      </c>
      <c r="H666">
        <v>8.4540327576469697E-3</v>
      </c>
      <c r="I666">
        <v>0</v>
      </c>
      <c r="J666">
        <v>0.68532684579798797</v>
      </c>
      <c r="K666">
        <v>2375</v>
      </c>
      <c r="L666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66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cm="1">
        <f t="array" ref="N666">IFERROR(AVERAGE(IF((DiscreteStatsTable[GroupByKey]=DiscreteStatsTable[[#This Row],[GroupByKey]]),(DiscreteStatsTable[GroupByKey]=DiscreteStatsTable[[#This Row],[GroupByKey]])*DiscreteStatsTable[Average])),0)</f>
        <v>6.8098620832941548E-2</v>
      </c>
      <c r="O666" cm="1">
        <f t="array" ref="O666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66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66" cm="1">
        <f t="array" ref="R666">MIN(IF((DiscreteStatsTable[GroupByKey]=DiscreteStatsTable[[#This Row],[GroupByKey]]),(DiscreteStatsTable[GroupByKey]=DiscreteStatsTable[[#This Row],[GroupByKey]])*DiscreteStatsTable[Average]))</f>
        <v>5.5993386493398203E-2</v>
      </c>
      <c r="S666" cm="1">
        <f t="array" ref="S666">MAX(IF((DiscreteStatsTable[GroupByKey]=DiscreteStatsTable[[#This Row],[GroupByKey]]),(DiscreteStatsTable[GroupByKey]=DiscreteStatsTable[[#This Row],[GroupByKey]])*DiscreteStatsTable[Average]))</f>
        <v>7.8817469083508104E-2</v>
      </c>
      <c r="T666" cm="1">
        <f t="array" ref="T666">MIN(IF((DiscreteStatsTable[GroupByKey]=DiscreteStatsTable[[#This Row],[GroupByKey]]),(DiscreteStatsTable[GroupByKey]=DiscreteStatsTable[[#This Row],[GroupByKey]])*DiscreteStatsTable[Minimum]))</f>
        <v>0</v>
      </c>
      <c r="U666" cm="1">
        <f t="array" ref="U666">MAX(IF((DiscreteStatsTable[GroupByKey]=DiscreteStatsTable[[#This Row],[GroupByKey]]),(DiscreteStatsTable[GroupByKey]=DiscreteStatsTable[[#This Row],[GroupByKey]])*DiscreteStatsTable[Maximum]))</f>
        <v>1.2170108122512</v>
      </c>
      <c r="V666" cm="1">
        <f t="array" ref="V666">IFERROR(AVERAGE(IF((DiscreteStatsTable[GroupByKey]=DiscreteStatsTable[[#This Row],[GroupByKey]]),(DiscreteStatsTable[GroupByKey]=DiscreteStatsTable[[#This Row],[GroupByKey]])*DiscreteStatsTable[NumberObservations])),0)</f>
        <v>2263.14</v>
      </c>
      <c r="W666">
        <f>IF((DiscreteStatsTable[[#This Row],[RepsRequested]]&gt;1),DiscreteStatsTable[[#This Row],[HalfWidth]],DiscreteStatsTable[[#This Row],[BatchMeansHalfWidth]])</f>
        <v>1.3194809635704845E-3</v>
      </c>
      <c r="X666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131</v>
      </c>
      <c r="C667">
        <v>16</v>
      </c>
      <c r="D667" t="s">
        <v>87</v>
      </c>
      <c r="E667" t="s">
        <v>84</v>
      </c>
      <c r="F667" t="s">
        <v>85</v>
      </c>
      <c r="G667">
        <v>6.8680546190037703E-2</v>
      </c>
      <c r="H667">
        <v>9.9814062227798796E-3</v>
      </c>
      <c r="I667">
        <v>0</v>
      </c>
      <c r="J667">
        <v>0.83811610181250995</v>
      </c>
      <c r="K667">
        <v>2212</v>
      </c>
      <c r="L667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67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cm="1">
        <f t="array" ref="N667">IFERROR(AVERAGE(IF((DiscreteStatsTable[GroupByKey]=DiscreteStatsTable[[#This Row],[GroupByKey]]),(DiscreteStatsTable[GroupByKey]=DiscreteStatsTable[[#This Row],[GroupByKey]])*DiscreteStatsTable[Average])),0)</f>
        <v>6.8098620832941548E-2</v>
      </c>
      <c r="O667" cm="1">
        <f t="array" ref="O667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67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67" cm="1">
        <f t="array" ref="R667">MIN(IF((DiscreteStatsTable[GroupByKey]=DiscreteStatsTable[[#This Row],[GroupByKey]]),(DiscreteStatsTable[GroupByKey]=DiscreteStatsTable[[#This Row],[GroupByKey]])*DiscreteStatsTable[Average]))</f>
        <v>5.5993386493398203E-2</v>
      </c>
      <c r="S667" cm="1">
        <f t="array" ref="S667">MAX(IF((DiscreteStatsTable[GroupByKey]=DiscreteStatsTable[[#This Row],[GroupByKey]]),(DiscreteStatsTable[GroupByKey]=DiscreteStatsTable[[#This Row],[GroupByKey]])*DiscreteStatsTable[Average]))</f>
        <v>7.8817469083508104E-2</v>
      </c>
      <c r="T667" cm="1">
        <f t="array" ref="T667">MIN(IF((DiscreteStatsTable[GroupByKey]=DiscreteStatsTable[[#This Row],[GroupByKey]]),(DiscreteStatsTable[GroupByKey]=DiscreteStatsTable[[#This Row],[GroupByKey]])*DiscreteStatsTable[Minimum]))</f>
        <v>0</v>
      </c>
      <c r="U667" cm="1">
        <f t="array" ref="U667">MAX(IF((DiscreteStatsTable[GroupByKey]=DiscreteStatsTable[[#This Row],[GroupByKey]]),(DiscreteStatsTable[GroupByKey]=DiscreteStatsTable[[#This Row],[GroupByKey]])*DiscreteStatsTable[Maximum]))</f>
        <v>1.2170108122512</v>
      </c>
      <c r="V667" cm="1">
        <f t="array" ref="V667">IFERROR(AVERAGE(IF((DiscreteStatsTable[GroupByKey]=DiscreteStatsTable[[#This Row],[GroupByKey]]),(DiscreteStatsTable[GroupByKey]=DiscreteStatsTable[[#This Row],[GroupByKey]])*DiscreteStatsTable[NumberObservations])),0)</f>
        <v>2263.14</v>
      </c>
      <c r="W667">
        <f>IF((DiscreteStatsTable[[#This Row],[RepsRequested]]&gt;1),DiscreteStatsTable[[#This Row],[HalfWidth]],DiscreteStatsTable[[#This Row],[BatchMeansHalfWidth]])</f>
        <v>1.3194809635704845E-3</v>
      </c>
      <c r="X667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131</v>
      </c>
      <c r="C668">
        <v>17</v>
      </c>
      <c r="D668" t="s">
        <v>87</v>
      </c>
      <c r="E668" t="s">
        <v>84</v>
      </c>
      <c r="F668" t="s">
        <v>85</v>
      </c>
      <c r="G668">
        <v>6.8517306147522994E-2</v>
      </c>
      <c r="H668">
        <v>8.7181239766424903E-3</v>
      </c>
      <c r="I668">
        <v>0</v>
      </c>
      <c r="J668">
        <v>0.84840047524232898</v>
      </c>
      <c r="K668">
        <v>2245</v>
      </c>
      <c r="L668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68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cm="1">
        <f t="array" ref="N668">IFERROR(AVERAGE(IF((DiscreteStatsTable[GroupByKey]=DiscreteStatsTable[[#This Row],[GroupByKey]]),(DiscreteStatsTable[GroupByKey]=DiscreteStatsTable[[#This Row],[GroupByKey]])*DiscreteStatsTable[Average])),0)</f>
        <v>6.8098620832941548E-2</v>
      </c>
      <c r="O668" cm="1">
        <f t="array" ref="O668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68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68" cm="1">
        <f t="array" ref="R668">MIN(IF((DiscreteStatsTable[GroupByKey]=DiscreteStatsTable[[#This Row],[GroupByKey]]),(DiscreteStatsTable[GroupByKey]=DiscreteStatsTable[[#This Row],[GroupByKey]])*DiscreteStatsTable[Average]))</f>
        <v>5.5993386493398203E-2</v>
      </c>
      <c r="S668" cm="1">
        <f t="array" ref="S668">MAX(IF((DiscreteStatsTable[GroupByKey]=DiscreteStatsTable[[#This Row],[GroupByKey]]),(DiscreteStatsTable[GroupByKey]=DiscreteStatsTable[[#This Row],[GroupByKey]])*DiscreteStatsTable[Average]))</f>
        <v>7.8817469083508104E-2</v>
      </c>
      <c r="T668" cm="1">
        <f t="array" ref="T668">MIN(IF((DiscreteStatsTable[GroupByKey]=DiscreteStatsTable[[#This Row],[GroupByKey]]),(DiscreteStatsTable[GroupByKey]=DiscreteStatsTable[[#This Row],[GroupByKey]])*DiscreteStatsTable[Minimum]))</f>
        <v>0</v>
      </c>
      <c r="U668" cm="1">
        <f t="array" ref="U668">MAX(IF((DiscreteStatsTable[GroupByKey]=DiscreteStatsTable[[#This Row],[GroupByKey]]),(DiscreteStatsTable[GroupByKey]=DiscreteStatsTable[[#This Row],[GroupByKey]])*DiscreteStatsTable[Maximum]))</f>
        <v>1.2170108122512</v>
      </c>
      <c r="V668" cm="1">
        <f t="array" ref="V668">IFERROR(AVERAGE(IF((DiscreteStatsTable[GroupByKey]=DiscreteStatsTable[[#This Row],[GroupByKey]]),(DiscreteStatsTable[GroupByKey]=DiscreteStatsTable[[#This Row],[GroupByKey]])*DiscreteStatsTable[NumberObservations])),0)</f>
        <v>2263.14</v>
      </c>
      <c r="W668">
        <f>IF((DiscreteStatsTable[[#This Row],[RepsRequested]]&gt;1),DiscreteStatsTable[[#This Row],[HalfWidth]],DiscreteStatsTable[[#This Row],[BatchMeansHalfWidth]])</f>
        <v>1.3194809635704845E-3</v>
      </c>
      <c r="X668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131</v>
      </c>
      <c r="C669">
        <v>18</v>
      </c>
      <c r="D669" t="s">
        <v>87</v>
      </c>
      <c r="E669" t="s">
        <v>84</v>
      </c>
      <c r="F669" t="s">
        <v>85</v>
      </c>
      <c r="G669">
        <v>6.6786092343832107E-2</v>
      </c>
      <c r="H669">
        <v>9.3563575510636106E-3</v>
      </c>
      <c r="I669">
        <v>0</v>
      </c>
      <c r="J669">
        <v>0.73578625045254897</v>
      </c>
      <c r="K669">
        <v>2213</v>
      </c>
      <c r="L669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69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cm="1">
        <f t="array" ref="N669">IFERROR(AVERAGE(IF((DiscreteStatsTable[GroupByKey]=DiscreteStatsTable[[#This Row],[GroupByKey]]),(DiscreteStatsTable[GroupByKey]=DiscreteStatsTable[[#This Row],[GroupByKey]])*DiscreteStatsTable[Average])),0)</f>
        <v>6.8098620832941548E-2</v>
      </c>
      <c r="O669" cm="1">
        <f t="array" ref="O669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69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69" cm="1">
        <f t="array" ref="R669">MIN(IF((DiscreteStatsTable[GroupByKey]=DiscreteStatsTable[[#This Row],[GroupByKey]]),(DiscreteStatsTable[GroupByKey]=DiscreteStatsTable[[#This Row],[GroupByKey]])*DiscreteStatsTable[Average]))</f>
        <v>5.5993386493398203E-2</v>
      </c>
      <c r="S669" cm="1">
        <f t="array" ref="S669">MAX(IF((DiscreteStatsTable[GroupByKey]=DiscreteStatsTable[[#This Row],[GroupByKey]]),(DiscreteStatsTable[GroupByKey]=DiscreteStatsTable[[#This Row],[GroupByKey]])*DiscreteStatsTable[Average]))</f>
        <v>7.8817469083508104E-2</v>
      </c>
      <c r="T669" cm="1">
        <f t="array" ref="T669">MIN(IF((DiscreteStatsTable[GroupByKey]=DiscreteStatsTable[[#This Row],[GroupByKey]]),(DiscreteStatsTable[GroupByKey]=DiscreteStatsTable[[#This Row],[GroupByKey]])*DiscreteStatsTable[Minimum]))</f>
        <v>0</v>
      </c>
      <c r="U669" cm="1">
        <f t="array" ref="U669">MAX(IF((DiscreteStatsTable[GroupByKey]=DiscreteStatsTable[[#This Row],[GroupByKey]]),(DiscreteStatsTable[GroupByKey]=DiscreteStatsTable[[#This Row],[GroupByKey]])*DiscreteStatsTable[Maximum]))</f>
        <v>1.2170108122512</v>
      </c>
      <c r="V669" cm="1">
        <f t="array" ref="V669">IFERROR(AVERAGE(IF((DiscreteStatsTable[GroupByKey]=DiscreteStatsTable[[#This Row],[GroupByKey]]),(DiscreteStatsTable[GroupByKey]=DiscreteStatsTable[[#This Row],[GroupByKey]])*DiscreteStatsTable[NumberObservations])),0)</f>
        <v>2263.14</v>
      </c>
      <c r="W669">
        <f>IF((DiscreteStatsTable[[#This Row],[RepsRequested]]&gt;1),DiscreteStatsTable[[#This Row],[HalfWidth]],DiscreteStatsTable[[#This Row],[BatchMeansHalfWidth]])</f>
        <v>1.3194809635704845E-3</v>
      </c>
      <c r="X669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131</v>
      </c>
      <c r="C670">
        <v>19</v>
      </c>
      <c r="D670" t="s">
        <v>87</v>
      </c>
      <c r="E670" t="s">
        <v>84</v>
      </c>
      <c r="F670" t="s">
        <v>85</v>
      </c>
      <c r="G670">
        <v>6.6877933347470095E-2</v>
      </c>
      <c r="H670">
        <v>8.2899702786000205E-3</v>
      </c>
      <c r="I670">
        <v>0</v>
      </c>
      <c r="J670">
        <v>0.90852746779518201</v>
      </c>
      <c r="K670">
        <v>2236</v>
      </c>
      <c r="L670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70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cm="1">
        <f t="array" ref="N670">IFERROR(AVERAGE(IF((DiscreteStatsTable[GroupByKey]=DiscreteStatsTable[[#This Row],[GroupByKey]]),(DiscreteStatsTable[GroupByKey]=DiscreteStatsTable[[#This Row],[GroupByKey]])*DiscreteStatsTable[Average])),0)</f>
        <v>6.8098620832941548E-2</v>
      </c>
      <c r="O670" cm="1">
        <f t="array" ref="O670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70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70" cm="1">
        <f t="array" ref="R670">MIN(IF((DiscreteStatsTable[GroupByKey]=DiscreteStatsTable[[#This Row],[GroupByKey]]),(DiscreteStatsTable[GroupByKey]=DiscreteStatsTable[[#This Row],[GroupByKey]])*DiscreteStatsTable[Average]))</f>
        <v>5.5993386493398203E-2</v>
      </c>
      <c r="S670" cm="1">
        <f t="array" ref="S670">MAX(IF((DiscreteStatsTable[GroupByKey]=DiscreteStatsTable[[#This Row],[GroupByKey]]),(DiscreteStatsTable[GroupByKey]=DiscreteStatsTable[[#This Row],[GroupByKey]])*DiscreteStatsTable[Average]))</f>
        <v>7.8817469083508104E-2</v>
      </c>
      <c r="T670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cm="1">
        <f t="array" ref="U670">MAX(IF((DiscreteStatsTable[GroupByKey]=DiscreteStatsTable[[#This Row],[GroupByKey]]),(DiscreteStatsTable[GroupByKey]=DiscreteStatsTable[[#This Row],[GroupByKey]])*DiscreteStatsTable[Maximum]))</f>
        <v>1.2170108122512</v>
      </c>
      <c r="V670" cm="1">
        <f t="array" ref="V670">IFERROR(AVERAGE(IF((DiscreteStatsTable[GroupByKey]=DiscreteStatsTable[[#This Row],[GroupByKey]]),(DiscreteStatsTable[GroupByKey]=DiscreteStatsTable[[#This Row],[GroupByKey]])*DiscreteStatsTable[NumberObservations])),0)</f>
        <v>2263.14</v>
      </c>
      <c r="W670">
        <f>IF((DiscreteStatsTable[[#This Row],[RepsRequested]]&gt;1),DiscreteStatsTable[[#This Row],[HalfWidth]],DiscreteStatsTable[[#This Row],[BatchMeansHalfWidth]])</f>
        <v>1.3194809635704845E-3</v>
      </c>
      <c r="X670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131</v>
      </c>
      <c r="C671">
        <v>20</v>
      </c>
      <c r="D671" t="s">
        <v>87</v>
      </c>
      <c r="E671" t="s">
        <v>84</v>
      </c>
      <c r="F671" t="s">
        <v>85</v>
      </c>
      <c r="G671">
        <v>6.2150143630326303E-2</v>
      </c>
      <c r="H671">
        <v>7.7604388601089603E-3</v>
      </c>
      <c r="I671">
        <v>0</v>
      </c>
      <c r="J671">
        <v>0.698950926645864</v>
      </c>
      <c r="K671">
        <v>2273</v>
      </c>
      <c r="L671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71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cm="1">
        <f t="array" ref="N671">IFERROR(AVERAGE(IF((DiscreteStatsTable[GroupByKey]=DiscreteStatsTable[[#This Row],[GroupByKey]]),(DiscreteStatsTable[GroupByKey]=DiscreteStatsTable[[#This Row],[GroupByKey]])*DiscreteStatsTable[Average])),0)</f>
        <v>6.8098620832941548E-2</v>
      </c>
      <c r="O671" cm="1">
        <f t="array" ref="O671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71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71" cm="1">
        <f t="array" ref="R671">MIN(IF((DiscreteStatsTable[GroupByKey]=DiscreteStatsTable[[#This Row],[GroupByKey]]),(DiscreteStatsTable[GroupByKey]=DiscreteStatsTable[[#This Row],[GroupByKey]])*DiscreteStatsTable[Average]))</f>
        <v>5.5993386493398203E-2</v>
      </c>
      <c r="S671" cm="1">
        <f t="array" ref="S671">MAX(IF((DiscreteStatsTable[GroupByKey]=DiscreteStatsTable[[#This Row],[GroupByKey]]),(DiscreteStatsTable[GroupByKey]=DiscreteStatsTable[[#This Row],[GroupByKey]])*DiscreteStatsTable[Average]))</f>
        <v>7.8817469083508104E-2</v>
      </c>
      <c r="T671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cm="1">
        <f t="array" ref="U671">MAX(IF((DiscreteStatsTable[GroupByKey]=DiscreteStatsTable[[#This Row],[GroupByKey]]),(DiscreteStatsTable[GroupByKey]=DiscreteStatsTable[[#This Row],[GroupByKey]])*DiscreteStatsTable[Maximum]))</f>
        <v>1.2170108122512</v>
      </c>
      <c r="V671" cm="1">
        <f t="array" ref="V671">IFERROR(AVERAGE(IF((DiscreteStatsTable[GroupByKey]=DiscreteStatsTable[[#This Row],[GroupByKey]]),(DiscreteStatsTable[GroupByKey]=DiscreteStatsTable[[#This Row],[GroupByKey]])*DiscreteStatsTable[NumberObservations])),0)</f>
        <v>2263.14</v>
      </c>
      <c r="W671">
        <f>IF((DiscreteStatsTable[[#This Row],[RepsRequested]]&gt;1),DiscreteStatsTable[[#This Row],[HalfWidth]],DiscreteStatsTable[[#This Row],[BatchMeansHalfWidth]])</f>
        <v>1.3194809635704845E-3</v>
      </c>
      <c r="X671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131</v>
      </c>
      <c r="C672">
        <v>21</v>
      </c>
      <c r="D672" t="s">
        <v>87</v>
      </c>
      <c r="E672" t="s">
        <v>84</v>
      </c>
      <c r="F672" t="s">
        <v>85</v>
      </c>
      <c r="G672">
        <v>6.5497354386483894E-2</v>
      </c>
      <c r="H672">
        <v>9.1148222072788207E-3</v>
      </c>
      <c r="I672">
        <v>0</v>
      </c>
      <c r="J672">
        <v>0.71438996521408205</v>
      </c>
      <c r="K672">
        <v>2172</v>
      </c>
      <c r="L672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72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cm="1">
        <f t="array" ref="N672">IFERROR(AVERAGE(IF((DiscreteStatsTable[GroupByKey]=DiscreteStatsTable[[#This Row],[GroupByKey]]),(DiscreteStatsTable[GroupByKey]=DiscreteStatsTable[[#This Row],[GroupByKey]])*DiscreteStatsTable[Average])),0)</f>
        <v>6.8098620832941548E-2</v>
      </c>
      <c r="O672" cm="1">
        <f t="array" ref="O672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72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72" cm="1">
        <f t="array" ref="R672">MIN(IF((DiscreteStatsTable[GroupByKey]=DiscreteStatsTable[[#This Row],[GroupByKey]]),(DiscreteStatsTable[GroupByKey]=DiscreteStatsTable[[#This Row],[GroupByKey]])*DiscreteStatsTable[Average]))</f>
        <v>5.5993386493398203E-2</v>
      </c>
      <c r="S672" cm="1">
        <f t="array" ref="S672">MAX(IF((DiscreteStatsTable[GroupByKey]=DiscreteStatsTable[[#This Row],[GroupByKey]]),(DiscreteStatsTable[GroupByKey]=DiscreteStatsTable[[#This Row],[GroupByKey]])*DiscreteStatsTable[Average]))</f>
        <v>7.8817469083508104E-2</v>
      </c>
      <c r="T672" cm="1">
        <f t="array" ref="T672">MIN(IF((DiscreteStatsTable[GroupByKey]=DiscreteStatsTable[[#This Row],[GroupByKey]]),(DiscreteStatsTable[GroupByKey]=DiscreteStatsTable[[#This Row],[GroupByKey]])*DiscreteStatsTable[Minimum]))</f>
        <v>0</v>
      </c>
      <c r="U672" cm="1">
        <f t="array" ref="U672">MAX(IF((DiscreteStatsTable[GroupByKey]=DiscreteStatsTable[[#This Row],[GroupByKey]]),(DiscreteStatsTable[GroupByKey]=DiscreteStatsTable[[#This Row],[GroupByKey]])*DiscreteStatsTable[Maximum]))</f>
        <v>1.2170108122512</v>
      </c>
      <c r="V672" cm="1">
        <f t="array" ref="V672">IFERROR(AVERAGE(IF((DiscreteStatsTable[GroupByKey]=DiscreteStatsTable[[#This Row],[GroupByKey]]),(DiscreteStatsTable[GroupByKey]=DiscreteStatsTable[[#This Row],[GroupByKey]])*DiscreteStatsTable[NumberObservations])),0)</f>
        <v>2263.14</v>
      </c>
      <c r="W672">
        <f>IF((DiscreteStatsTable[[#This Row],[RepsRequested]]&gt;1),DiscreteStatsTable[[#This Row],[HalfWidth]],DiscreteStatsTable[[#This Row],[BatchMeansHalfWidth]])</f>
        <v>1.3194809635704845E-3</v>
      </c>
      <c r="X672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131</v>
      </c>
      <c r="C673">
        <v>22</v>
      </c>
      <c r="D673" t="s">
        <v>87</v>
      </c>
      <c r="E673" t="s">
        <v>84</v>
      </c>
      <c r="F673" t="s">
        <v>85</v>
      </c>
      <c r="G673">
        <v>6.8020015167886499E-2</v>
      </c>
      <c r="H673">
        <v>1.3040415999138201E-2</v>
      </c>
      <c r="I673">
        <v>0</v>
      </c>
      <c r="J673">
        <v>1.0922908228650401</v>
      </c>
      <c r="K673">
        <v>2281</v>
      </c>
      <c r="L673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73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cm="1">
        <f t="array" ref="N673">IFERROR(AVERAGE(IF((DiscreteStatsTable[GroupByKey]=DiscreteStatsTable[[#This Row],[GroupByKey]]),(DiscreteStatsTable[GroupByKey]=DiscreteStatsTable[[#This Row],[GroupByKey]])*DiscreteStatsTable[Average])),0)</f>
        <v>6.8098620832941548E-2</v>
      </c>
      <c r="O673" cm="1">
        <f t="array" ref="O673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73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73" cm="1">
        <f t="array" ref="R673">MIN(IF((DiscreteStatsTable[GroupByKey]=DiscreteStatsTable[[#This Row],[GroupByKey]]),(DiscreteStatsTable[GroupByKey]=DiscreteStatsTable[[#This Row],[GroupByKey]])*DiscreteStatsTable[Average]))</f>
        <v>5.5993386493398203E-2</v>
      </c>
      <c r="S673" cm="1">
        <f t="array" ref="S673">MAX(IF((DiscreteStatsTable[GroupByKey]=DiscreteStatsTable[[#This Row],[GroupByKey]]),(DiscreteStatsTable[GroupByKey]=DiscreteStatsTable[[#This Row],[GroupByKey]])*DiscreteStatsTable[Average]))</f>
        <v>7.8817469083508104E-2</v>
      </c>
      <c r="T673" cm="1">
        <f t="array" ref="T673">MIN(IF((DiscreteStatsTable[GroupByKey]=DiscreteStatsTable[[#This Row],[GroupByKey]]),(DiscreteStatsTable[GroupByKey]=DiscreteStatsTable[[#This Row],[GroupByKey]])*DiscreteStatsTable[Minimum]))</f>
        <v>0</v>
      </c>
      <c r="U673" cm="1">
        <f t="array" ref="U673">MAX(IF((DiscreteStatsTable[GroupByKey]=DiscreteStatsTable[[#This Row],[GroupByKey]]),(DiscreteStatsTable[GroupByKey]=DiscreteStatsTable[[#This Row],[GroupByKey]])*DiscreteStatsTable[Maximum]))</f>
        <v>1.2170108122512</v>
      </c>
      <c r="V673" cm="1">
        <f t="array" ref="V673">IFERROR(AVERAGE(IF((DiscreteStatsTable[GroupByKey]=DiscreteStatsTable[[#This Row],[GroupByKey]]),(DiscreteStatsTable[GroupByKey]=DiscreteStatsTable[[#This Row],[GroupByKey]])*DiscreteStatsTable[NumberObservations])),0)</f>
        <v>2263.14</v>
      </c>
      <c r="W673">
        <f>IF((DiscreteStatsTable[[#This Row],[RepsRequested]]&gt;1),DiscreteStatsTable[[#This Row],[HalfWidth]],DiscreteStatsTable[[#This Row],[BatchMeansHalfWidth]])</f>
        <v>1.3194809635704845E-3</v>
      </c>
      <c r="X673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131</v>
      </c>
      <c r="C674">
        <v>23</v>
      </c>
      <c r="D674" t="s">
        <v>87</v>
      </c>
      <c r="E674" t="s">
        <v>84</v>
      </c>
      <c r="F674" t="s">
        <v>85</v>
      </c>
      <c r="G674">
        <v>6.6873771181890002E-2</v>
      </c>
      <c r="H674">
        <v>9.3005539565691794E-3</v>
      </c>
      <c r="I674">
        <v>0</v>
      </c>
      <c r="J674">
        <v>0.77795412547746401</v>
      </c>
      <c r="K674">
        <v>2234</v>
      </c>
      <c r="L674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74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cm="1">
        <f t="array" ref="N674">IFERROR(AVERAGE(IF((DiscreteStatsTable[GroupByKey]=DiscreteStatsTable[[#This Row],[GroupByKey]]),(DiscreteStatsTable[GroupByKey]=DiscreteStatsTable[[#This Row],[GroupByKey]])*DiscreteStatsTable[Average])),0)</f>
        <v>6.8098620832941548E-2</v>
      </c>
      <c r="O674" cm="1">
        <f t="array" ref="O674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74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74" cm="1">
        <f t="array" ref="R674">MIN(IF((DiscreteStatsTable[GroupByKey]=DiscreteStatsTable[[#This Row],[GroupByKey]]),(DiscreteStatsTable[GroupByKey]=DiscreteStatsTable[[#This Row],[GroupByKey]])*DiscreteStatsTable[Average]))</f>
        <v>5.5993386493398203E-2</v>
      </c>
      <c r="S674" cm="1">
        <f t="array" ref="S674">MAX(IF((DiscreteStatsTable[GroupByKey]=DiscreteStatsTable[[#This Row],[GroupByKey]]),(DiscreteStatsTable[GroupByKey]=DiscreteStatsTable[[#This Row],[GroupByKey]])*DiscreteStatsTable[Average]))</f>
        <v>7.8817469083508104E-2</v>
      </c>
      <c r="T674" cm="1">
        <f t="array" ref="T674">MIN(IF((DiscreteStatsTable[GroupByKey]=DiscreteStatsTable[[#This Row],[GroupByKey]]),(DiscreteStatsTable[GroupByKey]=DiscreteStatsTable[[#This Row],[GroupByKey]])*DiscreteStatsTable[Minimum]))</f>
        <v>0</v>
      </c>
      <c r="U674" cm="1">
        <f t="array" ref="U674">MAX(IF((DiscreteStatsTable[GroupByKey]=DiscreteStatsTable[[#This Row],[GroupByKey]]),(DiscreteStatsTable[GroupByKey]=DiscreteStatsTable[[#This Row],[GroupByKey]])*DiscreteStatsTable[Maximum]))</f>
        <v>1.2170108122512</v>
      </c>
      <c r="V674" cm="1">
        <f t="array" ref="V674">IFERROR(AVERAGE(IF((DiscreteStatsTable[GroupByKey]=DiscreteStatsTable[[#This Row],[GroupByKey]]),(DiscreteStatsTable[GroupByKey]=DiscreteStatsTable[[#This Row],[GroupByKey]])*DiscreteStatsTable[NumberObservations])),0)</f>
        <v>2263.14</v>
      </c>
      <c r="W674">
        <f>IF((DiscreteStatsTable[[#This Row],[RepsRequested]]&gt;1),DiscreteStatsTable[[#This Row],[HalfWidth]],DiscreteStatsTable[[#This Row],[BatchMeansHalfWidth]])</f>
        <v>1.3194809635704845E-3</v>
      </c>
      <c r="X674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131</v>
      </c>
      <c r="C675">
        <v>24</v>
      </c>
      <c r="D675" t="s">
        <v>87</v>
      </c>
      <c r="E675" t="s">
        <v>84</v>
      </c>
      <c r="F675" t="s">
        <v>85</v>
      </c>
      <c r="G675">
        <v>7.1091384203779598E-2</v>
      </c>
      <c r="H675">
        <v>9.0663462060967797E-3</v>
      </c>
      <c r="I675">
        <v>0</v>
      </c>
      <c r="J675">
        <v>0.708280305541507</v>
      </c>
      <c r="K675">
        <v>2283</v>
      </c>
      <c r="L675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7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cm="1">
        <f t="array" ref="N675">IFERROR(AVERAGE(IF((DiscreteStatsTable[GroupByKey]=DiscreteStatsTable[[#This Row],[GroupByKey]]),(DiscreteStatsTable[GroupByKey]=DiscreteStatsTable[[#This Row],[GroupByKey]])*DiscreteStatsTable[Average])),0)</f>
        <v>6.8098620832941548E-2</v>
      </c>
      <c r="O675" cm="1">
        <f t="array" ref="O675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7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75" cm="1">
        <f t="array" ref="R675">MIN(IF((DiscreteStatsTable[GroupByKey]=DiscreteStatsTable[[#This Row],[GroupByKey]]),(DiscreteStatsTable[GroupByKey]=DiscreteStatsTable[[#This Row],[GroupByKey]])*DiscreteStatsTable[Average]))</f>
        <v>5.5993386493398203E-2</v>
      </c>
      <c r="S675" cm="1">
        <f t="array" ref="S675">MAX(IF((DiscreteStatsTable[GroupByKey]=DiscreteStatsTable[[#This Row],[GroupByKey]]),(DiscreteStatsTable[GroupByKey]=DiscreteStatsTable[[#This Row],[GroupByKey]])*DiscreteStatsTable[Average]))</f>
        <v>7.8817469083508104E-2</v>
      </c>
      <c r="T675" cm="1">
        <f t="array" ref="T675">MIN(IF((DiscreteStatsTable[GroupByKey]=DiscreteStatsTable[[#This Row],[GroupByKey]]),(DiscreteStatsTable[GroupByKey]=DiscreteStatsTable[[#This Row],[GroupByKey]])*DiscreteStatsTable[Minimum]))</f>
        <v>0</v>
      </c>
      <c r="U675" cm="1">
        <f t="array" ref="U675">MAX(IF((DiscreteStatsTable[GroupByKey]=DiscreteStatsTable[[#This Row],[GroupByKey]]),(DiscreteStatsTable[GroupByKey]=DiscreteStatsTable[[#This Row],[GroupByKey]])*DiscreteStatsTable[Maximum]))</f>
        <v>1.2170108122512</v>
      </c>
      <c r="V675" cm="1">
        <f t="array" ref="V675">IFERROR(AVERAGE(IF((DiscreteStatsTable[GroupByKey]=DiscreteStatsTable[[#This Row],[GroupByKey]]),(DiscreteStatsTable[GroupByKey]=DiscreteStatsTable[[#This Row],[GroupByKey]])*DiscreteStatsTable[NumberObservations])),0)</f>
        <v>2263.14</v>
      </c>
      <c r="W675">
        <f>IF((DiscreteStatsTable[[#This Row],[RepsRequested]]&gt;1),DiscreteStatsTable[[#This Row],[HalfWidth]],DiscreteStatsTable[[#This Row],[BatchMeansHalfWidth]])</f>
        <v>1.3194809635704845E-3</v>
      </c>
      <c r="X67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131</v>
      </c>
      <c r="C676">
        <v>25</v>
      </c>
      <c r="D676" t="s">
        <v>87</v>
      </c>
      <c r="E676" t="s">
        <v>84</v>
      </c>
      <c r="F676" t="s">
        <v>85</v>
      </c>
      <c r="G676">
        <v>7.4702136248825296E-2</v>
      </c>
      <c r="H676">
        <v>1.12926639218208E-2</v>
      </c>
      <c r="I676">
        <v>0</v>
      </c>
      <c r="J676">
        <v>0.85690707971304603</v>
      </c>
      <c r="K676">
        <v>2363</v>
      </c>
      <c r="L676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76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cm="1">
        <f t="array" ref="N676">IFERROR(AVERAGE(IF((DiscreteStatsTable[GroupByKey]=DiscreteStatsTable[[#This Row],[GroupByKey]]),(DiscreteStatsTable[GroupByKey]=DiscreteStatsTable[[#This Row],[GroupByKey]])*DiscreteStatsTable[Average])),0)</f>
        <v>6.8098620832941548E-2</v>
      </c>
      <c r="O676" cm="1">
        <f t="array" ref="O676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76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76" cm="1">
        <f t="array" ref="R676">MIN(IF((DiscreteStatsTable[GroupByKey]=DiscreteStatsTable[[#This Row],[GroupByKey]]),(DiscreteStatsTable[GroupByKey]=DiscreteStatsTable[[#This Row],[GroupByKey]])*DiscreteStatsTable[Average]))</f>
        <v>5.5993386493398203E-2</v>
      </c>
      <c r="S676" cm="1">
        <f t="array" ref="S676">MAX(IF((DiscreteStatsTable[GroupByKey]=DiscreteStatsTable[[#This Row],[GroupByKey]]),(DiscreteStatsTable[GroupByKey]=DiscreteStatsTable[[#This Row],[GroupByKey]])*DiscreteStatsTable[Average]))</f>
        <v>7.8817469083508104E-2</v>
      </c>
      <c r="T676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cm="1">
        <f t="array" ref="U676">MAX(IF((DiscreteStatsTable[GroupByKey]=DiscreteStatsTable[[#This Row],[GroupByKey]]),(DiscreteStatsTable[GroupByKey]=DiscreteStatsTable[[#This Row],[GroupByKey]])*DiscreteStatsTable[Maximum]))</f>
        <v>1.2170108122512</v>
      </c>
      <c r="V676" cm="1">
        <f t="array" ref="V676">IFERROR(AVERAGE(IF((DiscreteStatsTable[GroupByKey]=DiscreteStatsTable[[#This Row],[GroupByKey]]),(DiscreteStatsTable[GroupByKey]=DiscreteStatsTable[[#This Row],[GroupByKey]])*DiscreteStatsTable[NumberObservations])),0)</f>
        <v>2263.14</v>
      </c>
      <c r="W676">
        <f>IF((DiscreteStatsTable[[#This Row],[RepsRequested]]&gt;1),DiscreteStatsTable[[#This Row],[HalfWidth]],DiscreteStatsTable[[#This Row],[BatchMeansHalfWidth]])</f>
        <v>1.3194809635704845E-3</v>
      </c>
      <c r="X676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131</v>
      </c>
      <c r="C677">
        <v>26</v>
      </c>
      <c r="D677" t="s">
        <v>87</v>
      </c>
      <c r="E677" t="s">
        <v>84</v>
      </c>
      <c r="F677" t="s">
        <v>85</v>
      </c>
      <c r="G677">
        <v>6.5784366646589501E-2</v>
      </c>
      <c r="H677">
        <v>3E+20</v>
      </c>
      <c r="I677">
        <v>0</v>
      </c>
      <c r="J677">
        <v>0.82012182052898197</v>
      </c>
      <c r="K677">
        <v>2223</v>
      </c>
      <c r="L677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77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cm="1">
        <f t="array" ref="N677">IFERROR(AVERAGE(IF((DiscreteStatsTable[GroupByKey]=DiscreteStatsTable[[#This Row],[GroupByKey]]),(DiscreteStatsTable[GroupByKey]=DiscreteStatsTable[[#This Row],[GroupByKey]])*DiscreteStatsTable[Average])),0)</f>
        <v>6.8098620832941548E-2</v>
      </c>
      <c r="O677" cm="1">
        <f t="array" ref="O677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77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77" cm="1">
        <f t="array" ref="R677">MIN(IF((DiscreteStatsTable[GroupByKey]=DiscreteStatsTable[[#This Row],[GroupByKey]]),(DiscreteStatsTable[GroupByKey]=DiscreteStatsTable[[#This Row],[GroupByKey]])*DiscreteStatsTable[Average]))</f>
        <v>5.5993386493398203E-2</v>
      </c>
      <c r="S677" cm="1">
        <f t="array" ref="S677">MAX(IF((DiscreteStatsTable[GroupByKey]=DiscreteStatsTable[[#This Row],[GroupByKey]]),(DiscreteStatsTable[GroupByKey]=DiscreteStatsTable[[#This Row],[GroupByKey]])*DiscreteStatsTable[Average]))</f>
        <v>7.8817469083508104E-2</v>
      </c>
      <c r="T677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cm="1">
        <f t="array" ref="U677">MAX(IF((DiscreteStatsTable[GroupByKey]=DiscreteStatsTable[[#This Row],[GroupByKey]]),(DiscreteStatsTable[GroupByKey]=DiscreteStatsTable[[#This Row],[GroupByKey]])*DiscreteStatsTable[Maximum]))</f>
        <v>1.2170108122512</v>
      </c>
      <c r="V677" cm="1">
        <f t="array" ref="V677">IFERROR(AVERAGE(IF((DiscreteStatsTable[GroupByKey]=DiscreteStatsTable[[#This Row],[GroupByKey]]),(DiscreteStatsTable[GroupByKey]=DiscreteStatsTable[[#This Row],[GroupByKey]])*DiscreteStatsTable[NumberObservations])),0)</f>
        <v>2263.14</v>
      </c>
      <c r="W677">
        <f>IF((DiscreteStatsTable[[#This Row],[RepsRequested]]&gt;1),DiscreteStatsTable[[#This Row],[HalfWidth]],DiscreteStatsTable[[#This Row],[BatchMeansHalfWidth]])</f>
        <v>1.3194809635704845E-3</v>
      </c>
      <c r="X677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131</v>
      </c>
      <c r="C678">
        <v>27</v>
      </c>
      <c r="D678" t="s">
        <v>87</v>
      </c>
      <c r="E678" t="s">
        <v>84</v>
      </c>
      <c r="F678" t="s">
        <v>85</v>
      </c>
      <c r="G678">
        <v>7.2057238693789799E-2</v>
      </c>
      <c r="H678">
        <v>1.13096610545132E-2</v>
      </c>
      <c r="I678">
        <v>0</v>
      </c>
      <c r="J678">
        <v>0.79177746179016095</v>
      </c>
      <c r="K678">
        <v>2273</v>
      </c>
      <c r="L678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78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cm="1">
        <f t="array" ref="N678">IFERROR(AVERAGE(IF((DiscreteStatsTable[GroupByKey]=DiscreteStatsTable[[#This Row],[GroupByKey]]),(DiscreteStatsTable[GroupByKey]=DiscreteStatsTable[[#This Row],[GroupByKey]])*DiscreteStatsTable[Average])),0)</f>
        <v>6.8098620832941548E-2</v>
      </c>
      <c r="O678" cm="1">
        <f t="array" ref="O678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78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78" cm="1">
        <f t="array" ref="R678">MIN(IF((DiscreteStatsTable[GroupByKey]=DiscreteStatsTable[[#This Row],[GroupByKey]]),(DiscreteStatsTable[GroupByKey]=DiscreteStatsTable[[#This Row],[GroupByKey]])*DiscreteStatsTable[Average]))</f>
        <v>5.5993386493398203E-2</v>
      </c>
      <c r="S678" cm="1">
        <f t="array" ref="S678">MAX(IF((DiscreteStatsTable[GroupByKey]=DiscreteStatsTable[[#This Row],[GroupByKey]]),(DiscreteStatsTable[GroupByKey]=DiscreteStatsTable[[#This Row],[GroupByKey]])*DiscreteStatsTable[Average]))</f>
        <v>7.8817469083508104E-2</v>
      </c>
      <c r="T678" cm="1">
        <f t="array" ref="T678">MIN(IF((DiscreteStatsTable[GroupByKey]=DiscreteStatsTable[[#This Row],[GroupByKey]]),(DiscreteStatsTable[GroupByKey]=DiscreteStatsTable[[#This Row],[GroupByKey]])*DiscreteStatsTable[Minimum]))</f>
        <v>0</v>
      </c>
      <c r="U678" cm="1">
        <f t="array" ref="U678">MAX(IF((DiscreteStatsTable[GroupByKey]=DiscreteStatsTable[[#This Row],[GroupByKey]]),(DiscreteStatsTable[GroupByKey]=DiscreteStatsTable[[#This Row],[GroupByKey]])*DiscreteStatsTable[Maximum]))</f>
        <v>1.2170108122512</v>
      </c>
      <c r="V678" cm="1">
        <f t="array" ref="V678">IFERROR(AVERAGE(IF((DiscreteStatsTable[GroupByKey]=DiscreteStatsTable[[#This Row],[GroupByKey]]),(DiscreteStatsTable[GroupByKey]=DiscreteStatsTable[[#This Row],[GroupByKey]])*DiscreteStatsTable[NumberObservations])),0)</f>
        <v>2263.14</v>
      </c>
      <c r="W678">
        <f>IF((DiscreteStatsTable[[#This Row],[RepsRequested]]&gt;1),DiscreteStatsTable[[#This Row],[HalfWidth]],DiscreteStatsTable[[#This Row],[BatchMeansHalfWidth]])</f>
        <v>1.3194809635704845E-3</v>
      </c>
      <c r="X678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131</v>
      </c>
      <c r="C679">
        <v>28</v>
      </c>
      <c r="D679" t="s">
        <v>87</v>
      </c>
      <c r="E679" t="s">
        <v>84</v>
      </c>
      <c r="F679" t="s">
        <v>85</v>
      </c>
      <c r="G679">
        <v>7.0794249675670301E-2</v>
      </c>
      <c r="H679">
        <v>7.3965281094457401E-3</v>
      </c>
      <c r="I679">
        <v>0</v>
      </c>
      <c r="J679">
        <v>0.72903218385124502</v>
      </c>
      <c r="K679">
        <v>2192</v>
      </c>
      <c r="L679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79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cm="1">
        <f t="array" ref="N679">IFERROR(AVERAGE(IF((DiscreteStatsTable[GroupByKey]=DiscreteStatsTable[[#This Row],[GroupByKey]]),(DiscreteStatsTable[GroupByKey]=DiscreteStatsTable[[#This Row],[GroupByKey]])*DiscreteStatsTable[Average])),0)</f>
        <v>6.8098620832941548E-2</v>
      </c>
      <c r="O679" cm="1">
        <f t="array" ref="O679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79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79" cm="1">
        <f t="array" ref="R679">MIN(IF((DiscreteStatsTable[GroupByKey]=DiscreteStatsTable[[#This Row],[GroupByKey]]),(DiscreteStatsTable[GroupByKey]=DiscreteStatsTable[[#This Row],[GroupByKey]])*DiscreteStatsTable[Average]))</f>
        <v>5.5993386493398203E-2</v>
      </c>
      <c r="S679" cm="1">
        <f t="array" ref="S679">MAX(IF((DiscreteStatsTable[GroupByKey]=DiscreteStatsTable[[#This Row],[GroupByKey]]),(DiscreteStatsTable[GroupByKey]=DiscreteStatsTable[[#This Row],[GroupByKey]])*DiscreteStatsTable[Average]))</f>
        <v>7.8817469083508104E-2</v>
      </c>
      <c r="T679" cm="1">
        <f t="array" ref="T679">MIN(IF((DiscreteStatsTable[GroupByKey]=DiscreteStatsTable[[#This Row],[GroupByKey]]),(DiscreteStatsTable[GroupByKey]=DiscreteStatsTable[[#This Row],[GroupByKey]])*DiscreteStatsTable[Minimum]))</f>
        <v>0</v>
      </c>
      <c r="U679" cm="1">
        <f t="array" ref="U679">MAX(IF((DiscreteStatsTable[GroupByKey]=DiscreteStatsTable[[#This Row],[GroupByKey]]),(DiscreteStatsTable[GroupByKey]=DiscreteStatsTable[[#This Row],[GroupByKey]])*DiscreteStatsTable[Maximum]))</f>
        <v>1.2170108122512</v>
      </c>
      <c r="V679" cm="1">
        <f t="array" ref="V679">IFERROR(AVERAGE(IF((DiscreteStatsTable[GroupByKey]=DiscreteStatsTable[[#This Row],[GroupByKey]]),(DiscreteStatsTable[GroupByKey]=DiscreteStatsTable[[#This Row],[GroupByKey]])*DiscreteStatsTable[NumberObservations])),0)</f>
        <v>2263.14</v>
      </c>
      <c r="W679">
        <f>IF((DiscreteStatsTable[[#This Row],[RepsRequested]]&gt;1),DiscreteStatsTable[[#This Row],[HalfWidth]],DiscreteStatsTable[[#This Row],[BatchMeansHalfWidth]])</f>
        <v>1.3194809635704845E-3</v>
      </c>
      <c r="X679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131</v>
      </c>
      <c r="C680">
        <v>29</v>
      </c>
      <c r="D680" t="s">
        <v>87</v>
      </c>
      <c r="E680" t="s">
        <v>84</v>
      </c>
      <c r="F680" t="s">
        <v>85</v>
      </c>
      <c r="G680">
        <v>7.05185356625075E-2</v>
      </c>
      <c r="H680">
        <v>1.0326481008171099E-2</v>
      </c>
      <c r="I680">
        <v>0</v>
      </c>
      <c r="J680">
        <v>0.74518958977805005</v>
      </c>
      <c r="K680">
        <v>2314</v>
      </c>
      <c r="L680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80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cm="1">
        <f t="array" ref="N680">IFERROR(AVERAGE(IF((DiscreteStatsTable[GroupByKey]=DiscreteStatsTable[[#This Row],[GroupByKey]]),(DiscreteStatsTable[GroupByKey]=DiscreteStatsTable[[#This Row],[GroupByKey]])*DiscreteStatsTable[Average])),0)</f>
        <v>6.8098620832941548E-2</v>
      </c>
      <c r="O680" cm="1">
        <f t="array" ref="O680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80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80" cm="1">
        <f t="array" ref="R680">MIN(IF((DiscreteStatsTable[GroupByKey]=DiscreteStatsTable[[#This Row],[GroupByKey]]),(DiscreteStatsTable[GroupByKey]=DiscreteStatsTable[[#This Row],[GroupByKey]])*DiscreteStatsTable[Average]))</f>
        <v>5.5993386493398203E-2</v>
      </c>
      <c r="S680" cm="1">
        <f t="array" ref="S680">MAX(IF((DiscreteStatsTable[GroupByKey]=DiscreteStatsTable[[#This Row],[GroupByKey]]),(DiscreteStatsTable[GroupByKey]=DiscreteStatsTable[[#This Row],[GroupByKey]])*DiscreteStatsTable[Average]))</f>
        <v>7.8817469083508104E-2</v>
      </c>
      <c r="T680" cm="1">
        <f t="array" ref="T680">MIN(IF((DiscreteStatsTable[GroupByKey]=DiscreteStatsTable[[#This Row],[GroupByKey]]),(DiscreteStatsTable[GroupByKey]=DiscreteStatsTable[[#This Row],[GroupByKey]])*DiscreteStatsTable[Minimum]))</f>
        <v>0</v>
      </c>
      <c r="U680" cm="1">
        <f t="array" ref="U680">MAX(IF((DiscreteStatsTable[GroupByKey]=DiscreteStatsTable[[#This Row],[GroupByKey]]),(DiscreteStatsTable[GroupByKey]=DiscreteStatsTable[[#This Row],[GroupByKey]])*DiscreteStatsTable[Maximum]))</f>
        <v>1.2170108122512</v>
      </c>
      <c r="V680" cm="1">
        <f t="array" ref="V680">IFERROR(AVERAGE(IF((DiscreteStatsTable[GroupByKey]=DiscreteStatsTable[[#This Row],[GroupByKey]]),(DiscreteStatsTable[GroupByKey]=DiscreteStatsTable[[#This Row],[GroupByKey]])*DiscreteStatsTable[NumberObservations])),0)</f>
        <v>2263.14</v>
      </c>
      <c r="W680">
        <f>IF((DiscreteStatsTable[[#This Row],[RepsRequested]]&gt;1),DiscreteStatsTable[[#This Row],[HalfWidth]],DiscreteStatsTable[[#This Row],[BatchMeansHalfWidth]])</f>
        <v>1.3194809635704845E-3</v>
      </c>
      <c r="X680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131</v>
      </c>
      <c r="C681">
        <v>30</v>
      </c>
      <c r="D681" t="s">
        <v>87</v>
      </c>
      <c r="E681" t="s">
        <v>84</v>
      </c>
      <c r="F681" t="s">
        <v>85</v>
      </c>
      <c r="G681">
        <v>6.6376609538423406E-2</v>
      </c>
      <c r="H681">
        <v>1.3478424523588901E-2</v>
      </c>
      <c r="I681">
        <v>0</v>
      </c>
      <c r="J681">
        <v>0.88415136918433701</v>
      </c>
      <c r="K681">
        <v>2263</v>
      </c>
      <c r="L681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81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cm="1">
        <f t="array" ref="N681">IFERROR(AVERAGE(IF((DiscreteStatsTable[GroupByKey]=DiscreteStatsTable[[#This Row],[GroupByKey]]),(DiscreteStatsTable[GroupByKey]=DiscreteStatsTable[[#This Row],[GroupByKey]])*DiscreteStatsTable[Average])),0)</f>
        <v>6.8098620832941548E-2</v>
      </c>
      <c r="O681" cm="1">
        <f t="array" ref="O681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81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81" cm="1">
        <f t="array" ref="R681">MIN(IF((DiscreteStatsTable[GroupByKey]=DiscreteStatsTable[[#This Row],[GroupByKey]]),(DiscreteStatsTable[GroupByKey]=DiscreteStatsTable[[#This Row],[GroupByKey]])*DiscreteStatsTable[Average]))</f>
        <v>5.5993386493398203E-2</v>
      </c>
      <c r="S681" cm="1">
        <f t="array" ref="S681">MAX(IF((DiscreteStatsTable[GroupByKey]=DiscreteStatsTable[[#This Row],[GroupByKey]]),(DiscreteStatsTable[GroupByKey]=DiscreteStatsTable[[#This Row],[GroupByKey]])*DiscreteStatsTable[Average]))</f>
        <v>7.8817469083508104E-2</v>
      </c>
      <c r="T681" cm="1">
        <f t="array" ref="T681">MIN(IF((DiscreteStatsTable[GroupByKey]=DiscreteStatsTable[[#This Row],[GroupByKey]]),(DiscreteStatsTable[GroupByKey]=DiscreteStatsTable[[#This Row],[GroupByKey]])*DiscreteStatsTable[Minimum]))</f>
        <v>0</v>
      </c>
      <c r="U681" cm="1">
        <f t="array" ref="U681">MAX(IF((DiscreteStatsTable[GroupByKey]=DiscreteStatsTable[[#This Row],[GroupByKey]]),(DiscreteStatsTable[GroupByKey]=DiscreteStatsTable[[#This Row],[GroupByKey]])*DiscreteStatsTable[Maximum]))</f>
        <v>1.2170108122512</v>
      </c>
      <c r="V681" cm="1">
        <f t="array" ref="V681">IFERROR(AVERAGE(IF((DiscreteStatsTable[GroupByKey]=DiscreteStatsTable[[#This Row],[GroupByKey]]),(DiscreteStatsTable[GroupByKey]=DiscreteStatsTable[[#This Row],[GroupByKey]])*DiscreteStatsTable[NumberObservations])),0)</f>
        <v>2263.14</v>
      </c>
      <c r="W681">
        <f>IF((DiscreteStatsTable[[#This Row],[RepsRequested]]&gt;1),DiscreteStatsTable[[#This Row],[HalfWidth]],DiscreteStatsTable[[#This Row],[BatchMeansHalfWidth]])</f>
        <v>1.3194809635704845E-3</v>
      </c>
      <c r="X681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131</v>
      </c>
      <c r="C682">
        <v>31</v>
      </c>
      <c r="D682" t="s">
        <v>87</v>
      </c>
      <c r="E682" t="s">
        <v>84</v>
      </c>
      <c r="F682" t="s">
        <v>85</v>
      </c>
      <c r="G682">
        <v>6.3037840354556299E-2</v>
      </c>
      <c r="H682">
        <v>6.7468688866899398E-3</v>
      </c>
      <c r="I682">
        <v>0</v>
      </c>
      <c r="J682">
        <v>0.72105721404955103</v>
      </c>
      <c r="K682">
        <v>2218</v>
      </c>
      <c r="L682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82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cm="1">
        <f t="array" ref="N682">IFERROR(AVERAGE(IF((DiscreteStatsTable[GroupByKey]=DiscreteStatsTable[[#This Row],[GroupByKey]]),(DiscreteStatsTable[GroupByKey]=DiscreteStatsTable[[#This Row],[GroupByKey]])*DiscreteStatsTable[Average])),0)</f>
        <v>6.8098620832941548E-2</v>
      </c>
      <c r="O682" cm="1">
        <f t="array" ref="O682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82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82" cm="1">
        <f t="array" ref="R682">MIN(IF((DiscreteStatsTable[GroupByKey]=DiscreteStatsTable[[#This Row],[GroupByKey]]),(DiscreteStatsTable[GroupByKey]=DiscreteStatsTable[[#This Row],[GroupByKey]])*DiscreteStatsTable[Average]))</f>
        <v>5.5993386493398203E-2</v>
      </c>
      <c r="S682" cm="1">
        <f t="array" ref="S682">MAX(IF((DiscreteStatsTable[GroupByKey]=DiscreteStatsTable[[#This Row],[GroupByKey]]),(DiscreteStatsTable[GroupByKey]=DiscreteStatsTable[[#This Row],[GroupByKey]])*DiscreteStatsTable[Average]))</f>
        <v>7.8817469083508104E-2</v>
      </c>
      <c r="T682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cm="1">
        <f t="array" ref="U682">MAX(IF((DiscreteStatsTable[GroupByKey]=DiscreteStatsTable[[#This Row],[GroupByKey]]),(DiscreteStatsTable[GroupByKey]=DiscreteStatsTable[[#This Row],[GroupByKey]])*DiscreteStatsTable[Maximum]))</f>
        <v>1.2170108122512</v>
      </c>
      <c r="V682" cm="1">
        <f t="array" ref="V682">IFERROR(AVERAGE(IF((DiscreteStatsTable[GroupByKey]=DiscreteStatsTable[[#This Row],[GroupByKey]]),(DiscreteStatsTable[GroupByKey]=DiscreteStatsTable[[#This Row],[GroupByKey]])*DiscreteStatsTable[NumberObservations])),0)</f>
        <v>2263.14</v>
      </c>
      <c r="W682">
        <f>IF((DiscreteStatsTable[[#This Row],[RepsRequested]]&gt;1),DiscreteStatsTable[[#This Row],[HalfWidth]],DiscreteStatsTable[[#This Row],[BatchMeansHalfWidth]])</f>
        <v>1.3194809635704845E-3</v>
      </c>
      <c r="X682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131</v>
      </c>
      <c r="C683">
        <v>32</v>
      </c>
      <c r="D683" t="s">
        <v>87</v>
      </c>
      <c r="E683" t="s">
        <v>84</v>
      </c>
      <c r="F683" t="s">
        <v>85</v>
      </c>
      <c r="G683">
        <v>6.7816182302448902E-2</v>
      </c>
      <c r="H683">
        <v>9.4797136369696305E-3</v>
      </c>
      <c r="I683">
        <v>0</v>
      </c>
      <c r="J683">
        <v>0.73697631924486695</v>
      </c>
      <c r="K683">
        <v>2193</v>
      </c>
      <c r="L683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83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cm="1">
        <f t="array" ref="N683">IFERROR(AVERAGE(IF((DiscreteStatsTable[GroupByKey]=DiscreteStatsTable[[#This Row],[GroupByKey]]),(DiscreteStatsTable[GroupByKey]=DiscreteStatsTable[[#This Row],[GroupByKey]])*DiscreteStatsTable[Average])),0)</f>
        <v>6.8098620832941548E-2</v>
      </c>
      <c r="O683" cm="1">
        <f t="array" ref="O683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83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83" cm="1">
        <f t="array" ref="R683">MIN(IF((DiscreteStatsTable[GroupByKey]=DiscreteStatsTable[[#This Row],[GroupByKey]]),(DiscreteStatsTable[GroupByKey]=DiscreteStatsTable[[#This Row],[GroupByKey]])*DiscreteStatsTable[Average]))</f>
        <v>5.5993386493398203E-2</v>
      </c>
      <c r="S683" cm="1">
        <f t="array" ref="S683">MAX(IF((DiscreteStatsTable[GroupByKey]=DiscreteStatsTable[[#This Row],[GroupByKey]]),(DiscreteStatsTable[GroupByKey]=DiscreteStatsTable[[#This Row],[GroupByKey]])*DiscreteStatsTable[Average]))</f>
        <v>7.8817469083508104E-2</v>
      </c>
      <c r="T683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cm="1">
        <f t="array" ref="U683">MAX(IF((DiscreteStatsTable[GroupByKey]=DiscreteStatsTable[[#This Row],[GroupByKey]]),(DiscreteStatsTable[GroupByKey]=DiscreteStatsTable[[#This Row],[GroupByKey]])*DiscreteStatsTable[Maximum]))</f>
        <v>1.2170108122512</v>
      </c>
      <c r="V683" cm="1">
        <f t="array" ref="V683">IFERROR(AVERAGE(IF((DiscreteStatsTable[GroupByKey]=DiscreteStatsTable[[#This Row],[GroupByKey]]),(DiscreteStatsTable[GroupByKey]=DiscreteStatsTable[[#This Row],[GroupByKey]])*DiscreteStatsTable[NumberObservations])),0)</f>
        <v>2263.14</v>
      </c>
      <c r="W683">
        <f>IF((DiscreteStatsTable[[#This Row],[RepsRequested]]&gt;1),DiscreteStatsTable[[#This Row],[HalfWidth]],DiscreteStatsTable[[#This Row],[BatchMeansHalfWidth]])</f>
        <v>1.3194809635704845E-3</v>
      </c>
      <c r="X683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131</v>
      </c>
      <c r="C684">
        <v>33</v>
      </c>
      <c r="D684" t="s">
        <v>87</v>
      </c>
      <c r="E684" t="s">
        <v>84</v>
      </c>
      <c r="F684" t="s">
        <v>85</v>
      </c>
      <c r="G684">
        <v>6.5603281752857706E-2</v>
      </c>
      <c r="H684">
        <v>8.0810988775662194E-3</v>
      </c>
      <c r="I684">
        <v>0</v>
      </c>
      <c r="J684">
        <v>0.59601976952286895</v>
      </c>
      <c r="K684">
        <v>2271</v>
      </c>
      <c r="L684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84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cm="1">
        <f t="array" ref="N684">IFERROR(AVERAGE(IF((DiscreteStatsTable[GroupByKey]=DiscreteStatsTable[[#This Row],[GroupByKey]]),(DiscreteStatsTable[GroupByKey]=DiscreteStatsTable[[#This Row],[GroupByKey]])*DiscreteStatsTable[Average])),0)</f>
        <v>6.8098620832941548E-2</v>
      </c>
      <c r="O684" cm="1">
        <f t="array" ref="O684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84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84" cm="1">
        <f t="array" ref="R684">MIN(IF((DiscreteStatsTable[GroupByKey]=DiscreteStatsTable[[#This Row],[GroupByKey]]),(DiscreteStatsTable[GroupByKey]=DiscreteStatsTable[[#This Row],[GroupByKey]])*DiscreteStatsTable[Average]))</f>
        <v>5.5993386493398203E-2</v>
      </c>
      <c r="S684" cm="1">
        <f t="array" ref="S684">MAX(IF((DiscreteStatsTable[GroupByKey]=DiscreteStatsTable[[#This Row],[GroupByKey]]),(DiscreteStatsTable[GroupByKey]=DiscreteStatsTable[[#This Row],[GroupByKey]])*DiscreteStatsTable[Average]))</f>
        <v>7.8817469083508104E-2</v>
      </c>
      <c r="T684" cm="1">
        <f t="array" ref="T684">MIN(IF((DiscreteStatsTable[GroupByKey]=DiscreteStatsTable[[#This Row],[GroupByKey]]),(DiscreteStatsTable[GroupByKey]=DiscreteStatsTable[[#This Row],[GroupByKey]])*DiscreteStatsTable[Minimum]))</f>
        <v>0</v>
      </c>
      <c r="U684" cm="1">
        <f t="array" ref="U684">MAX(IF((DiscreteStatsTable[GroupByKey]=DiscreteStatsTable[[#This Row],[GroupByKey]]),(DiscreteStatsTable[GroupByKey]=DiscreteStatsTable[[#This Row],[GroupByKey]])*DiscreteStatsTable[Maximum]))</f>
        <v>1.2170108122512</v>
      </c>
      <c r="V684" cm="1">
        <f t="array" ref="V684">IFERROR(AVERAGE(IF((DiscreteStatsTable[GroupByKey]=DiscreteStatsTable[[#This Row],[GroupByKey]]),(DiscreteStatsTable[GroupByKey]=DiscreteStatsTable[[#This Row],[GroupByKey]])*DiscreteStatsTable[NumberObservations])),0)</f>
        <v>2263.14</v>
      </c>
      <c r="W684">
        <f>IF((DiscreteStatsTable[[#This Row],[RepsRequested]]&gt;1),DiscreteStatsTable[[#This Row],[HalfWidth]],DiscreteStatsTable[[#This Row],[BatchMeansHalfWidth]])</f>
        <v>1.3194809635704845E-3</v>
      </c>
      <c r="X684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131</v>
      </c>
      <c r="C685">
        <v>34</v>
      </c>
      <c r="D685" t="s">
        <v>87</v>
      </c>
      <c r="E685" t="s">
        <v>84</v>
      </c>
      <c r="F685" t="s">
        <v>85</v>
      </c>
      <c r="G685">
        <v>6.5340165371454206E-2</v>
      </c>
      <c r="H685">
        <v>1.0969671115584299E-2</v>
      </c>
      <c r="I685">
        <v>0</v>
      </c>
      <c r="J685">
        <v>0.87702435119342703</v>
      </c>
      <c r="K685">
        <v>2282</v>
      </c>
      <c r="L685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8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cm="1">
        <f t="array" ref="N685">IFERROR(AVERAGE(IF((DiscreteStatsTable[GroupByKey]=DiscreteStatsTable[[#This Row],[GroupByKey]]),(DiscreteStatsTable[GroupByKey]=DiscreteStatsTable[[#This Row],[GroupByKey]])*DiscreteStatsTable[Average])),0)</f>
        <v>6.8098620832941548E-2</v>
      </c>
      <c r="O685" cm="1">
        <f t="array" ref="O685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8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85" cm="1">
        <f t="array" ref="R685">MIN(IF((DiscreteStatsTable[GroupByKey]=DiscreteStatsTable[[#This Row],[GroupByKey]]),(DiscreteStatsTable[GroupByKey]=DiscreteStatsTable[[#This Row],[GroupByKey]])*DiscreteStatsTable[Average]))</f>
        <v>5.5993386493398203E-2</v>
      </c>
      <c r="S685" cm="1">
        <f t="array" ref="S685">MAX(IF((DiscreteStatsTable[GroupByKey]=DiscreteStatsTable[[#This Row],[GroupByKey]]),(DiscreteStatsTable[GroupByKey]=DiscreteStatsTable[[#This Row],[GroupByKey]])*DiscreteStatsTable[Average]))</f>
        <v>7.8817469083508104E-2</v>
      </c>
      <c r="T685" cm="1">
        <f t="array" ref="T685">MIN(IF((DiscreteStatsTable[GroupByKey]=DiscreteStatsTable[[#This Row],[GroupByKey]]),(DiscreteStatsTable[GroupByKey]=DiscreteStatsTable[[#This Row],[GroupByKey]])*DiscreteStatsTable[Minimum]))</f>
        <v>0</v>
      </c>
      <c r="U685" cm="1">
        <f t="array" ref="U685">MAX(IF((DiscreteStatsTable[GroupByKey]=DiscreteStatsTable[[#This Row],[GroupByKey]]),(DiscreteStatsTable[GroupByKey]=DiscreteStatsTable[[#This Row],[GroupByKey]])*DiscreteStatsTable[Maximum]))</f>
        <v>1.2170108122512</v>
      </c>
      <c r="V685" cm="1">
        <f t="array" ref="V685">IFERROR(AVERAGE(IF((DiscreteStatsTable[GroupByKey]=DiscreteStatsTable[[#This Row],[GroupByKey]]),(DiscreteStatsTable[GroupByKey]=DiscreteStatsTable[[#This Row],[GroupByKey]])*DiscreteStatsTable[NumberObservations])),0)</f>
        <v>2263.14</v>
      </c>
      <c r="W685">
        <f>IF((DiscreteStatsTable[[#This Row],[RepsRequested]]&gt;1),DiscreteStatsTable[[#This Row],[HalfWidth]],DiscreteStatsTable[[#This Row],[BatchMeansHalfWidth]])</f>
        <v>1.3194809635704845E-3</v>
      </c>
      <c r="X68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131</v>
      </c>
      <c r="C686">
        <v>35</v>
      </c>
      <c r="D686" t="s">
        <v>87</v>
      </c>
      <c r="E686" t="s">
        <v>84</v>
      </c>
      <c r="F686" t="s">
        <v>85</v>
      </c>
      <c r="G686">
        <v>7.3293051864446096E-2</v>
      </c>
      <c r="H686">
        <v>1.28621122650606E-2</v>
      </c>
      <c r="I686">
        <v>0</v>
      </c>
      <c r="J686">
        <v>0.95490986707056902</v>
      </c>
      <c r="K686">
        <v>2306</v>
      </c>
      <c r="L686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86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cm="1">
        <f t="array" ref="N686">IFERROR(AVERAGE(IF((DiscreteStatsTable[GroupByKey]=DiscreteStatsTable[[#This Row],[GroupByKey]]),(DiscreteStatsTable[GroupByKey]=DiscreteStatsTable[[#This Row],[GroupByKey]])*DiscreteStatsTable[Average])),0)</f>
        <v>6.8098620832941548E-2</v>
      </c>
      <c r="O686" cm="1">
        <f t="array" ref="O686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86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86" cm="1">
        <f t="array" ref="R686">MIN(IF((DiscreteStatsTable[GroupByKey]=DiscreteStatsTable[[#This Row],[GroupByKey]]),(DiscreteStatsTable[GroupByKey]=DiscreteStatsTable[[#This Row],[GroupByKey]])*DiscreteStatsTable[Average]))</f>
        <v>5.5993386493398203E-2</v>
      </c>
      <c r="S686" cm="1">
        <f t="array" ref="S686">MAX(IF((DiscreteStatsTable[GroupByKey]=DiscreteStatsTable[[#This Row],[GroupByKey]]),(DiscreteStatsTable[GroupByKey]=DiscreteStatsTable[[#This Row],[GroupByKey]])*DiscreteStatsTable[Average]))</f>
        <v>7.8817469083508104E-2</v>
      </c>
      <c r="T686" cm="1">
        <f t="array" ref="T686">MIN(IF((DiscreteStatsTable[GroupByKey]=DiscreteStatsTable[[#This Row],[GroupByKey]]),(DiscreteStatsTable[GroupByKey]=DiscreteStatsTable[[#This Row],[GroupByKey]])*DiscreteStatsTable[Minimum]))</f>
        <v>0</v>
      </c>
      <c r="U686" cm="1">
        <f t="array" ref="U686">MAX(IF((DiscreteStatsTable[GroupByKey]=DiscreteStatsTable[[#This Row],[GroupByKey]]),(DiscreteStatsTable[GroupByKey]=DiscreteStatsTable[[#This Row],[GroupByKey]])*DiscreteStatsTable[Maximum]))</f>
        <v>1.2170108122512</v>
      </c>
      <c r="V686" cm="1">
        <f t="array" ref="V686">IFERROR(AVERAGE(IF((DiscreteStatsTable[GroupByKey]=DiscreteStatsTable[[#This Row],[GroupByKey]]),(DiscreteStatsTable[GroupByKey]=DiscreteStatsTable[[#This Row],[GroupByKey]])*DiscreteStatsTable[NumberObservations])),0)</f>
        <v>2263.14</v>
      </c>
      <c r="W686">
        <f>IF((DiscreteStatsTable[[#This Row],[RepsRequested]]&gt;1),DiscreteStatsTable[[#This Row],[HalfWidth]],DiscreteStatsTable[[#This Row],[BatchMeansHalfWidth]])</f>
        <v>1.3194809635704845E-3</v>
      </c>
      <c r="X686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131</v>
      </c>
      <c r="C687">
        <v>36</v>
      </c>
      <c r="D687" t="s">
        <v>87</v>
      </c>
      <c r="E687" t="s">
        <v>84</v>
      </c>
      <c r="F687" t="s">
        <v>85</v>
      </c>
      <c r="G687">
        <v>7.2338614078248695E-2</v>
      </c>
      <c r="H687">
        <v>1.2198095575528501E-2</v>
      </c>
      <c r="I687">
        <v>0</v>
      </c>
      <c r="J687">
        <v>1.05431619392266</v>
      </c>
      <c r="K687">
        <v>2263</v>
      </c>
      <c r="L687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87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cm="1">
        <f t="array" ref="N687">IFERROR(AVERAGE(IF((DiscreteStatsTable[GroupByKey]=DiscreteStatsTable[[#This Row],[GroupByKey]]),(DiscreteStatsTable[GroupByKey]=DiscreteStatsTable[[#This Row],[GroupByKey]])*DiscreteStatsTable[Average])),0)</f>
        <v>6.8098620832941548E-2</v>
      </c>
      <c r="O687" cm="1">
        <f t="array" ref="O687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87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87" cm="1">
        <f t="array" ref="R687">MIN(IF((DiscreteStatsTable[GroupByKey]=DiscreteStatsTable[[#This Row],[GroupByKey]]),(DiscreteStatsTable[GroupByKey]=DiscreteStatsTable[[#This Row],[GroupByKey]])*DiscreteStatsTable[Average]))</f>
        <v>5.5993386493398203E-2</v>
      </c>
      <c r="S687" cm="1">
        <f t="array" ref="S687">MAX(IF((DiscreteStatsTable[GroupByKey]=DiscreteStatsTable[[#This Row],[GroupByKey]]),(DiscreteStatsTable[GroupByKey]=DiscreteStatsTable[[#This Row],[GroupByKey]])*DiscreteStatsTable[Average]))</f>
        <v>7.8817469083508104E-2</v>
      </c>
      <c r="T687" cm="1">
        <f t="array" ref="T687">MIN(IF((DiscreteStatsTable[GroupByKey]=DiscreteStatsTable[[#This Row],[GroupByKey]]),(DiscreteStatsTable[GroupByKey]=DiscreteStatsTable[[#This Row],[GroupByKey]])*DiscreteStatsTable[Minimum]))</f>
        <v>0</v>
      </c>
      <c r="U687" cm="1">
        <f t="array" ref="U687">MAX(IF((DiscreteStatsTable[GroupByKey]=DiscreteStatsTable[[#This Row],[GroupByKey]]),(DiscreteStatsTable[GroupByKey]=DiscreteStatsTable[[#This Row],[GroupByKey]])*DiscreteStatsTable[Maximum]))</f>
        <v>1.2170108122512</v>
      </c>
      <c r="V687" cm="1">
        <f t="array" ref="V687">IFERROR(AVERAGE(IF((DiscreteStatsTable[GroupByKey]=DiscreteStatsTable[[#This Row],[GroupByKey]]),(DiscreteStatsTable[GroupByKey]=DiscreteStatsTable[[#This Row],[GroupByKey]])*DiscreteStatsTable[NumberObservations])),0)</f>
        <v>2263.14</v>
      </c>
      <c r="W687">
        <f>IF((DiscreteStatsTable[[#This Row],[RepsRequested]]&gt;1),DiscreteStatsTable[[#This Row],[HalfWidth]],DiscreteStatsTable[[#This Row],[BatchMeansHalfWidth]])</f>
        <v>1.3194809635704845E-3</v>
      </c>
      <c r="X687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131</v>
      </c>
      <c r="C688">
        <v>37</v>
      </c>
      <c r="D688" t="s">
        <v>87</v>
      </c>
      <c r="E688" t="s">
        <v>84</v>
      </c>
      <c r="F688" t="s">
        <v>85</v>
      </c>
      <c r="G688">
        <v>6.6832812547823903E-2</v>
      </c>
      <c r="H688">
        <v>1.2218572783164201E-2</v>
      </c>
      <c r="I688">
        <v>0</v>
      </c>
      <c r="J688">
        <v>1.0976406710825599</v>
      </c>
      <c r="K688">
        <v>2279</v>
      </c>
      <c r="L688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88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cm="1">
        <f t="array" ref="N688">IFERROR(AVERAGE(IF((DiscreteStatsTable[GroupByKey]=DiscreteStatsTable[[#This Row],[GroupByKey]]),(DiscreteStatsTable[GroupByKey]=DiscreteStatsTable[[#This Row],[GroupByKey]])*DiscreteStatsTable[Average])),0)</f>
        <v>6.8098620832941548E-2</v>
      </c>
      <c r="O688" cm="1">
        <f t="array" ref="O688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88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88" cm="1">
        <f t="array" ref="R688">MIN(IF((DiscreteStatsTable[GroupByKey]=DiscreteStatsTable[[#This Row],[GroupByKey]]),(DiscreteStatsTable[GroupByKey]=DiscreteStatsTable[[#This Row],[GroupByKey]])*DiscreteStatsTable[Average]))</f>
        <v>5.5993386493398203E-2</v>
      </c>
      <c r="S688" cm="1">
        <f t="array" ref="S688">MAX(IF((DiscreteStatsTable[GroupByKey]=DiscreteStatsTable[[#This Row],[GroupByKey]]),(DiscreteStatsTable[GroupByKey]=DiscreteStatsTable[[#This Row],[GroupByKey]])*DiscreteStatsTable[Average]))</f>
        <v>7.8817469083508104E-2</v>
      </c>
      <c r="T688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cm="1">
        <f t="array" ref="U688">MAX(IF((DiscreteStatsTable[GroupByKey]=DiscreteStatsTable[[#This Row],[GroupByKey]]),(DiscreteStatsTable[GroupByKey]=DiscreteStatsTable[[#This Row],[GroupByKey]])*DiscreteStatsTable[Maximum]))</f>
        <v>1.2170108122512</v>
      </c>
      <c r="V688" cm="1">
        <f t="array" ref="V688">IFERROR(AVERAGE(IF((DiscreteStatsTable[GroupByKey]=DiscreteStatsTable[[#This Row],[GroupByKey]]),(DiscreteStatsTable[GroupByKey]=DiscreteStatsTable[[#This Row],[GroupByKey]])*DiscreteStatsTable[NumberObservations])),0)</f>
        <v>2263.14</v>
      </c>
      <c r="W688">
        <f>IF((DiscreteStatsTable[[#This Row],[RepsRequested]]&gt;1),DiscreteStatsTable[[#This Row],[HalfWidth]],DiscreteStatsTable[[#This Row],[BatchMeansHalfWidth]])</f>
        <v>1.3194809635704845E-3</v>
      </c>
      <c r="X688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131</v>
      </c>
      <c r="C689">
        <v>38</v>
      </c>
      <c r="D689" t="s">
        <v>87</v>
      </c>
      <c r="E689" t="s">
        <v>84</v>
      </c>
      <c r="F689" t="s">
        <v>85</v>
      </c>
      <c r="G689">
        <v>6.9716958707278495E-2</v>
      </c>
      <c r="H689">
        <v>1.33215432238704E-2</v>
      </c>
      <c r="I689">
        <v>0</v>
      </c>
      <c r="J689">
        <v>0.80614505692230398</v>
      </c>
      <c r="K689">
        <v>2261</v>
      </c>
      <c r="L689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89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cm="1">
        <f t="array" ref="N689">IFERROR(AVERAGE(IF((DiscreteStatsTable[GroupByKey]=DiscreteStatsTable[[#This Row],[GroupByKey]]),(DiscreteStatsTable[GroupByKey]=DiscreteStatsTable[[#This Row],[GroupByKey]])*DiscreteStatsTable[Average])),0)</f>
        <v>6.8098620832941548E-2</v>
      </c>
      <c r="O689" cm="1">
        <f t="array" ref="O689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89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89" cm="1">
        <f t="array" ref="R689">MIN(IF((DiscreteStatsTable[GroupByKey]=DiscreteStatsTable[[#This Row],[GroupByKey]]),(DiscreteStatsTable[GroupByKey]=DiscreteStatsTable[[#This Row],[GroupByKey]])*DiscreteStatsTable[Average]))</f>
        <v>5.5993386493398203E-2</v>
      </c>
      <c r="S689" cm="1">
        <f t="array" ref="S689">MAX(IF((DiscreteStatsTable[GroupByKey]=DiscreteStatsTable[[#This Row],[GroupByKey]]),(DiscreteStatsTable[GroupByKey]=DiscreteStatsTable[[#This Row],[GroupByKey]])*DiscreteStatsTable[Average]))</f>
        <v>7.8817469083508104E-2</v>
      </c>
      <c r="T689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cm="1">
        <f t="array" ref="U689">MAX(IF((DiscreteStatsTable[GroupByKey]=DiscreteStatsTable[[#This Row],[GroupByKey]]),(DiscreteStatsTable[GroupByKey]=DiscreteStatsTable[[#This Row],[GroupByKey]])*DiscreteStatsTable[Maximum]))</f>
        <v>1.2170108122512</v>
      </c>
      <c r="V689" cm="1">
        <f t="array" ref="V689">IFERROR(AVERAGE(IF((DiscreteStatsTable[GroupByKey]=DiscreteStatsTable[[#This Row],[GroupByKey]]),(DiscreteStatsTable[GroupByKey]=DiscreteStatsTable[[#This Row],[GroupByKey]])*DiscreteStatsTable[NumberObservations])),0)</f>
        <v>2263.14</v>
      </c>
      <c r="W689">
        <f>IF((DiscreteStatsTable[[#This Row],[RepsRequested]]&gt;1),DiscreteStatsTable[[#This Row],[HalfWidth]],DiscreteStatsTable[[#This Row],[BatchMeansHalfWidth]])</f>
        <v>1.3194809635704845E-3</v>
      </c>
      <c r="X689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131</v>
      </c>
      <c r="C690">
        <v>39</v>
      </c>
      <c r="D690" t="s">
        <v>87</v>
      </c>
      <c r="E690" t="s">
        <v>84</v>
      </c>
      <c r="F690" t="s">
        <v>85</v>
      </c>
      <c r="G690">
        <v>6.2176739405864101E-2</v>
      </c>
      <c r="H690">
        <v>7.7345856601585897E-3</v>
      </c>
      <c r="I690">
        <v>0</v>
      </c>
      <c r="J690">
        <v>0.56896884410738802</v>
      </c>
      <c r="K690">
        <v>2256</v>
      </c>
      <c r="L690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90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cm="1">
        <f t="array" ref="N690">IFERROR(AVERAGE(IF((DiscreteStatsTable[GroupByKey]=DiscreteStatsTable[[#This Row],[GroupByKey]]),(DiscreteStatsTable[GroupByKey]=DiscreteStatsTable[[#This Row],[GroupByKey]])*DiscreteStatsTable[Average])),0)</f>
        <v>6.8098620832941548E-2</v>
      </c>
      <c r="O690" cm="1">
        <f t="array" ref="O690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90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90" cm="1">
        <f t="array" ref="R690">MIN(IF((DiscreteStatsTable[GroupByKey]=DiscreteStatsTable[[#This Row],[GroupByKey]]),(DiscreteStatsTable[GroupByKey]=DiscreteStatsTable[[#This Row],[GroupByKey]])*DiscreteStatsTable[Average]))</f>
        <v>5.5993386493398203E-2</v>
      </c>
      <c r="S690" cm="1">
        <f t="array" ref="S690">MAX(IF((DiscreteStatsTable[GroupByKey]=DiscreteStatsTable[[#This Row],[GroupByKey]]),(DiscreteStatsTable[GroupByKey]=DiscreteStatsTable[[#This Row],[GroupByKey]])*DiscreteStatsTable[Average]))</f>
        <v>7.8817469083508104E-2</v>
      </c>
      <c r="T690" cm="1">
        <f t="array" ref="T690">MIN(IF((DiscreteStatsTable[GroupByKey]=DiscreteStatsTable[[#This Row],[GroupByKey]]),(DiscreteStatsTable[GroupByKey]=DiscreteStatsTable[[#This Row],[GroupByKey]])*DiscreteStatsTable[Minimum]))</f>
        <v>0</v>
      </c>
      <c r="U690" cm="1">
        <f t="array" ref="U690">MAX(IF((DiscreteStatsTable[GroupByKey]=DiscreteStatsTable[[#This Row],[GroupByKey]]),(DiscreteStatsTable[GroupByKey]=DiscreteStatsTable[[#This Row],[GroupByKey]])*DiscreteStatsTable[Maximum]))</f>
        <v>1.2170108122512</v>
      </c>
      <c r="V690" cm="1">
        <f t="array" ref="V690">IFERROR(AVERAGE(IF((DiscreteStatsTable[GroupByKey]=DiscreteStatsTable[[#This Row],[GroupByKey]]),(DiscreteStatsTable[GroupByKey]=DiscreteStatsTable[[#This Row],[GroupByKey]])*DiscreteStatsTable[NumberObservations])),0)</f>
        <v>2263.14</v>
      </c>
      <c r="W690">
        <f>IF((DiscreteStatsTable[[#This Row],[RepsRequested]]&gt;1),DiscreteStatsTable[[#This Row],[HalfWidth]],DiscreteStatsTable[[#This Row],[BatchMeansHalfWidth]])</f>
        <v>1.3194809635704845E-3</v>
      </c>
      <c r="X690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131</v>
      </c>
      <c r="C691">
        <v>40</v>
      </c>
      <c r="D691" t="s">
        <v>87</v>
      </c>
      <c r="E691" t="s">
        <v>84</v>
      </c>
      <c r="F691" t="s">
        <v>85</v>
      </c>
      <c r="G691">
        <v>6.7949701541012902E-2</v>
      </c>
      <c r="H691">
        <v>7.4079095647682997E-3</v>
      </c>
      <c r="I691">
        <v>0</v>
      </c>
      <c r="J691">
        <v>0.98661305285054401</v>
      </c>
      <c r="K691">
        <v>2256</v>
      </c>
      <c r="L691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91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cm="1">
        <f t="array" ref="N691">IFERROR(AVERAGE(IF((DiscreteStatsTable[GroupByKey]=DiscreteStatsTable[[#This Row],[GroupByKey]]),(DiscreteStatsTable[GroupByKey]=DiscreteStatsTable[[#This Row],[GroupByKey]])*DiscreteStatsTable[Average])),0)</f>
        <v>6.8098620832941548E-2</v>
      </c>
      <c r="O691" cm="1">
        <f t="array" ref="O691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91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91" cm="1">
        <f t="array" ref="R691">MIN(IF((DiscreteStatsTable[GroupByKey]=DiscreteStatsTable[[#This Row],[GroupByKey]]),(DiscreteStatsTable[GroupByKey]=DiscreteStatsTable[[#This Row],[GroupByKey]])*DiscreteStatsTable[Average]))</f>
        <v>5.5993386493398203E-2</v>
      </c>
      <c r="S691" cm="1">
        <f t="array" ref="S691">MAX(IF((DiscreteStatsTable[GroupByKey]=DiscreteStatsTable[[#This Row],[GroupByKey]]),(DiscreteStatsTable[GroupByKey]=DiscreteStatsTable[[#This Row],[GroupByKey]])*DiscreteStatsTable[Average]))</f>
        <v>7.8817469083508104E-2</v>
      </c>
      <c r="T691" cm="1">
        <f t="array" ref="T691">MIN(IF((DiscreteStatsTable[GroupByKey]=DiscreteStatsTable[[#This Row],[GroupByKey]]),(DiscreteStatsTable[GroupByKey]=DiscreteStatsTable[[#This Row],[GroupByKey]])*DiscreteStatsTable[Minimum]))</f>
        <v>0</v>
      </c>
      <c r="U691" cm="1">
        <f t="array" ref="U691">MAX(IF((DiscreteStatsTable[GroupByKey]=DiscreteStatsTable[[#This Row],[GroupByKey]]),(DiscreteStatsTable[GroupByKey]=DiscreteStatsTable[[#This Row],[GroupByKey]])*DiscreteStatsTable[Maximum]))</f>
        <v>1.2170108122512</v>
      </c>
      <c r="V691" cm="1">
        <f t="array" ref="V691">IFERROR(AVERAGE(IF((DiscreteStatsTable[GroupByKey]=DiscreteStatsTable[[#This Row],[GroupByKey]]),(DiscreteStatsTable[GroupByKey]=DiscreteStatsTable[[#This Row],[GroupByKey]])*DiscreteStatsTable[NumberObservations])),0)</f>
        <v>2263.14</v>
      </c>
      <c r="W691">
        <f>IF((DiscreteStatsTable[[#This Row],[RepsRequested]]&gt;1),DiscreteStatsTable[[#This Row],[HalfWidth]],DiscreteStatsTable[[#This Row],[BatchMeansHalfWidth]])</f>
        <v>1.3194809635704845E-3</v>
      </c>
      <c r="X691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131</v>
      </c>
      <c r="C692">
        <v>41</v>
      </c>
      <c r="D692" t="s">
        <v>87</v>
      </c>
      <c r="E692" t="s">
        <v>84</v>
      </c>
      <c r="F692" t="s">
        <v>85</v>
      </c>
      <c r="G692">
        <v>6.0388530589187001E-2</v>
      </c>
      <c r="H692">
        <v>3E+20</v>
      </c>
      <c r="I692">
        <v>0</v>
      </c>
      <c r="J692">
        <v>0.84073249498726499</v>
      </c>
      <c r="K692">
        <v>2212</v>
      </c>
      <c r="L692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92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cm="1">
        <f t="array" ref="N692">IFERROR(AVERAGE(IF((DiscreteStatsTable[GroupByKey]=DiscreteStatsTable[[#This Row],[GroupByKey]]),(DiscreteStatsTable[GroupByKey]=DiscreteStatsTable[[#This Row],[GroupByKey]])*DiscreteStatsTable[Average])),0)</f>
        <v>6.8098620832941548E-2</v>
      </c>
      <c r="O692" cm="1">
        <f t="array" ref="O692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92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92" cm="1">
        <f t="array" ref="R692">MIN(IF((DiscreteStatsTable[GroupByKey]=DiscreteStatsTable[[#This Row],[GroupByKey]]),(DiscreteStatsTable[GroupByKey]=DiscreteStatsTable[[#This Row],[GroupByKey]])*DiscreteStatsTable[Average]))</f>
        <v>5.5993386493398203E-2</v>
      </c>
      <c r="S692" cm="1">
        <f t="array" ref="S692">MAX(IF((DiscreteStatsTable[GroupByKey]=DiscreteStatsTable[[#This Row],[GroupByKey]]),(DiscreteStatsTable[GroupByKey]=DiscreteStatsTable[[#This Row],[GroupByKey]])*DiscreteStatsTable[Average]))</f>
        <v>7.8817469083508104E-2</v>
      </c>
      <c r="T692" cm="1">
        <f t="array" ref="T692">MIN(IF((DiscreteStatsTable[GroupByKey]=DiscreteStatsTable[[#This Row],[GroupByKey]]),(DiscreteStatsTable[GroupByKey]=DiscreteStatsTable[[#This Row],[GroupByKey]])*DiscreteStatsTable[Minimum]))</f>
        <v>0</v>
      </c>
      <c r="U692" cm="1">
        <f t="array" ref="U692">MAX(IF((DiscreteStatsTable[GroupByKey]=DiscreteStatsTable[[#This Row],[GroupByKey]]),(DiscreteStatsTable[GroupByKey]=DiscreteStatsTable[[#This Row],[GroupByKey]])*DiscreteStatsTable[Maximum]))</f>
        <v>1.2170108122512</v>
      </c>
      <c r="V692" cm="1">
        <f t="array" ref="V692">IFERROR(AVERAGE(IF((DiscreteStatsTable[GroupByKey]=DiscreteStatsTable[[#This Row],[GroupByKey]]),(DiscreteStatsTable[GroupByKey]=DiscreteStatsTable[[#This Row],[GroupByKey]])*DiscreteStatsTable[NumberObservations])),0)</f>
        <v>2263.14</v>
      </c>
      <c r="W692">
        <f>IF((DiscreteStatsTable[[#This Row],[RepsRequested]]&gt;1),DiscreteStatsTable[[#This Row],[HalfWidth]],DiscreteStatsTable[[#This Row],[BatchMeansHalfWidth]])</f>
        <v>1.3194809635704845E-3</v>
      </c>
      <c r="X692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131</v>
      </c>
      <c r="C693">
        <v>42</v>
      </c>
      <c r="D693" t="s">
        <v>87</v>
      </c>
      <c r="E693" t="s">
        <v>84</v>
      </c>
      <c r="F693" t="s">
        <v>85</v>
      </c>
      <c r="G693">
        <v>7.29809670145843E-2</v>
      </c>
      <c r="H693">
        <v>1.2616265455194699E-2</v>
      </c>
      <c r="I693">
        <v>0</v>
      </c>
      <c r="J693">
        <v>0.84432274578364297</v>
      </c>
      <c r="K693">
        <v>2286</v>
      </c>
      <c r="L693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93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cm="1">
        <f t="array" ref="N693">IFERROR(AVERAGE(IF((DiscreteStatsTable[GroupByKey]=DiscreteStatsTable[[#This Row],[GroupByKey]]),(DiscreteStatsTable[GroupByKey]=DiscreteStatsTable[[#This Row],[GroupByKey]])*DiscreteStatsTable[Average])),0)</f>
        <v>6.8098620832941548E-2</v>
      </c>
      <c r="O693" cm="1">
        <f t="array" ref="O693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93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93" cm="1">
        <f t="array" ref="R693">MIN(IF((DiscreteStatsTable[GroupByKey]=DiscreteStatsTable[[#This Row],[GroupByKey]]),(DiscreteStatsTable[GroupByKey]=DiscreteStatsTable[[#This Row],[GroupByKey]])*DiscreteStatsTable[Average]))</f>
        <v>5.5993386493398203E-2</v>
      </c>
      <c r="S693" cm="1">
        <f t="array" ref="S693">MAX(IF((DiscreteStatsTable[GroupByKey]=DiscreteStatsTable[[#This Row],[GroupByKey]]),(DiscreteStatsTable[GroupByKey]=DiscreteStatsTable[[#This Row],[GroupByKey]])*DiscreteStatsTable[Average]))</f>
        <v>7.8817469083508104E-2</v>
      </c>
      <c r="T693" cm="1">
        <f t="array" ref="T693">MIN(IF((DiscreteStatsTable[GroupByKey]=DiscreteStatsTable[[#This Row],[GroupByKey]]),(DiscreteStatsTable[GroupByKey]=DiscreteStatsTable[[#This Row],[GroupByKey]])*DiscreteStatsTable[Minimum]))</f>
        <v>0</v>
      </c>
      <c r="U693" cm="1">
        <f t="array" ref="U693">MAX(IF((DiscreteStatsTable[GroupByKey]=DiscreteStatsTable[[#This Row],[GroupByKey]]),(DiscreteStatsTable[GroupByKey]=DiscreteStatsTable[[#This Row],[GroupByKey]])*DiscreteStatsTable[Maximum]))</f>
        <v>1.2170108122512</v>
      </c>
      <c r="V693" cm="1">
        <f t="array" ref="V693">IFERROR(AVERAGE(IF((DiscreteStatsTable[GroupByKey]=DiscreteStatsTable[[#This Row],[GroupByKey]]),(DiscreteStatsTable[GroupByKey]=DiscreteStatsTable[[#This Row],[GroupByKey]])*DiscreteStatsTable[NumberObservations])),0)</f>
        <v>2263.14</v>
      </c>
      <c r="W693">
        <f>IF((DiscreteStatsTable[[#This Row],[RepsRequested]]&gt;1),DiscreteStatsTable[[#This Row],[HalfWidth]],DiscreteStatsTable[[#This Row],[BatchMeansHalfWidth]])</f>
        <v>1.3194809635704845E-3</v>
      </c>
      <c r="X693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131</v>
      </c>
      <c r="C694">
        <v>43</v>
      </c>
      <c r="D694" t="s">
        <v>87</v>
      </c>
      <c r="E694" t="s">
        <v>84</v>
      </c>
      <c r="F694" t="s">
        <v>85</v>
      </c>
      <c r="G694">
        <v>6.3125843187137098E-2</v>
      </c>
      <c r="H694">
        <v>7.0902686894228802E-3</v>
      </c>
      <c r="I694">
        <v>0</v>
      </c>
      <c r="J694">
        <v>0.66233602153960203</v>
      </c>
      <c r="K694">
        <v>2226</v>
      </c>
      <c r="L694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94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cm="1">
        <f t="array" ref="N694">IFERROR(AVERAGE(IF((DiscreteStatsTable[GroupByKey]=DiscreteStatsTable[[#This Row],[GroupByKey]]),(DiscreteStatsTable[GroupByKey]=DiscreteStatsTable[[#This Row],[GroupByKey]])*DiscreteStatsTable[Average])),0)</f>
        <v>6.8098620832941548E-2</v>
      </c>
      <c r="O694" cm="1">
        <f t="array" ref="O694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94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94" cm="1">
        <f t="array" ref="R694">MIN(IF((DiscreteStatsTable[GroupByKey]=DiscreteStatsTable[[#This Row],[GroupByKey]]),(DiscreteStatsTable[GroupByKey]=DiscreteStatsTable[[#This Row],[GroupByKey]])*DiscreteStatsTable[Average]))</f>
        <v>5.5993386493398203E-2</v>
      </c>
      <c r="S694" cm="1">
        <f t="array" ref="S694">MAX(IF((DiscreteStatsTable[GroupByKey]=DiscreteStatsTable[[#This Row],[GroupByKey]]),(DiscreteStatsTable[GroupByKey]=DiscreteStatsTable[[#This Row],[GroupByKey]])*DiscreteStatsTable[Average]))</f>
        <v>7.8817469083508104E-2</v>
      </c>
      <c r="T694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cm="1">
        <f t="array" ref="U694">MAX(IF((DiscreteStatsTable[GroupByKey]=DiscreteStatsTable[[#This Row],[GroupByKey]]),(DiscreteStatsTable[GroupByKey]=DiscreteStatsTable[[#This Row],[GroupByKey]])*DiscreteStatsTable[Maximum]))</f>
        <v>1.2170108122512</v>
      </c>
      <c r="V694" cm="1">
        <f t="array" ref="V694">IFERROR(AVERAGE(IF((DiscreteStatsTable[GroupByKey]=DiscreteStatsTable[[#This Row],[GroupByKey]]),(DiscreteStatsTable[GroupByKey]=DiscreteStatsTable[[#This Row],[GroupByKey]])*DiscreteStatsTable[NumberObservations])),0)</f>
        <v>2263.14</v>
      </c>
      <c r="W694">
        <f>IF((DiscreteStatsTable[[#This Row],[RepsRequested]]&gt;1),DiscreteStatsTable[[#This Row],[HalfWidth]],DiscreteStatsTable[[#This Row],[BatchMeansHalfWidth]])</f>
        <v>1.3194809635704845E-3</v>
      </c>
      <c r="X694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131</v>
      </c>
      <c r="C695">
        <v>44</v>
      </c>
      <c r="D695" t="s">
        <v>87</v>
      </c>
      <c r="E695" t="s">
        <v>84</v>
      </c>
      <c r="F695" t="s">
        <v>85</v>
      </c>
      <c r="G695">
        <v>6.8807119795718102E-2</v>
      </c>
      <c r="H695">
        <v>1.21056284137871E-2</v>
      </c>
      <c r="I695">
        <v>0</v>
      </c>
      <c r="J695">
        <v>0.74316777530668798</v>
      </c>
      <c r="K695">
        <v>2190</v>
      </c>
      <c r="L695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9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cm="1">
        <f t="array" ref="N695">IFERROR(AVERAGE(IF((DiscreteStatsTable[GroupByKey]=DiscreteStatsTable[[#This Row],[GroupByKey]]),(DiscreteStatsTable[GroupByKey]=DiscreteStatsTable[[#This Row],[GroupByKey]])*DiscreteStatsTable[Average])),0)</f>
        <v>6.8098620832941548E-2</v>
      </c>
      <c r="O695" cm="1">
        <f t="array" ref="O695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9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95" cm="1">
        <f t="array" ref="R695">MIN(IF((DiscreteStatsTable[GroupByKey]=DiscreteStatsTable[[#This Row],[GroupByKey]]),(DiscreteStatsTable[GroupByKey]=DiscreteStatsTable[[#This Row],[GroupByKey]])*DiscreteStatsTable[Average]))</f>
        <v>5.5993386493398203E-2</v>
      </c>
      <c r="S695" cm="1">
        <f t="array" ref="S695">MAX(IF((DiscreteStatsTable[GroupByKey]=DiscreteStatsTable[[#This Row],[GroupByKey]]),(DiscreteStatsTable[GroupByKey]=DiscreteStatsTable[[#This Row],[GroupByKey]])*DiscreteStatsTable[Average]))</f>
        <v>7.8817469083508104E-2</v>
      </c>
      <c r="T69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cm="1">
        <f t="array" ref="U695">MAX(IF((DiscreteStatsTable[GroupByKey]=DiscreteStatsTable[[#This Row],[GroupByKey]]),(DiscreteStatsTable[GroupByKey]=DiscreteStatsTable[[#This Row],[GroupByKey]])*DiscreteStatsTable[Maximum]))</f>
        <v>1.2170108122512</v>
      </c>
      <c r="V695" cm="1">
        <f t="array" ref="V695">IFERROR(AVERAGE(IF((DiscreteStatsTable[GroupByKey]=DiscreteStatsTable[[#This Row],[GroupByKey]]),(DiscreteStatsTable[GroupByKey]=DiscreteStatsTable[[#This Row],[GroupByKey]])*DiscreteStatsTable[NumberObservations])),0)</f>
        <v>2263.14</v>
      </c>
      <c r="W695">
        <f>IF((DiscreteStatsTable[[#This Row],[RepsRequested]]&gt;1),DiscreteStatsTable[[#This Row],[HalfWidth]],DiscreteStatsTable[[#This Row],[BatchMeansHalfWidth]])</f>
        <v>1.3194809635704845E-3</v>
      </c>
      <c r="X69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131</v>
      </c>
      <c r="C696">
        <v>45</v>
      </c>
      <c r="D696" t="s">
        <v>87</v>
      </c>
      <c r="E696" t="s">
        <v>84</v>
      </c>
      <c r="F696" t="s">
        <v>85</v>
      </c>
      <c r="G696">
        <v>6.5086798544389798E-2</v>
      </c>
      <c r="H696">
        <v>1.13652362511301E-2</v>
      </c>
      <c r="I696">
        <v>0</v>
      </c>
      <c r="J696">
        <v>0.68972426305083401</v>
      </c>
      <c r="K696">
        <v>2292</v>
      </c>
      <c r="L696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96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cm="1">
        <f t="array" ref="N696">IFERROR(AVERAGE(IF((DiscreteStatsTable[GroupByKey]=DiscreteStatsTable[[#This Row],[GroupByKey]]),(DiscreteStatsTable[GroupByKey]=DiscreteStatsTable[[#This Row],[GroupByKey]])*DiscreteStatsTable[Average])),0)</f>
        <v>6.8098620832941548E-2</v>
      </c>
      <c r="O696" cm="1">
        <f t="array" ref="O696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96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96" cm="1">
        <f t="array" ref="R696">MIN(IF((DiscreteStatsTable[GroupByKey]=DiscreteStatsTable[[#This Row],[GroupByKey]]),(DiscreteStatsTable[GroupByKey]=DiscreteStatsTable[[#This Row],[GroupByKey]])*DiscreteStatsTable[Average]))</f>
        <v>5.5993386493398203E-2</v>
      </c>
      <c r="S696" cm="1">
        <f t="array" ref="S696">MAX(IF((DiscreteStatsTable[GroupByKey]=DiscreteStatsTable[[#This Row],[GroupByKey]]),(DiscreteStatsTable[GroupByKey]=DiscreteStatsTable[[#This Row],[GroupByKey]])*DiscreteStatsTable[Average]))</f>
        <v>7.8817469083508104E-2</v>
      </c>
      <c r="T696" cm="1">
        <f t="array" ref="T696">MIN(IF((DiscreteStatsTable[GroupByKey]=DiscreteStatsTable[[#This Row],[GroupByKey]]),(DiscreteStatsTable[GroupByKey]=DiscreteStatsTable[[#This Row],[GroupByKey]])*DiscreteStatsTable[Minimum]))</f>
        <v>0</v>
      </c>
      <c r="U696" cm="1">
        <f t="array" ref="U696">MAX(IF((DiscreteStatsTable[GroupByKey]=DiscreteStatsTable[[#This Row],[GroupByKey]]),(DiscreteStatsTable[GroupByKey]=DiscreteStatsTable[[#This Row],[GroupByKey]])*DiscreteStatsTable[Maximum]))</f>
        <v>1.2170108122512</v>
      </c>
      <c r="V696" cm="1">
        <f t="array" ref="V696">IFERROR(AVERAGE(IF((DiscreteStatsTable[GroupByKey]=DiscreteStatsTable[[#This Row],[GroupByKey]]),(DiscreteStatsTable[GroupByKey]=DiscreteStatsTable[[#This Row],[GroupByKey]])*DiscreteStatsTable[NumberObservations])),0)</f>
        <v>2263.14</v>
      </c>
      <c r="W696">
        <f>IF((DiscreteStatsTable[[#This Row],[RepsRequested]]&gt;1),DiscreteStatsTable[[#This Row],[HalfWidth]],DiscreteStatsTable[[#This Row],[BatchMeansHalfWidth]])</f>
        <v>1.3194809635704845E-3</v>
      </c>
      <c r="X696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131</v>
      </c>
      <c r="C697">
        <v>46</v>
      </c>
      <c r="D697" t="s">
        <v>87</v>
      </c>
      <c r="E697" t="s">
        <v>84</v>
      </c>
      <c r="F697" t="s">
        <v>85</v>
      </c>
      <c r="G697">
        <v>6.6795071501196401E-2</v>
      </c>
      <c r="H697">
        <v>9.4575531212910697E-3</v>
      </c>
      <c r="I697">
        <v>0</v>
      </c>
      <c r="J697">
        <v>0.65130237752543996</v>
      </c>
      <c r="K697">
        <v>2283</v>
      </c>
      <c r="L697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97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cm="1">
        <f t="array" ref="N697">IFERROR(AVERAGE(IF((DiscreteStatsTable[GroupByKey]=DiscreteStatsTable[[#This Row],[GroupByKey]]),(DiscreteStatsTable[GroupByKey]=DiscreteStatsTable[[#This Row],[GroupByKey]])*DiscreteStatsTable[Average])),0)</f>
        <v>6.8098620832941548E-2</v>
      </c>
      <c r="O697" cm="1">
        <f t="array" ref="O697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97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97" cm="1">
        <f t="array" ref="R697">MIN(IF((DiscreteStatsTable[GroupByKey]=DiscreteStatsTable[[#This Row],[GroupByKey]]),(DiscreteStatsTable[GroupByKey]=DiscreteStatsTable[[#This Row],[GroupByKey]])*DiscreteStatsTable[Average]))</f>
        <v>5.5993386493398203E-2</v>
      </c>
      <c r="S697" cm="1">
        <f t="array" ref="S697">MAX(IF((DiscreteStatsTable[GroupByKey]=DiscreteStatsTable[[#This Row],[GroupByKey]]),(DiscreteStatsTable[GroupByKey]=DiscreteStatsTable[[#This Row],[GroupByKey]])*DiscreteStatsTable[Average]))</f>
        <v>7.8817469083508104E-2</v>
      </c>
      <c r="T697" cm="1">
        <f t="array" ref="T697">MIN(IF((DiscreteStatsTable[GroupByKey]=DiscreteStatsTable[[#This Row],[GroupByKey]]),(DiscreteStatsTable[GroupByKey]=DiscreteStatsTable[[#This Row],[GroupByKey]])*DiscreteStatsTable[Minimum]))</f>
        <v>0</v>
      </c>
      <c r="U697" cm="1">
        <f t="array" ref="U697">MAX(IF((DiscreteStatsTable[GroupByKey]=DiscreteStatsTable[[#This Row],[GroupByKey]]),(DiscreteStatsTable[GroupByKey]=DiscreteStatsTable[[#This Row],[GroupByKey]])*DiscreteStatsTable[Maximum]))</f>
        <v>1.2170108122512</v>
      </c>
      <c r="V697" cm="1">
        <f t="array" ref="V697">IFERROR(AVERAGE(IF((DiscreteStatsTable[GroupByKey]=DiscreteStatsTable[[#This Row],[GroupByKey]]),(DiscreteStatsTable[GroupByKey]=DiscreteStatsTable[[#This Row],[GroupByKey]])*DiscreteStatsTable[NumberObservations])),0)</f>
        <v>2263.14</v>
      </c>
      <c r="W697">
        <f>IF((DiscreteStatsTable[[#This Row],[RepsRequested]]&gt;1),DiscreteStatsTable[[#This Row],[HalfWidth]],DiscreteStatsTable[[#This Row],[BatchMeansHalfWidth]])</f>
        <v>1.3194809635704845E-3</v>
      </c>
      <c r="X697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131</v>
      </c>
      <c r="C698">
        <v>47</v>
      </c>
      <c r="D698" t="s">
        <v>87</v>
      </c>
      <c r="E698" t="s">
        <v>84</v>
      </c>
      <c r="F698" t="s">
        <v>85</v>
      </c>
      <c r="G698">
        <v>7.4201677159652701E-2</v>
      </c>
      <c r="H698">
        <v>9.2218129857270098E-3</v>
      </c>
      <c r="I698">
        <v>0</v>
      </c>
      <c r="J698">
        <v>0.72955494173498903</v>
      </c>
      <c r="K698">
        <v>2316</v>
      </c>
      <c r="L698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98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cm="1">
        <f t="array" ref="N698">IFERROR(AVERAGE(IF((DiscreteStatsTable[GroupByKey]=DiscreteStatsTable[[#This Row],[GroupByKey]]),(DiscreteStatsTable[GroupByKey]=DiscreteStatsTable[[#This Row],[GroupByKey]])*DiscreteStatsTable[Average])),0)</f>
        <v>6.8098620832941548E-2</v>
      </c>
      <c r="O698" cm="1">
        <f t="array" ref="O698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98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98" cm="1">
        <f t="array" ref="R698">MIN(IF((DiscreteStatsTable[GroupByKey]=DiscreteStatsTable[[#This Row],[GroupByKey]]),(DiscreteStatsTable[GroupByKey]=DiscreteStatsTable[[#This Row],[GroupByKey]])*DiscreteStatsTable[Average]))</f>
        <v>5.5993386493398203E-2</v>
      </c>
      <c r="S698" cm="1">
        <f t="array" ref="S698">MAX(IF((DiscreteStatsTable[GroupByKey]=DiscreteStatsTable[[#This Row],[GroupByKey]]),(DiscreteStatsTable[GroupByKey]=DiscreteStatsTable[[#This Row],[GroupByKey]])*DiscreteStatsTable[Average]))</f>
        <v>7.8817469083508104E-2</v>
      </c>
      <c r="T698" cm="1">
        <f t="array" ref="T698">MIN(IF((DiscreteStatsTable[GroupByKey]=DiscreteStatsTable[[#This Row],[GroupByKey]]),(DiscreteStatsTable[GroupByKey]=DiscreteStatsTable[[#This Row],[GroupByKey]])*DiscreteStatsTable[Minimum]))</f>
        <v>0</v>
      </c>
      <c r="U698" cm="1">
        <f t="array" ref="U698">MAX(IF((DiscreteStatsTable[GroupByKey]=DiscreteStatsTable[[#This Row],[GroupByKey]]),(DiscreteStatsTable[GroupByKey]=DiscreteStatsTable[[#This Row],[GroupByKey]])*DiscreteStatsTable[Maximum]))</f>
        <v>1.2170108122512</v>
      </c>
      <c r="V698" cm="1">
        <f t="array" ref="V698">IFERROR(AVERAGE(IF((DiscreteStatsTable[GroupByKey]=DiscreteStatsTable[[#This Row],[GroupByKey]]),(DiscreteStatsTable[GroupByKey]=DiscreteStatsTable[[#This Row],[GroupByKey]])*DiscreteStatsTable[NumberObservations])),0)</f>
        <v>2263.14</v>
      </c>
      <c r="W698">
        <f>IF((DiscreteStatsTable[[#This Row],[RepsRequested]]&gt;1),DiscreteStatsTable[[#This Row],[HalfWidth]],DiscreteStatsTable[[#This Row],[BatchMeansHalfWidth]])</f>
        <v>1.3194809635704845E-3</v>
      </c>
      <c r="X698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131</v>
      </c>
      <c r="C699">
        <v>48</v>
      </c>
      <c r="D699" t="s">
        <v>87</v>
      </c>
      <c r="E699" t="s">
        <v>84</v>
      </c>
      <c r="F699" t="s">
        <v>85</v>
      </c>
      <c r="G699">
        <v>6.7324102032683797E-2</v>
      </c>
      <c r="H699">
        <v>7.0210655360831197E-3</v>
      </c>
      <c r="I699">
        <v>0</v>
      </c>
      <c r="J699">
        <v>0.74535274404490803</v>
      </c>
      <c r="K699">
        <v>2275</v>
      </c>
      <c r="L699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699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cm="1">
        <f t="array" ref="N699">IFERROR(AVERAGE(IF((DiscreteStatsTable[GroupByKey]=DiscreteStatsTable[[#This Row],[GroupByKey]]),(DiscreteStatsTable[GroupByKey]=DiscreteStatsTable[[#This Row],[GroupByKey]])*DiscreteStatsTable[Average])),0)</f>
        <v>6.8098620832941548E-2</v>
      </c>
      <c r="O699" cm="1">
        <f t="array" ref="O699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699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699" cm="1">
        <f t="array" ref="R699">MIN(IF((DiscreteStatsTable[GroupByKey]=DiscreteStatsTable[[#This Row],[GroupByKey]]),(DiscreteStatsTable[GroupByKey]=DiscreteStatsTable[[#This Row],[GroupByKey]])*DiscreteStatsTable[Average]))</f>
        <v>5.5993386493398203E-2</v>
      </c>
      <c r="S699" cm="1">
        <f t="array" ref="S699">MAX(IF((DiscreteStatsTable[GroupByKey]=DiscreteStatsTable[[#This Row],[GroupByKey]]),(DiscreteStatsTable[GroupByKey]=DiscreteStatsTable[[#This Row],[GroupByKey]])*DiscreteStatsTable[Average]))</f>
        <v>7.8817469083508104E-2</v>
      </c>
      <c r="T699" cm="1">
        <f t="array" ref="T699">MIN(IF((DiscreteStatsTable[GroupByKey]=DiscreteStatsTable[[#This Row],[GroupByKey]]),(DiscreteStatsTable[GroupByKey]=DiscreteStatsTable[[#This Row],[GroupByKey]])*DiscreteStatsTable[Minimum]))</f>
        <v>0</v>
      </c>
      <c r="U699" cm="1">
        <f t="array" ref="U699">MAX(IF((DiscreteStatsTable[GroupByKey]=DiscreteStatsTable[[#This Row],[GroupByKey]]),(DiscreteStatsTable[GroupByKey]=DiscreteStatsTable[[#This Row],[GroupByKey]])*DiscreteStatsTable[Maximum]))</f>
        <v>1.2170108122512</v>
      </c>
      <c r="V699" cm="1">
        <f t="array" ref="V699">IFERROR(AVERAGE(IF((DiscreteStatsTable[GroupByKey]=DiscreteStatsTable[[#This Row],[GroupByKey]]),(DiscreteStatsTable[GroupByKey]=DiscreteStatsTable[[#This Row],[GroupByKey]])*DiscreteStatsTable[NumberObservations])),0)</f>
        <v>2263.14</v>
      </c>
      <c r="W699">
        <f>IF((DiscreteStatsTable[[#This Row],[RepsRequested]]&gt;1),DiscreteStatsTable[[#This Row],[HalfWidth]],DiscreteStatsTable[[#This Row],[BatchMeansHalfWidth]])</f>
        <v>1.3194809635704845E-3</v>
      </c>
      <c r="X699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131</v>
      </c>
      <c r="C700">
        <v>49</v>
      </c>
      <c r="D700" t="s">
        <v>87</v>
      </c>
      <c r="E700" t="s">
        <v>84</v>
      </c>
      <c r="F700" t="s">
        <v>85</v>
      </c>
      <c r="G700">
        <v>5.9368325950584597E-2</v>
      </c>
      <c r="H700">
        <v>5.4321399696575998E-3</v>
      </c>
      <c r="I700">
        <v>0</v>
      </c>
      <c r="J700">
        <v>0.65880988933959395</v>
      </c>
      <c r="K700">
        <v>2239</v>
      </c>
      <c r="L700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700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cm="1">
        <f t="array" ref="N700">IFERROR(AVERAGE(IF((DiscreteStatsTable[GroupByKey]=DiscreteStatsTable[[#This Row],[GroupByKey]]),(DiscreteStatsTable[GroupByKey]=DiscreteStatsTable[[#This Row],[GroupByKey]])*DiscreteStatsTable[Average])),0)</f>
        <v>6.8098620832941548E-2</v>
      </c>
      <c r="O700" cm="1">
        <f t="array" ref="O700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700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700" cm="1">
        <f t="array" ref="R700">MIN(IF((DiscreteStatsTable[GroupByKey]=DiscreteStatsTable[[#This Row],[GroupByKey]]),(DiscreteStatsTable[GroupByKey]=DiscreteStatsTable[[#This Row],[GroupByKey]])*DiscreteStatsTable[Average]))</f>
        <v>5.5993386493398203E-2</v>
      </c>
      <c r="S700" cm="1">
        <f t="array" ref="S700">MAX(IF((DiscreteStatsTable[GroupByKey]=DiscreteStatsTable[[#This Row],[GroupByKey]]),(DiscreteStatsTable[GroupByKey]=DiscreteStatsTable[[#This Row],[GroupByKey]])*DiscreteStatsTable[Average]))</f>
        <v>7.8817469083508104E-2</v>
      </c>
      <c r="T700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cm="1">
        <f t="array" ref="U700">MAX(IF((DiscreteStatsTable[GroupByKey]=DiscreteStatsTable[[#This Row],[GroupByKey]]),(DiscreteStatsTable[GroupByKey]=DiscreteStatsTable[[#This Row],[GroupByKey]])*DiscreteStatsTable[Maximum]))</f>
        <v>1.2170108122512</v>
      </c>
      <c r="V700" cm="1">
        <f t="array" ref="V700">IFERROR(AVERAGE(IF((DiscreteStatsTable[GroupByKey]=DiscreteStatsTable[[#This Row],[GroupByKey]]),(DiscreteStatsTable[GroupByKey]=DiscreteStatsTable[[#This Row],[GroupByKey]])*DiscreteStatsTable[NumberObservations])),0)</f>
        <v>2263.14</v>
      </c>
      <c r="W700">
        <f>IF((DiscreteStatsTable[[#This Row],[RepsRequested]]&gt;1),DiscreteStatsTable[[#This Row],[HalfWidth]],DiscreteStatsTable[[#This Row],[BatchMeansHalfWidth]])</f>
        <v>1.3194809635704845E-3</v>
      </c>
      <c r="X700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131</v>
      </c>
      <c r="C701">
        <v>50</v>
      </c>
      <c r="D701" t="s">
        <v>87</v>
      </c>
      <c r="E701" t="s">
        <v>84</v>
      </c>
      <c r="F701" t="s">
        <v>85</v>
      </c>
      <c r="G701">
        <v>6.9432881988610196E-2</v>
      </c>
      <c r="H701">
        <v>1.17671893383828E-2</v>
      </c>
      <c r="I701">
        <v>0</v>
      </c>
      <c r="J701">
        <v>0.77893442727810203</v>
      </c>
      <c r="K701">
        <v>2292</v>
      </c>
      <c r="L701" t="str">
        <f>DiscreteStatsTable[[#This Row],[ProjectName]]&amp;DiscreteStatsTable[[#This Row],[Name]]&amp;DiscreteStatsTable[[#This Row],[Type]]&amp;DiscreteStatsTable[[#This Row],[Source]]</f>
        <v>PacientesRegistro.QueueWaiting TimeQueue</v>
      </c>
      <c r="M701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cm="1">
        <f t="array" ref="N701">IFERROR(AVERAGE(IF((DiscreteStatsTable[GroupByKey]=DiscreteStatsTable[[#This Row],[GroupByKey]]),(DiscreteStatsTable[GroupByKey]=DiscreteStatsTable[[#This Row],[GroupByKey]])*DiscreteStatsTable[Average])),0)</f>
        <v>6.8098620832941548E-2</v>
      </c>
      <c r="O701" cm="1">
        <f t="array" ref="O701">IFERROR(_xlfn.STDEV.S(IF((DiscreteStatsTable[GroupByKey]=DiscreteStatsTable[[#This Row],[GroupByKey]]),(DiscreteStatsTable[GroupByKey]=DiscreteStatsTable[[#This Row],[GroupByKey]])*DiscreteStatsTable[Average])),0)</f>
        <v>4.6428415306316098E-3</v>
      </c>
      <c r="P701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1.3194809635704845E-3</v>
      </c>
      <c r="R701" cm="1">
        <f t="array" ref="R701">MIN(IF((DiscreteStatsTable[GroupByKey]=DiscreteStatsTable[[#This Row],[GroupByKey]]),(DiscreteStatsTable[GroupByKey]=DiscreteStatsTable[[#This Row],[GroupByKey]])*DiscreteStatsTable[Average]))</f>
        <v>5.5993386493398203E-2</v>
      </c>
      <c r="S701" cm="1">
        <f t="array" ref="S701">MAX(IF((DiscreteStatsTable[GroupByKey]=DiscreteStatsTable[[#This Row],[GroupByKey]]),(DiscreteStatsTable[GroupByKey]=DiscreteStatsTable[[#This Row],[GroupByKey]])*DiscreteStatsTable[Average]))</f>
        <v>7.8817469083508104E-2</v>
      </c>
      <c r="T701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cm="1">
        <f t="array" ref="U701">MAX(IF((DiscreteStatsTable[GroupByKey]=DiscreteStatsTable[[#This Row],[GroupByKey]]),(DiscreteStatsTable[GroupByKey]=DiscreteStatsTable[[#This Row],[GroupByKey]])*DiscreteStatsTable[Maximum]))</f>
        <v>1.2170108122512</v>
      </c>
      <c r="V701" cm="1">
        <f t="array" ref="V701">IFERROR(AVERAGE(IF((DiscreteStatsTable[GroupByKey]=DiscreteStatsTable[[#This Row],[GroupByKey]]),(DiscreteStatsTable[GroupByKey]=DiscreteStatsTable[[#This Row],[GroupByKey]])*DiscreteStatsTable[NumberObservations])),0)</f>
        <v>2263.14</v>
      </c>
      <c r="W701">
        <f>IF((DiscreteStatsTable[[#This Row],[RepsRequested]]&gt;1),DiscreteStatsTable[[#This Row],[HalfWidth]],DiscreteStatsTable[[#This Row],[BatchMeansHalfWidth]])</f>
        <v>1.3194809635704845E-3</v>
      </c>
      <c r="X701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131</v>
      </c>
      <c r="C702">
        <v>1</v>
      </c>
      <c r="D702" t="s">
        <v>132</v>
      </c>
      <c r="E702" t="s">
        <v>133</v>
      </c>
      <c r="F702" t="s">
        <v>90</v>
      </c>
      <c r="G702">
        <v>1.62742875461073</v>
      </c>
      <c r="H702">
        <v>0.33025859689451997</v>
      </c>
      <c r="I702">
        <v>0.24569792864633699</v>
      </c>
      <c r="J702">
        <v>17.289202716166201</v>
      </c>
      <c r="K702">
        <v>2423</v>
      </c>
      <c r="L702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02" cm="1">
        <f t="array" ref="M702">MAX(IF((ProjectInfoTable[ProjectName]=DiscreteStatsTable[[#This Row],[ProjectName]]),(ProjectInfoTable[ProjectName]=DiscreteStatsTable[[#This Row],[ProjectName]])*ProjectInfoTable[NumberOfReplications]))</f>
        <v>50</v>
      </c>
      <c r="N702" cm="1">
        <f t="array" ref="N702">IFERROR(AVERAGE(IF((DiscreteStatsTable[GroupByKey]=DiscreteStatsTable[[#This Row],[GroupByKey]]),(DiscreteStatsTable[GroupByKey]=DiscreteStatsTable[[#This Row],[GroupByKey]])*DiscreteStatsTable[Average])),0)</f>
        <v>1.5029966070875795</v>
      </c>
      <c r="O702" cm="1">
        <f t="array" ref="O70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02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02" cm="1">
        <f t="array" ref="R702">MIN(IF((DiscreteStatsTable[GroupByKey]=DiscreteStatsTable[[#This Row],[GroupByKey]]),(DiscreteStatsTable[GroupByKey]=DiscreteStatsTable[[#This Row],[GroupByKey]])*DiscreteStatsTable[Average]))</f>
        <v>1.21830768607881</v>
      </c>
      <c r="S702" cm="1">
        <f t="array" ref="S702">MAX(IF((DiscreteStatsTable[GroupByKey]=DiscreteStatsTable[[#This Row],[GroupByKey]]),(DiscreteStatsTable[GroupByKey]=DiscreteStatsTable[[#This Row],[GroupByKey]])*DiscreteStatsTable[Average]))</f>
        <v>2.06387223343107</v>
      </c>
      <c r="T702" cm="1">
        <f t="array" ref="T702">MIN(IF((DiscreteStatsTable[GroupByKey]=DiscreteStatsTable[[#This Row],[GroupByKey]]),(DiscreteStatsTable[GroupByKey]=DiscreteStatsTable[[#This Row],[GroupByKey]])*DiscreteStatsTable[Minimum]))</f>
        <v>0.203133309337034</v>
      </c>
      <c r="U702" cm="1">
        <f t="array" ref="U702">MAX(IF((DiscreteStatsTable[GroupByKey]=DiscreteStatsTable[[#This Row],[GroupByKey]]),(DiscreteStatsTable[GroupByKey]=DiscreteStatsTable[[#This Row],[GroupByKey]])*DiscreteStatsTable[Maximum]))</f>
        <v>29.554686467573401</v>
      </c>
      <c r="V702" cm="1">
        <f t="array" ref="V70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02">
        <f>IF((DiscreteStatsTable[[#This Row],[RepsRequested]]&gt;1),DiscreteStatsTable[[#This Row],[HalfWidth]],DiscreteStatsTable[[#This Row],[BatchMeansHalfWidth]])</f>
        <v>6.1205265903720704E-2</v>
      </c>
      <c r="X702" cm="1">
        <f t="array" ref="X702">COUNT(IF((DiscreteStatsTable[GroupByKey]=DiscreteStatsTable[[#This Row],[GroupByKey]]),(DiscreteStatsTable[GroupByKey]=DiscreteStatsTable[[#This Row],[GroupByKey]])*DiscreteStatsTable[Replication]))</f>
        <v>50</v>
      </c>
      <c r="Y702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131</v>
      </c>
      <c r="C703">
        <v>2</v>
      </c>
      <c r="D703" t="s">
        <v>132</v>
      </c>
      <c r="E703" t="s">
        <v>133</v>
      </c>
      <c r="F703" t="s">
        <v>90</v>
      </c>
      <c r="G703">
        <v>1.2740048509709201</v>
      </c>
      <c r="H703">
        <v>3E+20</v>
      </c>
      <c r="I703">
        <v>0.24090578776761601</v>
      </c>
      <c r="J703">
        <v>9.3870565269969894</v>
      </c>
      <c r="K703">
        <v>2398</v>
      </c>
      <c r="L703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03" cm="1">
        <f t="array" ref="M703">MAX(IF((ProjectInfoTable[ProjectName]=DiscreteStatsTable[[#This Row],[ProjectName]]),(ProjectInfoTable[ProjectName]=DiscreteStatsTable[[#This Row],[ProjectName]])*ProjectInfoTable[NumberOfReplications]))</f>
        <v>50</v>
      </c>
      <c r="N703" cm="1">
        <f t="array" ref="N703">IFERROR(AVERAGE(IF((DiscreteStatsTable[GroupByKey]=DiscreteStatsTable[[#This Row],[GroupByKey]]),(DiscreteStatsTable[GroupByKey]=DiscreteStatsTable[[#This Row],[GroupByKey]])*DiscreteStatsTable[Average])),0)</f>
        <v>1.5029966070875795</v>
      </c>
      <c r="O703" cm="1">
        <f t="array" ref="O703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03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03" cm="1">
        <f t="array" ref="R703">MIN(IF((DiscreteStatsTable[GroupByKey]=DiscreteStatsTable[[#This Row],[GroupByKey]]),(DiscreteStatsTable[GroupByKey]=DiscreteStatsTable[[#This Row],[GroupByKey]])*DiscreteStatsTable[Average]))</f>
        <v>1.21830768607881</v>
      </c>
      <c r="S703" cm="1">
        <f t="array" ref="S703">MAX(IF((DiscreteStatsTable[GroupByKey]=DiscreteStatsTable[[#This Row],[GroupByKey]]),(DiscreteStatsTable[GroupByKey]=DiscreteStatsTable[[#This Row],[GroupByKey]])*DiscreteStatsTable[Average]))</f>
        <v>2.06387223343107</v>
      </c>
      <c r="T703" cm="1">
        <f t="array" ref="T703">MIN(IF((DiscreteStatsTable[GroupByKey]=DiscreteStatsTable[[#This Row],[GroupByKey]]),(DiscreteStatsTable[GroupByKey]=DiscreteStatsTable[[#This Row],[GroupByKey]])*DiscreteStatsTable[Minimum]))</f>
        <v>0.203133309337034</v>
      </c>
      <c r="U703" cm="1">
        <f t="array" ref="U703">MAX(IF((DiscreteStatsTable[GroupByKey]=DiscreteStatsTable[[#This Row],[GroupByKey]]),(DiscreteStatsTable[GroupByKey]=DiscreteStatsTable[[#This Row],[GroupByKey]])*DiscreteStatsTable[Maximum]))</f>
        <v>29.554686467573401</v>
      </c>
      <c r="V703" cm="1">
        <f t="array" ref="V70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03">
        <f>IF((DiscreteStatsTable[[#This Row],[RepsRequested]]&gt;1),DiscreteStatsTable[[#This Row],[HalfWidth]],DiscreteStatsTable[[#This Row],[BatchMeansHalfWidth]])</f>
        <v>6.1205265903720704E-2</v>
      </c>
      <c r="X703" cm="1">
        <f t="array" ref="X703">COUNT(IF((DiscreteStatsTable[GroupByKey]=DiscreteStatsTable[[#This Row],[GroupByKey]]),(DiscreteStatsTable[GroupByKey]=DiscreteStatsTable[[#This Row],[GroupByKey]])*DiscreteStatsTable[Replication]))</f>
        <v>50</v>
      </c>
      <c r="Y703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131</v>
      </c>
      <c r="C704">
        <v>3</v>
      </c>
      <c r="D704" t="s">
        <v>132</v>
      </c>
      <c r="E704" t="s">
        <v>133</v>
      </c>
      <c r="F704" t="s">
        <v>90</v>
      </c>
      <c r="G704">
        <v>1.30607988272722</v>
      </c>
      <c r="H704">
        <v>0.21084686703837999</v>
      </c>
      <c r="I704">
        <v>0.21677352216357801</v>
      </c>
      <c r="J704">
        <v>12.5668743600623</v>
      </c>
      <c r="K704">
        <v>2361</v>
      </c>
      <c r="L704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04" cm="1">
        <f t="array" ref="M704">MAX(IF((ProjectInfoTable[ProjectName]=DiscreteStatsTable[[#This Row],[ProjectName]]),(ProjectInfoTable[ProjectName]=DiscreteStatsTable[[#This Row],[ProjectName]])*ProjectInfoTable[NumberOfReplications]))</f>
        <v>50</v>
      </c>
      <c r="N704" cm="1">
        <f t="array" ref="N704">IFERROR(AVERAGE(IF((DiscreteStatsTable[GroupByKey]=DiscreteStatsTable[[#This Row],[GroupByKey]]),(DiscreteStatsTable[GroupByKey]=DiscreteStatsTable[[#This Row],[GroupByKey]])*DiscreteStatsTable[Average])),0)</f>
        <v>1.5029966070875795</v>
      </c>
      <c r="O704" cm="1">
        <f t="array" ref="O70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04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04" cm="1">
        <f t="array" ref="R704">MIN(IF((DiscreteStatsTable[GroupByKey]=DiscreteStatsTable[[#This Row],[GroupByKey]]),(DiscreteStatsTable[GroupByKey]=DiscreteStatsTable[[#This Row],[GroupByKey]])*DiscreteStatsTable[Average]))</f>
        <v>1.21830768607881</v>
      </c>
      <c r="S704" cm="1">
        <f t="array" ref="S704">MAX(IF((DiscreteStatsTable[GroupByKey]=DiscreteStatsTable[[#This Row],[GroupByKey]]),(DiscreteStatsTable[GroupByKey]=DiscreteStatsTable[[#This Row],[GroupByKey]])*DiscreteStatsTable[Average]))</f>
        <v>2.06387223343107</v>
      </c>
      <c r="T704" cm="1">
        <f t="array" ref="T704">MIN(IF((DiscreteStatsTable[GroupByKey]=DiscreteStatsTable[[#This Row],[GroupByKey]]),(DiscreteStatsTable[GroupByKey]=DiscreteStatsTable[[#This Row],[GroupByKey]])*DiscreteStatsTable[Minimum]))</f>
        <v>0.203133309337034</v>
      </c>
      <c r="U704" cm="1">
        <f t="array" ref="U704">MAX(IF((DiscreteStatsTable[GroupByKey]=DiscreteStatsTable[[#This Row],[GroupByKey]]),(DiscreteStatsTable[GroupByKey]=DiscreteStatsTable[[#This Row],[GroupByKey]])*DiscreteStatsTable[Maximum]))</f>
        <v>29.554686467573401</v>
      </c>
      <c r="V704" cm="1">
        <f t="array" ref="V70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04">
        <f>IF((DiscreteStatsTable[[#This Row],[RepsRequested]]&gt;1),DiscreteStatsTable[[#This Row],[HalfWidth]],DiscreteStatsTable[[#This Row],[BatchMeansHalfWidth]])</f>
        <v>6.1205265903720704E-2</v>
      </c>
      <c r="X704" cm="1">
        <f t="array" ref="X704">COUNT(IF((DiscreteStatsTable[GroupByKey]=DiscreteStatsTable[[#This Row],[GroupByKey]]),(DiscreteStatsTable[GroupByKey]=DiscreteStatsTable[[#This Row],[GroupByKey]])*DiscreteStatsTable[Replication]))</f>
        <v>50</v>
      </c>
      <c r="Y704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131</v>
      </c>
      <c r="C705">
        <v>4</v>
      </c>
      <c r="D705" t="s">
        <v>132</v>
      </c>
      <c r="E705" t="s">
        <v>133</v>
      </c>
      <c r="F705" t="s">
        <v>90</v>
      </c>
      <c r="G705">
        <v>1.6022225536824</v>
      </c>
      <c r="H705">
        <v>0.38949152391181402</v>
      </c>
      <c r="I705">
        <v>0.23955856428921199</v>
      </c>
      <c r="J705">
        <v>19.872147986401</v>
      </c>
      <c r="K705">
        <v>2371</v>
      </c>
      <c r="L705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05" cm="1">
        <f t="array" ref="M705">MAX(IF((ProjectInfoTable[ProjectName]=DiscreteStatsTable[[#This Row],[ProjectName]]),(ProjectInfoTable[ProjectName]=DiscreteStatsTable[[#This Row],[ProjectName]])*ProjectInfoTable[NumberOfReplications]))</f>
        <v>50</v>
      </c>
      <c r="N705" cm="1">
        <f t="array" ref="N705">IFERROR(AVERAGE(IF((DiscreteStatsTable[GroupByKey]=DiscreteStatsTable[[#This Row],[GroupByKey]]),(DiscreteStatsTable[GroupByKey]=DiscreteStatsTable[[#This Row],[GroupByKey]])*DiscreteStatsTable[Average])),0)</f>
        <v>1.5029966070875795</v>
      </c>
      <c r="O705" cm="1">
        <f t="array" ref="O705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0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05" cm="1">
        <f t="array" ref="R705">MIN(IF((DiscreteStatsTable[GroupByKey]=DiscreteStatsTable[[#This Row],[GroupByKey]]),(DiscreteStatsTable[GroupByKey]=DiscreteStatsTable[[#This Row],[GroupByKey]])*DiscreteStatsTable[Average]))</f>
        <v>1.21830768607881</v>
      </c>
      <c r="S705" cm="1">
        <f t="array" ref="S705">MAX(IF((DiscreteStatsTable[GroupByKey]=DiscreteStatsTable[[#This Row],[GroupByKey]]),(DiscreteStatsTable[GroupByKey]=DiscreteStatsTable[[#This Row],[GroupByKey]])*DiscreteStatsTable[Average]))</f>
        <v>2.06387223343107</v>
      </c>
      <c r="T705" cm="1">
        <f t="array" ref="T705">MIN(IF((DiscreteStatsTable[GroupByKey]=DiscreteStatsTable[[#This Row],[GroupByKey]]),(DiscreteStatsTable[GroupByKey]=DiscreteStatsTable[[#This Row],[GroupByKey]])*DiscreteStatsTable[Minimum]))</f>
        <v>0.203133309337034</v>
      </c>
      <c r="U705" cm="1">
        <f t="array" ref="U705">MAX(IF((DiscreteStatsTable[GroupByKey]=DiscreteStatsTable[[#This Row],[GroupByKey]]),(DiscreteStatsTable[GroupByKey]=DiscreteStatsTable[[#This Row],[GroupByKey]])*DiscreteStatsTable[Maximum]))</f>
        <v>29.554686467573401</v>
      </c>
      <c r="V705" cm="1">
        <f t="array" ref="V70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05">
        <f>IF((DiscreteStatsTable[[#This Row],[RepsRequested]]&gt;1),DiscreteStatsTable[[#This Row],[HalfWidth]],DiscreteStatsTable[[#This Row],[BatchMeansHalfWidth]])</f>
        <v>6.1205265903720704E-2</v>
      </c>
      <c r="X705" cm="1">
        <f t="array" ref="X705">COUNT(IF((DiscreteStatsTable[GroupByKey]=DiscreteStatsTable[[#This Row],[GroupByKey]]),(DiscreteStatsTable[GroupByKey]=DiscreteStatsTable[[#This Row],[GroupByKey]])*DiscreteStatsTable[Replication]))</f>
        <v>50</v>
      </c>
      <c r="Y70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131</v>
      </c>
      <c r="C706">
        <v>5</v>
      </c>
      <c r="D706" t="s">
        <v>132</v>
      </c>
      <c r="E706" t="s">
        <v>133</v>
      </c>
      <c r="F706" t="s">
        <v>90</v>
      </c>
      <c r="G706">
        <v>1.33154793093313</v>
      </c>
      <c r="H706">
        <v>3E+20</v>
      </c>
      <c r="I706">
        <v>0.22737467353891799</v>
      </c>
      <c r="J706">
        <v>14.4932557652953</v>
      </c>
      <c r="K706">
        <v>2336</v>
      </c>
      <c r="L706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06" cm="1">
        <f t="array" ref="M706">MAX(IF((ProjectInfoTable[ProjectName]=DiscreteStatsTable[[#This Row],[ProjectName]]),(ProjectInfoTable[ProjectName]=DiscreteStatsTable[[#This Row],[ProjectName]])*ProjectInfoTable[NumberOfReplications]))</f>
        <v>50</v>
      </c>
      <c r="N706" cm="1">
        <f t="array" ref="N706">IFERROR(AVERAGE(IF((DiscreteStatsTable[GroupByKey]=DiscreteStatsTable[[#This Row],[GroupByKey]]),(DiscreteStatsTable[GroupByKey]=DiscreteStatsTable[[#This Row],[GroupByKey]])*DiscreteStatsTable[Average])),0)</f>
        <v>1.5029966070875795</v>
      </c>
      <c r="O706" cm="1">
        <f t="array" ref="O70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06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06" cm="1">
        <f t="array" ref="R706">MIN(IF((DiscreteStatsTable[GroupByKey]=DiscreteStatsTable[[#This Row],[GroupByKey]]),(DiscreteStatsTable[GroupByKey]=DiscreteStatsTable[[#This Row],[GroupByKey]])*DiscreteStatsTable[Average]))</f>
        <v>1.21830768607881</v>
      </c>
      <c r="S706" cm="1">
        <f t="array" ref="S706">MAX(IF((DiscreteStatsTable[GroupByKey]=DiscreteStatsTable[[#This Row],[GroupByKey]]),(DiscreteStatsTable[GroupByKey]=DiscreteStatsTable[[#This Row],[GroupByKey]])*DiscreteStatsTable[Average]))</f>
        <v>2.06387223343107</v>
      </c>
      <c r="T706" cm="1">
        <f t="array" ref="T706">MIN(IF((DiscreteStatsTable[GroupByKey]=DiscreteStatsTable[[#This Row],[GroupByKey]]),(DiscreteStatsTable[GroupByKey]=DiscreteStatsTable[[#This Row],[GroupByKey]])*DiscreteStatsTable[Minimum]))</f>
        <v>0.203133309337034</v>
      </c>
      <c r="U706" cm="1">
        <f t="array" ref="U706">MAX(IF((DiscreteStatsTable[GroupByKey]=DiscreteStatsTable[[#This Row],[GroupByKey]]),(DiscreteStatsTable[GroupByKey]=DiscreteStatsTable[[#This Row],[GroupByKey]])*DiscreteStatsTable[Maximum]))</f>
        <v>29.554686467573401</v>
      </c>
      <c r="V706" cm="1">
        <f t="array" ref="V70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06">
        <f>IF((DiscreteStatsTable[[#This Row],[RepsRequested]]&gt;1),DiscreteStatsTable[[#This Row],[HalfWidth]],DiscreteStatsTable[[#This Row],[BatchMeansHalfWidth]])</f>
        <v>6.1205265903720704E-2</v>
      </c>
      <c r="X706" cm="1">
        <f t="array" ref="X706">COUNT(IF((DiscreteStatsTable[GroupByKey]=DiscreteStatsTable[[#This Row],[GroupByKey]]),(DiscreteStatsTable[GroupByKey]=DiscreteStatsTable[[#This Row],[GroupByKey]])*DiscreteStatsTable[Replication]))</f>
        <v>50</v>
      </c>
      <c r="Y706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131</v>
      </c>
      <c r="C707">
        <v>6</v>
      </c>
      <c r="D707" t="s">
        <v>132</v>
      </c>
      <c r="E707" t="s">
        <v>133</v>
      </c>
      <c r="F707" t="s">
        <v>90</v>
      </c>
      <c r="G707">
        <v>1.55450247197532</v>
      </c>
      <c r="H707">
        <v>0.25103246155707198</v>
      </c>
      <c r="I707">
        <v>0.25328199532430101</v>
      </c>
      <c r="J707">
        <v>12.3347031709779</v>
      </c>
      <c r="K707">
        <v>2504</v>
      </c>
      <c r="L707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07" cm="1">
        <f t="array" ref="M707">MAX(IF((ProjectInfoTable[ProjectName]=DiscreteStatsTable[[#This Row],[ProjectName]]),(ProjectInfoTable[ProjectName]=DiscreteStatsTable[[#This Row],[ProjectName]])*ProjectInfoTable[NumberOfReplications]))</f>
        <v>50</v>
      </c>
      <c r="N707" cm="1">
        <f t="array" ref="N707">IFERROR(AVERAGE(IF((DiscreteStatsTable[GroupByKey]=DiscreteStatsTable[[#This Row],[GroupByKey]]),(DiscreteStatsTable[GroupByKey]=DiscreteStatsTable[[#This Row],[GroupByKey]])*DiscreteStatsTable[Average])),0)</f>
        <v>1.5029966070875795</v>
      </c>
      <c r="O707" cm="1">
        <f t="array" ref="O707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07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07" cm="1">
        <f t="array" ref="R707">MIN(IF((DiscreteStatsTable[GroupByKey]=DiscreteStatsTable[[#This Row],[GroupByKey]]),(DiscreteStatsTable[GroupByKey]=DiscreteStatsTable[[#This Row],[GroupByKey]])*DiscreteStatsTable[Average]))</f>
        <v>1.21830768607881</v>
      </c>
      <c r="S707" cm="1">
        <f t="array" ref="S707">MAX(IF((DiscreteStatsTable[GroupByKey]=DiscreteStatsTable[[#This Row],[GroupByKey]]),(DiscreteStatsTable[GroupByKey]=DiscreteStatsTable[[#This Row],[GroupByKey]])*DiscreteStatsTable[Average]))</f>
        <v>2.06387223343107</v>
      </c>
      <c r="T707" cm="1">
        <f t="array" ref="T707">MIN(IF((DiscreteStatsTable[GroupByKey]=DiscreteStatsTable[[#This Row],[GroupByKey]]),(DiscreteStatsTable[GroupByKey]=DiscreteStatsTable[[#This Row],[GroupByKey]])*DiscreteStatsTable[Minimum]))</f>
        <v>0.203133309337034</v>
      </c>
      <c r="U707" cm="1">
        <f t="array" ref="U707">MAX(IF((DiscreteStatsTable[GroupByKey]=DiscreteStatsTable[[#This Row],[GroupByKey]]),(DiscreteStatsTable[GroupByKey]=DiscreteStatsTable[[#This Row],[GroupByKey]])*DiscreteStatsTable[Maximum]))</f>
        <v>29.554686467573401</v>
      </c>
      <c r="V707" cm="1">
        <f t="array" ref="V70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07">
        <f>IF((DiscreteStatsTable[[#This Row],[RepsRequested]]&gt;1),DiscreteStatsTable[[#This Row],[HalfWidth]],DiscreteStatsTable[[#This Row],[BatchMeansHalfWidth]])</f>
        <v>6.1205265903720704E-2</v>
      </c>
      <c r="X707" cm="1">
        <f t="array" ref="X707">COUNT(IF((DiscreteStatsTable[GroupByKey]=DiscreteStatsTable[[#This Row],[GroupByKey]]),(DiscreteStatsTable[GroupByKey]=DiscreteStatsTable[[#This Row],[GroupByKey]])*DiscreteStatsTable[Replication]))</f>
        <v>50</v>
      </c>
      <c r="Y707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131</v>
      </c>
      <c r="C708">
        <v>7</v>
      </c>
      <c r="D708" t="s">
        <v>132</v>
      </c>
      <c r="E708" t="s">
        <v>133</v>
      </c>
      <c r="F708" t="s">
        <v>90</v>
      </c>
      <c r="G708">
        <v>1.43484844458477</v>
      </c>
      <c r="H708">
        <v>0.221979306487883</v>
      </c>
      <c r="I708">
        <v>0.25221005455790602</v>
      </c>
      <c r="J708">
        <v>14.7359788524615</v>
      </c>
      <c r="K708">
        <v>2394</v>
      </c>
      <c r="L708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08" cm="1">
        <f t="array" ref="M708">MAX(IF((ProjectInfoTable[ProjectName]=DiscreteStatsTable[[#This Row],[ProjectName]]),(ProjectInfoTable[ProjectName]=DiscreteStatsTable[[#This Row],[ProjectName]])*ProjectInfoTable[NumberOfReplications]))</f>
        <v>50</v>
      </c>
      <c r="N708" cm="1">
        <f t="array" ref="N708">IFERROR(AVERAGE(IF((DiscreteStatsTable[GroupByKey]=DiscreteStatsTable[[#This Row],[GroupByKey]]),(DiscreteStatsTable[GroupByKey]=DiscreteStatsTable[[#This Row],[GroupByKey]])*DiscreteStatsTable[Average])),0)</f>
        <v>1.5029966070875795</v>
      </c>
      <c r="O708" cm="1">
        <f t="array" ref="O70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08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08" cm="1">
        <f t="array" ref="R708">MIN(IF((DiscreteStatsTable[GroupByKey]=DiscreteStatsTable[[#This Row],[GroupByKey]]),(DiscreteStatsTable[GroupByKey]=DiscreteStatsTable[[#This Row],[GroupByKey]])*DiscreteStatsTable[Average]))</f>
        <v>1.21830768607881</v>
      </c>
      <c r="S708" cm="1">
        <f t="array" ref="S708">MAX(IF((DiscreteStatsTable[GroupByKey]=DiscreteStatsTable[[#This Row],[GroupByKey]]),(DiscreteStatsTable[GroupByKey]=DiscreteStatsTable[[#This Row],[GroupByKey]])*DiscreteStatsTable[Average]))</f>
        <v>2.06387223343107</v>
      </c>
      <c r="T708" cm="1">
        <f t="array" ref="T708">MIN(IF((DiscreteStatsTable[GroupByKey]=DiscreteStatsTable[[#This Row],[GroupByKey]]),(DiscreteStatsTable[GroupByKey]=DiscreteStatsTable[[#This Row],[GroupByKey]])*DiscreteStatsTable[Minimum]))</f>
        <v>0.203133309337034</v>
      </c>
      <c r="U708" cm="1">
        <f t="array" ref="U708">MAX(IF((DiscreteStatsTable[GroupByKey]=DiscreteStatsTable[[#This Row],[GroupByKey]]),(DiscreteStatsTable[GroupByKey]=DiscreteStatsTable[[#This Row],[GroupByKey]])*DiscreteStatsTable[Maximum]))</f>
        <v>29.554686467573401</v>
      </c>
      <c r="V708" cm="1">
        <f t="array" ref="V70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08">
        <f>IF((DiscreteStatsTable[[#This Row],[RepsRequested]]&gt;1),DiscreteStatsTable[[#This Row],[HalfWidth]],DiscreteStatsTable[[#This Row],[BatchMeansHalfWidth]])</f>
        <v>6.1205265903720704E-2</v>
      </c>
      <c r="X708" cm="1">
        <f t="array" ref="X708">COUNT(IF((DiscreteStatsTable[GroupByKey]=DiscreteStatsTable[[#This Row],[GroupByKey]]),(DiscreteStatsTable[GroupByKey]=DiscreteStatsTable[[#This Row],[GroupByKey]])*DiscreteStatsTable[Replication]))</f>
        <v>50</v>
      </c>
      <c r="Y708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131</v>
      </c>
      <c r="C709">
        <v>8</v>
      </c>
      <c r="D709" t="s">
        <v>132</v>
      </c>
      <c r="E709" t="s">
        <v>133</v>
      </c>
      <c r="F709" t="s">
        <v>90</v>
      </c>
      <c r="G709">
        <v>1.4277982365641699</v>
      </c>
      <c r="H709">
        <v>0.21978549231637801</v>
      </c>
      <c r="I709">
        <v>0.203133309337034</v>
      </c>
      <c r="J709">
        <v>10.0898139807387</v>
      </c>
      <c r="K709">
        <v>2403</v>
      </c>
      <c r="L709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09" cm="1">
        <f t="array" ref="M709">MAX(IF((ProjectInfoTable[ProjectName]=DiscreteStatsTable[[#This Row],[ProjectName]]),(ProjectInfoTable[ProjectName]=DiscreteStatsTable[[#This Row],[ProjectName]])*ProjectInfoTable[NumberOfReplications]))</f>
        <v>50</v>
      </c>
      <c r="N709" cm="1">
        <f t="array" ref="N709">IFERROR(AVERAGE(IF((DiscreteStatsTable[GroupByKey]=DiscreteStatsTable[[#This Row],[GroupByKey]]),(DiscreteStatsTable[GroupByKey]=DiscreteStatsTable[[#This Row],[GroupByKey]])*DiscreteStatsTable[Average])),0)</f>
        <v>1.5029966070875795</v>
      </c>
      <c r="O709" cm="1">
        <f t="array" ref="O709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09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09" cm="1">
        <f t="array" ref="R709">MIN(IF((DiscreteStatsTable[GroupByKey]=DiscreteStatsTable[[#This Row],[GroupByKey]]),(DiscreteStatsTable[GroupByKey]=DiscreteStatsTable[[#This Row],[GroupByKey]])*DiscreteStatsTable[Average]))</f>
        <v>1.21830768607881</v>
      </c>
      <c r="S709" cm="1">
        <f t="array" ref="S709">MAX(IF((DiscreteStatsTable[GroupByKey]=DiscreteStatsTable[[#This Row],[GroupByKey]]),(DiscreteStatsTable[GroupByKey]=DiscreteStatsTable[[#This Row],[GroupByKey]])*DiscreteStatsTable[Average]))</f>
        <v>2.06387223343107</v>
      </c>
      <c r="T709" cm="1">
        <f t="array" ref="T709">MIN(IF((DiscreteStatsTable[GroupByKey]=DiscreteStatsTable[[#This Row],[GroupByKey]]),(DiscreteStatsTable[GroupByKey]=DiscreteStatsTable[[#This Row],[GroupByKey]])*DiscreteStatsTable[Minimum]))</f>
        <v>0.203133309337034</v>
      </c>
      <c r="U709" cm="1">
        <f t="array" ref="U709">MAX(IF((DiscreteStatsTable[GroupByKey]=DiscreteStatsTable[[#This Row],[GroupByKey]]),(DiscreteStatsTable[GroupByKey]=DiscreteStatsTable[[#This Row],[GroupByKey]])*DiscreteStatsTable[Maximum]))</f>
        <v>29.554686467573401</v>
      </c>
      <c r="V709" cm="1">
        <f t="array" ref="V70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09">
        <f>IF((DiscreteStatsTable[[#This Row],[RepsRequested]]&gt;1),DiscreteStatsTable[[#This Row],[HalfWidth]],DiscreteStatsTable[[#This Row],[BatchMeansHalfWidth]])</f>
        <v>6.1205265903720704E-2</v>
      </c>
      <c r="X709" cm="1">
        <f t="array" ref="X709">COUNT(IF((DiscreteStatsTable[GroupByKey]=DiscreteStatsTable[[#This Row],[GroupByKey]]),(DiscreteStatsTable[GroupByKey]=DiscreteStatsTable[[#This Row],[GroupByKey]])*DiscreteStatsTable[Replication]))</f>
        <v>50</v>
      </c>
      <c r="Y709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131</v>
      </c>
      <c r="C710">
        <v>9</v>
      </c>
      <c r="D710" t="s">
        <v>132</v>
      </c>
      <c r="E710" t="s">
        <v>133</v>
      </c>
      <c r="F710" t="s">
        <v>90</v>
      </c>
      <c r="G710">
        <v>1.90819944816471</v>
      </c>
      <c r="H710">
        <v>3E+20</v>
      </c>
      <c r="I710">
        <v>0.28046973229794497</v>
      </c>
      <c r="J710">
        <v>18.771074116146298</v>
      </c>
      <c r="K710">
        <v>2429</v>
      </c>
      <c r="L710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10" cm="1">
        <f t="array" ref="M710">MAX(IF((ProjectInfoTable[ProjectName]=DiscreteStatsTable[[#This Row],[ProjectName]]),(ProjectInfoTable[ProjectName]=DiscreteStatsTable[[#This Row],[ProjectName]])*ProjectInfoTable[NumberOfReplications]))</f>
        <v>50</v>
      </c>
      <c r="N710" cm="1">
        <f t="array" ref="N710">IFERROR(AVERAGE(IF((DiscreteStatsTable[GroupByKey]=DiscreteStatsTable[[#This Row],[GroupByKey]]),(DiscreteStatsTable[GroupByKey]=DiscreteStatsTable[[#This Row],[GroupByKey]])*DiscreteStatsTable[Average])),0)</f>
        <v>1.5029966070875795</v>
      </c>
      <c r="O710" cm="1">
        <f t="array" ref="O71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10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10" cm="1">
        <f t="array" ref="R710">MIN(IF((DiscreteStatsTable[GroupByKey]=DiscreteStatsTable[[#This Row],[GroupByKey]]),(DiscreteStatsTable[GroupByKey]=DiscreteStatsTable[[#This Row],[GroupByKey]])*DiscreteStatsTable[Average]))</f>
        <v>1.21830768607881</v>
      </c>
      <c r="S710" cm="1">
        <f t="array" ref="S710">MAX(IF((DiscreteStatsTable[GroupByKey]=DiscreteStatsTable[[#This Row],[GroupByKey]]),(DiscreteStatsTable[GroupByKey]=DiscreteStatsTable[[#This Row],[GroupByKey]])*DiscreteStatsTable[Average]))</f>
        <v>2.06387223343107</v>
      </c>
      <c r="T710" cm="1">
        <f t="array" ref="T710">MIN(IF((DiscreteStatsTable[GroupByKey]=DiscreteStatsTable[[#This Row],[GroupByKey]]),(DiscreteStatsTable[GroupByKey]=DiscreteStatsTable[[#This Row],[GroupByKey]])*DiscreteStatsTable[Minimum]))</f>
        <v>0.203133309337034</v>
      </c>
      <c r="U710" cm="1">
        <f t="array" ref="U710">MAX(IF((DiscreteStatsTable[GroupByKey]=DiscreteStatsTable[[#This Row],[GroupByKey]]),(DiscreteStatsTable[GroupByKey]=DiscreteStatsTable[[#This Row],[GroupByKey]])*DiscreteStatsTable[Maximum]))</f>
        <v>29.554686467573401</v>
      </c>
      <c r="V710" cm="1">
        <f t="array" ref="V71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0">
        <f>IF((DiscreteStatsTable[[#This Row],[RepsRequested]]&gt;1),DiscreteStatsTable[[#This Row],[HalfWidth]],DiscreteStatsTable[[#This Row],[BatchMeansHalfWidth]])</f>
        <v>6.1205265903720704E-2</v>
      </c>
      <c r="X710" cm="1">
        <f t="array" ref="X710">COUNT(IF((DiscreteStatsTable[GroupByKey]=DiscreteStatsTable[[#This Row],[GroupByKey]]),(DiscreteStatsTable[GroupByKey]=DiscreteStatsTable[[#This Row],[GroupByKey]])*DiscreteStatsTable[Replication]))</f>
        <v>50</v>
      </c>
      <c r="Y710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131</v>
      </c>
      <c r="C711">
        <v>10</v>
      </c>
      <c r="D711" t="s">
        <v>132</v>
      </c>
      <c r="E711" t="s">
        <v>133</v>
      </c>
      <c r="F711" t="s">
        <v>90</v>
      </c>
      <c r="G711">
        <v>1.68679802162334</v>
      </c>
      <c r="H711">
        <v>0.31050581323780102</v>
      </c>
      <c r="I711">
        <v>0.24344814900564399</v>
      </c>
      <c r="J711">
        <v>18.334100703269801</v>
      </c>
      <c r="K711">
        <v>2502</v>
      </c>
      <c r="L711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11" cm="1">
        <f t="array" ref="M711">MAX(IF((ProjectInfoTable[ProjectName]=DiscreteStatsTable[[#This Row],[ProjectName]]),(ProjectInfoTable[ProjectName]=DiscreteStatsTable[[#This Row],[ProjectName]])*ProjectInfoTable[NumberOfReplications]))</f>
        <v>50</v>
      </c>
      <c r="N711" cm="1">
        <f t="array" ref="N711">IFERROR(AVERAGE(IF((DiscreteStatsTable[GroupByKey]=DiscreteStatsTable[[#This Row],[GroupByKey]]),(DiscreteStatsTable[GroupByKey]=DiscreteStatsTable[[#This Row],[GroupByKey]])*DiscreteStatsTable[Average])),0)</f>
        <v>1.5029966070875795</v>
      </c>
      <c r="O711" cm="1">
        <f t="array" ref="O711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11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11" cm="1">
        <f t="array" ref="R711">MIN(IF((DiscreteStatsTable[GroupByKey]=DiscreteStatsTable[[#This Row],[GroupByKey]]),(DiscreteStatsTable[GroupByKey]=DiscreteStatsTable[[#This Row],[GroupByKey]])*DiscreteStatsTable[Average]))</f>
        <v>1.21830768607881</v>
      </c>
      <c r="S711" cm="1">
        <f t="array" ref="S711">MAX(IF((DiscreteStatsTable[GroupByKey]=DiscreteStatsTable[[#This Row],[GroupByKey]]),(DiscreteStatsTable[GroupByKey]=DiscreteStatsTable[[#This Row],[GroupByKey]])*DiscreteStatsTable[Average]))</f>
        <v>2.06387223343107</v>
      </c>
      <c r="T711" cm="1">
        <f t="array" ref="T711">MIN(IF((DiscreteStatsTable[GroupByKey]=DiscreteStatsTable[[#This Row],[GroupByKey]]),(DiscreteStatsTable[GroupByKey]=DiscreteStatsTable[[#This Row],[GroupByKey]])*DiscreteStatsTable[Minimum]))</f>
        <v>0.203133309337034</v>
      </c>
      <c r="U711" cm="1">
        <f t="array" ref="U711">MAX(IF((DiscreteStatsTable[GroupByKey]=DiscreteStatsTable[[#This Row],[GroupByKey]]),(DiscreteStatsTable[GroupByKey]=DiscreteStatsTable[[#This Row],[GroupByKey]])*DiscreteStatsTable[Maximum]))</f>
        <v>29.554686467573401</v>
      </c>
      <c r="V711" cm="1">
        <f t="array" ref="V71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1">
        <f>IF((DiscreteStatsTable[[#This Row],[RepsRequested]]&gt;1),DiscreteStatsTable[[#This Row],[HalfWidth]],DiscreteStatsTable[[#This Row],[BatchMeansHalfWidth]])</f>
        <v>6.1205265903720704E-2</v>
      </c>
      <c r="X711" cm="1">
        <f t="array" ref="X711">COUNT(IF((DiscreteStatsTable[GroupByKey]=DiscreteStatsTable[[#This Row],[GroupByKey]]),(DiscreteStatsTable[GroupByKey]=DiscreteStatsTable[[#This Row],[GroupByKey]])*DiscreteStatsTable[Replication]))</f>
        <v>50</v>
      </c>
      <c r="Y711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131</v>
      </c>
      <c r="C712">
        <v>11</v>
      </c>
      <c r="D712" t="s">
        <v>132</v>
      </c>
      <c r="E712" t="s">
        <v>133</v>
      </c>
      <c r="F712" t="s">
        <v>90</v>
      </c>
      <c r="G712">
        <v>1.5461174275696401</v>
      </c>
      <c r="H712">
        <v>0.365667892712982</v>
      </c>
      <c r="I712">
        <v>0.25291142575252901</v>
      </c>
      <c r="J712">
        <v>17.454852447716402</v>
      </c>
      <c r="K712">
        <v>2446</v>
      </c>
      <c r="L712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12" cm="1">
        <f t="array" ref="M712">MAX(IF((ProjectInfoTable[ProjectName]=DiscreteStatsTable[[#This Row],[ProjectName]]),(ProjectInfoTable[ProjectName]=DiscreteStatsTable[[#This Row],[ProjectName]])*ProjectInfoTable[NumberOfReplications]))</f>
        <v>50</v>
      </c>
      <c r="N712" cm="1">
        <f t="array" ref="N712">IFERROR(AVERAGE(IF((DiscreteStatsTable[GroupByKey]=DiscreteStatsTable[[#This Row],[GroupByKey]]),(DiscreteStatsTable[GroupByKey]=DiscreteStatsTable[[#This Row],[GroupByKey]])*DiscreteStatsTable[Average])),0)</f>
        <v>1.5029966070875795</v>
      </c>
      <c r="O712" cm="1">
        <f t="array" ref="O71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12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12" cm="1">
        <f t="array" ref="R712">MIN(IF((DiscreteStatsTable[GroupByKey]=DiscreteStatsTable[[#This Row],[GroupByKey]]),(DiscreteStatsTable[GroupByKey]=DiscreteStatsTable[[#This Row],[GroupByKey]])*DiscreteStatsTable[Average]))</f>
        <v>1.21830768607881</v>
      </c>
      <c r="S712" cm="1">
        <f t="array" ref="S712">MAX(IF((DiscreteStatsTable[GroupByKey]=DiscreteStatsTable[[#This Row],[GroupByKey]]),(DiscreteStatsTable[GroupByKey]=DiscreteStatsTable[[#This Row],[GroupByKey]])*DiscreteStatsTable[Average]))</f>
        <v>2.06387223343107</v>
      </c>
      <c r="T712" cm="1">
        <f t="array" ref="T712">MIN(IF((DiscreteStatsTable[GroupByKey]=DiscreteStatsTable[[#This Row],[GroupByKey]]),(DiscreteStatsTable[GroupByKey]=DiscreteStatsTable[[#This Row],[GroupByKey]])*DiscreteStatsTable[Minimum]))</f>
        <v>0.203133309337034</v>
      </c>
      <c r="U712" cm="1">
        <f t="array" ref="U712">MAX(IF((DiscreteStatsTable[GroupByKey]=DiscreteStatsTable[[#This Row],[GroupByKey]]),(DiscreteStatsTable[GroupByKey]=DiscreteStatsTable[[#This Row],[GroupByKey]])*DiscreteStatsTable[Maximum]))</f>
        <v>29.554686467573401</v>
      </c>
      <c r="V712" cm="1">
        <f t="array" ref="V71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2">
        <f>IF((DiscreteStatsTable[[#This Row],[RepsRequested]]&gt;1),DiscreteStatsTable[[#This Row],[HalfWidth]],DiscreteStatsTable[[#This Row],[BatchMeansHalfWidth]])</f>
        <v>6.1205265903720704E-2</v>
      </c>
      <c r="X712" cm="1">
        <f t="array" ref="X712">COUNT(IF((DiscreteStatsTable[GroupByKey]=DiscreteStatsTable[[#This Row],[GroupByKey]]),(DiscreteStatsTable[GroupByKey]=DiscreteStatsTable[[#This Row],[GroupByKey]])*DiscreteStatsTable[Replication]))</f>
        <v>50</v>
      </c>
      <c r="Y712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131</v>
      </c>
      <c r="C713">
        <v>12</v>
      </c>
      <c r="D713" t="s">
        <v>132</v>
      </c>
      <c r="E713" t="s">
        <v>133</v>
      </c>
      <c r="F713" t="s">
        <v>90</v>
      </c>
      <c r="G713">
        <v>1.7141539297874</v>
      </c>
      <c r="H713">
        <v>0.29086539711008402</v>
      </c>
      <c r="I713">
        <v>0.26404548710593201</v>
      </c>
      <c r="J713">
        <v>15.072334208210499</v>
      </c>
      <c r="K713">
        <v>2400</v>
      </c>
      <c r="L713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13" cm="1">
        <f t="array" ref="M713">MAX(IF((ProjectInfoTable[ProjectName]=DiscreteStatsTable[[#This Row],[ProjectName]]),(ProjectInfoTable[ProjectName]=DiscreteStatsTable[[#This Row],[ProjectName]])*ProjectInfoTable[NumberOfReplications]))</f>
        <v>50</v>
      </c>
      <c r="N713" cm="1">
        <f t="array" ref="N713">IFERROR(AVERAGE(IF((DiscreteStatsTable[GroupByKey]=DiscreteStatsTable[[#This Row],[GroupByKey]]),(DiscreteStatsTable[GroupByKey]=DiscreteStatsTable[[#This Row],[GroupByKey]])*DiscreteStatsTable[Average])),0)</f>
        <v>1.5029966070875795</v>
      </c>
      <c r="O713" cm="1">
        <f t="array" ref="O713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13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13" cm="1">
        <f t="array" ref="R713">MIN(IF((DiscreteStatsTable[GroupByKey]=DiscreteStatsTable[[#This Row],[GroupByKey]]),(DiscreteStatsTable[GroupByKey]=DiscreteStatsTable[[#This Row],[GroupByKey]])*DiscreteStatsTable[Average]))</f>
        <v>1.21830768607881</v>
      </c>
      <c r="S713" cm="1">
        <f t="array" ref="S713">MAX(IF((DiscreteStatsTable[GroupByKey]=DiscreteStatsTable[[#This Row],[GroupByKey]]),(DiscreteStatsTable[GroupByKey]=DiscreteStatsTable[[#This Row],[GroupByKey]])*DiscreteStatsTable[Average]))</f>
        <v>2.06387223343107</v>
      </c>
      <c r="T713" cm="1">
        <f t="array" ref="T713">MIN(IF((DiscreteStatsTable[GroupByKey]=DiscreteStatsTable[[#This Row],[GroupByKey]]),(DiscreteStatsTable[GroupByKey]=DiscreteStatsTable[[#This Row],[GroupByKey]])*DiscreteStatsTable[Minimum]))</f>
        <v>0.203133309337034</v>
      </c>
      <c r="U713" cm="1">
        <f t="array" ref="U713">MAX(IF((DiscreteStatsTable[GroupByKey]=DiscreteStatsTable[[#This Row],[GroupByKey]]),(DiscreteStatsTable[GroupByKey]=DiscreteStatsTable[[#This Row],[GroupByKey]])*DiscreteStatsTable[Maximum]))</f>
        <v>29.554686467573401</v>
      </c>
      <c r="V713" cm="1">
        <f t="array" ref="V71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3">
        <f>IF((DiscreteStatsTable[[#This Row],[RepsRequested]]&gt;1),DiscreteStatsTable[[#This Row],[HalfWidth]],DiscreteStatsTable[[#This Row],[BatchMeansHalfWidth]])</f>
        <v>6.1205265903720704E-2</v>
      </c>
      <c r="X713" cm="1">
        <f t="array" ref="X713">COUNT(IF((DiscreteStatsTable[GroupByKey]=DiscreteStatsTable[[#This Row],[GroupByKey]]),(DiscreteStatsTable[GroupByKey]=DiscreteStatsTable[[#This Row],[GroupByKey]])*DiscreteStatsTable[Replication]))</f>
        <v>50</v>
      </c>
      <c r="Y713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131</v>
      </c>
      <c r="C714">
        <v>13</v>
      </c>
      <c r="D714" t="s">
        <v>132</v>
      </c>
      <c r="E714" t="s">
        <v>133</v>
      </c>
      <c r="F714" t="s">
        <v>90</v>
      </c>
      <c r="G714">
        <v>1.4246960564115601</v>
      </c>
      <c r="H714">
        <v>0.238181521223012</v>
      </c>
      <c r="I714">
        <v>0.27081192516368402</v>
      </c>
      <c r="J714">
        <v>13.594601015219199</v>
      </c>
      <c r="K714">
        <v>2406</v>
      </c>
      <c r="L714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14" cm="1">
        <f t="array" ref="M714">MAX(IF((ProjectInfoTable[ProjectName]=DiscreteStatsTable[[#This Row],[ProjectName]]),(ProjectInfoTable[ProjectName]=DiscreteStatsTable[[#This Row],[ProjectName]])*ProjectInfoTable[NumberOfReplications]))</f>
        <v>50</v>
      </c>
      <c r="N714" cm="1">
        <f t="array" ref="N714">IFERROR(AVERAGE(IF((DiscreteStatsTable[GroupByKey]=DiscreteStatsTable[[#This Row],[GroupByKey]]),(DiscreteStatsTable[GroupByKey]=DiscreteStatsTable[[#This Row],[GroupByKey]])*DiscreteStatsTable[Average])),0)</f>
        <v>1.5029966070875795</v>
      </c>
      <c r="O714" cm="1">
        <f t="array" ref="O71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14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14" cm="1">
        <f t="array" ref="R714">MIN(IF((DiscreteStatsTable[GroupByKey]=DiscreteStatsTable[[#This Row],[GroupByKey]]),(DiscreteStatsTable[GroupByKey]=DiscreteStatsTable[[#This Row],[GroupByKey]])*DiscreteStatsTable[Average]))</f>
        <v>1.21830768607881</v>
      </c>
      <c r="S714" cm="1">
        <f t="array" ref="S714">MAX(IF((DiscreteStatsTable[GroupByKey]=DiscreteStatsTable[[#This Row],[GroupByKey]]),(DiscreteStatsTable[GroupByKey]=DiscreteStatsTable[[#This Row],[GroupByKey]])*DiscreteStatsTable[Average]))</f>
        <v>2.06387223343107</v>
      </c>
      <c r="T714" cm="1">
        <f t="array" ref="T714">MIN(IF((DiscreteStatsTable[GroupByKey]=DiscreteStatsTable[[#This Row],[GroupByKey]]),(DiscreteStatsTable[GroupByKey]=DiscreteStatsTable[[#This Row],[GroupByKey]])*DiscreteStatsTable[Minimum]))</f>
        <v>0.203133309337034</v>
      </c>
      <c r="U714" cm="1">
        <f t="array" ref="U714">MAX(IF((DiscreteStatsTable[GroupByKey]=DiscreteStatsTable[[#This Row],[GroupByKey]]),(DiscreteStatsTable[GroupByKey]=DiscreteStatsTable[[#This Row],[GroupByKey]])*DiscreteStatsTable[Maximum]))</f>
        <v>29.554686467573401</v>
      </c>
      <c r="V714" cm="1">
        <f t="array" ref="V71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4">
        <f>IF((DiscreteStatsTable[[#This Row],[RepsRequested]]&gt;1),DiscreteStatsTable[[#This Row],[HalfWidth]],DiscreteStatsTable[[#This Row],[BatchMeansHalfWidth]])</f>
        <v>6.1205265903720704E-2</v>
      </c>
      <c r="X714" cm="1">
        <f t="array" ref="X714">COUNT(IF((DiscreteStatsTable[GroupByKey]=DiscreteStatsTable[[#This Row],[GroupByKey]]),(DiscreteStatsTable[GroupByKey]=DiscreteStatsTable[[#This Row],[GroupByKey]])*DiscreteStatsTable[Replication]))</f>
        <v>50</v>
      </c>
      <c r="Y714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131</v>
      </c>
      <c r="C715">
        <v>14</v>
      </c>
      <c r="D715" t="s">
        <v>132</v>
      </c>
      <c r="E715" t="s">
        <v>133</v>
      </c>
      <c r="F715" t="s">
        <v>90</v>
      </c>
      <c r="G715">
        <v>1.4071991674147599</v>
      </c>
      <c r="H715">
        <v>3E+20</v>
      </c>
      <c r="I715">
        <v>0.23269038907210399</v>
      </c>
      <c r="J715">
        <v>14.155157162755</v>
      </c>
      <c r="K715">
        <v>2370</v>
      </c>
      <c r="L715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15" cm="1">
        <f t="array" ref="M715">MAX(IF((ProjectInfoTable[ProjectName]=DiscreteStatsTable[[#This Row],[ProjectName]]),(ProjectInfoTable[ProjectName]=DiscreteStatsTable[[#This Row],[ProjectName]])*ProjectInfoTable[NumberOfReplications]))</f>
        <v>50</v>
      </c>
      <c r="N715" cm="1">
        <f t="array" ref="N715">IFERROR(AVERAGE(IF((DiscreteStatsTable[GroupByKey]=DiscreteStatsTable[[#This Row],[GroupByKey]]),(DiscreteStatsTable[GroupByKey]=DiscreteStatsTable[[#This Row],[GroupByKey]])*DiscreteStatsTable[Average])),0)</f>
        <v>1.5029966070875795</v>
      </c>
      <c r="O715" cm="1">
        <f t="array" ref="O715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1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15" cm="1">
        <f t="array" ref="R715">MIN(IF((DiscreteStatsTable[GroupByKey]=DiscreteStatsTable[[#This Row],[GroupByKey]]),(DiscreteStatsTable[GroupByKey]=DiscreteStatsTable[[#This Row],[GroupByKey]])*DiscreteStatsTable[Average]))</f>
        <v>1.21830768607881</v>
      </c>
      <c r="S715" cm="1">
        <f t="array" ref="S715">MAX(IF((DiscreteStatsTable[GroupByKey]=DiscreteStatsTable[[#This Row],[GroupByKey]]),(DiscreteStatsTable[GroupByKey]=DiscreteStatsTable[[#This Row],[GroupByKey]])*DiscreteStatsTable[Average]))</f>
        <v>2.06387223343107</v>
      </c>
      <c r="T715" cm="1">
        <f t="array" ref="T715">MIN(IF((DiscreteStatsTable[GroupByKey]=DiscreteStatsTable[[#This Row],[GroupByKey]]),(DiscreteStatsTable[GroupByKey]=DiscreteStatsTable[[#This Row],[GroupByKey]])*DiscreteStatsTable[Minimum]))</f>
        <v>0.203133309337034</v>
      </c>
      <c r="U715" cm="1">
        <f t="array" ref="U715">MAX(IF((DiscreteStatsTable[GroupByKey]=DiscreteStatsTable[[#This Row],[GroupByKey]]),(DiscreteStatsTable[GroupByKey]=DiscreteStatsTable[[#This Row],[GroupByKey]])*DiscreteStatsTable[Maximum]))</f>
        <v>29.554686467573401</v>
      </c>
      <c r="V715" cm="1">
        <f t="array" ref="V71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5">
        <f>IF((DiscreteStatsTable[[#This Row],[RepsRequested]]&gt;1),DiscreteStatsTable[[#This Row],[HalfWidth]],DiscreteStatsTable[[#This Row],[BatchMeansHalfWidth]])</f>
        <v>6.1205265903720704E-2</v>
      </c>
      <c r="X715" cm="1">
        <f t="array" ref="X715">COUNT(IF((DiscreteStatsTable[GroupByKey]=DiscreteStatsTable[[#This Row],[GroupByKey]]),(DiscreteStatsTable[GroupByKey]=DiscreteStatsTable[[#This Row],[GroupByKey]])*DiscreteStatsTable[Replication]))</f>
        <v>50</v>
      </c>
      <c r="Y71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131</v>
      </c>
      <c r="C716">
        <v>15</v>
      </c>
      <c r="D716" t="s">
        <v>132</v>
      </c>
      <c r="E716" t="s">
        <v>133</v>
      </c>
      <c r="F716" t="s">
        <v>90</v>
      </c>
      <c r="G716">
        <v>1.84495595309161</v>
      </c>
      <c r="H716">
        <v>0.369635139422824</v>
      </c>
      <c r="I716">
        <v>0.23983496785717801</v>
      </c>
      <c r="J716">
        <v>16.405426129444201</v>
      </c>
      <c r="K716">
        <v>2503</v>
      </c>
      <c r="L716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16" cm="1">
        <f t="array" ref="M716">MAX(IF((ProjectInfoTable[ProjectName]=DiscreteStatsTable[[#This Row],[ProjectName]]),(ProjectInfoTable[ProjectName]=DiscreteStatsTable[[#This Row],[ProjectName]])*ProjectInfoTable[NumberOfReplications]))</f>
        <v>50</v>
      </c>
      <c r="N716" cm="1">
        <f t="array" ref="N716">IFERROR(AVERAGE(IF((DiscreteStatsTable[GroupByKey]=DiscreteStatsTable[[#This Row],[GroupByKey]]),(DiscreteStatsTable[GroupByKey]=DiscreteStatsTable[[#This Row],[GroupByKey]])*DiscreteStatsTable[Average])),0)</f>
        <v>1.5029966070875795</v>
      </c>
      <c r="O716" cm="1">
        <f t="array" ref="O71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16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16" cm="1">
        <f t="array" ref="R716">MIN(IF((DiscreteStatsTable[GroupByKey]=DiscreteStatsTable[[#This Row],[GroupByKey]]),(DiscreteStatsTable[GroupByKey]=DiscreteStatsTable[[#This Row],[GroupByKey]])*DiscreteStatsTable[Average]))</f>
        <v>1.21830768607881</v>
      </c>
      <c r="S716" cm="1">
        <f t="array" ref="S716">MAX(IF((DiscreteStatsTable[GroupByKey]=DiscreteStatsTable[[#This Row],[GroupByKey]]),(DiscreteStatsTable[GroupByKey]=DiscreteStatsTable[[#This Row],[GroupByKey]])*DiscreteStatsTable[Average]))</f>
        <v>2.06387223343107</v>
      </c>
      <c r="T716" cm="1">
        <f t="array" ref="T716">MIN(IF((DiscreteStatsTable[GroupByKey]=DiscreteStatsTable[[#This Row],[GroupByKey]]),(DiscreteStatsTable[GroupByKey]=DiscreteStatsTable[[#This Row],[GroupByKey]])*DiscreteStatsTable[Minimum]))</f>
        <v>0.203133309337034</v>
      </c>
      <c r="U716" cm="1">
        <f t="array" ref="U716">MAX(IF((DiscreteStatsTable[GroupByKey]=DiscreteStatsTable[[#This Row],[GroupByKey]]),(DiscreteStatsTable[GroupByKey]=DiscreteStatsTable[[#This Row],[GroupByKey]])*DiscreteStatsTable[Maximum]))</f>
        <v>29.554686467573401</v>
      </c>
      <c r="V716" cm="1">
        <f t="array" ref="V71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6">
        <f>IF((DiscreteStatsTable[[#This Row],[RepsRequested]]&gt;1),DiscreteStatsTable[[#This Row],[HalfWidth]],DiscreteStatsTable[[#This Row],[BatchMeansHalfWidth]])</f>
        <v>6.1205265903720704E-2</v>
      </c>
      <c r="X716" cm="1">
        <f t="array" ref="X716">COUNT(IF((DiscreteStatsTable[GroupByKey]=DiscreteStatsTable[[#This Row],[GroupByKey]]),(DiscreteStatsTable[GroupByKey]=DiscreteStatsTable[[#This Row],[GroupByKey]])*DiscreteStatsTable[Replication]))</f>
        <v>50</v>
      </c>
      <c r="Y716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131</v>
      </c>
      <c r="C717">
        <v>16</v>
      </c>
      <c r="D717" t="s">
        <v>132</v>
      </c>
      <c r="E717" t="s">
        <v>133</v>
      </c>
      <c r="F717" t="s">
        <v>90</v>
      </c>
      <c r="G717">
        <v>1.8208771780639701</v>
      </c>
      <c r="H717">
        <v>3E+20</v>
      </c>
      <c r="I717">
        <v>0.24200645872957699</v>
      </c>
      <c r="J717">
        <v>22.449885649638201</v>
      </c>
      <c r="K717">
        <v>2358</v>
      </c>
      <c r="L717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17" cm="1">
        <f t="array" ref="M717">MAX(IF((ProjectInfoTable[ProjectName]=DiscreteStatsTable[[#This Row],[ProjectName]]),(ProjectInfoTable[ProjectName]=DiscreteStatsTable[[#This Row],[ProjectName]])*ProjectInfoTable[NumberOfReplications]))</f>
        <v>50</v>
      </c>
      <c r="N717" cm="1">
        <f t="array" ref="N717">IFERROR(AVERAGE(IF((DiscreteStatsTable[GroupByKey]=DiscreteStatsTable[[#This Row],[GroupByKey]]),(DiscreteStatsTable[GroupByKey]=DiscreteStatsTable[[#This Row],[GroupByKey]])*DiscreteStatsTable[Average])),0)</f>
        <v>1.5029966070875795</v>
      </c>
      <c r="O717" cm="1">
        <f t="array" ref="O717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17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17" cm="1">
        <f t="array" ref="R717">MIN(IF((DiscreteStatsTable[GroupByKey]=DiscreteStatsTable[[#This Row],[GroupByKey]]),(DiscreteStatsTable[GroupByKey]=DiscreteStatsTable[[#This Row],[GroupByKey]])*DiscreteStatsTable[Average]))</f>
        <v>1.21830768607881</v>
      </c>
      <c r="S717" cm="1">
        <f t="array" ref="S717">MAX(IF((DiscreteStatsTable[GroupByKey]=DiscreteStatsTable[[#This Row],[GroupByKey]]),(DiscreteStatsTable[GroupByKey]=DiscreteStatsTable[[#This Row],[GroupByKey]])*DiscreteStatsTable[Average]))</f>
        <v>2.06387223343107</v>
      </c>
      <c r="T717" cm="1">
        <f t="array" ref="T717">MIN(IF((DiscreteStatsTable[GroupByKey]=DiscreteStatsTable[[#This Row],[GroupByKey]]),(DiscreteStatsTable[GroupByKey]=DiscreteStatsTable[[#This Row],[GroupByKey]])*DiscreteStatsTable[Minimum]))</f>
        <v>0.203133309337034</v>
      </c>
      <c r="U717" cm="1">
        <f t="array" ref="U717">MAX(IF((DiscreteStatsTable[GroupByKey]=DiscreteStatsTable[[#This Row],[GroupByKey]]),(DiscreteStatsTable[GroupByKey]=DiscreteStatsTable[[#This Row],[GroupByKey]])*DiscreteStatsTable[Maximum]))</f>
        <v>29.554686467573401</v>
      </c>
      <c r="V717" cm="1">
        <f t="array" ref="V71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7">
        <f>IF((DiscreteStatsTable[[#This Row],[RepsRequested]]&gt;1),DiscreteStatsTable[[#This Row],[HalfWidth]],DiscreteStatsTable[[#This Row],[BatchMeansHalfWidth]])</f>
        <v>6.1205265903720704E-2</v>
      </c>
      <c r="X717" cm="1">
        <f t="array" ref="X717">COUNT(IF((DiscreteStatsTable[GroupByKey]=DiscreteStatsTable[[#This Row],[GroupByKey]]),(DiscreteStatsTable[GroupByKey]=DiscreteStatsTable[[#This Row],[GroupByKey]])*DiscreteStatsTable[Replication]))</f>
        <v>50</v>
      </c>
      <c r="Y717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131</v>
      </c>
      <c r="C718">
        <v>17</v>
      </c>
      <c r="D718" t="s">
        <v>132</v>
      </c>
      <c r="E718" t="s">
        <v>133</v>
      </c>
      <c r="F718" t="s">
        <v>90</v>
      </c>
      <c r="G718">
        <v>1.36944296488853</v>
      </c>
      <c r="H718">
        <v>0.21040033889739701</v>
      </c>
      <c r="I718">
        <v>0.225434982354869</v>
      </c>
      <c r="J718">
        <v>10.653650381020601</v>
      </c>
      <c r="K718">
        <v>2381</v>
      </c>
      <c r="L718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18" cm="1">
        <f t="array" ref="M718">MAX(IF((ProjectInfoTable[ProjectName]=DiscreteStatsTable[[#This Row],[ProjectName]]),(ProjectInfoTable[ProjectName]=DiscreteStatsTable[[#This Row],[ProjectName]])*ProjectInfoTable[NumberOfReplications]))</f>
        <v>50</v>
      </c>
      <c r="N718" cm="1">
        <f t="array" ref="N718">IFERROR(AVERAGE(IF((DiscreteStatsTable[GroupByKey]=DiscreteStatsTable[[#This Row],[GroupByKey]]),(DiscreteStatsTable[GroupByKey]=DiscreteStatsTable[[#This Row],[GroupByKey]])*DiscreteStatsTable[Average])),0)</f>
        <v>1.5029966070875795</v>
      </c>
      <c r="O718" cm="1">
        <f t="array" ref="O71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18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18" cm="1">
        <f t="array" ref="R718">MIN(IF((DiscreteStatsTable[GroupByKey]=DiscreteStatsTable[[#This Row],[GroupByKey]]),(DiscreteStatsTable[GroupByKey]=DiscreteStatsTable[[#This Row],[GroupByKey]])*DiscreteStatsTable[Average]))</f>
        <v>1.21830768607881</v>
      </c>
      <c r="S718" cm="1">
        <f t="array" ref="S718">MAX(IF((DiscreteStatsTable[GroupByKey]=DiscreteStatsTable[[#This Row],[GroupByKey]]),(DiscreteStatsTable[GroupByKey]=DiscreteStatsTable[[#This Row],[GroupByKey]])*DiscreteStatsTable[Average]))</f>
        <v>2.06387223343107</v>
      </c>
      <c r="T718" cm="1">
        <f t="array" ref="T718">MIN(IF((DiscreteStatsTable[GroupByKey]=DiscreteStatsTable[[#This Row],[GroupByKey]]),(DiscreteStatsTable[GroupByKey]=DiscreteStatsTable[[#This Row],[GroupByKey]])*DiscreteStatsTable[Minimum]))</f>
        <v>0.203133309337034</v>
      </c>
      <c r="U718" cm="1">
        <f t="array" ref="U718">MAX(IF((DiscreteStatsTable[GroupByKey]=DiscreteStatsTable[[#This Row],[GroupByKey]]),(DiscreteStatsTable[GroupByKey]=DiscreteStatsTable[[#This Row],[GroupByKey]])*DiscreteStatsTable[Maximum]))</f>
        <v>29.554686467573401</v>
      </c>
      <c r="V718" cm="1">
        <f t="array" ref="V71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8">
        <f>IF((DiscreteStatsTable[[#This Row],[RepsRequested]]&gt;1),DiscreteStatsTable[[#This Row],[HalfWidth]],DiscreteStatsTable[[#This Row],[BatchMeansHalfWidth]])</f>
        <v>6.1205265903720704E-2</v>
      </c>
      <c r="X718" cm="1">
        <f t="array" ref="X718">COUNT(IF((DiscreteStatsTable[GroupByKey]=DiscreteStatsTable[[#This Row],[GroupByKey]]),(DiscreteStatsTable[GroupByKey]=DiscreteStatsTable[[#This Row],[GroupByKey]])*DiscreteStatsTable[Replication]))</f>
        <v>50</v>
      </c>
      <c r="Y718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131</v>
      </c>
      <c r="C719">
        <v>18</v>
      </c>
      <c r="D719" t="s">
        <v>132</v>
      </c>
      <c r="E719" t="s">
        <v>133</v>
      </c>
      <c r="F719" t="s">
        <v>90</v>
      </c>
      <c r="G719">
        <v>1.2801425119912</v>
      </c>
      <c r="H719">
        <v>0.175536136166457</v>
      </c>
      <c r="I719">
        <v>0.26875556797904199</v>
      </c>
      <c r="J719">
        <v>9.1173603752845302</v>
      </c>
      <c r="K719">
        <v>2349</v>
      </c>
      <c r="L719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19" cm="1">
        <f t="array" ref="M719">MAX(IF((ProjectInfoTable[ProjectName]=DiscreteStatsTable[[#This Row],[ProjectName]]),(ProjectInfoTable[ProjectName]=DiscreteStatsTable[[#This Row],[ProjectName]])*ProjectInfoTable[NumberOfReplications]))</f>
        <v>50</v>
      </c>
      <c r="N719" cm="1">
        <f t="array" ref="N719">IFERROR(AVERAGE(IF((DiscreteStatsTable[GroupByKey]=DiscreteStatsTable[[#This Row],[GroupByKey]]),(DiscreteStatsTable[GroupByKey]=DiscreteStatsTable[[#This Row],[GroupByKey]])*DiscreteStatsTable[Average])),0)</f>
        <v>1.5029966070875795</v>
      </c>
      <c r="O719" cm="1">
        <f t="array" ref="O719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19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19" cm="1">
        <f t="array" ref="R719">MIN(IF((DiscreteStatsTable[GroupByKey]=DiscreteStatsTable[[#This Row],[GroupByKey]]),(DiscreteStatsTable[GroupByKey]=DiscreteStatsTable[[#This Row],[GroupByKey]])*DiscreteStatsTable[Average]))</f>
        <v>1.21830768607881</v>
      </c>
      <c r="S719" cm="1">
        <f t="array" ref="S719">MAX(IF((DiscreteStatsTable[GroupByKey]=DiscreteStatsTable[[#This Row],[GroupByKey]]),(DiscreteStatsTable[GroupByKey]=DiscreteStatsTable[[#This Row],[GroupByKey]])*DiscreteStatsTable[Average]))</f>
        <v>2.06387223343107</v>
      </c>
      <c r="T719" cm="1">
        <f t="array" ref="T719">MIN(IF((DiscreteStatsTable[GroupByKey]=DiscreteStatsTable[[#This Row],[GroupByKey]]),(DiscreteStatsTable[GroupByKey]=DiscreteStatsTable[[#This Row],[GroupByKey]])*DiscreteStatsTable[Minimum]))</f>
        <v>0.203133309337034</v>
      </c>
      <c r="U719" cm="1">
        <f t="array" ref="U719">MAX(IF((DiscreteStatsTable[GroupByKey]=DiscreteStatsTable[[#This Row],[GroupByKey]]),(DiscreteStatsTable[GroupByKey]=DiscreteStatsTable[[#This Row],[GroupByKey]])*DiscreteStatsTable[Maximum]))</f>
        <v>29.554686467573401</v>
      </c>
      <c r="V719" cm="1">
        <f t="array" ref="V71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19">
        <f>IF((DiscreteStatsTable[[#This Row],[RepsRequested]]&gt;1),DiscreteStatsTable[[#This Row],[HalfWidth]],DiscreteStatsTable[[#This Row],[BatchMeansHalfWidth]])</f>
        <v>6.1205265903720704E-2</v>
      </c>
      <c r="X719" cm="1">
        <f t="array" ref="X719">COUNT(IF((DiscreteStatsTable[GroupByKey]=DiscreteStatsTable[[#This Row],[GroupByKey]]),(DiscreteStatsTable[GroupByKey]=DiscreteStatsTable[[#This Row],[GroupByKey]])*DiscreteStatsTable[Replication]))</f>
        <v>50</v>
      </c>
      <c r="Y719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131</v>
      </c>
      <c r="C720">
        <v>19</v>
      </c>
      <c r="D720" t="s">
        <v>132</v>
      </c>
      <c r="E720" t="s">
        <v>133</v>
      </c>
      <c r="F720" t="s">
        <v>90</v>
      </c>
      <c r="G720">
        <v>1.37037969098456</v>
      </c>
      <c r="H720">
        <v>0.159939919782906</v>
      </c>
      <c r="I720">
        <v>0.235242064692784</v>
      </c>
      <c r="J720">
        <v>13.5714911561272</v>
      </c>
      <c r="K720">
        <v>2352</v>
      </c>
      <c r="L720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20" cm="1">
        <f t="array" ref="M720">MAX(IF((ProjectInfoTable[ProjectName]=DiscreteStatsTable[[#This Row],[ProjectName]]),(ProjectInfoTable[ProjectName]=DiscreteStatsTable[[#This Row],[ProjectName]])*ProjectInfoTable[NumberOfReplications]))</f>
        <v>50</v>
      </c>
      <c r="N720" cm="1">
        <f t="array" ref="N720">IFERROR(AVERAGE(IF((DiscreteStatsTable[GroupByKey]=DiscreteStatsTable[[#This Row],[GroupByKey]]),(DiscreteStatsTable[GroupByKey]=DiscreteStatsTable[[#This Row],[GroupByKey]])*DiscreteStatsTable[Average])),0)</f>
        <v>1.5029966070875795</v>
      </c>
      <c r="O720" cm="1">
        <f t="array" ref="O72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20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20" cm="1">
        <f t="array" ref="R720">MIN(IF((DiscreteStatsTable[GroupByKey]=DiscreteStatsTable[[#This Row],[GroupByKey]]),(DiscreteStatsTable[GroupByKey]=DiscreteStatsTable[[#This Row],[GroupByKey]])*DiscreteStatsTable[Average]))</f>
        <v>1.21830768607881</v>
      </c>
      <c r="S720" cm="1">
        <f t="array" ref="S720">MAX(IF((DiscreteStatsTable[GroupByKey]=DiscreteStatsTable[[#This Row],[GroupByKey]]),(DiscreteStatsTable[GroupByKey]=DiscreteStatsTable[[#This Row],[GroupByKey]])*DiscreteStatsTable[Average]))</f>
        <v>2.06387223343107</v>
      </c>
      <c r="T720" cm="1">
        <f t="array" ref="T720">MIN(IF((DiscreteStatsTable[GroupByKey]=DiscreteStatsTable[[#This Row],[GroupByKey]]),(DiscreteStatsTable[GroupByKey]=DiscreteStatsTable[[#This Row],[GroupByKey]])*DiscreteStatsTable[Minimum]))</f>
        <v>0.203133309337034</v>
      </c>
      <c r="U720" cm="1">
        <f t="array" ref="U720">MAX(IF((DiscreteStatsTable[GroupByKey]=DiscreteStatsTable[[#This Row],[GroupByKey]]),(DiscreteStatsTable[GroupByKey]=DiscreteStatsTable[[#This Row],[GroupByKey]])*DiscreteStatsTable[Maximum]))</f>
        <v>29.554686467573401</v>
      </c>
      <c r="V720" cm="1">
        <f t="array" ref="V72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0">
        <f>IF((DiscreteStatsTable[[#This Row],[RepsRequested]]&gt;1),DiscreteStatsTable[[#This Row],[HalfWidth]],DiscreteStatsTable[[#This Row],[BatchMeansHalfWidth]])</f>
        <v>6.1205265903720704E-2</v>
      </c>
      <c r="X720" cm="1">
        <f t="array" ref="X720">COUNT(IF((DiscreteStatsTable[GroupByKey]=DiscreteStatsTable[[#This Row],[GroupByKey]]),(DiscreteStatsTable[GroupByKey]=DiscreteStatsTable[[#This Row],[GroupByKey]])*DiscreteStatsTable[Replication]))</f>
        <v>50</v>
      </c>
      <c r="Y720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131</v>
      </c>
      <c r="C721">
        <v>20</v>
      </c>
      <c r="D721" t="s">
        <v>132</v>
      </c>
      <c r="E721" t="s">
        <v>133</v>
      </c>
      <c r="F721" t="s">
        <v>90</v>
      </c>
      <c r="G721">
        <v>1.27665447312062</v>
      </c>
      <c r="H721">
        <v>0.16064088666132201</v>
      </c>
      <c r="I721">
        <v>0.25312886827214198</v>
      </c>
      <c r="J721">
        <v>10.791703986837801</v>
      </c>
      <c r="K721">
        <v>2411</v>
      </c>
      <c r="L721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21" cm="1">
        <f t="array" ref="M721">MAX(IF((ProjectInfoTable[ProjectName]=DiscreteStatsTable[[#This Row],[ProjectName]]),(ProjectInfoTable[ProjectName]=DiscreteStatsTable[[#This Row],[ProjectName]])*ProjectInfoTable[NumberOfReplications]))</f>
        <v>50</v>
      </c>
      <c r="N721" cm="1">
        <f t="array" ref="N721">IFERROR(AVERAGE(IF((DiscreteStatsTable[GroupByKey]=DiscreteStatsTable[[#This Row],[GroupByKey]]),(DiscreteStatsTable[GroupByKey]=DiscreteStatsTable[[#This Row],[GroupByKey]])*DiscreteStatsTable[Average])),0)</f>
        <v>1.5029966070875795</v>
      </c>
      <c r="O721" cm="1">
        <f t="array" ref="O721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21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21" cm="1">
        <f t="array" ref="R721">MIN(IF((DiscreteStatsTable[GroupByKey]=DiscreteStatsTable[[#This Row],[GroupByKey]]),(DiscreteStatsTable[GroupByKey]=DiscreteStatsTable[[#This Row],[GroupByKey]])*DiscreteStatsTable[Average]))</f>
        <v>1.21830768607881</v>
      </c>
      <c r="S721" cm="1">
        <f t="array" ref="S721">MAX(IF((DiscreteStatsTable[GroupByKey]=DiscreteStatsTable[[#This Row],[GroupByKey]]),(DiscreteStatsTable[GroupByKey]=DiscreteStatsTable[[#This Row],[GroupByKey]])*DiscreteStatsTable[Average]))</f>
        <v>2.06387223343107</v>
      </c>
      <c r="T721" cm="1">
        <f t="array" ref="T721">MIN(IF((DiscreteStatsTable[GroupByKey]=DiscreteStatsTable[[#This Row],[GroupByKey]]),(DiscreteStatsTable[GroupByKey]=DiscreteStatsTable[[#This Row],[GroupByKey]])*DiscreteStatsTable[Minimum]))</f>
        <v>0.203133309337034</v>
      </c>
      <c r="U721" cm="1">
        <f t="array" ref="U721">MAX(IF((DiscreteStatsTable[GroupByKey]=DiscreteStatsTable[[#This Row],[GroupByKey]]),(DiscreteStatsTable[GroupByKey]=DiscreteStatsTable[[#This Row],[GroupByKey]])*DiscreteStatsTable[Maximum]))</f>
        <v>29.554686467573401</v>
      </c>
      <c r="V721" cm="1">
        <f t="array" ref="V72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1">
        <f>IF((DiscreteStatsTable[[#This Row],[RepsRequested]]&gt;1),DiscreteStatsTable[[#This Row],[HalfWidth]],DiscreteStatsTable[[#This Row],[BatchMeansHalfWidth]])</f>
        <v>6.1205265903720704E-2</v>
      </c>
      <c r="X721" cm="1">
        <f t="array" ref="X721">COUNT(IF((DiscreteStatsTable[GroupByKey]=DiscreteStatsTable[[#This Row],[GroupByKey]]),(DiscreteStatsTable[GroupByKey]=DiscreteStatsTable[[#This Row],[GroupByKey]])*DiscreteStatsTable[Replication]))</f>
        <v>50</v>
      </c>
      <c r="Y721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131</v>
      </c>
      <c r="C722">
        <v>21</v>
      </c>
      <c r="D722" t="s">
        <v>132</v>
      </c>
      <c r="E722" t="s">
        <v>133</v>
      </c>
      <c r="F722" t="s">
        <v>90</v>
      </c>
      <c r="G722">
        <v>1.31052666107267</v>
      </c>
      <c r="H722">
        <v>0.223195097670184</v>
      </c>
      <c r="I722">
        <v>0.24767259257788499</v>
      </c>
      <c r="J722">
        <v>13.183630137863</v>
      </c>
      <c r="K722">
        <v>2305</v>
      </c>
      <c r="L722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22" cm="1">
        <f t="array" ref="M722">MAX(IF((ProjectInfoTable[ProjectName]=DiscreteStatsTable[[#This Row],[ProjectName]]),(ProjectInfoTable[ProjectName]=DiscreteStatsTable[[#This Row],[ProjectName]])*ProjectInfoTable[NumberOfReplications]))</f>
        <v>50</v>
      </c>
      <c r="N722" cm="1">
        <f t="array" ref="N722">IFERROR(AVERAGE(IF((DiscreteStatsTable[GroupByKey]=DiscreteStatsTable[[#This Row],[GroupByKey]]),(DiscreteStatsTable[GroupByKey]=DiscreteStatsTable[[#This Row],[GroupByKey]])*DiscreteStatsTable[Average])),0)</f>
        <v>1.5029966070875795</v>
      </c>
      <c r="O722" cm="1">
        <f t="array" ref="O72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22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22" cm="1">
        <f t="array" ref="R722">MIN(IF((DiscreteStatsTable[GroupByKey]=DiscreteStatsTable[[#This Row],[GroupByKey]]),(DiscreteStatsTable[GroupByKey]=DiscreteStatsTable[[#This Row],[GroupByKey]])*DiscreteStatsTable[Average]))</f>
        <v>1.21830768607881</v>
      </c>
      <c r="S722" cm="1">
        <f t="array" ref="S722">MAX(IF((DiscreteStatsTable[GroupByKey]=DiscreteStatsTable[[#This Row],[GroupByKey]]),(DiscreteStatsTable[GroupByKey]=DiscreteStatsTable[[#This Row],[GroupByKey]])*DiscreteStatsTable[Average]))</f>
        <v>2.06387223343107</v>
      </c>
      <c r="T722" cm="1">
        <f t="array" ref="T722">MIN(IF((DiscreteStatsTable[GroupByKey]=DiscreteStatsTable[[#This Row],[GroupByKey]]),(DiscreteStatsTable[GroupByKey]=DiscreteStatsTable[[#This Row],[GroupByKey]])*DiscreteStatsTable[Minimum]))</f>
        <v>0.203133309337034</v>
      </c>
      <c r="U722" cm="1">
        <f t="array" ref="U722">MAX(IF((DiscreteStatsTable[GroupByKey]=DiscreteStatsTable[[#This Row],[GroupByKey]]),(DiscreteStatsTable[GroupByKey]=DiscreteStatsTable[[#This Row],[GroupByKey]])*DiscreteStatsTable[Maximum]))</f>
        <v>29.554686467573401</v>
      </c>
      <c r="V722" cm="1">
        <f t="array" ref="V72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2">
        <f>IF((DiscreteStatsTable[[#This Row],[RepsRequested]]&gt;1),DiscreteStatsTable[[#This Row],[HalfWidth]],DiscreteStatsTable[[#This Row],[BatchMeansHalfWidth]])</f>
        <v>6.1205265903720704E-2</v>
      </c>
      <c r="X722" cm="1">
        <f t="array" ref="X722">COUNT(IF((DiscreteStatsTable[GroupByKey]=DiscreteStatsTable[[#This Row],[GroupByKey]]),(DiscreteStatsTable[GroupByKey]=DiscreteStatsTable[[#This Row],[GroupByKey]])*DiscreteStatsTable[Replication]))</f>
        <v>50</v>
      </c>
      <c r="Y722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131</v>
      </c>
      <c r="C723">
        <v>22</v>
      </c>
      <c r="D723" t="s">
        <v>132</v>
      </c>
      <c r="E723" t="s">
        <v>133</v>
      </c>
      <c r="F723" t="s">
        <v>90</v>
      </c>
      <c r="G723">
        <v>1.7233879808416499</v>
      </c>
      <c r="H723">
        <v>0.26562644213818598</v>
      </c>
      <c r="I723">
        <v>0.24649430687509299</v>
      </c>
      <c r="J723">
        <v>12.280484162270101</v>
      </c>
      <c r="K723">
        <v>2428</v>
      </c>
      <c r="L723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23" cm="1">
        <f t="array" ref="M723">MAX(IF((ProjectInfoTable[ProjectName]=DiscreteStatsTable[[#This Row],[ProjectName]]),(ProjectInfoTable[ProjectName]=DiscreteStatsTable[[#This Row],[ProjectName]])*ProjectInfoTable[NumberOfReplications]))</f>
        <v>50</v>
      </c>
      <c r="N723" cm="1">
        <f t="array" ref="N723">IFERROR(AVERAGE(IF((DiscreteStatsTable[GroupByKey]=DiscreteStatsTable[[#This Row],[GroupByKey]]),(DiscreteStatsTable[GroupByKey]=DiscreteStatsTable[[#This Row],[GroupByKey]])*DiscreteStatsTable[Average])),0)</f>
        <v>1.5029966070875795</v>
      </c>
      <c r="O723" cm="1">
        <f t="array" ref="O723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23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23" cm="1">
        <f t="array" ref="R723">MIN(IF((DiscreteStatsTable[GroupByKey]=DiscreteStatsTable[[#This Row],[GroupByKey]]),(DiscreteStatsTable[GroupByKey]=DiscreteStatsTable[[#This Row],[GroupByKey]])*DiscreteStatsTable[Average]))</f>
        <v>1.21830768607881</v>
      </c>
      <c r="S723" cm="1">
        <f t="array" ref="S723">MAX(IF((DiscreteStatsTable[GroupByKey]=DiscreteStatsTable[[#This Row],[GroupByKey]]),(DiscreteStatsTable[GroupByKey]=DiscreteStatsTable[[#This Row],[GroupByKey]])*DiscreteStatsTable[Average]))</f>
        <v>2.06387223343107</v>
      </c>
      <c r="T723" cm="1">
        <f t="array" ref="T723">MIN(IF((DiscreteStatsTable[GroupByKey]=DiscreteStatsTable[[#This Row],[GroupByKey]]),(DiscreteStatsTable[GroupByKey]=DiscreteStatsTable[[#This Row],[GroupByKey]])*DiscreteStatsTable[Minimum]))</f>
        <v>0.203133309337034</v>
      </c>
      <c r="U723" cm="1">
        <f t="array" ref="U723">MAX(IF((DiscreteStatsTable[GroupByKey]=DiscreteStatsTable[[#This Row],[GroupByKey]]),(DiscreteStatsTable[GroupByKey]=DiscreteStatsTable[[#This Row],[GroupByKey]])*DiscreteStatsTable[Maximum]))</f>
        <v>29.554686467573401</v>
      </c>
      <c r="V723" cm="1">
        <f t="array" ref="V72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3">
        <f>IF((DiscreteStatsTable[[#This Row],[RepsRequested]]&gt;1),DiscreteStatsTable[[#This Row],[HalfWidth]],DiscreteStatsTable[[#This Row],[BatchMeansHalfWidth]])</f>
        <v>6.1205265903720704E-2</v>
      </c>
      <c r="X723" cm="1">
        <f t="array" ref="X723">COUNT(IF((DiscreteStatsTable[GroupByKey]=DiscreteStatsTable[[#This Row],[GroupByKey]]),(DiscreteStatsTable[GroupByKey]=DiscreteStatsTable[[#This Row],[GroupByKey]])*DiscreteStatsTable[Replication]))</f>
        <v>50</v>
      </c>
      <c r="Y723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131</v>
      </c>
      <c r="C724">
        <v>23</v>
      </c>
      <c r="D724" t="s">
        <v>132</v>
      </c>
      <c r="E724" t="s">
        <v>133</v>
      </c>
      <c r="F724" t="s">
        <v>90</v>
      </c>
      <c r="G724">
        <v>1.52481024786151</v>
      </c>
      <c r="H724">
        <v>0.26612583856831801</v>
      </c>
      <c r="I724">
        <v>0.25537359107277202</v>
      </c>
      <c r="J724">
        <v>12.334827344051501</v>
      </c>
      <c r="K724">
        <v>2377</v>
      </c>
      <c r="L724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24" cm="1">
        <f t="array" ref="M724">MAX(IF((ProjectInfoTable[ProjectName]=DiscreteStatsTable[[#This Row],[ProjectName]]),(ProjectInfoTable[ProjectName]=DiscreteStatsTable[[#This Row],[ProjectName]])*ProjectInfoTable[NumberOfReplications]))</f>
        <v>50</v>
      </c>
      <c r="N724" cm="1">
        <f t="array" ref="N724">IFERROR(AVERAGE(IF((DiscreteStatsTable[GroupByKey]=DiscreteStatsTable[[#This Row],[GroupByKey]]),(DiscreteStatsTable[GroupByKey]=DiscreteStatsTable[[#This Row],[GroupByKey]])*DiscreteStatsTable[Average])),0)</f>
        <v>1.5029966070875795</v>
      </c>
      <c r="O724" cm="1">
        <f t="array" ref="O72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24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24" cm="1">
        <f t="array" ref="R724">MIN(IF((DiscreteStatsTable[GroupByKey]=DiscreteStatsTable[[#This Row],[GroupByKey]]),(DiscreteStatsTable[GroupByKey]=DiscreteStatsTable[[#This Row],[GroupByKey]])*DiscreteStatsTable[Average]))</f>
        <v>1.21830768607881</v>
      </c>
      <c r="S724" cm="1">
        <f t="array" ref="S724">MAX(IF((DiscreteStatsTable[GroupByKey]=DiscreteStatsTable[[#This Row],[GroupByKey]]),(DiscreteStatsTable[GroupByKey]=DiscreteStatsTable[[#This Row],[GroupByKey]])*DiscreteStatsTable[Average]))</f>
        <v>2.06387223343107</v>
      </c>
      <c r="T724" cm="1">
        <f t="array" ref="T724">MIN(IF((DiscreteStatsTable[GroupByKey]=DiscreteStatsTable[[#This Row],[GroupByKey]]),(DiscreteStatsTable[GroupByKey]=DiscreteStatsTable[[#This Row],[GroupByKey]])*DiscreteStatsTable[Minimum]))</f>
        <v>0.203133309337034</v>
      </c>
      <c r="U724" cm="1">
        <f t="array" ref="U724">MAX(IF((DiscreteStatsTable[GroupByKey]=DiscreteStatsTable[[#This Row],[GroupByKey]]),(DiscreteStatsTable[GroupByKey]=DiscreteStatsTable[[#This Row],[GroupByKey]])*DiscreteStatsTable[Maximum]))</f>
        <v>29.554686467573401</v>
      </c>
      <c r="V724" cm="1">
        <f t="array" ref="V72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4">
        <f>IF((DiscreteStatsTable[[#This Row],[RepsRequested]]&gt;1),DiscreteStatsTable[[#This Row],[HalfWidth]],DiscreteStatsTable[[#This Row],[BatchMeansHalfWidth]])</f>
        <v>6.1205265903720704E-2</v>
      </c>
      <c r="X724" cm="1">
        <f t="array" ref="X724">COUNT(IF((DiscreteStatsTable[GroupByKey]=DiscreteStatsTable[[#This Row],[GroupByKey]]),(DiscreteStatsTable[GroupByKey]=DiscreteStatsTable[[#This Row],[GroupByKey]])*DiscreteStatsTable[Replication]))</f>
        <v>50</v>
      </c>
      <c r="Y724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131</v>
      </c>
      <c r="C725">
        <v>24</v>
      </c>
      <c r="D725" t="s">
        <v>132</v>
      </c>
      <c r="E725" t="s">
        <v>133</v>
      </c>
      <c r="F725" t="s">
        <v>90</v>
      </c>
      <c r="G725">
        <v>1.989772475788</v>
      </c>
      <c r="H725">
        <v>3E+20</v>
      </c>
      <c r="I725">
        <v>0.26692020674048</v>
      </c>
      <c r="J725">
        <v>29.554686467573401</v>
      </c>
      <c r="K725">
        <v>2420</v>
      </c>
      <c r="L725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25" cm="1">
        <f t="array" ref="M725">MAX(IF((ProjectInfoTable[ProjectName]=DiscreteStatsTable[[#This Row],[ProjectName]]),(ProjectInfoTable[ProjectName]=DiscreteStatsTable[[#This Row],[ProjectName]])*ProjectInfoTable[NumberOfReplications]))</f>
        <v>50</v>
      </c>
      <c r="N725" cm="1">
        <f t="array" ref="N725">IFERROR(AVERAGE(IF((DiscreteStatsTable[GroupByKey]=DiscreteStatsTable[[#This Row],[GroupByKey]]),(DiscreteStatsTable[GroupByKey]=DiscreteStatsTable[[#This Row],[GroupByKey]])*DiscreteStatsTable[Average])),0)</f>
        <v>1.5029966070875795</v>
      </c>
      <c r="O725" cm="1">
        <f t="array" ref="O725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2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25" cm="1">
        <f t="array" ref="R725">MIN(IF((DiscreteStatsTable[GroupByKey]=DiscreteStatsTable[[#This Row],[GroupByKey]]),(DiscreteStatsTable[GroupByKey]=DiscreteStatsTable[[#This Row],[GroupByKey]])*DiscreteStatsTable[Average]))</f>
        <v>1.21830768607881</v>
      </c>
      <c r="S725" cm="1">
        <f t="array" ref="S725">MAX(IF((DiscreteStatsTable[GroupByKey]=DiscreteStatsTable[[#This Row],[GroupByKey]]),(DiscreteStatsTable[GroupByKey]=DiscreteStatsTable[[#This Row],[GroupByKey]])*DiscreteStatsTable[Average]))</f>
        <v>2.06387223343107</v>
      </c>
      <c r="T725" cm="1">
        <f t="array" ref="T725">MIN(IF((DiscreteStatsTable[GroupByKey]=DiscreteStatsTable[[#This Row],[GroupByKey]]),(DiscreteStatsTable[GroupByKey]=DiscreteStatsTable[[#This Row],[GroupByKey]])*DiscreteStatsTable[Minimum]))</f>
        <v>0.203133309337034</v>
      </c>
      <c r="U725" cm="1">
        <f t="array" ref="U725">MAX(IF((DiscreteStatsTable[GroupByKey]=DiscreteStatsTable[[#This Row],[GroupByKey]]),(DiscreteStatsTable[GroupByKey]=DiscreteStatsTable[[#This Row],[GroupByKey]])*DiscreteStatsTable[Maximum]))</f>
        <v>29.554686467573401</v>
      </c>
      <c r="V725" cm="1">
        <f t="array" ref="V72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5">
        <f>IF((DiscreteStatsTable[[#This Row],[RepsRequested]]&gt;1),DiscreteStatsTable[[#This Row],[HalfWidth]],DiscreteStatsTable[[#This Row],[BatchMeansHalfWidth]])</f>
        <v>6.1205265903720704E-2</v>
      </c>
      <c r="X725" cm="1">
        <f t="array" ref="X725">COUNT(IF((DiscreteStatsTable[GroupByKey]=DiscreteStatsTable[[#This Row],[GroupByKey]]),(DiscreteStatsTable[GroupByKey]=DiscreteStatsTable[[#This Row],[GroupByKey]])*DiscreteStatsTable[Replication]))</f>
        <v>50</v>
      </c>
      <c r="Y72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131</v>
      </c>
      <c r="C726">
        <v>25</v>
      </c>
      <c r="D726" t="s">
        <v>132</v>
      </c>
      <c r="E726" t="s">
        <v>133</v>
      </c>
      <c r="F726" t="s">
        <v>90</v>
      </c>
      <c r="G726">
        <v>1.8669068192460201</v>
      </c>
      <c r="H726">
        <v>0.35112895172354802</v>
      </c>
      <c r="I726">
        <v>0.24872380162798199</v>
      </c>
      <c r="J726">
        <v>15.133604010751901</v>
      </c>
      <c r="K726">
        <v>2504</v>
      </c>
      <c r="L726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26" cm="1">
        <f t="array" ref="M726">MAX(IF((ProjectInfoTable[ProjectName]=DiscreteStatsTable[[#This Row],[ProjectName]]),(ProjectInfoTable[ProjectName]=DiscreteStatsTable[[#This Row],[ProjectName]])*ProjectInfoTable[NumberOfReplications]))</f>
        <v>50</v>
      </c>
      <c r="N726" cm="1">
        <f t="array" ref="N726">IFERROR(AVERAGE(IF((DiscreteStatsTable[GroupByKey]=DiscreteStatsTable[[#This Row],[GroupByKey]]),(DiscreteStatsTable[GroupByKey]=DiscreteStatsTable[[#This Row],[GroupByKey]])*DiscreteStatsTable[Average])),0)</f>
        <v>1.5029966070875795</v>
      </c>
      <c r="O726" cm="1">
        <f t="array" ref="O72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26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26" cm="1">
        <f t="array" ref="R726">MIN(IF((DiscreteStatsTable[GroupByKey]=DiscreteStatsTable[[#This Row],[GroupByKey]]),(DiscreteStatsTable[GroupByKey]=DiscreteStatsTable[[#This Row],[GroupByKey]])*DiscreteStatsTable[Average]))</f>
        <v>1.21830768607881</v>
      </c>
      <c r="S726" cm="1">
        <f t="array" ref="S726">MAX(IF((DiscreteStatsTable[GroupByKey]=DiscreteStatsTable[[#This Row],[GroupByKey]]),(DiscreteStatsTable[GroupByKey]=DiscreteStatsTable[[#This Row],[GroupByKey]])*DiscreteStatsTable[Average]))</f>
        <v>2.06387223343107</v>
      </c>
      <c r="T726" cm="1">
        <f t="array" ref="T726">MIN(IF((DiscreteStatsTable[GroupByKey]=DiscreteStatsTable[[#This Row],[GroupByKey]]),(DiscreteStatsTable[GroupByKey]=DiscreteStatsTable[[#This Row],[GroupByKey]])*DiscreteStatsTable[Minimum]))</f>
        <v>0.203133309337034</v>
      </c>
      <c r="U726" cm="1">
        <f t="array" ref="U726">MAX(IF((DiscreteStatsTable[GroupByKey]=DiscreteStatsTable[[#This Row],[GroupByKey]]),(DiscreteStatsTable[GroupByKey]=DiscreteStatsTable[[#This Row],[GroupByKey]])*DiscreteStatsTable[Maximum]))</f>
        <v>29.554686467573401</v>
      </c>
      <c r="V726" cm="1">
        <f t="array" ref="V72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6">
        <f>IF((DiscreteStatsTable[[#This Row],[RepsRequested]]&gt;1),DiscreteStatsTable[[#This Row],[HalfWidth]],DiscreteStatsTable[[#This Row],[BatchMeansHalfWidth]])</f>
        <v>6.1205265903720704E-2</v>
      </c>
      <c r="X726" cm="1">
        <f t="array" ref="X726">COUNT(IF((DiscreteStatsTable[GroupByKey]=DiscreteStatsTable[[#This Row],[GroupByKey]]),(DiscreteStatsTable[GroupByKey]=DiscreteStatsTable[[#This Row],[GroupByKey]])*DiscreteStatsTable[Replication]))</f>
        <v>50</v>
      </c>
      <c r="Y726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131</v>
      </c>
      <c r="C727">
        <v>26</v>
      </c>
      <c r="D727" t="s">
        <v>132</v>
      </c>
      <c r="E727" t="s">
        <v>133</v>
      </c>
      <c r="F727" t="s">
        <v>90</v>
      </c>
      <c r="G727">
        <v>1.37883858039588</v>
      </c>
      <c r="H727">
        <v>0.19569383168662799</v>
      </c>
      <c r="I727">
        <v>0.26669007181510601</v>
      </c>
      <c r="J727">
        <v>10.460423694364501</v>
      </c>
      <c r="K727">
        <v>2350</v>
      </c>
      <c r="L727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27" cm="1">
        <f t="array" ref="M727">MAX(IF((ProjectInfoTable[ProjectName]=DiscreteStatsTable[[#This Row],[ProjectName]]),(ProjectInfoTable[ProjectName]=DiscreteStatsTable[[#This Row],[ProjectName]])*ProjectInfoTable[NumberOfReplications]))</f>
        <v>50</v>
      </c>
      <c r="N727" cm="1">
        <f t="array" ref="N727">IFERROR(AVERAGE(IF((DiscreteStatsTable[GroupByKey]=DiscreteStatsTable[[#This Row],[GroupByKey]]),(DiscreteStatsTable[GroupByKey]=DiscreteStatsTable[[#This Row],[GroupByKey]])*DiscreteStatsTable[Average])),0)</f>
        <v>1.5029966070875795</v>
      </c>
      <c r="O727" cm="1">
        <f t="array" ref="O727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27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27" cm="1">
        <f t="array" ref="R727">MIN(IF((DiscreteStatsTable[GroupByKey]=DiscreteStatsTable[[#This Row],[GroupByKey]]),(DiscreteStatsTable[GroupByKey]=DiscreteStatsTable[[#This Row],[GroupByKey]])*DiscreteStatsTable[Average]))</f>
        <v>1.21830768607881</v>
      </c>
      <c r="S727" cm="1">
        <f t="array" ref="S727">MAX(IF((DiscreteStatsTable[GroupByKey]=DiscreteStatsTable[[#This Row],[GroupByKey]]),(DiscreteStatsTable[GroupByKey]=DiscreteStatsTable[[#This Row],[GroupByKey]])*DiscreteStatsTable[Average]))</f>
        <v>2.06387223343107</v>
      </c>
      <c r="T727" cm="1">
        <f t="array" ref="T727">MIN(IF((DiscreteStatsTable[GroupByKey]=DiscreteStatsTable[[#This Row],[GroupByKey]]),(DiscreteStatsTable[GroupByKey]=DiscreteStatsTable[[#This Row],[GroupByKey]])*DiscreteStatsTable[Minimum]))</f>
        <v>0.203133309337034</v>
      </c>
      <c r="U727" cm="1">
        <f t="array" ref="U727">MAX(IF((DiscreteStatsTable[GroupByKey]=DiscreteStatsTable[[#This Row],[GroupByKey]]),(DiscreteStatsTable[GroupByKey]=DiscreteStatsTable[[#This Row],[GroupByKey]])*DiscreteStatsTable[Maximum]))</f>
        <v>29.554686467573401</v>
      </c>
      <c r="V727" cm="1">
        <f t="array" ref="V72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7">
        <f>IF((DiscreteStatsTable[[#This Row],[RepsRequested]]&gt;1),DiscreteStatsTable[[#This Row],[HalfWidth]],DiscreteStatsTable[[#This Row],[BatchMeansHalfWidth]])</f>
        <v>6.1205265903720704E-2</v>
      </c>
      <c r="X727" cm="1">
        <f t="array" ref="X727">COUNT(IF((DiscreteStatsTable[GroupByKey]=DiscreteStatsTable[[#This Row],[GroupByKey]]),(DiscreteStatsTable[GroupByKey]=DiscreteStatsTable[[#This Row],[GroupByKey]])*DiscreteStatsTable[Replication]))</f>
        <v>50</v>
      </c>
      <c r="Y727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131</v>
      </c>
      <c r="C728">
        <v>27</v>
      </c>
      <c r="D728" t="s">
        <v>132</v>
      </c>
      <c r="E728" t="s">
        <v>133</v>
      </c>
      <c r="F728" t="s">
        <v>90</v>
      </c>
      <c r="G728">
        <v>2.06387223343107</v>
      </c>
      <c r="H728">
        <v>0.57167525624932802</v>
      </c>
      <c r="I728">
        <v>0.254713097965521</v>
      </c>
      <c r="J728">
        <v>22.955794108810998</v>
      </c>
      <c r="K728">
        <v>2414</v>
      </c>
      <c r="L728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28" cm="1">
        <f t="array" ref="M728">MAX(IF((ProjectInfoTable[ProjectName]=DiscreteStatsTable[[#This Row],[ProjectName]]),(ProjectInfoTable[ProjectName]=DiscreteStatsTable[[#This Row],[ProjectName]])*ProjectInfoTable[NumberOfReplications]))</f>
        <v>50</v>
      </c>
      <c r="N728" cm="1">
        <f t="array" ref="N728">IFERROR(AVERAGE(IF((DiscreteStatsTable[GroupByKey]=DiscreteStatsTable[[#This Row],[GroupByKey]]),(DiscreteStatsTable[GroupByKey]=DiscreteStatsTable[[#This Row],[GroupByKey]])*DiscreteStatsTable[Average])),0)</f>
        <v>1.5029966070875795</v>
      </c>
      <c r="O728" cm="1">
        <f t="array" ref="O72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28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28" cm="1">
        <f t="array" ref="R728">MIN(IF((DiscreteStatsTable[GroupByKey]=DiscreteStatsTable[[#This Row],[GroupByKey]]),(DiscreteStatsTable[GroupByKey]=DiscreteStatsTable[[#This Row],[GroupByKey]])*DiscreteStatsTable[Average]))</f>
        <v>1.21830768607881</v>
      </c>
      <c r="S728" cm="1">
        <f t="array" ref="S728">MAX(IF((DiscreteStatsTable[GroupByKey]=DiscreteStatsTable[[#This Row],[GroupByKey]]),(DiscreteStatsTable[GroupByKey]=DiscreteStatsTable[[#This Row],[GroupByKey]])*DiscreteStatsTable[Average]))</f>
        <v>2.06387223343107</v>
      </c>
      <c r="T728" cm="1">
        <f t="array" ref="T728">MIN(IF((DiscreteStatsTable[GroupByKey]=DiscreteStatsTable[[#This Row],[GroupByKey]]),(DiscreteStatsTable[GroupByKey]=DiscreteStatsTable[[#This Row],[GroupByKey]])*DiscreteStatsTable[Minimum]))</f>
        <v>0.203133309337034</v>
      </c>
      <c r="U728" cm="1">
        <f t="array" ref="U728">MAX(IF((DiscreteStatsTable[GroupByKey]=DiscreteStatsTable[[#This Row],[GroupByKey]]),(DiscreteStatsTable[GroupByKey]=DiscreteStatsTable[[#This Row],[GroupByKey]])*DiscreteStatsTable[Maximum]))</f>
        <v>29.554686467573401</v>
      </c>
      <c r="V728" cm="1">
        <f t="array" ref="V72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8">
        <f>IF((DiscreteStatsTable[[#This Row],[RepsRequested]]&gt;1),DiscreteStatsTable[[#This Row],[HalfWidth]],DiscreteStatsTable[[#This Row],[BatchMeansHalfWidth]])</f>
        <v>6.1205265903720704E-2</v>
      </c>
      <c r="X728" cm="1">
        <f t="array" ref="X728">COUNT(IF((DiscreteStatsTable[GroupByKey]=DiscreteStatsTable[[#This Row],[GroupByKey]]),(DiscreteStatsTable[GroupByKey]=DiscreteStatsTable[[#This Row],[GroupByKey]])*DiscreteStatsTable[Replication]))</f>
        <v>50</v>
      </c>
      <c r="Y728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131</v>
      </c>
      <c r="C729">
        <v>28</v>
      </c>
      <c r="D729" t="s">
        <v>132</v>
      </c>
      <c r="E729" t="s">
        <v>133</v>
      </c>
      <c r="F729" t="s">
        <v>90</v>
      </c>
      <c r="G729">
        <v>1.60827089837508</v>
      </c>
      <c r="H729">
        <v>0.26517449667618898</v>
      </c>
      <c r="I729">
        <v>0.27535644402513498</v>
      </c>
      <c r="J729">
        <v>11.369615117517601</v>
      </c>
      <c r="K729">
        <v>2339</v>
      </c>
      <c r="L729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29" cm="1">
        <f t="array" ref="M729">MAX(IF((ProjectInfoTable[ProjectName]=DiscreteStatsTable[[#This Row],[ProjectName]]),(ProjectInfoTable[ProjectName]=DiscreteStatsTable[[#This Row],[ProjectName]])*ProjectInfoTable[NumberOfReplications]))</f>
        <v>50</v>
      </c>
      <c r="N729" cm="1">
        <f t="array" ref="N729">IFERROR(AVERAGE(IF((DiscreteStatsTable[GroupByKey]=DiscreteStatsTable[[#This Row],[GroupByKey]]),(DiscreteStatsTable[GroupByKey]=DiscreteStatsTable[[#This Row],[GroupByKey]])*DiscreteStatsTable[Average])),0)</f>
        <v>1.5029966070875795</v>
      </c>
      <c r="O729" cm="1">
        <f t="array" ref="O729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29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29" cm="1">
        <f t="array" ref="R729">MIN(IF((DiscreteStatsTable[GroupByKey]=DiscreteStatsTable[[#This Row],[GroupByKey]]),(DiscreteStatsTable[GroupByKey]=DiscreteStatsTable[[#This Row],[GroupByKey]])*DiscreteStatsTable[Average]))</f>
        <v>1.21830768607881</v>
      </c>
      <c r="S729" cm="1">
        <f t="array" ref="S729">MAX(IF((DiscreteStatsTable[GroupByKey]=DiscreteStatsTable[[#This Row],[GroupByKey]]),(DiscreteStatsTable[GroupByKey]=DiscreteStatsTable[[#This Row],[GroupByKey]])*DiscreteStatsTable[Average]))</f>
        <v>2.06387223343107</v>
      </c>
      <c r="T729" cm="1">
        <f t="array" ref="T729">MIN(IF((DiscreteStatsTable[GroupByKey]=DiscreteStatsTable[[#This Row],[GroupByKey]]),(DiscreteStatsTable[GroupByKey]=DiscreteStatsTable[[#This Row],[GroupByKey]])*DiscreteStatsTable[Minimum]))</f>
        <v>0.203133309337034</v>
      </c>
      <c r="U729" cm="1">
        <f t="array" ref="U729">MAX(IF((DiscreteStatsTable[GroupByKey]=DiscreteStatsTable[[#This Row],[GroupByKey]]),(DiscreteStatsTable[GroupByKey]=DiscreteStatsTable[[#This Row],[GroupByKey]])*DiscreteStatsTable[Maximum]))</f>
        <v>29.554686467573401</v>
      </c>
      <c r="V729" cm="1">
        <f t="array" ref="V72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29">
        <f>IF((DiscreteStatsTable[[#This Row],[RepsRequested]]&gt;1),DiscreteStatsTable[[#This Row],[HalfWidth]],DiscreteStatsTable[[#This Row],[BatchMeansHalfWidth]])</f>
        <v>6.1205265903720704E-2</v>
      </c>
      <c r="X729" cm="1">
        <f t="array" ref="X729">COUNT(IF((DiscreteStatsTable[GroupByKey]=DiscreteStatsTable[[#This Row],[GroupByKey]]),(DiscreteStatsTable[GroupByKey]=DiscreteStatsTable[[#This Row],[GroupByKey]])*DiscreteStatsTable[Replication]))</f>
        <v>50</v>
      </c>
      <c r="Y729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131</v>
      </c>
      <c r="C730">
        <v>29</v>
      </c>
      <c r="D730" t="s">
        <v>132</v>
      </c>
      <c r="E730" t="s">
        <v>133</v>
      </c>
      <c r="F730" t="s">
        <v>90</v>
      </c>
      <c r="G730">
        <v>1.62322746355013</v>
      </c>
      <c r="H730">
        <v>3E+20</v>
      </c>
      <c r="I730">
        <v>0.264062188716366</v>
      </c>
      <c r="J730">
        <v>23.5430291492147</v>
      </c>
      <c r="K730">
        <v>2440</v>
      </c>
      <c r="L730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30" cm="1">
        <f t="array" ref="M730">MAX(IF((ProjectInfoTable[ProjectName]=DiscreteStatsTable[[#This Row],[ProjectName]]),(ProjectInfoTable[ProjectName]=DiscreteStatsTable[[#This Row],[ProjectName]])*ProjectInfoTable[NumberOfReplications]))</f>
        <v>50</v>
      </c>
      <c r="N730" cm="1">
        <f t="array" ref="N730">IFERROR(AVERAGE(IF((DiscreteStatsTable[GroupByKey]=DiscreteStatsTable[[#This Row],[GroupByKey]]),(DiscreteStatsTable[GroupByKey]=DiscreteStatsTable[[#This Row],[GroupByKey]])*DiscreteStatsTable[Average])),0)</f>
        <v>1.5029966070875795</v>
      </c>
      <c r="O730" cm="1">
        <f t="array" ref="O73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30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30" cm="1">
        <f t="array" ref="R730">MIN(IF((DiscreteStatsTable[GroupByKey]=DiscreteStatsTable[[#This Row],[GroupByKey]]),(DiscreteStatsTable[GroupByKey]=DiscreteStatsTable[[#This Row],[GroupByKey]])*DiscreteStatsTable[Average]))</f>
        <v>1.21830768607881</v>
      </c>
      <c r="S730" cm="1">
        <f t="array" ref="S730">MAX(IF((DiscreteStatsTable[GroupByKey]=DiscreteStatsTable[[#This Row],[GroupByKey]]),(DiscreteStatsTable[GroupByKey]=DiscreteStatsTable[[#This Row],[GroupByKey]])*DiscreteStatsTable[Average]))</f>
        <v>2.06387223343107</v>
      </c>
      <c r="T730" cm="1">
        <f t="array" ref="T730">MIN(IF((DiscreteStatsTable[GroupByKey]=DiscreteStatsTable[[#This Row],[GroupByKey]]),(DiscreteStatsTable[GroupByKey]=DiscreteStatsTable[[#This Row],[GroupByKey]])*DiscreteStatsTable[Minimum]))</f>
        <v>0.203133309337034</v>
      </c>
      <c r="U730" cm="1">
        <f t="array" ref="U730">MAX(IF((DiscreteStatsTable[GroupByKey]=DiscreteStatsTable[[#This Row],[GroupByKey]]),(DiscreteStatsTable[GroupByKey]=DiscreteStatsTable[[#This Row],[GroupByKey]])*DiscreteStatsTable[Maximum]))</f>
        <v>29.554686467573401</v>
      </c>
      <c r="V730" cm="1">
        <f t="array" ref="V73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0">
        <f>IF((DiscreteStatsTable[[#This Row],[RepsRequested]]&gt;1),DiscreteStatsTable[[#This Row],[HalfWidth]],DiscreteStatsTable[[#This Row],[BatchMeansHalfWidth]])</f>
        <v>6.1205265903720704E-2</v>
      </c>
      <c r="X730" cm="1">
        <f t="array" ref="X730">COUNT(IF((DiscreteStatsTable[GroupByKey]=DiscreteStatsTable[[#This Row],[GroupByKey]]),(DiscreteStatsTable[GroupByKey]=DiscreteStatsTable[[#This Row],[GroupByKey]])*DiscreteStatsTable[Replication]))</f>
        <v>50</v>
      </c>
      <c r="Y730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131</v>
      </c>
      <c r="C731">
        <v>30</v>
      </c>
      <c r="D731" t="s">
        <v>132</v>
      </c>
      <c r="E731" t="s">
        <v>133</v>
      </c>
      <c r="F731" t="s">
        <v>90</v>
      </c>
      <c r="G731">
        <v>1.74095527196454</v>
      </c>
      <c r="H731">
        <v>3E+20</v>
      </c>
      <c r="I731">
        <v>0.25317126017483799</v>
      </c>
      <c r="J731">
        <v>19.533541523756899</v>
      </c>
      <c r="K731">
        <v>2416</v>
      </c>
      <c r="L731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31" cm="1">
        <f t="array" ref="M731">MAX(IF((ProjectInfoTable[ProjectName]=DiscreteStatsTable[[#This Row],[ProjectName]]),(ProjectInfoTable[ProjectName]=DiscreteStatsTable[[#This Row],[ProjectName]])*ProjectInfoTable[NumberOfReplications]))</f>
        <v>50</v>
      </c>
      <c r="N731" cm="1">
        <f t="array" ref="N731">IFERROR(AVERAGE(IF((DiscreteStatsTable[GroupByKey]=DiscreteStatsTable[[#This Row],[GroupByKey]]),(DiscreteStatsTable[GroupByKey]=DiscreteStatsTable[[#This Row],[GroupByKey]])*DiscreteStatsTable[Average])),0)</f>
        <v>1.5029966070875795</v>
      </c>
      <c r="O731" cm="1">
        <f t="array" ref="O731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31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31" cm="1">
        <f t="array" ref="R731">MIN(IF((DiscreteStatsTable[GroupByKey]=DiscreteStatsTable[[#This Row],[GroupByKey]]),(DiscreteStatsTable[GroupByKey]=DiscreteStatsTable[[#This Row],[GroupByKey]])*DiscreteStatsTable[Average]))</f>
        <v>1.21830768607881</v>
      </c>
      <c r="S731" cm="1">
        <f t="array" ref="S731">MAX(IF((DiscreteStatsTable[GroupByKey]=DiscreteStatsTable[[#This Row],[GroupByKey]]),(DiscreteStatsTable[GroupByKey]=DiscreteStatsTable[[#This Row],[GroupByKey]])*DiscreteStatsTable[Average]))</f>
        <v>2.06387223343107</v>
      </c>
      <c r="T731" cm="1">
        <f t="array" ref="T731">MIN(IF((DiscreteStatsTable[GroupByKey]=DiscreteStatsTable[[#This Row],[GroupByKey]]),(DiscreteStatsTable[GroupByKey]=DiscreteStatsTable[[#This Row],[GroupByKey]])*DiscreteStatsTable[Minimum]))</f>
        <v>0.203133309337034</v>
      </c>
      <c r="U731" cm="1">
        <f t="array" ref="U731">MAX(IF((DiscreteStatsTable[GroupByKey]=DiscreteStatsTable[[#This Row],[GroupByKey]]),(DiscreteStatsTable[GroupByKey]=DiscreteStatsTable[[#This Row],[GroupByKey]])*DiscreteStatsTable[Maximum]))</f>
        <v>29.554686467573401</v>
      </c>
      <c r="V731" cm="1">
        <f t="array" ref="V73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1">
        <f>IF((DiscreteStatsTable[[#This Row],[RepsRequested]]&gt;1),DiscreteStatsTable[[#This Row],[HalfWidth]],DiscreteStatsTable[[#This Row],[BatchMeansHalfWidth]])</f>
        <v>6.1205265903720704E-2</v>
      </c>
      <c r="X731" cm="1">
        <f t="array" ref="X731">COUNT(IF((DiscreteStatsTable[GroupByKey]=DiscreteStatsTable[[#This Row],[GroupByKey]]),(DiscreteStatsTable[GroupByKey]=DiscreteStatsTable[[#This Row],[GroupByKey]])*DiscreteStatsTable[Replication]))</f>
        <v>50</v>
      </c>
      <c r="Y731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131</v>
      </c>
      <c r="C732">
        <v>31</v>
      </c>
      <c r="D732" t="s">
        <v>132</v>
      </c>
      <c r="E732" t="s">
        <v>133</v>
      </c>
      <c r="F732" t="s">
        <v>90</v>
      </c>
      <c r="G732">
        <v>1.2189608124892199</v>
      </c>
      <c r="H732">
        <v>0.14489808483758501</v>
      </c>
      <c r="I732">
        <v>0.235540746690624</v>
      </c>
      <c r="J732">
        <v>10.5148892281978</v>
      </c>
      <c r="K732">
        <v>2344</v>
      </c>
      <c r="L732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32" cm="1">
        <f t="array" ref="M732">MAX(IF((ProjectInfoTable[ProjectName]=DiscreteStatsTable[[#This Row],[ProjectName]]),(ProjectInfoTable[ProjectName]=DiscreteStatsTable[[#This Row],[ProjectName]])*ProjectInfoTable[NumberOfReplications]))</f>
        <v>50</v>
      </c>
      <c r="N732" cm="1">
        <f t="array" ref="N732">IFERROR(AVERAGE(IF((DiscreteStatsTable[GroupByKey]=DiscreteStatsTable[[#This Row],[GroupByKey]]),(DiscreteStatsTable[GroupByKey]=DiscreteStatsTable[[#This Row],[GroupByKey]])*DiscreteStatsTable[Average])),0)</f>
        <v>1.5029966070875795</v>
      </c>
      <c r="O732" cm="1">
        <f t="array" ref="O73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32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32" cm="1">
        <f t="array" ref="R732">MIN(IF((DiscreteStatsTable[GroupByKey]=DiscreteStatsTable[[#This Row],[GroupByKey]]),(DiscreteStatsTable[GroupByKey]=DiscreteStatsTable[[#This Row],[GroupByKey]])*DiscreteStatsTable[Average]))</f>
        <v>1.21830768607881</v>
      </c>
      <c r="S732" cm="1">
        <f t="array" ref="S732">MAX(IF((DiscreteStatsTable[GroupByKey]=DiscreteStatsTable[[#This Row],[GroupByKey]]),(DiscreteStatsTable[GroupByKey]=DiscreteStatsTable[[#This Row],[GroupByKey]])*DiscreteStatsTable[Average]))</f>
        <v>2.06387223343107</v>
      </c>
      <c r="T732" cm="1">
        <f t="array" ref="T732">MIN(IF((DiscreteStatsTable[GroupByKey]=DiscreteStatsTable[[#This Row],[GroupByKey]]),(DiscreteStatsTable[GroupByKey]=DiscreteStatsTable[[#This Row],[GroupByKey]])*DiscreteStatsTable[Minimum]))</f>
        <v>0.203133309337034</v>
      </c>
      <c r="U732" cm="1">
        <f t="array" ref="U732">MAX(IF((DiscreteStatsTable[GroupByKey]=DiscreteStatsTable[[#This Row],[GroupByKey]]),(DiscreteStatsTable[GroupByKey]=DiscreteStatsTable[[#This Row],[GroupByKey]])*DiscreteStatsTable[Maximum]))</f>
        <v>29.554686467573401</v>
      </c>
      <c r="V732" cm="1">
        <f t="array" ref="V73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2">
        <f>IF((DiscreteStatsTable[[#This Row],[RepsRequested]]&gt;1),DiscreteStatsTable[[#This Row],[HalfWidth]],DiscreteStatsTable[[#This Row],[BatchMeansHalfWidth]])</f>
        <v>6.1205265903720704E-2</v>
      </c>
      <c r="X732" cm="1">
        <f t="array" ref="X732">COUNT(IF((DiscreteStatsTable[GroupByKey]=DiscreteStatsTable[[#This Row],[GroupByKey]]),(DiscreteStatsTable[GroupByKey]=DiscreteStatsTable[[#This Row],[GroupByKey]])*DiscreteStatsTable[Replication]))</f>
        <v>50</v>
      </c>
      <c r="Y732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131</v>
      </c>
      <c r="C733">
        <v>32</v>
      </c>
      <c r="D733" t="s">
        <v>132</v>
      </c>
      <c r="E733" t="s">
        <v>133</v>
      </c>
      <c r="F733" t="s">
        <v>90</v>
      </c>
      <c r="G733">
        <v>1.2864924362621499</v>
      </c>
      <c r="H733">
        <v>0.14879511694414399</v>
      </c>
      <c r="I733">
        <v>0.23018746572927301</v>
      </c>
      <c r="J733">
        <v>11.749548532490101</v>
      </c>
      <c r="K733">
        <v>2331</v>
      </c>
      <c r="L733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33" cm="1">
        <f t="array" ref="M733">MAX(IF((ProjectInfoTable[ProjectName]=DiscreteStatsTable[[#This Row],[ProjectName]]),(ProjectInfoTable[ProjectName]=DiscreteStatsTable[[#This Row],[ProjectName]])*ProjectInfoTable[NumberOfReplications]))</f>
        <v>50</v>
      </c>
      <c r="N733" cm="1">
        <f t="array" ref="N733">IFERROR(AVERAGE(IF((DiscreteStatsTable[GroupByKey]=DiscreteStatsTable[[#This Row],[GroupByKey]]),(DiscreteStatsTable[GroupByKey]=DiscreteStatsTable[[#This Row],[GroupByKey]])*DiscreteStatsTable[Average])),0)</f>
        <v>1.5029966070875795</v>
      </c>
      <c r="O733" cm="1">
        <f t="array" ref="O733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33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33" cm="1">
        <f t="array" ref="R733">MIN(IF((DiscreteStatsTable[GroupByKey]=DiscreteStatsTable[[#This Row],[GroupByKey]]),(DiscreteStatsTable[GroupByKey]=DiscreteStatsTable[[#This Row],[GroupByKey]])*DiscreteStatsTable[Average]))</f>
        <v>1.21830768607881</v>
      </c>
      <c r="S733" cm="1">
        <f t="array" ref="S733">MAX(IF((DiscreteStatsTable[GroupByKey]=DiscreteStatsTable[[#This Row],[GroupByKey]]),(DiscreteStatsTable[GroupByKey]=DiscreteStatsTable[[#This Row],[GroupByKey]])*DiscreteStatsTable[Average]))</f>
        <v>2.06387223343107</v>
      </c>
      <c r="T733" cm="1">
        <f t="array" ref="T733">MIN(IF((DiscreteStatsTable[GroupByKey]=DiscreteStatsTable[[#This Row],[GroupByKey]]),(DiscreteStatsTable[GroupByKey]=DiscreteStatsTable[[#This Row],[GroupByKey]])*DiscreteStatsTable[Minimum]))</f>
        <v>0.203133309337034</v>
      </c>
      <c r="U733" cm="1">
        <f t="array" ref="U733">MAX(IF((DiscreteStatsTable[GroupByKey]=DiscreteStatsTable[[#This Row],[GroupByKey]]),(DiscreteStatsTable[GroupByKey]=DiscreteStatsTable[[#This Row],[GroupByKey]])*DiscreteStatsTable[Maximum]))</f>
        <v>29.554686467573401</v>
      </c>
      <c r="V733" cm="1">
        <f t="array" ref="V73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3">
        <f>IF((DiscreteStatsTable[[#This Row],[RepsRequested]]&gt;1),DiscreteStatsTable[[#This Row],[HalfWidth]],DiscreteStatsTable[[#This Row],[BatchMeansHalfWidth]])</f>
        <v>6.1205265903720704E-2</v>
      </c>
      <c r="X733" cm="1">
        <f t="array" ref="X733">COUNT(IF((DiscreteStatsTable[GroupByKey]=DiscreteStatsTable[[#This Row],[GroupByKey]]),(DiscreteStatsTable[GroupByKey]=DiscreteStatsTable[[#This Row],[GroupByKey]])*DiscreteStatsTable[Replication]))</f>
        <v>50</v>
      </c>
      <c r="Y733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131</v>
      </c>
      <c r="C734">
        <v>33</v>
      </c>
      <c r="D734" t="s">
        <v>132</v>
      </c>
      <c r="E734" t="s">
        <v>133</v>
      </c>
      <c r="F734" t="s">
        <v>90</v>
      </c>
      <c r="G734">
        <v>1.39613516729193</v>
      </c>
      <c r="H734">
        <v>0.18405682165880899</v>
      </c>
      <c r="I734">
        <v>0.246016273962709</v>
      </c>
      <c r="J734">
        <v>10.6142811553326</v>
      </c>
      <c r="K734">
        <v>2414</v>
      </c>
      <c r="L734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34" cm="1">
        <f t="array" ref="M734">MAX(IF((ProjectInfoTable[ProjectName]=DiscreteStatsTable[[#This Row],[ProjectName]]),(ProjectInfoTable[ProjectName]=DiscreteStatsTable[[#This Row],[ProjectName]])*ProjectInfoTable[NumberOfReplications]))</f>
        <v>50</v>
      </c>
      <c r="N734" cm="1">
        <f t="array" ref="N734">IFERROR(AVERAGE(IF((DiscreteStatsTable[GroupByKey]=DiscreteStatsTable[[#This Row],[GroupByKey]]),(DiscreteStatsTable[GroupByKey]=DiscreteStatsTable[[#This Row],[GroupByKey]])*DiscreteStatsTable[Average])),0)</f>
        <v>1.5029966070875795</v>
      </c>
      <c r="O734" cm="1">
        <f t="array" ref="O73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34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34" cm="1">
        <f t="array" ref="R734">MIN(IF((DiscreteStatsTable[GroupByKey]=DiscreteStatsTable[[#This Row],[GroupByKey]]),(DiscreteStatsTable[GroupByKey]=DiscreteStatsTable[[#This Row],[GroupByKey]])*DiscreteStatsTable[Average]))</f>
        <v>1.21830768607881</v>
      </c>
      <c r="S734" cm="1">
        <f t="array" ref="S734">MAX(IF((DiscreteStatsTable[GroupByKey]=DiscreteStatsTable[[#This Row],[GroupByKey]]),(DiscreteStatsTable[GroupByKey]=DiscreteStatsTable[[#This Row],[GroupByKey]])*DiscreteStatsTable[Average]))</f>
        <v>2.06387223343107</v>
      </c>
      <c r="T734" cm="1">
        <f t="array" ref="T734">MIN(IF((DiscreteStatsTable[GroupByKey]=DiscreteStatsTable[[#This Row],[GroupByKey]]),(DiscreteStatsTable[GroupByKey]=DiscreteStatsTable[[#This Row],[GroupByKey]])*DiscreteStatsTable[Minimum]))</f>
        <v>0.203133309337034</v>
      </c>
      <c r="U734" cm="1">
        <f t="array" ref="U734">MAX(IF((DiscreteStatsTable[GroupByKey]=DiscreteStatsTable[[#This Row],[GroupByKey]]),(DiscreteStatsTable[GroupByKey]=DiscreteStatsTable[[#This Row],[GroupByKey]])*DiscreteStatsTable[Maximum]))</f>
        <v>29.554686467573401</v>
      </c>
      <c r="V734" cm="1">
        <f t="array" ref="V73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4">
        <f>IF((DiscreteStatsTable[[#This Row],[RepsRequested]]&gt;1),DiscreteStatsTable[[#This Row],[HalfWidth]],DiscreteStatsTable[[#This Row],[BatchMeansHalfWidth]])</f>
        <v>6.1205265903720704E-2</v>
      </c>
      <c r="X734" cm="1">
        <f t="array" ref="X734">COUNT(IF((DiscreteStatsTable[GroupByKey]=DiscreteStatsTable[[#This Row],[GroupByKey]]),(DiscreteStatsTable[GroupByKey]=DiscreteStatsTable[[#This Row],[GroupByKey]])*DiscreteStatsTable[Replication]))</f>
        <v>50</v>
      </c>
      <c r="Y734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131</v>
      </c>
      <c r="C735">
        <v>34</v>
      </c>
      <c r="D735" t="s">
        <v>132</v>
      </c>
      <c r="E735" t="s">
        <v>133</v>
      </c>
      <c r="F735" t="s">
        <v>90</v>
      </c>
      <c r="G735">
        <v>1.46454755903288</v>
      </c>
      <c r="H735">
        <v>0.27465390096683601</v>
      </c>
      <c r="I735">
        <v>0.26885543374333998</v>
      </c>
      <c r="J735">
        <v>17.730339065876802</v>
      </c>
      <c r="K735">
        <v>2412</v>
      </c>
      <c r="L735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35" cm="1">
        <f t="array" ref="M735">MAX(IF((ProjectInfoTable[ProjectName]=DiscreteStatsTable[[#This Row],[ProjectName]]),(ProjectInfoTable[ProjectName]=DiscreteStatsTable[[#This Row],[ProjectName]])*ProjectInfoTable[NumberOfReplications]))</f>
        <v>50</v>
      </c>
      <c r="N735" cm="1">
        <f t="array" ref="N735">IFERROR(AVERAGE(IF((DiscreteStatsTable[GroupByKey]=DiscreteStatsTable[[#This Row],[GroupByKey]]),(DiscreteStatsTable[GroupByKey]=DiscreteStatsTable[[#This Row],[GroupByKey]])*DiscreteStatsTable[Average])),0)</f>
        <v>1.5029966070875795</v>
      </c>
      <c r="O735" cm="1">
        <f t="array" ref="O735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3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35" cm="1">
        <f t="array" ref="R735">MIN(IF((DiscreteStatsTable[GroupByKey]=DiscreteStatsTable[[#This Row],[GroupByKey]]),(DiscreteStatsTable[GroupByKey]=DiscreteStatsTable[[#This Row],[GroupByKey]])*DiscreteStatsTable[Average]))</f>
        <v>1.21830768607881</v>
      </c>
      <c r="S735" cm="1">
        <f t="array" ref="S735">MAX(IF((DiscreteStatsTable[GroupByKey]=DiscreteStatsTable[[#This Row],[GroupByKey]]),(DiscreteStatsTable[GroupByKey]=DiscreteStatsTable[[#This Row],[GroupByKey]])*DiscreteStatsTable[Average]))</f>
        <v>2.06387223343107</v>
      </c>
      <c r="T735" cm="1">
        <f t="array" ref="T735">MIN(IF((DiscreteStatsTable[GroupByKey]=DiscreteStatsTable[[#This Row],[GroupByKey]]),(DiscreteStatsTable[GroupByKey]=DiscreteStatsTable[[#This Row],[GroupByKey]])*DiscreteStatsTable[Minimum]))</f>
        <v>0.203133309337034</v>
      </c>
      <c r="U735" cm="1">
        <f t="array" ref="U735">MAX(IF((DiscreteStatsTable[GroupByKey]=DiscreteStatsTable[[#This Row],[GroupByKey]]),(DiscreteStatsTable[GroupByKey]=DiscreteStatsTable[[#This Row],[GroupByKey]])*DiscreteStatsTable[Maximum]))</f>
        <v>29.554686467573401</v>
      </c>
      <c r="V735" cm="1">
        <f t="array" ref="V73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5">
        <f>IF((DiscreteStatsTable[[#This Row],[RepsRequested]]&gt;1),DiscreteStatsTable[[#This Row],[HalfWidth]],DiscreteStatsTable[[#This Row],[BatchMeansHalfWidth]])</f>
        <v>6.1205265903720704E-2</v>
      </c>
      <c r="X735" cm="1">
        <f t="array" ref="X735">COUNT(IF((DiscreteStatsTable[GroupByKey]=DiscreteStatsTable[[#This Row],[GroupByKey]]),(DiscreteStatsTable[GroupByKey]=DiscreteStatsTable[[#This Row],[GroupByKey]])*DiscreteStatsTable[Replication]))</f>
        <v>50</v>
      </c>
      <c r="Y73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131</v>
      </c>
      <c r="C736">
        <v>35</v>
      </c>
      <c r="D736" t="s">
        <v>132</v>
      </c>
      <c r="E736" t="s">
        <v>133</v>
      </c>
      <c r="F736" t="s">
        <v>90</v>
      </c>
      <c r="G736">
        <v>1.3703574372540399</v>
      </c>
      <c r="H736">
        <v>0.19413262448975499</v>
      </c>
      <c r="I736">
        <v>0.24786367069259499</v>
      </c>
      <c r="J736">
        <v>13.7369407914641</v>
      </c>
      <c r="K736">
        <v>2436</v>
      </c>
      <c r="L736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36" cm="1">
        <f t="array" ref="M736">MAX(IF((ProjectInfoTable[ProjectName]=DiscreteStatsTable[[#This Row],[ProjectName]]),(ProjectInfoTable[ProjectName]=DiscreteStatsTable[[#This Row],[ProjectName]])*ProjectInfoTable[NumberOfReplications]))</f>
        <v>50</v>
      </c>
      <c r="N736" cm="1">
        <f t="array" ref="N736">IFERROR(AVERAGE(IF((DiscreteStatsTable[GroupByKey]=DiscreteStatsTable[[#This Row],[GroupByKey]]),(DiscreteStatsTable[GroupByKey]=DiscreteStatsTable[[#This Row],[GroupByKey]])*DiscreteStatsTable[Average])),0)</f>
        <v>1.5029966070875795</v>
      </c>
      <c r="O736" cm="1">
        <f t="array" ref="O73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36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36" cm="1">
        <f t="array" ref="R736">MIN(IF((DiscreteStatsTable[GroupByKey]=DiscreteStatsTable[[#This Row],[GroupByKey]]),(DiscreteStatsTable[GroupByKey]=DiscreteStatsTable[[#This Row],[GroupByKey]])*DiscreteStatsTable[Average]))</f>
        <v>1.21830768607881</v>
      </c>
      <c r="S736" cm="1">
        <f t="array" ref="S736">MAX(IF((DiscreteStatsTable[GroupByKey]=DiscreteStatsTable[[#This Row],[GroupByKey]]),(DiscreteStatsTable[GroupByKey]=DiscreteStatsTable[[#This Row],[GroupByKey]])*DiscreteStatsTable[Average]))</f>
        <v>2.06387223343107</v>
      </c>
      <c r="T736" cm="1">
        <f t="array" ref="T736">MIN(IF((DiscreteStatsTable[GroupByKey]=DiscreteStatsTable[[#This Row],[GroupByKey]]),(DiscreteStatsTable[GroupByKey]=DiscreteStatsTable[[#This Row],[GroupByKey]])*DiscreteStatsTable[Minimum]))</f>
        <v>0.203133309337034</v>
      </c>
      <c r="U736" cm="1">
        <f t="array" ref="U736">MAX(IF((DiscreteStatsTable[GroupByKey]=DiscreteStatsTable[[#This Row],[GroupByKey]]),(DiscreteStatsTable[GroupByKey]=DiscreteStatsTable[[#This Row],[GroupByKey]])*DiscreteStatsTable[Maximum]))</f>
        <v>29.554686467573401</v>
      </c>
      <c r="V736" cm="1">
        <f t="array" ref="V73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6">
        <f>IF((DiscreteStatsTable[[#This Row],[RepsRequested]]&gt;1),DiscreteStatsTable[[#This Row],[HalfWidth]],DiscreteStatsTable[[#This Row],[BatchMeansHalfWidth]])</f>
        <v>6.1205265903720704E-2</v>
      </c>
      <c r="X736" cm="1">
        <f t="array" ref="X736">COUNT(IF((DiscreteStatsTable[GroupByKey]=DiscreteStatsTable[[#This Row],[GroupByKey]]),(DiscreteStatsTable[GroupByKey]=DiscreteStatsTable[[#This Row],[GroupByKey]])*DiscreteStatsTable[Replication]))</f>
        <v>50</v>
      </c>
      <c r="Y736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131</v>
      </c>
      <c r="C737">
        <v>36</v>
      </c>
      <c r="D737" t="s">
        <v>132</v>
      </c>
      <c r="E737" t="s">
        <v>133</v>
      </c>
      <c r="F737" t="s">
        <v>90</v>
      </c>
      <c r="G737">
        <v>1.21830768607881</v>
      </c>
      <c r="H737">
        <v>0.123333552213824</v>
      </c>
      <c r="I737">
        <v>0.25267791701713799</v>
      </c>
      <c r="J737">
        <v>8.7766043892596599</v>
      </c>
      <c r="K737">
        <v>2393</v>
      </c>
      <c r="L737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37" cm="1">
        <f t="array" ref="M737">MAX(IF((ProjectInfoTable[ProjectName]=DiscreteStatsTable[[#This Row],[ProjectName]]),(ProjectInfoTable[ProjectName]=DiscreteStatsTable[[#This Row],[ProjectName]])*ProjectInfoTable[NumberOfReplications]))</f>
        <v>50</v>
      </c>
      <c r="N737" cm="1">
        <f t="array" ref="N737">IFERROR(AVERAGE(IF((DiscreteStatsTable[GroupByKey]=DiscreteStatsTable[[#This Row],[GroupByKey]]),(DiscreteStatsTable[GroupByKey]=DiscreteStatsTable[[#This Row],[GroupByKey]])*DiscreteStatsTable[Average])),0)</f>
        <v>1.5029966070875795</v>
      </c>
      <c r="O737" cm="1">
        <f t="array" ref="O737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37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37" cm="1">
        <f t="array" ref="R737">MIN(IF((DiscreteStatsTable[GroupByKey]=DiscreteStatsTable[[#This Row],[GroupByKey]]),(DiscreteStatsTable[GroupByKey]=DiscreteStatsTable[[#This Row],[GroupByKey]])*DiscreteStatsTable[Average]))</f>
        <v>1.21830768607881</v>
      </c>
      <c r="S737" cm="1">
        <f t="array" ref="S737">MAX(IF((DiscreteStatsTable[GroupByKey]=DiscreteStatsTable[[#This Row],[GroupByKey]]),(DiscreteStatsTable[GroupByKey]=DiscreteStatsTable[[#This Row],[GroupByKey]])*DiscreteStatsTable[Average]))</f>
        <v>2.06387223343107</v>
      </c>
      <c r="T737" cm="1">
        <f t="array" ref="T737">MIN(IF((DiscreteStatsTable[GroupByKey]=DiscreteStatsTable[[#This Row],[GroupByKey]]),(DiscreteStatsTable[GroupByKey]=DiscreteStatsTable[[#This Row],[GroupByKey]])*DiscreteStatsTable[Minimum]))</f>
        <v>0.203133309337034</v>
      </c>
      <c r="U737" cm="1">
        <f t="array" ref="U737">MAX(IF((DiscreteStatsTable[GroupByKey]=DiscreteStatsTable[[#This Row],[GroupByKey]]),(DiscreteStatsTable[GroupByKey]=DiscreteStatsTable[[#This Row],[GroupByKey]])*DiscreteStatsTable[Maximum]))</f>
        <v>29.554686467573401</v>
      </c>
      <c r="V737" cm="1">
        <f t="array" ref="V73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7">
        <f>IF((DiscreteStatsTable[[#This Row],[RepsRequested]]&gt;1),DiscreteStatsTable[[#This Row],[HalfWidth]],DiscreteStatsTable[[#This Row],[BatchMeansHalfWidth]])</f>
        <v>6.1205265903720704E-2</v>
      </c>
      <c r="X737" cm="1">
        <f t="array" ref="X737">COUNT(IF((DiscreteStatsTable[GroupByKey]=DiscreteStatsTable[[#This Row],[GroupByKey]]),(DiscreteStatsTable[GroupByKey]=DiscreteStatsTable[[#This Row],[GroupByKey]])*DiscreteStatsTable[Replication]))</f>
        <v>50</v>
      </c>
      <c r="Y737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131</v>
      </c>
      <c r="C738">
        <v>37</v>
      </c>
      <c r="D738" t="s">
        <v>132</v>
      </c>
      <c r="E738" t="s">
        <v>133</v>
      </c>
      <c r="F738" t="s">
        <v>90</v>
      </c>
      <c r="G738">
        <v>1.6815804756222701</v>
      </c>
      <c r="H738">
        <v>3E+20</v>
      </c>
      <c r="I738">
        <v>0.240195896727016</v>
      </c>
      <c r="J738">
        <v>25.838501022951501</v>
      </c>
      <c r="K738">
        <v>2409</v>
      </c>
      <c r="L738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38" cm="1">
        <f t="array" ref="M738">MAX(IF((ProjectInfoTable[ProjectName]=DiscreteStatsTable[[#This Row],[ProjectName]]),(ProjectInfoTable[ProjectName]=DiscreteStatsTable[[#This Row],[ProjectName]])*ProjectInfoTable[NumberOfReplications]))</f>
        <v>50</v>
      </c>
      <c r="N738" cm="1">
        <f t="array" ref="N738">IFERROR(AVERAGE(IF((DiscreteStatsTable[GroupByKey]=DiscreteStatsTable[[#This Row],[GroupByKey]]),(DiscreteStatsTable[GroupByKey]=DiscreteStatsTable[[#This Row],[GroupByKey]])*DiscreteStatsTable[Average])),0)</f>
        <v>1.5029966070875795</v>
      </c>
      <c r="O738" cm="1">
        <f t="array" ref="O73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38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38" cm="1">
        <f t="array" ref="R738">MIN(IF((DiscreteStatsTable[GroupByKey]=DiscreteStatsTable[[#This Row],[GroupByKey]]),(DiscreteStatsTable[GroupByKey]=DiscreteStatsTable[[#This Row],[GroupByKey]])*DiscreteStatsTable[Average]))</f>
        <v>1.21830768607881</v>
      </c>
      <c r="S738" cm="1">
        <f t="array" ref="S738">MAX(IF((DiscreteStatsTable[GroupByKey]=DiscreteStatsTable[[#This Row],[GroupByKey]]),(DiscreteStatsTable[GroupByKey]=DiscreteStatsTable[[#This Row],[GroupByKey]])*DiscreteStatsTable[Average]))</f>
        <v>2.06387223343107</v>
      </c>
      <c r="T738" cm="1">
        <f t="array" ref="T738">MIN(IF((DiscreteStatsTable[GroupByKey]=DiscreteStatsTable[[#This Row],[GroupByKey]]),(DiscreteStatsTable[GroupByKey]=DiscreteStatsTable[[#This Row],[GroupByKey]])*DiscreteStatsTable[Minimum]))</f>
        <v>0.203133309337034</v>
      </c>
      <c r="U738" cm="1">
        <f t="array" ref="U738">MAX(IF((DiscreteStatsTable[GroupByKey]=DiscreteStatsTable[[#This Row],[GroupByKey]]),(DiscreteStatsTable[GroupByKey]=DiscreteStatsTable[[#This Row],[GroupByKey]])*DiscreteStatsTable[Maximum]))</f>
        <v>29.554686467573401</v>
      </c>
      <c r="V738" cm="1">
        <f t="array" ref="V73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8">
        <f>IF((DiscreteStatsTable[[#This Row],[RepsRequested]]&gt;1),DiscreteStatsTable[[#This Row],[HalfWidth]],DiscreteStatsTable[[#This Row],[BatchMeansHalfWidth]])</f>
        <v>6.1205265903720704E-2</v>
      </c>
      <c r="X738" cm="1">
        <f t="array" ref="X738">COUNT(IF((DiscreteStatsTable[GroupByKey]=DiscreteStatsTable[[#This Row],[GroupByKey]]),(DiscreteStatsTable[GroupByKey]=DiscreteStatsTable[[#This Row],[GroupByKey]])*DiscreteStatsTable[Replication]))</f>
        <v>50</v>
      </c>
      <c r="Y738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131</v>
      </c>
      <c r="C739">
        <v>38</v>
      </c>
      <c r="D739" t="s">
        <v>132</v>
      </c>
      <c r="E739" t="s">
        <v>133</v>
      </c>
      <c r="F739" t="s">
        <v>90</v>
      </c>
      <c r="G739">
        <v>1.41262294715223</v>
      </c>
      <c r="H739">
        <v>0.197370449662993</v>
      </c>
      <c r="I739">
        <v>0.23788649934084599</v>
      </c>
      <c r="J739">
        <v>14.375775347160999</v>
      </c>
      <c r="K739">
        <v>2407</v>
      </c>
      <c r="L739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39" cm="1">
        <f t="array" ref="M739">MAX(IF((ProjectInfoTable[ProjectName]=DiscreteStatsTable[[#This Row],[ProjectName]]),(ProjectInfoTable[ProjectName]=DiscreteStatsTable[[#This Row],[ProjectName]])*ProjectInfoTable[NumberOfReplications]))</f>
        <v>50</v>
      </c>
      <c r="N739" cm="1">
        <f t="array" ref="N739">IFERROR(AVERAGE(IF((DiscreteStatsTable[GroupByKey]=DiscreteStatsTable[[#This Row],[GroupByKey]]),(DiscreteStatsTable[GroupByKey]=DiscreteStatsTable[[#This Row],[GroupByKey]])*DiscreteStatsTable[Average])),0)</f>
        <v>1.5029966070875795</v>
      </c>
      <c r="O739" cm="1">
        <f t="array" ref="O739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39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39" cm="1">
        <f t="array" ref="R739">MIN(IF((DiscreteStatsTable[GroupByKey]=DiscreteStatsTable[[#This Row],[GroupByKey]]),(DiscreteStatsTable[GroupByKey]=DiscreteStatsTable[[#This Row],[GroupByKey]])*DiscreteStatsTable[Average]))</f>
        <v>1.21830768607881</v>
      </c>
      <c r="S739" cm="1">
        <f t="array" ref="S739">MAX(IF((DiscreteStatsTable[GroupByKey]=DiscreteStatsTable[[#This Row],[GroupByKey]]),(DiscreteStatsTable[GroupByKey]=DiscreteStatsTable[[#This Row],[GroupByKey]])*DiscreteStatsTable[Average]))</f>
        <v>2.06387223343107</v>
      </c>
      <c r="T739" cm="1">
        <f t="array" ref="T739">MIN(IF((DiscreteStatsTable[GroupByKey]=DiscreteStatsTable[[#This Row],[GroupByKey]]),(DiscreteStatsTable[GroupByKey]=DiscreteStatsTable[[#This Row],[GroupByKey]])*DiscreteStatsTable[Minimum]))</f>
        <v>0.203133309337034</v>
      </c>
      <c r="U739" cm="1">
        <f t="array" ref="U739">MAX(IF((DiscreteStatsTable[GroupByKey]=DiscreteStatsTable[[#This Row],[GroupByKey]]),(DiscreteStatsTable[GroupByKey]=DiscreteStatsTable[[#This Row],[GroupByKey]])*DiscreteStatsTable[Maximum]))</f>
        <v>29.554686467573401</v>
      </c>
      <c r="V739" cm="1">
        <f t="array" ref="V73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39">
        <f>IF((DiscreteStatsTable[[#This Row],[RepsRequested]]&gt;1),DiscreteStatsTable[[#This Row],[HalfWidth]],DiscreteStatsTable[[#This Row],[BatchMeansHalfWidth]])</f>
        <v>6.1205265903720704E-2</v>
      </c>
      <c r="X739" cm="1">
        <f t="array" ref="X739">COUNT(IF((DiscreteStatsTable[GroupByKey]=DiscreteStatsTable[[#This Row],[GroupByKey]]),(DiscreteStatsTable[GroupByKey]=DiscreteStatsTable[[#This Row],[GroupByKey]])*DiscreteStatsTable[Replication]))</f>
        <v>50</v>
      </c>
      <c r="Y739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131</v>
      </c>
      <c r="C740">
        <v>39</v>
      </c>
      <c r="D740" t="s">
        <v>132</v>
      </c>
      <c r="E740" t="s">
        <v>133</v>
      </c>
      <c r="F740" t="s">
        <v>90</v>
      </c>
      <c r="G740">
        <v>1.24029061995464</v>
      </c>
      <c r="H740">
        <v>0.102355640921583</v>
      </c>
      <c r="I740">
        <v>0.22971885375182</v>
      </c>
      <c r="J740">
        <v>7.5706155695615402</v>
      </c>
      <c r="K740">
        <v>2400</v>
      </c>
      <c r="L740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40" cm="1">
        <f t="array" ref="M740">MAX(IF((ProjectInfoTable[ProjectName]=DiscreteStatsTable[[#This Row],[ProjectName]]),(ProjectInfoTable[ProjectName]=DiscreteStatsTable[[#This Row],[ProjectName]])*ProjectInfoTable[NumberOfReplications]))</f>
        <v>50</v>
      </c>
      <c r="N740" cm="1">
        <f t="array" ref="N740">IFERROR(AVERAGE(IF((DiscreteStatsTable[GroupByKey]=DiscreteStatsTable[[#This Row],[GroupByKey]]),(DiscreteStatsTable[GroupByKey]=DiscreteStatsTable[[#This Row],[GroupByKey]])*DiscreteStatsTable[Average])),0)</f>
        <v>1.5029966070875795</v>
      </c>
      <c r="O740" cm="1">
        <f t="array" ref="O74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40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40" cm="1">
        <f t="array" ref="R740">MIN(IF((DiscreteStatsTable[GroupByKey]=DiscreteStatsTable[[#This Row],[GroupByKey]]),(DiscreteStatsTable[GroupByKey]=DiscreteStatsTable[[#This Row],[GroupByKey]])*DiscreteStatsTable[Average]))</f>
        <v>1.21830768607881</v>
      </c>
      <c r="S740" cm="1">
        <f t="array" ref="S740">MAX(IF((DiscreteStatsTable[GroupByKey]=DiscreteStatsTable[[#This Row],[GroupByKey]]),(DiscreteStatsTable[GroupByKey]=DiscreteStatsTable[[#This Row],[GroupByKey]])*DiscreteStatsTable[Average]))</f>
        <v>2.06387223343107</v>
      </c>
      <c r="T740" cm="1">
        <f t="array" ref="T740">MIN(IF((DiscreteStatsTable[GroupByKey]=DiscreteStatsTable[[#This Row],[GroupByKey]]),(DiscreteStatsTable[GroupByKey]=DiscreteStatsTable[[#This Row],[GroupByKey]])*DiscreteStatsTable[Minimum]))</f>
        <v>0.203133309337034</v>
      </c>
      <c r="U740" cm="1">
        <f t="array" ref="U740">MAX(IF((DiscreteStatsTable[GroupByKey]=DiscreteStatsTable[[#This Row],[GroupByKey]]),(DiscreteStatsTable[GroupByKey]=DiscreteStatsTable[[#This Row],[GroupByKey]])*DiscreteStatsTable[Maximum]))</f>
        <v>29.554686467573401</v>
      </c>
      <c r="V740" cm="1">
        <f t="array" ref="V74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0">
        <f>IF((DiscreteStatsTable[[#This Row],[RepsRequested]]&gt;1),DiscreteStatsTable[[#This Row],[HalfWidth]],DiscreteStatsTable[[#This Row],[BatchMeansHalfWidth]])</f>
        <v>6.1205265903720704E-2</v>
      </c>
      <c r="X740" cm="1">
        <f t="array" ref="X740">COUNT(IF((DiscreteStatsTable[GroupByKey]=DiscreteStatsTable[[#This Row],[GroupByKey]]),(DiscreteStatsTable[GroupByKey]=DiscreteStatsTable[[#This Row],[GroupByKey]])*DiscreteStatsTable[Replication]))</f>
        <v>50</v>
      </c>
      <c r="Y740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131</v>
      </c>
      <c r="C741">
        <v>40</v>
      </c>
      <c r="D741" t="s">
        <v>132</v>
      </c>
      <c r="E741" t="s">
        <v>133</v>
      </c>
      <c r="F741" t="s">
        <v>90</v>
      </c>
      <c r="G741">
        <v>1.3315453444355201</v>
      </c>
      <c r="H741">
        <v>3E+20</v>
      </c>
      <c r="I741">
        <v>0.23885971800285699</v>
      </c>
      <c r="J741">
        <v>14.5456892848898</v>
      </c>
      <c r="K741">
        <v>2378</v>
      </c>
      <c r="L741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41" cm="1">
        <f t="array" ref="M741">MAX(IF((ProjectInfoTable[ProjectName]=DiscreteStatsTable[[#This Row],[ProjectName]]),(ProjectInfoTable[ProjectName]=DiscreteStatsTable[[#This Row],[ProjectName]])*ProjectInfoTable[NumberOfReplications]))</f>
        <v>50</v>
      </c>
      <c r="N741" cm="1">
        <f t="array" ref="N741">IFERROR(AVERAGE(IF((DiscreteStatsTable[GroupByKey]=DiscreteStatsTable[[#This Row],[GroupByKey]]),(DiscreteStatsTable[GroupByKey]=DiscreteStatsTable[[#This Row],[GroupByKey]])*DiscreteStatsTable[Average])),0)</f>
        <v>1.5029966070875795</v>
      </c>
      <c r="O741" cm="1">
        <f t="array" ref="O741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41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41" cm="1">
        <f t="array" ref="R741">MIN(IF((DiscreteStatsTable[GroupByKey]=DiscreteStatsTable[[#This Row],[GroupByKey]]),(DiscreteStatsTable[GroupByKey]=DiscreteStatsTable[[#This Row],[GroupByKey]])*DiscreteStatsTable[Average]))</f>
        <v>1.21830768607881</v>
      </c>
      <c r="S741" cm="1">
        <f t="array" ref="S741">MAX(IF((DiscreteStatsTable[GroupByKey]=DiscreteStatsTable[[#This Row],[GroupByKey]]),(DiscreteStatsTable[GroupByKey]=DiscreteStatsTable[[#This Row],[GroupByKey]])*DiscreteStatsTable[Average]))</f>
        <v>2.06387223343107</v>
      </c>
      <c r="T741" cm="1">
        <f t="array" ref="T741">MIN(IF((DiscreteStatsTable[GroupByKey]=DiscreteStatsTable[[#This Row],[GroupByKey]]),(DiscreteStatsTable[GroupByKey]=DiscreteStatsTable[[#This Row],[GroupByKey]])*DiscreteStatsTable[Minimum]))</f>
        <v>0.203133309337034</v>
      </c>
      <c r="U741" cm="1">
        <f t="array" ref="U741">MAX(IF((DiscreteStatsTable[GroupByKey]=DiscreteStatsTable[[#This Row],[GroupByKey]]),(DiscreteStatsTable[GroupByKey]=DiscreteStatsTable[[#This Row],[GroupByKey]])*DiscreteStatsTable[Maximum]))</f>
        <v>29.554686467573401</v>
      </c>
      <c r="V741" cm="1">
        <f t="array" ref="V74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1">
        <f>IF((DiscreteStatsTable[[#This Row],[RepsRequested]]&gt;1),DiscreteStatsTable[[#This Row],[HalfWidth]],DiscreteStatsTable[[#This Row],[BatchMeansHalfWidth]])</f>
        <v>6.1205265903720704E-2</v>
      </c>
      <c r="X741" cm="1">
        <f t="array" ref="X741">COUNT(IF((DiscreteStatsTable[GroupByKey]=DiscreteStatsTable[[#This Row],[GroupByKey]]),(DiscreteStatsTable[GroupByKey]=DiscreteStatsTable[[#This Row],[GroupByKey]])*DiscreteStatsTable[Replication]))</f>
        <v>50</v>
      </c>
      <c r="Y741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131</v>
      </c>
      <c r="C742">
        <v>41</v>
      </c>
      <c r="D742" t="s">
        <v>132</v>
      </c>
      <c r="E742" t="s">
        <v>133</v>
      </c>
      <c r="F742" t="s">
        <v>90</v>
      </c>
      <c r="G742">
        <v>1.31070450560719</v>
      </c>
      <c r="H742">
        <v>0.204042606942649</v>
      </c>
      <c r="I742">
        <v>0.231158987675258</v>
      </c>
      <c r="J742">
        <v>12.758218320237001</v>
      </c>
      <c r="K742">
        <v>2335</v>
      </c>
      <c r="L742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42" cm="1">
        <f t="array" ref="M742">MAX(IF((ProjectInfoTable[ProjectName]=DiscreteStatsTable[[#This Row],[ProjectName]]),(ProjectInfoTable[ProjectName]=DiscreteStatsTable[[#This Row],[ProjectName]])*ProjectInfoTable[NumberOfReplications]))</f>
        <v>50</v>
      </c>
      <c r="N742" cm="1">
        <f t="array" ref="N742">IFERROR(AVERAGE(IF((DiscreteStatsTable[GroupByKey]=DiscreteStatsTable[[#This Row],[GroupByKey]]),(DiscreteStatsTable[GroupByKey]=DiscreteStatsTable[[#This Row],[GroupByKey]])*DiscreteStatsTable[Average])),0)</f>
        <v>1.5029966070875795</v>
      </c>
      <c r="O742" cm="1">
        <f t="array" ref="O742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42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42" cm="1">
        <f t="array" ref="R742">MIN(IF((DiscreteStatsTable[GroupByKey]=DiscreteStatsTable[[#This Row],[GroupByKey]]),(DiscreteStatsTable[GroupByKey]=DiscreteStatsTable[[#This Row],[GroupByKey]])*DiscreteStatsTable[Average]))</f>
        <v>1.21830768607881</v>
      </c>
      <c r="S742" cm="1">
        <f t="array" ref="S742">MAX(IF((DiscreteStatsTable[GroupByKey]=DiscreteStatsTable[[#This Row],[GroupByKey]]),(DiscreteStatsTable[GroupByKey]=DiscreteStatsTable[[#This Row],[GroupByKey]])*DiscreteStatsTable[Average]))</f>
        <v>2.06387223343107</v>
      </c>
      <c r="T742" cm="1">
        <f t="array" ref="T742">MIN(IF((DiscreteStatsTable[GroupByKey]=DiscreteStatsTable[[#This Row],[GroupByKey]]),(DiscreteStatsTable[GroupByKey]=DiscreteStatsTable[[#This Row],[GroupByKey]])*DiscreteStatsTable[Minimum]))</f>
        <v>0.203133309337034</v>
      </c>
      <c r="U742" cm="1">
        <f t="array" ref="U742">MAX(IF((DiscreteStatsTable[GroupByKey]=DiscreteStatsTable[[#This Row],[GroupByKey]]),(DiscreteStatsTable[GroupByKey]=DiscreteStatsTable[[#This Row],[GroupByKey]])*DiscreteStatsTable[Maximum]))</f>
        <v>29.554686467573401</v>
      </c>
      <c r="V742" cm="1">
        <f t="array" ref="V742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2">
        <f>IF((DiscreteStatsTable[[#This Row],[RepsRequested]]&gt;1),DiscreteStatsTable[[#This Row],[HalfWidth]],DiscreteStatsTable[[#This Row],[BatchMeansHalfWidth]])</f>
        <v>6.1205265903720704E-2</v>
      </c>
      <c r="X742" cm="1">
        <f t="array" ref="X742">COUNT(IF((DiscreteStatsTable[GroupByKey]=DiscreteStatsTable[[#This Row],[GroupByKey]]),(DiscreteStatsTable[GroupByKey]=DiscreteStatsTable[[#This Row],[GroupByKey]])*DiscreteStatsTable[Replication]))</f>
        <v>50</v>
      </c>
      <c r="Y742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131</v>
      </c>
      <c r="C743">
        <v>42</v>
      </c>
      <c r="D743" t="s">
        <v>132</v>
      </c>
      <c r="E743" t="s">
        <v>133</v>
      </c>
      <c r="F743" t="s">
        <v>90</v>
      </c>
      <c r="G743">
        <v>1.4093685831470899</v>
      </c>
      <c r="H743">
        <v>3E+20</v>
      </c>
      <c r="I743">
        <v>0.27286426164494099</v>
      </c>
      <c r="J743">
        <v>15.4434518189065</v>
      </c>
      <c r="K743">
        <v>2421</v>
      </c>
      <c r="L743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43" cm="1">
        <f t="array" ref="M743">MAX(IF((ProjectInfoTable[ProjectName]=DiscreteStatsTable[[#This Row],[ProjectName]]),(ProjectInfoTable[ProjectName]=DiscreteStatsTable[[#This Row],[ProjectName]])*ProjectInfoTable[NumberOfReplications]))</f>
        <v>50</v>
      </c>
      <c r="N743" cm="1">
        <f t="array" ref="N743">IFERROR(AVERAGE(IF((DiscreteStatsTable[GroupByKey]=DiscreteStatsTable[[#This Row],[GroupByKey]]),(DiscreteStatsTable[GroupByKey]=DiscreteStatsTable[[#This Row],[GroupByKey]])*DiscreteStatsTable[Average])),0)</f>
        <v>1.5029966070875795</v>
      </c>
      <c r="O743" cm="1">
        <f t="array" ref="O743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43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43" cm="1">
        <f t="array" ref="R743">MIN(IF((DiscreteStatsTable[GroupByKey]=DiscreteStatsTable[[#This Row],[GroupByKey]]),(DiscreteStatsTable[GroupByKey]=DiscreteStatsTable[[#This Row],[GroupByKey]])*DiscreteStatsTable[Average]))</f>
        <v>1.21830768607881</v>
      </c>
      <c r="S743" cm="1">
        <f t="array" ref="S743">MAX(IF((DiscreteStatsTable[GroupByKey]=DiscreteStatsTable[[#This Row],[GroupByKey]]),(DiscreteStatsTable[GroupByKey]=DiscreteStatsTable[[#This Row],[GroupByKey]])*DiscreteStatsTable[Average]))</f>
        <v>2.06387223343107</v>
      </c>
      <c r="T743" cm="1">
        <f t="array" ref="T743">MIN(IF((DiscreteStatsTable[GroupByKey]=DiscreteStatsTable[[#This Row],[GroupByKey]]),(DiscreteStatsTable[GroupByKey]=DiscreteStatsTable[[#This Row],[GroupByKey]])*DiscreteStatsTable[Minimum]))</f>
        <v>0.203133309337034</v>
      </c>
      <c r="U743" cm="1">
        <f t="array" ref="U743">MAX(IF((DiscreteStatsTable[GroupByKey]=DiscreteStatsTable[[#This Row],[GroupByKey]]),(DiscreteStatsTable[GroupByKey]=DiscreteStatsTable[[#This Row],[GroupByKey]])*DiscreteStatsTable[Maximum]))</f>
        <v>29.554686467573401</v>
      </c>
      <c r="V743" cm="1">
        <f t="array" ref="V743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3">
        <f>IF((DiscreteStatsTable[[#This Row],[RepsRequested]]&gt;1),DiscreteStatsTable[[#This Row],[HalfWidth]],DiscreteStatsTable[[#This Row],[BatchMeansHalfWidth]])</f>
        <v>6.1205265903720704E-2</v>
      </c>
      <c r="X743" cm="1">
        <f t="array" ref="X743">COUNT(IF((DiscreteStatsTable[GroupByKey]=DiscreteStatsTable[[#This Row],[GroupByKey]]),(DiscreteStatsTable[GroupByKey]=DiscreteStatsTable[[#This Row],[GroupByKey]])*DiscreteStatsTable[Replication]))</f>
        <v>50</v>
      </c>
      <c r="Y743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131</v>
      </c>
      <c r="C744">
        <v>43</v>
      </c>
      <c r="D744" t="s">
        <v>132</v>
      </c>
      <c r="E744" t="s">
        <v>133</v>
      </c>
      <c r="F744" t="s">
        <v>90</v>
      </c>
      <c r="G744">
        <v>1.4104262520833299</v>
      </c>
      <c r="H744">
        <v>3E+20</v>
      </c>
      <c r="I744">
        <v>0.24585752805967301</v>
      </c>
      <c r="J744">
        <v>13.518838976587</v>
      </c>
      <c r="K744">
        <v>2363</v>
      </c>
      <c r="L744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44" cm="1">
        <f t="array" ref="M744">MAX(IF((ProjectInfoTable[ProjectName]=DiscreteStatsTable[[#This Row],[ProjectName]]),(ProjectInfoTable[ProjectName]=DiscreteStatsTable[[#This Row],[ProjectName]])*ProjectInfoTable[NumberOfReplications]))</f>
        <v>50</v>
      </c>
      <c r="N744" cm="1">
        <f t="array" ref="N744">IFERROR(AVERAGE(IF((DiscreteStatsTable[GroupByKey]=DiscreteStatsTable[[#This Row],[GroupByKey]]),(DiscreteStatsTable[GroupByKey]=DiscreteStatsTable[[#This Row],[GroupByKey]])*DiscreteStatsTable[Average])),0)</f>
        <v>1.5029966070875795</v>
      </c>
      <c r="O744" cm="1">
        <f t="array" ref="O744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44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44" cm="1">
        <f t="array" ref="R744">MIN(IF((DiscreteStatsTable[GroupByKey]=DiscreteStatsTable[[#This Row],[GroupByKey]]),(DiscreteStatsTable[GroupByKey]=DiscreteStatsTable[[#This Row],[GroupByKey]])*DiscreteStatsTable[Average]))</f>
        <v>1.21830768607881</v>
      </c>
      <c r="S744" cm="1">
        <f t="array" ref="S744">MAX(IF((DiscreteStatsTable[GroupByKey]=DiscreteStatsTable[[#This Row],[GroupByKey]]),(DiscreteStatsTable[GroupByKey]=DiscreteStatsTable[[#This Row],[GroupByKey]])*DiscreteStatsTable[Average]))</f>
        <v>2.06387223343107</v>
      </c>
      <c r="T744" cm="1">
        <f t="array" ref="T744">MIN(IF((DiscreteStatsTable[GroupByKey]=DiscreteStatsTable[[#This Row],[GroupByKey]]),(DiscreteStatsTable[GroupByKey]=DiscreteStatsTable[[#This Row],[GroupByKey]])*DiscreteStatsTable[Minimum]))</f>
        <v>0.203133309337034</v>
      </c>
      <c r="U744" cm="1">
        <f t="array" ref="U744">MAX(IF((DiscreteStatsTable[GroupByKey]=DiscreteStatsTable[[#This Row],[GroupByKey]]),(DiscreteStatsTable[GroupByKey]=DiscreteStatsTable[[#This Row],[GroupByKey]])*DiscreteStatsTable[Maximum]))</f>
        <v>29.554686467573401</v>
      </c>
      <c r="V744" cm="1">
        <f t="array" ref="V744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4">
        <f>IF((DiscreteStatsTable[[#This Row],[RepsRequested]]&gt;1),DiscreteStatsTable[[#This Row],[HalfWidth]],DiscreteStatsTable[[#This Row],[BatchMeansHalfWidth]])</f>
        <v>6.1205265903720704E-2</v>
      </c>
      <c r="X744" cm="1">
        <f t="array" ref="X744">COUNT(IF((DiscreteStatsTable[GroupByKey]=DiscreteStatsTable[[#This Row],[GroupByKey]]),(DiscreteStatsTable[GroupByKey]=DiscreteStatsTable[[#This Row],[GroupByKey]])*DiscreteStatsTable[Replication]))</f>
        <v>50</v>
      </c>
      <c r="Y744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131</v>
      </c>
      <c r="C745">
        <v>44</v>
      </c>
      <c r="D745" t="s">
        <v>132</v>
      </c>
      <c r="E745" t="s">
        <v>133</v>
      </c>
      <c r="F745" t="s">
        <v>90</v>
      </c>
      <c r="G745">
        <v>1.2718915560381501</v>
      </c>
      <c r="H745">
        <v>0.147268572357931</v>
      </c>
      <c r="I745">
        <v>0.27501313414586498</v>
      </c>
      <c r="J745">
        <v>10.548453602206701</v>
      </c>
      <c r="K745">
        <v>2339</v>
      </c>
      <c r="L745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45" cm="1">
        <f t="array" ref="M745">MAX(IF((ProjectInfoTable[ProjectName]=DiscreteStatsTable[[#This Row],[ProjectName]]),(ProjectInfoTable[ProjectName]=DiscreteStatsTable[[#This Row],[ProjectName]])*ProjectInfoTable[NumberOfReplications]))</f>
        <v>50</v>
      </c>
      <c r="N745" cm="1">
        <f t="array" ref="N745">IFERROR(AVERAGE(IF((DiscreteStatsTable[GroupByKey]=DiscreteStatsTable[[#This Row],[GroupByKey]]),(DiscreteStatsTable[GroupByKey]=DiscreteStatsTable[[#This Row],[GroupByKey]])*DiscreteStatsTable[Average])),0)</f>
        <v>1.5029966070875795</v>
      </c>
      <c r="O745" cm="1">
        <f t="array" ref="O745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4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45" cm="1">
        <f t="array" ref="R745">MIN(IF((DiscreteStatsTable[GroupByKey]=DiscreteStatsTable[[#This Row],[GroupByKey]]),(DiscreteStatsTable[GroupByKey]=DiscreteStatsTable[[#This Row],[GroupByKey]])*DiscreteStatsTable[Average]))</f>
        <v>1.21830768607881</v>
      </c>
      <c r="S745" cm="1">
        <f t="array" ref="S745">MAX(IF((DiscreteStatsTable[GroupByKey]=DiscreteStatsTable[[#This Row],[GroupByKey]]),(DiscreteStatsTable[GroupByKey]=DiscreteStatsTable[[#This Row],[GroupByKey]])*DiscreteStatsTable[Average]))</f>
        <v>2.06387223343107</v>
      </c>
      <c r="T745" cm="1">
        <f t="array" ref="T745">MIN(IF((DiscreteStatsTable[GroupByKey]=DiscreteStatsTable[[#This Row],[GroupByKey]]),(DiscreteStatsTable[GroupByKey]=DiscreteStatsTable[[#This Row],[GroupByKey]])*DiscreteStatsTable[Minimum]))</f>
        <v>0.203133309337034</v>
      </c>
      <c r="U745" cm="1">
        <f t="array" ref="U745">MAX(IF((DiscreteStatsTable[GroupByKey]=DiscreteStatsTable[[#This Row],[GroupByKey]]),(DiscreteStatsTable[GroupByKey]=DiscreteStatsTable[[#This Row],[GroupByKey]])*DiscreteStatsTable[Maximum]))</f>
        <v>29.554686467573401</v>
      </c>
      <c r="V745" cm="1">
        <f t="array" ref="V745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5">
        <f>IF((DiscreteStatsTable[[#This Row],[RepsRequested]]&gt;1),DiscreteStatsTable[[#This Row],[HalfWidth]],DiscreteStatsTable[[#This Row],[BatchMeansHalfWidth]])</f>
        <v>6.1205265903720704E-2</v>
      </c>
      <c r="X745" cm="1">
        <f t="array" ref="X745">COUNT(IF((DiscreteStatsTable[GroupByKey]=DiscreteStatsTable[[#This Row],[GroupByKey]]),(DiscreteStatsTable[GroupByKey]=DiscreteStatsTable[[#This Row],[GroupByKey]])*DiscreteStatsTable[Replication]))</f>
        <v>50</v>
      </c>
      <c r="Y74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131</v>
      </c>
      <c r="C746">
        <v>45</v>
      </c>
      <c r="D746" t="s">
        <v>132</v>
      </c>
      <c r="E746" t="s">
        <v>133</v>
      </c>
      <c r="F746" t="s">
        <v>90</v>
      </c>
      <c r="G746">
        <v>1.4029710145827901</v>
      </c>
      <c r="H746">
        <v>0.211073628443574</v>
      </c>
      <c r="I746">
        <v>0.242929417660775</v>
      </c>
      <c r="J746">
        <v>11.3052200021875</v>
      </c>
      <c r="K746">
        <v>2434</v>
      </c>
      <c r="L746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46" cm="1">
        <f t="array" ref="M746">MAX(IF((ProjectInfoTable[ProjectName]=DiscreteStatsTable[[#This Row],[ProjectName]]),(ProjectInfoTable[ProjectName]=DiscreteStatsTable[[#This Row],[ProjectName]])*ProjectInfoTable[NumberOfReplications]))</f>
        <v>50</v>
      </c>
      <c r="N746" cm="1">
        <f t="array" ref="N746">IFERROR(AVERAGE(IF((DiscreteStatsTable[GroupByKey]=DiscreteStatsTable[[#This Row],[GroupByKey]]),(DiscreteStatsTable[GroupByKey]=DiscreteStatsTable[[#This Row],[GroupByKey]])*DiscreteStatsTable[Average])),0)</f>
        <v>1.5029966070875795</v>
      </c>
      <c r="O746" cm="1">
        <f t="array" ref="O746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46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46" cm="1">
        <f t="array" ref="R746">MIN(IF((DiscreteStatsTable[GroupByKey]=DiscreteStatsTable[[#This Row],[GroupByKey]]),(DiscreteStatsTable[GroupByKey]=DiscreteStatsTable[[#This Row],[GroupByKey]])*DiscreteStatsTable[Average]))</f>
        <v>1.21830768607881</v>
      </c>
      <c r="S746" cm="1">
        <f t="array" ref="S746">MAX(IF((DiscreteStatsTable[GroupByKey]=DiscreteStatsTable[[#This Row],[GroupByKey]]),(DiscreteStatsTable[GroupByKey]=DiscreteStatsTable[[#This Row],[GroupByKey]])*DiscreteStatsTable[Average]))</f>
        <v>2.06387223343107</v>
      </c>
      <c r="T746" cm="1">
        <f t="array" ref="T746">MIN(IF((DiscreteStatsTable[GroupByKey]=DiscreteStatsTable[[#This Row],[GroupByKey]]),(DiscreteStatsTable[GroupByKey]=DiscreteStatsTable[[#This Row],[GroupByKey]])*DiscreteStatsTable[Minimum]))</f>
        <v>0.203133309337034</v>
      </c>
      <c r="U746" cm="1">
        <f t="array" ref="U746">MAX(IF((DiscreteStatsTable[GroupByKey]=DiscreteStatsTable[[#This Row],[GroupByKey]]),(DiscreteStatsTable[GroupByKey]=DiscreteStatsTable[[#This Row],[GroupByKey]])*DiscreteStatsTable[Maximum]))</f>
        <v>29.554686467573401</v>
      </c>
      <c r="V746" cm="1">
        <f t="array" ref="V746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6">
        <f>IF((DiscreteStatsTable[[#This Row],[RepsRequested]]&gt;1),DiscreteStatsTable[[#This Row],[HalfWidth]],DiscreteStatsTable[[#This Row],[BatchMeansHalfWidth]])</f>
        <v>6.1205265903720704E-2</v>
      </c>
      <c r="X746" cm="1">
        <f t="array" ref="X746">COUNT(IF((DiscreteStatsTable[GroupByKey]=DiscreteStatsTable[[#This Row],[GroupByKey]]),(DiscreteStatsTable[GroupByKey]=DiscreteStatsTable[[#This Row],[GroupByKey]])*DiscreteStatsTable[Replication]))</f>
        <v>50</v>
      </c>
      <c r="Y746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131</v>
      </c>
      <c r="C747">
        <v>46</v>
      </c>
      <c r="D747" t="s">
        <v>132</v>
      </c>
      <c r="E747" t="s">
        <v>133</v>
      </c>
      <c r="F747" t="s">
        <v>90</v>
      </c>
      <c r="G747">
        <v>1.4988282406831199</v>
      </c>
      <c r="H747">
        <v>3E+20</v>
      </c>
      <c r="I747">
        <v>0.25740903482147798</v>
      </c>
      <c r="J747">
        <v>13.274833947345099</v>
      </c>
      <c r="K747">
        <v>2429</v>
      </c>
      <c r="L747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47" cm="1">
        <f t="array" ref="M747">MAX(IF((ProjectInfoTable[ProjectName]=DiscreteStatsTable[[#This Row],[ProjectName]]),(ProjectInfoTable[ProjectName]=DiscreteStatsTable[[#This Row],[ProjectName]])*ProjectInfoTable[NumberOfReplications]))</f>
        <v>50</v>
      </c>
      <c r="N747" cm="1">
        <f t="array" ref="N747">IFERROR(AVERAGE(IF((DiscreteStatsTable[GroupByKey]=DiscreteStatsTable[[#This Row],[GroupByKey]]),(DiscreteStatsTable[GroupByKey]=DiscreteStatsTable[[#This Row],[GroupByKey]])*DiscreteStatsTable[Average])),0)</f>
        <v>1.5029966070875795</v>
      </c>
      <c r="O747" cm="1">
        <f t="array" ref="O747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47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47" cm="1">
        <f t="array" ref="R747">MIN(IF((DiscreteStatsTable[GroupByKey]=DiscreteStatsTable[[#This Row],[GroupByKey]]),(DiscreteStatsTable[GroupByKey]=DiscreteStatsTable[[#This Row],[GroupByKey]])*DiscreteStatsTable[Average]))</f>
        <v>1.21830768607881</v>
      </c>
      <c r="S747" cm="1">
        <f t="array" ref="S747">MAX(IF((DiscreteStatsTable[GroupByKey]=DiscreteStatsTable[[#This Row],[GroupByKey]]),(DiscreteStatsTable[GroupByKey]=DiscreteStatsTable[[#This Row],[GroupByKey]])*DiscreteStatsTable[Average]))</f>
        <v>2.06387223343107</v>
      </c>
      <c r="T747" cm="1">
        <f t="array" ref="T747">MIN(IF((DiscreteStatsTable[GroupByKey]=DiscreteStatsTable[[#This Row],[GroupByKey]]),(DiscreteStatsTable[GroupByKey]=DiscreteStatsTable[[#This Row],[GroupByKey]])*DiscreteStatsTable[Minimum]))</f>
        <v>0.203133309337034</v>
      </c>
      <c r="U747" cm="1">
        <f t="array" ref="U747">MAX(IF((DiscreteStatsTable[GroupByKey]=DiscreteStatsTable[[#This Row],[GroupByKey]]),(DiscreteStatsTable[GroupByKey]=DiscreteStatsTable[[#This Row],[GroupByKey]])*DiscreteStatsTable[Maximum]))</f>
        <v>29.554686467573401</v>
      </c>
      <c r="V747" cm="1">
        <f t="array" ref="V747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7">
        <f>IF((DiscreteStatsTable[[#This Row],[RepsRequested]]&gt;1),DiscreteStatsTable[[#This Row],[HalfWidth]],DiscreteStatsTable[[#This Row],[BatchMeansHalfWidth]])</f>
        <v>6.1205265903720704E-2</v>
      </c>
      <c r="X747" cm="1">
        <f t="array" ref="X747">COUNT(IF((DiscreteStatsTable[GroupByKey]=DiscreteStatsTable[[#This Row],[GroupByKey]]),(DiscreteStatsTable[GroupByKey]=DiscreteStatsTable[[#This Row],[GroupByKey]])*DiscreteStatsTable[Replication]))</f>
        <v>50</v>
      </c>
      <c r="Y747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131</v>
      </c>
      <c r="C748">
        <v>47</v>
      </c>
      <c r="D748" t="s">
        <v>132</v>
      </c>
      <c r="E748" t="s">
        <v>133</v>
      </c>
      <c r="F748" t="s">
        <v>90</v>
      </c>
      <c r="G748">
        <v>1.6715362898562001</v>
      </c>
      <c r="H748">
        <v>3E+20</v>
      </c>
      <c r="I748">
        <v>0.248490123703277</v>
      </c>
      <c r="J748">
        <v>24.642408099828401</v>
      </c>
      <c r="K748">
        <v>2450</v>
      </c>
      <c r="L748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48" cm="1">
        <f t="array" ref="M748">MAX(IF((ProjectInfoTable[ProjectName]=DiscreteStatsTable[[#This Row],[ProjectName]]),(ProjectInfoTable[ProjectName]=DiscreteStatsTable[[#This Row],[ProjectName]])*ProjectInfoTable[NumberOfReplications]))</f>
        <v>50</v>
      </c>
      <c r="N748" cm="1">
        <f t="array" ref="N748">IFERROR(AVERAGE(IF((DiscreteStatsTable[GroupByKey]=DiscreteStatsTable[[#This Row],[GroupByKey]]),(DiscreteStatsTable[GroupByKey]=DiscreteStatsTable[[#This Row],[GroupByKey]])*DiscreteStatsTable[Average])),0)</f>
        <v>1.5029966070875795</v>
      </c>
      <c r="O748" cm="1">
        <f t="array" ref="O748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48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48" cm="1">
        <f t="array" ref="R748">MIN(IF((DiscreteStatsTable[GroupByKey]=DiscreteStatsTable[[#This Row],[GroupByKey]]),(DiscreteStatsTable[GroupByKey]=DiscreteStatsTable[[#This Row],[GroupByKey]])*DiscreteStatsTable[Average]))</f>
        <v>1.21830768607881</v>
      </c>
      <c r="S748" cm="1">
        <f t="array" ref="S748">MAX(IF((DiscreteStatsTable[GroupByKey]=DiscreteStatsTable[[#This Row],[GroupByKey]]),(DiscreteStatsTable[GroupByKey]=DiscreteStatsTable[[#This Row],[GroupByKey]])*DiscreteStatsTable[Average]))</f>
        <v>2.06387223343107</v>
      </c>
      <c r="T748" cm="1">
        <f t="array" ref="T748">MIN(IF((DiscreteStatsTable[GroupByKey]=DiscreteStatsTable[[#This Row],[GroupByKey]]),(DiscreteStatsTable[GroupByKey]=DiscreteStatsTable[[#This Row],[GroupByKey]])*DiscreteStatsTable[Minimum]))</f>
        <v>0.203133309337034</v>
      </c>
      <c r="U748" cm="1">
        <f t="array" ref="U748">MAX(IF((DiscreteStatsTable[GroupByKey]=DiscreteStatsTable[[#This Row],[GroupByKey]]),(DiscreteStatsTable[GroupByKey]=DiscreteStatsTable[[#This Row],[GroupByKey]])*DiscreteStatsTable[Maximum]))</f>
        <v>29.554686467573401</v>
      </c>
      <c r="V748" cm="1">
        <f t="array" ref="V748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8">
        <f>IF((DiscreteStatsTable[[#This Row],[RepsRequested]]&gt;1),DiscreteStatsTable[[#This Row],[HalfWidth]],DiscreteStatsTable[[#This Row],[BatchMeansHalfWidth]])</f>
        <v>6.1205265903720704E-2</v>
      </c>
      <c r="X748" cm="1">
        <f t="array" ref="X748">COUNT(IF((DiscreteStatsTable[GroupByKey]=DiscreteStatsTable[[#This Row],[GroupByKey]]),(DiscreteStatsTable[GroupByKey]=DiscreteStatsTable[[#This Row],[GroupByKey]])*DiscreteStatsTable[Replication]))</f>
        <v>50</v>
      </c>
      <c r="Y748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131</v>
      </c>
      <c r="C749">
        <v>48</v>
      </c>
      <c r="D749" t="s">
        <v>132</v>
      </c>
      <c r="E749" t="s">
        <v>133</v>
      </c>
      <c r="F749" t="s">
        <v>90</v>
      </c>
      <c r="G749">
        <v>1.32921062936687</v>
      </c>
      <c r="H749">
        <v>0.22382798837387999</v>
      </c>
      <c r="I749">
        <v>0.231873147989063</v>
      </c>
      <c r="J749">
        <v>14.8474430211882</v>
      </c>
      <c r="K749">
        <v>2413</v>
      </c>
      <c r="L749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49" cm="1">
        <f t="array" ref="M749">MAX(IF((ProjectInfoTable[ProjectName]=DiscreteStatsTable[[#This Row],[ProjectName]]),(ProjectInfoTable[ProjectName]=DiscreteStatsTable[[#This Row],[ProjectName]])*ProjectInfoTable[NumberOfReplications]))</f>
        <v>50</v>
      </c>
      <c r="N749" cm="1">
        <f t="array" ref="N749">IFERROR(AVERAGE(IF((DiscreteStatsTable[GroupByKey]=DiscreteStatsTable[[#This Row],[GroupByKey]]),(DiscreteStatsTable[GroupByKey]=DiscreteStatsTable[[#This Row],[GroupByKey]])*DiscreteStatsTable[Average])),0)</f>
        <v>1.5029966070875795</v>
      </c>
      <c r="O749" cm="1">
        <f t="array" ref="O749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49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49" cm="1">
        <f t="array" ref="R749">MIN(IF((DiscreteStatsTable[GroupByKey]=DiscreteStatsTable[[#This Row],[GroupByKey]]),(DiscreteStatsTable[GroupByKey]=DiscreteStatsTable[[#This Row],[GroupByKey]])*DiscreteStatsTable[Average]))</f>
        <v>1.21830768607881</v>
      </c>
      <c r="S749" cm="1">
        <f t="array" ref="S749">MAX(IF((DiscreteStatsTable[GroupByKey]=DiscreteStatsTable[[#This Row],[GroupByKey]]),(DiscreteStatsTable[GroupByKey]=DiscreteStatsTable[[#This Row],[GroupByKey]])*DiscreteStatsTable[Average]))</f>
        <v>2.06387223343107</v>
      </c>
      <c r="T749" cm="1">
        <f t="array" ref="T749">MIN(IF((DiscreteStatsTable[GroupByKey]=DiscreteStatsTable[[#This Row],[GroupByKey]]),(DiscreteStatsTable[GroupByKey]=DiscreteStatsTable[[#This Row],[GroupByKey]])*DiscreteStatsTable[Minimum]))</f>
        <v>0.203133309337034</v>
      </c>
      <c r="U749" cm="1">
        <f t="array" ref="U749">MAX(IF((DiscreteStatsTable[GroupByKey]=DiscreteStatsTable[[#This Row],[GroupByKey]]),(DiscreteStatsTable[GroupByKey]=DiscreteStatsTable[[#This Row],[GroupByKey]])*DiscreteStatsTable[Maximum]))</f>
        <v>29.554686467573401</v>
      </c>
      <c r="V749" cm="1">
        <f t="array" ref="V749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49">
        <f>IF((DiscreteStatsTable[[#This Row],[RepsRequested]]&gt;1),DiscreteStatsTable[[#This Row],[HalfWidth]],DiscreteStatsTable[[#This Row],[BatchMeansHalfWidth]])</f>
        <v>6.1205265903720704E-2</v>
      </c>
      <c r="X749" cm="1">
        <f t="array" ref="X749">COUNT(IF((DiscreteStatsTable[GroupByKey]=DiscreteStatsTable[[#This Row],[GroupByKey]]),(DiscreteStatsTable[GroupByKey]=DiscreteStatsTable[[#This Row],[GroupByKey]])*DiscreteStatsTable[Replication]))</f>
        <v>50</v>
      </c>
      <c r="Y749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131</v>
      </c>
      <c r="C750">
        <v>49</v>
      </c>
      <c r="D750" t="s">
        <v>132</v>
      </c>
      <c r="E750" t="s">
        <v>133</v>
      </c>
      <c r="F750" t="s">
        <v>90</v>
      </c>
      <c r="G750">
        <v>1.4165043639487001</v>
      </c>
      <c r="H750">
        <v>0.20992983757747899</v>
      </c>
      <c r="I750">
        <v>0.22914863277776501</v>
      </c>
      <c r="J750">
        <v>12.295049315713101</v>
      </c>
      <c r="K750">
        <v>2385</v>
      </c>
      <c r="L750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50" cm="1">
        <f t="array" ref="M750">MAX(IF((ProjectInfoTable[ProjectName]=DiscreteStatsTable[[#This Row],[ProjectName]]),(ProjectInfoTable[ProjectName]=DiscreteStatsTable[[#This Row],[ProjectName]])*ProjectInfoTable[NumberOfReplications]))</f>
        <v>50</v>
      </c>
      <c r="N750" cm="1">
        <f t="array" ref="N750">IFERROR(AVERAGE(IF((DiscreteStatsTable[GroupByKey]=DiscreteStatsTable[[#This Row],[GroupByKey]]),(DiscreteStatsTable[GroupByKey]=DiscreteStatsTable[[#This Row],[GroupByKey]])*DiscreteStatsTable[Average])),0)</f>
        <v>1.5029966070875795</v>
      </c>
      <c r="O750" cm="1">
        <f t="array" ref="O750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50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50" cm="1">
        <f t="array" ref="R750">MIN(IF((DiscreteStatsTable[GroupByKey]=DiscreteStatsTable[[#This Row],[GroupByKey]]),(DiscreteStatsTable[GroupByKey]=DiscreteStatsTable[[#This Row],[GroupByKey]])*DiscreteStatsTable[Average]))</f>
        <v>1.21830768607881</v>
      </c>
      <c r="S750" cm="1">
        <f t="array" ref="S750">MAX(IF((DiscreteStatsTable[GroupByKey]=DiscreteStatsTable[[#This Row],[GroupByKey]]),(DiscreteStatsTable[GroupByKey]=DiscreteStatsTable[[#This Row],[GroupByKey]])*DiscreteStatsTable[Average]))</f>
        <v>2.06387223343107</v>
      </c>
      <c r="T750" cm="1">
        <f t="array" ref="T750">MIN(IF((DiscreteStatsTable[GroupByKey]=DiscreteStatsTable[[#This Row],[GroupByKey]]),(DiscreteStatsTable[GroupByKey]=DiscreteStatsTable[[#This Row],[GroupByKey]])*DiscreteStatsTable[Minimum]))</f>
        <v>0.203133309337034</v>
      </c>
      <c r="U750" cm="1">
        <f t="array" ref="U750">MAX(IF((DiscreteStatsTable[GroupByKey]=DiscreteStatsTable[[#This Row],[GroupByKey]]),(DiscreteStatsTable[GroupByKey]=DiscreteStatsTable[[#This Row],[GroupByKey]])*DiscreteStatsTable[Maximum]))</f>
        <v>29.554686467573401</v>
      </c>
      <c r="V750" cm="1">
        <f t="array" ref="V750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50">
        <f>IF((DiscreteStatsTable[[#This Row],[RepsRequested]]&gt;1),DiscreteStatsTable[[#This Row],[HalfWidth]],DiscreteStatsTable[[#This Row],[BatchMeansHalfWidth]])</f>
        <v>6.1205265903720704E-2</v>
      </c>
      <c r="X750" cm="1">
        <f t="array" ref="X750">COUNT(IF((DiscreteStatsTable[GroupByKey]=DiscreteStatsTable[[#This Row],[GroupByKey]]),(DiscreteStatsTable[GroupByKey]=DiscreteStatsTable[[#This Row],[GroupByKey]])*DiscreteStatsTable[Replication]))</f>
        <v>50</v>
      </c>
      <c r="Y750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131</v>
      </c>
      <c r="C751">
        <v>50</v>
      </c>
      <c r="D751" t="s">
        <v>132</v>
      </c>
      <c r="E751" t="s">
        <v>133</v>
      </c>
      <c r="F751" t="s">
        <v>90</v>
      </c>
      <c r="G751">
        <v>1.7689298518047201</v>
      </c>
      <c r="H751">
        <v>3E+20</v>
      </c>
      <c r="I751">
        <v>0.23986953287840199</v>
      </c>
      <c r="J751">
        <v>19.1491845365926</v>
      </c>
      <c r="K751">
        <v>2431</v>
      </c>
      <c r="L751" t="str">
        <f>DiscreteStatsTable[[#This Row],[ProjectName]]&amp;DiscreteStatsTable[[#This Row],[Name]]&amp;DiscreteStatsTable[[#This Row],[Type]]&amp;DiscreteStatsTable[[#This Row],[Source]]</f>
        <v>PacientesTiempoSistemaIntervalUser Specified</v>
      </c>
      <c r="M751" cm="1">
        <f t="array" ref="M751">MAX(IF((ProjectInfoTable[ProjectName]=DiscreteStatsTable[[#This Row],[ProjectName]]),(ProjectInfoTable[ProjectName]=DiscreteStatsTable[[#This Row],[ProjectName]])*ProjectInfoTable[NumberOfReplications]))</f>
        <v>50</v>
      </c>
      <c r="N751" cm="1">
        <f t="array" ref="N751">IFERROR(AVERAGE(IF((DiscreteStatsTable[GroupByKey]=DiscreteStatsTable[[#This Row],[GroupByKey]]),(DiscreteStatsTable[GroupByKey]=DiscreteStatsTable[[#This Row],[GroupByKey]])*DiscreteStatsTable[Average])),0)</f>
        <v>1.5029966070875795</v>
      </c>
      <c r="O751" cm="1">
        <f t="array" ref="O751">IFERROR(_xlfn.STDEV.S(IF((DiscreteStatsTable[GroupByKey]=DiscreteStatsTable[[#This Row],[GroupByKey]]),(DiscreteStatsTable[GroupByKey]=DiscreteStatsTable[[#This Row],[GroupByKey]])*DiscreteStatsTable[Average])),0)</f>
        <v>0.21536222065849123</v>
      </c>
      <c r="P751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6.1205265903720704E-2</v>
      </c>
      <c r="R751" cm="1">
        <f t="array" ref="R751">MIN(IF((DiscreteStatsTable[GroupByKey]=DiscreteStatsTable[[#This Row],[GroupByKey]]),(DiscreteStatsTable[GroupByKey]=DiscreteStatsTable[[#This Row],[GroupByKey]])*DiscreteStatsTable[Average]))</f>
        <v>1.21830768607881</v>
      </c>
      <c r="S751" cm="1">
        <f t="array" ref="S751">MAX(IF((DiscreteStatsTable[GroupByKey]=DiscreteStatsTable[[#This Row],[GroupByKey]]),(DiscreteStatsTable[GroupByKey]=DiscreteStatsTable[[#This Row],[GroupByKey]])*DiscreteStatsTable[Average]))</f>
        <v>2.06387223343107</v>
      </c>
      <c r="T751" cm="1">
        <f t="array" ref="T751">MIN(IF((DiscreteStatsTable[GroupByKey]=DiscreteStatsTable[[#This Row],[GroupByKey]]),(DiscreteStatsTable[GroupByKey]=DiscreteStatsTable[[#This Row],[GroupByKey]])*DiscreteStatsTable[Minimum]))</f>
        <v>0.203133309337034</v>
      </c>
      <c r="U751" cm="1">
        <f t="array" ref="U751">MAX(IF((DiscreteStatsTable[GroupByKey]=DiscreteStatsTable[[#This Row],[GroupByKey]]),(DiscreteStatsTable[GroupByKey]=DiscreteStatsTable[[#This Row],[GroupByKey]])*DiscreteStatsTable[Maximum]))</f>
        <v>29.554686467573401</v>
      </c>
      <c r="V751" cm="1">
        <f t="array" ref="V751">IFERROR(AVERAGE(IF((DiscreteStatsTable[GroupByKey]=DiscreteStatsTable[[#This Row],[GroupByKey]]),(DiscreteStatsTable[GroupByKey]=DiscreteStatsTable[[#This Row],[GroupByKey]])*DiscreteStatsTable[NumberObservations])),0)</f>
        <v>2400.2800000000002</v>
      </c>
      <c r="W751">
        <f>IF((DiscreteStatsTable[[#This Row],[RepsRequested]]&gt;1),DiscreteStatsTable[[#This Row],[HalfWidth]],DiscreteStatsTable[[#This Row],[BatchMeansHalfWidth]])</f>
        <v>6.1205265903720704E-2</v>
      </c>
      <c r="X751" cm="1">
        <f t="array" ref="X751">COUNT(IF((DiscreteStatsTable[GroupByKey]=DiscreteStatsTable[[#This Row],[GroupByKey]]),(DiscreteStatsTable[GroupByKey]=DiscreteStatsTable[[#This Row],[GroupByKey]])*DiscreteStatsTable[Replication]))</f>
        <v>50</v>
      </c>
      <c r="Y751">
        <f>IF(DiscreteStatsTable[[#This Row],[RepsRequested]]=DiscreteStatsTable[[#This Row],[RepsWithStatObserved]],1,0)</f>
        <v>1</v>
      </c>
    </row>
    <row r="752" spans="1:25" x14ac:dyDescent="0.25">
      <c r="A752" t="s">
        <v>68</v>
      </c>
      <c r="B752" t="s">
        <v>131</v>
      </c>
      <c r="C752">
        <v>1</v>
      </c>
      <c r="D752" t="s">
        <v>88</v>
      </c>
      <c r="E752" t="s">
        <v>89</v>
      </c>
      <c r="F752" t="s">
        <v>90</v>
      </c>
      <c r="G752">
        <v>1.3435438791269201</v>
      </c>
      <c r="H752">
        <v>2E+20</v>
      </c>
      <c r="I752">
        <v>0.90853253007458101</v>
      </c>
      <c r="J752">
        <v>2.2804859862650302</v>
      </c>
      <c r="K752">
        <v>152</v>
      </c>
      <c r="L752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52" cm="1">
        <f t="array" ref="M752">MAX(IF((ProjectInfoTable[ProjectName]=DiscreteStatsTable[[#This Row],[ProjectName]]),(ProjectInfoTable[ProjectName]=DiscreteStatsTable[[#This Row],[ProjectName]])*ProjectInfoTable[NumberOfReplications]))</f>
        <v>50</v>
      </c>
      <c r="N752" cm="1">
        <f t="array" ref="N752">IFERROR(AVERAGE(IF((DiscreteStatsTable[GroupByKey]=DiscreteStatsTable[[#This Row],[GroupByKey]]),(DiscreteStatsTable[GroupByKey]=DiscreteStatsTable[[#This Row],[GroupByKey]])*DiscreteStatsTable[Average])),0)</f>
        <v>1.3401298911962516</v>
      </c>
      <c r="O752" cm="1">
        <f t="array" ref="O752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52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52" cm="1">
        <f t="array" ref="R752">MIN(IF((DiscreteStatsTable[GroupByKey]=DiscreteStatsTable[[#This Row],[GroupByKey]]),(DiscreteStatsTable[GroupByKey]=DiscreteStatsTable[[#This Row],[GroupByKey]])*DiscreteStatsTable[Average]))</f>
        <v>1.29733858670444</v>
      </c>
      <c r="S752" cm="1">
        <f t="array" ref="S752">MAX(IF((DiscreteStatsTable[GroupByKey]=DiscreteStatsTable[[#This Row],[GroupByKey]]),(DiscreteStatsTable[GroupByKey]=DiscreteStatsTable[[#This Row],[GroupByKey]])*DiscreteStatsTable[Average]))</f>
        <v>1.3970236913396601</v>
      </c>
      <c r="T752" cm="1">
        <f t="array" ref="T752">MIN(IF((DiscreteStatsTable[GroupByKey]=DiscreteStatsTable[[#This Row],[GroupByKey]]),(DiscreteStatsTable[GroupByKey]=DiscreteStatsTable[[#This Row],[GroupByKey]])*DiscreteStatsTable[Minimum]))</f>
        <v>0.81279832598784196</v>
      </c>
      <c r="U752" cm="1">
        <f t="array" ref="U752">MAX(IF((DiscreteStatsTable[GroupByKey]=DiscreteStatsTable[[#This Row],[GroupByKey]]),(DiscreteStatsTable[GroupByKey]=DiscreteStatsTable[[#This Row],[GroupByKey]])*DiscreteStatsTable[Maximum]))</f>
        <v>2.8790847793122198</v>
      </c>
      <c r="V752" cm="1">
        <f t="array" ref="V752">IFERROR(AVERAGE(IF((DiscreteStatsTable[GroupByKey]=DiscreteStatsTable[[#This Row],[GroupByKey]]),(DiscreteStatsTable[GroupByKey]=DiscreteStatsTable[[#This Row],[GroupByKey]])*DiscreteStatsTable[NumberObservations])),0)</f>
        <v>141.32</v>
      </c>
      <c r="W752">
        <f>IF((DiscreteStatsTable[[#This Row],[RepsRequested]]&gt;1),DiscreteStatsTable[[#This Row],[HalfWidth]],DiscreteStatsTable[[#This Row],[BatchMeansHalfWidth]])</f>
        <v>6.1368358796684312E-3</v>
      </c>
      <c r="X752" cm="1">
        <f t="array" ref="X752">COUNT(IF((DiscreteStatsTable[GroupByKey]=DiscreteStatsTable[[#This Row],[GroupByKey]]),(DiscreteStatsTable[GroupByKey]=DiscreteStatsTable[[#This Row],[GroupByKey]])*DiscreteStatsTable[Replication]))</f>
        <v>50</v>
      </c>
      <c r="Y752">
        <f>IF(DiscreteStatsTable[[#This Row],[RepsRequested]]=DiscreteStatsTable[[#This Row],[RepsWithStatObserved]],1,0)</f>
        <v>1</v>
      </c>
    </row>
    <row r="753" spans="1:25" x14ac:dyDescent="0.25">
      <c r="A753" t="s">
        <v>68</v>
      </c>
      <c r="B753" t="s">
        <v>131</v>
      </c>
      <c r="C753">
        <v>2</v>
      </c>
      <c r="D753" t="s">
        <v>88</v>
      </c>
      <c r="E753" t="s">
        <v>89</v>
      </c>
      <c r="F753" t="s">
        <v>90</v>
      </c>
      <c r="G753">
        <v>1.3092696914117301</v>
      </c>
      <c r="H753">
        <v>2E+20</v>
      </c>
      <c r="I753">
        <v>0.87619786636179198</v>
      </c>
      <c r="J753">
        <v>2.00076569681005</v>
      </c>
      <c r="K753">
        <v>121</v>
      </c>
      <c r="L753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53" cm="1">
        <f t="array" ref="M753">MAX(IF((ProjectInfoTable[ProjectName]=DiscreteStatsTable[[#This Row],[ProjectName]]),(ProjectInfoTable[ProjectName]=DiscreteStatsTable[[#This Row],[ProjectName]])*ProjectInfoTable[NumberOfReplications]))</f>
        <v>50</v>
      </c>
      <c r="N753" cm="1">
        <f t="array" ref="N753">IFERROR(AVERAGE(IF((DiscreteStatsTable[GroupByKey]=DiscreteStatsTable[[#This Row],[GroupByKey]]),(DiscreteStatsTable[GroupByKey]=DiscreteStatsTable[[#This Row],[GroupByKey]])*DiscreteStatsTable[Average])),0)</f>
        <v>1.3401298911962516</v>
      </c>
      <c r="O753" cm="1">
        <f t="array" ref="O753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53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53" cm="1">
        <f t="array" ref="R753">MIN(IF((DiscreteStatsTable[GroupByKey]=DiscreteStatsTable[[#This Row],[GroupByKey]]),(DiscreteStatsTable[GroupByKey]=DiscreteStatsTable[[#This Row],[GroupByKey]])*DiscreteStatsTable[Average]))</f>
        <v>1.29733858670444</v>
      </c>
      <c r="S753" cm="1">
        <f t="array" ref="S753">MAX(IF((DiscreteStatsTable[GroupByKey]=DiscreteStatsTable[[#This Row],[GroupByKey]]),(DiscreteStatsTable[GroupByKey]=DiscreteStatsTable[[#This Row],[GroupByKey]])*DiscreteStatsTable[Average]))</f>
        <v>1.3970236913396601</v>
      </c>
      <c r="T753" cm="1">
        <f t="array" ref="T753">MIN(IF((DiscreteStatsTable[GroupByKey]=DiscreteStatsTable[[#This Row],[GroupByKey]]),(DiscreteStatsTable[GroupByKey]=DiscreteStatsTable[[#This Row],[GroupByKey]])*DiscreteStatsTable[Minimum]))</f>
        <v>0.81279832598784196</v>
      </c>
      <c r="U753" cm="1">
        <f t="array" ref="U753">MAX(IF((DiscreteStatsTable[GroupByKey]=DiscreteStatsTable[[#This Row],[GroupByKey]]),(DiscreteStatsTable[GroupByKey]=DiscreteStatsTable[[#This Row],[GroupByKey]])*DiscreteStatsTable[Maximum]))</f>
        <v>2.8790847793122198</v>
      </c>
      <c r="V753" cm="1">
        <f t="array" ref="V753">IFERROR(AVERAGE(IF((DiscreteStatsTable[GroupByKey]=DiscreteStatsTable[[#This Row],[GroupByKey]]),(DiscreteStatsTable[GroupByKey]=DiscreteStatsTable[[#This Row],[GroupByKey]])*DiscreteStatsTable[NumberObservations])),0)</f>
        <v>141.32</v>
      </c>
      <c r="W753">
        <f>IF((DiscreteStatsTable[[#This Row],[RepsRequested]]&gt;1),DiscreteStatsTable[[#This Row],[HalfWidth]],DiscreteStatsTable[[#This Row],[BatchMeansHalfWidth]])</f>
        <v>6.1368358796684312E-3</v>
      </c>
      <c r="X753" cm="1">
        <f t="array" ref="X753">COUNT(IF((DiscreteStatsTable[GroupByKey]=DiscreteStatsTable[[#This Row],[GroupByKey]]),(DiscreteStatsTable[GroupByKey]=DiscreteStatsTable[[#This Row],[GroupByKey]])*DiscreteStatsTable[Replication]))</f>
        <v>50</v>
      </c>
      <c r="Y753">
        <f>IF(DiscreteStatsTable[[#This Row],[RepsRequested]]=DiscreteStatsTable[[#This Row],[RepsWithStatObserved]],1,0)</f>
        <v>1</v>
      </c>
    </row>
    <row r="754" spans="1:25" x14ac:dyDescent="0.25">
      <c r="A754" t="s">
        <v>68</v>
      </c>
      <c r="B754" t="s">
        <v>131</v>
      </c>
      <c r="C754">
        <v>3</v>
      </c>
      <c r="D754" t="s">
        <v>88</v>
      </c>
      <c r="E754" t="s">
        <v>89</v>
      </c>
      <c r="F754" t="s">
        <v>90</v>
      </c>
      <c r="G754">
        <v>1.3314927125860601</v>
      </c>
      <c r="H754">
        <v>2E+20</v>
      </c>
      <c r="I754">
        <v>0.84709824524605903</v>
      </c>
      <c r="J754">
        <v>2.1099508695996301</v>
      </c>
      <c r="K754">
        <v>148</v>
      </c>
      <c r="L754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54" cm="1">
        <f t="array" ref="M754">MAX(IF((ProjectInfoTable[ProjectName]=DiscreteStatsTable[[#This Row],[ProjectName]]),(ProjectInfoTable[ProjectName]=DiscreteStatsTable[[#This Row],[ProjectName]])*ProjectInfoTable[NumberOfReplications]))</f>
        <v>50</v>
      </c>
      <c r="N754" cm="1">
        <f t="array" ref="N754">IFERROR(AVERAGE(IF((DiscreteStatsTable[GroupByKey]=DiscreteStatsTable[[#This Row],[GroupByKey]]),(DiscreteStatsTable[GroupByKey]=DiscreteStatsTable[[#This Row],[GroupByKey]])*DiscreteStatsTable[Average])),0)</f>
        <v>1.3401298911962516</v>
      </c>
      <c r="O754" cm="1">
        <f t="array" ref="O754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54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54" cm="1">
        <f t="array" ref="R754">MIN(IF((DiscreteStatsTable[GroupByKey]=DiscreteStatsTable[[#This Row],[GroupByKey]]),(DiscreteStatsTable[GroupByKey]=DiscreteStatsTable[[#This Row],[GroupByKey]])*DiscreteStatsTable[Average]))</f>
        <v>1.29733858670444</v>
      </c>
      <c r="S754" cm="1">
        <f t="array" ref="S754">MAX(IF((DiscreteStatsTable[GroupByKey]=DiscreteStatsTable[[#This Row],[GroupByKey]]),(DiscreteStatsTable[GroupByKey]=DiscreteStatsTable[[#This Row],[GroupByKey]])*DiscreteStatsTable[Average]))</f>
        <v>1.3970236913396601</v>
      </c>
      <c r="T754" cm="1">
        <f t="array" ref="T754">MIN(IF((DiscreteStatsTable[GroupByKey]=DiscreteStatsTable[[#This Row],[GroupByKey]]),(DiscreteStatsTable[GroupByKey]=DiscreteStatsTable[[#This Row],[GroupByKey]])*DiscreteStatsTable[Minimum]))</f>
        <v>0.81279832598784196</v>
      </c>
      <c r="U754" cm="1">
        <f t="array" ref="U754">MAX(IF((DiscreteStatsTable[GroupByKey]=DiscreteStatsTable[[#This Row],[GroupByKey]]),(DiscreteStatsTable[GroupByKey]=DiscreteStatsTable[[#This Row],[GroupByKey]])*DiscreteStatsTable[Maximum]))</f>
        <v>2.8790847793122198</v>
      </c>
      <c r="V754" cm="1">
        <f t="array" ref="V754">IFERROR(AVERAGE(IF((DiscreteStatsTable[GroupByKey]=DiscreteStatsTable[[#This Row],[GroupByKey]]),(DiscreteStatsTable[GroupByKey]=DiscreteStatsTable[[#This Row],[GroupByKey]])*DiscreteStatsTable[NumberObservations])),0)</f>
        <v>141.32</v>
      </c>
      <c r="W754">
        <f>IF((DiscreteStatsTable[[#This Row],[RepsRequested]]&gt;1),DiscreteStatsTable[[#This Row],[HalfWidth]],DiscreteStatsTable[[#This Row],[BatchMeansHalfWidth]])</f>
        <v>6.1368358796684312E-3</v>
      </c>
      <c r="X754" cm="1">
        <f t="array" ref="X754">COUNT(IF((DiscreteStatsTable[GroupByKey]=DiscreteStatsTable[[#This Row],[GroupByKey]]),(DiscreteStatsTable[GroupByKey]=DiscreteStatsTable[[#This Row],[GroupByKey]])*DiscreteStatsTable[Replication]))</f>
        <v>50</v>
      </c>
      <c r="Y754">
        <f>IF(DiscreteStatsTable[[#This Row],[RepsRequested]]=DiscreteStatsTable[[#This Row],[RepsWithStatObserved]],1,0)</f>
        <v>1</v>
      </c>
    </row>
    <row r="755" spans="1:25" x14ac:dyDescent="0.25">
      <c r="A755" t="s">
        <v>68</v>
      </c>
      <c r="B755" t="s">
        <v>131</v>
      </c>
      <c r="C755">
        <v>4</v>
      </c>
      <c r="D755" t="s">
        <v>88</v>
      </c>
      <c r="E755" t="s">
        <v>89</v>
      </c>
      <c r="F755" t="s">
        <v>90</v>
      </c>
      <c r="G755">
        <v>1.3451425318535799</v>
      </c>
      <c r="H755">
        <v>2E+20</v>
      </c>
      <c r="I755">
        <v>0.87717213804535299</v>
      </c>
      <c r="J755">
        <v>2.48314742749039</v>
      </c>
      <c r="K755">
        <v>144</v>
      </c>
      <c r="L755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55" cm="1">
        <f t="array" ref="M755">MAX(IF((ProjectInfoTable[ProjectName]=DiscreteStatsTable[[#This Row],[ProjectName]]),(ProjectInfoTable[ProjectName]=DiscreteStatsTable[[#This Row],[ProjectName]])*ProjectInfoTable[NumberOfReplications]))</f>
        <v>50</v>
      </c>
      <c r="N755" cm="1">
        <f t="array" ref="N755">IFERROR(AVERAGE(IF((DiscreteStatsTable[GroupByKey]=DiscreteStatsTable[[#This Row],[GroupByKey]]),(DiscreteStatsTable[GroupByKey]=DiscreteStatsTable[[#This Row],[GroupByKey]])*DiscreteStatsTable[Average])),0)</f>
        <v>1.3401298911962516</v>
      </c>
      <c r="O755" cm="1">
        <f t="array" ref="O755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5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55" cm="1">
        <f t="array" ref="R755">MIN(IF((DiscreteStatsTable[GroupByKey]=DiscreteStatsTable[[#This Row],[GroupByKey]]),(DiscreteStatsTable[GroupByKey]=DiscreteStatsTable[[#This Row],[GroupByKey]])*DiscreteStatsTable[Average]))</f>
        <v>1.29733858670444</v>
      </c>
      <c r="S755" cm="1">
        <f t="array" ref="S755">MAX(IF((DiscreteStatsTable[GroupByKey]=DiscreteStatsTable[[#This Row],[GroupByKey]]),(DiscreteStatsTable[GroupByKey]=DiscreteStatsTable[[#This Row],[GroupByKey]])*DiscreteStatsTable[Average]))</f>
        <v>1.3970236913396601</v>
      </c>
      <c r="T755" cm="1">
        <f t="array" ref="T755">MIN(IF((DiscreteStatsTable[GroupByKey]=DiscreteStatsTable[[#This Row],[GroupByKey]]),(DiscreteStatsTable[GroupByKey]=DiscreteStatsTable[[#This Row],[GroupByKey]])*DiscreteStatsTable[Minimum]))</f>
        <v>0.81279832598784196</v>
      </c>
      <c r="U755" cm="1">
        <f t="array" ref="U755">MAX(IF((DiscreteStatsTable[GroupByKey]=DiscreteStatsTable[[#This Row],[GroupByKey]]),(DiscreteStatsTable[GroupByKey]=DiscreteStatsTable[[#This Row],[GroupByKey]])*DiscreteStatsTable[Maximum]))</f>
        <v>2.8790847793122198</v>
      </c>
      <c r="V755" cm="1">
        <f t="array" ref="V755">IFERROR(AVERAGE(IF((DiscreteStatsTable[GroupByKey]=DiscreteStatsTable[[#This Row],[GroupByKey]]),(DiscreteStatsTable[GroupByKey]=DiscreteStatsTable[[#This Row],[GroupByKey]])*DiscreteStatsTable[NumberObservations])),0)</f>
        <v>141.32</v>
      </c>
      <c r="W755">
        <f>IF((DiscreteStatsTable[[#This Row],[RepsRequested]]&gt;1),DiscreteStatsTable[[#This Row],[HalfWidth]],DiscreteStatsTable[[#This Row],[BatchMeansHalfWidth]])</f>
        <v>6.1368358796684312E-3</v>
      </c>
      <c r="X755" cm="1">
        <f t="array" ref="X755">COUNT(IF((DiscreteStatsTable[GroupByKey]=DiscreteStatsTable[[#This Row],[GroupByKey]]),(DiscreteStatsTable[GroupByKey]=DiscreteStatsTable[[#This Row],[GroupByKey]])*DiscreteStatsTable[Replication]))</f>
        <v>50</v>
      </c>
      <c r="Y755">
        <f>IF(DiscreteStatsTable[[#This Row],[RepsRequested]]=DiscreteStatsTable[[#This Row],[RepsWithStatObserved]],1,0)</f>
        <v>1</v>
      </c>
    </row>
    <row r="756" spans="1:25" x14ac:dyDescent="0.25">
      <c r="A756" t="s">
        <v>68</v>
      </c>
      <c r="B756" t="s">
        <v>131</v>
      </c>
      <c r="C756">
        <v>5</v>
      </c>
      <c r="D756" t="s">
        <v>88</v>
      </c>
      <c r="E756" t="s">
        <v>89</v>
      </c>
      <c r="F756" t="s">
        <v>90</v>
      </c>
      <c r="G756">
        <v>1.3257769105233099</v>
      </c>
      <c r="H756">
        <v>2E+20</v>
      </c>
      <c r="I756">
        <v>0.82129535633845296</v>
      </c>
      <c r="J756">
        <v>1.9355578690472199</v>
      </c>
      <c r="K756">
        <v>137</v>
      </c>
      <c r="L756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56" cm="1">
        <f t="array" ref="M756">MAX(IF((ProjectInfoTable[ProjectName]=DiscreteStatsTable[[#This Row],[ProjectName]]),(ProjectInfoTable[ProjectName]=DiscreteStatsTable[[#This Row],[ProjectName]])*ProjectInfoTable[NumberOfReplications]))</f>
        <v>50</v>
      </c>
      <c r="N756" cm="1">
        <f t="array" ref="N756">IFERROR(AVERAGE(IF((DiscreteStatsTable[GroupByKey]=DiscreteStatsTable[[#This Row],[GroupByKey]]),(DiscreteStatsTable[GroupByKey]=DiscreteStatsTable[[#This Row],[GroupByKey]])*DiscreteStatsTable[Average])),0)</f>
        <v>1.3401298911962516</v>
      </c>
      <c r="O756" cm="1">
        <f t="array" ref="O756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56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56" cm="1">
        <f t="array" ref="R756">MIN(IF((DiscreteStatsTable[GroupByKey]=DiscreteStatsTable[[#This Row],[GroupByKey]]),(DiscreteStatsTable[GroupByKey]=DiscreteStatsTable[[#This Row],[GroupByKey]])*DiscreteStatsTable[Average]))</f>
        <v>1.29733858670444</v>
      </c>
      <c r="S756" cm="1">
        <f t="array" ref="S756">MAX(IF((DiscreteStatsTable[GroupByKey]=DiscreteStatsTable[[#This Row],[GroupByKey]]),(DiscreteStatsTable[GroupByKey]=DiscreteStatsTable[[#This Row],[GroupByKey]])*DiscreteStatsTable[Average]))</f>
        <v>1.3970236913396601</v>
      </c>
      <c r="T756" cm="1">
        <f t="array" ref="T756">MIN(IF((DiscreteStatsTable[GroupByKey]=DiscreteStatsTable[[#This Row],[GroupByKey]]),(DiscreteStatsTable[GroupByKey]=DiscreteStatsTable[[#This Row],[GroupByKey]])*DiscreteStatsTable[Minimum]))</f>
        <v>0.81279832598784196</v>
      </c>
      <c r="U756" cm="1">
        <f t="array" ref="U756">MAX(IF((DiscreteStatsTable[GroupByKey]=DiscreteStatsTable[[#This Row],[GroupByKey]]),(DiscreteStatsTable[GroupByKey]=DiscreteStatsTable[[#This Row],[GroupByKey]])*DiscreteStatsTable[Maximum]))</f>
        <v>2.8790847793122198</v>
      </c>
      <c r="V756" cm="1">
        <f t="array" ref="V756">IFERROR(AVERAGE(IF((DiscreteStatsTable[GroupByKey]=DiscreteStatsTable[[#This Row],[GroupByKey]]),(DiscreteStatsTable[GroupByKey]=DiscreteStatsTable[[#This Row],[GroupByKey]])*DiscreteStatsTable[NumberObservations])),0)</f>
        <v>141.32</v>
      </c>
      <c r="W756">
        <f>IF((DiscreteStatsTable[[#This Row],[RepsRequested]]&gt;1),DiscreteStatsTable[[#This Row],[HalfWidth]],DiscreteStatsTable[[#This Row],[BatchMeansHalfWidth]])</f>
        <v>6.1368358796684312E-3</v>
      </c>
      <c r="X756" cm="1">
        <f t="array" ref="X756">COUNT(IF((DiscreteStatsTable[GroupByKey]=DiscreteStatsTable[[#This Row],[GroupByKey]]),(DiscreteStatsTable[GroupByKey]=DiscreteStatsTable[[#This Row],[GroupByKey]])*DiscreteStatsTable[Replication]))</f>
        <v>50</v>
      </c>
      <c r="Y756">
        <f>IF(DiscreteStatsTable[[#This Row],[RepsRequested]]=DiscreteStatsTable[[#This Row],[RepsWithStatObserved]],1,0)</f>
        <v>1</v>
      </c>
    </row>
    <row r="757" spans="1:25" x14ac:dyDescent="0.25">
      <c r="A757" t="s">
        <v>68</v>
      </c>
      <c r="B757" t="s">
        <v>131</v>
      </c>
      <c r="C757">
        <v>6</v>
      </c>
      <c r="D757" t="s">
        <v>88</v>
      </c>
      <c r="E757" t="s">
        <v>89</v>
      </c>
      <c r="F757" t="s">
        <v>90</v>
      </c>
      <c r="G757">
        <v>1.32941078409942</v>
      </c>
      <c r="H757">
        <v>2E+20</v>
      </c>
      <c r="I757">
        <v>0.87227069600396601</v>
      </c>
      <c r="J757">
        <v>2.4485712299993998</v>
      </c>
      <c r="K757">
        <v>132</v>
      </c>
      <c r="L757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57" cm="1">
        <f t="array" ref="M757">MAX(IF((ProjectInfoTable[ProjectName]=DiscreteStatsTable[[#This Row],[ProjectName]]),(ProjectInfoTable[ProjectName]=DiscreteStatsTable[[#This Row],[ProjectName]])*ProjectInfoTable[NumberOfReplications]))</f>
        <v>50</v>
      </c>
      <c r="N757" cm="1">
        <f t="array" ref="N757">IFERROR(AVERAGE(IF((DiscreteStatsTable[GroupByKey]=DiscreteStatsTable[[#This Row],[GroupByKey]]),(DiscreteStatsTable[GroupByKey]=DiscreteStatsTable[[#This Row],[GroupByKey]])*DiscreteStatsTable[Average])),0)</f>
        <v>1.3401298911962516</v>
      </c>
      <c r="O757" cm="1">
        <f t="array" ref="O757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57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57" cm="1">
        <f t="array" ref="R757">MIN(IF((DiscreteStatsTable[GroupByKey]=DiscreteStatsTable[[#This Row],[GroupByKey]]),(DiscreteStatsTable[GroupByKey]=DiscreteStatsTable[[#This Row],[GroupByKey]])*DiscreteStatsTable[Average]))</f>
        <v>1.29733858670444</v>
      </c>
      <c r="S757" cm="1">
        <f t="array" ref="S757">MAX(IF((DiscreteStatsTable[GroupByKey]=DiscreteStatsTable[[#This Row],[GroupByKey]]),(DiscreteStatsTable[GroupByKey]=DiscreteStatsTable[[#This Row],[GroupByKey]])*DiscreteStatsTable[Average]))</f>
        <v>1.3970236913396601</v>
      </c>
      <c r="T757" cm="1">
        <f t="array" ref="T757">MIN(IF((DiscreteStatsTable[GroupByKey]=DiscreteStatsTable[[#This Row],[GroupByKey]]),(DiscreteStatsTable[GroupByKey]=DiscreteStatsTable[[#This Row],[GroupByKey]])*DiscreteStatsTable[Minimum]))</f>
        <v>0.81279832598784196</v>
      </c>
      <c r="U757" cm="1">
        <f t="array" ref="U757">MAX(IF((DiscreteStatsTable[GroupByKey]=DiscreteStatsTable[[#This Row],[GroupByKey]]),(DiscreteStatsTable[GroupByKey]=DiscreteStatsTable[[#This Row],[GroupByKey]])*DiscreteStatsTable[Maximum]))</f>
        <v>2.8790847793122198</v>
      </c>
      <c r="V757" cm="1">
        <f t="array" ref="V757">IFERROR(AVERAGE(IF((DiscreteStatsTable[GroupByKey]=DiscreteStatsTable[[#This Row],[GroupByKey]]),(DiscreteStatsTable[GroupByKey]=DiscreteStatsTable[[#This Row],[GroupByKey]])*DiscreteStatsTable[NumberObservations])),0)</f>
        <v>141.32</v>
      </c>
      <c r="W757">
        <f>IF((DiscreteStatsTable[[#This Row],[RepsRequested]]&gt;1),DiscreteStatsTable[[#This Row],[HalfWidth]],DiscreteStatsTable[[#This Row],[BatchMeansHalfWidth]])</f>
        <v>6.1368358796684312E-3</v>
      </c>
      <c r="X757" cm="1">
        <f t="array" ref="X757">COUNT(IF((DiscreteStatsTable[GroupByKey]=DiscreteStatsTable[[#This Row],[GroupByKey]]),(DiscreteStatsTable[GroupByKey]=DiscreteStatsTable[[#This Row],[GroupByKey]])*DiscreteStatsTable[Replication]))</f>
        <v>50</v>
      </c>
      <c r="Y757">
        <f>IF(DiscreteStatsTable[[#This Row],[RepsRequested]]=DiscreteStatsTable[[#This Row],[RepsWithStatObserved]],1,0)</f>
        <v>1</v>
      </c>
    </row>
    <row r="758" spans="1:25" x14ac:dyDescent="0.25">
      <c r="A758" t="s">
        <v>68</v>
      </c>
      <c r="B758" t="s">
        <v>131</v>
      </c>
      <c r="C758">
        <v>7</v>
      </c>
      <c r="D758" t="s">
        <v>88</v>
      </c>
      <c r="E758" t="s">
        <v>89</v>
      </c>
      <c r="F758" t="s">
        <v>90</v>
      </c>
      <c r="G758">
        <v>1.32907361555083</v>
      </c>
      <c r="H758">
        <v>2E+20</v>
      </c>
      <c r="I758">
        <v>0.81707812139489999</v>
      </c>
      <c r="J758">
        <v>1.97257160492657</v>
      </c>
      <c r="K758">
        <v>140</v>
      </c>
      <c r="L758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58" cm="1">
        <f t="array" ref="M758">MAX(IF((ProjectInfoTable[ProjectName]=DiscreteStatsTable[[#This Row],[ProjectName]]),(ProjectInfoTable[ProjectName]=DiscreteStatsTable[[#This Row],[ProjectName]])*ProjectInfoTable[NumberOfReplications]))</f>
        <v>50</v>
      </c>
      <c r="N758" cm="1">
        <f t="array" ref="N758">IFERROR(AVERAGE(IF((DiscreteStatsTable[GroupByKey]=DiscreteStatsTable[[#This Row],[GroupByKey]]),(DiscreteStatsTable[GroupByKey]=DiscreteStatsTable[[#This Row],[GroupByKey]])*DiscreteStatsTable[Average])),0)</f>
        <v>1.3401298911962516</v>
      </c>
      <c r="O758" cm="1">
        <f t="array" ref="O758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58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58" cm="1">
        <f t="array" ref="R758">MIN(IF((DiscreteStatsTable[GroupByKey]=DiscreteStatsTable[[#This Row],[GroupByKey]]),(DiscreteStatsTable[GroupByKey]=DiscreteStatsTable[[#This Row],[GroupByKey]])*DiscreteStatsTable[Average]))</f>
        <v>1.29733858670444</v>
      </c>
      <c r="S758" cm="1">
        <f t="array" ref="S758">MAX(IF((DiscreteStatsTable[GroupByKey]=DiscreteStatsTable[[#This Row],[GroupByKey]]),(DiscreteStatsTable[GroupByKey]=DiscreteStatsTable[[#This Row],[GroupByKey]])*DiscreteStatsTable[Average]))</f>
        <v>1.3970236913396601</v>
      </c>
      <c r="T758" cm="1">
        <f t="array" ref="T758">MIN(IF((DiscreteStatsTable[GroupByKey]=DiscreteStatsTable[[#This Row],[GroupByKey]]),(DiscreteStatsTable[GroupByKey]=DiscreteStatsTable[[#This Row],[GroupByKey]])*DiscreteStatsTable[Minimum]))</f>
        <v>0.81279832598784196</v>
      </c>
      <c r="U758" cm="1">
        <f t="array" ref="U758">MAX(IF((DiscreteStatsTable[GroupByKey]=DiscreteStatsTable[[#This Row],[GroupByKey]]),(DiscreteStatsTable[GroupByKey]=DiscreteStatsTable[[#This Row],[GroupByKey]])*DiscreteStatsTable[Maximum]))</f>
        <v>2.8790847793122198</v>
      </c>
      <c r="V758" cm="1">
        <f t="array" ref="V758">IFERROR(AVERAGE(IF((DiscreteStatsTable[GroupByKey]=DiscreteStatsTable[[#This Row],[GroupByKey]]),(DiscreteStatsTable[GroupByKey]=DiscreteStatsTable[[#This Row],[GroupByKey]])*DiscreteStatsTable[NumberObservations])),0)</f>
        <v>141.32</v>
      </c>
      <c r="W758">
        <f>IF((DiscreteStatsTable[[#This Row],[RepsRequested]]&gt;1),DiscreteStatsTable[[#This Row],[HalfWidth]],DiscreteStatsTable[[#This Row],[BatchMeansHalfWidth]])</f>
        <v>6.1368358796684312E-3</v>
      </c>
      <c r="X758" cm="1">
        <f t="array" ref="X758">COUNT(IF((DiscreteStatsTable[GroupByKey]=DiscreteStatsTable[[#This Row],[GroupByKey]]),(DiscreteStatsTable[GroupByKey]=DiscreteStatsTable[[#This Row],[GroupByKey]])*DiscreteStatsTable[Replication]))</f>
        <v>50</v>
      </c>
      <c r="Y758">
        <f>IF(DiscreteStatsTable[[#This Row],[RepsRequested]]=DiscreteStatsTable[[#This Row],[RepsWithStatObserved]],1,0)</f>
        <v>1</v>
      </c>
    </row>
    <row r="759" spans="1:25" x14ac:dyDescent="0.25">
      <c r="A759" t="s">
        <v>68</v>
      </c>
      <c r="B759" t="s">
        <v>131</v>
      </c>
      <c r="C759">
        <v>8</v>
      </c>
      <c r="D759" t="s">
        <v>88</v>
      </c>
      <c r="E759" t="s">
        <v>89</v>
      </c>
      <c r="F759" t="s">
        <v>90</v>
      </c>
      <c r="G759">
        <v>1.35116624791575</v>
      </c>
      <c r="H759">
        <v>2E+20</v>
      </c>
      <c r="I759">
        <v>0.91125972456325099</v>
      </c>
      <c r="J759">
        <v>1.9539248372918201</v>
      </c>
      <c r="K759">
        <v>140</v>
      </c>
      <c r="L759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59" cm="1">
        <f t="array" ref="M759">MAX(IF((ProjectInfoTable[ProjectName]=DiscreteStatsTable[[#This Row],[ProjectName]]),(ProjectInfoTable[ProjectName]=DiscreteStatsTable[[#This Row],[ProjectName]])*ProjectInfoTable[NumberOfReplications]))</f>
        <v>50</v>
      </c>
      <c r="N759" cm="1">
        <f t="array" ref="N759">IFERROR(AVERAGE(IF((DiscreteStatsTable[GroupByKey]=DiscreteStatsTable[[#This Row],[GroupByKey]]),(DiscreteStatsTable[GroupByKey]=DiscreteStatsTable[[#This Row],[GroupByKey]])*DiscreteStatsTable[Average])),0)</f>
        <v>1.3401298911962516</v>
      </c>
      <c r="O759" cm="1">
        <f t="array" ref="O759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59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59" cm="1">
        <f t="array" ref="R759">MIN(IF((DiscreteStatsTable[GroupByKey]=DiscreteStatsTable[[#This Row],[GroupByKey]]),(DiscreteStatsTable[GroupByKey]=DiscreteStatsTable[[#This Row],[GroupByKey]])*DiscreteStatsTable[Average]))</f>
        <v>1.29733858670444</v>
      </c>
      <c r="S759" cm="1">
        <f t="array" ref="S759">MAX(IF((DiscreteStatsTable[GroupByKey]=DiscreteStatsTable[[#This Row],[GroupByKey]]),(DiscreteStatsTable[GroupByKey]=DiscreteStatsTable[[#This Row],[GroupByKey]])*DiscreteStatsTable[Average]))</f>
        <v>1.3970236913396601</v>
      </c>
      <c r="T759" cm="1">
        <f t="array" ref="T759">MIN(IF((DiscreteStatsTable[GroupByKey]=DiscreteStatsTable[[#This Row],[GroupByKey]]),(DiscreteStatsTable[GroupByKey]=DiscreteStatsTable[[#This Row],[GroupByKey]])*DiscreteStatsTable[Minimum]))</f>
        <v>0.81279832598784196</v>
      </c>
      <c r="U759" cm="1">
        <f t="array" ref="U759">MAX(IF((DiscreteStatsTable[GroupByKey]=DiscreteStatsTable[[#This Row],[GroupByKey]]),(DiscreteStatsTable[GroupByKey]=DiscreteStatsTable[[#This Row],[GroupByKey]])*DiscreteStatsTable[Maximum]))</f>
        <v>2.8790847793122198</v>
      </c>
      <c r="V759" cm="1">
        <f t="array" ref="V759">IFERROR(AVERAGE(IF((DiscreteStatsTable[GroupByKey]=DiscreteStatsTable[[#This Row],[GroupByKey]]),(DiscreteStatsTable[GroupByKey]=DiscreteStatsTable[[#This Row],[GroupByKey]])*DiscreteStatsTable[NumberObservations])),0)</f>
        <v>141.32</v>
      </c>
      <c r="W759">
        <f>IF((DiscreteStatsTable[[#This Row],[RepsRequested]]&gt;1),DiscreteStatsTable[[#This Row],[HalfWidth]],DiscreteStatsTable[[#This Row],[BatchMeansHalfWidth]])</f>
        <v>6.1368358796684312E-3</v>
      </c>
      <c r="X759" cm="1">
        <f t="array" ref="X759">COUNT(IF((DiscreteStatsTable[GroupByKey]=DiscreteStatsTable[[#This Row],[GroupByKey]]),(DiscreteStatsTable[GroupByKey]=DiscreteStatsTable[[#This Row],[GroupByKey]])*DiscreteStatsTable[Replication]))</f>
        <v>50</v>
      </c>
      <c r="Y759">
        <f>IF(DiscreteStatsTable[[#This Row],[RepsRequested]]=DiscreteStatsTable[[#This Row],[RepsWithStatObserved]],1,0)</f>
        <v>1</v>
      </c>
    </row>
    <row r="760" spans="1:25" x14ac:dyDescent="0.25">
      <c r="A760" t="s">
        <v>68</v>
      </c>
      <c r="B760" t="s">
        <v>131</v>
      </c>
      <c r="C760">
        <v>9</v>
      </c>
      <c r="D760" t="s">
        <v>88</v>
      </c>
      <c r="E760" t="s">
        <v>89</v>
      </c>
      <c r="F760" t="s">
        <v>90</v>
      </c>
      <c r="G760">
        <v>1.3788835757915401</v>
      </c>
      <c r="H760">
        <v>2E+20</v>
      </c>
      <c r="I760">
        <v>0.89964519323669701</v>
      </c>
      <c r="J760">
        <v>2.1833252205105498</v>
      </c>
      <c r="K760">
        <v>177</v>
      </c>
      <c r="L760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60" cm="1">
        <f t="array" ref="M760">MAX(IF((ProjectInfoTable[ProjectName]=DiscreteStatsTable[[#This Row],[ProjectName]]),(ProjectInfoTable[ProjectName]=DiscreteStatsTable[[#This Row],[ProjectName]])*ProjectInfoTable[NumberOfReplications]))</f>
        <v>50</v>
      </c>
      <c r="N760" cm="1">
        <f t="array" ref="N760">IFERROR(AVERAGE(IF((DiscreteStatsTable[GroupByKey]=DiscreteStatsTable[[#This Row],[GroupByKey]]),(DiscreteStatsTable[GroupByKey]=DiscreteStatsTable[[#This Row],[GroupByKey]])*DiscreteStatsTable[Average])),0)</f>
        <v>1.3401298911962516</v>
      </c>
      <c r="O760" cm="1">
        <f t="array" ref="O760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60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60" cm="1">
        <f t="array" ref="R760">MIN(IF((DiscreteStatsTable[GroupByKey]=DiscreteStatsTable[[#This Row],[GroupByKey]]),(DiscreteStatsTable[GroupByKey]=DiscreteStatsTable[[#This Row],[GroupByKey]])*DiscreteStatsTable[Average]))</f>
        <v>1.29733858670444</v>
      </c>
      <c r="S760" cm="1">
        <f t="array" ref="S760">MAX(IF((DiscreteStatsTable[GroupByKey]=DiscreteStatsTable[[#This Row],[GroupByKey]]),(DiscreteStatsTable[GroupByKey]=DiscreteStatsTable[[#This Row],[GroupByKey]])*DiscreteStatsTable[Average]))</f>
        <v>1.3970236913396601</v>
      </c>
      <c r="T760" cm="1">
        <f t="array" ref="T760">MIN(IF((DiscreteStatsTable[GroupByKey]=DiscreteStatsTable[[#This Row],[GroupByKey]]),(DiscreteStatsTable[GroupByKey]=DiscreteStatsTable[[#This Row],[GroupByKey]])*DiscreteStatsTable[Minimum]))</f>
        <v>0.81279832598784196</v>
      </c>
      <c r="U760" cm="1">
        <f t="array" ref="U760">MAX(IF((DiscreteStatsTable[GroupByKey]=DiscreteStatsTable[[#This Row],[GroupByKey]]),(DiscreteStatsTable[GroupByKey]=DiscreteStatsTable[[#This Row],[GroupByKey]])*DiscreteStatsTable[Maximum]))</f>
        <v>2.8790847793122198</v>
      </c>
      <c r="V760" cm="1">
        <f t="array" ref="V760">IFERROR(AVERAGE(IF((DiscreteStatsTable[GroupByKey]=DiscreteStatsTable[[#This Row],[GroupByKey]]),(DiscreteStatsTable[GroupByKey]=DiscreteStatsTable[[#This Row],[GroupByKey]])*DiscreteStatsTable[NumberObservations])),0)</f>
        <v>141.32</v>
      </c>
      <c r="W760">
        <f>IF((DiscreteStatsTable[[#This Row],[RepsRequested]]&gt;1),DiscreteStatsTable[[#This Row],[HalfWidth]],DiscreteStatsTable[[#This Row],[BatchMeansHalfWidth]])</f>
        <v>6.1368358796684312E-3</v>
      </c>
      <c r="X760" cm="1">
        <f t="array" ref="X760">COUNT(IF((DiscreteStatsTable[GroupByKey]=DiscreteStatsTable[[#This Row],[GroupByKey]]),(DiscreteStatsTable[GroupByKey]=DiscreteStatsTable[[#This Row],[GroupByKey]])*DiscreteStatsTable[Replication]))</f>
        <v>50</v>
      </c>
      <c r="Y760">
        <f>IF(DiscreteStatsTable[[#This Row],[RepsRequested]]=DiscreteStatsTable[[#This Row],[RepsWithStatObserved]],1,0)</f>
        <v>1</v>
      </c>
    </row>
    <row r="761" spans="1:25" x14ac:dyDescent="0.25">
      <c r="A761" t="s">
        <v>68</v>
      </c>
      <c r="B761" t="s">
        <v>131</v>
      </c>
      <c r="C761">
        <v>10</v>
      </c>
      <c r="D761" t="s">
        <v>88</v>
      </c>
      <c r="E761" t="s">
        <v>89</v>
      </c>
      <c r="F761" t="s">
        <v>90</v>
      </c>
      <c r="G761">
        <v>1.32943489410565</v>
      </c>
      <c r="H761">
        <v>2E+20</v>
      </c>
      <c r="I761">
        <v>0.86490478156977701</v>
      </c>
      <c r="J761">
        <v>1.9138711595273901</v>
      </c>
      <c r="K761">
        <v>132</v>
      </c>
      <c r="L761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61" cm="1">
        <f t="array" ref="M761">MAX(IF((ProjectInfoTable[ProjectName]=DiscreteStatsTable[[#This Row],[ProjectName]]),(ProjectInfoTable[ProjectName]=DiscreteStatsTable[[#This Row],[ProjectName]])*ProjectInfoTable[NumberOfReplications]))</f>
        <v>50</v>
      </c>
      <c r="N761" cm="1">
        <f t="array" ref="N761">IFERROR(AVERAGE(IF((DiscreteStatsTable[GroupByKey]=DiscreteStatsTable[[#This Row],[GroupByKey]]),(DiscreteStatsTable[GroupByKey]=DiscreteStatsTable[[#This Row],[GroupByKey]])*DiscreteStatsTable[Average])),0)</f>
        <v>1.3401298911962516</v>
      </c>
      <c r="O761" cm="1">
        <f t="array" ref="O761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61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61" cm="1">
        <f t="array" ref="R761">MIN(IF((DiscreteStatsTable[GroupByKey]=DiscreteStatsTable[[#This Row],[GroupByKey]]),(DiscreteStatsTable[GroupByKey]=DiscreteStatsTable[[#This Row],[GroupByKey]])*DiscreteStatsTable[Average]))</f>
        <v>1.29733858670444</v>
      </c>
      <c r="S761" cm="1">
        <f t="array" ref="S761">MAX(IF((DiscreteStatsTable[GroupByKey]=DiscreteStatsTable[[#This Row],[GroupByKey]]),(DiscreteStatsTable[GroupByKey]=DiscreteStatsTable[[#This Row],[GroupByKey]])*DiscreteStatsTable[Average]))</f>
        <v>1.3970236913396601</v>
      </c>
      <c r="T761" cm="1">
        <f t="array" ref="T761">MIN(IF((DiscreteStatsTable[GroupByKey]=DiscreteStatsTable[[#This Row],[GroupByKey]]),(DiscreteStatsTable[GroupByKey]=DiscreteStatsTable[[#This Row],[GroupByKey]])*DiscreteStatsTable[Minimum]))</f>
        <v>0.81279832598784196</v>
      </c>
      <c r="U761" cm="1">
        <f t="array" ref="U761">MAX(IF((DiscreteStatsTable[GroupByKey]=DiscreteStatsTable[[#This Row],[GroupByKey]]),(DiscreteStatsTable[GroupByKey]=DiscreteStatsTable[[#This Row],[GroupByKey]])*DiscreteStatsTable[Maximum]))</f>
        <v>2.8790847793122198</v>
      </c>
      <c r="V761" cm="1">
        <f t="array" ref="V761">IFERROR(AVERAGE(IF((DiscreteStatsTable[GroupByKey]=DiscreteStatsTable[[#This Row],[GroupByKey]]),(DiscreteStatsTable[GroupByKey]=DiscreteStatsTable[[#This Row],[GroupByKey]])*DiscreteStatsTable[NumberObservations])),0)</f>
        <v>141.32</v>
      </c>
      <c r="W761">
        <f>IF((DiscreteStatsTable[[#This Row],[RepsRequested]]&gt;1),DiscreteStatsTable[[#This Row],[HalfWidth]],DiscreteStatsTable[[#This Row],[BatchMeansHalfWidth]])</f>
        <v>6.1368358796684312E-3</v>
      </c>
      <c r="X761" cm="1">
        <f t="array" ref="X761">COUNT(IF((DiscreteStatsTable[GroupByKey]=DiscreteStatsTable[[#This Row],[GroupByKey]]),(DiscreteStatsTable[GroupByKey]=DiscreteStatsTable[[#This Row],[GroupByKey]])*DiscreteStatsTable[Replication]))</f>
        <v>50</v>
      </c>
      <c r="Y761">
        <f>IF(DiscreteStatsTable[[#This Row],[RepsRequested]]=DiscreteStatsTable[[#This Row],[RepsWithStatObserved]],1,0)</f>
        <v>1</v>
      </c>
    </row>
    <row r="762" spans="1:25" x14ac:dyDescent="0.25">
      <c r="A762" t="s">
        <v>68</v>
      </c>
      <c r="B762" t="s">
        <v>131</v>
      </c>
      <c r="C762">
        <v>11</v>
      </c>
      <c r="D762" t="s">
        <v>88</v>
      </c>
      <c r="E762" t="s">
        <v>89</v>
      </c>
      <c r="F762" t="s">
        <v>90</v>
      </c>
      <c r="G762">
        <v>1.33804876693758</v>
      </c>
      <c r="H762">
        <v>2E+20</v>
      </c>
      <c r="I762">
        <v>0.88175904677482497</v>
      </c>
      <c r="J762">
        <v>2.1588517144051602</v>
      </c>
      <c r="K762">
        <v>139</v>
      </c>
      <c r="L762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62" cm="1">
        <f t="array" ref="M762">MAX(IF((ProjectInfoTable[ProjectName]=DiscreteStatsTable[[#This Row],[ProjectName]]),(ProjectInfoTable[ProjectName]=DiscreteStatsTable[[#This Row],[ProjectName]])*ProjectInfoTable[NumberOfReplications]))</f>
        <v>50</v>
      </c>
      <c r="N762" cm="1">
        <f t="array" ref="N762">IFERROR(AVERAGE(IF((DiscreteStatsTable[GroupByKey]=DiscreteStatsTable[[#This Row],[GroupByKey]]),(DiscreteStatsTable[GroupByKey]=DiscreteStatsTable[[#This Row],[GroupByKey]])*DiscreteStatsTable[Average])),0)</f>
        <v>1.3401298911962516</v>
      </c>
      <c r="O762" cm="1">
        <f t="array" ref="O762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62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62" cm="1">
        <f t="array" ref="R762">MIN(IF((DiscreteStatsTable[GroupByKey]=DiscreteStatsTable[[#This Row],[GroupByKey]]),(DiscreteStatsTable[GroupByKey]=DiscreteStatsTable[[#This Row],[GroupByKey]])*DiscreteStatsTable[Average]))</f>
        <v>1.29733858670444</v>
      </c>
      <c r="S762" cm="1">
        <f t="array" ref="S762">MAX(IF((DiscreteStatsTable[GroupByKey]=DiscreteStatsTable[[#This Row],[GroupByKey]]),(DiscreteStatsTable[GroupByKey]=DiscreteStatsTable[[#This Row],[GroupByKey]])*DiscreteStatsTable[Average]))</f>
        <v>1.3970236913396601</v>
      </c>
      <c r="T762" cm="1">
        <f t="array" ref="T762">MIN(IF((DiscreteStatsTable[GroupByKey]=DiscreteStatsTable[[#This Row],[GroupByKey]]),(DiscreteStatsTable[GroupByKey]=DiscreteStatsTable[[#This Row],[GroupByKey]])*DiscreteStatsTable[Minimum]))</f>
        <v>0.81279832598784196</v>
      </c>
      <c r="U762" cm="1">
        <f t="array" ref="U762">MAX(IF((DiscreteStatsTable[GroupByKey]=DiscreteStatsTable[[#This Row],[GroupByKey]]),(DiscreteStatsTable[GroupByKey]=DiscreteStatsTable[[#This Row],[GroupByKey]])*DiscreteStatsTable[Maximum]))</f>
        <v>2.8790847793122198</v>
      </c>
      <c r="V762" cm="1">
        <f t="array" ref="V762">IFERROR(AVERAGE(IF((DiscreteStatsTable[GroupByKey]=DiscreteStatsTable[[#This Row],[GroupByKey]]),(DiscreteStatsTable[GroupByKey]=DiscreteStatsTable[[#This Row],[GroupByKey]])*DiscreteStatsTable[NumberObservations])),0)</f>
        <v>141.32</v>
      </c>
      <c r="W762">
        <f>IF((DiscreteStatsTable[[#This Row],[RepsRequested]]&gt;1),DiscreteStatsTable[[#This Row],[HalfWidth]],DiscreteStatsTable[[#This Row],[BatchMeansHalfWidth]])</f>
        <v>6.1368358796684312E-3</v>
      </c>
      <c r="X762" cm="1">
        <f t="array" ref="X762">COUNT(IF((DiscreteStatsTable[GroupByKey]=DiscreteStatsTable[[#This Row],[GroupByKey]]),(DiscreteStatsTable[GroupByKey]=DiscreteStatsTable[[#This Row],[GroupByKey]])*DiscreteStatsTable[Replication]))</f>
        <v>50</v>
      </c>
      <c r="Y762">
        <f>IF(DiscreteStatsTable[[#This Row],[RepsRequested]]=DiscreteStatsTable[[#This Row],[RepsWithStatObserved]],1,0)</f>
        <v>1</v>
      </c>
    </row>
    <row r="763" spans="1:25" x14ac:dyDescent="0.25">
      <c r="A763" t="s">
        <v>68</v>
      </c>
      <c r="B763" t="s">
        <v>131</v>
      </c>
      <c r="C763">
        <v>12</v>
      </c>
      <c r="D763" t="s">
        <v>88</v>
      </c>
      <c r="E763" t="s">
        <v>89</v>
      </c>
      <c r="F763" t="s">
        <v>90</v>
      </c>
      <c r="G763">
        <v>1.36773550406796</v>
      </c>
      <c r="H763">
        <v>2E+20</v>
      </c>
      <c r="I763">
        <v>0.82871012983463299</v>
      </c>
      <c r="J763">
        <v>2.0184985985189301</v>
      </c>
      <c r="K763">
        <v>157</v>
      </c>
      <c r="L763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63" cm="1">
        <f t="array" ref="M763">MAX(IF((ProjectInfoTable[ProjectName]=DiscreteStatsTable[[#This Row],[ProjectName]]),(ProjectInfoTable[ProjectName]=DiscreteStatsTable[[#This Row],[ProjectName]])*ProjectInfoTable[NumberOfReplications]))</f>
        <v>50</v>
      </c>
      <c r="N763" cm="1">
        <f t="array" ref="N763">IFERROR(AVERAGE(IF((DiscreteStatsTable[GroupByKey]=DiscreteStatsTable[[#This Row],[GroupByKey]]),(DiscreteStatsTable[GroupByKey]=DiscreteStatsTable[[#This Row],[GroupByKey]])*DiscreteStatsTable[Average])),0)</f>
        <v>1.3401298911962516</v>
      </c>
      <c r="O763" cm="1">
        <f t="array" ref="O763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63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63" cm="1">
        <f t="array" ref="R763">MIN(IF((DiscreteStatsTable[GroupByKey]=DiscreteStatsTable[[#This Row],[GroupByKey]]),(DiscreteStatsTable[GroupByKey]=DiscreteStatsTable[[#This Row],[GroupByKey]])*DiscreteStatsTable[Average]))</f>
        <v>1.29733858670444</v>
      </c>
      <c r="S763" cm="1">
        <f t="array" ref="S763">MAX(IF((DiscreteStatsTable[GroupByKey]=DiscreteStatsTable[[#This Row],[GroupByKey]]),(DiscreteStatsTable[GroupByKey]=DiscreteStatsTable[[#This Row],[GroupByKey]])*DiscreteStatsTable[Average]))</f>
        <v>1.3970236913396601</v>
      </c>
      <c r="T763" cm="1">
        <f t="array" ref="T763">MIN(IF((DiscreteStatsTable[GroupByKey]=DiscreteStatsTable[[#This Row],[GroupByKey]]),(DiscreteStatsTable[GroupByKey]=DiscreteStatsTable[[#This Row],[GroupByKey]])*DiscreteStatsTable[Minimum]))</f>
        <v>0.81279832598784196</v>
      </c>
      <c r="U763" cm="1">
        <f t="array" ref="U763">MAX(IF((DiscreteStatsTable[GroupByKey]=DiscreteStatsTable[[#This Row],[GroupByKey]]),(DiscreteStatsTable[GroupByKey]=DiscreteStatsTable[[#This Row],[GroupByKey]])*DiscreteStatsTable[Maximum]))</f>
        <v>2.8790847793122198</v>
      </c>
      <c r="V763" cm="1">
        <f t="array" ref="V763">IFERROR(AVERAGE(IF((DiscreteStatsTable[GroupByKey]=DiscreteStatsTable[[#This Row],[GroupByKey]]),(DiscreteStatsTable[GroupByKey]=DiscreteStatsTable[[#This Row],[GroupByKey]])*DiscreteStatsTable[NumberObservations])),0)</f>
        <v>141.32</v>
      </c>
      <c r="W763">
        <f>IF((DiscreteStatsTable[[#This Row],[RepsRequested]]&gt;1),DiscreteStatsTable[[#This Row],[HalfWidth]],DiscreteStatsTable[[#This Row],[BatchMeansHalfWidth]])</f>
        <v>6.1368358796684312E-3</v>
      </c>
      <c r="X763" cm="1">
        <f t="array" ref="X763">COUNT(IF((DiscreteStatsTable[GroupByKey]=DiscreteStatsTable[[#This Row],[GroupByKey]]),(DiscreteStatsTable[GroupByKey]=DiscreteStatsTable[[#This Row],[GroupByKey]])*DiscreteStatsTable[Replication]))</f>
        <v>50</v>
      </c>
      <c r="Y763">
        <f>IF(DiscreteStatsTable[[#This Row],[RepsRequested]]=DiscreteStatsTable[[#This Row],[RepsWithStatObserved]],1,0)</f>
        <v>1</v>
      </c>
    </row>
    <row r="764" spans="1:25" x14ac:dyDescent="0.25">
      <c r="A764" t="s">
        <v>68</v>
      </c>
      <c r="B764" t="s">
        <v>131</v>
      </c>
      <c r="C764">
        <v>13</v>
      </c>
      <c r="D764" t="s">
        <v>88</v>
      </c>
      <c r="E764" t="s">
        <v>89</v>
      </c>
      <c r="F764" t="s">
        <v>90</v>
      </c>
      <c r="G764">
        <v>1.3241496737245799</v>
      </c>
      <c r="H764">
        <v>2E+20</v>
      </c>
      <c r="I764">
        <v>0.88052690230386998</v>
      </c>
      <c r="J764">
        <v>2.26902595268706</v>
      </c>
      <c r="K764">
        <v>146</v>
      </c>
      <c r="L764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64" cm="1">
        <f t="array" ref="M764">MAX(IF((ProjectInfoTable[ProjectName]=DiscreteStatsTable[[#This Row],[ProjectName]]),(ProjectInfoTable[ProjectName]=DiscreteStatsTable[[#This Row],[ProjectName]])*ProjectInfoTable[NumberOfReplications]))</f>
        <v>50</v>
      </c>
      <c r="N764" cm="1">
        <f t="array" ref="N764">IFERROR(AVERAGE(IF((DiscreteStatsTable[GroupByKey]=DiscreteStatsTable[[#This Row],[GroupByKey]]),(DiscreteStatsTable[GroupByKey]=DiscreteStatsTable[[#This Row],[GroupByKey]])*DiscreteStatsTable[Average])),0)</f>
        <v>1.3401298911962516</v>
      </c>
      <c r="O764" cm="1">
        <f t="array" ref="O764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64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64" cm="1">
        <f t="array" ref="R764">MIN(IF((DiscreteStatsTable[GroupByKey]=DiscreteStatsTable[[#This Row],[GroupByKey]]),(DiscreteStatsTable[GroupByKey]=DiscreteStatsTable[[#This Row],[GroupByKey]])*DiscreteStatsTable[Average]))</f>
        <v>1.29733858670444</v>
      </c>
      <c r="S764" cm="1">
        <f t="array" ref="S764">MAX(IF((DiscreteStatsTable[GroupByKey]=DiscreteStatsTable[[#This Row],[GroupByKey]]),(DiscreteStatsTable[GroupByKey]=DiscreteStatsTable[[#This Row],[GroupByKey]])*DiscreteStatsTable[Average]))</f>
        <v>1.3970236913396601</v>
      </c>
      <c r="T764" cm="1">
        <f t="array" ref="T764">MIN(IF((DiscreteStatsTable[GroupByKey]=DiscreteStatsTable[[#This Row],[GroupByKey]]),(DiscreteStatsTable[GroupByKey]=DiscreteStatsTable[[#This Row],[GroupByKey]])*DiscreteStatsTable[Minimum]))</f>
        <v>0.81279832598784196</v>
      </c>
      <c r="U764" cm="1">
        <f t="array" ref="U764">MAX(IF((DiscreteStatsTable[GroupByKey]=DiscreteStatsTable[[#This Row],[GroupByKey]]),(DiscreteStatsTable[GroupByKey]=DiscreteStatsTable[[#This Row],[GroupByKey]])*DiscreteStatsTable[Maximum]))</f>
        <v>2.8790847793122198</v>
      </c>
      <c r="V764" cm="1">
        <f t="array" ref="V764">IFERROR(AVERAGE(IF((DiscreteStatsTable[GroupByKey]=DiscreteStatsTable[[#This Row],[GroupByKey]]),(DiscreteStatsTable[GroupByKey]=DiscreteStatsTable[[#This Row],[GroupByKey]])*DiscreteStatsTable[NumberObservations])),0)</f>
        <v>141.32</v>
      </c>
      <c r="W764">
        <f>IF((DiscreteStatsTable[[#This Row],[RepsRequested]]&gt;1),DiscreteStatsTable[[#This Row],[HalfWidth]],DiscreteStatsTable[[#This Row],[BatchMeansHalfWidth]])</f>
        <v>6.1368358796684312E-3</v>
      </c>
      <c r="X764" cm="1">
        <f t="array" ref="X764">COUNT(IF((DiscreteStatsTable[GroupByKey]=DiscreteStatsTable[[#This Row],[GroupByKey]]),(DiscreteStatsTable[GroupByKey]=DiscreteStatsTable[[#This Row],[GroupByKey]])*DiscreteStatsTable[Replication]))</f>
        <v>50</v>
      </c>
      <c r="Y764">
        <f>IF(DiscreteStatsTable[[#This Row],[RepsRequested]]=DiscreteStatsTable[[#This Row],[RepsWithStatObserved]],1,0)</f>
        <v>1</v>
      </c>
    </row>
    <row r="765" spans="1:25" x14ac:dyDescent="0.25">
      <c r="A765" t="s">
        <v>68</v>
      </c>
      <c r="B765" t="s">
        <v>131</v>
      </c>
      <c r="C765">
        <v>14</v>
      </c>
      <c r="D765" t="s">
        <v>88</v>
      </c>
      <c r="E765" t="s">
        <v>89</v>
      </c>
      <c r="F765" t="s">
        <v>90</v>
      </c>
      <c r="G765">
        <v>1.3596275058712599</v>
      </c>
      <c r="H765">
        <v>2E+20</v>
      </c>
      <c r="I765">
        <v>0.831343945484605</v>
      </c>
      <c r="J765">
        <v>2.57045502554206</v>
      </c>
      <c r="K765">
        <v>137</v>
      </c>
      <c r="L765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65" cm="1">
        <f t="array" ref="M765">MAX(IF((ProjectInfoTable[ProjectName]=DiscreteStatsTable[[#This Row],[ProjectName]]),(ProjectInfoTable[ProjectName]=DiscreteStatsTable[[#This Row],[ProjectName]])*ProjectInfoTable[NumberOfReplications]))</f>
        <v>50</v>
      </c>
      <c r="N765" cm="1">
        <f t="array" ref="N765">IFERROR(AVERAGE(IF((DiscreteStatsTable[GroupByKey]=DiscreteStatsTable[[#This Row],[GroupByKey]]),(DiscreteStatsTable[GroupByKey]=DiscreteStatsTable[[#This Row],[GroupByKey]])*DiscreteStatsTable[Average])),0)</f>
        <v>1.3401298911962516</v>
      </c>
      <c r="O765" cm="1">
        <f t="array" ref="O765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6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65" cm="1">
        <f t="array" ref="R765">MIN(IF((DiscreteStatsTable[GroupByKey]=DiscreteStatsTable[[#This Row],[GroupByKey]]),(DiscreteStatsTable[GroupByKey]=DiscreteStatsTable[[#This Row],[GroupByKey]])*DiscreteStatsTable[Average]))</f>
        <v>1.29733858670444</v>
      </c>
      <c r="S765" cm="1">
        <f t="array" ref="S765">MAX(IF((DiscreteStatsTable[GroupByKey]=DiscreteStatsTable[[#This Row],[GroupByKey]]),(DiscreteStatsTable[GroupByKey]=DiscreteStatsTable[[#This Row],[GroupByKey]])*DiscreteStatsTable[Average]))</f>
        <v>1.3970236913396601</v>
      </c>
      <c r="T765" cm="1">
        <f t="array" ref="T765">MIN(IF((DiscreteStatsTable[GroupByKey]=DiscreteStatsTable[[#This Row],[GroupByKey]]),(DiscreteStatsTable[GroupByKey]=DiscreteStatsTable[[#This Row],[GroupByKey]])*DiscreteStatsTable[Minimum]))</f>
        <v>0.81279832598784196</v>
      </c>
      <c r="U765" cm="1">
        <f t="array" ref="U765">MAX(IF((DiscreteStatsTable[GroupByKey]=DiscreteStatsTable[[#This Row],[GroupByKey]]),(DiscreteStatsTable[GroupByKey]=DiscreteStatsTable[[#This Row],[GroupByKey]])*DiscreteStatsTable[Maximum]))</f>
        <v>2.8790847793122198</v>
      </c>
      <c r="V765" cm="1">
        <f t="array" ref="V765">IFERROR(AVERAGE(IF((DiscreteStatsTable[GroupByKey]=DiscreteStatsTable[[#This Row],[GroupByKey]]),(DiscreteStatsTable[GroupByKey]=DiscreteStatsTable[[#This Row],[GroupByKey]])*DiscreteStatsTable[NumberObservations])),0)</f>
        <v>141.32</v>
      </c>
      <c r="W765">
        <f>IF((DiscreteStatsTable[[#This Row],[RepsRequested]]&gt;1),DiscreteStatsTable[[#This Row],[HalfWidth]],DiscreteStatsTable[[#This Row],[BatchMeansHalfWidth]])</f>
        <v>6.1368358796684312E-3</v>
      </c>
      <c r="X765" cm="1">
        <f t="array" ref="X765">COUNT(IF((DiscreteStatsTable[GroupByKey]=DiscreteStatsTable[[#This Row],[GroupByKey]]),(DiscreteStatsTable[GroupByKey]=DiscreteStatsTable[[#This Row],[GroupByKey]])*DiscreteStatsTable[Replication]))</f>
        <v>50</v>
      </c>
      <c r="Y765">
        <f>IF(DiscreteStatsTable[[#This Row],[RepsRequested]]=DiscreteStatsTable[[#This Row],[RepsWithStatObserved]],1,0)</f>
        <v>1</v>
      </c>
    </row>
    <row r="766" spans="1:25" x14ac:dyDescent="0.25">
      <c r="A766" t="s">
        <v>68</v>
      </c>
      <c r="B766" t="s">
        <v>131</v>
      </c>
      <c r="C766">
        <v>15</v>
      </c>
      <c r="D766" t="s">
        <v>88</v>
      </c>
      <c r="E766" t="s">
        <v>89</v>
      </c>
      <c r="F766" t="s">
        <v>90</v>
      </c>
      <c r="G766">
        <v>1.31910000398255</v>
      </c>
      <c r="H766">
        <v>2E+20</v>
      </c>
      <c r="I766">
        <v>0.82883014761159801</v>
      </c>
      <c r="J766">
        <v>2.2711064083417201</v>
      </c>
      <c r="K766">
        <v>133</v>
      </c>
      <c r="L766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66" cm="1">
        <f t="array" ref="M766">MAX(IF((ProjectInfoTable[ProjectName]=DiscreteStatsTable[[#This Row],[ProjectName]]),(ProjectInfoTable[ProjectName]=DiscreteStatsTable[[#This Row],[ProjectName]])*ProjectInfoTable[NumberOfReplications]))</f>
        <v>50</v>
      </c>
      <c r="N766" cm="1">
        <f t="array" ref="N766">IFERROR(AVERAGE(IF((DiscreteStatsTable[GroupByKey]=DiscreteStatsTable[[#This Row],[GroupByKey]]),(DiscreteStatsTable[GroupByKey]=DiscreteStatsTable[[#This Row],[GroupByKey]])*DiscreteStatsTable[Average])),0)</f>
        <v>1.3401298911962516</v>
      </c>
      <c r="O766" cm="1">
        <f t="array" ref="O766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66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66" cm="1">
        <f t="array" ref="R766">MIN(IF((DiscreteStatsTable[GroupByKey]=DiscreteStatsTable[[#This Row],[GroupByKey]]),(DiscreteStatsTable[GroupByKey]=DiscreteStatsTable[[#This Row],[GroupByKey]])*DiscreteStatsTable[Average]))</f>
        <v>1.29733858670444</v>
      </c>
      <c r="S766" cm="1">
        <f t="array" ref="S766">MAX(IF((DiscreteStatsTable[GroupByKey]=DiscreteStatsTable[[#This Row],[GroupByKey]]),(DiscreteStatsTable[GroupByKey]=DiscreteStatsTable[[#This Row],[GroupByKey]])*DiscreteStatsTable[Average]))</f>
        <v>1.3970236913396601</v>
      </c>
      <c r="T766" cm="1">
        <f t="array" ref="T766">MIN(IF((DiscreteStatsTable[GroupByKey]=DiscreteStatsTable[[#This Row],[GroupByKey]]),(DiscreteStatsTable[GroupByKey]=DiscreteStatsTable[[#This Row],[GroupByKey]])*DiscreteStatsTable[Minimum]))</f>
        <v>0.81279832598784196</v>
      </c>
      <c r="U766" cm="1">
        <f t="array" ref="U766">MAX(IF((DiscreteStatsTable[GroupByKey]=DiscreteStatsTable[[#This Row],[GroupByKey]]),(DiscreteStatsTable[GroupByKey]=DiscreteStatsTable[[#This Row],[GroupByKey]])*DiscreteStatsTable[Maximum]))</f>
        <v>2.8790847793122198</v>
      </c>
      <c r="V766" cm="1">
        <f t="array" ref="V766">IFERROR(AVERAGE(IF((DiscreteStatsTable[GroupByKey]=DiscreteStatsTable[[#This Row],[GroupByKey]]),(DiscreteStatsTable[GroupByKey]=DiscreteStatsTable[[#This Row],[GroupByKey]])*DiscreteStatsTable[NumberObservations])),0)</f>
        <v>141.32</v>
      </c>
      <c r="W766">
        <f>IF((DiscreteStatsTable[[#This Row],[RepsRequested]]&gt;1),DiscreteStatsTable[[#This Row],[HalfWidth]],DiscreteStatsTable[[#This Row],[BatchMeansHalfWidth]])</f>
        <v>6.1368358796684312E-3</v>
      </c>
      <c r="X766" cm="1">
        <f t="array" ref="X766">COUNT(IF((DiscreteStatsTable[GroupByKey]=DiscreteStatsTable[[#This Row],[GroupByKey]]),(DiscreteStatsTable[GroupByKey]=DiscreteStatsTable[[#This Row],[GroupByKey]])*DiscreteStatsTable[Replication]))</f>
        <v>50</v>
      </c>
      <c r="Y766">
        <f>IF(DiscreteStatsTable[[#This Row],[RepsRequested]]=DiscreteStatsTable[[#This Row],[RepsWithStatObserved]],1,0)</f>
        <v>1</v>
      </c>
    </row>
    <row r="767" spans="1:25" x14ac:dyDescent="0.25">
      <c r="A767" t="s">
        <v>68</v>
      </c>
      <c r="B767" t="s">
        <v>131</v>
      </c>
      <c r="C767">
        <v>16</v>
      </c>
      <c r="D767" t="s">
        <v>88</v>
      </c>
      <c r="E767" t="s">
        <v>89</v>
      </c>
      <c r="F767" t="s">
        <v>90</v>
      </c>
      <c r="G767">
        <v>1.3565049724235601</v>
      </c>
      <c r="H767">
        <v>2E+20</v>
      </c>
      <c r="I767">
        <v>0.88688093023751002</v>
      </c>
      <c r="J767">
        <v>2.1436623623404798</v>
      </c>
      <c r="K767">
        <v>148</v>
      </c>
      <c r="L767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67" cm="1">
        <f t="array" ref="M767">MAX(IF((ProjectInfoTable[ProjectName]=DiscreteStatsTable[[#This Row],[ProjectName]]),(ProjectInfoTable[ProjectName]=DiscreteStatsTable[[#This Row],[ProjectName]])*ProjectInfoTable[NumberOfReplications]))</f>
        <v>50</v>
      </c>
      <c r="N767" cm="1">
        <f t="array" ref="N767">IFERROR(AVERAGE(IF((DiscreteStatsTable[GroupByKey]=DiscreteStatsTable[[#This Row],[GroupByKey]]),(DiscreteStatsTable[GroupByKey]=DiscreteStatsTable[[#This Row],[GroupByKey]])*DiscreteStatsTable[Average])),0)</f>
        <v>1.3401298911962516</v>
      </c>
      <c r="O767" cm="1">
        <f t="array" ref="O767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67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67" cm="1">
        <f t="array" ref="R767">MIN(IF((DiscreteStatsTable[GroupByKey]=DiscreteStatsTable[[#This Row],[GroupByKey]]),(DiscreteStatsTable[GroupByKey]=DiscreteStatsTable[[#This Row],[GroupByKey]])*DiscreteStatsTable[Average]))</f>
        <v>1.29733858670444</v>
      </c>
      <c r="S767" cm="1">
        <f t="array" ref="S767">MAX(IF((DiscreteStatsTable[GroupByKey]=DiscreteStatsTable[[#This Row],[GroupByKey]]),(DiscreteStatsTable[GroupByKey]=DiscreteStatsTable[[#This Row],[GroupByKey]])*DiscreteStatsTable[Average]))</f>
        <v>1.3970236913396601</v>
      </c>
      <c r="T767" cm="1">
        <f t="array" ref="T767">MIN(IF((DiscreteStatsTable[GroupByKey]=DiscreteStatsTable[[#This Row],[GroupByKey]]),(DiscreteStatsTable[GroupByKey]=DiscreteStatsTable[[#This Row],[GroupByKey]])*DiscreteStatsTable[Minimum]))</f>
        <v>0.81279832598784196</v>
      </c>
      <c r="U767" cm="1">
        <f t="array" ref="U767">MAX(IF((DiscreteStatsTable[GroupByKey]=DiscreteStatsTable[[#This Row],[GroupByKey]]),(DiscreteStatsTable[GroupByKey]=DiscreteStatsTable[[#This Row],[GroupByKey]])*DiscreteStatsTable[Maximum]))</f>
        <v>2.8790847793122198</v>
      </c>
      <c r="V767" cm="1">
        <f t="array" ref="V767">IFERROR(AVERAGE(IF((DiscreteStatsTable[GroupByKey]=DiscreteStatsTable[[#This Row],[GroupByKey]]),(DiscreteStatsTable[GroupByKey]=DiscreteStatsTable[[#This Row],[GroupByKey]])*DiscreteStatsTable[NumberObservations])),0)</f>
        <v>141.32</v>
      </c>
      <c r="W767">
        <f>IF((DiscreteStatsTable[[#This Row],[RepsRequested]]&gt;1),DiscreteStatsTable[[#This Row],[HalfWidth]],DiscreteStatsTable[[#This Row],[BatchMeansHalfWidth]])</f>
        <v>6.1368358796684312E-3</v>
      </c>
      <c r="X767" cm="1">
        <f t="array" ref="X767">COUNT(IF((DiscreteStatsTable[GroupByKey]=DiscreteStatsTable[[#This Row],[GroupByKey]]),(DiscreteStatsTable[GroupByKey]=DiscreteStatsTable[[#This Row],[GroupByKey]])*DiscreteStatsTable[Replication]))</f>
        <v>50</v>
      </c>
      <c r="Y767">
        <f>IF(DiscreteStatsTable[[#This Row],[RepsRequested]]=DiscreteStatsTable[[#This Row],[RepsWithStatObserved]],1,0)</f>
        <v>1</v>
      </c>
    </row>
    <row r="768" spans="1:25" x14ac:dyDescent="0.25">
      <c r="A768" t="s">
        <v>68</v>
      </c>
      <c r="B768" t="s">
        <v>131</v>
      </c>
      <c r="C768">
        <v>17</v>
      </c>
      <c r="D768" t="s">
        <v>88</v>
      </c>
      <c r="E768" t="s">
        <v>89</v>
      </c>
      <c r="F768" t="s">
        <v>90</v>
      </c>
      <c r="G768">
        <v>1.3423088204893601</v>
      </c>
      <c r="H768">
        <v>2E+20</v>
      </c>
      <c r="I768">
        <v>0.81279832598784196</v>
      </c>
      <c r="J768">
        <v>1.9284673425160199</v>
      </c>
      <c r="K768">
        <v>139</v>
      </c>
      <c r="L768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68" cm="1">
        <f t="array" ref="M768">MAX(IF((ProjectInfoTable[ProjectName]=DiscreteStatsTable[[#This Row],[ProjectName]]),(ProjectInfoTable[ProjectName]=DiscreteStatsTable[[#This Row],[ProjectName]])*ProjectInfoTable[NumberOfReplications]))</f>
        <v>50</v>
      </c>
      <c r="N768" cm="1">
        <f t="array" ref="N768">IFERROR(AVERAGE(IF((DiscreteStatsTable[GroupByKey]=DiscreteStatsTable[[#This Row],[GroupByKey]]),(DiscreteStatsTable[GroupByKey]=DiscreteStatsTable[[#This Row],[GroupByKey]])*DiscreteStatsTable[Average])),0)</f>
        <v>1.3401298911962516</v>
      </c>
      <c r="O768" cm="1">
        <f t="array" ref="O768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68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68" cm="1">
        <f t="array" ref="R768">MIN(IF((DiscreteStatsTable[GroupByKey]=DiscreteStatsTable[[#This Row],[GroupByKey]]),(DiscreteStatsTable[GroupByKey]=DiscreteStatsTable[[#This Row],[GroupByKey]])*DiscreteStatsTable[Average]))</f>
        <v>1.29733858670444</v>
      </c>
      <c r="S768" cm="1">
        <f t="array" ref="S768">MAX(IF((DiscreteStatsTable[GroupByKey]=DiscreteStatsTable[[#This Row],[GroupByKey]]),(DiscreteStatsTable[GroupByKey]=DiscreteStatsTable[[#This Row],[GroupByKey]])*DiscreteStatsTable[Average]))</f>
        <v>1.3970236913396601</v>
      </c>
      <c r="T768" cm="1">
        <f t="array" ref="T768">MIN(IF((DiscreteStatsTable[GroupByKey]=DiscreteStatsTable[[#This Row],[GroupByKey]]),(DiscreteStatsTable[GroupByKey]=DiscreteStatsTable[[#This Row],[GroupByKey]])*DiscreteStatsTable[Minimum]))</f>
        <v>0.81279832598784196</v>
      </c>
      <c r="U768" cm="1">
        <f t="array" ref="U768">MAX(IF((DiscreteStatsTable[GroupByKey]=DiscreteStatsTable[[#This Row],[GroupByKey]]),(DiscreteStatsTable[GroupByKey]=DiscreteStatsTable[[#This Row],[GroupByKey]])*DiscreteStatsTable[Maximum]))</f>
        <v>2.8790847793122198</v>
      </c>
      <c r="V768" cm="1">
        <f t="array" ref="V768">IFERROR(AVERAGE(IF((DiscreteStatsTable[GroupByKey]=DiscreteStatsTable[[#This Row],[GroupByKey]]),(DiscreteStatsTable[GroupByKey]=DiscreteStatsTable[[#This Row],[GroupByKey]])*DiscreteStatsTable[NumberObservations])),0)</f>
        <v>141.32</v>
      </c>
      <c r="W768">
        <f>IF((DiscreteStatsTable[[#This Row],[RepsRequested]]&gt;1),DiscreteStatsTable[[#This Row],[HalfWidth]],DiscreteStatsTable[[#This Row],[BatchMeansHalfWidth]])</f>
        <v>6.1368358796684312E-3</v>
      </c>
      <c r="X768" cm="1">
        <f t="array" ref="X768">COUNT(IF((DiscreteStatsTable[GroupByKey]=DiscreteStatsTable[[#This Row],[GroupByKey]]),(DiscreteStatsTable[GroupByKey]=DiscreteStatsTable[[#This Row],[GroupByKey]])*DiscreteStatsTable[Replication]))</f>
        <v>50</v>
      </c>
      <c r="Y768">
        <f>IF(DiscreteStatsTable[[#This Row],[RepsRequested]]=DiscreteStatsTable[[#This Row],[RepsWithStatObserved]],1,0)</f>
        <v>1</v>
      </c>
    </row>
    <row r="769" spans="1:25" x14ac:dyDescent="0.25">
      <c r="A769" t="s">
        <v>68</v>
      </c>
      <c r="B769" t="s">
        <v>131</v>
      </c>
      <c r="C769">
        <v>18</v>
      </c>
      <c r="D769" t="s">
        <v>88</v>
      </c>
      <c r="E769" t="s">
        <v>89</v>
      </c>
      <c r="F769" t="s">
        <v>90</v>
      </c>
      <c r="G769">
        <v>1.33449399410811</v>
      </c>
      <c r="H769">
        <v>2E+20</v>
      </c>
      <c r="I769">
        <v>0.92600364937067103</v>
      </c>
      <c r="J769">
        <v>2.6529733763024002</v>
      </c>
      <c r="K769">
        <v>137</v>
      </c>
      <c r="L769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69" cm="1">
        <f t="array" ref="M769">MAX(IF((ProjectInfoTable[ProjectName]=DiscreteStatsTable[[#This Row],[ProjectName]]),(ProjectInfoTable[ProjectName]=DiscreteStatsTable[[#This Row],[ProjectName]])*ProjectInfoTable[NumberOfReplications]))</f>
        <v>50</v>
      </c>
      <c r="N769" cm="1">
        <f t="array" ref="N769">IFERROR(AVERAGE(IF((DiscreteStatsTable[GroupByKey]=DiscreteStatsTable[[#This Row],[GroupByKey]]),(DiscreteStatsTable[GroupByKey]=DiscreteStatsTable[[#This Row],[GroupByKey]])*DiscreteStatsTable[Average])),0)</f>
        <v>1.3401298911962516</v>
      </c>
      <c r="O769" cm="1">
        <f t="array" ref="O769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69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69" cm="1">
        <f t="array" ref="R769">MIN(IF((DiscreteStatsTable[GroupByKey]=DiscreteStatsTable[[#This Row],[GroupByKey]]),(DiscreteStatsTable[GroupByKey]=DiscreteStatsTable[[#This Row],[GroupByKey]])*DiscreteStatsTable[Average]))</f>
        <v>1.29733858670444</v>
      </c>
      <c r="S769" cm="1">
        <f t="array" ref="S769">MAX(IF((DiscreteStatsTable[GroupByKey]=DiscreteStatsTable[[#This Row],[GroupByKey]]),(DiscreteStatsTable[GroupByKey]=DiscreteStatsTable[[#This Row],[GroupByKey]])*DiscreteStatsTable[Average]))</f>
        <v>1.3970236913396601</v>
      </c>
      <c r="T769" cm="1">
        <f t="array" ref="T769">MIN(IF((DiscreteStatsTable[GroupByKey]=DiscreteStatsTable[[#This Row],[GroupByKey]]),(DiscreteStatsTable[GroupByKey]=DiscreteStatsTable[[#This Row],[GroupByKey]])*DiscreteStatsTable[Minimum]))</f>
        <v>0.81279832598784196</v>
      </c>
      <c r="U769" cm="1">
        <f t="array" ref="U769">MAX(IF((DiscreteStatsTable[GroupByKey]=DiscreteStatsTable[[#This Row],[GroupByKey]]),(DiscreteStatsTable[GroupByKey]=DiscreteStatsTable[[#This Row],[GroupByKey]])*DiscreteStatsTable[Maximum]))</f>
        <v>2.8790847793122198</v>
      </c>
      <c r="V769" cm="1">
        <f t="array" ref="V769">IFERROR(AVERAGE(IF((DiscreteStatsTable[GroupByKey]=DiscreteStatsTable[[#This Row],[GroupByKey]]),(DiscreteStatsTable[GroupByKey]=DiscreteStatsTable[[#This Row],[GroupByKey]])*DiscreteStatsTable[NumberObservations])),0)</f>
        <v>141.32</v>
      </c>
      <c r="W769">
        <f>IF((DiscreteStatsTable[[#This Row],[RepsRequested]]&gt;1),DiscreteStatsTable[[#This Row],[HalfWidth]],DiscreteStatsTable[[#This Row],[BatchMeansHalfWidth]])</f>
        <v>6.1368358796684312E-3</v>
      </c>
      <c r="X769" cm="1">
        <f t="array" ref="X769">COUNT(IF((DiscreteStatsTable[GroupByKey]=DiscreteStatsTable[[#This Row],[GroupByKey]]),(DiscreteStatsTable[GroupByKey]=DiscreteStatsTable[[#This Row],[GroupByKey]])*DiscreteStatsTable[Replication]))</f>
        <v>50</v>
      </c>
      <c r="Y769">
        <f>IF(DiscreteStatsTable[[#This Row],[RepsRequested]]=DiscreteStatsTable[[#This Row],[RepsWithStatObserved]],1,0)</f>
        <v>1</v>
      </c>
    </row>
    <row r="770" spans="1:25" x14ac:dyDescent="0.25">
      <c r="A770" t="s">
        <v>68</v>
      </c>
      <c r="B770" t="s">
        <v>131</v>
      </c>
      <c r="C770">
        <v>19</v>
      </c>
      <c r="D770" t="s">
        <v>88</v>
      </c>
      <c r="E770" t="s">
        <v>89</v>
      </c>
      <c r="F770" t="s">
        <v>90</v>
      </c>
      <c r="G770">
        <v>1.3100850393719401</v>
      </c>
      <c r="H770">
        <v>2E+20</v>
      </c>
      <c r="I770">
        <v>0.82149464327483201</v>
      </c>
      <c r="J770">
        <v>1.8589197459420499</v>
      </c>
      <c r="K770">
        <v>128</v>
      </c>
      <c r="L770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70" cm="1">
        <f t="array" ref="M770">MAX(IF((ProjectInfoTable[ProjectName]=DiscreteStatsTable[[#This Row],[ProjectName]]),(ProjectInfoTable[ProjectName]=DiscreteStatsTable[[#This Row],[ProjectName]])*ProjectInfoTable[NumberOfReplications]))</f>
        <v>50</v>
      </c>
      <c r="N770" cm="1">
        <f t="array" ref="N770">IFERROR(AVERAGE(IF((DiscreteStatsTable[GroupByKey]=DiscreteStatsTable[[#This Row],[GroupByKey]]),(DiscreteStatsTable[GroupByKey]=DiscreteStatsTable[[#This Row],[GroupByKey]])*DiscreteStatsTable[Average])),0)</f>
        <v>1.3401298911962516</v>
      </c>
      <c r="O770" cm="1">
        <f t="array" ref="O770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70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70" cm="1">
        <f t="array" ref="R770">MIN(IF((DiscreteStatsTable[GroupByKey]=DiscreteStatsTable[[#This Row],[GroupByKey]]),(DiscreteStatsTable[GroupByKey]=DiscreteStatsTable[[#This Row],[GroupByKey]])*DiscreteStatsTable[Average]))</f>
        <v>1.29733858670444</v>
      </c>
      <c r="S770" cm="1">
        <f t="array" ref="S770">MAX(IF((DiscreteStatsTable[GroupByKey]=DiscreteStatsTable[[#This Row],[GroupByKey]]),(DiscreteStatsTable[GroupByKey]=DiscreteStatsTable[[#This Row],[GroupByKey]])*DiscreteStatsTable[Average]))</f>
        <v>1.3970236913396601</v>
      </c>
      <c r="T770" cm="1">
        <f t="array" ref="T770">MIN(IF((DiscreteStatsTable[GroupByKey]=DiscreteStatsTable[[#This Row],[GroupByKey]]),(DiscreteStatsTable[GroupByKey]=DiscreteStatsTable[[#This Row],[GroupByKey]])*DiscreteStatsTable[Minimum]))</f>
        <v>0.81279832598784196</v>
      </c>
      <c r="U770" cm="1">
        <f t="array" ref="U770">MAX(IF((DiscreteStatsTable[GroupByKey]=DiscreteStatsTable[[#This Row],[GroupByKey]]),(DiscreteStatsTable[GroupByKey]=DiscreteStatsTable[[#This Row],[GroupByKey]])*DiscreteStatsTable[Maximum]))</f>
        <v>2.8790847793122198</v>
      </c>
      <c r="V770" cm="1">
        <f t="array" ref="V770">IFERROR(AVERAGE(IF((DiscreteStatsTable[GroupByKey]=DiscreteStatsTable[[#This Row],[GroupByKey]]),(DiscreteStatsTable[GroupByKey]=DiscreteStatsTable[[#This Row],[GroupByKey]])*DiscreteStatsTable[NumberObservations])),0)</f>
        <v>141.32</v>
      </c>
      <c r="W770">
        <f>IF((DiscreteStatsTable[[#This Row],[RepsRequested]]&gt;1),DiscreteStatsTable[[#This Row],[HalfWidth]],DiscreteStatsTable[[#This Row],[BatchMeansHalfWidth]])</f>
        <v>6.1368358796684312E-3</v>
      </c>
      <c r="X770" cm="1">
        <f t="array" ref="X770">COUNT(IF((DiscreteStatsTable[GroupByKey]=DiscreteStatsTable[[#This Row],[GroupByKey]]),(DiscreteStatsTable[GroupByKey]=DiscreteStatsTable[[#This Row],[GroupByKey]])*DiscreteStatsTable[Replication]))</f>
        <v>50</v>
      </c>
      <c r="Y770">
        <f>IF(DiscreteStatsTable[[#This Row],[RepsRequested]]=DiscreteStatsTable[[#This Row],[RepsWithStatObserved]],1,0)</f>
        <v>1</v>
      </c>
    </row>
    <row r="771" spans="1:25" x14ac:dyDescent="0.25">
      <c r="A771" t="s">
        <v>68</v>
      </c>
      <c r="B771" t="s">
        <v>131</v>
      </c>
      <c r="C771">
        <v>20</v>
      </c>
      <c r="D771" t="s">
        <v>88</v>
      </c>
      <c r="E771" t="s">
        <v>89</v>
      </c>
      <c r="F771" t="s">
        <v>90</v>
      </c>
      <c r="G771">
        <v>1.3384062573767199</v>
      </c>
      <c r="H771">
        <v>2E+20</v>
      </c>
      <c r="I771">
        <v>0.89210470618809301</v>
      </c>
      <c r="J771">
        <v>1.95290613718146</v>
      </c>
      <c r="K771">
        <v>147</v>
      </c>
      <c r="L771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71" cm="1">
        <f t="array" ref="M771">MAX(IF((ProjectInfoTable[ProjectName]=DiscreteStatsTable[[#This Row],[ProjectName]]),(ProjectInfoTable[ProjectName]=DiscreteStatsTable[[#This Row],[ProjectName]])*ProjectInfoTable[NumberOfReplications]))</f>
        <v>50</v>
      </c>
      <c r="N771" cm="1">
        <f t="array" ref="N771">IFERROR(AVERAGE(IF((DiscreteStatsTable[GroupByKey]=DiscreteStatsTable[[#This Row],[GroupByKey]]),(DiscreteStatsTable[GroupByKey]=DiscreteStatsTable[[#This Row],[GroupByKey]])*DiscreteStatsTable[Average])),0)</f>
        <v>1.3401298911962516</v>
      </c>
      <c r="O771" cm="1">
        <f t="array" ref="O771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71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71" cm="1">
        <f t="array" ref="R771">MIN(IF((DiscreteStatsTable[GroupByKey]=DiscreteStatsTable[[#This Row],[GroupByKey]]),(DiscreteStatsTable[GroupByKey]=DiscreteStatsTable[[#This Row],[GroupByKey]])*DiscreteStatsTable[Average]))</f>
        <v>1.29733858670444</v>
      </c>
      <c r="S771" cm="1">
        <f t="array" ref="S771">MAX(IF((DiscreteStatsTable[GroupByKey]=DiscreteStatsTable[[#This Row],[GroupByKey]]),(DiscreteStatsTable[GroupByKey]=DiscreteStatsTable[[#This Row],[GroupByKey]])*DiscreteStatsTable[Average]))</f>
        <v>1.3970236913396601</v>
      </c>
      <c r="T771" cm="1">
        <f t="array" ref="T771">MIN(IF((DiscreteStatsTable[GroupByKey]=DiscreteStatsTable[[#This Row],[GroupByKey]]),(DiscreteStatsTable[GroupByKey]=DiscreteStatsTable[[#This Row],[GroupByKey]])*DiscreteStatsTable[Minimum]))</f>
        <v>0.81279832598784196</v>
      </c>
      <c r="U771" cm="1">
        <f t="array" ref="U771">MAX(IF((DiscreteStatsTable[GroupByKey]=DiscreteStatsTable[[#This Row],[GroupByKey]]),(DiscreteStatsTable[GroupByKey]=DiscreteStatsTable[[#This Row],[GroupByKey]])*DiscreteStatsTable[Maximum]))</f>
        <v>2.8790847793122198</v>
      </c>
      <c r="V771" cm="1">
        <f t="array" ref="V771">IFERROR(AVERAGE(IF((DiscreteStatsTable[GroupByKey]=DiscreteStatsTable[[#This Row],[GroupByKey]]),(DiscreteStatsTable[GroupByKey]=DiscreteStatsTable[[#This Row],[GroupByKey]])*DiscreteStatsTable[NumberObservations])),0)</f>
        <v>141.32</v>
      </c>
      <c r="W771">
        <f>IF((DiscreteStatsTable[[#This Row],[RepsRequested]]&gt;1),DiscreteStatsTable[[#This Row],[HalfWidth]],DiscreteStatsTable[[#This Row],[BatchMeansHalfWidth]])</f>
        <v>6.1368358796684312E-3</v>
      </c>
      <c r="X771" cm="1">
        <f t="array" ref="X771">COUNT(IF((DiscreteStatsTable[GroupByKey]=DiscreteStatsTable[[#This Row],[GroupByKey]]),(DiscreteStatsTable[GroupByKey]=DiscreteStatsTable[[#This Row],[GroupByKey]])*DiscreteStatsTable[Replication]))</f>
        <v>50</v>
      </c>
      <c r="Y771">
        <f>IF(DiscreteStatsTable[[#This Row],[RepsRequested]]=DiscreteStatsTable[[#This Row],[RepsWithStatObserved]],1,0)</f>
        <v>1</v>
      </c>
    </row>
    <row r="772" spans="1:25" x14ac:dyDescent="0.25">
      <c r="A772" t="s">
        <v>68</v>
      </c>
      <c r="B772" t="s">
        <v>131</v>
      </c>
      <c r="C772">
        <v>21</v>
      </c>
      <c r="D772" t="s">
        <v>88</v>
      </c>
      <c r="E772" t="s">
        <v>89</v>
      </c>
      <c r="F772" t="s">
        <v>90</v>
      </c>
      <c r="G772">
        <v>1.3275598104987001</v>
      </c>
      <c r="H772">
        <v>2E+20</v>
      </c>
      <c r="I772">
        <v>0.90881023226100399</v>
      </c>
      <c r="J772">
        <v>1.9980471578469099</v>
      </c>
      <c r="K772">
        <v>135</v>
      </c>
      <c r="L772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72" cm="1">
        <f t="array" ref="M772">MAX(IF((ProjectInfoTable[ProjectName]=DiscreteStatsTable[[#This Row],[ProjectName]]),(ProjectInfoTable[ProjectName]=DiscreteStatsTable[[#This Row],[ProjectName]])*ProjectInfoTable[NumberOfReplications]))</f>
        <v>50</v>
      </c>
      <c r="N772" cm="1">
        <f t="array" ref="N772">IFERROR(AVERAGE(IF((DiscreteStatsTable[GroupByKey]=DiscreteStatsTable[[#This Row],[GroupByKey]]),(DiscreteStatsTable[GroupByKey]=DiscreteStatsTable[[#This Row],[GroupByKey]])*DiscreteStatsTable[Average])),0)</f>
        <v>1.3401298911962516</v>
      </c>
      <c r="O772" cm="1">
        <f t="array" ref="O772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72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72" cm="1">
        <f t="array" ref="R772">MIN(IF((DiscreteStatsTable[GroupByKey]=DiscreteStatsTable[[#This Row],[GroupByKey]]),(DiscreteStatsTable[GroupByKey]=DiscreteStatsTable[[#This Row],[GroupByKey]])*DiscreteStatsTable[Average]))</f>
        <v>1.29733858670444</v>
      </c>
      <c r="S772" cm="1">
        <f t="array" ref="S772">MAX(IF((DiscreteStatsTable[GroupByKey]=DiscreteStatsTable[[#This Row],[GroupByKey]]),(DiscreteStatsTable[GroupByKey]=DiscreteStatsTable[[#This Row],[GroupByKey]])*DiscreteStatsTable[Average]))</f>
        <v>1.3970236913396601</v>
      </c>
      <c r="T772" cm="1">
        <f t="array" ref="T772">MIN(IF((DiscreteStatsTable[GroupByKey]=DiscreteStatsTable[[#This Row],[GroupByKey]]),(DiscreteStatsTable[GroupByKey]=DiscreteStatsTable[[#This Row],[GroupByKey]])*DiscreteStatsTable[Minimum]))</f>
        <v>0.81279832598784196</v>
      </c>
      <c r="U772" cm="1">
        <f t="array" ref="U772">MAX(IF((DiscreteStatsTable[GroupByKey]=DiscreteStatsTable[[#This Row],[GroupByKey]]),(DiscreteStatsTable[GroupByKey]=DiscreteStatsTable[[#This Row],[GroupByKey]])*DiscreteStatsTable[Maximum]))</f>
        <v>2.8790847793122198</v>
      </c>
      <c r="V772" cm="1">
        <f t="array" ref="V772">IFERROR(AVERAGE(IF((DiscreteStatsTable[GroupByKey]=DiscreteStatsTable[[#This Row],[GroupByKey]]),(DiscreteStatsTable[GroupByKey]=DiscreteStatsTable[[#This Row],[GroupByKey]])*DiscreteStatsTable[NumberObservations])),0)</f>
        <v>141.32</v>
      </c>
      <c r="W772">
        <f>IF((DiscreteStatsTable[[#This Row],[RepsRequested]]&gt;1),DiscreteStatsTable[[#This Row],[HalfWidth]],DiscreteStatsTable[[#This Row],[BatchMeansHalfWidth]])</f>
        <v>6.1368358796684312E-3</v>
      </c>
      <c r="X772" cm="1">
        <f t="array" ref="X772">COUNT(IF((DiscreteStatsTable[GroupByKey]=DiscreteStatsTable[[#This Row],[GroupByKey]]),(DiscreteStatsTable[GroupByKey]=DiscreteStatsTable[[#This Row],[GroupByKey]])*DiscreteStatsTable[Replication]))</f>
        <v>50</v>
      </c>
      <c r="Y772">
        <f>IF(DiscreteStatsTable[[#This Row],[RepsRequested]]=DiscreteStatsTable[[#This Row],[RepsWithStatObserved]],1,0)</f>
        <v>1</v>
      </c>
    </row>
    <row r="773" spans="1:25" x14ac:dyDescent="0.25">
      <c r="A773" t="s">
        <v>68</v>
      </c>
      <c r="B773" t="s">
        <v>131</v>
      </c>
      <c r="C773">
        <v>22</v>
      </c>
      <c r="D773" t="s">
        <v>88</v>
      </c>
      <c r="E773" t="s">
        <v>89</v>
      </c>
      <c r="F773" t="s">
        <v>90</v>
      </c>
      <c r="G773">
        <v>1.3767718347356299</v>
      </c>
      <c r="H773">
        <v>2E+20</v>
      </c>
      <c r="I773">
        <v>0.85087201274239999</v>
      </c>
      <c r="J773">
        <v>2.24765798901214</v>
      </c>
      <c r="K773">
        <v>150</v>
      </c>
      <c r="L773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73" cm="1">
        <f t="array" ref="M773">MAX(IF((ProjectInfoTable[ProjectName]=DiscreteStatsTable[[#This Row],[ProjectName]]),(ProjectInfoTable[ProjectName]=DiscreteStatsTable[[#This Row],[ProjectName]])*ProjectInfoTable[NumberOfReplications]))</f>
        <v>50</v>
      </c>
      <c r="N773" cm="1">
        <f t="array" ref="N773">IFERROR(AVERAGE(IF((DiscreteStatsTable[GroupByKey]=DiscreteStatsTable[[#This Row],[GroupByKey]]),(DiscreteStatsTable[GroupByKey]=DiscreteStatsTable[[#This Row],[GroupByKey]])*DiscreteStatsTable[Average])),0)</f>
        <v>1.3401298911962516</v>
      </c>
      <c r="O773" cm="1">
        <f t="array" ref="O773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73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73" cm="1">
        <f t="array" ref="R773">MIN(IF((DiscreteStatsTable[GroupByKey]=DiscreteStatsTable[[#This Row],[GroupByKey]]),(DiscreteStatsTable[GroupByKey]=DiscreteStatsTable[[#This Row],[GroupByKey]])*DiscreteStatsTable[Average]))</f>
        <v>1.29733858670444</v>
      </c>
      <c r="S773" cm="1">
        <f t="array" ref="S773">MAX(IF((DiscreteStatsTable[GroupByKey]=DiscreteStatsTable[[#This Row],[GroupByKey]]),(DiscreteStatsTable[GroupByKey]=DiscreteStatsTable[[#This Row],[GroupByKey]])*DiscreteStatsTable[Average]))</f>
        <v>1.3970236913396601</v>
      </c>
      <c r="T773" cm="1">
        <f t="array" ref="T773">MIN(IF((DiscreteStatsTable[GroupByKey]=DiscreteStatsTable[[#This Row],[GroupByKey]]),(DiscreteStatsTable[GroupByKey]=DiscreteStatsTable[[#This Row],[GroupByKey]])*DiscreteStatsTable[Minimum]))</f>
        <v>0.81279832598784196</v>
      </c>
      <c r="U773" cm="1">
        <f t="array" ref="U773">MAX(IF((DiscreteStatsTable[GroupByKey]=DiscreteStatsTable[[#This Row],[GroupByKey]]),(DiscreteStatsTable[GroupByKey]=DiscreteStatsTable[[#This Row],[GroupByKey]])*DiscreteStatsTable[Maximum]))</f>
        <v>2.8790847793122198</v>
      </c>
      <c r="V773" cm="1">
        <f t="array" ref="V773">IFERROR(AVERAGE(IF((DiscreteStatsTable[GroupByKey]=DiscreteStatsTable[[#This Row],[GroupByKey]]),(DiscreteStatsTable[GroupByKey]=DiscreteStatsTable[[#This Row],[GroupByKey]])*DiscreteStatsTable[NumberObservations])),0)</f>
        <v>141.32</v>
      </c>
      <c r="W773">
        <f>IF((DiscreteStatsTable[[#This Row],[RepsRequested]]&gt;1),DiscreteStatsTable[[#This Row],[HalfWidth]],DiscreteStatsTable[[#This Row],[BatchMeansHalfWidth]])</f>
        <v>6.1368358796684312E-3</v>
      </c>
      <c r="X773" cm="1">
        <f t="array" ref="X773">COUNT(IF((DiscreteStatsTable[GroupByKey]=DiscreteStatsTable[[#This Row],[GroupByKey]]),(DiscreteStatsTable[GroupByKey]=DiscreteStatsTable[[#This Row],[GroupByKey]])*DiscreteStatsTable[Replication]))</f>
        <v>50</v>
      </c>
      <c r="Y773">
        <f>IF(DiscreteStatsTable[[#This Row],[RepsRequested]]=DiscreteStatsTable[[#This Row],[RepsWithStatObserved]],1,0)</f>
        <v>1</v>
      </c>
    </row>
    <row r="774" spans="1:25" x14ac:dyDescent="0.25">
      <c r="A774" t="s">
        <v>68</v>
      </c>
      <c r="B774" t="s">
        <v>131</v>
      </c>
      <c r="C774">
        <v>23</v>
      </c>
      <c r="D774" t="s">
        <v>88</v>
      </c>
      <c r="E774" t="s">
        <v>89</v>
      </c>
      <c r="F774" t="s">
        <v>90</v>
      </c>
      <c r="G774">
        <v>1.3629557129463701</v>
      </c>
      <c r="H774">
        <v>2E+20</v>
      </c>
      <c r="I774">
        <v>0.94317982221028995</v>
      </c>
      <c r="J774">
        <v>2.1000424217067999</v>
      </c>
      <c r="K774">
        <v>148</v>
      </c>
      <c r="L774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74" cm="1">
        <f t="array" ref="M774">MAX(IF((ProjectInfoTable[ProjectName]=DiscreteStatsTable[[#This Row],[ProjectName]]),(ProjectInfoTable[ProjectName]=DiscreteStatsTable[[#This Row],[ProjectName]])*ProjectInfoTable[NumberOfReplications]))</f>
        <v>50</v>
      </c>
      <c r="N774" cm="1">
        <f t="array" ref="N774">IFERROR(AVERAGE(IF((DiscreteStatsTable[GroupByKey]=DiscreteStatsTable[[#This Row],[GroupByKey]]),(DiscreteStatsTable[GroupByKey]=DiscreteStatsTable[[#This Row],[GroupByKey]])*DiscreteStatsTable[Average])),0)</f>
        <v>1.3401298911962516</v>
      </c>
      <c r="O774" cm="1">
        <f t="array" ref="O774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74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74" cm="1">
        <f t="array" ref="R774">MIN(IF((DiscreteStatsTable[GroupByKey]=DiscreteStatsTable[[#This Row],[GroupByKey]]),(DiscreteStatsTable[GroupByKey]=DiscreteStatsTable[[#This Row],[GroupByKey]])*DiscreteStatsTable[Average]))</f>
        <v>1.29733858670444</v>
      </c>
      <c r="S774" cm="1">
        <f t="array" ref="S774">MAX(IF((DiscreteStatsTable[GroupByKey]=DiscreteStatsTable[[#This Row],[GroupByKey]]),(DiscreteStatsTable[GroupByKey]=DiscreteStatsTable[[#This Row],[GroupByKey]])*DiscreteStatsTable[Average]))</f>
        <v>1.3970236913396601</v>
      </c>
      <c r="T774" cm="1">
        <f t="array" ref="T774">MIN(IF((DiscreteStatsTable[GroupByKey]=DiscreteStatsTable[[#This Row],[GroupByKey]]),(DiscreteStatsTable[GroupByKey]=DiscreteStatsTable[[#This Row],[GroupByKey]])*DiscreteStatsTable[Minimum]))</f>
        <v>0.81279832598784196</v>
      </c>
      <c r="U774" cm="1">
        <f t="array" ref="U774">MAX(IF((DiscreteStatsTable[GroupByKey]=DiscreteStatsTable[[#This Row],[GroupByKey]]),(DiscreteStatsTable[GroupByKey]=DiscreteStatsTable[[#This Row],[GroupByKey]])*DiscreteStatsTable[Maximum]))</f>
        <v>2.8790847793122198</v>
      </c>
      <c r="V774" cm="1">
        <f t="array" ref="V774">IFERROR(AVERAGE(IF((DiscreteStatsTable[GroupByKey]=DiscreteStatsTable[[#This Row],[GroupByKey]]),(DiscreteStatsTable[GroupByKey]=DiscreteStatsTable[[#This Row],[GroupByKey]])*DiscreteStatsTable[NumberObservations])),0)</f>
        <v>141.32</v>
      </c>
      <c r="W774">
        <f>IF((DiscreteStatsTable[[#This Row],[RepsRequested]]&gt;1),DiscreteStatsTable[[#This Row],[HalfWidth]],DiscreteStatsTable[[#This Row],[BatchMeansHalfWidth]])</f>
        <v>6.1368358796684312E-3</v>
      </c>
      <c r="X774" cm="1">
        <f t="array" ref="X774">COUNT(IF((DiscreteStatsTable[GroupByKey]=DiscreteStatsTable[[#This Row],[GroupByKey]]),(DiscreteStatsTable[GroupByKey]=DiscreteStatsTable[[#This Row],[GroupByKey]])*DiscreteStatsTable[Replication]))</f>
        <v>50</v>
      </c>
      <c r="Y774">
        <f>IF(DiscreteStatsTable[[#This Row],[RepsRequested]]=DiscreteStatsTable[[#This Row],[RepsWithStatObserved]],1,0)</f>
        <v>1</v>
      </c>
    </row>
    <row r="775" spans="1:25" x14ac:dyDescent="0.25">
      <c r="A775" t="s">
        <v>68</v>
      </c>
      <c r="B775" t="s">
        <v>131</v>
      </c>
      <c r="C775">
        <v>24</v>
      </c>
      <c r="D775" t="s">
        <v>88</v>
      </c>
      <c r="E775" t="s">
        <v>89</v>
      </c>
      <c r="F775" t="s">
        <v>90</v>
      </c>
      <c r="G775">
        <v>1.36476978433575</v>
      </c>
      <c r="H775">
        <v>2E+20</v>
      </c>
      <c r="I775">
        <v>0.87199667261302205</v>
      </c>
      <c r="J775">
        <v>2.1270398952281102</v>
      </c>
      <c r="K775">
        <v>139</v>
      </c>
      <c r="L775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75" cm="1">
        <f t="array" ref="M775">MAX(IF((ProjectInfoTable[ProjectName]=DiscreteStatsTable[[#This Row],[ProjectName]]),(ProjectInfoTable[ProjectName]=DiscreteStatsTable[[#This Row],[ProjectName]])*ProjectInfoTable[NumberOfReplications]))</f>
        <v>50</v>
      </c>
      <c r="N775" cm="1">
        <f t="array" ref="N775">IFERROR(AVERAGE(IF((DiscreteStatsTable[GroupByKey]=DiscreteStatsTable[[#This Row],[GroupByKey]]),(DiscreteStatsTable[GroupByKey]=DiscreteStatsTable[[#This Row],[GroupByKey]])*DiscreteStatsTable[Average])),0)</f>
        <v>1.3401298911962516</v>
      </c>
      <c r="O775" cm="1">
        <f t="array" ref="O775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7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75" cm="1">
        <f t="array" ref="R775">MIN(IF((DiscreteStatsTable[GroupByKey]=DiscreteStatsTable[[#This Row],[GroupByKey]]),(DiscreteStatsTable[GroupByKey]=DiscreteStatsTable[[#This Row],[GroupByKey]])*DiscreteStatsTable[Average]))</f>
        <v>1.29733858670444</v>
      </c>
      <c r="S775" cm="1">
        <f t="array" ref="S775">MAX(IF((DiscreteStatsTable[GroupByKey]=DiscreteStatsTable[[#This Row],[GroupByKey]]),(DiscreteStatsTable[GroupByKey]=DiscreteStatsTable[[#This Row],[GroupByKey]])*DiscreteStatsTable[Average]))</f>
        <v>1.3970236913396601</v>
      </c>
      <c r="T775" cm="1">
        <f t="array" ref="T775">MIN(IF((DiscreteStatsTable[GroupByKey]=DiscreteStatsTable[[#This Row],[GroupByKey]]),(DiscreteStatsTable[GroupByKey]=DiscreteStatsTable[[#This Row],[GroupByKey]])*DiscreteStatsTable[Minimum]))</f>
        <v>0.81279832598784196</v>
      </c>
      <c r="U775" cm="1">
        <f t="array" ref="U775">MAX(IF((DiscreteStatsTable[GroupByKey]=DiscreteStatsTable[[#This Row],[GroupByKey]]),(DiscreteStatsTable[GroupByKey]=DiscreteStatsTable[[#This Row],[GroupByKey]])*DiscreteStatsTable[Maximum]))</f>
        <v>2.8790847793122198</v>
      </c>
      <c r="V775" cm="1">
        <f t="array" ref="V775">IFERROR(AVERAGE(IF((DiscreteStatsTable[GroupByKey]=DiscreteStatsTable[[#This Row],[GroupByKey]]),(DiscreteStatsTable[GroupByKey]=DiscreteStatsTable[[#This Row],[GroupByKey]])*DiscreteStatsTable[NumberObservations])),0)</f>
        <v>141.32</v>
      </c>
      <c r="W775">
        <f>IF((DiscreteStatsTable[[#This Row],[RepsRequested]]&gt;1),DiscreteStatsTable[[#This Row],[HalfWidth]],DiscreteStatsTable[[#This Row],[BatchMeansHalfWidth]])</f>
        <v>6.1368358796684312E-3</v>
      </c>
      <c r="X775" cm="1">
        <f t="array" ref="X775">COUNT(IF((DiscreteStatsTable[GroupByKey]=DiscreteStatsTable[[#This Row],[GroupByKey]]),(DiscreteStatsTable[GroupByKey]=DiscreteStatsTable[[#This Row],[GroupByKey]])*DiscreteStatsTable[Replication]))</f>
        <v>50</v>
      </c>
      <c r="Y775">
        <f>IF(DiscreteStatsTable[[#This Row],[RepsRequested]]=DiscreteStatsTable[[#This Row],[RepsWithStatObserved]],1,0)</f>
        <v>1</v>
      </c>
    </row>
    <row r="776" spans="1:25" x14ac:dyDescent="0.25">
      <c r="A776" t="s">
        <v>68</v>
      </c>
      <c r="B776" t="s">
        <v>131</v>
      </c>
      <c r="C776">
        <v>25</v>
      </c>
      <c r="D776" t="s">
        <v>88</v>
      </c>
      <c r="E776" t="s">
        <v>89</v>
      </c>
      <c r="F776" t="s">
        <v>90</v>
      </c>
      <c r="G776">
        <v>1.34778569925461</v>
      </c>
      <c r="H776">
        <v>2E+20</v>
      </c>
      <c r="I776">
        <v>0.88689069121130604</v>
      </c>
      <c r="J776">
        <v>2.8790847793122198</v>
      </c>
      <c r="K776">
        <v>146</v>
      </c>
      <c r="L776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76" cm="1">
        <f t="array" ref="M776">MAX(IF((ProjectInfoTable[ProjectName]=DiscreteStatsTable[[#This Row],[ProjectName]]),(ProjectInfoTable[ProjectName]=DiscreteStatsTable[[#This Row],[ProjectName]])*ProjectInfoTable[NumberOfReplications]))</f>
        <v>50</v>
      </c>
      <c r="N776" cm="1">
        <f t="array" ref="N776">IFERROR(AVERAGE(IF((DiscreteStatsTable[GroupByKey]=DiscreteStatsTable[[#This Row],[GroupByKey]]),(DiscreteStatsTable[GroupByKey]=DiscreteStatsTable[[#This Row],[GroupByKey]])*DiscreteStatsTable[Average])),0)</f>
        <v>1.3401298911962516</v>
      </c>
      <c r="O776" cm="1">
        <f t="array" ref="O776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76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76" cm="1">
        <f t="array" ref="R776">MIN(IF((DiscreteStatsTable[GroupByKey]=DiscreteStatsTable[[#This Row],[GroupByKey]]),(DiscreteStatsTable[GroupByKey]=DiscreteStatsTable[[#This Row],[GroupByKey]])*DiscreteStatsTable[Average]))</f>
        <v>1.29733858670444</v>
      </c>
      <c r="S776" cm="1">
        <f t="array" ref="S776">MAX(IF((DiscreteStatsTable[GroupByKey]=DiscreteStatsTable[[#This Row],[GroupByKey]]),(DiscreteStatsTable[GroupByKey]=DiscreteStatsTable[[#This Row],[GroupByKey]])*DiscreteStatsTable[Average]))</f>
        <v>1.3970236913396601</v>
      </c>
      <c r="T776" cm="1">
        <f t="array" ref="T776">MIN(IF((DiscreteStatsTable[GroupByKey]=DiscreteStatsTable[[#This Row],[GroupByKey]]),(DiscreteStatsTable[GroupByKey]=DiscreteStatsTable[[#This Row],[GroupByKey]])*DiscreteStatsTable[Minimum]))</f>
        <v>0.81279832598784196</v>
      </c>
      <c r="U776" cm="1">
        <f t="array" ref="U776">MAX(IF((DiscreteStatsTable[GroupByKey]=DiscreteStatsTable[[#This Row],[GroupByKey]]),(DiscreteStatsTable[GroupByKey]=DiscreteStatsTable[[#This Row],[GroupByKey]])*DiscreteStatsTable[Maximum]))</f>
        <v>2.8790847793122198</v>
      </c>
      <c r="V776" cm="1">
        <f t="array" ref="V776">IFERROR(AVERAGE(IF((DiscreteStatsTable[GroupByKey]=DiscreteStatsTable[[#This Row],[GroupByKey]]),(DiscreteStatsTable[GroupByKey]=DiscreteStatsTable[[#This Row],[GroupByKey]])*DiscreteStatsTable[NumberObservations])),0)</f>
        <v>141.32</v>
      </c>
      <c r="W776">
        <f>IF((DiscreteStatsTable[[#This Row],[RepsRequested]]&gt;1),DiscreteStatsTable[[#This Row],[HalfWidth]],DiscreteStatsTable[[#This Row],[BatchMeansHalfWidth]])</f>
        <v>6.1368358796684312E-3</v>
      </c>
      <c r="X776" cm="1">
        <f t="array" ref="X776">COUNT(IF((DiscreteStatsTable[GroupByKey]=DiscreteStatsTable[[#This Row],[GroupByKey]]),(DiscreteStatsTable[GroupByKey]=DiscreteStatsTable[[#This Row],[GroupByKey]])*DiscreteStatsTable[Replication]))</f>
        <v>50</v>
      </c>
      <c r="Y776">
        <f>IF(DiscreteStatsTable[[#This Row],[RepsRequested]]=DiscreteStatsTable[[#This Row],[RepsWithStatObserved]],1,0)</f>
        <v>1</v>
      </c>
    </row>
    <row r="777" spans="1:25" x14ac:dyDescent="0.25">
      <c r="A777" t="s">
        <v>68</v>
      </c>
      <c r="B777" t="s">
        <v>131</v>
      </c>
      <c r="C777">
        <v>26</v>
      </c>
      <c r="D777" t="s">
        <v>88</v>
      </c>
      <c r="E777" t="s">
        <v>89</v>
      </c>
      <c r="F777" t="s">
        <v>90</v>
      </c>
      <c r="G777">
        <v>1.35108055279949</v>
      </c>
      <c r="H777">
        <v>2E+20</v>
      </c>
      <c r="I777">
        <v>0.86823123422584603</v>
      </c>
      <c r="J777">
        <v>2.0437352391543899</v>
      </c>
      <c r="K777">
        <v>143</v>
      </c>
      <c r="L777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77" cm="1">
        <f t="array" ref="M777">MAX(IF((ProjectInfoTable[ProjectName]=DiscreteStatsTable[[#This Row],[ProjectName]]),(ProjectInfoTable[ProjectName]=DiscreteStatsTable[[#This Row],[ProjectName]])*ProjectInfoTable[NumberOfReplications]))</f>
        <v>50</v>
      </c>
      <c r="N777" cm="1">
        <f t="array" ref="N777">IFERROR(AVERAGE(IF((DiscreteStatsTable[GroupByKey]=DiscreteStatsTable[[#This Row],[GroupByKey]]),(DiscreteStatsTable[GroupByKey]=DiscreteStatsTable[[#This Row],[GroupByKey]])*DiscreteStatsTable[Average])),0)</f>
        <v>1.3401298911962516</v>
      </c>
      <c r="O777" cm="1">
        <f t="array" ref="O777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77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77" cm="1">
        <f t="array" ref="R777">MIN(IF((DiscreteStatsTable[GroupByKey]=DiscreteStatsTable[[#This Row],[GroupByKey]]),(DiscreteStatsTable[GroupByKey]=DiscreteStatsTable[[#This Row],[GroupByKey]])*DiscreteStatsTable[Average]))</f>
        <v>1.29733858670444</v>
      </c>
      <c r="S777" cm="1">
        <f t="array" ref="S777">MAX(IF((DiscreteStatsTable[GroupByKey]=DiscreteStatsTable[[#This Row],[GroupByKey]]),(DiscreteStatsTable[GroupByKey]=DiscreteStatsTable[[#This Row],[GroupByKey]])*DiscreteStatsTable[Average]))</f>
        <v>1.3970236913396601</v>
      </c>
      <c r="T777" cm="1">
        <f t="array" ref="T777">MIN(IF((DiscreteStatsTable[GroupByKey]=DiscreteStatsTable[[#This Row],[GroupByKey]]),(DiscreteStatsTable[GroupByKey]=DiscreteStatsTable[[#This Row],[GroupByKey]])*DiscreteStatsTable[Minimum]))</f>
        <v>0.81279832598784196</v>
      </c>
      <c r="U777" cm="1">
        <f t="array" ref="U777">MAX(IF((DiscreteStatsTable[GroupByKey]=DiscreteStatsTable[[#This Row],[GroupByKey]]),(DiscreteStatsTable[GroupByKey]=DiscreteStatsTable[[#This Row],[GroupByKey]])*DiscreteStatsTable[Maximum]))</f>
        <v>2.8790847793122198</v>
      </c>
      <c r="V777" cm="1">
        <f t="array" ref="V777">IFERROR(AVERAGE(IF((DiscreteStatsTable[GroupByKey]=DiscreteStatsTable[[#This Row],[GroupByKey]]),(DiscreteStatsTable[GroupByKey]=DiscreteStatsTable[[#This Row],[GroupByKey]])*DiscreteStatsTable[NumberObservations])),0)</f>
        <v>141.32</v>
      </c>
      <c r="W777">
        <f>IF((DiscreteStatsTable[[#This Row],[RepsRequested]]&gt;1),DiscreteStatsTable[[#This Row],[HalfWidth]],DiscreteStatsTable[[#This Row],[BatchMeansHalfWidth]])</f>
        <v>6.1368358796684312E-3</v>
      </c>
      <c r="X777" cm="1">
        <f t="array" ref="X777">COUNT(IF((DiscreteStatsTable[GroupByKey]=DiscreteStatsTable[[#This Row],[GroupByKey]]),(DiscreteStatsTable[GroupByKey]=DiscreteStatsTable[[#This Row],[GroupByKey]])*DiscreteStatsTable[Replication]))</f>
        <v>50</v>
      </c>
      <c r="Y777">
        <f>IF(DiscreteStatsTable[[#This Row],[RepsRequested]]=DiscreteStatsTable[[#This Row],[RepsWithStatObserved]],1,0)</f>
        <v>1</v>
      </c>
    </row>
    <row r="778" spans="1:25" x14ac:dyDescent="0.25">
      <c r="A778" t="s">
        <v>68</v>
      </c>
      <c r="B778" t="s">
        <v>131</v>
      </c>
      <c r="C778">
        <v>27</v>
      </c>
      <c r="D778" t="s">
        <v>88</v>
      </c>
      <c r="E778" t="s">
        <v>89</v>
      </c>
      <c r="F778" t="s">
        <v>90</v>
      </c>
      <c r="G778">
        <v>1.3377064600975399</v>
      </c>
      <c r="H778">
        <v>2E+20</v>
      </c>
      <c r="I778">
        <v>0.81540602101540605</v>
      </c>
      <c r="J778">
        <v>2.0558150128829902</v>
      </c>
      <c r="K778">
        <v>151</v>
      </c>
      <c r="L778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78" cm="1">
        <f t="array" ref="M778">MAX(IF((ProjectInfoTable[ProjectName]=DiscreteStatsTable[[#This Row],[ProjectName]]),(ProjectInfoTable[ProjectName]=DiscreteStatsTable[[#This Row],[ProjectName]])*ProjectInfoTable[NumberOfReplications]))</f>
        <v>50</v>
      </c>
      <c r="N778" cm="1">
        <f t="array" ref="N778">IFERROR(AVERAGE(IF((DiscreteStatsTable[GroupByKey]=DiscreteStatsTable[[#This Row],[GroupByKey]]),(DiscreteStatsTable[GroupByKey]=DiscreteStatsTable[[#This Row],[GroupByKey]])*DiscreteStatsTable[Average])),0)</f>
        <v>1.3401298911962516</v>
      </c>
      <c r="O778" cm="1">
        <f t="array" ref="O778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78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78" cm="1">
        <f t="array" ref="R778">MIN(IF((DiscreteStatsTable[GroupByKey]=DiscreteStatsTable[[#This Row],[GroupByKey]]),(DiscreteStatsTable[GroupByKey]=DiscreteStatsTable[[#This Row],[GroupByKey]])*DiscreteStatsTable[Average]))</f>
        <v>1.29733858670444</v>
      </c>
      <c r="S778" cm="1">
        <f t="array" ref="S778">MAX(IF((DiscreteStatsTable[GroupByKey]=DiscreteStatsTable[[#This Row],[GroupByKey]]),(DiscreteStatsTable[GroupByKey]=DiscreteStatsTable[[#This Row],[GroupByKey]])*DiscreteStatsTable[Average]))</f>
        <v>1.3970236913396601</v>
      </c>
      <c r="T778" cm="1">
        <f t="array" ref="T778">MIN(IF((DiscreteStatsTable[GroupByKey]=DiscreteStatsTable[[#This Row],[GroupByKey]]),(DiscreteStatsTable[GroupByKey]=DiscreteStatsTable[[#This Row],[GroupByKey]])*DiscreteStatsTable[Minimum]))</f>
        <v>0.81279832598784196</v>
      </c>
      <c r="U778" cm="1">
        <f t="array" ref="U778">MAX(IF((DiscreteStatsTable[GroupByKey]=DiscreteStatsTable[[#This Row],[GroupByKey]]),(DiscreteStatsTable[GroupByKey]=DiscreteStatsTable[[#This Row],[GroupByKey]])*DiscreteStatsTable[Maximum]))</f>
        <v>2.8790847793122198</v>
      </c>
      <c r="V778" cm="1">
        <f t="array" ref="V778">IFERROR(AVERAGE(IF((DiscreteStatsTable[GroupByKey]=DiscreteStatsTable[[#This Row],[GroupByKey]]),(DiscreteStatsTable[GroupByKey]=DiscreteStatsTable[[#This Row],[GroupByKey]])*DiscreteStatsTable[NumberObservations])),0)</f>
        <v>141.32</v>
      </c>
      <c r="W778">
        <f>IF((DiscreteStatsTable[[#This Row],[RepsRequested]]&gt;1),DiscreteStatsTable[[#This Row],[HalfWidth]],DiscreteStatsTable[[#This Row],[BatchMeansHalfWidth]])</f>
        <v>6.1368358796684312E-3</v>
      </c>
      <c r="X778" cm="1">
        <f t="array" ref="X778">COUNT(IF((DiscreteStatsTable[GroupByKey]=DiscreteStatsTable[[#This Row],[GroupByKey]]),(DiscreteStatsTable[GroupByKey]=DiscreteStatsTable[[#This Row],[GroupByKey]])*DiscreteStatsTable[Replication]))</f>
        <v>50</v>
      </c>
      <c r="Y778">
        <f>IF(DiscreteStatsTable[[#This Row],[RepsRequested]]=DiscreteStatsTable[[#This Row],[RepsWithStatObserved]],1,0)</f>
        <v>1</v>
      </c>
    </row>
    <row r="779" spans="1:25" x14ac:dyDescent="0.25">
      <c r="A779" t="s">
        <v>68</v>
      </c>
      <c r="B779" t="s">
        <v>131</v>
      </c>
      <c r="C779">
        <v>28</v>
      </c>
      <c r="D779" t="s">
        <v>88</v>
      </c>
      <c r="E779" t="s">
        <v>89</v>
      </c>
      <c r="F779" t="s">
        <v>90</v>
      </c>
      <c r="G779">
        <v>1.3885490468497199</v>
      </c>
      <c r="H779">
        <v>2E+20</v>
      </c>
      <c r="I779">
        <v>0.96876268484896899</v>
      </c>
      <c r="J779">
        <v>2.2648641585757998</v>
      </c>
      <c r="K779">
        <v>148</v>
      </c>
      <c r="L779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79" cm="1">
        <f t="array" ref="M779">MAX(IF((ProjectInfoTable[ProjectName]=DiscreteStatsTable[[#This Row],[ProjectName]]),(ProjectInfoTable[ProjectName]=DiscreteStatsTable[[#This Row],[ProjectName]])*ProjectInfoTable[NumberOfReplications]))</f>
        <v>50</v>
      </c>
      <c r="N779" cm="1">
        <f t="array" ref="N779">IFERROR(AVERAGE(IF((DiscreteStatsTable[GroupByKey]=DiscreteStatsTable[[#This Row],[GroupByKey]]),(DiscreteStatsTable[GroupByKey]=DiscreteStatsTable[[#This Row],[GroupByKey]])*DiscreteStatsTable[Average])),0)</f>
        <v>1.3401298911962516</v>
      </c>
      <c r="O779" cm="1">
        <f t="array" ref="O779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79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79" cm="1">
        <f t="array" ref="R779">MIN(IF((DiscreteStatsTable[GroupByKey]=DiscreteStatsTable[[#This Row],[GroupByKey]]),(DiscreteStatsTable[GroupByKey]=DiscreteStatsTable[[#This Row],[GroupByKey]])*DiscreteStatsTable[Average]))</f>
        <v>1.29733858670444</v>
      </c>
      <c r="S779" cm="1">
        <f t="array" ref="S779">MAX(IF((DiscreteStatsTable[GroupByKey]=DiscreteStatsTable[[#This Row],[GroupByKey]]),(DiscreteStatsTable[GroupByKey]=DiscreteStatsTable[[#This Row],[GroupByKey]])*DiscreteStatsTable[Average]))</f>
        <v>1.3970236913396601</v>
      </c>
      <c r="T779" cm="1">
        <f t="array" ref="T779">MIN(IF((DiscreteStatsTable[GroupByKey]=DiscreteStatsTable[[#This Row],[GroupByKey]]),(DiscreteStatsTable[GroupByKey]=DiscreteStatsTable[[#This Row],[GroupByKey]])*DiscreteStatsTable[Minimum]))</f>
        <v>0.81279832598784196</v>
      </c>
      <c r="U779" cm="1">
        <f t="array" ref="U779">MAX(IF((DiscreteStatsTable[GroupByKey]=DiscreteStatsTable[[#This Row],[GroupByKey]]),(DiscreteStatsTable[GroupByKey]=DiscreteStatsTable[[#This Row],[GroupByKey]])*DiscreteStatsTable[Maximum]))</f>
        <v>2.8790847793122198</v>
      </c>
      <c r="V779" cm="1">
        <f t="array" ref="V779">IFERROR(AVERAGE(IF((DiscreteStatsTable[GroupByKey]=DiscreteStatsTable[[#This Row],[GroupByKey]]),(DiscreteStatsTable[GroupByKey]=DiscreteStatsTable[[#This Row],[GroupByKey]])*DiscreteStatsTable[NumberObservations])),0)</f>
        <v>141.32</v>
      </c>
      <c r="W779">
        <f>IF((DiscreteStatsTable[[#This Row],[RepsRequested]]&gt;1),DiscreteStatsTable[[#This Row],[HalfWidth]],DiscreteStatsTable[[#This Row],[BatchMeansHalfWidth]])</f>
        <v>6.1368358796684312E-3</v>
      </c>
      <c r="X779" cm="1">
        <f t="array" ref="X779">COUNT(IF((DiscreteStatsTable[GroupByKey]=DiscreteStatsTable[[#This Row],[GroupByKey]]),(DiscreteStatsTable[GroupByKey]=DiscreteStatsTable[[#This Row],[GroupByKey]])*DiscreteStatsTable[Replication]))</f>
        <v>50</v>
      </c>
      <c r="Y779">
        <f>IF(DiscreteStatsTable[[#This Row],[RepsRequested]]=DiscreteStatsTable[[#This Row],[RepsWithStatObserved]],1,0)</f>
        <v>1</v>
      </c>
    </row>
    <row r="780" spans="1:25" x14ac:dyDescent="0.25">
      <c r="A780" t="s">
        <v>68</v>
      </c>
      <c r="B780" t="s">
        <v>131</v>
      </c>
      <c r="C780">
        <v>29</v>
      </c>
      <c r="D780" t="s">
        <v>88</v>
      </c>
      <c r="E780" t="s">
        <v>89</v>
      </c>
      <c r="F780" t="s">
        <v>90</v>
      </c>
      <c r="G780">
        <v>1.33264566070958</v>
      </c>
      <c r="H780">
        <v>2E+20</v>
      </c>
      <c r="I780">
        <v>0.89240167057414499</v>
      </c>
      <c r="J780">
        <v>1.9378063401783301</v>
      </c>
      <c r="K780">
        <v>132</v>
      </c>
      <c r="L780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80" cm="1">
        <f t="array" ref="M780">MAX(IF((ProjectInfoTable[ProjectName]=DiscreteStatsTable[[#This Row],[ProjectName]]),(ProjectInfoTable[ProjectName]=DiscreteStatsTable[[#This Row],[ProjectName]])*ProjectInfoTable[NumberOfReplications]))</f>
        <v>50</v>
      </c>
      <c r="N780" cm="1">
        <f t="array" ref="N780">IFERROR(AVERAGE(IF((DiscreteStatsTable[GroupByKey]=DiscreteStatsTable[[#This Row],[GroupByKey]]),(DiscreteStatsTable[GroupByKey]=DiscreteStatsTable[[#This Row],[GroupByKey]])*DiscreteStatsTable[Average])),0)</f>
        <v>1.3401298911962516</v>
      </c>
      <c r="O780" cm="1">
        <f t="array" ref="O780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80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80" cm="1">
        <f t="array" ref="R780">MIN(IF((DiscreteStatsTable[GroupByKey]=DiscreteStatsTable[[#This Row],[GroupByKey]]),(DiscreteStatsTable[GroupByKey]=DiscreteStatsTable[[#This Row],[GroupByKey]])*DiscreteStatsTable[Average]))</f>
        <v>1.29733858670444</v>
      </c>
      <c r="S780" cm="1">
        <f t="array" ref="S780">MAX(IF((DiscreteStatsTable[GroupByKey]=DiscreteStatsTable[[#This Row],[GroupByKey]]),(DiscreteStatsTable[GroupByKey]=DiscreteStatsTable[[#This Row],[GroupByKey]])*DiscreteStatsTable[Average]))</f>
        <v>1.3970236913396601</v>
      </c>
      <c r="T780" cm="1">
        <f t="array" ref="T780">MIN(IF((DiscreteStatsTable[GroupByKey]=DiscreteStatsTable[[#This Row],[GroupByKey]]),(DiscreteStatsTable[GroupByKey]=DiscreteStatsTable[[#This Row],[GroupByKey]])*DiscreteStatsTable[Minimum]))</f>
        <v>0.81279832598784196</v>
      </c>
      <c r="U780" cm="1">
        <f t="array" ref="U780">MAX(IF((DiscreteStatsTable[GroupByKey]=DiscreteStatsTable[[#This Row],[GroupByKey]]),(DiscreteStatsTable[GroupByKey]=DiscreteStatsTable[[#This Row],[GroupByKey]])*DiscreteStatsTable[Maximum]))</f>
        <v>2.8790847793122198</v>
      </c>
      <c r="V780" cm="1">
        <f t="array" ref="V780">IFERROR(AVERAGE(IF((DiscreteStatsTable[GroupByKey]=DiscreteStatsTable[[#This Row],[GroupByKey]]),(DiscreteStatsTable[GroupByKey]=DiscreteStatsTable[[#This Row],[GroupByKey]])*DiscreteStatsTable[NumberObservations])),0)</f>
        <v>141.32</v>
      </c>
      <c r="W780">
        <f>IF((DiscreteStatsTable[[#This Row],[RepsRequested]]&gt;1),DiscreteStatsTable[[#This Row],[HalfWidth]],DiscreteStatsTable[[#This Row],[BatchMeansHalfWidth]])</f>
        <v>6.1368358796684312E-3</v>
      </c>
      <c r="X780" cm="1">
        <f t="array" ref="X780">COUNT(IF((DiscreteStatsTable[GroupByKey]=DiscreteStatsTable[[#This Row],[GroupByKey]]),(DiscreteStatsTable[GroupByKey]=DiscreteStatsTable[[#This Row],[GroupByKey]])*DiscreteStatsTable[Replication]))</f>
        <v>50</v>
      </c>
      <c r="Y780">
        <f>IF(DiscreteStatsTable[[#This Row],[RepsRequested]]=DiscreteStatsTable[[#This Row],[RepsWithStatObserved]],1,0)</f>
        <v>1</v>
      </c>
    </row>
    <row r="781" spans="1:25" x14ac:dyDescent="0.25">
      <c r="A781" t="s">
        <v>68</v>
      </c>
      <c r="B781" t="s">
        <v>131</v>
      </c>
      <c r="C781">
        <v>30</v>
      </c>
      <c r="D781" t="s">
        <v>88</v>
      </c>
      <c r="E781" t="s">
        <v>89</v>
      </c>
      <c r="F781" t="s">
        <v>90</v>
      </c>
      <c r="G781">
        <v>1.31675287024304</v>
      </c>
      <c r="H781">
        <v>2E+20</v>
      </c>
      <c r="I781">
        <v>0.83634802146588105</v>
      </c>
      <c r="J781">
        <v>1.9487382939384501</v>
      </c>
      <c r="K781">
        <v>154</v>
      </c>
      <c r="L781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81" cm="1">
        <f t="array" ref="M781">MAX(IF((ProjectInfoTable[ProjectName]=DiscreteStatsTable[[#This Row],[ProjectName]]),(ProjectInfoTable[ProjectName]=DiscreteStatsTable[[#This Row],[ProjectName]])*ProjectInfoTable[NumberOfReplications]))</f>
        <v>50</v>
      </c>
      <c r="N781" cm="1">
        <f t="array" ref="N781">IFERROR(AVERAGE(IF((DiscreteStatsTable[GroupByKey]=DiscreteStatsTable[[#This Row],[GroupByKey]]),(DiscreteStatsTable[GroupByKey]=DiscreteStatsTable[[#This Row],[GroupByKey]])*DiscreteStatsTable[Average])),0)</f>
        <v>1.3401298911962516</v>
      </c>
      <c r="O781" cm="1">
        <f t="array" ref="O781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81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81" cm="1">
        <f t="array" ref="R781">MIN(IF((DiscreteStatsTable[GroupByKey]=DiscreteStatsTable[[#This Row],[GroupByKey]]),(DiscreteStatsTable[GroupByKey]=DiscreteStatsTable[[#This Row],[GroupByKey]])*DiscreteStatsTable[Average]))</f>
        <v>1.29733858670444</v>
      </c>
      <c r="S781" cm="1">
        <f t="array" ref="S781">MAX(IF((DiscreteStatsTable[GroupByKey]=DiscreteStatsTable[[#This Row],[GroupByKey]]),(DiscreteStatsTable[GroupByKey]=DiscreteStatsTable[[#This Row],[GroupByKey]])*DiscreteStatsTable[Average]))</f>
        <v>1.3970236913396601</v>
      </c>
      <c r="T781" cm="1">
        <f t="array" ref="T781">MIN(IF((DiscreteStatsTable[GroupByKey]=DiscreteStatsTable[[#This Row],[GroupByKey]]),(DiscreteStatsTable[GroupByKey]=DiscreteStatsTable[[#This Row],[GroupByKey]])*DiscreteStatsTable[Minimum]))</f>
        <v>0.81279832598784196</v>
      </c>
      <c r="U781" cm="1">
        <f t="array" ref="U781">MAX(IF((DiscreteStatsTable[GroupByKey]=DiscreteStatsTable[[#This Row],[GroupByKey]]),(DiscreteStatsTable[GroupByKey]=DiscreteStatsTable[[#This Row],[GroupByKey]])*DiscreteStatsTable[Maximum]))</f>
        <v>2.8790847793122198</v>
      </c>
      <c r="V781" cm="1">
        <f t="array" ref="V781">IFERROR(AVERAGE(IF((DiscreteStatsTable[GroupByKey]=DiscreteStatsTable[[#This Row],[GroupByKey]]),(DiscreteStatsTable[GroupByKey]=DiscreteStatsTable[[#This Row],[GroupByKey]])*DiscreteStatsTable[NumberObservations])),0)</f>
        <v>141.32</v>
      </c>
      <c r="W781">
        <f>IF((DiscreteStatsTable[[#This Row],[RepsRequested]]&gt;1),DiscreteStatsTable[[#This Row],[HalfWidth]],DiscreteStatsTable[[#This Row],[BatchMeansHalfWidth]])</f>
        <v>6.1368358796684312E-3</v>
      </c>
      <c r="X781" cm="1">
        <f t="array" ref="X781">COUNT(IF((DiscreteStatsTable[GroupByKey]=DiscreteStatsTable[[#This Row],[GroupByKey]]),(DiscreteStatsTable[GroupByKey]=DiscreteStatsTable[[#This Row],[GroupByKey]])*DiscreteStatsTable[Replication]))</f>
        <v>50</v>
      </c>
      <c r="Y781">
        <f>IF(DiscreteStatsTable[[#This Row],[RepsRequested]]=DiscreteStatsTable[[#This Row],[RepsWithStatObserved]],1,0)</f>
        <v>1</v>
      </c>
    </row>
    <row r="782" spans="1:25" x14ac:dyDescent="0.25">
      <c r="A782" t="s">
        <v>68</v>
      </c>
      <c r="B782" t="s">
        <v>131</v>
      </c>
      <c r="C782">
        <v>31</v>
      </c>
      <c r="D782" t="s">
        <v>88</v>
      </c>
      <c r="E782" t="s">
        <v>89</v>
      </c>
      <c r="F782" t="s">
        <v>90</v>
      </c>
      <c r="G782">
        <v>1.3354359454229501</v>
      </c>
      <c r="H782">
        <v>2E+20</v>
      </c>
      <c r="I782">
        <v>0.89461481634964501</v>
      </c>
      <c r="J782">
        <v>2.3293483784973401</v>
      </c>
      <c r="K782">
        <v>130</v>
      </c>
      <c r="L782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82" cm="1">
        <f t="array" ref="M782">MAX(IF((ProjectInfoTable[ProjectName]=DiscreteStatsTable[[#This Row],[ProjectName]]),(ProjectInfoTable[ProjectName]=DiscreteStatsTable[[#This Row],[ProjectName]])*ProjectInfoTable[NumberOfReplications]))</f>
        <v>50</v>
      </c>
      <c r="N782" cm="1">
        <f t="array" ref="N782">IFERROR(AVERAGE(IF((DiscreteStatsTable[GroupByKey]=DiscreteStatsTable[[#This Row],[GroupByKey]]),(DiscreteStatsTable[GroupByKey]=DiscreteStatsTable[[#This Row],[GroupByKey]])*DiscreteStatsTable[Average])),0)</f>
        <v>1.3401298911962516</v>
      </c>
      <c r="O782" cm="1">
        <f t="array" ref="O782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82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82" cm="1">
        <f t="array" ref="R782">MIN(IF((DiscreteStatsTable[GroupByKey]=DiscreteStatsTable[[#This Row],[GroupByKey]]),(DiscreteStatsTable[GroupByKey]=DiscreteStatsTable[[#This Row],[GroupByKey]])*DiscreteStatsTable[Average]))</f>
        <v>1.29733858670444</v>
      </c>
      <c r="S782" cm="1">
        <f t="array" ref="S782">MAX(IF((DiscreteStatsTable[GroupByKey]=DiscreteStatsTable[[#This Row],[GroupByKey]]),(DiscreteStatsTable[GroupByKey]=DiscreteStatsTable[[#This Row],[GroupByKey]])*DiscreteStatsTable[Average]))</f>
        <v>1.3970236913396601</v>
      </c>
      <c r="T782" cm="1">
        <f t="array" ref="T782">MIN(IF((DiscreteStatsTable[GroupByKey]=DiscreteStatsTable[[#This Row],[GroupByKey]]),(DiscreteStatsTable[GroupByKey]=DiscreteStatsTable[[#This Row],[GroupByKey]])*DiscreteStatsTable[Minimum]))</f>
        <v>0.81279832598784196</v>
      </c>
      <c r="U782" cm="1">
        <f t="array" ref="U782">MAX(IF((DiscreteStatsTable[GroupByKey]=DiscreteStatsTable[[#This Row],[GroupByKey]]),(DiscreteStatsTable[GroupByKey]=DiscreteStatsTable[[#This Row],[GroupByKey]])*DiscreteStatsTable[Maximum]))</f>
        <v>2.8790847793122198</v>
      </c>
      <c r="V782" cm="1">
        <f t="array" ref="V782">IFERROR(AVERAGE(IF((DiscreteStatsTable[GroupByKey]=DiscreteStatsTable[[#This Row],[GroupByKey]]),(DiscreteStatsTable[GroupByKey]=DiscreteStatsTable[[#This Row],[GroupByKey]])*DiscreteStatsTable[NumberObservations])),0)</f>
        <v>141.32</v>
      </c>
      <c r="W782">
        <f>IF((DiscreteStatsTable[[#This Row],[RepsRequested]]&gt;1),DiscreteStatsTable[[#This Row],[HalfWidth]],DiscreteStatsTable[[#This Row],[BatchMeansHalfWidth]])</f>
        <v>6.1368358796684312E-3</v>
      </c>
      <c r="X782" cm="1">
        <f t="array" ref="X782">COUNT(IF((DiscreteStatsTable[GroupByKey]=DiscreteStatsTable[[#This Row],[GroupByKey]]),(DiscreteStatsTable[GroupByKey]=DiscreteStatsTable[[#This Row],[GroupByKey]])*DiscreteStatsTable[Replication]))</f>
        <v>50</v>
      </c>
      <c r="Y782">
        <f>IF(DiscreteStatsTable[[#This Row],[RepsRequested]]=DiscreteStatsTable[[#This Row],[RepsWithStatObserved]],1,0)</f>
        <v>1</v>
      </c>
    </row>
    <row r="783" spans="1:25" x14ac:dyDescent="0.25">
      <c r="A783" t="s">
        <v>68</v>
      </c>
      <c r="B783" t="s">
        <v>131</v>
      </c>
      <c r="C783">
        <v>32</v>
      </c>
      <c r="D783" t="s">
        <v>88</v>
      </c>
      <c r="E783" t="s">
        <v>89</v>
      </c>
      <c r="F783" t="s">
        <v>90</v>
      </c>
      <c r="G783">
        <v>1.33467174723722</v>
      </c>
      <c r="H783">
        <v>2E+20</v>
      </c>
      <c r="I783">
        <v>0.84968915250215105</v>
      </c>
      <c r="J783">
        <v>1.9565160127532999</v>
      </c>
      <c r="K783">
        <v>143</v>
      </c>
      <c r="L783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83" cm="1">
        <f t="array" ref="M783">MAX(IF((ProjectInfoTable[ProjectName]=DiscreteStatsTable[[#This Row],[ProjectName]]),(ProjectInfoTable[ProjectName]=DiscreteStatsTable[[#This Row],[ProjectName]])*ProjectInfoTable[NumberOfReplications]))</f>
        <v>50</v>
      </c>
      <c r="N783" cm="1">
        <f t="array" ref="N783">IFERROR(AVERAGE(IF((DiscreteStatsTable[GroupByKey]=DiscreteStatsTable[[#This Row],[GroupByKey]]),(DiscreteStatsTable[GroupByKey]=DiscreteStatsTable[[#This Row],[GroupByKey]])*DiscreteStatsTable[Average])),0)</f>
        <v>1.3401298911962516</v>
      </c>
      <c r="O783" cm="1">
        <f t="array" ref="O783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83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83" cm="1">
        <f t="array" ref="R783">MIN(IF((DiscreteStatsTable[GroupByKey]=DiscreteStatsTable[[#This Row],[GroupByKey]]),(DiscreteStatsTable[GroupByKey]=DiscreteStatsTable[[#This Row],[GroupByKey]])*DiscreteStatsTable[Average]))</f>
        <v>1.29733858670444</v>
      </c>
      <c r="S783" cm="1">
        <f t="array" ref="S783">MAX(IF((DiscreteStatsTable[GroupByKey]=DiscreteStatsTable[[#This Row],[GroupByKey]]),(DiscreteStatsTable[GroupByKey]=DiscreteStatsTable[[#This Row],[GroupByKey]])*DiscreteStatsTable[Average]))</f>
        <v>1.3970236913396601</v>
      </c>
      <c r="T783" cm="1">
        <f t="array" ref="T783">MIN(IF((DiscreteStatsTable[GroupByKey]=DiscreteStatsTable[[#This Row],[GroupByKey]]),(DiscreteStatsTable[GroupByKey]=DiscreteStatsTable[[#This Row],[GroupByKey]])*DiscreteStatsTable[Minimum]))</f>
        <v>0.81279832598784196</v>
      </c>
      <c r="U783" cm="1">
        <f t="array" ref="U783">MAX(IF((DiscreteStatsTable[GroupByKey]=DiscreteStatsTable[[#This Row],[GroupByKey]]),(DiscreteStatsTable[GroupByKey]=DiscreteStatsTable[[#This Row],[GroupByKey]])*DiscreteStatsTable[Maximum]))</f>
        <v>2.8790847793122198</v>
      </c>
      <c r="V783" cm="1">
        <f t="array" ref="V783">IFERROR(AVERAGE(IF((DiscreteStatsTable[GroupByKey]=DiscreteStatsTable[[#This Row],[GroupByKey]]),(DiscreteStatsTable[GroupByKey]=DiscreteStatsTable[[#This Row],[GroupByKey]])*DiscreteStatsTable[NumberObservations])),0)</f>
        <v>141.32</v>
      </c>
      <c r="W783">
        <f>IF((DiscreteStatsTable[[#This Row],[RepsRequested]]&gt;1),DiscreteStatsTable[[#This Row],[HalfWidth]],DiscreteStatsTable[[#This Row],[BatchMeansHalfWidth]])</f>
        <v>6.1368358796684312E-3</v>
      </c>
      <c r="X783" cm="1">
        <f t="array" ref="X783">COUNT(IF((DiscreteStatsTable[GroupByKey]=DiscreteStatsTable[[#This Row],[GroupByKey]]),(DiscreteStatsTable[GroupByKey]=DiscreteStatsTable[[#This Row],[GroupByKey]])*DiscreteStatsTable[Replication]))</f>
        <v>50</v>
      </c>
      <c r="Y783">
        <f>IF(DiscreteStatsTable[[#This Row],[RepsRequested]]=DiscreteStatsTable[[#This Row],[RepsWithStatObserved]],1,0)</f>
        <v>1</v>
      </c>
    </row>
    <row r="784" spans="1:25" x14ac:dyDescent="0.25">
      <c r="A784" t="s">
        <v>68</v>
      </c>
      <c r="B784" t="s">
        <v>131</v>
      </c>
      <c r="C784">
        <v>33</v>
      </c>
      <c r="D784" t="s">
        <v>88</v>
      </c>
      <c r="E784" t="s">
        <v>89</v>
      </c>
      <c r="F784" t="s">
        <v>90</v>
      </c>
      <c r="G784">
        <v>1.3178035389720799</v>
      </c>
      <c r="H784">
        <v>2E+20</v>
      </c>
      <c r="I784">
        <v>0.86388895386778597</v>
      </c>
      <c r="J784">
        <v>2.06163205834654</v>
      </c>
      <c r="K784">
        <v>144</v>
      </c>
      <c r="L784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84" cm="1">
        <f t="array" ref="M784">MAX(IF((ProjectInfoTable[ProjectName]=DiscreteStatsTable[[#This Row],[ProjectName]]),(ProjectInfoTable[ProjectName]=DiscreteStatsTable[[#This Row],[ProjectName]])*ProjectInfoTable[NumberOfReplications]))</f>
        <v>50</v>
      </c>
      <c r="N784" cm="1">
        <f t="array" ref="N784">IFERROR(AVERAGE(IF((DiscreteStatsTable[GroupByKey]=DiscreteStatsTable[[#This Row],[GroupByKey]]),(DiscreteStatsTable[GroupByKey]=DiscreteStatsTable[[#This Row],[GroupByKey]])*DiscreteStatsTable[Average])),0)</f>
        <v>1.3401298911962516</v>
      </c>
      <c r="O784" cm="1">
        <f t="array" ref="O784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84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84" cm="1">
        <f t="array" ref="R784">MIN(IF((DiscreteStatsTable[GroupByKey]=DiscreteStatsTable[[#This Row],[GroupByKey]]),(DiscreteStatsTable[GroupByKey]=DiscreteStatsTable[[#This Row],[GroupByKey]])*DiscreteStatsTable[Average]))</f>
        <v>1.29733858670444</v>
      </c>
      <c r="S784" cm="1">
        <f t="array" ref="S784">MAX(IF((DiscreteStatsTable[GroupByKey]=DiscreteStatsTable[[#This Row],[GroupByKey]]),(DiscreteStatsTable[GroupByKey]=DiscreteStatsTable[[#This Row],[GroupByKey]])*DiscreteStatsTable[Average]))</f>
        <v>1.3970236913396601</v>
      </c>
      <c r="T784" cm="1">
        <f t="array" ref="T784">MIN(IF((DiscreteStatsTable[GroupByKey]=DiscreteStatsTable[[#This Row],[GroupByKey]]),(DiscreteStatsTable[GroupByKey]=DiscreteStatsTable[[#This Row],[GroupByKey]])*DiscreteStatsTable[Minimum]))</f>
        <v>0.81279832598784196</v>
      </c>
      <c r="U784" cm="1">
        <f t="array" ref="U784">MAX(IF((DiscreteStatsTable[GroupByKey]=DiscreteStatsTable[[#This Row],[GroupByKey]]),(DiscreteStatsTable[GroupByKey]=DiscreteStatsTable[[#This Row],[GroupByKey]])*DiscreteStatsTable[Maximum]))</f>
        <v>2.8790847793122198</v>
      </c>
      <c r="V784" cm="1">
        <f t="array" ref="V784">IFERROR(AVERAGE(IF((DiscreteStatsTable[GroupByKey]=DiscreteStatsTable[[#This Row],[GroupByKey]]),(DiscreteStatsTable[GroupByKey]=DiscreteStatsTable[[#This Row],[GroupByKey]])*DiscreteStatsTable[NumberObservations])),0)</f>
        <v>141.32</v>
      </c>
      <c r="W784">
        <f>IF((DiscreteStatsTable[[#This Row],[RepsRequested]]&gt;1),DiscreteStatsTable[[#This Row],[HalfWidth]],DiscreteStatsTable[[#This Row],[BatchMeansHalfWidth]])</f>
        <v>6.1368358796684312E-3</v>
      </c>
      <c r="X784" cm="1">
        <f t="array" ref="X784">COUNT(IF((DiscreteStatsTable[GroupByKey]=DiscreteStatsTable[[#This Row],[GroupByKey]]),(DiscreteStatsTable[GroupByKey]=DiscreteStatsTable[[#This Row],[GroupByKey]])*DiscreteStatsTable[Replication]))</f>
        <v>50</v>
      </c>
      <c r="Y784">
        <f>IF(DiscreteStatsTable[[#This Row],[RepsRequested]]=DiscreteStatsTable[[#This Row],[RepsWithStatObserved]],1,0)</f>
        <v>1</v>
      </c>
    </row>
    <row r="785" spans="1:25" x14ac:dyDescent="0.25">
      <c r="A785" t="s">
        <v>68</v>
      </c>
      <c r="B785" t="s">
        <v>131</v>
      </c>
      <c r="C785">
        <v>34</v>
      </c>
      <c r="D785" t="s">
        <v>88</v>
      </c>
      <c r="E785" t="s">
        <v>89</v>
      </c>
      <c r="F785" t="s">
        <v>90</v>
      </c>
      <c r="G785">
        <v>1.33337199397988</v>
      </c>
      <c r="H785">
        <v>2E+20</v>
      </c>
      <c r="I785">
        <v>0.83688319483769602</v>
      </c>
      <c r="J785">
        <v>2.2478793964413599</v>
      </c>
      <c r="K785">
        <v>136</v>
      </c>
      <c r="L785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85" cm="1">
        <f t="array" ref="M785">MAX(IF((ProjectInfoTable[ProjectName]=DiscreteStatsTable[[#This Row],[ProjectName]]),(ProjectInfoTable[ProjectName]=DiscreteStatsTable[[#This Row],[ProjectName]])*ProjectInfoTable[NumberOfReplications]))</f>
        <v>50</v>
      </c>
      <c r="N785" cm="1">
        <f t="array" ref="N785">IFERROR(AVERAGE(IF((DiscreteStatsTable[GroupByKey]=DiscreteStatsTable[[#This Row],[GroupByKey]]),(DiscreteStatsTable[GroupByKey]=DiscreteStatsTable[[#This Row],[GroupByKey]])*DiscreteStatsTable[Average])),0)</f>
        <v>1.3401298911962516</v>
      </c>
      <c r="O785" cm="1">
        <f t="array" ref="O785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8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85" cm="1">
        <f t="array" ref="R785">MIN(IF((DiscreteStatsTable[GroupByKey]=DiscreteStatsTable[[#This Row],[GroupByKey]]),(DiscreteStatsTable[GroupByKey]=DiscreteStatsTable[[#This Row],[GroupByKey]])*DiscreteStatsTable[Average]))</f>
        <v>1.29733858670444</v>
      </c>
      <c r="S785" cm="1">
        <f t="array" ref="S785">MAX(IF((DiscreteStatsTable[GroupByKey]=DiscreteStatsTable[[#This Row],[GroupByKey]]),(DiscreteStatsTable[GroupByKey]=DiscreteStatsTable[[#This Row],[GroupByKey]])*DiscreteStatsTable[Average]))</f>
        <v>1.3970236913396601</v>
      </c>
      <c r="T785" cm="1">
        <f t="array" ref="T785">MIN(IF((DiscreteStatsTable[GroupByKey]=DiscreteStatsTable[[#This Row],[GroupByKey]]),(DiscreteStatsTable[GroupByKey]=DiscreteStatsTable[[#This Row],[GroupByKey]])*DiscreteStatsTable[Minimum]))</f>
        <v>0.81279832598784196</v>
      </c>
      <c r="U785" cm="1">
        <f t="array" ref="U785">MAX(IF((DiscreteStatsTable[GroupByKey]=DiscreteStatsTable[[#This Row],[GroupByKey]]),(DiscreteStatsTable[GroupByKey]=DiscreteStatsTable[[#This Row],[GroupByKey]])*DiscreteStatsTable[Maximum]))</f>
        <v>2.8790847793122198</v>
      </c>
      <c r="V785" cm="1">
        <f t="array" ref="V785">IFERROR(AVERAGE(IF((DiscreteStatsTable[GroupByKey]=DiscreteStatsTable[[#This Row],[GroupByKey]]),(DiscreteStatsTable[GroupByKey]=DiscreteStatsTable[[#This Row],[GroupByKey]])*DiscreteStatsTable[NumberObservations])),0)</f>
        <v>141.32</v>
      </c>
      <c r="W785">
        <f>IF((DiscreteStatsTable[[#This Row],[RepsRequested]]&gt;1),DiscreteStatsTable[[#This Row],[HalfWidth]],DiscreteStatsTable[[#This Row],[BatchMeansHalfWidth]])</f>
        <v>6.1368358796684312E-3</v>
      </c>
      <c r="X785" cm="1">
        <f t="array" ref="X785">COUNT(IF((DiscreteStatsTable[GroupByKey]=DiscreteStatsTable[[#This Row],[GroupByKey]]),(DiscreteStatsTable[GroupByKey]=DiscreteStatsTable[[#This Row],[GroupByKey]])*DiscreteStatsTable[Replication]))</f>
        <v>50</v>
      </c>
      <c r="Y785">
        <f>IF(DiscreteStatsTable[[#This Row],[RepsRequested]]=DiscreteStatsTable[[#This Row],[RepsWithStatObserved]],1,0)</f>
        <v>1</v>
      </c>
    </row>
    <row r="786" spans="1:25" x14ac:dyDescent="0.25">
      <c r="A786" t="s">
        <v>68</v>
      </c>
      <c r="B786" t="s">
        <v>131</v>
      </c>
      <c r="C786">
        <v>35</v>
      </c>
      <c r="D786" t="s">
        <v>88</v>
      </c>
      <c r="E786" t="s">
        <v>89</v>
      </c>
      <c r="F786" t="s">
        <v>90</v>
      </c>
      <c r="G786">
        <v>1.3287387006887701</v>
      </c>
      <c r="H786">
        <v>2E+20</v>
      </c>
      <c r="I786">
        <v>0.82940644509415096</v>
      </c>
      <c r="J786">
        <v>2.0429898054111999</v>
      </c>
      <c r="K786">
        <v>133</v>
      </c>
      <c r="L786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86" cm="1">
        <f t="array" ref="M786">MAX(IF((ProjectInfoTable[ProjectName]=DiscreteStatsTable[[#This Row],[ProjectName]]),(ProjectInfoTable[ProjectName]=DiscreteStatsTable[[#This Row],[ProjectName]])*ProjectInfoTable[NumberOfReplications]))</f>
        <v>50</v>
      </c>
      <c r="N786" cm="1">
        <f t="array" ref="N786">IFERROR(AVERAGE(IF((DiscreteStatsTable[GroupByKey]=DiscreteStatsTable[[#This Row],[GroupByKey]]),(DiscreteStatsTable[GroupByKey]=DiscreteStatsTable[[#This Row],[GroupByKey]])*DiscreteStatsTable[Average])),0)</f>
        <v>1.3401298911962516</v>
      </c>
      <c r="O786" cm="1">
        <f t="array" ref="O786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86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86" cm="1">
        <f t="array" ref="R786">MIN(IF((DiscreteStatsTable[GroupByKey]=DiscreteStatsTable[[#This Row],[GroupByKey]]),(DiscreteStatsTable[GroupByKey]=DiscreteStatsTable[[#This Row],[GroupByKey]])*DiscreteStatsTable[Average]))</f>
        <v>1.29733858670444</v>
      </c>
      <c r="S786" cm="1">
        <f t="array" ref="S786">MAX(IF((DiscreteStatsTable[GroupByKey]=DiscreteStatsTable[[#This Row],[GroupByKey]]),(DiscreteStatsTable[GroupByKey]=DiscreteStatsTable[[#This Row],[GroupByKey]])*DiscreteStatsTable[Average]))</f>
        <v>1.3970236913396601</v>
      </c>
      <c r="T786" cm="1">
        <f t="array" ref="T786">MIN(IF((DiscreteStatsTable[GroupByKey]=DiscreteStatsTable[[#This Row],[GroupByKey]]),(DiscreteStatsTable[GroupByKey]=DiscreteStatsTable[[#This Row],[GroupByKey]])*DiscreteStatsTable[Minimum]))</f>
        <v>0.81279832598784196</v>
      </c>
      <c r="U786" cm="1">
        <f t="array" ref="U786">MAX(IF((DiscreteStatsTable[GroupByKey]=DiscreteStatsTable[[#This Row],[GroupByKey]]),(DiscreteStatsTable[GroupByKey]=DiscreteStatsTable[[#This Row],[GroupByKey]])*DiscreteStatsTable[Maximum]))</f>
        <v>2.8790847793122198</v>
      </c>
      <c r="V786" cm="1">
        <f t="array" ref="V786">IFERROR(AVERAGE(IF((DiscreteStatsTable[GroupByKey]=DiscreteStatsTable[[#This Row],[GroupByKey]]),(DiscreteStatsTable[GroupByKey]=DiscreteStatsTable[[#This Row],[GroupByKey]])*DiscreteStatsTable[NumberObservations])),0)</f>
        <v>141.32</v>
      </c>
      <c r="W786">
        <f>IF((DiscreteStatsTable[[#This Row],[RepsRequested]]&gt;1),DiscreteStatsTable[[#This Row],[HalfWidth]],DiscreteStatsTable[[#This Row],[BatchMeansHalfWidth]])</f>
        <v>6.1368358796684312E-3</v>
      </c>
      <c r="X786" cm="1">
        <f t="array" ref="X786">COUNT(IF((DiscreteStatsTable[GroupByKey]=DiscreteStatsTable[[#This Row],[GroupByKey]]),(DiscreteStatsTable[GroupByKey]=DiscreteStatsTable[[#This Row],[GroupByKey]])*DiscreteStatsTable[Replication]))</f>
        <v>50</v>
      </c>
      <c r="Y786">
        <f>IF(DiscreteStatsTable[[#This Row],[RepsRequested]]=DiscreteStatsTable[[#This Row],[RepsWithStatObserved]],1,0)</f>
        <v>1</v>
      </c>
    </row>
    <row r="787" spans="1:25" x14ac:dyDescent="0.25">
      <c r="A787" t="s">
        <v>68</v>
      </c>
      <c r="B787" t="s">
        <v>131</v>
      </c>
      <c r="C787">
        <v>36</v>
      </c>
      <c r="D787" t="s">
        <v>88</v>
      </c>
      <c r="E787" t="s">
        <v>89</v>
      </c>
      <c r="F787" t="s">
        <v>90</v>
      </c>
      <c r="G787">
        <v>1.29733858670444</v>
      </c>
      <c r="H787">
        <v>2E+20</v>
      </c>
      <c r="I787">
        <v>0.83511187805544296</v>
      </c>
      <c r="J787">
        <v>1.9617933665613201</v>
      </c>
      <c r="K787">
        <v>136</v>
      </c>
      <c r="L787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87" cm="1">
        <f t="array" ref="M787">MAX(IF((ProjectInfoTable[ProjectName]=DiscreteStatsTable[[#This Row],[ProjectName]]),(ProjectInfoTable[ProjectName]=DiscreteStatsTable[[#This Row],[ProjectName]])*ProjectInfoTable[NumberOfReplications]))</f>
        <v>50</v>
      </c>
      <c r="N787" cm="1">
        <f t="array" ref="N787">IFERROR(AVERAGE(IF((DiscreteStatsTable[GroupByKey]=DiscreteStatsTable[[#This Row],[GroupByKey]]),(DiscreteStatsTable[GroupByKey]=DiscreteStatsTable[[#This Row],[GroupByKey]])*DiscreteStatsTable[Average])),0)</f>
        <v>1.3401298911962516</v>
      </c>
      <c r="O787" cm="1">
        <f t="array" ref="O787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87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87" cm="1">
        <f t="array" ref="R787">MIN(IF((DiscreteStatsTable[GroupByKey]=DiscreteStatsTable[[#This Row],[GroupByKey]]),(DiscreteStatsTable[GroupByKey]=DiscreteStatsTable[[#This Row],[GroupByKey]])*DiscreteStatsTable[Average]))</f>
        <v>1.29733858670444</v>
      </c>
      <c r="S787" cm="1">
        <f t="array" ref="S787">MAX(IF((DiscreteStatsTable[GroupByKey]=DiscreteStatsTable[[#This Row],[GroupByKey]]),(DiscreteStatsTable[GroupByKey]=DiscreteStatsTable[[#This Row],[GroupByKey]])*DiscreteStatsTable[Average]))</f>
        <v>1.3970236913396601</v>
      </c>
      <c r="T787" cm="1">
        <f t="array" ref="T787">MIN(IF((DiscreteStatsTable[GroupByKey]=DiscreteStatsTable[[#This Row],[GroupByKey]]),(DiscreteStatsTable[GroupByKey]=DiscreteStatsTable[[#This Row],[GroupByKey]])*DiscreteStatsTable[Minimum]))</f>
        <v>0.81279832598784196</v>
      </c>
      <c r="U787" cm="1">
        <f t="array" ref="U787">MAX(IF((DiscreteStatsTable[GroupByKey]=DiscreteStatsTable[[#This Row],[GroupByKey]]),(DiscreteStatsTable[GroupByKey]=DiscreteStatsTable[[#This Row],[GroupByKey]])*DiscreteStatsTable[Maximum]))</f>
        <v>2.8790847793122198</v>
      </c>
      <c r="V787" cm="1">
        <f t="array" ref="V787">IFERROR(AVERAGE(IF((DiscreteStatsTable[GroupByKey]=DiscreteStatsTable[[#This Row],[GroupByKey]]),(DiscreteStatsTable[GroupByKey]=DiscreteStatsTable[[#This Row],[GroupByKey]])*DiscreteStatsTable[NumberObservations])),0)</f>
        <v>141.32</v>
      </c>
      <c r="W787">
        <f>IF((DiscreteStatsTable[[#This Row],[RepsRequested]]&gt;1),DiscreteStatsTable[[#This Row],[HalfWidth]],DiscreteStatsTable[[#This Row],[BatchMeansHalfWidth]])</f>
        <v>6.1368358796684312E-3</v>
      </c>
      <c r="X787" cm="1">
        <f t="array" ref="X787">COUNT(IF((DiscreteStatsTable[GroupByKey]=DiscreteStatsTable[[#This Row],[GroupByKey]]),(DiscreteStatsTable[GroupByKey]=DiscreteStatsTable[[#This Row],[GroupByKey]])*DiscreteStatsTable[Replication]))</f>
        <v>50</v>
      </c>
      <c r="Y787">
        <f>IF(DiscreteStatsTable[[#This Row],[RepsRequested]]=DiscreteStatsTable[[#This Row],[RepsWithStatObserved]],1,0)</f>
        <v>1</v>
      </c>
    </row>
    <row r="788" spans="1:25" x14ac:dyDescent="0.25">
      <c r="A788" t="s">
        <v>68</v>
      </c>
      <c r="B788" t="s">
        <v>131</v>
      </c>
      <c r="C788">
        <v>37</v>
      </c>
      <c r="D788" t="s">
        <v>88</v>
      </c>
      <c r="E788" t="s">
        <v>89</v>
      </c>
      <c r="F788" t="s">
        <v>90</v>
      </c>
      <c r="G788">
        <v>1.3750780673207601</v>
      </c>
      <c r="H788">
        <v>2E+20</v>
      </c>
      <c r="I788">
        <v>0.83170450615500602</v>
      </c>
      <c r="J788">
        <v>2.7576036120476601</v>
      </c>
      <c r="K788">
        <v>132</v>
      </c>
      <c r="L788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88" cm="1">
        <f t="array" ref="M788">MAX(IF((ProjectInfoTable[ProjectName]=DiscreteStatsTable[[#This Row],[ProjectName]]),(ProjectInfoTable[ProjectName]=DiscreteStatsTable[[#This Row],[ProjectName]])*ProjectInfoTable[NumberOfReplications]))</f>
        <v>50</v>
      </c>
      <c r="N788" cm="1">
        <f t="array" ref="N788">IFERROR(AVERAGE(IF((DiscreteStatsTable[GroupByKey]=DiscreteStatsTable[[#This Row],[GroupByKey]]),(DiscreteStatsTable[GroupByKey]=DiscreteStatsTable[[#This Row],[GroupByKey]])*DiscreteStatsTable[Average])),0)</f>
        <v>1.3401298911962516</v>
      </c>
      <c r="O788" cm="1">
        <f t="array" ref="O788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88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88" cm="1">
        <f t="array" ref="R788">MIN(IF((DiscreteStatsTable[GroupByKey]=DiscreteStatsTable[[#This Row],[GroupByKey]]),(DiscreteStatsTable[GroupByKey]=DiscreteStatsTable[[#This Row],[GroupByKey]])*DiscreteStatsTable[Average]))</f>
        <v>1.29733858670444</v>
      </c>
      <c r="S788" cm="1">
        <f t="array" ref="S788">MAX(IF((DiscreteStatsTable[GroupByKey]=DiscreteStatsTable[[#This Row],[GroupByKey]]),(DiscreteStatsTable[GroupByKey]=DiscreteStatsTable[[#This Row],[GroupByKey]])*DiscreteStatsTable[Average]))</f>
        <v>1.3970236913396601</v>
      </c>
      <c r="T788" cm="1">
        <f t="array" ref="T788">MIN(IF((DiscreteStatsTable[GroupByKey]=DiscreteStatsTable[[#This Row],[GroupByKey]]),(DiscreteStatsTable[GroupByKey]=DiscreteStatsTable[[#This Row],[GroupByKey]])*DiscreteStatsTable[Minimum]))</f>
        <v>0.81279832598784196</v>
      </c>
      <c r="U788" cm="1">
        <f t="array" ref="U788">MAX(IF((DiscreteStatsTable[GroupByKey]=DiscreteStatsTable[[#This Row],[GroupByKey]]),(DiscreteStatsTable[GroupByKey]=DiscreteStatsTable[[#This Row],[GroupByKey]])*DiscreteStatsTable[Maximum]))</f>
        <v>2.8790847793122198</v>
      </c>
      <c r="V788" cm="1">
        <f t="array" ref="V788">IFERROR(AVERAGE(IF((DiscreteStatsTable[GroupByKey]=DiscreteStatsTable[[#This Row],[GroupByKey]]),(DiscreteStatsTable[GroupByKey]=DiscreteStatsTable[[#This Row],[GroupByKey]])*DiscreteStatsTable[NumberObservations])),0)</f>
        <v>141.32</v>
      </c>
      <c r="W788">
        <f>IF((DiscreteStatsTable[[#This Row],[RepsRequested]]&gt;1),DiscreteStatsTable[[#This Row],[HalfWidth]],DiscreteStatsTable[[#This Row],[BatchMeansHalfWidth]])</f>
        <v>6.1368358796684312E-3</v>
      </c>
      <c r="X788" cm="1">
        <f t="array" ref="X788">COUNT(IF((DiscreteStatsTable[GroupByKey]=DiscreteStatsTable[[#This Row],[GroupByKey]]),(DiscreteStatsTable[GroupByKey]=DiscreteStatsTable[[#This Row],[GroupByKey]])*DiscreteStatsTable[Replication]))</f>
        <v>50</v>
      </c>
      <c r="Y788">
        <f>IF(DiscreteStatsTable[[#This Row],[RepsRequested]]=DiscreteStatsTable[[#This Row],[RepsWithStatObserved]],1,0)</f>
        <v>1</v>
      </c>
    </row>
    <row r="789" spans="1:25" x14ac:dyDescent="0.25">
      <c r="A789" t="s">
        <v>68</v>
      </c>
      <c r="B789" t="s">
        <v>131</v>
      </c>
      <c r="C789">
        <v>38</v>
      </c>
      <c r="D789" t="s">
        <v>88</v>
      </c>
      <c r="E789" t="s">
        <v>89</v>
      </c>
      <c r="F789" t="s">
        <v>90</v>
      </c>
      <c r="G789">
        <v>1.3154738900535801</v>
      </c>
      <c r="H789">
        <v>2E+20</v>
      </c>
      <c r="I789">
        <v>0.86816440791759697</v>
      </c>
      <c r="J789">
        <v>1.90166456084421</v>
      </c>
      <c r="K789">
        <v>146</v>
      </c>
      <c r="L789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89" cm="1">
        <f t="array" ref="M789">MAX(IF((ProjectInfoTable[ProjectName]=DiscreteStatsTable[[#This Row],[ProjectName]]),(ProjectInfoTable[ProjectName]=DiscreteStatsTable[[#This Row],[ProjectName]])*ProjectInfoTable[NumberOfReplications]))</f>
        <v>50</v>
      </c>
      <c r="N789" cm="1">
        <f t="array" ref="N789">IFERROR(AVERAGE(IF((DiscreteStatsTable[GroupByKey]=DiscreteStatsTable[[#This Row],[GroupByKey]]),(DiscreteStatsTable[GroupByKey]=DiscreteStatsTable[[#This Row],[GroupByKey]])*DiscreteStatsTable[Average])),0)</f>
        <v>1.3401298911962516</v>
      </c>
      <c r="O789" cm="1">
        <f t="array" ref="O789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89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89" cm="1">
        <f t="array" ref="R789">MIN(IF((DiscreteStatsTable[GroupByKey]=DiscreteStatsTable[[#This Row],[GroupByKey]]),(DiscreteStatsTable[GroupByKey]=DiscreteStatsTable[[#This Row],[GroupByKey]])*DiscreteStatsTable[Average]))</f>
        <v>1.29733858670444</v>
      </c>
      <c r="S789" cm="1">
        <f t="array" ref="S789">MAX(IF((DiscreteStatsTable[GroupByKey]=DiscreteStatsTable[[#This Row],[GroupByKey]]),(DiscreteStatsTable[GroupByKey]=DiscreteStatsTable[[#This Row],[GroupByKey]])*DiscreteStatsTable[Average]))</f>
        <v>1.3970236913396601</v>
      </c>
      <c r="T789" cm="1">
        <f t="array" ref="T789">MIN(IF((DiscreteStatsTable[GroupByKey]=DiscreteStatsTable[[#This Row],[GroupByKey]]),(DiscreteStatsTable[GroupByKey]=DiscreteStatsTable[[#This Row],[GroupByKey]])*DiscreteStatsTable[Minimum]))</f>
        <v>0.81279832598784196</v>
      </c>
      <c r="U789" cm="1">
        <f t="array" ref="U789">MAX(IF((DiscreteStatsTable[GroupByKey]=DiscreteStatsTable[[#This Row],[GroupByKey]]),(DiscreteStatsTable[GroupByKey]=DiscreteStatsTable[[#This Row],[GroupByKey]])*DiscreteStatsTable[Maximum]))</f>
        <v>2.8790847793122198</v>
      </c>
      <c r="V789" cm="1">
        <f t="array" ref="V789">IFERROR(AVERAGE(IF((DiscreteStatsTable[GroupByKey]=DiscreteStatsTable[[#This Row],[GroupByKey]]),(DiscreteStatsTable[GroupByKey]=DiscreteStatsTable[[#This Row],[GroupByKey]])*DiscreteStatsTable[NumberObservations])),0)</f>
        <v>141.32</v>
      </c>
      <c r="W789">
        <f>IF((DiscreteStatsTable[[#This Row],[RepsRequested]]&gt;1),DiscreteStatsTable[[#This Row],[HalfWidth]],DiscreteStatsTable[[#This Row],[BatchMeansHalfWidth]])</f>
        <v>6.1368358796684312E-3</v>
      </c>
      <c r="X789" cm="1">
        <f t="array" ref="X789">COUNT(IF((DiscreteStatsTable[GroupByKey]=DiscreteStatsTable[[#This Row],[GroupByKey]]),(DiscreteStatsTable[GroupByKey]=DiscreteStatsTable[[#This Row],[GroupByKey]])*DiscreteStatsTable[Replication]))</f>
        <v>50</v>
      </c>
      <c r="Y789">
        <f>IF(DiscreteStatsTable[[#This Row],[RepsRequested]]=DiscreteStatsTable[[#This Row],[RepsWithStatObserved]],1,0)</f>
        <v>1</v>
      </c>
    </row>
    <row r="790" spans="1:25" x14ac:dyDescent="0.25">
      <c r="A790" t="s">
        <v>68</v>
      </c>
      <c r="B790" t="s">
        <v>131</v>
      </c>
      <c r="C790">
        <v>39</v>
      </c>
      <c r="D790" t="s">
        <v>88</v>
      </c>
      <c r="E790" t="s">
        <v>89</v>
      </c>
      <c r="F790" t="s">
        <v>90</v>
      </c>
      <c r="G790">
        <v>1.35526257878761</v>
      </c>
      <c r="H790">
        <v>2E+20</v>
      </c>
      <c r="I790">
        <v>0.86599779556669898</v>
      </c>
      <c r="J790">
        <v>2.1727958788791901</v>
      </c>
      <c r="K790">
        <v>146</v>
      </c>
      <c r="L790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90" cm="1">
        <f t="array" ref="M790">MAX(IF((ProjectInfoTable[ProjectName]=DiscreteStatsTable[[#This Row],[ProjectName]]),(ProjectInfoTable[ProjectName]=DiscreteStatsTable[[#This Row],[ProjectName]])*ProjectInfoTable[NumberOfReplications]))</f>
        <v>50</v>
      </c>
      <c r="N790" cm="1">
        <f t="array" ref="N790">IFERROR(AVERAGE(IF((DiscreteStatsTable[GroupByKey]=DiscreteStatsTable[[#This Row],[GroupByKey]]),(DiscreteStatsTable[GroupByKey]=DiscreteStatsTable[[#This Row],[GroupByKey]])*DiscreteStatsTable[Average])),0)</f>
        <v>1.3401298911962516</v>
      </c>
      <c r="O790" cm="1">
        <f t="array" ref="O790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90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90" cm="1">
        <f t="array" ref="R790">MIN(IF((DiscreteStatsTable[GroupByKey]=DiscreteStatsTable[[#This Row],[GroupByKey]]),(DiscreteStatsTable[GroupByKey]=DiscreteStatsTable[[#This Row],[GroupByKey]])*DiscreteStatsTable[Average]))</f>
        <v>1.29733858670444</v>
      </c>
      <c r="S790" cm="1">
        <f t="array" ref="S790">MAX(IF((DiscreteStatsTable[GroupByKey]=DiscreteStatsTable[[#This Row],[GroupByKey]]),(DiscreteStatsTable[GroupByKey]=DiscreteStatsTable[[#This Row],[GroupByKey]])*DiscreteStatsTable[Average]))</f>
        <v>1.3970236913396601</v>
      </c>
      <c r="T790" cm="1">
        <f t="array" ref="T790">MIN(IF((DiscreteStatsTable[GroupByKey]=DiscreteStatsTable[[#This Row],[GroupByKey]]),(DiscreteStatsTable[GroupByKey]=DiscreteStatsTable[[#This Row],[GroupByKey]])*DiscreteStatsTable[Minimum]))</f>
        <v>0.81279832598784196</v>
      </c>
      <c r="U790" cm="1">
        <f t="array" ref="U790">MAX(IF((DiscreteStatsTable[GroupByKey]=DiscreteStatsTable[[#This Row],[GroupByKey]]),(DiscreteStatsTable[GroupByKey]=DiscreteStatsTable[[#This Row],[GroupByKey]])*DiscreteStatsTable[Maximum]))</f>
        <v>2.8790847793122198</v>
      </c>
      <c r="V790" cm="1">
        <f t="array" ref="V790">IFERROR(AVERAGE(IF((DiscreteStatsTable[GroupByKey]=DiscreteStatsTable[[#This Row],[GroupByKey]]),(DiscreteStatsTable[GroupByKey]=DiscreteStatsTable[[#This Row],[GroupByKey]])*DiscreteStatsTable[NumberObservations])),0)</f>
        <v>141.32</v>
      </c>
      <c r="W790">
        <f>IF((DiscreteStatsTable[[#This Row],[RepsRequested]]&gt;1),DiscreteStatsTable[[#This Row],[HalfWidth]],DiscreteStatsTable[[#This Row],[BatchMeansHalfWidth]])</f>
        <v>6.1368358796684312E-3</v>
      </c>
      <c r="X790" cm="1">
        <f t="array" ref="X790">COUNT(IF((DiscreteStatsTable[GroupByKey]=DiscreteStatsTable[[#This Row],[GroupByKey]]),(DiscreteStatsTable[GroupByKey]=DiscreteStatsTable[[#This Row],[GroupByKey]])*DiscreteStatsTable[Replication]))</f>
        <v>50</v>
      </c>
      <c r="Y790">
        <f>IF(DiscreteStatsTable[[#This Row],[RepsRequested]]=DiscreteStatsTable[[#This Row],[RepsWithStatObserved]],1,0)</f>
        <v>1</v>
      </c>
    </row>
    <row r="791" spans="1:25" x14ac:dyDescent="0.25">
      <c r="A791" t="s">
        <v>68</v>
      </c>
      <c r="B791" t="s">
        <v>131</v>
      </c>
      <c r="C791">
        <v>40</v>
      </c>
      <c r="D791" t="s">
        <v>88</v>
      </c>
      <c r="E791" t="s">
        <v>89</v>
      </c>
      <c r="F791" t="s">
        <v>90</v>
      </c>
      <c r="G791">
        <v>1.30083908224449</v>
      </c>
      <c r="H791">
        <v>2E+20</v>
      </c>
      <c r="I791">
        <v>0.83858919936602705</v>
      </c>
      <c r="J791">
        <v>2.1655414120896701</v>
      </c>
      <c r="K791">
        <v>130</v>
      </c>
      <c r="L791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91" cm="1">
        <f t="array" ref="M791">MAX(IF((ProjectInfoTable[ProjectName]=DiscreteStatsTable[[#This Row],[ProjectName]]),(ProjectInfoTable[ProjectName]=DiscreteStatsTable[[#This Row],[ProjectName]])*ProjectInfoTable[NumberOfReplications]))</f>
        <v>50</v>
      </c>
      <c r="N791" cm="1">
        <f t="array" ref="N791">IFERROR(AVERAGE(IF((DiscreteStatsTable[GroupByKey]=DiscreteStatsTable[[#This Row],[GroupByKey]]),(DiscreteStatsTable[GroupByKey]=DiscreteStatsTable[[#This Row],[GroupByKey]])*DiscreteStatsTable[Average])),0)</f>
        <v>1.3401298911962516</v>
      </c>
      <c r="O791" cm="1">
        <f t="array" ref="O791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91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91" cm="1">
        <f t="array" ref="R791">MIN(IF((DiscreteStatsTable[GroupByKey]=DiscreteStatsTable[[#This Row],[GroupByKey]]),(DiscreteStatsTable[GroupByKey]=DiscreteStatsTable[[#This Row],[GroupByKey]])*DiscreteStatsTable[Average]))</f>
        <v>1.29733858670444</v>
      </c>
      <c r="S791" cm="1">
        <f t="array" ref="S791">MAX(IF((DiscreteStatsTable[GroupByKey]=DiscreteStatsTable[[#This Row],[GroupByKey]]),(DiscreteStatsTable[GroupByKey]=DiscreteStatsTable[[#This Row],[GroupByKey]])*DiscreteStatsTable[Average]))</f>
        <v>1.3970236913396601</v>
      </c>
      <c r="T791" cm="1">
        <f t="array" ref="T791">MIN(IF((DiscreteStatsTable[GroupByKey]=DiscreteStatsTable[[#This Row],[GroupByKey]]),(DiscreteStatsTable[GroupByKey]=DiscreteStatsTable[[#This Row],[GroupByKey]])*DiscreteStatsTable[Minimum]))</f>
        <v>0.81279832598784196</v>
      </c>
      <c r="U791" cm="1">
        <f t="array" ref="U791">MAX(IF((DiscreteStatsTable[GroupByKey]=DiscreteStatsTable[[#This Row],[GroupByKey]]),(DiscreteStatsTable[GroupByKey]=DiscreteStatsTable[[#This Row],[GroupByKey]])*DiscreteStatsTable[Maximum]))</f>
        <v>2.8790847793122198</v>
      </c>
      <c r="V791" cm="1">
        <f t="array" ref="V791">IFERROR(AVERAGE(IF((DiscreteStatsTable[GroupByKey]=DiscreteStatsTable[[#This Row],[GroupByKey]]),(DiscreteStatsTable[GroupByKey]=DiscreteStatsTable[[#This Row],[GroupByKey]])*DiscreteStatsTable[NumberObservations])),0)</f>
        <v>141.32</v>
      </c>
      <c r="W791">
        <f>IF((DiscreteStatsTable[[#This Row],[RepsRequested]]&gt;1),DiscreteStatsTable[[#This Row],[HalfWidth]],DiscreteStatsTable[[#This Row],[BatchMeansHalfWidth]])</f>
        <v>6.1368358796684312E-3</v>
      </c>
      <c r="X791" cm="1">
        <f t="array" ref="X791">COUNT(IF((DiscreteStatsTable[GroupByKey]=DiscreteStatsTable[[#This Row],[GroupByKey]]),(DiscreteStatsTable[GroupByKey]=DiscreteStatsTable[[#This Row],[GroupByKey]])*DiscreteStatsTable[Replication]))</f>
        <v>50</v>
      </c>
      <c r="Y791">
        <f>IF(DiscreteStatsTable[[#This Row],[RepsRequested]]=DiscreteStatsTable[[#This Row],[RepsWithStatObserved]],1,0)</f>
        <v>1</v>
      </c>
    </row>
    <row r="792" spans="1:25" x14ac:dyDescent="0.25">
      <c r="A792" t="s">
        <v>68</v>
      </c>
      <c r="B792" t="s">
        <v>131</v>
      </c>
      <c r="C792">
        <v>41</v>
      </c>
      <c r="D792" t="s">
        <v>88</v>
      </c>
      <c r="E792" t="s">
        <v>89</v>
      </c>
      <c r="F792" t="s">
        <v>90</v>
      </c>
      <c r="G792">
        <v>1.32409323537576</v>
      </c>
      <c r="H792">
        <v>2E+20</v>
      </c>
      <c r="I792">
        <v>0.86567940206447203</v>
      </c>
      <c r="J792">
        <v>1.9562625648159699</v>
      </c>
      <c r="K792">
        <v>125</v>
      </c>
      <c r="L792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92" cm="1">
        <f t="array" ref="M792">MAX(IF((ProjectInfoTable[ProjectName]=DiscreteStatsTable[[#This Row],[ProjectName]]),(ProjectInfoTable[ProjectName]=DiscreteStatsTable[[#This Row],[ProjectName]])*ProjectInfoTable[NumberOfReplications]))</f>
        <v>50</v>
      </c>
      <c r="N792" cm="1">
        <f t="array" ref="N792">IFERROR(AVERAGE(IF((DiscreteStatsTable[GroupByKey]=DiscreteStatsTable[[#This Row],[GroupByKey]]),(DiscreteStatsTable[GroupByKey]=DiscreteStatsTable[[#This Row],[GroupByKey]])*DiscreteStatsTable[Average])),0)</f>
        <v>1.3401298911962516</v>
      </c>
      <c r="O792" cm="1">
        <f t="array" ref="O792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92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92" cm="1">
        <f t="array" ref="R792">MIN(IF((DiscreteStatsTable[GroupByKey]=DiscreteStatsTable[[#This Row],[GroupByKey]]),(DiscreteStatsTable[GroupByKey]=DiscreteStatsTable[[#This Row],[GroupByKey]])*DiscreteStatsTable[Average]))</f>
        <v>1.29733858670444</v>
      </c>
      <c r="S792" cm="1">
        <f t="array" ref="S792">MAX(IF((DiscreteStatsTable[GroupByKey]=DiscreteStatsTable[[#This Row],[GroupByKey]]),(DiscreteStatsTable[GroupByKey]=DiscreteStatsTable[[#This Row],[GroupByKey]])*DiscreteStatsTable[Average]))</f>
        <v>1.3970236913396601</v>
      </c>
      <c r="T792" cm="1">
        <f t="array" ref="T792">MIN(IF((DiscreteStatsTable[GroupByKey]=DiscreteStatsTable[[#This Row],[GroupByKey]]),(DiscreteStatsTable[GroupByKey]=DiscreteStatsTable[[#This Row],[GroupByKey]])*DiscreteStatsTable[Minimum]))</f>
        <v>0.81279832598784196</v>
      </c>
      <c r="U792" cm="1">
        <f t="array" ref="U792">MAX(IF((DiscreteStatsTable[GroupByKey]=DiscreteStatsTable[[#This Row],[GroupByKey]]),(DiscreteStatsTable[GroupByKey]=DiscreteStatsTable[[#This Row],[GroupByKey]])*DiscreteStatsTable[Maximum]))</f>
        <v>2.8790847793122198</v>
      </c>
      <c r="V792" cm="1">
        <f t="array" ref="V792">IFERROR(AVERAGE(IF((DiscreteStatsTable[GroupByKey]=DiscreteStatsTable[[#This Row],[GroupByKey]]),(DiscreteStatsTable[GroupByKey]=DiscreteStatsTable[[#This Row],[GroupByKey]])*DiscreteStatsTable[NumberObservations])),0)</f>
        <v>141.32</v>
      </c>
      <c r="W792">
        <f>IF((DiscreteStatsTable[[#This Row],[RepsRequested]]&gt;1),DiscreteStatsTable[[#This Row],[HalfWidth]],DiscreteStatsTable[[#This Row],[BatchMeansHalfWidth]])</f>
        <v>6.1368358796684312E-3</v>
      </c>
      <c r="X792" cm="1">
        <f t="array" ref="X792">COUNT(IF((DiscreteStatsTable[GroupByKey]=DiscreteStatsTable[[#This Row],[GroupByKey]]),(DiscreteStatsTable[GroupByKey]=DiscreteStatsTable[[#This Row],[GroupByKey]])*DiscreteStatsTable[Replication]))</f>
        <v>50</v>
      </c>
      <c r="Y792">
        <f>IF(DiscreteStatsTable[[#This Row],[RepsRequested]]=DiscreteStatsTable[[#This Row],[RepsWithStatObserved]],1,0)</f>
        <v>1</v>
      </c>
    </row>
    <row r="793" spans="1:25" x14ac:dyDescent="0.25">
      <c r="A793" t="s">
        <v>68</v>
      </c>
      <c r="B793" t="s">
        <v>131</v>
      </c>
      <c r="C793">
        <v>42</v>
      </c>
      <c r="D793" t="s">
        <v>88</v>
      </c>
      <c r="E793" t="s">
        <v>89</v>
      </c>
      <c r="F793" t="s">
        <v>90</v>
      </c>
      <c r="G793">
        <v>1.3450182788826499</v>
      </c>
      <c r="H793">
        <v>2E+20</v>
      </c>
      <c r="I793">
        <v>0.86633087361082095</v>
      </c>
      <c r="J793">
        <v>2.1332667141603401</v>
      </c>
      <c r="K793">
        <v>137</v>
      </c>
      <c r="L793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93" cm="1">
        <f t="array" ref="M793">MAX(IF((ProjectInfoTable[ProjectName]=DiscreteStatsTable[[#This Row],[ProjectName]]),(ProjectInfoTable[ProjectName]=DiscreteStatsTable[[#This Row],[ProjectName]])*ProjectInfoTable[NumberOfReplications]))</f>
        <v>50</v>
      </c>
      <c r="N793" cm="1">
        <f t="array" ref="N793">IFERROR(AVERAGE(IF((DiscreteStatsTable[GroupByKey]=DiscreteStatsTable[[#This Row],[GroupByKey]]),(DiscreteStatsTable[GroupByKey]=DiscreteStatsTable[[#This Row],[GroupByKey]])*DiscreteStatsTable[Average])),0)</f>
        <v>1.3401298911962516</v>
      </c>
      <c r="O793" cm="1">
        <f t="array" ref="O793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93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93" cm="1">
        <f t="array" ref="R793">MIN(IF((DiscreteStatsTable[GroupByKey]=DiscreteStatsTable[[#This Row],[GroupByKey]]),(DiscreteStatsTable[GroupByKey]=DiscreteStatsTable[[#This Row],[GroupByKey]])*DiscreteStatsTable[Average]))</f>
        <v>1.29733858670444</v>
      </c>
      <c r="S793" cm="1">
        <f t="array" ref="S793">MAX(IF((DiscreteStatsTable[GroupByKey]=DiscreteStatsTable[[#This Row],[GroupByKey]]),(DiscreteStatsTable[GroupByKey]=DiscreteStatsTable[[#This Row],[GroupByKey]])*DiscreteStatsTable[Average]))</f>
        <v>1.3970236913396601</v>
      </c>
      <c r="T793" cm="1">
        <f t="array" ref="T793">MIN(IF((DiscreteStatsTable[GroupByKey]=DiscreteStatsTable[[#This Row],[GroupByKey]]),(DiscreteStatsTable[GroupByKey]=DiscreteStatsTable[[#This Row],[GroupByKey]])*DiscreteStatsTable[Minimum]))</f>
        <v>0.81279832598784196</v>
      </c>
      <c r="U793" cm="1">
        <f t="array" ref="U793">MAX(IF((DiscreteStatsTable[GroupByKey]=DiscreteStatsTable[[#This Row],[GroupByKey]]),(DiscreteStatsTable[GroupByKey]=DiscreteStatsTable[[#This Row],[GroupByKey]])*DiscreteStatsTable[Maximum]))</f>
        <v>2.8790847793122198</v>
      </c>
      <c r="V793" cm="1">
        <f t="array" ref="V793">IFERROR(AVERAGE(IF((DiscreteStatsTable[GroupByKey]=DiscreteStatsTable[[#This Row],[GroupByKey]]),(DiscreteStatsTable[GroupByKey]=DiscreteStatsTable[[#This Row],[GroupByKey]])*DiscreteStatsTable[NumberObservations])),0)</f>
        <v>141.32</v>
      </c>
      <c r="W793">
        <f>IF((DiscreteStatsTable[[#This Row],[RepsRequested]]&gt;1),DiscreteStatsTable[[#This Row],[HalfWidth]],DiscreteStatsTable[[#This Row],[BatchMeansHalfWidth]])</f>
        <v>6.1368358796684312E-3</v>
      </c>
      <c r="X793" cm="1">
        <f t="array" ref="X793">COUNT(IF((DiscreteStatsTable[GroupByKey]=DiscreteStatsTable[[#This Row],[GroupByKey]]),(DiscreteStatsTable[GroupByKey]=DiscreteStatsTable[[#This Row],[GroupByKey]])*DiscreteStatsTable[Replication]))</f>
        <v>50</v>
      </c>
      <c r="Y793">
        <f>IF(DiscreteStatsTable[[#This Row],[RepsRequested]]=DiscreteStatsTable[[#This Row],[RepsWithStatObserved]],1,0)</f>
        <v>1</v>
      </c>
    </row>
    <row r="794" spans="1:25" x14ac:dyDescent="0.25">
      <c r="A794" t="s">
        <v>68</v>
      </c>
      <c r="B794" t="s">
        <v>131</v>
      </c>
      <c r="C794">
        <v>43</v>
      </c>
      <c r="D794" t="s">
        <v>88</v>
      </c>
      <c r="E794" t="s">
        <v>89</v>
      </c>
      <c r="F794" t="s">
        <v>90</v>
      </c>
      <c r="G794">
        <v>1.3385754921594799</v>
      </c>
      <c r="H794">
        <v>2E+20</v>
      </c>
      <c r="I794">
        <v>0.86421141279316804</v>
      </c>
      <c r="J794">
        <v>1.9500729068802201</v>
      </c>
      <c r="K794">
        <v>137</v>
      </c>
      <c r="L794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94" cm="1">
        <f t="array" ref="M794">MAX(IF((ProjectInfoTable[ProjectName]=DiscreteStatsTable[[#This Row],[ProjectName]]),(ProjectInfoTable[ProjectName]=DiscreteStatsTable[[#This Row],[ProjectName]])*ProjectInfoTable[NumberOfReplications]))</f>
        <v>50</v>
      </c>
      <c r="N794" cm="1">
        <f t="array" ref="N794">IFERROR(AVERAGE(IF((DiscreteStatsTable[GroupByKey]=DiscreteStatsTable[[#This Row],[GroupByKey]]),(DiscreteStatsTable[GroupByKey]=DiscreteStatsTable[[#This Row],[GroupByKey]])*DiscreteStatsTable[Average])),0)</f>
        <v>1.3401298911962516</v>
      </c>
      <c r="O794" cm="1">
        <f t="array" ref="O794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94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94" cm="1">
        <f t="array" ref="R794">MIN(IF((DiscreteStatsTable[GroupByKey]=DiscreteStatsTable[[#This Row],[GroupByKey]]),(DiscreteStatsTable[GroupByKey]=DiscreteStatsTable[[#This Row],[GroupByKey]])*DiscreteStatsTable[Average]))</f>
        <v>1.29733858670444</v>
      </c>
      <c r="S794" cm="1">
        <f t="array" ref="S794">MAX(IF((DiscreteStatsTable[GroupByKey]=DiscreteStatsTable[[#This Row],[GroupByKey]]),(DiscreteStatsTable[GroupByKey]=DiscreteStatsTable[[#This Row],[GroupByKey]])*DiscreteStatsTable[Average]))</f>
        <v>1.3970236913396601</v>
      </c>
      <c r="T794" cm="1">
        <f t="array" ref="T794">MIN(IF((DiscreteStatsTable[GroupByKey]=DiscreteStatsTable[[#This Row],[GroupByKey]]),(DiscreteStatsTable[GroupByKey]=DiscreteStatsTable[[#This Row],[GroupByKey]])*DiscreteStatsTable[Minimum]))</f>
        <v>0.81279832598784196</v>
      </c>
      <c r="U794" cm="1">
        <f t="array" ref="U794">MAX(IF((DiscreteStatsTable[GroupByKey]=DiscreteStatsTable[[#This Row],[GroupByKey]]),(DiscreteStatsTable[GroupByKey]=DiscreteStatsTable[[#This Row],[GroupByKey]])*DiscreteStatsTable[Maximum]))</f>
        <v>2.8790847793122198</v>
      </c>
      <c r="V794" cm="1">
        <f t="array" ref="V794">IFERROR(AVERAGE(IF((DiscreteStatsTable[GroupByKey]=DiscreteStatsTable[[#This Row],[GroupByKey]]),(DiscreteStatsTable[GroupByKey]=DiscreteStatsTable[[#This Row],[GroupByKey]])*DiscreteStatsTable[NumberObservations])),0)</f>
        <v>141.32</v>
      </c>
      <c r="W794">
        <f>IF((DiscreteStatsTable[[#This Row],[RepsRequested]]&gt;1),DiscreteStatsTable[[#This Row],[HalfWidth]],DiscreteStatsTable[[#This Row],[BatchMeansHalfWidth]])</f>
        <v>6.1368358796684312E-3</v>
      </c>
      <c r="X794" cm="1">
        <f t="array" ref="X794">COUNT(IF((DiscreteStatsTable[GroupByKey]=DiscreteStatsTable[[#This Row],[GroupByKey]]),(DiscreteStatsTable[GroupByKey]=DiscreteStatsTable[[#This Row],[GroupByKey]])*DiscreteStatsTable[Replication]))</f>
        <v>50</v>
      </c>
      <c r="Y794">
        <f>IF(DiscreteStatsTable[[#This Row],[RepsRequested]]=DiscreteStatsTable[[#This Row],[RepsWithStatObserved]],1,0)</f>
        <v>1</v>
      </c>
    </row>
    <row r="795" spans="1:25" x14ac:dyDescent="0.25">
      <c r="A795" t="s">
        <v>68</v>
      </c>
      <c r="B795" t="s">
        <v>131</v>
      </c>
      <c r="C795">
        <v>44</v>
      </c>
      <c r="D795" t="s">
        <v>88</v>
      </c>
      <c r="E795" t="s">
        <v>89</v>
      </c>
      <c r="F795" t="s">
        <v>90</v>
      </c>
      <c r="G795">
        <v>1.3199750973392199</v>
      </c>
      <c r="H795">
        <v>2E+20</v>
      </c>
      <c r="I795">
        <v>0.82169602149502896</v>
      </c>
      <c r="J795">
        <v>2.06019339534339</v>
      </c>
      <c r="K795">
        <v>155</v>
      </c>
      <c r="L795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95" cm="1">
        <f t="array" ref="M795">MAX(IF((ProjectInfoTable[ProjectName]=DiscreteStatsTable[[#This Row],[ProjectName]]),(ProjectInfoTable[ProjectName]=DiscreteStatsTable[[#This Row],[ProjectName]])*ProjectInfoTable[NumberOfReplications]))</f>
        <v>50</v>
      </c>
      <c r="N795" cm="1">
        <f t="array" ref="N795">IFERROR(AVERAGE(IF((DiscreteStatsTable[GroupByKey]=DiscreteStatsTable[[#This Row],[GroupByKey]]),(DiscreteStatsTable[GroupByKey]=DiscreteStatsTable[[#This Row],[GroupByKey]])*DiscreteStatsTable[Average])),0)</f>
        <v>1.3401298911962516</v>
      </c>
      <c r="O795" cm="1">
        <f t="array" ref="O795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9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95" cm="1">
        <f t="array" ref="R795">MIN(IF((DiscreteStatsTable[GroupByKey]=DiscreteStatsTable[[#This Row],[GroupByKey]]),(DiscreteStatsTable[GroupByKey]=DiscreteStatsTable[[#This Row],[GroupByKey]])*DiscreteStatsTable[Average]))</f>
        <v>1.29733858670444</v>
      </c>
      <c r="S795" cm="1">
        <f t="array" ref="S795">MAX(IF((DiscreteStatsTable[GroupByKey]=DiscreteStatsTable[[#This Row],[GroupByKey]]),(DiscreteStatsTable[GroupByKey]=DiscreteStatsTable[[#This Row],[GroupByKey]])*DiscreteStatsTable[Average]))</f>
        <v>1.3970236913396601</v>
      </c>
      <c r="T795" cm="1">
        <f t="array" ref="T795">MIN(IF((DiscreteStatsTable[GroupByKey]=DiscreteStatsTable[[#This Row],[GroupByKey]]),(DiscreteStatsTable[GroupByKey]=DiscreteStatsTable[[#This Row],[GroupByKey]])*DiscreteStatsTable[Minimum]))</f>
        <v>0.81279832598784196</v>
      </c>
      <c r="U795" cm="1">
        <f t="array" ref="U795">MAX(IF((DiscreteStatsTable[GroupByKey]=DiscreteStatsTable[[#This Row],[GroupByKey]]),(DiscreteStatsTable[GroupByKey]=DiscreteStatsTable[[#This Row],[GroupByKey]])*DiscreteStatsTable[Maximum]))</f>
        <v>2.8790847793122198</v>
      </c>
      <c r="V795" cm="1">
        <f t="array" ref="V795">IFERROR(AVERAGE(IF((DiscreteStatsTable[GroupByKey]=DiscreteStatsTable[[#This Row],[GroupByKey]]),(DiscreteStatsTable[GroupByKey]=DiscreteStatsTable[[#This Row],[GroupByKey]])*DiscreteStatsTable[NumberObservations])),0)</f>
        <v>141.32</v>
      </c>
      <c r="W795">
        <f>IF((DiscreteStatsTable[[#This Row],[RepsRequested]]&gt;1),DiscreteStatsTable[[#This Row],[HalfWidth]],DiscreteStatsTable[[#This Row],[BatchMeansHalfWidth]])</f>
        <v>6.1368358796684312E-3</v>
      </c>
      <c r="X795" cm="1">
        <f t="array" ref="X795">COUNT(IF((DiscreteStatsTable[GroupByKey]=DiscreteStatsTable[[#This Row],[GroupByKey]]),(DiscreteStatsTable[GroupByKey]=DiscreteStatsTable[[#This Row],[GroupByKey]])*DiscreteStatsTable[Replication]))</f>
        <v>50</v>
      </c>
      <c r="Y795">
        <f>IF(DiscreteStatsTable[[#This Row],[RepsRequested]]=DiscreteStatsTable[[#This Row],[RepsWithStatObserved]],1,0)</f>
        <v>1</v>
      </c>
    </row>
    <row r="796" spans="1:25" x14ac:dyDescent="0.25">
      <c r="A796" t="s">
        <v>68</v>
      </c>
      <c r="B796" t="s">
        <v>131</v>
      </c>
      <c r="C796">
        <v>45</v>
      </c>
      <c r="D796" t="s">
        <v>88</v>
      </c>
      <c r="E796" t="s">
        <v>89</v>
      </c>
      <c r="F796" t="s">
        <v>90</v>
      </c>
      <c r="G796">
        <v>1.35805459890233</v>
      </c>
      <c r="H796">
        <v>2E+20</v>
      </c>
      <c r="I796">
        <v>0.85505384219652603</v>
      </c>
      <c r="J796">
        <v>2.09523251662119</v>
      </c>
      <c r="K796">
        <v>142</v>
      </c>
      <c r="L796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96" cm="1">
        <f t="array" ref="M796">MAX(IF((ProjectInfoTable[ProjectName]=DiscreteStatsTable[[#This Row],[ProjectName]]),(ProjectInfoTable[ProjectName]=DiscreteStatsTable[[#This Row],[ProjectName]])*ProjectInfoTable[NumberOfReplications]))</f>
        <v>50</v>
      </c>
      <c r="N796" cm="1">
        <f t="array" ref="N796">IFERROR(AVERAGE(IF((DiscreteStatsTable[GroupByKey]=DiscreteStatsTable[[#This Row],[GroupByKey]]),(DiscreteStatsTable[GroupByKey]=DiscreteStatsTable[[#This Row],[GroupByKey]])*DiscreteStatsTable[Average])),0)</f>
        <v>1.3401298911962516</v>
      </c>
      <c r="O796" cm="1">
        <f t="array" ref="O796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96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96" cm="1">
        <f t="array" ref="R796">MIN(IF((DiscreteStatsTable[GroupByKey]=DiscreteStatsTable[[#This Row],[GroupByKey]]),(DiscreteStatsTable[GroupByKey]=DiscreteStatsTable[[#This Row],[GroupByKey]])*DiscreteStatsTable[Average]))</f>
        <v>1.29733858670444</v>
      </c>
      <c r="S796" cm="1">
        <f t="array" ref="S796">MAX(IF((DiscreteStatsTable[GroupByKey]=DiscreteStatsTable[[#This Row],[GroupByKey]]),(DiscreteStatsTable[GroupByKey]=DiscreteStatsTable[[#This Row],[GroupByKey]])*DiscreteStatsTable[Average]))</f>
        <v>1.3970236913396601</v>
      </c>
      <c r="T796" cm="1">
        <f t="array" ref="T796">MIN(IF((DiscreteStatsTable[GroupByKey]=DiscreteStatsTable[[#This Row],[GroupByKey]]),(DiscreteStatsTable[GroupByKey]=DiscreteStatsTable[[#This Row],[GroupByKey]])*DiscreteStatsTable[Minimum]))</f>
        <v>0.81279832598784196</v>
      </c>
      <c r="U796" cm="1">
        <f t="array" ref="U796">MAX(IF((DiscreteStatsTable[GroupByKey]=DiscreteStatsTable[[#This Row],[GroupByKey]]),(DiscreteStatsTable[GroupByKey]=DiscreteStatsTable[[#This Row],[GroupByKey]])*DiscreteStatsTable[Maximum]))</f>
        <v>2.8790847793122198</v>
      </c>
      <c r="V796" cm="1">
        <f t="array" ref="V796">IFERROR(AVERAGE(IF((DiscreteStatsTable[GroupByKey]=DiscreteStatsTable[[#This Row],[GroupByKey]]),(DiscreteStatsTable[GroupByKey]=DiscreteStatsTable[[#This Row],[GroupByKey]])*DiscreteStatsTable[NumberObservations])),0)</f>
        <v>141.32</v>
      </c>
      <c r="W796">
        <f>IF((DiscreteStatsTable[[#This Row],[RepsRequested]]&gt;1),DiscreteStatsTable[[#This Row],[HalfWidth]],DiscreteStatsTable[[#This Row],[BatchMeansHalfWidth]])</f>
        <v>6.1368358796684312E-3</v>
      </c>
      <c r="X796" cm="1">
        <f t="array" ref="X796">COUNT(IF((DiscreteStatsTable[GroupByKey]=DiscreteStatsTable[[#This Row],[GroupByKey]]),(DiscreteStatsTable[GroupByKey]=DiscreteStatsTable[[#This Row],[GroupByKey]])*DiscreteStatsTable[Replication]))</f>
        <v>50</v>
      </c>
      <c r="Y796">
        <f>IF(DiscreteStatsTable[[#This Row],[RepsRequested]]=DiscreteStatsTable[[#This Row],[RepsWithStatObserved]],1,0)</f>
        <v>1</v>
      </c>
    </row>
    <row r="797" spans="1:25" x14ac:dyDescent="0.25">
      <c r="A797" t="s">
        <v>68</v>
      </c>
      <c r="B797" t="s">
        <v>131</v>
      </c>
      <c r="C797">
        <v>46</v>
      </c>
      <c r="D797" t="s">
        <v>88</v>
      </c>
      <c r="E797" t="s">
        <v>89</v>
      </c>
      <c r="F797" t="s">
        <v>90</v>
      </c>
      <c r="G797">
        <v>1.3335648535155999</v>
      </c>
      <c r="H797">
        <v>2E+20</v>
      </c>
      <c r="I797">
        <v>0.86358951650640803</v>
      </c>
      <c r="J797">
        <v>2.2871178154238399</v>
      </c>
      <c r="K797">
        <v>146</v>
      </c>
      <c r="L797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97" cm="1">
        <f t="array" ref="M797">MAX(IF((ProjectInfoTable[ProjectName]=DiscreteStatsTable[[#This Row],[ProjectName]]),(ProjectInfoTable[ProjectName]=DiscreteStatsTable[[#This Row],[ProjectName]])*ProjectInfoTable[NumberOfReplications]))</f>
        <v>50</v>
      </c>
      <c r="N797" cm="1">
        <f t="array" ref="N797">IFERROR(AVERAGE(IF((DiscreteStatsTable[GroupByKey]=DiscreteStatsTable[[#This Row],[GroupByKey]]),(DiscreteStatsTable[GroupByKey]=DiscreteStatsTable[[#This Row],[GroupByKey]])*DiscreteStatsTable[Average])),0)</f>
        <v>1.3401298911962516</v>
      </c>
      <c r="O797" cm="1">
        <f t="array" ref="O797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97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97" cm="1">
        <f t="array" ref="R797">MIN(IF((DiscreteStatsTable[GroupByKey]=DiscreteStatsTable[[#This Row],[GroupByKey]]),(DiscreteStatsTable[GroupByKey]=DiscreteStatsTable[[#This Row],[GroupByKey]])*DiscreteStatsTable[Average]))</f>
        <v>1.29733858670444</v>
      </c>
      <c r="S797" cm="1">
        <f t="array" ref="S797">MAX(IF((DiscreteStatsTable[GroupByKey]=DiscreteStatsTable[[#This Row],[GroupByKey]]),(DiscreteStatsTable[GroupByKey]=DiscreteStatsTable[[#This Row],[GroupByKey]])*DiscreteStatsTable[Average]))</f>
        <v>1.3970236913396601</v>
      </c>
      <c r="T797" cm="1">
        <f t="array" ref="T797">MIN(IF((DiscreteStatsTable[GroupByKey]=DiscreteStatsTable[[#This Row],[GroupByKey]]),(DiscreteStatsTable[GroupByKey]=DiscreteStatsTable[[#This Row],[GroupByKey]])*DiscreteStatsTable[Minimum]))</f>
        <v>0.81279832598784196</v>
      </c>
      <c r="U797" cm="1">
        <f t="array" ref="U797">MAX(IF((DiscreteStatsTable[GroupByKey]=DiscreteStatsTable[[#This Row],[GroupByKey]]),(DiscreteStatsTable[GroupByKey]=DiscreteStatsTable[[#This Row],[GroupByKey]])*DiscreteStatsTable[Maximum]))</f>
        <v>2.8790847793122198</v>
      </c>
      <c r="V797" cm="1">
        <f t="array" ref="V797">IFERROR(AVERAGE(IF((DiscreteStatsTable[GroupByKey]=DiscreteStatsTable[[#This Row],[GroupByKey]]),(DiscreteStatsTable[GroupByKey]=DiscreteStatsTable[[#This Row],[GroupByKey]])*DiscreteStatsTable[NumberObservations])),0)</f>
        <v>141.32</v>
      </c>
      <c r="W797">
        <f>IF((DiscreteStatsTable[[#This Row],[RepsRequested]]&gt;1),DiscreteStatsTable[[#This Row],[HalfWidth]],DiscreteStatsTable[[#This Row],[BatchMeansHalfWidth]])</f>
        <v>6.1368358796684312E-3</v>
      </c>
      <c r="X797" cm="1">
        <f t="array" ref="X797">COUNT(IF((DiscreteStatsTable[GroupByKey]=DiscreteStatsTable[[#This Row],[GroupByKey]]),(DiscreteStatsTable[GroupByKey]=DiscreteStatsTable[[#This Row],[GroupByKey]])*DiscreteStatsTable[Replication]))</f>
        <v>50</v>
      </c>
      <c r="Y797">
        <f>IF(DiscreteStatsTable[[#This Row],[RepsRequested]]=DiscreteStatsTable[[#This Row],[RepsWithStatObserved]],1,0)</f>
        <v>1</v>
      </c>
    </row>
    <row r="798" spans="1:25" x14ac:dyDescent="0.25">
      <c r="A798" t="s">
        <v>68</v>
      </c>
      <c r="B798" t="s">
        <v>131</v>
      </c>
      <c r="C798">
        <v>47</v>
      </c>
      <c r="D798" t="s">
        <v>88</v>
      </c>
      <c r="E798" t="s">
        <v>89</v>
      </c>
      <c r="F798" t="s">
        <v>90</v>
      </c>
      <c r="G798">
        <v>1.3970236913396601</v>
      </c>
      <c r="H798">
        <v>2E+20</v>
      </c>
      <c r="I798">
        <v>0.87916037004038095</v>
      </c>
      <c r="J798">
        <v>2.5446492483106899</v>
      </c>
      <c r="K798">
        <v>137</v>
      </c>
      <c r="L798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98" cm="1">
        <f t="array" ref="M798">MAX(IF((ProjectInfoTable[ProjectName]=DiscreteStatsTable[[#This Row],[ProjectName]]),(ProjectInfoTable[ProjectName]=DiscreteStatsTable[[#This Row],[ProjectName]])*ProjectInfoTable[NumberOfReplications]))</f>
        <v>50</v>
      </c>
      <c r="N798" cm="1">
        <f t="array" ref="N798">IFERROR(AVERAGE(IF((DiscreteStatsTable[GroupByKey]=DiscreteStatsTable[[#This Row],[GroupByKey]]),(DiscreteStatsTable[GroupByKey]=DiscreteStatsTable[[#This Row],[GroupByKey]])*DiscreteStatsTable[Average])),0)</f>
        <v>1.3401298911962516</v>
      </c>
      <c r="O798" cm="1">
        <f t="array" ref="O798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98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98" cm="1">
        <f t="array" ref="R798">MIN(IF((DiscreteStatsTable[GroupByKey]=DiscreteStatsTable[[#This Row],[GroupByKey]]),(DiscreteStatsTable[GroupByKey]=DiscreteStatsTable[[#This Row],[GroupByKey]])*DiscreteStatsTable[Average]))</f>
        <v>1.29733858670444</v>
      </c>
      <c r="S798" cm="1">
        <f t="array" ref="S798">MAX(IF((DiscreteStatsTable[GroupByKey]=DiscreteStatsTable[[#This Row],[GroupByKey]]),(DiscreteStatsTable[GroupByKey]=DiscreteStatsTable[[#This Row],[GroupByKey]])*DiscreteStatsTable[Average]))</f>
        <v>1.3970236913396601</v>
      </c>
      <c r="T798" cm="1">
        <f t="array" ref="T798">MIN(IF((DiscreteStatsTable[GroupByKey]=DiscreteStatsTable[[#This Row],[GroupByKey]]),(DiscreteStatsTable[GroupByKey]=DiscreteStatsTable[[#This Row],[GroupByKey]])*DiscreteStatsTable[Minimum]))</f>
        <v>0.81279832598784196</v>
      </c>
      <c r="U798" cm="1">
        <f t="array" ref="U798">MAX(IF((DiscreteStatsTable[GroupByKey]=DiscreteStatsTable[[#This Row],[GroupByKey]]),(DiscreteStatsTable[GroupByKey]=DiscreteStatsTable[[#This Row],[GroupByKey]])*DiscreteStatsTable[Maximum]))</f>
        <v>2.8790847793122198</v>
      </c>
      <c r="V798" cm="1">
        <f t="array" ref="V798">IFERROR(AVERAGE(IF((DiscreteStatsTable[GroupByKey]=DiscreteStatsTable[[#This Row],[GroupByKey]]),(DiscreteStatsTable[GroupByKey]=DiscreteStatsTable[[#This Row],[GroupByKey]])*DiscreteStatsTable[NumberObservations])),0)</f>
        <v>141.32</v>
      </c>
      <c r="W798">
        <f>IF((DiscreteStatsTable[[#This Row],[RepsRequested]]&gt;1),DiscreteStatsTable[[#This Row],[HalfWidth]],DiscreteStatsTable[[#This Row],[BatchMeansHalfWidth]])</f>
        <v>6.1368358796684312E-3</v>
      </c>
      <c r="X798" cm="1">
        <f t="array" ref="X798">COUNT(IF((DiscreteStatsTable[GroupByKey]=DiscreteStatsTable[[#This Row],[GroupByKey]]),(DiscreteStatsTable[GroupByKey]=DiscreteStatsTable[[#This Row],[GroupByKey]])*DiscreteStatsTable[Replication]))</f>
        <v>50</v>
      </c>
      <c r="Y798">
        <f>IF(DiscreteStatsTable[[#This Row],[RepsRequested]]=DiscreteStatsTable[[#This Row],[RepsWithStatObserved]],1,0)</f>
        <v>1</v>
      </c>
    </row>
    <row r="799" spans="1:25" x14ac:dyDescent="0.25">
      <c r="A799" t="s">
        <v>68</v>
      </c>
      <c r="B799" t="s">
        <v>131</v>
      </c>
      <c r="C799">
        <v>48</v>
      </c>
      <c r="D799" t="s">
        <v>88</v>
      </c>
      <c r="E799" t="s">
        <v>89</v>
      </c>
      <c r="F799" t="s">
        <v>90</v>
      </c>
      <c r="G799">
        <v>1.33190929270731</v>
      </c>
      <c r="H799">
        <v>2E+20</v>
      </c>
      <c r="I799">
        <v>0.85905661629195196</v>
      </c>
      <c r="J799">
        <v>2.0057270491487298</v>
      </c>
      <c r="K799">
        <v>141</v>
      </c>
      <c r="L799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799" cm="1">
        <f t="array" ref="M799">MAX(IF((ProjectInfoTable[ProjectName]=DiscreteStatsTable[[#This Row],[ProjectName]]),(ProjectInfoTable[ProjectName]=DiscreteStatsTable[[#This Row],[ProjectName]])*ProjectInfoTable[NumberOfReplications]))</f>
        <v>50</v>
      </c>
      <c r="N799" cm="1">
        <f t="array" ref="N799">IFERROR(AVERAGE(IF((DiscreteStatsTable[GroupByKey]=DiscreteStatsTable[[#This Row],[GroupByKey]]),(DiscreteStatsTable[GroupByKey]=DiscreteStatsTable[[#This Row],[GroupByKey]])*DiscreteStatsTable[Average])),0)</f>
        <v>1.3401298911962516</v>
      </c>
      <c r="O799" cm="1">
        <f t="array" ref="O799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799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799" cm="1">
        <f t="array" ref="R799">MIN(IF((DiscreteStatsTable[GroupByKey]=DiscreteStatsTable[[#This Row],[GroupByKey]]),(DiscreteStatsTable[GroupByKey]=DiscreteStatsTable[[#This Row],[GroupByKey]])*DiscreteStatsTable[Average]))</f>
        <v>1.29733858670444</v>
      </c>
      <c r="S799" cm="1">
        <f t="array" ref="S799">MAX(IF((DiscreteStatsTable[GroupByKey]=DiscreteStatsTable[[#This Row],[GroupByKey]]),(DiscreteStatsTable[GroupByKey]=DiscreteStatsTable[[#This Row],[GroupByKey]])*DiscreteStatsTable[Average]))</f>
        <v>1.3970236913396601</v>
      </c>
      <c r="T799" cm="1">
        <f t="array" ref="T799">MIN(IF((DiscreteStatsTable[GroupByKey]=DiscreteStatsTable[[#This Row],[GroupByKey]]),(DiscreteStatsTable[GroupByKey]=DiscreteStatsTable[[#This Row],[GroupByKey]])*DiscreteStatsTable[Minimum]))</f>
        <v>0.81279832598784196</v>
      </c>
      <c r="U799" cm="1">
        <f t="array" ref="U799">MAX(IF((DiscreteStatsTable[GroupByKey]=DiscreteStatsTable[[#This Row],[GroupByKey]]),(DiscreteStatsTable[GroupByKey]=DiscreteStatsTable[[#This Row],[GroupByKey]])*DiscreteStatsTable[Maximum]))</f>
        <v>2.8790847793122198</v>
      </c>
      <c r="V799" cm="1">
        <f t="array" ref="V799">IFERROR(AVERAGE(IF((DiscreteStatsTable[GroupByKey]=DiscreteStatsTable[[#This Row],[GroupByKey]]),(DiscreteStatsTable[GroupByKey]=DiscreteStatsTable[[#This Row],[GroupByKey]])*DiscreteStatsTable[NumberObservations])),0)</f>
        <v>141.32</v>
      </c>
      <c r="W799">
        <f>IF((DiscreteStatsTable[[#This Row],[RepsRequested]]&gt;1),DiscreteStatsTable[[#This Row],[HalfWidth]],DiscreteStatsTable[[#This Row],[BatchMeansHalfWidth]])</f>
        <v>6.1368358796684312E-3</v>
      </c>
      <c r="X799" cm="1">
        <f t="array" ref="X799">COUNT(IF((DiscreteStatsTable[GroupByKey]=DiscreteStatsTable[[#This Row],[GroupByKey]]),(DiscreteStatsTable[GroupByKey]=DiscreteStatsTable[[#This Row],[GroupByKey]])*DiscreteStatsTable[Replication]))</f>
        <v>50</v>
      </c>
      <c r="Y799">
        <f>IF(DiscreteStatsTable[[#This Row],[RepsRequested]]=DiscreteStatsTable[[#This Row],[RepsWithStatObserved]],1,0)</f>
        <v>1</v>
      </c>
    </row>
    <row r="800" spans="1:25" x14ac:dyDescent="0.25">
      <c r="A800" t="s">
        <v>68</v>
      </c>
      <c r="B800" t="s">
        <v>131</v>
      </c>
      <c r="C800">
        <v>49</v>
      </c>
      <c r="D800" t="s">
        <v>88</v>
      </c>
      <c r="E800" t="s">
        <v>89</v>
      </c>
      <c r="F800" t="s">
        <v>90</v>
      </c>
      <c r="G800">
        <v>1.3563999524186801</v>
      </c>
      <c r="H800">
        <v>2E+20</v>
      </c>
      <c r="I800">
        <v>0.90784267044705302</v>
      </c>
      <c r="J800">
        <v>2.3933165515201198</v>
      </c>
      <c r="K800">
        <v>149</v>
      </c>
      <c r="L800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800" cm="1">
        <f t="array" ref="M800">MAX(IF((ProjectInfoTable[ProjectName]=DiscreteStatsTable[[#This Row],[ProjectName]]),(ProjectInfoTable[ProjectName]=DiscreteStatsTable[[#This Row],[ProjectName]])*ProjectInfoTable[NumberOfReplications]))</f>
        <v>50</v>
      </c>
      <c r="N800" cm="1">
        <f t="array" ref="N800">IFERROR(AVERAGE(IF((DiscreteStatsTable[GroupByKey]=DiscreteStatsTable[[#This Row],[GroupByKey]]),(DiscreteStatsTable[GroupByKey]=DiscreteStatsTable[[#This Row],[GroupByKey]])*DiscreteStatsTable[Average])),0)</f>
        <v>1.3401298911962516</v>
      </c>
      <c r="O800" cm="1">
        <f t="array" ref="O800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800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800" cm="1">
        <f t="array" ref="R800">MIN(IF((DiscreteStatsTable[GroupByKey]=DiscreteStatsTable[[#This Row],[GroupByKey]]),(DiscreteStatsTable[GroupByKey]=DiscreteStatsTable[[#This Row],[GroupByKey]])*DiscreteStatsTable[Average]))</f>
        <v>1.29733858670444</v>
      </c>
      <c r="S800" cm="1">
        <f t="array" ref="S800">MAX(IF((DiscreteStatsTable[GroupByKey]=DiscreteStatsTable[[#This Row],[GroupByKey]]),(DiscreteStatsTable[GroupByKey]=DiscreteStatsTable[[#This Row],[GroupByKey]])*DiscreteStatsTable[Average]))</f>
        <v>1.3970236913396601</v>
      </c>
      <c r="T800" cm="1">
        <f t="array" ref="T800">MIN(IF((DiscreteStatsTable[GroupByKey]=DiscreteStatsTable[[#This Row],[GroupByKey]]),(DiscreteStatsTable[GroupByKey]=DiscreteStatsTable[[#This Row],[GroupByKey]])*DiscreteStatsTable[Minimum]))</f>
        <v>0.81279832598784196</v>
      </c>
      <c r="U800" cm="1">
        <f t="array" ref="U800">MAX(IF((DiscreteStatsTable[GroupByKey]=DiscreteStatsTable[[#This Row],[GroupByKey]]),(DiscreteStatsTable[GroupByKey]=DiscreteStatsTable[[#This Row],[GroupByKey]])*DiscreteStatsTable[Maximum]))</f>
        <v>2.8790847793122198</v>
      </c>
      <c r="V800" cm="1">
        <f t="array" ref="V800">IFERROR(AVERAGE(IF((DiscreteStatsTable[GroupByKey]=DiscreteStatsTable[[#This Row],[GroupByKey]]),(DiscreteStatsTable[GroupByKey]=DiscreteStatsTable[[#This Row],[GroupByKey]])*DiscreteStatsTable[NumberObservations])),0)</f>
        <v>141.32</v>
      </c>
      <c r="W800">
        <f>IF((DiscreteStatsTable[[#This Row],[RepsRequested]]&gt;1),DiscreteStatsTable[[#This Row],[HalfWidth]],DiscreteStatsTable[[#This Row],[BatchMeansHalfWidth]])</f>
        <v>6.1368358796684312E-3</v>
      </c>
      <c r="X800" cm="1">
        <f t="array" ref="X800">COUNT(IF((DiscreteStatsTable[GroupByKey]=DiscreteStatsTable[[#This Row],[GroupByKey]]),(DiscreteStatsTable[GroupByKey]=DiscreteStatsTable[[#This Row],[GroupByKey]])*DiscreteStatsTable[Replication]))</f>
        <v>50</v>
      </c>
      <c r="Y800">
        <f>IF(DiscreteStatsTable[[#This Row],[RepsRequested]]=DiscreteStatsTable[[#This Row],[RepsWithStatObserved]],1,0)</f>
        <v>1</v>
      </c>
    </row>
    <row r="801" spans="1:25" x14ac:dyDescent="0.25">
      <c r="A801" t="s">
        <v>68</v>
      </c>
      <c r="B801" t="s">
        <v>131</v>
      </c>
      <c r="C801">
        <v>50</v>
      </c>
      <c r="D801" t="s">
        <v>88</v>
      </c>
      <c r="E801" t="s">
        <v>89</v>
      </c>
      <c r="F801" t="s">
        <v>90</v>
      </c>
      <c r="G801">
        <v>1.33763312197127</v>
      </c>
      <c r="H801">
        <v>2E+20</v>
      </c>
      <c r="I801">
        <v>0.83050935754507604</v>
      </c>
      <c r="J801">
        <v>2.1205279187796902</v>
      </c>
      <c r="K801">
        <v>141</v>
      </c>
      <c r="L801" t="str">
        <f>DiscreteStatsTable[[#This Row],[ProjectName]]&amp;DiscreteStatsTable[[#This Row],[Name]]&amp;DiscreteStatsTable[[#This Row],[Type]]&amp;DiscreteStatsTable[[#This Row],[Source]]</f>
        <v>PacientesTiempoTipo1NoneUser Specified</v>
      </c>
      <c r="M801" cm="1">
        <f t="array" ref="M801">MAX(IF((ProjectInfoTable[ProjectName]=DiscreteStatsTable[[#This Row],[ProjectName]]),(ProjectInfoTable[ProjectName]=DiscreteStatsTable[[#This Row],[ProjectName]])*ProjectInfoTable[NumberOfReplications]))</f>
        <v>50</v>
      </c>
      <c r="N801" cm="1">
        <f t="array" ref="N801">IFERROR(AVERAGE(IF((DiscreteStatsTable[GroupByKey]=DiscreteStatsTable[[#This Row],[GroupByKey]]),(DiscreteStatsTable[GroupByKey]=DiscreteStatsTable[[#This Row],[GroupByKey]])*DiscreteStatsTable[Average])),0)</f>
        <v>1.3401298911962516</v>
      </c>
      <c r="O801" cm="1">
        <f t="array" ref="O801">IFERROR(_xlfn.STDEV.S(IF((DiscreteStatsTable[GroupByKey]=DiscreteStatsTable[[#This Row],[GroupByKey]]),(DiscreteStatsTable[GroupByKey]=DiscreteStatsTable[[#This Row],[GroupByKey]])*DiscreteStatsTable[Average])),0)</f>
        <v>2.1593609362650531E-2</v>
      </c>
      <c r="P801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6.1368358796684312E-3</v>
      </c>
      <c r="R801" cm="1">
        <f t="array" ref="R801">MIN(IF((DiscreteStatsTable[GroupByKey]=DiscreteStatsTable[[#This Row],[GroupByKey]]),(DiscreteStatsTable[GroupByKey]=DiscreteStatsTable[[#This Row],[GroupByKey]])*DiscreteStatsTable[Average]))</f>
        <v>1.29733858670444</v>
      </c>
      <c r="S801" cm="1">
        <f t="array" ref="S801">MAX(IF((DiscreteStatsTable[GroupByKey]=DiscreteStatsTable[[#This Row],[GroupByKey]]),(DiscreteStatsTable[GroupByKey]=DiscreteStatsTable[[#This Row],[GroupByKey]])*DiscreteStatsTable[Average]))</f>
        <v>1.3970236913396601</v>
      </c>
      <c r="T801" cm="1">
        <f t="array" ref="T801">MIN(IF((DiscreteStatsTable[GroupByKey]=DiscreteStatsTable[[#This Row],[GroupByKey]]),(DiscreteStatsTable[GroupByKey]=DiscreteStatsTable[[#This Row],[GroupByKey]])*DiscreteStatsTable[Minimum]))</f>
        <v>0.81279832598784196</v>
      </c>
      <c r="U801" cm="1">
        <f t="array" ref="U801">MAX(IF((DiscreteStatsTable[GroupByKey]=DiscreteStatsTable[[#This Row],[GroupByKey]]),(DiscreteStatsTable[GroupByKey]=DiscreteStatsTable[[#This Row],[GroupByKey]])*DiscreteStatsTable[Maximum]))</f>
        <v>2.8790847793122198</v>
      </c>
      <c r="V801" cm="1">
        <f t="array" ref="V801">IFERROR(AVERAGE(IF((DiscreteStatsTable[GroupByKey]=DiscreteStatsTable[[#This Row],[GroupByKey]]),(DiscreteStatsTable[GroupByKey]=DiscreteStatsTable[[#This Row],[GroupByKey]])*DiscreteStatsTable[NumberObservations])),0)</f>
        <v>141.32</v>
      </c>
      <c r="W801">
        <f>IF((DiscreteStatsTable[[#This Row],[RepsRequested]]&gt;1),DiscreteStatsTable[[#This Row],[HalfWidth]],DiscreteStatsTable[[#This Row],[BatchMeansHalfWidth]])</f>
        <v>6.1368358796684312E-3</v>
      </c>
      <c r="X801" cm="1">
        <f t="array" ref="X801">COUNT(IF((DiscreteStatsTable[GroupByKey]=DiscreteStatsTable[[#This Row],[GroupByKey]]),(DiscreteStatsTable[GroupByKey]=DiscreteStatsTable[[#This Row],[GroupByKey]])*DiscreteStatsTable[Replication]))</f>
        <v>50</v>
      </c>
      <c r="Y801">
        <f>IF(DiscreteStatsTable[[#This Row],[RepsRequested]]=DiscreteStatsTable[[#This Row],[RepsWithStatObserved]],1,0)</f>
        <v>1</v>
      </c>
    </row>
    <row r="802" spans="1:25" x14ac:dyDescent="0.25">
      <c r="A802" t="s">
        <v>68</v>
      </c>
      <c r="B802" t="s">
        <v>131</v>
      </c>
      <c r="C802">
        <v>1</v>
      </c>
      <c r="D802" t="s">
        <v>91</v>
      </c>
      <c r="E802" t="s">
        <v>89</v>
      </c>
      <c r="F802" t="s">
        <v>90</v>
      </c>
      <c r="G802">
        <v>1.2765742057897</v>
      </c>
      <c r="H802">
        <v>2E+20</v>
      </c>
      <c r="I802">
        <v>0.92060723871478001</v>
      </c>
      <c r="J802">
        <v>2.1229089627323701</v>
      </c>
      <c r="K802">
        <v>172</v>
      </c>
      <c r="L802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02" cm="1">
        <f t="array" ref="M802">MAX(IF((ProjectInfoTable[ProjectName]=DiscreteStatsTable[[#This Row],[ProjectName]]),(ProjectInfoTable[ProjectName]=DiscreteStatsTable[[#This Row],[ProjectName]])*ProjectInfoTable[NumberOfReplications]))</f>
        <v>50</v>
      </c>
      <c r="N802" cm="1">
        <f t="array" ref="N802">IFERROR(AVERAGE(IF((DiscreteStatsTable[GroupByKey]=DiscreteStatsTable[[#This Row],[GroupByKey]]),(DiscreteStatsTable[GroupByKey]=DiscreteStatsTable[[#This Row],[GroupByKey]])*DiscreteStatsTable[Average])),0)</f>
        <v>1.2960085058838744</v>
      </c>
      <c r="O802" cm="1">
        <f t="array" ref="O802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02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02" cm="1">
        <f t="array" ref="R802">MIN(IF((DiscreteStatsTable[GroupByKey]=DiscreteStatsTable[[#This Row],[GroupByKey]]),(DiscreteStatsTable[GroupByKey]=DiscreteStatsTable[[#This Row],[GroupByKey]])*DiscreteStatsTable[Average]))</f>
        <v>1.2434623099776301</v>
      </c>
      <c r="S802" cm="1">
        <f t="array" ref="S802">MAX(IF((DiscreteStatsTable[GroupByKey]=DiscreteStatsTable[[#This Row],[GroupByKey]]),(DiscreteStatsTable[GroupByKey]=DiscreteStatsTable[[#This Row],[GroupByKey]])*DiscreteStatsTable[Average]))</f>
        <v>1.34511985766981</v>
      </c>
      <c r="T802" cm="1">
        <f t="array" ref="T802">MIN(IF((DiscreteStatsTable[GroupByKey]=DiscreteStatsTable[[#This Row],[GroupByKey]]),(DiscreteStatsTable[GroupByKey]=DiscreteStatsTable[[#This Row],[GroupByKey]])*DiscreteStatsTable[Minimum]))</f>
        <v>0.82883063937214296</v>
      </c>
      <c r="U802" cm="1">
        <f t="array" ref="U802">MAX(IF((DiscreteStatsTable[GroupByKey]=DiscreteStatsTable[[#This Row],[GroupByKey]]),(DiscreteStatsTable[GroupByKey]=DiscreteStatsTable[[#This Row],[GroupByKey]])*DiscreteStatsTable[Maximum]))</f>
        <v>3.7385284063050199</v>
      </c>
      <c r="V802" cm="1">
        <f t="array" ref="V802">IFERROR(AVERAGE(IF((DiscreteStatsTable[GroupByKey]=DiscreteStatsTable[[#This Row],[GroupByKey]]),(DiscreteStatsTable[GroupByKey]=DiscreteStatsTable[[#This Row],[GroupByKey]])*DiscreteStatsTable[NumberObservations])),0)</f>
        <v>189.42</v>
      </c>
      <c r="W802">
        <f>IF((DiscreteStatsTable[[#This Row],[RepsRequested]]&gt;1),DiscreteStatsTable[[#This Row],[HalfWidth]],DiscreteStatsTable[[#This Row],[BatchMeansHalfWidth]])</f>
        <v>7.2337839818498884E-3</v>
      </c>
      <c r="X802" cm="1">
        <f t="array" ref="X802">COUNT(IF((DiscreteStatsTable[GroupByKey]=DiscreteStatsTable[[#This Row],[GroupByKey]]),(DiscreteStatsTable[GroupByKey]=DiscreteStatsTable[[#This Row],[GroupByKey]])*DiscreteStatsTable[Replication]))</f>
        <v>50</v>
      </c>
      <c r="Y802">
        <f>IF(DiscreteStatsTable[[#This Row],[RepsRequested]]=DiscreteStatsTable[[#This Row],[RepsWithStatObserved]],1,0)</f>
        <v>1</v>
      </c>
    </row>
    <row r="803" spans="1:25" x14ac:dyDescent="0.25">
      <c r="A803" t="s">
        <v>68</v>
      </c>
      <c r="B803" t="s">
        <v>131</v>
      </c>
      <c r="C803">
        <v>2</v>
      </c>
      <c r="D803" t="s">
        <v>91</v>
      </c>
      <c r="E803" t="s">
        <v>89</v>
      </c>
      <c r="F803" t="s">
        <v>90</v>
      </c>
      <c r="G803">
        <v>1.3053045351246999</v>
      </c>
      <c r="H803">
        <v>2E+20</v>
      </c>
      <c r="I803">
        <v>0.86504340155251203</v>
      </c>
      <c r="J803">
        <v>2.2810519548916899</v>
      </c>
      <c r="K803">
        <v>199</v>
      </c>
      <c r="L803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03" cm="1">
        <f t="array" ref="M803">MAX(IF((ProjectInfoTable[ProjectName]=DiscreteStatsTable[[#This Row],[ProjectName]]),(ProjectInfoTable[ProjectName]=DiscreteStatsTable[[#This Row],[ProjectName]])*ProjectInfoTable[NumberOfReplications]))</f>
        <v>50</v>
      </c>
      <c r="N803" cm="1">
        <f t="array" ref="N803">IFERROR(AVERAGE(IF((DiscreteStatsTable[GroupByKey]=DiscreteStatsTable[[#This Row],[GroupByKey]]),(DiscreteStatsTable[GroupByKey]=DiscreteStatsTable[[#This Row],[GroupByKey]])*DiscreteStatsTable[Average])),0)</f>
        <v>1.2960085058838744</v>
      </c>
      <c r="O803" cm="1">
        <f t="array" ref="O803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03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03" cm="1">
        <f t="array" ref="R803">MIN(IF((DiscreteStatsTable[GroupByKey]=DiscreteStatsTable[[#This Row],[GroupByKey]]),(DiscreteStatsTable[GroupByKey]=DiscreteStatsTable[[#This Row],[GroupByKey]])*DiscreteStatsTable[Average]))</f>
        <v>1.2434623099776301</v>
      </c>
      <c r="S803" cm="1">
        <f t="array" ref="S803">MAX(IF((DiscreteStatsTable[GroupByKey]=DiscreteStatsTable[[#This Row],[GroupByKey]]),(DiscreteStatsTable[GroupByKey]=DiscreteStatsTable[[#This Row],[GroupByKey]])*DiscreteStatsTable[Average]))</f>
        <v>1.34511985766981</v>
      </c>
      <c r="T803" cm="1">
        <f t="array" ref="T803">MIN(IF((DiscreteStatsTable[GroupByKey]=DiscreteStatsTable[[#This Row],[GroupByKey]]),(DiscreteStatsTable[GroupByKey]=DiscreteStatsTable[[#This Row],[GroupByKey]])*DiscreteStatsTable[Minimum]))</f>
        <v>0.82883063937214296</v>
      </c>
      <c r="U803" cm="1">
        <f t="array" ref="U803">MAX(IF((DiscreteStatsTable[GroupByKey]=DiscreteStatsTable[[#This Row],[GroupByKey]]),(DiscreteStatsTable[GroupByKey]=DiscreteStatsTable[[#This Row],[GroupByKey]])*DiscreteStatsTable[Maximum]))</f>
        <v>3.7385284063050199</v>
      </c>
      <c r="V803" cm="1">
        <f t="array" ref="V803">IFERROR(AVERAGE(IF((DiscreteStatsTable[GroupByKey]=DiscreteStatsTable[[#This Row],[GroupByKey]]),(DiscreteStatsTable[GroupByKey]=DiscreteStatsTable[[#This Row],[GroupByKey]])*DiscreteStatsTable[NumberObservations])),0)</f>
        <v>189.42</v>
      </c>
      <c r="W803">
        <f>IF((DiscreteStatsTable[[#This Row],[RepsRequested]]&gt;1),DiscreteStatsTable[[#This Row],[HalfWidth]],DiscreteStatsTable[[#This Row],[BatchMeansHalfWidth]])</f>
        <v>7.2337839818498884E-3</v>
      </c>
      <c r="X803" cm="1">
        <f t="array" ref="X803">COUNT(IF((DiscreteStatsTable[GroupByKey]=DiscreteStatsTable[[#This Row],[GroupByKey]]),(DiscreteStatsTable[GroupByKey]=DiscreteStatsTable[[#This Row],[GroupByKey]])*DiscreteStatsTable[Replication]))</f>
        <v>50</v>
      </c>
      <c r="Y803">
        <f>IF(DiscreteStatsTable[[#This Row],[RepsRequested]]=DiscreteStatsTable[[#This Row],[RepsWithStatObserved]],1,0)</f>
        <v>1</v>
      </c>
    </row>
    <row r="804" spans="1:25" x14ac:dyDescent="0.25">
      <c r="A804" t="s">
        <v>68</v>
      </c>
      <c r="B804" t="s">
        <v>131</v>
      </c>
      <c r="C804">
        <v>3</v>
      </c>
      <c r="D804" t="s">
        <v>91</v>
      </c>
      <c r="E804" t="s">
        <v>89</v>
      </c>
      <c r="F804" t="s">
        <v>90</v>
      </c>
      <c r="G804">
        <v>1.2731014645362699</v>
      </c>
      <c r="H804">
        <v>2E+20</v>
      </c>
      <c r="I804">
        <v>0.888999696324277</v>
      </c>
      <c r="J804">
        <v>2.67486302238092</v>
      </c>
      <c r="K804">
        <v>179</v>
      </c>
      <c r="L804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04" cm="1">
        <f t="array" ref="M804">MAX(IF((ProjectInfoTable[ProjectName]=DiscreteStatsTable[[#This Row],[ProjectName]]),(ProjectInfoTable[ProjectName]=DiscreteStatsTable[[#This Row],[ProjectName]])*ProjectInfoTable[NumberOfReplications]))</f>
        <v>50</v>
      </c>
      <c r="N804" cm="1">
        <f t="array" ref="N804">IFERROR(AVERAGE(IF((DiscreteStatsTable[GroupByKey]=DiscreteStatsTable[[#This Row],[GroupByKey]]),(DiscreteStatsTable[GroupByKey]=DiscreteStatsTable[[#This Row],[GroupByKey]])*DiscreteStatsTable[Average])),0)</f>
        <v>1.2960085058838744</v>
      </c>
      <c r="O804" cm="1">
        <f t="array" ref="O804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04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04" cm="1">
        <f t="array" ref="R804">MIN(IF((DiscreteStatsTable[GroupByKey]=DiscreteStatsTable[[#This Row],[GroupByKey]]),(DiscreteStatsTable[GroupByKey]=DiscreteStatsTable[[#This Row],[GroupByKey]])*DiscreteStatsTable[Average]))</f>
        <v>1.2434623099776301</v>
      </c>
      <c r="S804" cm="1">
        <f t="array" ref="S804">MAX(IF((DiscreteStatsTable[GroupByKey]=DiscreteStatsTable[[#This Row],[GroupByKey]]),(DiscreteStatsTable[GroupByKey]=DiscreteStatsTable[[#This Row],[GroupByKey]])*DiscreteStatsTable[Average]))</f>
        <v>1.34511985766981</v>
      </c>
      <c r="T804" cm="1">
        <f t="array" ref="T804">MIN(IF((DiscreteStatsTable[GroupByKey]=DiscreteStatsTable[[#This Row],[GroupByKey]]),(DiscreteStatsTable[GroupByKey]=DiscreteStatsTable[[#This Row],[GroupByKey]])*DiscreteStatsTable[Minimum]))</f>
        <v>0.82883063937214296</v>
      </c>
      <c r="U804" cm="1">
        <f t="array" ref="U804">MAX(IF((DiscreteStatsTable[GroupByKey]=DiscreteStatsTable[[#This Row],[GroupByKey]]),(DiscreteStatsTable[GroupByKey]=DiscreteStatsTable[[#This Row],[GroupByKey]])*DiscreteStatsTable[Maximum]))</f>
        <v>3.7385284063050199</v>
      </c>
      <c r="V804" cm="1">
        <f t="array" ref="V804">IFERROR(AVERAGE(IF((DiscreteStatsTable[GroupByKey]=DiscreteStatsTable[[#This Row],[GroupByKey]]),(DiscreteStatsTable[GroupByKey]=DiscreteStatsTable[[#This Row],[GroupByKey]])*DiscreteStatsTable[NumberObservations])),0)</f>
        <v>189.42</v>
      </c>
      <c r="W804">
        <f>IF((DiscreteStatsTable[[#This Row],[RepsRequested]]&gt;1),DiscreteStatsTable[[#This Row],[HalfWidth]],DiscreteStatsTable[[#This Row],[BatchMeansHalfWidth]])</f>
        <v>7.2337839818498884E-3</v>
      </c>
      <c r="X804" cm="1">
        <f t="array" ref="X804">COUNT(IF((DiscreteStatsTable[GroupByKey]=DiscreteStatsTable[[#This Row],[GroupByKey]]),(DiscreteStatsTable[GroupByKey]=DiscreteStatsTable[[#This Row],[GroupByKey]])*DiscreteStatsTable[Replication]))</f>
        <v>50</v>
      </c>
      <c r="Y804">
        <f>IF(DiscreteStatsTable[[#This Row],[RepsRequested]]=DiscreteStatsTable[[#This Row],[RepsWithStatObserved]],1,0)</f>
        <v>1</v>
      </c>
    </row>
    <row r="805" spans="1:25" x14ac:dyDescent="0.25">
      <c r="A805" t="s">
        <v>68</v>
      </c>
      <c r="B805" t="s">
        <v>131</v>
      </c>
      <c r="C805">
        <v>4</v>
      </c>
      <c r="D805" t="s">
        <v>91</v>
      </c>
      <c r="E805" t="s">
        <v>89</v>
      </c>
      <c r="F805" t="s">
        <v>90</v>
      </c>
      <c r="G805">
        <v>1.2865981351223099</v>
      </c>
      <c r="H805">
        <v>2E+20</v>
      </c>
      <c r="I805">
        <v>0.86632543304585896</v>
      </c>
      <c r="J805">
        <v>2.13781221944532</v>
      </c>
      <c r="K805">
        <v>202</v>
      </c>
      <c r="L805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05" cm="1">
        <f t="array" ref="M805">MAX(IF((ProjectInfoTable[ProjectName]=DiscreteStatsTable[[#This Row],[ProjectName]]),(ProjectInfoTable[ProjectName]=DiscreteStatsTable[[#This Row],[ProjectName]])*ProjectInfoTable[NumberOfReplications]))</f>
        <v>50</v>
      </c>
      <c r="N805" cm="1">
        <f t="array" ref="N805">IFERROR(AVERAGE(IF((DiscreteStatsTable[GroupByKey]=DiscreteStatsTable[[#This Row],[GroupByKey]]),(DiscreteStatsTable[GroupByKey]=DiscreteStatsTable[[#This Row],[GroupByKey]])*DiscreteStatsTable[Average])),0)</f>
        <v>1.2960085058838744</v>
      </c>
      <c r="O805" cm="1">
        <f t="array" ref="O805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0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05" cm="1">
        <f t="array" ref="R805">MIN(IF((DiscreteStatsTable[GroupByKey]=DiscreteStatsTable[[#This Row],[GroupByKey]]),(DiscreteStatsTable[GroupByKey]=DiscreteStatsTable[[#This Row],[GroupByKey]])*DiscreteStatsTable[Average]))</f>
        <v>1.2434623099776301</v>
      </c>
      <c r="S805" cm="1">
        <f t="array" ref="S805">MAX(IF((DiscreteStatsTable[GroupByKey]=DiscreteStatsTable[[#This Row],[GroupByKey]]),(DiscreteStatsTable[GroupByKey]=DiscreteStatsTable[[#This Row],[GroupByKey]])*DiscreteStatsTable[Average]))</f>
        <v>1.34511985766981</v>
      </c>
      <c r="T805" cm="1">
        <f t="array" ref="T805">MIN(IF((DiscreteStatsTable[GroupByKey]=DiscreteStatsTable[[#This Row],[GroupByKey]]),(DiscreteStatsTable[GroupByKey]=DiscreteStatsTable[[#This Row],[GroupByKey]])*DiscreteStatsTable[Minimum]))</f>
        <v>0.82883063937214296</v>
      </c>
      <c r="U805" cm="1">
        <f t="array" ref="U805">MAX(IF((DiscreteStatsTable[GroupByKey]=DiscreteStatsTable[[#This Row],[GroupByKey]]),(DiscreteStatsTable[GroupByKey]=DiscreteStatsTable[[#This Row],[GroupByKey]])*DiscreteStatsTable[Maximum]))</f>
        <v>3.7385284063050199</v>
      </c>
      <c r="V805" cm="1">
        <f t="array" ref="V805">IFERROR(AVERAGE(IF((DiscreteStatsTable[GroupByKey]=DiscreteStatsTable[[#This Row],[GroupByKey]]),(DiscreteStatsTable[GroupByKey]=DiscreteStatsTable[[#This Row],[GroupByKey]])*DiscreteStatsTable[NumberObservations])),0)</f>
        <v>189.42</v>
      </c>
      <c r="W805">
        <f>IF((DiscreteStatsTable[[#This Row],[RepsRequested]]&gt;1),DiscreteStatsTable[[#This Row],[HalfWidth]],DiscreteStatsTable[[#This Row],[BatchMeansHalfWidth]])</f>
        <v>7.2337839818498884E-3</v>
      </c>
      <c r="X805" cm="1">
        <f t="array" ref="X805">COUNT(IF((DiscreteStatsTable[GroupByKey]=DiscreteStatsTable[[#This Row],[GroupByKey]]),(DiscreteStatsTable[GroupByKey]=DiscreteStatsTable[[#This Row],[GroupByKey]])*DiscreteStatsTable[Replication]))</f>
        <v>50</v>
      </c>
      <c r="Y805">
        <f>IF(DiscreteStatsTable[[#This Row],[RepsRequested]]=DiscreteStatsTable[[#This Row],[RepsWithStatObserved]],1,0)</f>
        <v>1</v>
      </c>
    </row>
    <row r="806" spans="1:25" x14ac:dyDescent="0.25">
      <c r="A806" t="s">
        <v>68</v>
      </c>
      <c r="B806" t="s">
        <v>131</v>
      </c>
      <c r="C806">
        <v>5</v>
      </c>
      <c r="D806" t="s">
        <v>91</v>
      </c>
      <c r="E806" t="s">
        <v>89</v>
      </c>
      <c r="F806" t="s">
        <v>90</v>
      </c>
      <c r="G806">
        <v>1.27166836996309</v>
      </c>
      <c r="H806">
        <v>2E+20</v>
      </c>
      <c r="I806">
        <v>0.90180952460943298</v>
      </c>
      <c r="J806">
        <v>2.2205242001054999</v>
      </c>
      <c r="K806">
        <v>166</v>
      </c>
      <c r="L806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06" cm="1">
        <f t="array" ref="M806">MAX(IF((ProjectInfoTable[ProjectName]=DiscreteStatsTable[[#This Row],[ProjectName]]),(ProjectInfoTable[ProjectName]=DiscreteStatsTable[[#This Row],[ProjectName]])*ProjectInfoTable[NumberOfReplications]))</f>
        <v>50</v>
      </c>
      <c r="N806" cm="1">
        <f t="array" ref="N806">IFERROR(AVERAGE(IF((DiscreteStatsTable[GroupByKey]=DiscreteStatsTable[[#This Row],[GroupByKey]]),(DiscreteStatsTable[GroupByKey]=DiscreteStatsTable[[#This Row],[GroupByKey]])*DiscreteStatsTable[Average])),0)</f>
        <v>1.2960085058838744</v>
      </c>
      <c r="O806" cm="1">
        <f t="array" ref="O806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06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06" cm="1">
        <f t="array" ref="R806">MIN(IF((DiscreteStatsTable[GroupByKey]=DiscreteStatsTable[[#This Row],[GroupByKey]]),(DiscreteStatsTable[GroupByKey]=DiscreteStatsTable[[#This Row],[GroupByKey]])*DiscreteStatsTable[Average]))</f>
        <v>1.2434623099776301</v>
      </c>
      <c r="S806" cm="1">
        <f t="array" ref="S806">MAX(IF((DiscreteStatsTable[GroupByKey]=DiscreteStatsTable[[#This Row],[GroupByKey]]),(DiscreteStatsTable[GroupByKey]=DiscreteStatsTable[[#This Row],[GroupByKey]])*DiscreteStatsTable[Average]))</f>
        <v>1.34511985766981</v>
      </c>
      <c r="T806" cm="1">
        <f t="array" ref="T806">MIN(IF((DiscreteStatsTable[GroupByKey]=DiscreteStatsTable[[#This Row],[GroupByKey]]),(DiscreteStatsTable[GroupByKey]=DiscreteStatsTable[[#This Row],[GroupByKey]])*DiscreteStatsTable[Minimum]))</f>
        <v>0.82883063937214296</v>
      </c>
      <c r="U806" cm="1">
        <f t="array" ref="U806">MAX(IF((DiscreteStatsTable[GroupByKey]=DiscreteStatsTable[[#This Row],[GroupByKey]]),(DiscreteStatsTable[GroupByKey]=DiscreteStatsTable[[#This Row],[GroupByKey]])*DiscreteStatsTable[Maximum]))</f>
        <v>3.7385284063050199</v>
      </c>
      <c r="V806" cm="1">
        <f t="array" ref="V806">IFERROR(AVERAGE(IF((DiscreteStatsTable[GroupByKey]=DiscreteStatsTable[[#This Row],[GroupByKey]]),(DiscreteStatsTable[GroupByKey]=DiscreteStatsTable[[#This Row],[GroupByKey]])*DiscreteStatsTable[NumberObservations])),0)</f>
        <v>189.42</v>
      </c>
      <c r="W806">
        <f>IF((DiscreteStatsTable[[#This Row],[RepsRequested]]&gt;1),DiscreteStatsTable[[#This Row],[HalfWidth]],DiscreteStatsTable[[#This Row],[BatchMeansHalfWidth]])</f>
        <v>7.2337839818498884E-3</v>
      </c>
      <c r="X806" cm="1">
        <f t="array" ref="X806">COUNT(IF((DiscreteStatsTable[GroupByKey]=DiscreteStatsTable[[#This Row],[GroupByKey]]),(DiscreteStatsTable[GroupByKey]=DiscreteStatsTable[[#This Row],[GroupByKey]])*DiscreteStatsTable[Replication]))</f>
        <v>50</v>
      </c>
      <c r="Y806">
        <f>IF(DiscreteStatsTable[[#This Row],[RepsRequested]]=DiscreteStatsTable[[#This Row],[RepsWithStatObserved]],1,0)</f>
        <v>1</v>
      </c>
    </row>
    <row r="807" spans="1:25" x14ac:dyDescent="0.25">
      <c r="A807" t="s">
        <v>68</v>
      </c>
      <c r="B807" t="s">
        <v>131</v>
      </c>
      <c r="C807">
        <v>6</v>
      </c>
      <c r="D807" t="s">
        <v>91</v>
      </c>
      <c r="E807" t="s">
        <v>89</v>
      </c>
      <c r="F807" t="s">
        <v>90</v>
      </c>
      <c r="G807">
        <v>1.33702572465267</v>
      </c>
      <c r="H807">
        <v>2E+20</v>
      </c>
      <c r="I807">
        <v>0.90419800745266299</v>
      </c>
      <c r="J807">
        <v>2.5290819353771798</v>
      </c>
      <c r="K807">
        <v>202</v>
      </c>
      <c r="L807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07" cm="1">
        <f t="array" ref="M807">MAX(IF((ProjectInfoTable[ProjectName]=DiscreteStatsTable[[#This Row],[ProjectName]]),(ProjectInfoTable[ProjectName]=DiscreteStatsTable[[#This Row],[ProjectName]])*ProjectInfoTable[NumberOfReplications]))</f>
        <v>50</v>
      </c>
      <c r="N807" cm="1">
        <f t="array" ref="N807">IFERROR(AVERAGE(IF((DiscreteStatsTable[GroupByKey]=DiscreteStatsTable[[#This Row],[GroupByKey]]),(DiscreteStatsTable[GroupByKey]=DiscreteStatsTable[[#This Row],[GroupByKey]])*DiscreteStatsTable[Average])),0)</f>
        <v>1.2960085058838744</v>
      </c>
      <c r="O807" cm="1">
        <f t="array" ref="O807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07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07" cm="1">
        <f t="array" ref="R807">MIN(IF((DiscreteStatsTable[GroupByKey]=DiscreteStatsTable[[#This Row],[GroupByKey]]),(DiscreteStatsTable[GroupByKey]=DiscreteStatsTable[[#This Row],[GroupByKey]])*DiscreteStatsTable[Average]))</f>
        <v>1.2434623099776301</v>
      </c>
      <c r="S807" cm="1">
        <f t="array" ref="S807">MAX(IF((DiscreteStatsTable[GroupByKey]=DiscreteStatsTable[[#This Row],[GroupByKey]]),(DiscreteStatsTable[GroupByKey]=DiscreteStatsTable[[#This Row],[GroupByKey]])*DiscreteStatsTable[Average]))</f>
        <v>1.34511985766981</v>
      </c>
      <c r="T807" cm="1">
        <f t="array" ref="T807">MIN(IF((DiscreteStatsTable[GroupByKey]=DiscreteStatsTable[[#This Row],[GroupByKey]]),(DiscreteStatsTable[GroupByKey]=DiscreteStatsTable[[#This Row],[GroupByKey]])*DiscreteStatsTable[Minimum]))</f>
        <v>0.82883063937214296</v>
      </c>
      <c r="U807" cm="1">
        <f t="array" ref="U807">MAX(IF((DiscreteStatsTable[GroupByKey]=DiscreteStatsTable[[#This Row],[GroupByKey]]),(DiscreteStatsTable[GroupByKey]=DiscreteStatsTable[[#This Row],[GroupByKey]])*DiscreteStatsTable[Maximum]))</f>
        <v>3.7385284063050199</v>
      </c>
      <c r="V807" cm="1">
        <f t="array" ref="V807">IFERROR(AVERAGE(IF((DiscreteStatsTable[GroupByKey]=DiscreteStatsTable[[#This Row],[GroupByKey]]),(DiscreteStatsTable[GroupByKey]=DiscreteStatsTable[[#This Row],[GroupByKey]])*DiscreteStatsTable[NumberObservations])),0)</f>
        <v>189.42</v>
      </c>
      <c r="W807">
        <f>IF((DiscreteStatsTable[[#This Row],[RepsRequested]]&gt;1),DiscreteStatsTable[[#This Row],[HalfWidth]],DiscreteStatsTable[[#This Row],[BatchMeansHalfWidth]])</f>
        <v>7.2337839818498884E-3</v>
      </c>
      <c r="X807" cm="1">
        <f t="array" ref="X807">COUNT(IF((DiscreteStatsTable[GroupByKey]=DiscreteStatsTable[[#This Row],[GroupByKey]]),(DiscreteStatsTable[GroupByKey]=DiscreteStatsTable[[#This Row],[GroupByKey]])*DiscreteStatsTable[Replication]))</f>
        <v>50</v>
      </c>
      <c r="Y807">
        <f>IF(DiscreteStatsTable[[#This Row],[RepsRequested]]=DiscreteStatsTable[[#This Row],[RepsWithStatObserved]],1,0)</f>
        <v>1</v>
      </c>
    </row>
    <row r="808" spans="1:25" x14ac:dyDescent="0.25">
      <c r="A808" t="s">
        <v>68</v>
      </c>
      <c r="B808" t="s">
        <v>131</v>
      </c>
      <c r="C808">
        <v>7</v>
      </c>
      <c r="D808" t="s">
        <v>91</v>
      </c>
      <c r="E808" t="s">
        <v>89</v>
      </c>
      <c r="F808" t="s">
        <v>90</v>
      </c>
      <c r="G808">
        <v>1.3098231545535399</v>
      </c>
      <c r="H808">
        <v>2E+20</v>
      </c>
      <c r="I808">
        <v>0.87035810837801397</v>
      </c>
      <c r="J808">
        <v>2.7820709211761701</v>
      </c>
      <c r="K808">
        <v>205</v>
      </c>
      <c r="L808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08" cm="1">
        <f t="array" ref="M808">MAX(IF((ProjectInfoTable[ProjectName]=DiscreteStatsTable[[#This Row],[ProjectName]]),(ProjectInfoTable[ProjectName]=DiscreteStatsTable[[#This Row],[ProjectName]])*ProjectInfoTable[NumberOfReplications]))</f>
        <v>50</v>
      </c>
      <c r="N808" cm="1">
        <f t="array" ref="N808">IFERROR(AVERAGE(IF((DiscreteStatsTable[GroupByKey]=DiscreteStatsTable[[#This Row],[GroupByKey]]),(DiscreteStatsTable[GroupByKey]=DiscreteStatsTable[[#This Row],[GroupByKey]])*DiscreteStatsTable[Average])),0)</f>
        <v>1.2960085058838744</v>
      </c>
      <c r="O808" cm="1">
        <f t="array" ref="O808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08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08" cm="1">
        <f t="array" ref="R808">MIN(IF((DiscreteStatsTable[GroupByKey]=DiscreteStatsTable[[#This Row],[GroupByKey]]),(DiscreteStatsTable[GroupByKey]=DiscreteStatsTable[[#This Row],[GroupByKey]])*DiscreteStatsTable[Average]))</f>
        <v>1.2434623099776301</v>
      </c>
      <c r="S808" cm="1">
        <f t="array" ref="S808">MAX(IF((DiscreteStatsTable[GroupByKey]=DiscreteStatsTable[[#This Row],[GroupByKey]]),(DiscreteStatsTable[GroupByKey]=DiscreteStatsTable[[#This Row],[GroupByKey]])*DiscreteStatsTable[Average]))</f>
        <v>1.34511985766981</v>
      </c>
      <c r="T808" cm="1">
        <f t="array" ref="T808">MIN(IF((DiscreteStatsTable[GroupByKey]=DiscreteStatsTable[[#This Row],[GroupByKey]]),(DiscreteStatsTable[GroupByKey]=DiscreteStatsTable[[#This Row],[GroupByKey]])*DiscreteStatsTable[Minimum]))</f>
        <v>0.82883063937214296</v>
      </c>
      <c r="U808" cm="1">
        <f t="array" ref="U808">MAX(IF((DiscreteStatsTable[GroupByKey]=DiscreteStatsTable[[#This Row],[GroupByKey]]),(DiscreteStatsTable[GroupByKey]=DiscreteStatsTable[[#This Row],[GroupByKey]])*DiscreteStatsTable[Maximum]))</f>
        <v>3.7385284063050199</v>
      </c>
      <c r="V808" cm="1">
        <f t="array" ref="V808">IFERROR(AVERAGE(IF((DiscreteStatsTable[GroupByKey]=DiscreteStatsTable[[#This Row],[GroupByKey]]),(DiscreteStatsTable[GroupByKey]=DiscreteStatsTable[[#This Row],[GroupByKey]])*DiscreteStatsTable[NumberObservations])),0)</f>
        <v>189.42</v>
      </c>
      <c r="W808">
        <f>IF((DiscreteStatsTable[[#This Row],[RepsRequested]]&gt;1),DiscreteStatsTable[[#This Row],[HalfWidth]],DiscreteStatsTable[[#This Row],[BatchMeansHalfWidth]])</f>
        <v>7.2337839818498884E-3</v>
      </c>
      <c r="X808" cm="1">
        <f t="array" ref="X808">COUNT(IF((DiscreteStatsTable[GroupByKey]=DiscreteStatsTable[[#This Row],[GroupByKey]]),(DiscreteStatsTable[GroupByKey]=DiscreteStatsTable[[#This Row],[GroupByKey]])*DiscreteStatsTable[Replication]))</f>
        <v>50</v>
      </c>
      <c r="Y808">
        <f>IF(DiscreteStatsTable[[#This Row],[RepsRequested]]=DiscreteStatsTable[[#This Row],[RepsWithStatObserved]],1,0)</f>
        <v>1</v>
      </c>
    </row>
    <row r="809" spans="1:25" x14ac:dyDescent="0.25">
      <c r="A809" t="s">
        <v>68</v>
      </c>
      <c r="B809" t="s">
        <v>131</v>
      </c>
      <c r="C809">
        <v>8</v>
      </c>
      <c r="D809" t="s">
        <v>91</v>
      </c>
      <c r="E809" t="s">
        <v>89</v>
      </c>
      <c r="F809" t="s">
        <v>90</v>
      </c>
      <c r="G809">
        <v>1.3145306481137</v>
      </c>
      <c r="H809">
        <v>2E+20</v>
      </c>
      <c r="I809">
        <v>0.92357678547605804</v>
      </c>
      <c r="J809">
        <v>2.3000274472356099</v>
      </c>
      <c r="K809">
        <v>183</v>
      </c>
      <c r="L809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09" cm="1">
        <f t="array" ref="M809">MAX(IF((ProjectInfoTable[ProjectName]=DiscreteStatsTable[[#This Row],[ProjectName]]),(ProjectInfoTable[ProjectName]=DiscreteStatsTable[[#This Row],[ProjectName]])*ProjectInfoTable[NumberOfReplications]))</f>
        <v>50</v>
      </c>
      <c r="N809" cm="1">
        <f t="array" ref="N809">IFERROR(AVERAGE(IF((DiscreteStatsTable[GroupByKey]=DiscreteStatsTable[[#This Row],[GroupByKey]]),(DiscreteStatsTable[GroupByKey]=DiscreteStatsTable[[#This Row],[GroupByKey]])*DiscreteStatsTable[Average])),0)</f>
        <v>1.2960085058838744</v>
      </c>
      <c r="O809" cm="1">
        <f t="array" ref="O809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09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09" cm="1">
        <f t="array" ref="R809">MIN(IF((DiscreteStatsTable[GroupByKey]=DiscreteStatsTable[[#This Row],[GroupByKey]]),(DiscreteStatsTable[GroupByKey]=DiscreteStatsTable[[#This Row],[GroupByKey]])*DiscreteStatsTable[Average]))</f>
        <v>1.2434623099776301</v>
      </c>
      <c r="S809" cm="1">
        <f t="array" ref="S809">MAX(IF((DiscreteStatsTable[GroupByKey]=DiscreteStatsTable[[#This Row],[GroupByKey]]),(DiscreteStatsTable[GroupByKey]=DiscreteStatsTable[[#This Row],[GroupByKey]])*DiscreteStatsTable[Average]))</f>
        <v>1.34511985766981</v>
      </c>
      <c r="T809" cm="1">
        <f t="array" ref="T809">MIN(IF((DiscreteStatsTable[GroupByKey]=DiscreteStatsTable[[#This Row],[GroupByKey]]),(DiscreteStatsTable[GroupByKey]=DiscreteStatsTable[[#This Row],[GroupByKey]])*DiscreteStatsTable[Minimum]))</f>
        <v>0.82883063937214296</v>
      </c>
      <c r="U809" cm="1">
        <f t="array" ref="U809">MAX(IF((DiscreteStatsTable[GroupByKey]=DiscreteStatsTable[[#This Row],[GroupByKey]]),(DiscreteStatsTable[GroupByKey]=DiscreteStatsTable[[#This Row],[GroupByKey]])*DiscreteStatsTable[Maximum]))</f>
        <v>3.7385284063050199</v>
      </c>
      <c r="V809" cm="1">
        <f t="array" ref="V809">IFERROR(AVERAGE(IF((DiscreteStatsTable[GroupByKey]=DiscreteStatsTable[[#This Row],[GroupByKey]]),(DiscreteStatsTable[GroupByKey]=DiscreteStatsTable[[#This Row],[GroupByKey]])*DiscreteStatsTable[NumberObservations])),0)</f>
        <v>189.42</v>
      </c>
      <c r="W809">
        <f>IF((DiscreteStatsTable[[#This Row],[RepsRequested]]&gt;1),DiscreteStatsTable[[#This Row],[HalfWidth]],DiscreteStatsTable[[#This Row],[BatchMeansHalfWidth]])</f>
        <v>7.2337839818498884E-3</v>
      </c>
      <c r="X809" cm="1">
        <f t="array" ref="X809">COUNT(IF((DiscreteStatsTable[GroupByKey]=DiscreteStatsTable[[#This Row],[GroupByKey]]),(DiscreteStatsTable[GroupByKey]=DiscreteStatsTable[[#This Row],[GroupByKey]])*DiscreteStatsTable[Replication]))</f>
        <v>50</v>
      </c>
      <c r="Y809">
        <f>IF(DiscreteStatsTable[[#This Row],[RepsRequested]]=DiscreteStatsTable[[#This Row],[RepsWithStatObserved]],1,0)</f>
        <v>1</v>
      </c>
    </row>
    <row r="810" spans="1:25" x14ac:dyDescent="0.25">
      <c r="A810" t="s">
        <v>68</v>
      </c>
      <c r="B810" t="s">
        <v>131</v>
      </c>
      <c r="C810">
        <v>9</v>
      </c>
      <c r="D810" t="s">
        <v>91</v>
      </c>
      <c r="E810" t="s">
        <v>89</v>
      </c>
      <c r="F810" t="s">
        <v>90</v>
      </c>
      <c r="G810">
        <v>1.3243328206701299</v>
      </c>
      <c r="H810">
        <v>2E+20</v>
      </c>
      <c r="I810">
        <v>0.83681889646004504</v>
      </c>
      <c r="J810">
        <v>3.0421682918002899</v>
      </c>
      <c r="K810">
        <v>191</v>
      </c>
      <c r="L810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10" cm="1">
        <f t="array" ref="M810">MAX(IF((ProjectInfoTable[ProjectName]=DiscreteStatsTable[[#This Row],[ProjectName]]),(ProjectInfoTable[ProjectName]=DiscreteStatsTable[[#This Row],[ProjectName]])*ProjectInfoTable[NumberOfReplications]))</f>
        <v>50</v>
      </c>
      <c r="N810" cm="1">
        <f t="array" ref="N810">IFERROR(AVERAGE(IF((DiscreteStatsTable[GroupByKey]=DiscreteStatsTable[[#This Row],[GroupByKey]]),(DiscreteStatsTable[GroupByKey]=DiscreteStatsTable[[#This Row],[GroupByKey]])*DiscreteStatsTable[Average])),0)</f>
        <v>1.2960085058838744</v>
      </c>
      <c r="O810" cm="1">
        <f t="array" ref="O810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10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10" cm="1">
        <f t="array" ref="R810">MIN(IF((DiscreteStatsTable[GroupByKey]=DiscreteStatsTable[[#This Row],[GroupByKey]]),(DiscreteStatsTable[GroupByKey]=DiscreteStatsTable[[#This Row],[GroupByKey]])*DiscreteStatsTable[Average]))</f>
        <v>1.2434623099776301</v>
      </c>
      <c r="S810" cm="1">
        <f t="array" ref="S810">MAX(IF((DiscreteStatsTable[GroupByKey]=DiscreteStatsTable[[#This Row],[GroupByKey]]),(DiscreteStatsTable[GroupByKey]=DiscreteStatsTable[[#This Row],[GroupByKey]])*DiscreteStatsTable[Average]))</f>
        <v>1.34511985766981</v>
      </c>
      <c r="T810" cm="1">
        <f t="array" ref="T810">MIN(IF((DiscreteStatsTable[GroupByKey]=DiscreteStatsTable[[#This Row],[GroupByKey]]),(DiscreteStatsTable[GroupByKey]=DiscreteStatsTable[[#This Row],[GroupByKey]])*DiscreteStatsTable[Minimum]))</f>
        <v>0.82883063937214296</v>
      </c>
      <c r="U810" cm="1">
        <f t="array" ref="U810">MAX(IF((DiscreteStatsTable[GroupByKey]=DiscreteStatsTable[[#This Row],[GroupByKey]]),(DiscreteStatsTable[GroupByKey]=DiscreteStatsTable[[#This Row],[GroupByKey]])*DiscreteStatsTable[Maximum]))</f>
        <v>3.7385284063050199</v>
      </c>
      <c r="V810" cm="1">
        <f t="array" ref="V810">IFERROR(AVERAGE(IF((DiscreteStatsTable[GroupByKey]=DiscreteStatsTable[[#This Row],[GroupByKey]]),(DiscreteStatsTable[GroupByKey]=DiscreteStatsTable[[#This Row],[GroupByKey]])*DiscreteStatsTable[NumberObservations])),0)</f>
        <v>189.42</v>
      </c>
      <c r="W810">
        <f>IF((DiscreteStatsTable[[#This Row],[RepsRequested]]&gt;1),DiscreteStatsTable[[#This Row],[HalfWidth]],DiscreteStatsTable[[#This Row],[BatchMeansHalfWidth]])</f>
        <v>7.2337839818498884E-3</v>
      </c>
      <c r="X810" cm="1">
        <f t="array" ref="X810">COUNT(IF((DiscreteStatsTable[GroupByKey]=DiscreteStatsTable[[#This Row],[GroupByKey]]),(DiscreteStatsTable[GroupByKey]=DiscreteStatsTable[[#This Row],[GroupByKey]])*DiscreteStatsTable[Replication]))</f>
        <v>50</v>
      </c>
      <c r="Y810">
        <f>IF(DiscreteStatsTable[[#This Row],[RepsRequested]]=DiscreteStatsTable[[#This Row],[RepsWithStatObserved]],1,0)</f>
        <v>1</v>
      </c>
    </row>
    <row r="811" spans="1:25" x14ac:dyDescent="0.25">
      <c r="A811" t="s">
        <v>68</v>
      </c>
      <c r="B811" t="s">
        <v>131</v>
      </c>
      <c r="C811">
        <v>10</v>
      </c>
      <c r="D811" t="s">
        <v>91</v>
      </c>
      <c r="E811" t="s">
        <v>89</v>
      </c>
      <c r="F811" t="s">
        <v>90</v>
      </c>
      <c r="G811">
        <v>1.30292951516884</v>
      </c>
      <c r="H811">
        <v>2E+20</v>
      </c>
      <c r="I811">
        <v>0.87094368074321005</v>
      </c>
      <c r="J811">
        <v>2.4929903057222398</v>
      </c>
      <c r="K811">
        <v>189</v>
      </c>
      <c r="L811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11" cm="1">
        <f t="array" ref="M811">MAX(IF((ProjectInfoTable[ProjectName]=DiscreteStatsTable[[#This Row],[ProjectName]]),(ProjectInfoTable[ProjectName]=DiscreteStatsTable[[#This Row],[ProjectName]])*ProjectInfoTable[NumberOfReplications]))</f>
        <v>50</v>
      </c>
      <c r="N811" cm="1">
        <f t="array" ref="N811">IFERROR(AVERAGE(IF((DiscreteStatsTable[GroupByKey]=DiscreteStatsTable[[#This Row],[GroupByKey]]),(DiscreteStatsTable[GroupByKey]=DiscreteStatsTable[[#This Row],[GroupByKey]])*DiscreteStatsTable[Average])),0)</f>
        <v>1.2960085058838744</v>
      </c>
      <c r="O811" cm="1">
        <f t="array" ref="O811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11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11" cm="1">
        <f t="array" ref="R811">MIN(IF((DiscreteStatsTable[GroupByKey]=DiscreteStatsTable[[#This Row],[GroupByKey]]),(DiscreteStatsTable[GroupByKey]=DiscreteStatsTable[[#This Row],[GroupByKey]])*DiscreteStatsTable[Average]))</f>
        <v>1.2434623099776301</v>
      </c>
      <c r="S811" cm="1">
        <f t="array" ref="S811">MAX(IF((DiscreteStatsTable[GroupByKey]=DiscreteStatsTable[[#This Row],[GroupByKey]]),(DiscreteStatsTable[GroupByKey]=DiscreteStatsTable[[#This Row],[GroupByKey]])*DiscreteStatsTable[Average]))</f>
        <v>1.34511985766981</v>
      </c>
      <c r="T811" cm="1">
        <f t="array" ref="T811">MIN(IF((DiscreteStatsTable[GroupByKey]=DiscreteStatsTable[[#This Row],[GroupByKey]]),(DiscreteStatsTable[GroupByKey]=DiscreteStatsTable[[#This Row],[GroupByKey]])*DiscreteStatsTable[Minimum]))</f>
        <v>0.82883063937214296</v>
      </c>
      <c r="U811" cm="1">
        <f t="array" ref="U811">MAX(IF((DiscreteStatsTable[GroupByKey]=DiscreteStatsTable[[#This Row],[GroupByKey]]),(DiscreteStatsTable[GroupByKey]=DiscreteStatsTable[[#This Row],[GroupByKey]])*DiscreteStatsTable[Maximum]))</f>
        <v>3.7385284063050199</v>
      </c>
      <c r="V811" cm="1">
        <f t="array" ref="V811">IFERROR(AVERAGE(IF((DiscreteStatsTable[GroupByKey]=DiscreteStatsTable[[#This Row],[GroupByKey]]),(DiscreteStatsTable[GroupByKey]=DiscreteStatsTable[[#This Row],[GroupByKey]])*DiscreteStatsTable[NumberObservations])),0)</f>
        <v>189.42</v>
      </c>
      <c r="W811">
        <f>IF((DiscreteStatsTable[[#This Row],[RepsRequested]]&gt;1),DiscreteStatsTable[[#This Row],[HalfWidth]],DiscreteStatsTable[[#This Row],[BatchMeansHalfWidth]])</f>
        <v>7.2337839818498884E-3</v>
      </c>
      <c r="X811" cm="1">
        <f t="array" ref="X811">COUNT(IF((DiscreteStatsTable[GroupByKey]=DiscreteStatsTable[[#This Row],[GroupByKey]]),(DiscreteStatsTable[GroupByKey]=DiscreteStatsTable[[#This Row],[GroupByKey]])*DiscreteStatsTable[Replication]))</f>
        <v>50</v>
      </c>
      <c r="Y811">
        <f>IF(DiscreteStatsTable[[#This Row],[RepsRequested]]=DiscreteStatsTable[[#This Row],[RepsWithStatObserved]],1,0)</f>
        <v>1</v>
      </c>
    </row>
    <row r="812" spans="1:25" x14ac:dyDescent="0.25">
      <c r="A812" t="s">
        <v>68</v>
      </c>
      <c r="B812" t="s">
        <v>131</v>
      </c>
      <c r="C812">
        <v>11</v>
      </c>
      <c r="D812" t="s">
        <v>91</v>
      </c>
      <c r="E812" t="s">
        <v>89</v>
      </c>
      <c r="F812" t="s">
        <v>90</v>
      </c>
      <c r="G812">
        <v>1.3268072218371401</v>
      </c>
      <c r="H812">
        <v>2E+20</v>
      </c>
      <c r="I812">
        <v>0.86678671979160504</v>
      </c>
      <c r="J812">
        <v>3.7385284063050199</v>
      </c>
      <c r="K812">
        <v>192</v>
      </c>
      <c r="L812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12" cm="1">
        <f t="array" ref="M812">MAX(IF((ProjectInfoTable[ProjectName]=DiscreteStatsTable[[#This Row],[ProjectName]]),(ProjectInfoTable[ProjectName]=DiscreteStatsTable[[#This Row],[ProjectName]])*ProjectInfoTable[NumberOfReplications]))</f>
        <v>50</v>
      </c>
      <c r="N812" cm="1">
        <f t="array" ref="N812">IFERROR(AVERAGE(IF((DiscreteStatsTable[GroupByKey]=DiscreteStatsTable[[#This Row],[GroupByKey]]),(DiscreteStatsTable[GroupByKey]=DiscreteStatsTable[[#This Row],[GroupByKey]])*DiscreteStatsTable[Average])),0)</f>
        <v>1.2960085058838744</v>
      </c>
      <c r="O812" cm="1">
        <f t="array" ref="O812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12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12" cm="1">
        <f t="array" ref="R812">MIN(IF((DiscreteStatsTable[GroupByKey]=DiscreteStatsTable[[#This Row],[GroupByKey]]),(DiscreteStatsTable[GroupByKey]=DiscreteStatsTable[[#This Row],[GroupByKey]])*DiscreteStatsTable[Average]))</f>
        <v>1.2434623099776301</v>
      </c>
      <c r="S812" cm="1">
        <f t="array" ref="S812">MAX(IF((DiscreteStatsTable[GroupByKey]=DiscreteStatsTable[[#This Row],[GroupByKey]]),(DiscreteStatsTable[GroupByKey]=DiscreteStatsTable[[#This Row],[GroupByKey]])*DiscreteStatsTable[Average]))</f>
        <v>1.34511985766981</v>
      </c>
      <c r="T812" cm="1">
        <f t="array" ref="T812">MIN(IF((DiscreteStatsTable[GroupByKey]=DiscreteStatsTable[[#This Row],[GroupByKey]]),(DiscreteStatsTable[GroupByKey]=DiscreteStatsTable[[#This Row],[GroupByKey]])*DiscreteStatsTable[Minimum]))</f>
        <v>0.82883063937214296</v>
      </c>
      <c r="U812" cm="1">
        <f t="array" ref="U812">MAX(IF((DiscreteStatsTable[GroupByKey]=DiscreteStatsTable[[#This Row],[GroupByKey]]),(DiscreteStatsTable[GroupByKey]=DiscreteStatsTable[[#This Row],[GroupByKey]])*DiscreteStatsTable[Maximum]))</f>
        <v>3.7385284063050199</v>
      </c>
      <c r="V812" cm="1">
        <f t="array" ref="V812">IFERROR(AVERAGE(IF((DiscreteStatsTable[GroupByKey]=DiscreteStatsTable[[#This Row],[GroupByKey]]),(DiscreteStatsTable[GroupByKey]=DiscreteStatsTable[[#This Row],[GroupByKey]])*DiscreteStatsTable[NumberObservations])),0)</f>
        <v>189.42</v>
      </c>
      <c r="W812">
        <f>IF((DiscreteStatsTable[[#This Row],[RepsRequested]]&gt;1),DiscreteStatsTable[[#This Row],[HalfWidth]],DiscreteStatsTable[[#This Row],[BatchMeansHalfWidth]])</f>
        <v>7.2337839818498884E-3</v>
      </c>
      <c r="X812" cm="1">
        <f t="array" ref="X812">COUNT(IF((DiscreteStatsTable[GroupByKey]=DiscreteStatsTable[[#This Row],[GroupByKey]]),(DiscreteStatsTable[GroupByKey]=DiscreteStatsTable[[#This Row],[GroupByKey]])*DiscreteStatsTable[Replication]))</f>
        <v>50</v>
      </c>
      <c r="Y812">
        <f>IF(DiscreteStatsTable[[#This Row],[RepsRequested]]=DiscreteStatsTable[[#This Row],[RepsWithStatObserved]],1,0)</f>
        <v>1</v>
      </c>
    </row>
    <row r="813" spans="1:25" x14ac:dyDescent="0.25">
      <c r="A813" t="s">
        <v>68</v>
      </c>
      <c r="B813" t="s">
        <v>131</v>
      </c>
      <c r="C813">
        <v>12</v>
      </c>
      <c r="D813" t="s">
        <v>91</v>
      </c>
      <c r="E813" t="s">
        <v>89</v>
      </c>
      <c r="F813" t="s">
        <v>90</v>
      </c>
      <c r="G813">
        <v>1.3171428146995601</v>
      </c>
      <c r="H813">
        <v>2E+20</v>
      </c>
      <c r="I813">
        <v>0.85977937863569298</v>
      </c>
      <c r="J813">
        <v>2.84309591339218</v>
      </c>
      <c r="K813">
        <v>197</v>
      </c>
      <c r="L813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13" cm="1">
        <f t="array" ref="M813">MAX(IF((ProjectInfoTable[ProjectName]=DiscreteStatsTable[[#This Row],[ProjectName]]),(ProjectInfoTable[ProjectName]=DiscreteStatsTable[[#This Row],[ProjectName]])*ProjectInfoTable[NumberOfReplications]))</f>
        <v>50</v>
      </c>
      <c r="N813" cm="1">
        <f t="array" ref="N813">IFERROR(AVERAGE(IF((DiscreteStatsTable[GroupByKey]=DiscreteStatsTable[[#This Row],[GroupByKey]]),(DiscreteStatsTable[GroupByKey]=DiscreteStatsTable[[#This Row],[GroupByKey]])*DiscreteStatsTable[Average])),0)</f>
        <v>1.2960085058838744</v>
      </c>
      <c r="O813" cm="1">
        <f t="array" ref="O813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13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13" cm="1">
        <f t="array" ref="R813">MIN(IF((DiscreteStatsTable[GroupByKey]=DiscreteStatsTable[[#This Row],[GroupByKey]]),(DiscreteStatsTable[GroupByKey]=DiscreteStatsTable[[#This Row],[GroupByKey]])*DiscreteStatsTable[Average]))</f>
        <v>1.2434623099776301</v>
      </c>
      <c r="S813" cm="1">
        <f t="array" ref="S813">MAX(IF((DiscreteStatsTable[GroupByKey]=DiscreteStatsTable[[#This Row],[GroupByKey]]),(DiscreteStatsTable[GroupByKey]=DiscreteStatsTable[[#This Row],[GroupByKey]])*DiscreteStatsTable[Average]))</f>
        <v>1.34511985766981</v>
      </c>
      <c r="T813" cm="1">
        <f t="array" ref="T813">MIN(IF((DiscreteStatsTable[GroupByKey]=DiscreteStatsTable[[#This Row],[GroupByKey]]),(DiscreteStatsTable[GroupByKey]=DiscreteStatsTable[[#This Row],[GroupByKey]])*DiscreteStatsTable[Minimum]))</f>
        <v>0.82883063937214296</v>
      </c>
      <c r="U813" cm="1">
        <f t="array" ref="U813">MAX(IF((DiscreteStatsTable[GroupByKey]=DiscreteStatsTable[[#This Row],[GroupByKey]]),(DiscreteStatsTable[GroupByKey]=DiscreteStatsTable[[#This Row],[GroupByKey]])*DiscreteStatsTable[Maximum]))</f>
        <v>3.7385284063050199</v>
      </c>
      <c r="V813" cm="1">
        <f t="array" ref="V813">IFERROR(AVERAGE(IF((DiscreteStatsTable[GroupByKey]=DiscreteStatsTable[[#This Row],[GroupByKey]]),(DiscreteStatsTable[GroupByKey]=DiscreteStatsTable[[#This Row],[GroupByKey]])*DiscreteStatsTable[NumberObservations])),0)</f>
        <v>189.42</v>
      </c>
      <c r="W813">
        <f>IF((DiscreteStatsTable[[#This Row],[RepsRequested]]&gt;1),DiscreteStatsTable[[#This Row],[HalfWidth]],DiscreteStatsTable[[#This Row],[BatchMeansHalfWidth]])</f>
        <v>7.2337839818498884E-3</v>
      </c>
      <c r="X813" cm="1">
        <f t="array" ref="X813">COUNT(IF((DiscreteStatsTable[GroupByKey]=DiscreteStatsTable[[#This Row],[GroupByKey]]),(DiscreteStatsTable[GroupByKey]=DiscreteStatsTable[[#This Row],[GroupByKey]])*DiscreteStatsTable[Replication]))</f>
        <v>50</v>
      </c>
      <c r="Y813">
        <f>IF(DiscreteStatsTable[[#This Row],[RepsRequested]]=DiscreteStatsTable[[#This Row],[RepsWithStatObserved]],1,0)</f>
        <v>1</v>
      </c>
    </row>
    <row r="814" spans="1:25" x14ac:dyDescent="0.25">
      <c r="A814" t="s">
        <v>68</v>
      </c>
      <c r="B814" t="s">
        <v>131</v>
      </c>
      <c r="C814">
        <v>13</v>
      </c>
      <c r="D814" t="s">
        <v>91</v>
      </c>
      <c r="E814" t="s">
        <v>89</v>
      </c>
      <c r="F814" t="s">
        <v>90</v>
      </c>
      <c r="G814">
        <v>1.31170984480442</v>
      </c>
      <c r="H814">
        <v>2E+20</v>
      </c>
      <c r="I814">
        <v>0.88099015202614295</v>
      </c>
      <c r="J814">
        <v>2.9397652695614398</v>
      </c>
      <c r="K814">
        <v>180</v>
      </c>
      <c r="L814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14" cm="1">
        <f t="array" ref="M814">MAX(IF((ProjectInfoTable[ProjectName]=DiscreteStatsTable[[#This Row],[ProjectName]]),(ProjectInfoTable[ProjectName]=DiscreteStatsTable[[#This Row],[ProjectName]])*ProjectInfoTable[NumberOfReplications]))</f>
        <v>50</v>
      </c>
      <c r="N814" cm="1">
        <f t="array" ref="N814">IFERROR(AVERAGE(IF((DiscreteStatsTable[GroupByKey]=DiscreteStatsTable[[#This Row],[GroupByKey]]),(DiscreteStatsTable[GroupByKey]=DiscreteStatsTable[[#This Row],[GroupByKey]])*DiscreteStatsTable[Average])),0)</f>
        <v>1.2960085058838744</v>
      </c>
      <c r="O814" cm="1">
        <f t="array" ref="O814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14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14" cm="1">
        <f t="array" ref="R814">MIN(IF((DiscreteStatsTable[GroupByKey]=DiscreteStatsTable[[#This Row],[GroupByKey]]),(DiscreteStatsTable[GroupByKey]=DiscreteStatsTable[[#This Row],[GroupByKey]])*DiscreteStatsTable[Average]))</f>
        <v>1.2434623099776301</v>
      </c>
      <c r="S814" cm="1">
        <f t="array" ref="S814">MAX(IF((DiscreteStatsTable[GroupByKey]=DiscreteStatsTable[[#This Row],[GroupByKey]]),(DiscreteStatsTable[GroupByKey]=DiscreteStatsTable[[#This Row],[GroupByKey]])*DiscreteStatsTable[Average]))</f>
        <v>1.34511985766981</v>
      </c>
      <c r="T814" cm="1">
        <f t="array" ref="T814">MIN(IF((DiscreteStatsTable[GroupByKey]=DiscreteStatsTable[[#This Row],[GroupByKey]]),(DiscreteStatsTable[GroupByKey]=DiscreteStatsTable[[#This Row],[GroupByKey]])*DiscreteStatsTable[Minimum]))</f>
        <v>0.82883063937214296</v>
      </c>
      <c r="U814" cm="1">
        <f t="array" ref="U814">MAX(IF((DiscreteStatsTable[GroupByKey]=DiscreteStatsTable[[#This Row],[GroupByKey]]),(DiscreteStatsTable[GroupByKey]=DiscreteStatsTable[[#This Row],[GroupByKey]])*DiscreteStatsTable[Maximum]))</f>
        <v>3.7385284063050199</v>
      </c>
      <c r="V814" cm="1">
        <f t="array" ref="V814">IFERROR(AVERAGE(IF((DiscreteStatsTable[GroupByKey]=DiscreteStatsTable[[#This Row],[GroupByKey]]),(DiscreteStatsTable[GroupByKey]=DiscreteStatsTable[[#This Row],[GroupByKey]])*DiscreteStatsTable[NumberObservations])),0)</f>
        <v>189.42</v>
      </c>
      <c r="W814">
        <f>IF((DiscreteStatsTable[[#This Row],[RepsRequested]]&gt;1),DiscreteStatsTable[[#This Row],[HalfWidth]],DiscreteStatsTable[[#This Row],[BatchMeansHalfWidth]])</f>
        <v>7.2337839818498884E-3</v>
      </c>
      <c r="X814" cm="1">
        <f t="array" ref="X814">COUNT(IF((DiscreteStatsTable[GroupByKey]=DiscreteStatsTable[[#This Row],[GroupByKey]]),(DiscreteStatsTable[GroupByKey]=DiscreteStatsTable[[#This Row],[GroupByKey]])*DiscreteStatsTable[Replication]))</f>
        <v>50</v>
      </c>
      <c r="Y814">
        <f>IF(DiscreteStatsTable[[#This Row],[RepsRequested]]=DiscreteStatsTable[[#This Row],[RepsWithStatObserved]],1,0)</f>
        <v>1</v>
      </c>
    </row>
    <row r="815" spans="1:25" x14ac:dyDescent="0.25">
      <c r="A815" t="s">
        <v>68</v>
      </c>
      <c r="B815" t="s">
        <v>131</v>
      </c>
      <c r="C815">
        <v>14</v>
      </c>
      <c r="D815" t="s">
        <v>91</v>
      </c>
      <c r="E815" t="s">
        <v>89</v>
      </c>
      <c r="F815" t="s">
        <v>90</v>
      </c>
      <c r="G815">
        <v>1.3300452107571299</v>
      </c>
      <c r="H815">
        <v>2E+20</v>
      </c>
      <c r="I815">
        <v>0.89066321908842405</v>
      </c>
      <c r="J815">
        <v>3.3653317406477798</v>
      </c>
      <c r="K815">
        <v>195</v>
      </c>
      <c r="L815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15" cm="1">
        <f t="array" ref="M815">MAX(IF((ProjectInfoTable[ProjectName]=DiscreteStatsTable[[#This Row],[ProjectName]]),(ProjectInfoTable[ProjectName]=DiscreteStatsTable[[#This Row],[ProjectName]])*ProjectInfoTable[NumberOfReplications]))</f>
        <v>50</v>
      </c>
      <c r="N815" cm="1">
        <f t="array" ref="N815">IFERROR(AVERAGE(IF((DiscreteStatsTable[GroupByKey]=DiscreteStatsTable[[#This Row],[GroupByKey]]),(DiscreteStatsTable[GroupByKey]=DiscreteStatsTable[[#This Row],[GroupByKey]])*DiscreteStatsTable[Average])),0)</f>
        <v>1.2960085058838744</v>
      </c>
      <c r="O815" cm="1">
        <f t="array" ref="O815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1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15" cm="1">
        <f t="array" ref="R815">MIN(IF((DiscreteStatsTable[GroupByKey]=DiscreteStatsTable[[#This Row],[GroupByKey]]),(DiscreteStatsTable[GroupByKey]=DiscreteStatsTable[[#This Row],[GroupByKey]])*DiscreteStatsTable[Average]))</f>
        <v>1.2434623099776301</v>
      </c>
      <c r="S815" cm="1">
        <f t="array" ref="S815">MAX(IF((DiscreteStatsTable[GroupByKey]=DiscreteStatsTable[[#This Row],[GroupByKey]]),(DiscreteStatsTable[GroupByKey]=DiscreteStatsTable[[#This Row],[GroupByKey]])*DiscreteStatsTable[Average]))</f>
        <v>1.34511985766981</v>
      </c>
      <c r="T815" cm="1">
        <f t="array" ref="T815">MIN(IF((DiscreteStatsTable[GroupByKey]=DiscreteStatsTable[[#This Row],[GroupByKey]]),(DiscreteStatsTable[GroupByKey]=DiscreteStatsTable[[#This Row],[GroupByKey]])*DiscreteStatsTable[Minimum]))</f>
        <v>0.82883063937214296</v>
      </c>
      <c r="U815" cm="1">
        <f t="array" ref="U815">MAX(IF((DiscreteStatsTable[GroupByKey]=DiscreteStatsTable[[#This Row],[GroupByKey]]),(DiscreteStatsTable[GroupByKey]=DiscreteStatsTable[[#This Row],[GroupByKey]])*DiscreteStatsTable[Maximum]))</f>
        <v>3.7385284063050199</v>
      </c>
      <c r="V815" cm="1">
        <f t="array" ref="V815">IFERROR(AVERAGE(IF((DiscreteStatsTable[GroupByKey]=DiscreteStatsTable[[#This Row],[GroupByKey]]),(DiscreteStatsTable[GroupByKey]=DiscreteStatsTable[[#This Row],[GroupByKey]])*DiscreteStatsTable[NumberObservations])),0)</f>
        <v>189.42</v>
      </c>
      <c r="W815">
        <f>IF((DiscreteStatsTable[[#This Row],[RepsRequested]]&gt;1),DiscreteStatsTable[[#This Row],[HalfWidth]],DiscreteStatsTable[[#This Row],[BatchMeansHalfWidth]])</f>
        <v>7.2337839818498884E-3</v>
      </c>
      <c r="X815" cm="1">
        <f t="array" ref="X815">COUNT(IF((DiscreteStatsTable[GroupByKey]=DiscreteStatsTable[[#This Row],[GroupByKey]]),(DiscreteStatsTable[GroupByKey]=DiscreteStatsTable[[#This Row],[GroupByKey]])*DiscreteStatsTable[Replication]))</f>
        <v>50</v>
      </c>
      <c r="Y815">
        <f>IF(DiscreteStatsTable[[#This Row],[RepsRequested]]=DiscreteStatsTable[[#This Row],[RepsWithStatObserved]],1,0)</f>
        <v>1</v>
      </c>
    </row>
    <row r="816" spans="1:25" x14ac:dyDescent="0.25">
      <c r="A816" t="s">
        <v>68</v>
      </c>
      <c r="B816" t="s">
        <v>131</v>
      </c>
      <c r="C816">
        <v>15</v>
      </c>
      <c r="D816" t="s">
        <v>91</v>
      </c>
      <c r="E816" t="s">
        <v>89</v>
      </c>
      <c r="F816" t="s">
        <v>90</v>
      </c>
      <c r="G816">
        <v>1.3422708208666001</v>
      </c>
      <c r="H816">
        <v>2E+20</v>
      </c>
      <c r="I816">
        <v>0.87205239431506198</v>
      </c>
      <c r="J816">
        <v>2.67732273770716</v>
      </c>
      <c r="K816">
        <v>198</v>
      </c>
      <c r="L816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16" cm="1">
        <f t="array" ref="M816">MAX(IF((ProjectInfoTable[ProjectName]=DiscreteStatsTable[[#This Row],[ProjectName]]),(ProjectInfoTable[ProjectName]=DiscreteStatsTable[[#This Row],[ProjectName]])*ProjectInfoTable[NumberOfReplications]))</f>
        <v>50</v>
      </c>
      <c r="N816" cm="1">
        <f t="array" ref="N816">IFERROR(AVERAGE(IF((DiscreteStatsTable[GroupByKey]=DiscreteStatsTable[[#This Row],[GroupByKey]]),(DiscreteStatsTable[GroupByKey]=DiscreteStatsTable[[#This Row],[GroupByKey]])*DiscreteStatsTable[Average])),0)</f>
        <v>1.2960085058838744</v>
      </c>
      <c r="O816" cm="1">
        <f t="array" ref="O816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16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16" cm="1">
        <f t="array" ref="R816">MIN(IF((DiscreteStatsTable[GroupByKey]=DiscreteStatsTable[[#This Row],[GroupByKey]]),(DiscreteStatsTable[GroupByKey]=DiscreteStatsTable[[#This Row],[GroupByKey]])*DiscreteStatsTable[Average]))</f>
        <v>1.2434623099776301</v>
      </c>
      <c r="S816" cm="1">
        <f t="array" ref="S816">MAX(IF((DiscreteStatsTable[GroupByKey]=DiscreteStatsTable[[#This Row],[GroupByKey]]),(DiscreteStatsTable[GroupByKey]=DiscreteStatsTable[[#This Row],[GroupByKey]])*DiscreteStatsTable[Average]))</f>
        <v>1.34511985766981</v>
      </c>
      <c r="T816" cm="1">
        <f t="array" ref="T816">MIN(IF((DiscreteStatsTable[GroupByKey]=DiscreteStatsTable[[#This Row],[GroupByKey]]),(DiscreteStatsTable[GroupByKey]=DiscreteStatsTable[[#This Row],[GroupByKey]])*DiscreteStatsTable[Minimum]))</f>
        <v>0.82883063937214296</v>
      </c>
      <c r="U816" cm="1">
        <f t="array" ref="U816">MAX(IF((DiscreteStatsTable[GroupByKey]=DiscreteStatsTable[[#This Row],[GroupByKey]]),(DiscreteStatsTable[GroupByKey]=DiscreteStatsTable[[#This Row],[GroupByKey]])*DiscreteStatsTable[Maximum]))</f>
        <v>3.7385284063050199</v>
      </c>
      <c r="V816" cm="1">
        <f t="array" ref="V816">IFERROR(AVERAGE(IF((DiscreteStatsTable[GroupByKey]=DiscreteStatsTable[[#This Row],[GroupByKey]]),(DiscreteStatsTable[GroupByKey]=DiscreteStatsTable[[#This Row],[GroupByKey]])*DiscreteStatsTable[NumberObservations])),0)</f>
        <v>189.42</v>
      </c>
      <c r="W816">
        <f>IF((DiscreteStatsTable[[#This Row],[RepsRequested]]&gt;1),DiscreteStatsTable[[#This Row],[HalfWidth]],DiscreteStatsTable[[#This Row],[BatchMeansHalfWidth]])</f>
        <v>7.2337839818498884E-3</v>
      </c>
      <c r="X816" cm="1">
        <f t="array" ref="X816">COUNT(IF((DiscreteStatsTable[GroupByKey]=DiscreteStatsTable[[#This Row],[GroupByKey]]),(DiscreteStatsTable[GroupByKey]=DiscreteStatsTable[[#This Row],[GroupByKey]])*DiscreteStatsTable[Replication]))</f>
        <v>50</v>
      </c>
      <c r="Y816">
        <f>IF(DiscreteStatsTable[[#This Row],[RepsRequested]]=DiscreteStatsTable[[#This Row],[RepsWithStatObserved]],1,0)</f>
        <v>1</v>
      </c>
    </row>
    <row r="817" spans="1:25" x14ac:dyDescent="0.25">
      <c r="A817" t="s">
        <v>68</v>
      </c>
      <c r="B817" t="s">
        <v>131</v>
      </c>
      <c r="C817">
        <v>16</v>
      </c>
      <c r="D817" t="s">
        <v>91</v>
      </c>
      <c r="E817" t="s">
        <v>89</v>
      </c>
      <c r="F817" t="s">
        <v>90</v>
      </c>
      <c r="G817">
        <v>1.2929335257107499</v>
      </c>
      <c r="H817">
        <v>2E+20</v>
      </c>
      <c r="I817">
        <v>0.85187542323717502</v>
      </c>
      <c r="J817">
        <v>3.2061168827170299</v>
      </c>
      <c r="K817">
        <v>177</v>
      </c>
      <c r="L817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17" cm="1">
        <f t="array" ref="M817">MAX(IF((ProjectInfoTable[ProjectName]=DiscreteStatsTable[[#This Row],[ProjectName]]),(ProjectInfoTable[ProjectName]=DiscreteStatsTable[[#This Row],[ProjectName]])*ProjectInfoTable[NumberOfReplications]))</f>
        <v>50</v>
      </c>
      <c r="N817" cm="1">
        <f t="array" ref="N817">IFERROR(AVERAGE(IF((DiscreteStatsTable[GroupByKey]=DiscreteStatsTable[[#This Row],[GroupByKey]]),(DiscreteStatsTable[GroupByKey]=DiscreteStatsTable[[#This Row],[GroupByKey]])*DiscreteStatsTable[Average])),0)</f>
        <v>1.2960085058838744</v>
      </c>
      <c r="O817" cm="1">
        <f t="array" ref="O817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17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17" cm="1">
        <f t="array" ref="R817">MIN(IF((DiscreteStatsTable[GroupByKey]=DiscreteStatsTable[[#This Row],[GroupByKey]]),(DiscreteStatsTable[GroupByKey]=DiscreteStatsTable[[#This Row],[GroupByKey]])*DiscreteStatsTable[Average]))</f>
        <v>1.2434623099776301</v>
      </c>
      <c r="S817" cm="1">
        <f t="array" ref="S817">MAX(IF((DiscreteStatsTable[GroupByKey]=DiscreteStatsTable[[#This Row],[GroupByKey]]),(DiscreteStatsTable[GroupByKey]=DiscreteStatsTable[[#This Row],[GroupByKey]])*DiscreteStatsTable[Average]))</f>
        <v>1.34511985766981</v>
      </c>
      <c r="T817" cm="1">
        <f t="array" ref="T817">MIN(IF((DiscreteStatsTable[GroupByKey]=DiscreteStatsTable[[#This Row],[GroupByKey]]),(DiscreteStatsTable[GroupByKey]=DiscreteStatsTable[[#This Row],[GroupByKey]])*DiscreteStatsTable[Minimum]))</f>
        <v>0.82883063937214296</v>
      </c>
      <c r="U817" cm="1">
        <f t="array" ref="U817">MAX(IF((DiscreteStatsTable[GroupByKey]=DiscreteStatsTable[[#This Row],[GroupByKey]]),(DiscreteStatsTable[GroupByKey]=DiscreteStatsTable[[#This Row],[GroupByKey]])*DiscreteStatsTable[Maximum]))</f>
        <v>3.7385284063050199</v>
      </c>
      <c r="V817" cm="1">
        <f t="array" ref="V817">IFERROR(AVERAGE(IF((DiscreteStatsTable[GroupByKey]=DiscreteStatsTable[[#This Row],[GroupByKey]]),(DiscreteStatsTable[GroupByKey]=DiscreteStatsTable[[#This Row],[GroupByKey]])*DiscreteStatsTable[NumberObservations])),0)</f>
        <v>189.42</v>
      </c>
      <c r="W817">
        <f>IF((DiscreteStatsTable[[#This Row],[RepsRequested]]&gt;1),DiscreteStatsTable[[#This Row],[HalfWidth]],DiscreteStatsTable[[#This Row],[BatchMeansHalfWidth]])</f>
        <v>7.2337839818498884E-3</v>
      </c>
      <c r="X817" cm="1">
        <f t="array" ref="X817">COUNT(IF((DiscreteStatsTable[GroupByKey]=DiscreteStatsTable[[#This Row],[GroupByKey]]),(DiscreteStatsTable[GroupByKey]=DiscreteStatsTable[[#This Row],[GroupByKey]])*DiscreteStatsTable[Replication]))</f>
        <v>50</v>
      </c>
      <c r="Y817">
        <f>IF(DiscreteStatsTable[[#This Row],[RepsRequested]]=DiscreteStatsTable[[#This Row],[RepsWithStatObserved]],1,0)</f>
        <v>1</v>
      </c>
    </row>
    <row r="818" spans="1:25" x14ac:dyDescent="0.25">
      <c r="A818" t="s">
        <v>68</v>
      </c>
      <c r="B818" t="s">
        <v>131</v>
      </c>
      <c r="C818">
        <v>17</v>
      </c>
      <c r="D818" t="s">
        <v>91</v>
      </c>
      <c r="E818" t="s">
        <v>89</v>
      </c>
      <c r="F818" t="s">
        <v>90</v>
      </c>
      <c r="G818">
        <v>1.2901229649435499</v>
      </c>
      <c r="H818">
        <v>2E+20</v>
      </c>
      <c r="I818">
        <v>0.875917481211275</v>
      </c>
      <c r="J818">
        <v>2.5396352330374201</v>
      </c>
      <c r="K818">
        <v>202</v>
      </c>
      <c r="L818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18" cm="1">
        <f t="array" ref="M818">MAX(IF((ProjectInfoTable[ProjectName]=DiscreteStatsTable[[#This Row],[ProjectName]]),(ProjectInfoTable[ProjectName]=DiscreteStatsTable[[#This Row],[ProjectName]])*ProjectInfoTable[NumberOfReplications]))</f>
        <v>50</v>
      </c>
      <c r="N818" cm="1">
        <f t="array" ref="N818">IFERROR(AVERAGE(IF((DiscreteStatsTable[GroupByKey]=DiscreteStatsTable[[#This Row],[GroupByKey]]),(DiscreteStatsTable[GroupByKey]=DiscreteStatsTable[[#This Row],[GroupByKey]])*DiscreteStatsTable[Average])),0)</f>
        <v>1.2960085058838744</v>
      </c>
      <c r="O818" cm="1">
        <f t="array" ref="O818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18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18" cm="1">
        <f t="array" ref="R818">MIN(IF((DiscreteStatsTable[GroupByKey]=DiscreteStatsTable[[#This Row],[GroupByKey]]),(DiscreteStatsTable[GroupByKey]=DiscreteStatsTable[[#This Row],[GroupByKey]])*DiscreteStatsTable[Average]))</f>
        <v>1.2434623099776301</v>
      </c>
      <c r="S818" cm="1">
        <f t="array" ref="S818">MAX(IF((DiscreteStatsTable[GroupByKey]=DiscreteStatsTable[[#This Row],[GroupByKey]]),(DiscreteStatsTable[GroupByKey]=DiscreteStatsTable[[#This Row],[GroupByKey]])*DiscreteStatsTable[Average]))</f>
        <v>1.34511985766981</v>
      </c>
      <c r="T818" cm="1">
        <f t="array" ref="T818">MIN(IF((DiscreteStatsTable[GroupByKey]=DiscreteStatsTable[[#This Row],[GroupByKey]]),(DiscreteStatsTable[GroupByKey]=DiscreteStatsTable[[#This Row],[GroupByKey]])*DiscreteStatsTable[Minimum]))</f>
        <v>0.82883063937214296</v>
      </c>
      <c r="U818" cm="1">
        <f t="array" ref="U818">MAX(IF((DiscreteStatsTable[GroupByKey]=DiscreteStatsTable[[#This Row],[GroupByKey]]),(DiscreteStatsTable[GroupByKey]=DiscreteStatsTable[[#This Row],[GroupByKey]])*DiscreteStatsTable[Maximum]))</f>
        <v>3.7385284063050199</v>
      </c>
      <c r="V818" cm="1">
        <f t="array" ref="V818">IFERROR(AVERAGE(IF((DiscreteStatsTable[GroupByKey]=DiscreteStatsTable[[#This Row],[GroupByKey]]),(DiscreteStatsTable[GroupByKey]=DiscreteStatsTable[[#This Row],[GroupByKey]])*DiscreteStatsTable[NumberObservations])),0)</f>
        <v>189.42</v>
      </c>
      <c r="W818">
        <f>IF((DiscreteStatsTable[[#This Row],[RepsRequested]]&gt;1),DiscreteStatsTable[[#This Row],[HalfWidth]],DiscreteStatsTable[[#This Row],[BatchMeansHalfWidth]])</f>
        <v>7.2337839818498884E-3</v>
      </c>
      <c r="X818" cm="1">
        <f t="array" ref="X818">COUNT(IF((DiscreteStatsTable[GroupByKey]=DiscreteStatsTable[[#This Row],[GroupByKey]]),(DiscreteStatsTable[GroupByKey]=DiscreteStatsTable[[#This Row],[GroupByKey]])*DiscreteStatsTable[Replication]))</f>
        <v>50</v>
      </c>
      <c r="Y818">
        <f>IF(DiscreteStatsTable[[#This Row],[RepsRequested]]=DiscreteStatsTable[[#This Row],[RepsWithStatObserved]],1,0)</f>
        <v>1</v>
      </c>
    </row>
    <row r="819" spans="1:25" x14ac:dyDescent="0.25">
      <c r="A819" t="s">
        <v>68</v>
      </c>
      <c r="B819" t="s">
        <v>131</v>
      </c>
      <c r="C819">
        <v>18</v>
      </c>
      <c r="D819" t="s">
        <v>91</v>
      </c>
      <c r="E819" t="s">
        <v>89</v>
      </c>
      <c r="F819" t="s">
        <v>90</v>
      </c>
      <c r="G819">
        <v>1.2797570373635401</v>
      </c>
      <c r="H819">
        <v>2E+20</v>
      </c>
      <c r="I819">
        <v>0.88735215142987101</v>
      </c>
      <c r="J819">
        <v>2.8691921485720102</v>
      </c>
      <c r="K819">
        <v>197</v>
      </c>
      <c r="L819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19" cm="1">
        <f t="array" ref="M819">MAX(IF((ProjectInfoTable[ProjectName]=DiscreteStatsTable[[#This Row],[ProjectName]]),(ProjectInfoTable[ProjectName]=DiscreteStatsTable[[#This Row],[ProjectName]])*ProjectInfoTable[NumberOfReplications]))</f>
        <v>50</v>
      </c>
      <c r="N819" cm="1">
        <f t="array" ref="N819">IFERROR(AVERAGE(IF((DiscreteStatsTable[GroupByKey]=DiscreteStatsTable[[#This Row],[GroupByKey]]),(DiscreteStatsTable[GroupByKey]=DiscreteStatsTable[[#This Row],[GroupByKey]])*DiscreteStatsTable[Average])),0)</f>
        <v>1.2960085058838744</v>
      </c>
      <c r="O819" cm="1">
        <f t="array" ref="O819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19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19" cm="1">
        <f t="array" ref="R819">MIN(IF((DiscreteStatsTable[GroupByKey]=DiscreteStatsTable[[#This Row],[GroupByKey]]),(DiscreteStatsTable[GroupByKey]=DiscreteStatsTable[[#This Row],[GroupByKey]])*DiscreteStatsTable[Average]))</f>
        <v>1.2434623099776301</v>
      </c>
      <c r="S819" cm="1">
        <f t="array" ref="S819">MAX(IF((DiscreteStatsTable[GroupByKey]=DiscreteStatsTable[[#This Row],[GroupByKey]]),(DiscreteStatsTable[GroupByKey]=DiscreteStatsTable[[#This Row],[GroupByKey]])*DiscreteStatsTable[Average]))</f>
        <v>1.34511985766981</v>
      </c>
      <c r="T819" cm="1">
        <f t="array" ref="T819">MIN(IF((DiscreteStatsTable[GroupByKey]=DiscreteStatsTable[[#This Row],[GroupByKey]]),(DiscreteStatsTable[GroupByKey]=DiscreteStatsTable[[#This Row],[GroupByKey]])*DiscreteStatsTable[Minimum]))</f>
        <v>0.82883063937214296</v>
      </c>
      <c r="U819" cm="1">
        <f t="array" ref="U819">MAX(IF((DiscreteStatsTable[GroupByKey]=DiscreteStatsTable[[#This Row],[GroupByKey]]),(DiscreteStatsTable[GroupByKey]=DiscreteStatsTable[[#This Row],[GroupByKey]])*DiscreteStatsTable[Maximum]))</f>
        <v>3.7385284063050199</v>
      </c>
      <c r="V819" cm="1">
        <f t="array" ref="V819">IFERROR(AVERAGE(IF((DiscreteStatsTable[GroupByKey]=DiscreteStatsTable[[#This Row],[GroupByKey]]),(DiscreteStatsTable[GroupByKey]=DiscreteStatsTable[[#This Row],[GroupByKey]])*DiscreteStatsTable[NumberObservations])),0)</f>
        <v>189.42</v>
      </c>
      <c r="W819">
        <f>IF((DiscreteStatsTable[[#This Row],[RepsRequested]]&gt;1),DiscreteStatsTable[[#This Row],[HalfWidth]],DiscreteStatsTable[[#This Row],[BatchMeansHalfWidth]])</f>
        <v>7.2337839818498884E-3</v>
      </c>
      <c r="X819" cm="1">
        <f t="array" ref="X819">COUNT(IF((DiscreteStatsTable[GroupByKey]=DiscreteStatsTable[[#This Row],[GroupByKey]]),(DiscreteStatsTable[GroupByKey]=DiscreteStatsTable[[#This Row],[GroupByKey]])*DiscreteStatsTable[Replication]))</f>
        <v>50</v>
      </c>
      <c r="Y819">
        <f>IF(DiscreteStatsTable[[#This Row],[RepsRequested]]=DiscreteStatsTable[[#This Row],[RepsWithStatObserved]],1,0)</f>
        <v>1</v>
      </c>
    </row>
    <row r="820" spans="1:25" x14ac:dyDescent="0.25">
      <c r="A820" t="s">
        <v>68</v>
      </c>
      <c r="B820" t="s">
        <v>131</v>
      </c>
      <c r="C820">
        <v>19</v>
      </c>
      <c r="D820" t="s">
        <v>91</v>
      </c>
      <c r="E820" t="s">
        <v>89</v>
      </c>
      <c r="F820" t="s">
        <v>90</v>
      </c>
      <c r="G820">
        <v>1.26932501644064</v>
      </c>
      <c r="H820">
        <v>2E+20</v>
      </c>
      <c r="I820">
        <v>0.913599690728915</v>
      </c>
      <c r="J820">
        <v>2.0880991806270699</v>
      </c>
      <c r="K820">
        <v>194</v>
      </c>
      <c r="L820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20" cm="1">
        <f t="array" ref="M820">MAX(IF((ProjectInfoTable[ProjectName]=DiscreteStatsTable[[#This Row],[ProjectName]]),(ProjectInfoTable[ProjectName]=DiscreteStatsTable[[#This Row],[ProjectName]])*ProjectInfoTable[NumberOfReplications]))</f>
        <v>50</v>
      </c>
      <c r="N820" cm="1">
        <f t="array" ref="N820">IFERROR(AVERAGE(IF((DiscreteStatsTable[GroupByKey]=DiscreteStatsTable[[#This Row],[GroupByKey]]),(DiscreteStatsTable[GroupByKey]=DiscreteStatsTable[[#This Row],[GroupByKey]])*DiscreteStatsTable[Average])),0)</f>
        <v>1.2960085058838744</v>
      </c>
      <c r="O820" cm="1">
        <f t="array" ref="O820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20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20" cm="1">
        <f t="array" ref="R820">MIN(IF((DiscreteStatsTable[GroupByKey]=DiscreteStatsTable[[#This Row],[GroupByKey]]),(DiscreteStatsTable[GroupByKey]=DiscreteStatsTable[[#This Row],[GroupByKey]])*DiscreteStatsTable[Average]))</f>
        <v>1.2434623099776301</v>
      </c>
      <c r="S820" cm="1">
        <f t="array" ref="S820">MAX(IF((DiscreteStatsTable[GroupByKey]=DiscreteStatsTable[[#This Row],[GroupByKey]]),(DiscreteStatsTable[GroupByKey]=DiscreteStatsTable[[#This Row],[GroupByKey]])*DiscreteStatsTable[Average]))</f>
        <v>1.34511985766981</v>
      </c>
      <c r="T820" cm="1">
        <f t="array" ref="T820">MIN(IF((DiscreteStatsTable[GroupByKey]=DiscreteStatsTable[[#This Row],[GroupByKey]]),(DiscreteStatsTable[GroupByKey]=DiscreteStatsTable[[#This Row],[GroupByKey]])*DiscreteStatsTable[Minimum]))</f>
        <v>0.82883063937214296</v>
      </c>
      <c r="U820" cm="1">
        <f t="array" ref="U820">MAX(IF((DiscreteStatsTable[GroupByKey]=DiscreteStatsTable[[#This Row],[GroupByKey]]),(DiscreteStatsTable[GroupByKey]=DiscreteStatsTable[[#This Row],[GroupByKey]])*DiscreteStatsTable[Maximum]))</f>
        <v>3.7385284063050199</v>
      </c>
      <c r="V820" cm="1">
        <f t="array" ref="V820">IFERROR(AVERAGE(IF((DiscreteStatsTable[GroupByKey]=DiscreteStatsTable[[#This Row],[GroupByKey]]),(DiscreteStatsTable[GroupByKey]=DiscreteStatsTable[[#This Row],[GroupByKey]])*DiscreteStatsTable[NumberObservations])),0)</f>
        <v>189.42</v>
      </c>
      <c r="W820">
        <f>IF((DiscreteStatsTable[[#This Row],[RepsRequested]]&gt;1),DiscreteStatsTable[[#This Row],[HalfWidth]],DiscreteStatsTable[[#This Row],[BatchMeansHalfWidth]])</f>
        <v>7.2337839818498884E-3</v>
      </c>
      <c r="X820" cm="1">
        <f t="array" ref="X820">COUNT(IF((DiscreteStatsTable[GroupByKey]=DiscreteStatsTable[[#This Row],[GroupByKey]]),(DiscreteStatsTable[GroupByKey]=DiscreteStatsTable[[#This Row],[GroupByKey]])*DiscreteStatsTable[Replication]))</f>
        <v>50</v>
      </c>
      <c r="Y820">
        <f>IF(DiscreteStatsTable[[#This Row],[RepsRequested]]=DiscreteStatsTable[[#This Row],[RepsWithStatObserved]],1,0)</f>
        <v>1</v>
      </c>
    </row>
    <row r="821" spans="1:25" x14ac:dyDescent="0.25">
      <c r="A821" t="s">
        <v>68</v>
      </c>
      <c r="B821" t="s">
        <v>131</v>
      </c>
      <c r="C821">
        <v>20</v>
      </c>
      <c r="D821" t="s">
        <v>91</v>
      </c>
      <c r="E821" t="s">
        <v>89</v>
      </c>
      <c r="F821" t="s">
        <v>90</v>
      </c>
      <c r="G821">
        <v>1.27280709106973</v>
      </c>
      <c r="H821">
        <v>2E+20</v>
      </c>
      <c r="I821">
        <v>0.90283079616850903</v>
      </c>
      <c r="J821">
        <v>2.9751251947239998</v>
      </c>
      <c r="K821">
        <v>192</v>
      </c>
      <c r="L821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21" cm="1">
        <f t="array" ref="M821">MAX(IF((ProjectInfoTable[ProjectName]=DiscreteStatsTable[[#This Row],[ProjectName]]),(ProjectInfoTable[ProjectName]=DiscreteStatsTable[[#This Row],[ProjectName]])*ProjectInfoTable[NumberOfReplications]))</f>
        <v>50</v>
      </c>
      <c r="N821" cm="1">
        <f t="array" ref="N821">IFERROR(AVERAGE(IF((DiscreteStatsTable[GroupByKey]=DiscreteStatsTable[[#This Row],[GroupByKey]]),(DiscreteStatsTable[GroupByKey]=DiscreteStatsTable[[#This Row],[GroupByKey]])*DiscreteStatsTable[Average])),0)</f>
        <v>1.2960085058838744</v>
      </c>
      <c r="O821" cm="1">
        <f t="array" ref="O821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21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21" cm="1">
        <f t="array" ref="R821">MIN(IF((DiscreteStatsTable[GroupByKey]=DiscreteStatsTable[[#This Row],[GroupByKey]]),(DiscreteStatsTable[GroupByKey]=DiscreteStatsTable[[#This Row],[GroupByKey]])*DiscreteStatsTable[Average]))</f>
        <v>1.2434623099776301</v>
      </c>
      <c r="S821" cm="1">
        <f t="array" ref="S821">MAX(IF((DiscreteStatsTable[GroupByKey]=DiscreteStatsTable[[#This Row],[GroupByKey]]),(DiscreteStatsTable[GroupByKey]=DiscreteStatsTable[[#This Row],[GroupByKey]])*DiscreteStatsTable[Average]))</f>
        <v>1.34511985766981</v>
      </c>
      <c r="T821" cm="1">
        <f t="array" ref="T821">MIN(IF((DiscreteStatsTable[GroupByKey]=DiscreteStatsTable[[#This Row],[GroupByKey]]),(DiscreteStatsTable[GroupByKey]=DiscreteStatsTable[[#This Row],[GroupByKey]])*DiscreteStatsTable[Minimum]))</f>
        <v>0.82883063937214296</v>
      </c>
      <c r="U821" cm="1">
        <f t="array" ref="U821">MAX(IF((DiscreteStatsTable[GroupByKey]=DiscreteStatsTable[[#This Row],[GroupByKey]]),(DiscreteStatsTable[GroupByKey]=DiscreteStatsTable[[#This Row],[GroupByKey]])*DiscreteStatsTable[Maximum]))</f>
        <v>3.7385284063050199</v>
      </c>
      <c r="V821" cm="1">
        <f t="array" ref="V821">IFERROR(AVERAGE(IF((DiscreteStatsTable[GroupByKey]=DiscreteStatsTable[[#This Row],[GroupByKey]]),(DiscreteStatsTable[GroupByKey]=DiscreteStatsTable[[#This Row],[GroupByKey]])*DiscreteStatsTable[NumberObservations])),0)</f>
        <v>189.42</v>
      </c>
      <c r="W821">
        <f>IF((DiscreteStatsTable[[#This Row],[RepsRequested]]&gt;1),DiscreteStatsTable[[#This Row],[HalfWidth]],DiscreteStatsTable[[#This Row],[BatchMeansHalfWidth]])</f>
        <v>7.2337839818498884E-3</v>
      </c>
      <c r="X821" cm="1">
        <f t="array" ref="X821">COUNT(IF((DiscreteStatsTable[GroupByKey]=DiscreteStatsTable[[#This Row],[GroupByKey]]),(DiscreteStatsTable[GroupByKey]=DiscreteStatsTable[[#This Row],[GroupByKey]])*DiscreteStatsTable[Replication]))</f>
        <v>50</v>
      </c>
      <c r="Y821">
        <f>IF(DiscreteStatsTable[[#This Row],[RepsRequested]]=DiscreteStatsTable[[#This Row],[RepsWithStatObserved]],1,0)</f>
        <v>1</v>
      </c>
    </row>
    <row r="822" spans="1:25" x14ac:dyDescent="0.25">
      <c r="A822" t="s">
        <v>68</v>
      </c>
      <c r="B822" t="s">
        <v>131</v>
      </c>
      <c r="C822">
        <v>21</v>
      </c>
      <c r="D822" t="s">
        <v>91</v>
      </c>
      <c r="E822" t="s">
        <v>89</v>
      </c>
      <c r="F822" t="s">
        <v>90</v>
      </c>
      <c r="G822">
        <v>1.2434623099776301</v>
      </c>
      <c r="H822">
        <v>2E+20</v>
      </c>
      <c r="I822">
        <v>0.83690913785460497</v>
      </c>
      <c r="J822">
        <v>2.61631972057185</v>
      </c>
      <c r="K822">
        <v>191</v>
      </c>
      <c r="L822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22" cm="1">
        <f t="array" ref="M822">MAX(IF((ProjectInfoTable[ProjectName]=DiscreteStatsTable[[#This Row],[ProjectName]]),(ProjectInfoTable[ProjectName]=DiscreteStatsTable[[#This Row],[ProjectName]])*ProjectInfoTable[NumberOfReplications]))</f>
        <v>50</v>
      </c>
      <c r="N822" cm="1">
        <f t="array" ref="N822">IFERROR(AVERAGE(IF((DiscreteStatsTable[GroupByKey]=DiscreteStatsTable[[#This Row],[GroupByKey]]),(DiscreteStatsTable[GroupByKey]=DiscreteStatsTable[[#This Row],[GroupByKey]])*DiscreteStatsTable[Average])),0)</f>
        <v>1.2960085058838744</v>
      </c>
      <c r="O822" cm="1">
        <f t="array" ref="O822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22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22" cm="1">
        <f t="array" ref="R822">MIN(IF((DiscreteStatsTable[GroupByKey]=DiscreteStatsTable[[#This Row],[GroupByKey]]),(DiscreteStatsTable[GroupByKey]=DiscreteStatsTable[[#This Row],[GroupByKey]])*DiscreteStatsTable[Average]))</f>
        <v>1.2434623099776301</v>
      </c>
      <c r="S822" cm="1">
        <f t="array" ref="S822">MAX(IF((DiscreteStatsTable[GroupByKey]=DiscreteStatsTable[[#This Row],[GroupByKey]]),(DiscreteStatsTable[GroupByKey]=DiscreteStatsTable[[#This Row],[GroupByKey]])*DiscreteStatsTable[Average]))</f>
        <v>1.34511985766981</v>
      </c>
      <c r="T822" cm="1">
        <f t="array" ref="T822">MIN(IF((DiscreteStatsTable[GroupByKey]=DiscreteStatsTable[[#This Row],[GroupByKey]]),(DiscreteStatsTable[GroupByKey]=DiscreteStatsTable[[#This Row],[GroupByKey]])*DiscreteStatsTable[Minimum]))</f>
        <v>0.82883063937214296</v>
      </c>
      <c r="U822" cm="1">
        <f t="array" ref="U822">MAX(IF((DiscreteStatsTable[GroupByKey]=DiscreteStatsTable[[#This Row],[GroupByKey]]),(DiscreteStatsTable[GroupByKey]=DiscreteStatsTable[[#This Row],[GroupByKey]])*DiscreteStatsTable[Maximum]))</f>
        <v>3.7385284063050199</v>
      </c>
      <c r="V822" cm="1">
        <f t="array" ref="V822">IFERROR(AVERAGE(IF((DiscreteStatsTable[GroupByKey]=DiscreteStatsTable[[#This Row],[GroupByKey]]),(DiscreteStatsTable[GroupByKey]=DiscreteStatsTable[[#This Row],[GroupByKey]])*DiscreteStatsTable[NumberObservations])),0)</f>
        <v>189.42</v>
      </c>
      <c r="W822">
        <f>IF((DiscreteStatsTable[[#This Row],[RepsRequested]]&gt;1),DiscreteStatsTable[[#This Row],[HalfWidth]],DiscreteStatsTable[[#This Row],[BatchMeansHalfWidth]])</f>
        <v>7.2337839818498884E-3</v>
      </c>
      <c r="X822" cm="1">
        <f t="array" ref="X822">COUNT(IF((DiscreteStatsTable[GroupByKey]=DiscreteStatsTable[[#This Row],[GroupByKey]]),(DiscreteStatsTable[GroupByKey]=DiscreteStatsTable[[#This Row],[GroupByKey]])*DiscreteStatsTable[Replication]))</f>
        <v>50</v>
      </c>
      <c r="Y822">
        <f>IF(DiscreteStatsTable[[#This Row],[RepsRequested]]=DiscreteStatsTable[[#This Row],[RepsWithStatObserved]],1,0)</f>
        <v>1</v>
      </c>
    </row>
    <row r="823" spans="1:25" x14ac:dyDescent="0.25">
      <c r="A823" t="s">
        <v>68</v>
      </c>
      <c r="B823" t="s">
        <v>131</v>
      </c>
      <c r="C823">
        <v>22</v>
      </c>
      <c r="D823" t="s">
        <v>91</v>
      </c>
      <c r="E823" t="s">
        <v>89</v>
      </c>
      <c r="F823" t="s">
        <v>90</v>
      </c>
      <c r="G823">
        <v>1.3092875994547699</v>
      </c>
      <c r="H823">
        <v>2E+20</v>
      </c>
      <c r="I823">
        <v>0.87452023625393605</v>
      </c>
      <c r="J823">
        <v>2.9457489112327302</v>
      </c>
      <c r="K823">
        <v>201</v>
      </c>
      <c r="L823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23" cm="1">
        <f t="array" ref="M823">MAX(IF((ProjectInfoTable[ProjectName]=DiscreteStatsTable[[#This Row],[ProjectName]]),(ProjectInfoTable[ProjectName]=DiscreteStatsTable[[#This Row],[ProjectName]])*ProjectInfoTable[NumberOfReplications]))</f>
        <v>50</v>
      </c>
      <c r="N823" cm="1">
        <f t="array" ref="N823">IFERROR(AVERAGE(IF((DiscreteStatsTable[GroupByKey]=DiscreteStatsTable[[#This Row],[GroupByKey]]),(DiscreteStatsTable[GroupByKey]=DiscreteStatsTable[[#This Row],[GroupByKey]])*DiscreteStatsTable[Average])),0)</f>
        <v>1.2960085058838744</v>
      </c>
      <c r="O823" cm="1">
        <f t="array" ref="O823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23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23" cm="1">
        <f t="array" ref="R823">MIN(IF((DiscreteStatsTable[GroupByKey]=DiscreteStatsTable[[#This Row],[GroupByKey]]),(DiscreteStatsTable[GroupByKey]=DiscreteStatsTable[[#This Row],[GroupByKey]])*DiscreteStatsTable[Average]))</f>
        <v>1.2434623099776301</v>
      </c>
      <c r="S823" cm="1">
        <f t="array" ref="S823">MAX(IF((DiscreteStatsTable[GroupByKey]=DiscreteStatsTable[[#This Row],[GroupByKey]]),(DiscreteStatsTable[GroupByKey]=DiscreteStatsTable[[#This Row],[GroupByKey]])*DiscreteStatsTable[Average]))</f>
        <v>1.34511985766981</v>
      </c>
      <c r="T823" cm="1">
        <f t="array" ref="T823">MIN(IF((DiscreteStatsTable[GroupByKey]=DiscreteStatsTable[[#This Row],[GroupByKey]]),(DiscreteStatsTable[GroupByKey]=DiscreteStatsTable[[#This Row],[GroupByKey]])*DiscreteStatsTable[Minimum]))</f>
        <v>0.82883063937214296</v>
      </c>
      <c r="U823" cm="1">
        <f t="array" ref="U823">MAX(IF((DiscreteStatsTable[GroupByKey]=DiscreteStatsTable[[#This Row],[GroupByKey]]),(DiscreteStatsTable[GroupByKey]=DiscreteStatsTable[[#This Row],[GroupByKey]])*DiscreteStatsTable[Maximum]))</f>
        <v>3.7385284063050199</v>
      </c>
      <c r="V823" cm="1">
        <f t="array" ref="V823">IFERROR(AVERAGE(IF((DiscreteStatsTable[GroupByKey]=DiscreteStatsTable[[#This Row],[GroupByKey]]),(DiscreteStatsTable[GroupByKey]=DiscreteStatsTable[[#This Row],[GroupByKey]])*DiscreteStatsTable[NumberObservations])),0)</f>
        <v>189.42</v>
      </c>
      <c r="W823">
        <f>IF((DiscreteStatsTable[[#This Row],[RepsRequested]]&gt;1),DiscreteStatsTable[[#This Row],[HalfWidth]],DiscreteStatsTable[[#This Row],[BatchMeansHalfWidth]])</f>
        <v>7.2337839818498884E-3</v>
      </c>
      <c r="X823" cm="1">
        <f t="array" ref="X823">COUNT(IF((DiscreteStatsTable[GroupByKey]=DiscreteStatsTable[[#This Row],[GroupByKey]]),(DiscreteStatsTable[GroupByKey]=DiscreteStatsTable[[#This Row],[GroupByKey]])*DiscreteStatsTable[Replication]))</f>
        <v>50</v>
      </c>
      <c r="Y823">
        <f>IF(DiscreteStatsTable[[#This Row],[RepsRequested]]=DiscreteStatsTable[[#This Row],[RepsWithStatObserved]],1,0)</f>
        <v>1</v>
      </c>
    </row>
    <row r="824" spans="1:25" x14ac:dyDescent="0.25">
      <c r="A824" t="s">
        <v>68</v>
      </c>
      <c r="B824" t="s">
        <v>131</v>
      </c>
      <c r="C824">
        <v>23</v>
      </c>
      <c r="D824" t="s">
        <v>91</v>
      </c>
      <c r="E824" t="s">
        <v>89</v>
      </c>
      <c r="F824" t="s">
        <v>90</v>
      </c>
      <c r="G824">
        <v>1.3392206008898599</v>
      </c>
      <c r="H824">
        <v>2E+20</v>
      </c>
      <c r="I824">
        <v>0.88453975741555302</v>
      </c>
      <c r="J824">
        <v>2.4756899655982401</v>
      </c>
      <c r="K824">
        <v>179</v>
      </c>
      <c r="L824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24" cm="1">
        <f t="array" ref="M824">MAX(IF((ProjectInfoTable[ProjectName]=DiscreteStatsTable[[#This Row],[ProjectName]]),(ProjectInfoTable[ProjectName]=DiscreteStatsTable[[#This Row],[ProjectName]])*ProjectInfoTable[NumberOfReplications]))</f>
        <v>50</v>
      </c>
      <c r="N824" cm="1">
        <f t="array" ref="N824">IFERROR(AVERAGE(IF((DiscreteStatsTable[GroupByKey]=DiscreteStatsTable[[#This Row],[GroupByKey]]),(DiscreteStatsTable[GroupByKey]=DiscreteStatsTable[[#This Row],[GroupByKey]])*DiscreteStatsTable[Average])),0)</f>
        <v>1.2960085058838744</v>
      </c>
      <c r="O824" cm="1">
        <f t="array" ref="O824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24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24" cm="1">
        <f t="array" ref="R824">MIN(IF((DiscreteStatsTable[GroupByKey]=DiscreteStatsTable[[#This Row],[GroupByKey]]),(DiscreteStatsTable[GroupByKey]=DiscreteStatsTable[[#This Row],[GroupByKey]])*DiscreteStatsTable[Average]))</f>
        <v>1.2434623099776301</v>
      </c>
      <c r="S824" cm="1">
        <f t="array" ref="S824">MAX(IF((DiscreteStatsTable[GroupByKey]=DiscreteStatsTable[[#This Row],[GroupByKey]]),(DiscreteStatsTable[GroupByKey]=DiscreteStatsTable[[#This Row],[GroupByKey]])*DiscreteStatsTable[Average]))</f>
        <v>1.34511985766981</v>
      </c>
      <c r="T824" cm="1">
        <f t="array" ref="T824">MIN(IF((DiscreteStatsTable[GroupByKey]=DiscreteStatsTable[[#This Row],[GroupByKey]]),(DiscreteStatsTable[GroupByKey]=DiscreteStatsTable[[#This Row],[GroupByKey]])*DiscreteStatsTable[Minimum]))</f>
        <v>0.82883063937214296</v>
      </c>
      <c r="U824" cm="1">
        <f t="array" ref="U824">MAX(IF((DiscreteStatsTable[GroupByKey]=DiscreteStatsTable[[#This Row],[GroupByKey]]),(DiscreteStatsTable[GroupByKey]=DiscreteStatsTable[[#This Row],[GroupByKey]])*DiscreteStatsTable[Maximum]))</f>
        <v>3.7385284063050199</v>
      </c>
      <c r="V824" cm="1">
        <f t="array" ref="V824">IFERROR(AVERAGE(IF((DiscreteStatsTable[GroupByKey]=DiscreteStatsTable[[#This Row],[GroupByKey]]),(DiscreteStatsTable[GroupByKey]=DiscreteStatsTable[[#This Row],[GroupByKey]])*DiscreteStatsTable[NumberObservations])),0)</f>
        <v>189.42</v>
      </c>
      <c r="W824">
        <f>IF((DiscreteStatsTable[[#This Row],[RepsRequested]]&gt;1),DiscreteStatsTable[[#This Row],[HalfWidth]],DiscreteStatsTable[[#This Row],[BatchMeansHalfWidth]])</f>
        <v>7.2337839818498884E-3</v>
      </c>
      <c r="X824" cm="1">
        <f t="array" ref="X824">COUNT(IF((DiscreteStatsTable[GroupByKey]=DiscreteStatsTable[[#This Row],[GroupByKey]]),(DiscreteStatsTable[GroupByKey]=DiscreteStatsTable[[#This Row],[GroupByKey]])*DiscreteStatsTable[Replication]))</f>
        <v>50</v>
      </c>
      <c r="Y824">
        <f>IF(DiscreteStatsTable[[#This Row],[RepsRequested]]=DiscreteStatsTable[[#This Row],[RepsWithStatObserved]],1,0)</f>
        <v>1</v>
      </c>
    </row>
    <row r="825" spans="1:25" x14ac:dyDescent="0.25">
      <c r="A825" t="s">
        <v>68</v>
      </c>
      <c r="B825" t="s">
        <v>131</v>
      </c>
      <c r="C825">
        <v>24</v>
      </c>
      <c r="D825" t="s">
        <v>91</v>
      </c>
      <c r="E825" t="s">
        <v>89</v>
      </c>
      <c r="F825" t="s">
        <v>90</v>
      </c>
      <c r="G825">
        <v>1.2913689280870499</v>
      </c>
      <c r="H825">
        <v>2E+20</v>
      </c>
      <c r="I825">
        <v>0.86359495961752197</v>
      </c>
      <c r="J825">
        <v>2.3317034243451098</v>
      </c>
      <c r="K825">
        <v>179</v>
      </c>
      <c r="L825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25" cm="1">
        <f t="array" ref="M825">MAX(IF((ProjectInfoTable[ProjectName]=DiscreteStatsTable[[#This Row],[ProjectName]]),(ProjectInfoTable[ProjectName]=DiscreteStatsTable[[#This Row],[ProjectName]])*ProjectInfoTable[NumberOfReplications]))</f>
        <v>50</v>
      </c>
      <c r="N825" cm="1">
        <f t="array" ref="N825">IFERROR(AVERAGE(IF((DiscreteStatsTable[GroupByKey]=DiscreteStatsTable[[#This Row],[GroupByKey]]),(DiscreteStatsTable[GroupByKey]=DiscreteStatsTable[[#This Row],[GroupByKey]])*DiscreteStatsTable[Average])),0)</f>
        <v>1.2960085058838744</v>
      </c>
      <c r="O825" cm="1">
        <f t="array" ref="O825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2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25" cm="1">
        <f t="array" ref="R825">MIN(IF((DiscreteStatsTable[GroupByKey]=DiscreteStatsTable[[#This Row],[GroupByKey]]),(DiscreteStatsTable[GroupByKey]=DiscreteStatsTable[[#This Row],[GroupByKey]])*DiscreteStatsTable[Average]))</f>
        <v>1.2434623099776301</v>
      </c>
      <c r="S825" cm="1">
        <f t="array" ref="S825">MAX(IF((DiscreteStatsTable[GroupByKey]=DiscreteStatsTable[[#This Row],[GroupByKey]]),(DiscreteStatsTable[GroupByKey]=DiscreteStatsTable[[#This Row],[GroupByKey]])*DiscreteStatsTable[Average]))</f>
        <v>1.34511985766981</v>
      </c>
      <c r="T825" cm="1">
        <f t="array" ref="T825">MIN(IF((DiscreteStatsTable[GroupByKey]=DiscreteStatsTable[[#This Row],[GroupByKey]]),(DiscreteStatsTable[GroupByKey]=DiscreteStatsTable[[#This Row],[GroupByKey]])*DiscreteStatsTable[Minimum]))</f>
        <v>0.82883063937214296</v>
      </c>
      <c r="U825" cm="1">
        <f t="array" ref="U825">MAX(IF((DiscreteStatsTable[GroupByKey]=DiscreteStatsTable[[#This Row],[GroupByKey]]),(DiscreteStatsTable[GroupByKey]=DiscreteStatsTable[[#This Row],[GroupByKey]])*DiscreteStatsTable[Maximum]))</f>
        <v>3.7385284063050199</v>
      </c>
      <c r="V825" cm="1">
        <f t="array" ref="V825">IFERROR(AVERAGE(IF((DiscreteStatsTable[GroupByKey]=DiscreteStatsTable[[#This Row],[GroupByKey]]),(DiscreteStatsTable[GroupByKey]=DiscreteStatsTable[[#This Row],[GroupByKey]])*DiscreteStatsTable[NumberObservations])),0)</f>
        <v>189.42</v>
      </c>
      <c r="W825">
        <f>IF((DiscreteStatsTable[[#This Row],[RepsRequested]]&gt;1),DiscreteStatsTable[[#This Row],[HalfWidth]],DiscreteStatsTable[[#This Row],[BatchMeansHalfWidth]])</f>
        <v>7.2337839818498884E-3</v>
      </c>
      <c r="X825" cm="1">
        <f t="array" ref="X825">COUNT(IF((DiscreteStatsTable[GroupByKey]=DiscreteStatsTable[[#This Row],[GroupByKey]]),(DiscreteStatsTable[GroupByKey]=DiscreteStatsTable[[#This Row],[GroupByKey]])*DiscreteStatsTable[Replication]))</f>
        <v>50</v>
      </c>
      <c r="Y825">
        <f>IF(DiscreteStatsTable[[#This Row],[RepsRequested]]=DiscreteStatsTable[[#This Row],[RepsWithStatObserved]],1,0)</f>
        <v>1</v>
      </c>
    </row>
    <row r="826" spans="1:25" x14ac:dyDescent="0.25">
      <c r="A826" t="s">
        <v>68</v>
      </c>
      <c r="B826" t="s">
        <v>131</v>
      </c>
      <c r="C826">
        <v>25</v>
      </c>
      <c r="D826" t="s">
        <v>91</v>
      </c>
      <c r="E826" t="s">
        <v>89</v>
      </c>
      <c r="F826" t="s">
        <v>90</v>
      </c>
      <c r="G826">
        <v>1.31776276003763</v>
      </c>
      <c r="H826">
        <v>2E+20</v>
      </c>
      <c r="I826">
        <v>0.88389200227335596</v>
      </c>
      <c r="J826">
        <v>2.64533047337039</v>
      </c>
      <c r="K826">
        <v>194</v>
      </c>
      <c r="L826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26" cm="1">
        <f t="array" ref="M826">MAX(IF((ProjectInfoTable[ProjectName]=DiscreteStatsTable[[#This Row],[ProjectName]]),(ProjectInfoTable[ProjectName]=DiscreteStatsTable[[#This Row],[ProjectName]])*ProjectInfoTable[NumberOfReplications]))</f>
        <v>50</v>
      </c>
      <c r="N826" cm="1">
        <f t="array" ref="N826">IFERROR(AVERAGE(IF((DiscreteStatsTable[GroupByKey]=DiscreteStatsTable[[#This Row],[GroupByKey]]),(DiscreteStatsTable[GroupByKey]=DiscreteStatsTable[[#This Row],[GroupByKey]])*DiscreteStatsTable[Average])),0)</f>
        <v>1.2960085058838744</v>
      </c>
      <c r="O826" cm="1">
        <f t="array" ref="O826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26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26" cm="1">
        <f t="array" ref="R826">MIN(IF((DiscreteStatsTable[GroupByKey]=DiscreteStatsTable[[#This Row],[GroupByKey]]),(DiscreteStatsTable[GroupByKey]=DiscreteStatsTable[[#This Row],[GroupByKey]])*DiscreteStatsTable[Average]))</f>
        <v>1.2434623099776301</v>
      </c>
      <c r="S826" cm="1">
        <f t="array" ref="S826">MAX(IF((DiscreteStatsTable[GroupByKey]=DiscreteStatsTable[[#This Row],[GroupByKey]]),(DiscreteStatsTable[GroupByKey]=DiscreteStatsTable[[#This Row],[GroupByKey]])*DiscreteStatsTable[Average]))</f>
        <v>1.34511985766981</v>
      </c>
      <c r="T826" cm="1">
        <f t="array" ref="T826">MIN(IF((DiscreteStatsTable[GroupByKey]=DiscreteStatsTable[[#This Row],[GroupByKey]]),(DiscreteStatsTable[GroupByKey]=DiscreteStatsTable[[#This Row],[GroupByKey]])*DiscreteStatsTable[Minimum]))</f>
        <v>0.82883063937214296</v>
      </c>
      <c r="U826" cm="1">
        <f t="array" ref="U826">MAX(IF((DiscreteStatsTable[GroupByKey]=DiscreteStatsTable[[#This Row],[GroupByKey]]),(DiscreteStatsTable[GroupByKey]=DiscreteStatsTable[[#This Row],[GroupByKey]])*DiscreteStatsTable[Maximum]))</f>
        <v>3.7385284063050199</v>
      </c>
      <c r="V826" cm="1">
        <f t="array" ref="V826">IFERROR(AVERAGE(IF((DiscreteStatsTable[GroupByKey]=DiscreteStatsTable[[#This Row],[GroupByKey]]),(DiscreteStatsTable[GroupByKey]=DiscreteStatsTable[[#This Row],[GroupByKey]])*DiscreteStatsTable[NumberObservations])),0)</f>
        <v>189.42</v>
      </c>
      <c r="W826">
        <f>IF((DiscreteStatsTable[[#This Row],[RepsRequested]]&gt;1),DiscreteStatsTable[[#This Row],[HalfWidth]],DiscreteStatsTable[[#This Row],[BatchMeansHalfWidth]])</f>
        <v>7.2337839818498884E-3</v>
      </c>
      <c r="X826" cm="1">
        <f t="array" ref="X826">COUNT(IF((DiscreteStatsTable[GroupByKey]=DiscreteStatsTable[[#This Row],[GroupByKey]]),(DiscreteStatsTable[GroupByKey]=DiscreteStatsTable[[#This Row],[GroupByKey]])*DiscreteStatsTable[Replication]))</f>
        <v>50</v>
      </c>
      <c r="Y826">
        <f>IF(DiscreteStatsTable[[#This Row],[RepsRequested]]=DiscreteStatsTable[[#This Row],[RepsWithStatObserved]],1,0)</f>
        <v>1</v>
      </c>
    </row>
    <row r="827" spans="1:25" x14ac:dyDescent="0.25">
      <c r="A827" t="s">
        <v>68</v>
      </c>
      <c r="B827" t="s">
        <v>131</v>
      </c>
      <c r="C827">
        <v>26</v>
      </c>
      <c r="D827" t="s">
        <v>91</v>
      </c>
      <c r="E827" t="s">
        <v>89</v>
      </c>
      <c r="F827" t="s">
        <v>90</v>
      </c>
      <c r="G827">
        <v>1.2902550282320999</v>
      </c>
      <c r="H827">
        <v>2E+20</v>
      </c>
      <c r="I827">
        <v>0.86303943145816198</v>
      </c>
      <c r="J827">
        <v>3.4089638612739201</v>
      </c>
      <c r="K827">
        <v>194</v>
      </c>
      <c r="L827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27" cm="1">
        <f t="array" ref="M827">MAX(IF((ProjectInfoTable[ProjectName]=DiscreteStatsTable[[#This Row],[ProjectName]]),(ProjectInfoTable[ProjectName]=DiscreteStatsTable[[#This Row],[ProjectName]])*ProjectInfoTable[NumberOfReplications]))</f>
        <v>50</v>
      </c>
      <c r="N827" cm="1">
        <f t="array" ref="N827">IFERROR(AVERAGE(IF((DiscreteStatsTable[GroupByKey]=DiscreteStatsTable[[#This Row],[GroupByKey]]),(DiscreteStatsTable[GroupByKey]=DiscreteStatsTable[[#This Row],[GroupByKey]])*DiscreteStatsTable[Average])),0)</f>
        <v>1.2960085058838744</v>
      </c>
      <c r="O827" cm="1">
        <f t="array" ref="O827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27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27" cm="1">
        <f t="array" ref="R827">MIN(IF((DiscreteStatsTable[GroupByKey]=DiscreteStatsTable[[#This Row],[GroupByKey]]),(DiscreteStatsTable[GroupByKey]=DiscreteStatsTable[[#This Row],[GroupByKey]])*DiscreteStatsTable[Average]))</f>
        <v>1.2434623099776301</v>
      </c>
      <c r="S827" cm="1">
        <f t="array" ref="S827">MAX(IF((DiscreteStatsTable[GroupByKey]=DiscreteStatsTable[[#This Row],[GroupByKey]]),(DiscreteStatsTable[GroupByKey]=DiscreteStatsTable[[#This Row],[GroupByKey]])*DiscreteStatsTable[Average]))</f>
        <v>1.34511985766981</v>
      </c>
      <c r="T827" cm="1">
        <f t="array" ref="T827">MIN(IF((DiscreteStatsTable[GroupByKey]=DiscreteStatsTable[[#This Row],[GroupByKey]]),(DiscreteStatsTable[GroupByKey]=DiscreteStatsTable[[#This Row],[GroupByKey]])*DiscreteStatsTable[Minimum]))</f>
        <v>0.82883063937214296</v>
      </c>
      <c r="U827" cm="1">
        <f t="array" ref="U827">MAX(IF((DiscreteStatsTable[GroupByKey]=DiscreteStatsTable[[#This Row],[GroupByKey]]),(DiscreteStatsTable[GroupByKey]=DiscreteStatsTable[[#This Row],[GroupByKey]])*DiscreteStatsTable[Maximum]))</f>
        <v>3.7385284063050199</v>
      </c>
      <c r="V827" cm="1">
        <f t="array" ref="V827">IFERROR(AVERAGE(IF((DiscreteStatsTable[GroupByKey]=DiscreteStatsTable[[#This Row],[GroupByKey]]),(DiscreteStatsTable[GroupByKey]=DiscreteStatsTable[[#This Row],[GroupByKey]])*DiscreteStatsTable[NumberObservations])),0)</f>
        <v>189.42</v>
      </c>
      <c r="W827">
        <f>IF((DiscreteStatsTable[[#This Row],[RepsRequested]]&gt;1),DiscreteStatsTable[[#This Row],[HalfWidth]],DiscreteStatsTable[[#This Row],[BatchMeansHalfWidth]])</f>
        <v>7.2337839818498884E-3</v>
      </c>
      <c r="X827" cm="1">
        <f t="array" ref="X827">COUNT(IF((DiscreteStatsTable[GroupByKey]=DiscreteStatsTable[[#This Row],[GroupByKey]]),(DiscreteStatsTable[GroupByKey]=DiscreteStatsTable[[#This Row],[GroupByKey]])*DiscreteStatsTable[Replication]))</f>
        <v>50</v>
      </c>
      <c r="Y827">
        <f>IF(DiscreteStatsTable[[#This Row],[RepsRequested]]=DiscreteStatsTable[[#This Row],[RepsWithStatObserved]],1,0)</f>
        <v>1</v>
      </c>
    </row>
    <row r="828" spans="1:25" x14ac:dyDescent="0.25">
      <c r="A828" t="s">
        <v>68</v>
      </c>
      <c r="B828" t="s">
        <v>131</v>
      </c>
      <c r="C828">
        <v>27</v>
      </c>
      <c r="D828" t="s">
        <v>91</v>
      </c>
      <c r="E828" t="s">
        <v>89</v>
      </c>
      <c r="F828" t="s">
        <v>90</v>
      </c>
      <c r="G828">
        <v>1.3253801371045</v>
      </c>
      <c r="H828">
        <v>2E+20</v>
      </c>
      <c r="I828">
        <v>0.90341486432214402</v>
      </c>
      <c r="J828">
        <v>3.3603416137467499</v>
      </c>
      <c r="K828">
        <v>208</v>
      </c>
      <c r="L828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28" cm="1">
        <f t="array" ref="M828">MAX(IF((ProjectInfoTable[ProjectName]=DiscreteStatsTable[[#This Row],[ProjectName]]),(ProjectInfoTable[ProjectName]=DiscreteStatsTable[[#This Row],[ProjectName]])*ProjectInfoTable[NumberOfReplications]))</f>
        <v>50</v>
      </c>
      <c r="N828" cm="1">
        <f t="array" ref="N828">IFERROR(AVERAGE(IF((DiscreteStatsTable[GroupByKey]=DiscreteStatsTable[[#This Row],[GroupByKey]]),(DiscreteStatsTable[GroupByKey]=DiscreteStatsTable[[#This Row],[GroupByKey]])*DiscreteStatsTable[Average])),0)</f>
        <v>1.2960085058838744</v>
      </c>
      <c r="O828" cm="1">
        <f t="array" ref="O828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28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28" cm="1">
        <f t="array" ref="R828">MIN(IF((DiscreteStatsTable[GroupByKey]=DiscreteStatsTable[[#This Row],[GroupByKey]]),(DiscreteStatsTable[GroupByKey]=DiscreteStatsTable[[#This Row],[GroupByKey]])*DiscreteStatsTable[Average]))</f>
        <v>1.2434623099776301</v>
      </c>
      <c r="S828" cm="1">
        <f t="array" ref="S828">MAX(IF((DiscreteStatsTable[GroupByKey]=DiscreteStatsTable[[#This Row],[GroupByKey]]),(DiscreteStatsTable[GroupByKey]=DiscreteStatsTable[[#This Row],[GroupByKey]])*DiscreteStatsTable[Average]))</f>
        <v>1.34511985766981</v>
      </c>
      <c r="T828" cm="1">
        <f t="array" ref="T828">MIN(IF((DiscreteStatsTable[GroupByKey]=DiscreteStatsTable[[#This Row],[GroupByKey]]),(DiscreteStatsTable[GroupByKey]=DiscreteStatsTable[[#This Row],[GroupByKey]])*DiscreteStatsTable[Minimum]))</f>
        <v>0.82883063937214296</v>
      </c>
      <c r="U828" cm="1">
        <f t="array" ref="U828">MAX(IF((DiscreteStatsTable[GroupByKey]=DiscreteStatsTable[[#This Row],[GroupByKey]]),(DiscreteStatsTable[GroupByKey]=DiscreteStatsTable[[#This Row],[GroupByKey]])*DiscreteStatsTable[Maximum]))</f>
        <v>3.7385284063050199</v>
      </c>
      <c r="V828" cm="1">
        <f t="array" ref="V828">IFERROR(AVERAGE(IF((DiscreteStatsTable[GroupByKey]=DiscreteStatsTable[[#This Row],[GroupByKey]]),(DiscreteStatsTable[GroupByKey]=DiscreteStatsTable[[#This Row],[GroupByKey]])*DiscreteStatsTable[NumberObservations])),0)</f>
        <v>189.42</v>
      </c>
      <c r="W828">
        <f>IF((DiscreteStatsTable[[#This Row],[RepsRequested]]&gt;1),DiscreteStatsTable[[#This Row],[HalfWidth]],DiscreteStatsTable[[#This Row],[BatchMeansHalfWidth]])</f>
        <v>7.2337839818498884E-3</v>
      </c>
      <c r="X828" cm="1">
        <f t="array" ref="X828">COUNT(IF((DiscreteStatsTable[GroupByKey]=DiscreteStatsTable[[#This Row],[GroupByKey]]),(DiscreteStatsTable[GroupByKey]=DiscreteStatsTable[[#This Row],[GroupByKey]])*DiscreteStatsTable[Replication]))</f>
        <v>50</v>
      </c>
      <c r="Y828">
        <f>IF(DiscreteStatsTable[[#This Row],[RepsRequested]]=DiscreteStatsTable[[#This Row],[RepsWithStatObserved]],1,0)</f>
        <v>1</v>
      </c>
    </row>
    <row r="829" spans="1:25" x14ac:dyDescent="0.25">
      <c r="A829" t="s">
        <v>68</v>
      </c>
      <c r="B829" t="s">
        <v>131</v>
      </c>
      <c r="C829">
        <v>28</v>
      </c>
      <c r="D829" t="s">
        <v>91</v>
      </c>
      <c r="E829" t="s">
        <v>89</v>
      </c>
      <c r="F829" t="s">
        <v>90</v>
      </c>
      <c r="G829">
        <v>1.34511985766981</v>
      </c>
      <c r="H829">
        <v>2E+20</v>
      </c>
      <c r="I829">
        <v>0.87053445833453202</v>
      </c>
      <c r="J829">
        <v>3.3809637961939001</v>
      </c>
      <c r="K829">
        <v>177</v>
      </c>
      <c r="L829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29" cm="1">
        <f t="array" ref="M829">MAX(IF((ProjectInfoTable[ProjectName]=DiscreteStatsTable[[#This Row],[ProjectName]]),(ProjectInfoTable[ProjectName]=DiscreteStatsTable[[#This Row],[ProjectName]])*ProjectInfoTable[NumberOfReplications]))</f>
        <v>50</v>
      </c>
      <c r="N829" cm="1">
        <f t="array" ref="N829">IFERROR(AVERAGE(IF((DiscreteStatsTable[GroupByKey]=DiscreteStatsTable[[#This Row],[GroupByKey]]),(DiscreteStatsTable[GroupByKey]=DiscreteStatsTable[[#This Row],[GroupByKey]])*DiscreteStatsTable[Average])),0)</f>
        <v>1.2960085058838744</v>
      </c>
      <c r="O829" cm="1">
        <f t="array" ref="O829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29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29" cm="1">
        <f t="array" ref="R829">MIN(IF((DiscreteStatsTable[GroupByKey]=DiscreteStatsTable[[#This Row],[GroupByKey]]),(DiscreteStatsTable[GroupByKey]=DiscreteStatsTable[[#This Row],[GroupByKey]])*DiscreteStatsTable[Average]))</f>
        <v>1.2434623099776301</v>
      </c>
      <c r="S829" cm="1">
        <f t="array" ref="S829">MAX(IF((DiscreteStatsTable[GroupByKey]=DiscreteStatsTable[[#This Row],[GroupByKey]]),(DiscreteStatsTable[GroupByKey]=DiscreteStatsTable[[#This Row],[GroupByKey]])*DiscreteStatsTable[Average]))</f>
        <v>1.34511985766981</v>
      </c>
      <c r="T829" cm="1">
        <f t="array" ref="T829">MIN(IF((DiscreteStatsTable[GroupByKey]=DiscreteStatsTable[[#This Row],[GroupByKey]]),(DiscreteStatsTable[GroupByKey]=DiscreteStatsTable[[#This Row],[GroupByKey]])*DiscreteStatsTable[Minimum]))</f>
        <v>0.82883063937214296</v>
      </c>
      <c r="U829" cm="1">
        <f t="array" ref="U829">MAX(IF((DiscreteStatsTable[GroupByKey]=DiscreteStatsTable[[#This Row],[GroupByKey]]),(DiscreteStatsTable[GroupByKey]=DiscreteStatsTable[[#This Row],[GroupByKey]])*DiscreteStatsTable[Maximum]))</f>
        <v>3.7385284063050199</v>
      </c>
      <c r="V829" cm="1">
        <f t="array" ref="V829">IFERROR(AVERAGE(IF((DiscreteStatsTable[GroupByKey]=DiscreteStatsTable[[#This Row],[GroupByKey]]),(DiscreteStatsTable[GroupByKey]=DiscreteStatsTable[[#This Row],[GroupByKey]])*DiscreteStatsTable[NumberObservations])),0)</f>
        <v>189.42</v>
      </c>
      <c r="W829">
        <f>IF((DiscreteStatsTable[[#This Row],[RepsRequested]]&gt;1),DiscreteStatsTable[[#This Row],[HalfWidth]],DiscreteStatsTable[[#This Row],[BatchMeansHalfWidth]])</f>
        <v>7.2337839818498884E-3</v>
      </c>
      <c r="X829" cm="1">
        <f t="array" ref="X829">COUNT(IF((DiscreteStatsTable[GroupByKey]=DiscreteStatsTable[[#This Row],[GroupByKey]]),(DiscreteStatsTable[GroupByKey]=DiscreteStatsTable[[#This Row],[GroupByKey]])*DiscreteStatsTable[Replication]))</f>
        <v>50</v>
      </c>
      <c r="Y829">
        <f>IF(DiscreteStatsTable[[#This Row],[RepsRequested]]=DiscreteStatsTable[[#This Row],[RepsWithStatObserved]],1,0)</f>
        <v>1</v>
      </c>
    </row>
    <row r="830" spans="1:25" x14ac:dyDescent="0.25">
      <c r="A830" t="s">
        <v>68</v>
      </c>
      <c r="B830" t="s">
        <v>131</v>
      </c>
      <c r="C830">
        <v>29</v>
      </c>
      <c r="D830" t="s">
        <v>91</v>
      </c>
      <c r="E830" t="s">
        <v>89</v>
      </c>
      <c r="F830" t="s">
        <v>90</v>
      </c>
      <c r="G830">
        <v>1.2906152239350599</v>
      </c>
      <c r="H830">
        <v>2E+20</v>
      </c>
      <c r="I830">
        <v>0.894237964087779</v>
      </c>
      <c r="J830">
        <v>2.7750391171305799</v>
      </c>
      <c r="K830">
        <v>184</v>
      </c>
      <c r="L830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30" cm="1">
        <f t="array" ref="M830">MAX(IF((ProjectInfoTable[ProjectName]=DiscreteStatsTable[[#This Row],[ProjectName]]),(ProjectInfoTable[ProjectName]=DiscreteStatsTable[[#This Row],[ProjectName]])*ProjectInfoTable[NumberOfReplications]))</f>
        <v>50</v>
      </c>
      <c r="N830" cm="1">
        <f t="array" ref="N830">IFERROR(AVERAGE(IF((DiscreteStatsTable[GroupByKey]=DiscreteStatsTable[[#This Row],[GroupByKey]]),(DiscreteStatsTable[GroupByKey]=DiscreteStatsTable[[#This Row],[GroupByKey]])*DiscreteStatsTable[Average])),0)</f>
        <v>1.2960085058838744</v>
      </c>
      <c r="O830" cm="1">
        <f t="array" ref="O830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30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30" cm="1">
        <f t="array" ref="R830">MIN(IF((DiscreteStatsTable[GroupByKey]=DiscreteStatsTable[[#This Row],[GroupByKey]]),(DiscreteStatsTable[GroupByKey]=DiscreteStatsTable[[#This Row],[GroupByKey]])*DiscreteStatsTable[Average]))</f>
        <v>1.2434623099776301</v>
      </c>
      <c r="S830" cm="1">
        <f t="array" ref="S830">MAX(IF((DiscreteStatsTable[GroupByKey]=DiscreteStatsTable[[#This Row],[GroupByKey]]),(DiscreteStatsTable[GroupByKey]=DiscreteStatsTable[[#This Row],[GroupByKey]])*DiscreteStatsTable[Average]))</f>
        <v>1.34511985766981</v>
      </c>
      <c r="T830" cm="1">
        <f t="array" ref="T830">MIN(IF((DiscreteStatsTable[GroupByKey]=DiscreteStatsTable[[#This Row],[GroupByKey]]),(DiscreteStatsTable[GroupByKey]=DiscreteStatsTable[[#This Row],[GroupByKey]])*DiscreteStatsTable[Minimum]))</f>
        <v>0.82883063937214296</v>
      </c>
      <c r="U830" cm="1">
        <f t="array" ref="U830">MAX(IF((DiscreteStatsTable[GroupByKey]=DiscreteStatsTable[[#This Row],[GroupByKey]]),(DiscreteStatsTable[GroupByKey]=DiscreteStatsTable[[#This Row],[GroupByKey]])*DiscreteStatsTable[Maximum]))</f>
        <v>3.7385284063050199</v>
      </c>
      <c r="V830" cm="1">
        <f t="array" ref="V830">IFERROR(AVERAGE(IF((DiscreteStatsTable[GroupByKey]=DiscreteStatsTable[[#This Row],[GroupByKey]]),(DiscreteStatsTable[GroupByKey]=DiscreteStatsTable[[#This Row],[GroupByKey]])*DiscreteStatsTable[NumberObservations])),0)</f>
        <v>189.42</v>
      </c>
      <c r="W830">
        <f>IF((DiscreteStatsTable[[#This Row],[RepsRequested]]&gt;1),DiscreteStatsTable[[#This Row],[HalfWidth]],DiscreteStatsTable[[#This Row],[BatchMeansHalfWidth]])</f>
        <v>7.2337839818498884E-3</v>
      </c>
      <c r="X830" cm="1">
        <f t="array" ref="X830">COUNT(IF((DiscreteStatsTable[GroupByKey]=DiscreteStatsTable[[#This Row],[GroupByKey]]),(DiscreteStatsTable[GroupByKey]=DiscreteStatsTable[[#This Row],[GroupByKey]])*DiscreteStatsTable[Replication]))</f>
        <v>50</v>
      </c>
      <c r="Y830">
        <f>IF(DiscreteStatsTable[[#This Row],[RepsRequested]]=DiscreteStatsTable[[#This Row],[RepsWithStatObserved]],1,0)</f>
        <v>1</v>
      </c>
    </row>
    <row r="831" spans="1:25" x14ac:dyDescent="0.25">
      <c r="A831" t="s">
        <v>68</v>
      </c>
      <c r="B831" t="s">
        <v>131</v>
      </c>
      <c r="C831">
        <v>30</v>
      </c>
      <c r="D831" t="s">
        <v>91</v>
      </c>
      <c r="E831" t="s">
        <v>89</v>
      </c>
      <c r="F831" t="s">
        <v>90</v>
      </c>
      <c r="G831">
        <v>1.2779523646936699</v>
      </c>
      <c r="H831">
        <v>2E+20</v>
      </c>
      <c r="I831">
        <v>0.88459188023909996</v>
      </c>
      <c r="J831">
        <v>2.4610041417002999</v>
      </c>
      <c r="K831">
        <v>191</v>
      </c>
      <c r="L831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31" cm="1">
        <f t="array" ref="M831">MAX(IF((ProjectInfoTable[ProjectName]=DiscreteStatsTable[[#This Row],[ProjectName]]),(ProjectInfoTable[ProjectName]=DiscreteStatsTable[[#This Row],[ProjectName]])*ProjectInfoTable[NumberOfReplications]))</f>
        <v>50</v>
      </c>
      <c r="N831" cm="1">
        <f t="array" ref="N831">IFERROR(AVERAGE(IF((DiscreteStatsTable[GroupByKey]=DiscreteStatsTable[[#This Row],[GroupByKey]]),(DiscreteStatsTable[GroupByKey]=DiscreteStatsTable[[#This Row],[GroupByKey]])*DiscreteStatsTable[Average])),0)</f>
        <v>1.2960085058838744</v>
      </c>
      <c r="O831" cm="1">
        <f t="array" ref="O831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31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31" cm="1">
        <f t="array" ref="R831">MIN(IF((DiscreteStatsTable[GroupByKey]=DiscreteStatsTable[[#This Row],[GroupByKey]]),(DiscreteStatsTable[GroupByKey]=DiscreteStatsTable[[#This Row],[GroupByKey]])*DiscreteStatsTable[Average]))</f>
        <v>1.2434623099776301</v>
      </c>
      <c r="S831" cm="1">
        <f t="array" ref="S831">MAX(IF((DiscreteStatsTable[GroupByKey]=DiscreteStatsTable[[#This Row],[GroupByKey]]),(DiscreteStatsTable[GroupByKey]=DiscreteStatsTable[[#This Row],[GroupByKey]])*DiscreteStatsTable[Average]))</f>
        <v>1.34511985766981</v>
      </c>
      <c r="T831" cm="1">
        <f t="array" ref="T831">MIN(IF((DiscreteStatsTable[GroupByKey]=DiscreteStatsTable[[#This Row],[GroupByKey]]),(DiscreteStatsTable[GroupByKey]=DiscreteStatsTable[[#This Row],[GroupByKey]])*DiscreteStatsTable[Minimum]))</f>
        <v>0.82883063937214296</v>
      </c>
      <c r="U831" cm="1">
        <f t="array" ref="U831">MAX(IF((DiscreteStatsTable[GroupByKey]=DiscreteStatsTable[[#This Row],[GroupByKey]]),(DiscreteStatsTable[GroupByKey]=DiscreteStatsTable[[#This Row],[GroupByKey]])*DiscreteStatsTable[Maximum]))</f>
        <v>3.7385284063050199</v>
      </c>
      <c r="V831" cm="1">
        <f t="array" ref="V831">IFERROR(AVERAGE(IF((DiscreteStatsTable[GroupByKey]=DiscreteStatsTable[[#This Row],[GroupByKey]]),(DiscreteStatsTable[GroupByKey]=DiscreteStatsTable[[#This Row],[GroupByKey]])*DiscreteStatsTable[NumberObservations])),0)</f>
        <v>189.42</v>
      </c>
      <c r="W831">
        <f>IF((DiscreteStatsTable[[#This Row],[RepsRequested]]&gt;1),DiscreteStatsTable[[#This Row],[HalfWidth]],DiscreteStatsTable[[#This Row],[BatchMeansHalfWidth]])</f>
        <v>7.2337839818498884E-3</v>
      </c>
      <c r="X831" cm="1">
        <f t="array" ref="X831">COUNT(IF((DiscreteStatsTable[GroupByKey]=DiscreteStatsTable[[#This Row],[GroupByKey]]),(DiscreteStatsTable[GroupByKey]=DiscreteStatsTable[[#This Row],[GroupByKey]])*DiscreteStatsTable[Replication]))</f>
        <v>50</v>
      </c>
      <c r="Y831">
        <f>IF(DiscreteStatsTable[[#This Row],[RepsRequested]]=DiscreteStatsTable[[#This Row],[RepsWithStatObserved]],1,0)</f>
        <v>1</v>
      </c>
    </row>
    <row r="832" spans="1:25" x14ac:dyDescent="0.25">
      <c r="A832" t="s">
        <v>68</v>
      </c>
      <c r="B832" t="s">
        <v>131</v>
      </c>
      <c r="C832">
        <v>31</v>
      </c>
      <c r="D832" t="s">
        <v>91</v>
      </c>
      <c r="E832" t="s">
        <v>89</v>
      </c>
      <c r="F832" t="s">
        <v>90</v>
      </c>
      <c r="G832">
        <v>1.3057698073202799</v>
      </c>
      <c r="H832">
        <v>2E+20</v>
      </c>
      <c r="I832">
        <v>0.88358414852893896</v>
      </c>
      <c r="J832">
        <v>2.6899106948887899</v>
      </c>
      <c r="K832">
        <v>182</v>
      </c>
      <c r="L832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32" cm="1">
        <f t="array" ref="M832">MAX(IF((ProjectInfoTable[ProjectName]=DiscreteStatsTable[[#This Row],[ProjectName]]),(ProjectInfoTable[ProjectName]=DiscreteStatsTable[[#This Row],[ProjectName]])*ProjectInfoTable[NumberOfReplications]))</f>
        <v>50</v>
      </c>
      <c r="N832" cm="1">
        <f t="array" ref="N832">IFERROR(AVERAGE(IF((DiscreteStatsTable[GroupByKey]=DiscreteStatsTable[[#This Row],[GroupByKey]]),(DiscreteStatsTable[GroupByKey]=DiscreteStatsTable[[#This Row],[GroupByKey]])*DiscreteStatsTable[Average])),0)</f>
        <v>1.2960085058838744</v>
      </c>
      <c r="O832" cm="1">
        <f t="array" ref="O832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32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32" cm="1">
        <f t="array" ref="R832">MIN(IF((DiscreteStatsTable[GroupByKey]=DiscreteStatsTable[[#This Row],[GroupByKey]]),(DiscreteStatsTable[GroupByKey]=DiscreteStatsTable[[#This Row],[GroupByKey]])*DiscreteStatsTable[Average]))</f>
        <v>1.2434623099776301</v>
      </c>
      <c r="S832" cm="1">
        <f t="array" ref="S832">MAX(IF((DiscreteStatsTable[GroupByKey]=DiscreteStatsTable[[#This Row],[GroupByKey]]),(DiscreteStatsTable[GroupByKey]=DiscreteStatsTable[[#This Row],[GroupByKey]])*DiscreteStatsTable[Average]))</f>
        <v>1.34511985766981</v>
      </c>
      <c r="T832" cm="1">
        <f t="array" ref="T832">MIN(IF((DiscreteStatsTable[GroupByKey]=DiscreteStatsTable[[#This Row],[GroupByKey]]),(DiscreteStatsTable[GroupByKey]=DiscreteStatsTable[[#This Row],[GroupByKey]])*DiscreteStatsTable[Minimum]))</f>
        <v>0.82883063937214296</v>
      </c>
      <c r="U832" cm="1">
        <f t="array" ref="U832">MAX(IF((DiscreteStatsTable[GroupByKey]=DiscreteStatsTable[[#This Row],[GroupByKey]]),(DiscreteStatsTable[GroupByKey]=DiscreteStatsTable[[#This Row],[GroupByKey]])*DiscreteStatsTable[Maximum]))</f>
        <v>3.7385284063050199</v>
      </c>
      <c r="V832" cm="1">
        <f t="array" ref="V832">IFERROR(AVERAGE(IF((DiscreteStatsTable[GroupByKey]=DiscreteStatsTable[[#This Row],[GroupByKey]]),(DiscreteStatsTable[GroupByKey]=DiscreteStatsTable[[#This Row],[GroupByKey]])*DiscreteStatsTable[NumberObservations])),0)</f>
        <v>189.42</v>
      </c>
      <c r="W832">
        <f>IF((DiscreteStatsTable[[#This Row],[RepsRequested]]&gt;1),DiscreteStatsTable[[#This Row],[HalfWidth]],DiscreteStatsTable[[#This Row],[BatchMeansHalfWidth]])</f>
        <v>7.2337839818498884E-3</v>
      </c>
      <c r="X832" cm="1">
        <f t="array" ref="X832">COUNT(IF((DiscreteStatsTable[GroupByKey]=DiscreteStatsTable[[#This Row],[GroupByKey]]),(DiscreteStatsTable[GroupByKey]=DiscreteStatsTable[[#This Row],[GroupByKey]])*DiscreteStatsTable[Replication]))</f>
        <v>50</v>
      </c>
      <c r="Y832">
        <f>IF(DiscreteStatsTable[[#This Row],[RepsRequested]]=DiscreteStatsTable[[#This Row],[RepsWithStatObserved]],1,0)</f>
        <v>1</v>
      </c>
    </row>
    <row r="833" spans="1:25" x14ac:dyDescent="0.25">
      <c r="A833" t="s">
        <v>68</v>
      </c>
      <c r="B833" t="s">
        <v>131</v>
      </c>
      <c r="C833">
        <v>32</v>
      </c>
      <c r="D833" t="s">
        <v>91</v>
      </c>
      <c r="E833" t="s">
        <v>89</v>
      </c>
      <c r="F833" t="s">
        <v>90</v>
      </c>
      <c r="G833">
        <v>1.2829989795872601</v>
      </c>
      <c r="H833">
        <v>2E+20</v>
      </c>
      <c r="I833">
        <v>0.91937746908558904</v>
      </c>
      <c r="J833">
        <v>2.3147084116877701</v>
      </c>
      <c r="K833">
        <v>206</v>
      </c>
      <c r="L833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33" cm="1">
        <f t="array" ref="M833">MAX(IF((ProjectInfoTable[ProjectName]=DiscreteStatsTable[[#This Row],[ProjectName]]),(ProjectInfoTable[ProjectName]=DiscreteStatsTable[[#This Row],[ProjectName]])*ProjectInfoTable[NumberOfReplications]))</f>
        <v>50</v>
      </c>
      <c r="N833" cm="1">
        <f t="array" ref="N833">IFERROR(AVERAGE(IF((DiscreteStatsTable[GroupByKey]=DiscreteStatsTable[[#This Row],[GroupByKey]]),(DiscreteStatsTable[GroupByKey]=DiscreteStatsTable[[#This Row],[GroupByKey]])*DiscreteStatsTable[Average])),0)</f>
        <v>1.2960085058838744</v>
      </c>
      <c r="O833" cm="1">
        <f t="array" ref="O833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33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33" cm="1">
        <f t="array" ref="R833">MIN(IF((DiscreteStatsTable[GroupByKey]=DiscreteStatsTable[[#This Row],[GroupByKey]]),(DiscreteStatsTable[GroupByKey]=DiscreteStatsTable[[#This Row],[GroupByKey]])*DiscreteStatsTable[Average]))</f>
        <v>1.2434623099776301</v>
      </c>
      <c r="S833" cm="1">
        <f t="array" ref="S833">MAX(IF((DiscreteStatsTable[GroupByKey]=DiscreteStatsTable[[#This Row],[GroupByKey]]),(DiscreteStatsTable[GroupByKey]=DiscreteStatsTable[[#This Row],[GroupByKey]])*DiscreteStatsTable[Average]))</f>
        <v>1.34511985766981</v>
      </c>
      <c r="T833" cm="1">
        <f t="array" ref="T833">MIN(IF((DiscreteStatsTable[GroupByKey]=DiscreteStatsTable[[#This Row],[GroupByKey]]),(DiscreteStatsTable[GroupByKey]=DiscreteStatsTable[[#This Row],[GroupByKey]])*DiscreteStatsTable[Minimum]))</f>
        <v>0.82883063937214296</v>
      </c>
      <c r="U833" cm="1">
        <f t="array" ref="U833">MAX(IF((DiscreteStatsTable[GroupByKey]=DiscreteStatsTable[[#This Row],[GroupByKey]]),(DiscreteStatsTable[GroupByKey]=DiscreteStatsTable[[#This Row],[GroupByKey]])*DiscreteStatsTable[Maximum]))</f>
        <v>3.7385284063050199</v>
      </c>
      <c r="V833" cm="1">
        <f t="array" ref="V833">IFERROR(AVERAGE(IF((DiscreteStatsTable[GroupByKey]=DiscreteStatsTable[[#This Row],[GroupByKey]]),(DiscreteStatsTable[GroupByKey]=DiscreteStatsTable[[#This Row],[GroupByKey]])*DiscreteStatsTable[NumberObservations])),0)</f>
        <v>189.42</v>
      </c>
      <c r="W833">
        <f>IF((DiscreteStatsTable[[#This Row],[RepsRequested]]&gt;1),DiscreteStatsTable[[#This Row],[HalfWidth]],DiscreteStatsTable[[#This Row],[BatchMeansHalfWidth]])</f>
        <v>7.2337839818498884E-3</v>
      </c>
      <c r="X833" cm="1">
        <f t="array" ref="X833">COUNT(IF((DiscreteStatsTable[GroupByKey]=DiscreteStatsTable[[#This Row],[GroupByKey]]),(DiscreteStatsTable[GroupByKey]=DiscreteStatsTable[[#This Row],[GroupByKey]])*DiscreteStatsTable[Replication]))</f>
        <v>50</v>
      </c>
      <c r="Y833">
        <f>IF(DiscreteStatsTable[[#This Row],[RepsRequested]]=DiscreteStatsTable[[#This Row],[RepsWithStatObserved]],1,0)</f>
        <v>1</v>
      </c>
    </row>
    <row r="834" spans="1:25" x14ac:dyDescent="0.25">
      <c r="A834" t="s">
        <v>68</v>
      </c>
      <c r="B834" t="s">
        <v>131</v>
      </c>
      <c r="C834">
        <v>33</v>
      </c>
      <c r="D834" t="s">
        <v>91</v>
      </c>
      <c r="E834" t="s">
        <v>89</v>
      </c>
      <c r="F834" t="s">
        <v>90</v>
      </c>
      <c r="G834">
        <v>1.29200049101422</v>
      </c>
      <c r="H834">
        <v>2E+20</v>
      </c>
      <c r="I834">
        <v>0.87207038865005904</v>
      </c>
      <c r="J834">
        <v>2.3821818365845502</v>
      </c>
      <c r="K834">
        <v>204</v>
      </c>
      <c r="L834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34" cm="1">
        <f t="array" ref="M834">MAX(IF((ProjectInfoTable[ProjectName]=DiscreteStatsTable[[#This Row],[ProjectName]]),(ProjectInfoTable[ProjectName]=DiscreteStatsTable[[#This Row],[ProjectName]])*ProjectInfoTable[NumberOfReplications]))</f>
        <v>50</v>
      </c>
      <c r="N834" cm="1">
        <f t="array" ref="N834">IFERROR(AVERAGE(IF((DiscreteStatsTable[GroupByKey]=DiscreteStatsTable[[#This Row],[GroupByKey]]),(DiscreteStatsTable[GroupByKey]=DiscreteStatsTable[[#This Row],[GroupByKey]])*DiscreteStatsTable[Average])),0)</f>
        <v>1.2960085058838744</v>
      </c>
      <c r="O834" cm="1">
        <f t="array" ref="O834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34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34" cm="1">
        <f t="array" ref="R834">MIN(IF((DiscreteStatsTable[GroupByKey]=DiscreteStatsTable[[#This Row],[GroupByKey]]),(DiscreteStatsTable[GroupByKey]=DiscreteStatsTable[[#This Row],[GroupByKey]])*DiscreteStatsTable[Average]))</f>
        <v>1.2434623099776301</v>
      </c>
      <c r="S834" cm="1">
        <f t="array" ref="S834">MAX(IF((DiscreteStatsTable[GroupByKey]=DiscreteStatsTable[[#This Row],[GroupByKey]]),(DiscreteStatsTable[GroupByKey]=DiscreteStatsTable[[#This Row],[GroupByKey]])*DiscreteStatsTable[Average]))</f>
        <v>1.34511985766981</v>
      </c>
      <c r="T834" cm="1">
        <f t="array" ref="T834">MIN(IF((DiscreteStatsTable[GroupByKey]=DiscreteStatsTable[[#This Row],[GroupByKey]]),(DiscreteStatsTable[GroupByKey]=DiscreteStatsTable[[#This Row],[GroupByKey]])*DiscreteStatsTable[Minimum]))</f>
        <v>0.82883063937214296</v>
      </c>
      <c r="U834" cm="1">
        <f t="array" ref="U834">MAX(IF((DiscreteStatsTable[GroupByKey]=DiscreteStatsTable[[#This Row],[GroupByKey]]),(DiscreteStatsTable[GroupByKey]=DiscreteStatsTable[[#This Row],[GroupByKey]])*DiscreteStatsTable[Maximum]))</f>
        <v>3.7385284063050199</v>
      </c>
      <c r="V834" cm="1">
        <f t="array" ref="V834">IFERROR(AVERAGE(IF((DiscreteStatsTable[GroupByKey]=DiscreteStatsTable[[#This Row],[GroupByKey]]),(DiscreteStatsTable[GroupByKey]=DiscreteStatsTable[[#This Row],[GroupByKey]])*DiscreteStatsTable[NumberObservations])),0)</f>
        <v>189.42</v>
      </c>
      <c r="W834">
        <f>IF((DiscreteStatsTable[[#This Row],[RepsRequested]]&gt;1),DiscreteStatsTable[[#This Row],[HalfWidth]],DiscreteStatsTable[[#This Row],[BatchMeansHalfWidth]])</f>
        <v>7.2337839818498884E-3</v>
      </c>
      <c r="X834" cm="1">
        <f t="array" ref="X834">COUNT(IF((DiscreteStatsTable[GroupByKey]=DiscreteStatsTable[[#This Row],[GroupByKey]]),(DiscreteStatsTable[GroupByKey]=DiscreteStatsTable[[#This Row],[GroupByKey]])*DiscreteStatsTable[Replication]))</f>
        <v>50</v>
      </c>
      <c r="Y834">
        <f>IF(DiscreteStatsTable[[#This Row],[RepsRequested]]=DiscreteStatsTable[[#This Row],[RepsWithStatObserved]],1,0)</f>
        <v>1</v>
      </c>
    </row>
    <row r="835" spans="1:25" x14ac:dyDescent="0.25">
      <c r="A835" t="s">
        <v>68</v>
      </c>
      <c r="B835" t="s">
        <v>131</v>
      </c>
      <c r="C835">
        <v>34</v>
      </c>
      <c r="D835" t="s">
        <v>91</v>
      </c>
      <c r="E835" t="s">
        <v>89</v>
      </c>
      <c r="F835" t="s">
        <v>90</v>
      </c>
      <c r="G835">
        <v>1.3127309806377501</v>
      </c>
      <c r="H835">
        <v>2E+20</v>
      </c>
      <c r="I835">
        <v>0.85977707818312898</v>
      </c>
      <c r="J835">
        <v>2.8456360091257702</v>
      </c>
      <c r="K835">
        <v>199</v>
      </c>
      <c r="L835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35" cm="1">
        <f t="array" ref="M835">MAX(IF((ProjectInfoTable[ProjectName]=DiscreteStatsTable[[#This Row],[ProjectName]]),(ProjectInfoTable[ProjectName]=DiscreteStatsTable[[#This Row],[ProjectName]])*ProjectInfoTable[NumberOfReplications]))</f>
        <v>50</v>
      </c>
      <c r="N835" cm="1">
        <f t="array" ref="N835">IFERROR(AVERAGE(IF((DiscreteStatsTable[GroupByKey]=DiscreteStatsTable[[#This Row],[GroupByKey]]),(DiscreteStatsTable[GroupByKey]=DiscreteStatsTable[[#This Row],[GroupByKey]])*DiscreteStatsTable[Average])),0)</f>
        <v>1.2960085058838744</v>
      </c>
      <c r="O835" cm="1">
        <f t="array" ref="O835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3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35" cm="1">
        <f t="array" ref="R835">MIN(IF((DiscreteStatsTable[GroupByKey]=DiscreteStatsTable[[#This Row],[GroupByKey]]),(DiscreteStatsTable[GroupByKey]=DiscreteStatsTable[[#This Row],[GroupByKey]])*DiscreteStatsTable[Average]))</f>
        <v>1.2434623099776301</v>
      </c>
      <c r="S835" cm="1">
        <f t="array" ref="S835">MAX(IF((DiscreteStatsTable[GroupByKey]=DiscreteStatsTable[[#This Row],[GroupByKey]]),(DiscreteStatsTable[GroupByKey]=DiscreteStatsTable[[#This Row],[GroupByKey]])*DiscreteStatsTable[Average]))</f>
        <v>1.34511985766981</v>
      </c>
      <c r="T835" cm="1">
        <f t="array" ref="T835">MIN(IF((DiscreteStatsTable[GroupByKey]=DiscreteStatsTable[[#This Row],[GroupByKey]]),(DiscreteStatsTable[GroupByKey]=DiscreteStatsTable[[#This Row],[GroupByKey]])*DiscreteStatsTable[Minimum]))</f>
        <v>0.82883063937214296</v>
      </c>
      <c r="U835" cm="1">
        <f t="array" ref="U835">MAX(IF((DiscreteStatsTable[GroupByKey]=DiscreteStatsTable[[#This Row],[GroupByKey]]),(DiscreteStatsTable[GroupByKey]=DiscreteStatsTable[[#This Row],[GroupByKey]])*DiscreteStatsTable[Maximum]))</f>
        <v>3.7385284063050199</v>
      </c>
      <c r="V835" cm="1">
        <f t="array" ref="V835">IFERROR(AVERAGE(IF((DiscreteStatsTable[GroupByKey]=DiscreteStatsTable[[#This Row],[GroupByKey]]),(DiscreteStatsTable[GroupByKey]=DiscreteStatsTable[[#This Row],[GroupByKey]])*DiscreteStatsTable[NumberObservations])),0)</f>
        <v>189.42</v>
      </c>
      <c r="W835">
        <f>IF((DiscreteStatsTable[[#This Row],[RepsRequested]]&gt;1),DiscreteStatsTable[[#This Row],[HalfWidth]],DiscreteStatsTable[[#This Row],[BatchMeansHalfWidth]])</f>
        <v>7.2337839818498884E-3</v>
      </c>
      <c r="X835" cm="1">
        <f t="array" ref="X835">COUNT(IF((DiscreteStatsTable[GroupByKey]=DiscreteStatsTable[[#This Row],[GroupByKey]]),(DiscreteStatsTable[GroupByKey]=DiscreteStatsTable[[#This Row],[GroupByKey]])*DiscreteStatsTable[Replication]))</f>
        <v>50</v>
      </c>
      <c r="Y835">
        <f>IF(DiscreteStatsTable[[#This Row],[RepsRequested]]=DiscreteStatsTable[[#This Row],[RepsWithStatObserved]],1,0)</f>
        <v>1</v>
      </c>
    </row>
    <row r="836" spans="1:25" x14ac:dyDescent="0.25">
      <c r="A836" t="s">
        <v>68</v>
      </c>
      <c r="B836" t="s">
        <v>131</v>
      </c>
      <c r="C836">
        <v>35</v>
      </c>
      <c r="D836" t="s">
        <v>91</v>
      </c>
      <c r="E836" t="s">
        <v>89</v>
      </c>
      <c r="F836" t="s">
        <v>90</v>
      </c>
      <c r="G836">
        <v>1.2657595217063</v>
      </c>
      <c r="H836">
        <v>2E+20</v>
      </c>
      <c r="I836">
        <v>0.88864051527860999</v>
      </c>
      <c r="J836">
        <v>2.7916517005788801</v>
      </c>
      <c r="K836">
        <v>178</v>
      </c>
      <c r="L836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36" cm="1">
        <f t="array" ref="M836">MAX(IF((ProjectInfoTable[ProjectName]=DiscreteStatsTable[[#This Row],[ProjectName]]),(ProjectInfoTable[ProjectName]=DiscreteStatsTable[[#This Row],[ProjectName]])*ProjectInfoTable[NumberOfReplications]))</f>
        <v>50</v>
      </c>
      <c r="N836" cm="1">
        <f t="array" ref="N836">IFERROR(AVERAGE(IF((DiscreteStatsTable[GroupByKey]=DiscreteStatsTable[[#This Row],[GroupByKey]]),(DiscreteStatsTable[GroupByKey]=DiscreteStatsTable[[#This Row],[GroupByKey]])*DiscreteStatsTable[Average])),0)</f>
        <v>1.2960085058838744</v>
      </c>
      <c r="O836" cm="1">
        <f t="array" ref="O836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36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36" cm="1">
        <f t="array" ref="R836">MIN(IF((DiscreteStatsTable[GroupByKey]=DiscreteStatsTable[[#This Row],[GroupByKey]]),(DiscreteStatsTable[GroupByKey]=DiscreteStatsTable[[#This Row],[GroupByKey]])*DiscreteStatsTable[Average]))</f>
        <v>1.2434623099776301</v>
      </c>
      <c r="S836" cm="1">
        <f t="array" ref="S836">MAX(IF((DiscreteStatsTable[GroupByKey]=DiscreteStatsTable[[#This Row],[GroupByKey]]),(DiscreteStatsTable[GroupByKey]=DiscreteStatsTable[[#This Row],[GroupByKey]])*DiscreteStatsTable[Average]))</f>
        <v>1.34511985766981</v>
      </c>
      <c r="T836" cm="1">
        <f t="array" ref="T836">MIN(IF((DiscreteStatsTable[GroupByKey]=DiscreteStatsTable[[#This Row],[GroupByKey]]),(DiscreteStatsTable[GroupByKey]=DiscreteStatsTable[[#This Row],[GroupByKey]])*DiscreteStatsTable[Minimum]))</f>
        <v>0.82883063937214296</v>
      </c>
      <c r="U836" cm="1">
        <f t="array" ref="U836">MAX(IF((DiscreteStatsTable[GroupByKey]=DiscreteStatsTable[[#This Row],[GroupByKey]]),(DiscreteStatsTable[GroupByKey]=DiscreteStatsTable[[#This Row],[GroupByKey]])*DiscreteStatsTable[Maximum]))</f>
        <v>3.7385284063050199</v>
      </c>
      <c r="V836" cm="1">
        <f t="array" ref="V836">IFERROR(AVERAGE(IF((DiscreteStatsTable[GroupByKey]=DiscreteStatsTable[[#This Row],[GroupByKey]]),(DiscreteStatsTable[GroupByKey]=DiscreteStatsTable[[#This Row],[GroupByKey]])*DiscreteStatsTable[NumberObservations])),0)</f>
        <v>189.42</v>
      </c>
      <c r="W836">
        <f>IF((DiscreteStatsTable[[#This Row],[RepsRequested]]&gt;1),DiscreteStatsTable[[#This Row],[HalfWidth]],DiscreteStatsTable[[#This Row],[BatchMeansHalfWidth]])</f>
        <v>7.2337839818498884E-3</v>
      </c>
      <c r="X836" cm="1">
        <f t="array" ref="X836">COUNT(IF((DiscreteStatsTable[GroupByKey]=DiscreteStatsTable[[#This Row],[GroupByKey]]),(DiscreteStatsTable[GroupByKey]=DiscreteStatsTable[[#This Row],[GroupByKey]])*DiscreteStatsTable[Replication]))</f>
        <v>50</v>
      </c>
      <c r="Y836">
        <f>IF(DiscreteStatsTable[[#This Row],[RepsRequested]]=DiscreteStatsTable[[#This Row],[RepsWithStatObserved]],1,0)</f>
        <v>1</v>
      </c>
    </row>
    <row r="837" spans="1:25" x14ac:dyDescent="0.25">
      <c r="A837" t="s">
        <v>68</v>
      </c>
      <c r="B837" t="s">
        <v>131</v>
      </c>
      <c r="C837">
        <v>36</v>
      </c>
      <c r="D837" t="s">
        <v>91</v>
      </c>
      <c r="E837" t="s">
        <v>89</v>
      </c>
      <c r="F837" t="s">
        <v>90</v>
      </c>
      <c r="G837">
        <v>1.2751993562096</v>
      </c>
      <c r="H837">
        <v>2E+20</v>
      </c>
      <c r="I837">
        <v>0.84213879910987499</v>
      </c>
      <c r="J837">
        <v>2.6898940174848498</v>
      </c>
      <c r="K837">
        <v>194</v>
      </c>
      <c r="L837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37" cm="1">
        <f t="array" ref="M837">MAX(IF((ProjectInfoTable[ProjectName]=DiscreteStatsTable[[#This Row],[ProjectName]]),(ProjectInfoTable[ProjectName]=DiscreteStatsTable[[#This Row],[ProjectName]])*ProjectInfoTable[NumberOfReplications]))</f>
        <v>50</v>
      </c>
      <c r="N837" cm="1">
        <f t="array" ref="N837">IFERROR(AVERAGE(IF((DiscreteStatsTable[GroupByKey]=DiscreteStatsTable[[#This Row],[GroupByKey]]),(DiscreteStatsTable[GroupByKey]=DiscreteStatsTable[[#This Row],[GroupByKey]])*DiscreteStatsTable[Average])),0)</f>
        <v>1.2960085058838744</v>
      </c>
      <c r="O837" cm="1">
        <f t="array" ref="O837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37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37" cm="1">
        <f t="array" ref="R837">MIN(IF((DiscreteStatsTable[GroupByKey]=DiscreteStatsTable[[#This Row],[GroupByKey]]),(DiscreteStatsTable[GroupByKey]=DiscreteStatsTable[[#This Row],[GroupByKey]])*DiscreteStatsTable[Average]))</f>
        <v>1.2434623099776301</v>
      </c>
      <c r="S837" cm="1">
        <f t="array" ref="S837">MAX(IF((DiscreteStatsTable[GroupByKey]=DiscreteStatsTable[[#This Row],[GroupByKey]]),(DiscreteStatsTable[GroupByKey]=DiscreteStatsTable[[#This Row],[GroupByKey]])*DiscreteStatsTable[Average]))</f>
        <v>1.34511985766981</v>
      </c>
      <c r="T837" cm="1">
        <f t="array" ref="T837">MIN(IF((DiscreteStatsTable[GroupByKey]=DiscreteStatsTable[[#This Row],[GroupByKey]]),(DiscreteStatsTable[GroupByKey]=DiscreteStatsTable[[#This Row],[GroupByKey]])*DiscreteStatsTable[Minimum]))</f>
        <v>0.82883063937214296</v>
      </c>
      <c r="U837" cm="1">
        <f t="array" ref="U837">MAX(IF((DiscreteStatsTable[GroupByKey]=DiscreteStatsTable[[#This Row],[GroupByKey]]),(DiscreteStatsTable[GroupByKey]=DiscreteStatsTable[[#This Row],[GroupByKey]])*DiscreteStatsTable[Maximum]))</f>
        <v>3.7385284063050199</v>
      </c>
      <c r="V837" cm="1">
        <f t="array" ref="V837">IFERROR(AVERAGE(IF((DiscreteStatsTable[GroupByKey]=DiscreteStatsTable[[#This Row],[GroupByKey]]),(DiscreteStatsTable[GroupByKey]=DiscreteStatsTable[[#This Row],[GroupByKey]])*DiscreteStatsTable[NumberObservations])),0)</f>
        <v>189.42</v>
      </c>
      <c r="W837">
        <f>IF((DiscreteStatsTable[[#This Row],[RepsRequested]]&gt;1),DiscreteStatsTable[[#This Row],[HalfWidth]],DiscreteStatsTable[[#This Row],[BatchMeansHalfWidth]])</f>
        <v>7.2337839818498884E-3</v>
      </c>
      <c r="X837" cm="1">
        <f t="array" ref="X837">COUNT(IF((DiscreteStatsTable[GroupByKey]=DiscreteStatsTable[[#This Row],[GroupByKey]]),(DiscreteStatsTable[GroupByKey]=DiscreteStatsTable[[#This Row],[GroupByKey]])*DiscreteStatsTable[Replication]))</f>
        <v>50</v>
      </c>
      <c r="Y837">
        <f>IF(DiscreteStatsTable[[#This Row],[RepsRequested]]=DiscreteStatsTable[[#This Row],[RepsWithStatObserved]],1,0)</f>
        <v>1</v>
      </c>
    </row>
    <row r="838" spans="1:25" x14ac:dyDescent="0.25">
      <c r="A838" t="s">
        <v>68</v>
      </c>
      <c r="B838" t="s">
        <v>131</v>
      </c>
      <c r="C838">
        <v>37</v>
      </c>
      <c r="D838" t="s">
        <v>91</v>
      </c>
      <c r="E838" t="s">
        <v>89</v>
      </c>
      <c r="F838" t="s">
        <v>90</v>
      </c>
      <c r="G838">
        <v>1.2903704626606001</v>
      </c>
      <c r="H838">
        <v>2E+20</v>
      </c>
      <c r="I838">
        <v>0.82883063937214296</v>
      </c>
      <c r="J838">
        <v>2.9254801875991299</v>
      </c>
      <c r="K838">
        <v>213</v>
      </c>
      <c r="L838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38" cm="1">
        <f t="array" ref="M838">MAX(IF((ProjectInfoTable[ProjectName]=DiscreteStatsTable[[#This Row],[ProjectName]]),(ProjectInfoTable[ProjectName]=DiscreteStatsTable[[#This Row],[ProjectName]])*ProjectInfoTable[NumberOfReplications]))</f>
        <v>50</v>
      </c>
      <c r="N838" cm="1">
        <f t="array" ref="N838">IFERROR(AVERAGE(IF((DiscreteStatsTable[GroupByKey]=DiscreteStatsTable[[#This Row],[GroupByKey]]),(DiscreteStatsTable[GroupByKey]=DiscreteStatsTable[[#This Row],[GroupByKey]])*DiscreteStatsTable[Average])),0)</f>
        <v>1.2960085058838744</v>
      </c>
      <c r="O838" cm="1">
        <f t="array" ref="O838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38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38" cm="1">
        <f t="array" ref="R838">MIN(IF((DiscreteStatsTable[GroupByKey]=DiscreteStatsTable[[#This Row],[GroupByKey]]),(DiscreteStatsTable[GroupByKey]=DiscreteStatsTable[[#This Row],[GroupByKey]])*DiscreteStatsTable[Average]))</f>
        <v>1.2434623099776301</v>
      </c>
      <c r="S838" cm="1">
        <f t="array" ref="S838">MAX(IF((DiscreteStatsTable[GroupByKey]=DiscreteStatsTable[[#This Row],[GroupByKey]]),(DiscreteStatsTable[GroupByKey]=DiscreteStatsTable[[#This Row],[GroupByKey]])*DiscreteStatsTable[Average]))</f>
        <v>1.34511985766981</v>
      </c>
      <c r="T838" cm="1">
        <f t="array" ref="T838">MIN(IF((DiscreteStatsTable[GroupByKey]=DiscreteStatsTable[[#This Row],[GroupByKey]]),(DiscreteStatsTable[GroupByKey]=DiscreteStatsTable[[#This Row],[GroupByKey]])*DiscreteStatsTable[Minimum]))</f>
        <v>0.82883063937214296</v>
      </c>
      <c r="U838" cm="1">
        <f t="array" ref="U838">MAX(IF((DiscreteStatsTable[GroupByKey]=DiscreteStatsTable[[#This Row],[GroupByKey]]),(DiscreteStatsTable[GroupByKey]=DiscreteStatsTable[[#This Row],[GroupByKey]])*DiscreteStatsTable[Maximum]))</f>
        <v>3.7385284063050199</v>
      </c>
      <c r="V838" cm="1">
        <f t="array" ref="V838">IFERROR(AVERAGE(IF((DiscreteStatsTable[GroupByKey]=DiscreteStatsTable[[#This Row],[GroupByKey]]),(DiscreteStatsTable[GroupByKey]=DiscreteStatsTable[[#This Row],[GroupByKey]])*DiscreteStatsTable[NumberObservations])),0)</f>
        <v>189.42</v>
      </c>
      <c r="W838">
        <f>IF((DiscreteStatsTable[[#This Row],[RepsRequested]]&gt;1),DiscreteStatsTable[[#This Row],[HalfWidth]],DiscreteStatsTable[[#This Row],[BatchMeansHalfWidth]])</f>
        <v>7.2337839818498884E-3</v>
      </c>
      <c r="X838" cm="1">
        <f t="array" ref="X838">COUNT(IF((DiscreteStatsTable[GroupByKey]=DiscreteStatsTable[[#This Row],[GroupByKey]]),(DiscreteStatsTable[GroupByKey]=DiscreteStatsTable[[#This Row],[GroupByKey]])*DiscreteStatsTable[Replication]))</f>
        <v>50</v>
      </c>
      <c r="Y838">
        <f>IF(DiscreteStatsTable[[#This Row],[RepsRequested]]=DiscreteStatsTable[[#This Row],[RepsWithStatObserved]],1,0)</f>
        <v>1</v>
      </c>
    </row>
    <row r="839" spans="1:25" x14ac:dyDescent="0.25">
      <c r="A839" t="s">
        <v>68</v>
      </c>
      <c r="B839" t="s">
        <v>131</v>
      </c>
      <c r="C839">
        <v>38</v>
      </c>
      <c r="D839" t="s">
        <v>91</v>
      </c>
      <c r="E839" t="s">
        <v>89</v>
      </c>
      <c r="F839" t="s">
        <v>90</v>
      </c>
      <c r="G839">
        <v>1.2892687243012499</v>
      </c>
      <c r="H839">
        <v>2E+20</v>
      </c>
      <c r="I839">
        <v>0.880699678380097</v>
      </c>
      <c r="J839">
        <v>2.3378083855913601</v>
      </c>
      <c r="K839">
        <v>185</v>
      </c>
      <c r="L839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39" cm="1">
        <f t="array" ref="M839">MAX(IF((ProjectInfoTable[ProjectName]=DiscreteStatsTable[[#This Row],[ProjectName]]),(ProjectInfoTable[ProjectName]=DiscreteStatsTable[[#This Row],[ProjectName]])*ProjectInfoTable[NumberOfReplications]))</f>
        <v>50</v>
      </c>
      <c r="N839" cm="1">
        <f t="array" ref="N839">IFERROR(AVERAGE(IF((DiscreteStatsTable[GroupByKey]=DiscreteStatsTable[[#This Row],[GroupByKey]]),(DiscreteStatsTable[GroupByKey]=DiscreteStatsTable[[#This Row],[GroupByKey]])*DiscreteStatsTable[Average])),0)</f>
        <v>1.2960085058838744</v>
      </c>
      <c r="O839" cm="1">
        <f t="array" ref="O839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39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39" cm="1">
        <f t="array" ref="R839">MIN(IF((DiscreteStatsTable[GroupByKey]=DiscreteStatsTable[[#This Row],[GroupByKey]]),(DiscreteStatsTable[GroupByKey]=DiscreteStatsTable[[#This Row],[GroupByKey]])*DiscreteStatsTable[Average]))</f>
        <v>1.2434623099776301</v>
      </c>
      <c r="S839" cm="1">
        <f t="array" ref="S839">MAX(IF((DiscreteStatsTable[GroupByKey]=DiscreteStatsTable[[#This Row],[GroupByKey]]),(DiscreteStatsTable[GroupByKey]=DiscreteStatsTable[[#This Row],[GroupByKey]])*DiscreteStatsTable[Average]))</f>
        <v>1.34511985766981</v>
      </c>
      <c r="T839" cm="1">
        <f t="array" ref="T839">MIN(IF((DiscreteStatsTable[GroupByKey]=DiscreteStatsTable[[#This Row],[GroupByKey]]),(DiscreteStatsTable[GroupByKey]=DiscreteStatsTable[[#This Row],[GroupByKey]])*DiscreteStatsTable[Minimum]))</f>
        <v>0.82883063937214296</v>
      </c>
      <c r="U839" cm="1">
        <f t="array" ref="U839">MAX(IF((DiscreteStatsTable[GroupByKey]=DiscreteStatsTable[[#This Row],[GroupByKey]]),(DiscreteStatsTable[GroupByKey]=DiscreteStatsTable[[#This Row],[GroupByKey]])*DiscreteStatsTable[Maximum]))</f>
        <v>3.7385284063050199</v>
      </c>
      <c r="V839" cm="1">
        <f t="array" ref="V839">IFERROR(AVERAGE(IF((DiscreteStatsTable[GroupByKey]=DiscreteStatsTable[[#This Row],[GroupByKey]]),(DiscreteStatsTable[GroupByKey]=DiscreteStatsTable[[#This Row],[GroupByKey]])*DiscreteStatsTable[NumberObservations])),0)</f>
        <v>189.42</v>
      </c>
      <c r="W839">
        <f>IF((DiscreteStatsTable[[#This Row],[RepsRequested]]&gt;1),DiscreteStatsTable[[#This Row],[HalfWidth]],DiscreteStatsTable[[#This Row],[BatchMeansHalfWidth]])</f>
        <v>7.2337839818498884E-3</v>
      </c>
      <c r="X839" cm="1">
        <f t="array" ref="X839">COUNT(IF((DiscreteStatsTable[GroupByKey]=DiscreteStatsTable[[#This Row],[GroupByKey]]),(DiscreteStatsTable[GroupByKey]=DiscreteStatsTable[[#This Row],[GroupByKey]])*DiscreteStatsTable[Replication]))</f>
        <v>50</v>
      </c>
      <c r="Y839">
        <f>IF(DiscreteStatsTable[[#This Row],[RepsRequested]]=DiscreteStatsTable[[#This Row],[RepsWithStatObserved]],1,0)</f>
        <v>1</v>
      </c>
    </row>
    <row r="840" spans="1:25" x14ac:dyDescent="0.25">
      <c r="A840" t="s">
        <v>68</v>
      </c>
      <c r="B840" t="s">
        <v>131</v>
      </c>
      <c r="C840">
        <v>39</v>
      </c>
      <c r="D840" t="s">
        <v>91</v>
      </c>
      <c r="E840" t="s">
        <v>89</v>
      </c>
      <c r="F840" t="s">
        <v>90</v>
      </c>
      <c r="G840">
        <v>1.2606145746451201</v>
      </c>
      <c r="H840">
        <v>2E+20</v>
      </c>
      <c r="I840">
        <v>0.87237581808568598</v>
      </c>
      <c r="J840">
        <v>2.12997346833856</v>
      </c>
      <c r="K840">
        <v>180</v>
      </c>
      <c r="L840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40" cm="1">
        <f t="array" ref="M840">MAX(IF((ProjectInfoTable[ProjectName]=DiscreteStatsTable[[#This Row],[ProjectName]]),(ProjectInfoTable[ProjectName]=DiscreteStatsTable[[#This Row],[ProjectName]])*ProjectInfoTable[NumberOfReplications]))</f>
        <v>50</v>
      </c>
      <c r="N840" cm="1">
        <f t="array" ref="N840">IFERROR(AVERAGE(IF((DiscreteStatsTable[GroupByKey]=DiscreteStatsTable[[#This Row],[GroupByKey]]),(DiscreteStatsTable[GroupByKey]=DiscreteStatsTable[[#This Row],[GroupByKey]])*DiscreteStatsTable[Average])),0)</f>
        <v>1.2960085058838744</v>
      </c>
      <c r="O840" cm="1">
        <f t="array" ref="O840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40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40" cm="1">
        <f t="array" ref="R840">MIN(IF((DiscreteStatsTable[GroupByKey]=DiscreteStatsTable[[#This Row],[GroupByKey]]),(DiscreteStatsTable[GroupByKey]=DiscreteStatsTable[[#This Row],[GroupByKey]])*DiscreteStatsTable[Average]))</f>
        <v>1.2434623099776301</v>
      </c>
      <c r="S840" cm="1">
        <f t="array" ref="S840">MAX(IF((DiscreteStatsTable[GroupByKey]=DiscreteStatsTable[[#This Row],[GroupByKey]]),(DiscreteStatsTable[GroupByKey]=DiscreteStatsTable[[#This Row],[GroupByKey]])*DiscreteStatsTable[Average]))</f>
        <v>1.34511985766981</v>
      </c>
      <c r="T840" cm="1">
        <f t="array" ref="T840">MIN(IF((DiscreteStatsTable[GroupByKey]=DiscreteStatsTable[[#This Row],[GroupByKey]]),(DiscreteStatsTable[GroupByKey]=DiscreteStatsTable[[#This Row],[GroupByKey]])*DiscreteStatsTable[Minimum]))</f>
        <v>0.82883063937214296</v>
      </c>
      <c r="U840" cm="1">
        <f t="array" ref="U840">MAX(IF((DiscreteStatsTable[GroupByKey]=DiscreteStatsTable[[#This Row],[GroupByKey]]),(DiscreteStatsTable[GroupByKey]=DiscreteStatsTable[[#This Row],[GroupByKey]])*DiscreteStatsTable[Maximum]))</f>
        <v>3.7385284063050199</v>
      </c>
      <c r="V840" cm="1">
        <f t="array" ref="V840">IFERROR(AVERAGE(IF((DiscreteStatsTable[GroupByKey]=DiscreteStatsTable[[#This Row],[GroupByKey]]),(DiscreteStatsTable[GroupByKey]=DiscreteStatsTable[[#This Row],[GroupByKey]])*DiscreteStatsTable[NumberObservations])),0)</f>
        <v>189.42</v>
      </c>
      <c r="W840">
        <f>IF((DiscreteStatsTable[[#This Row],[RepsRequested]]&gt;1),DiscreteStatsTable[[#This Row],[HalfWidth]],DiscreteStatsTable[[#This Row],[BatchMeansHalfWidth]])</f>
        <v>7.2337839818498884E-3</v>
      </c>
      <c r="X840" cm="1">
        <f t="array" ref="X840">COUNT(IF((DiscreteStatsTable[GroupByKey]=DiscreteStatsTable[[#This Row],[GroupByKey]]),(DiscreteStatsTable[GroupByKey]=DiscreteStatsTable[[#This Row],[GroupByKey]])*DiscreteStatsTable[Replication]))</f>
        <v>50</v>
      </c>
      <c r="Y840">
        <f>IF(DiscreteStatsTable[[#This Row],[RepsRequested]]=DiscreteStatsTable[[#This Row],[RepsWithStatObserved]],1,0)</f>
        <v>1</v>
      </c>
    </row>
    <row r="841" spans="1:25" x14ac:dyDescent="0.25">
      <c r="A841" t="s">
        <v>68</v>
      </c>
      <c r="B841" t="s">
        <v>131</v>
      </c>
      <c r="C841">
        <v>40</v>
      </c>
      <c r="D841" t="s">
        <v>91</v>
      </c>
      <c r="E841" t="s">
        <v>89</v>
      </c>
      <c r="F841" t="s">
        <v>90</v>
      </c>
      <c r="G841">
        <v>1.3031754333124099</v>
      </c>
      <c r="H841">
        <v>2E+20</v>
      </c>
      <c r="I841">
        <v>0.86630155695743805</v>
      </c>
      <c r="J841">
        <v>2.8418889843296098</v>
      </c>
      <c r="K841">
        <v>183</v>
      </c>
      <c r="L841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41" cm="1">
        <f t="array" ref="M841">MAX(IF((ProjectInfoTable[ProjectName]=DiscreteStatsTable[[#This Row],[ProjectName]]),(ProjectInfoTable[ProjectName]=DiscreteStatsTable[[#This Row],[ProjectName]])*ProjectInfoTable[NumberOfReplications]))</f>
        <v>50</v>
      </c>
      <c r="N841" cm="1">
        <f t="array" ref="N841">IFERROR(AVERAGE(IF((DiscreteStatsTable[GroupByKey]=DiscreteStatsTable[[#This Row],[GroupByKey]]),(DiscreteStatsTable[GroupByKey]=DiscreteStatsTable[[#This Row],[GroupByKey]])*DiscreteStatsTable[Average])),0)</f>
        <v>1.2960085058838744</v>
      </c>
      <c r="O841" cm="1">
        <f t="array" ref="O841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41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41" cm="1">
        <f t="array" ref="R841">MIN(IF((DiscreteStatsTable[GroupByKey]=DiscreteStatsTable[[#This Row],[GroupByKey]]),(DiscreteStatsTable[GroupByKey]=DiscreteStatsTable[[#This Row],[GroupByKey]])*DiscreteStatsTable[Average]))</f>
        <v>1.2434623099776301</v>
      </c>
      <c r="S841" cm="1">
        <f t="array" ref="S841">MAX(IF((DiscreteStatsTable[GroupByKey]=DiscreteStatsTable[[#This Row],[GroupByKey]]),(DiscreteStatsTable[GroupByKey]=DiscreteStatsTable[[#This Row],[GroupByKey]])*DiscreteStatsTable[Average]))</f>
        <v>1.34511985766981</v>
      </c>
      <c r="T841" cm="1">
        <f t="array" ref="T841">MIN(IF((DiscreteStatsTable[GroupByKey]=DiscreteStatsTable[[#This Row],[GroupByKey]]),(DiscreteStatsTable[GroupByKey]=DiscreteStatsTable[[#This Row],[GroupByKey]])*DiscreteStatsTable[Minimum]))</f>
        <v>0.82883063937214296</v>
      </c>
      <c r="U841" cm="1">
        <f t="array" ref="U841">MAX(IF((DiscreteStatsTable[GroupByKey]=DiscreteStatsTable[[#This Row],[GroupByKey]]),(DiscreteStatsTable[GroupByKey]=DiscreteStatsTable[[#This Row],[GroupByKey]])*DiscreteStatsTable[Maximum]))</f>
        <v>3.7385284063050199</v>
      </c>
      <c r="V841" cm="1">
        <f t="array" ref="V841">IFERROR(AVERAGE(IF((DiscreteStatsTable[GroupByKey]=DiscreteStatsTable[[#This Row],[GroupByKey]]),(DiscreteStatsTable[GroupByKey]=DiscreteStatsTable[[#This Row],[GroupByKey]])*DiscreteStatsTable[NumberObservations])),0)</f>
        <v>189.42</v>
      </c>
      <c r="W841">
        <f>IF((DiscreteStatsTable[[#This Row],[RepsRequested]]&gt;1),DiscreteStatsTable[[#This Row],[HalfWidth]],DiscreteStatsTable[[#This Row],[BatchMeansHalfWidth]])</f>
        <v>7.2337839818498884E-3</v>
      </c>
      <c r="X841" cm="1">
        <f t="array" ref="X841">COUNT(IF((DiscreteStatsTable[GroupByKey]=DiscreteStatsTable[[#This Row],[GroupByKey]]),(DiscreteStatsTable[GroupByKey]=DiscreteStatsTable[[#This Row],[GroupByKey]])*DiscreteStatsTable[Replication]))</f>
        <v>50</v>
      </c>
      <c r="Y841">
        <f>IF(DiscreteStatsTable[[#This Row],[RepsRequested]]=DiscreteStatsTable[[#This Row],[RepsWithStatObserved]],1,0)</f>
        <v>1</v>
      </c>
    </row>
    <row r="842" spans="1:25" x14ac:dyDescent="0.25">
      <c r="A842" t="s">
        <v>68</v>
      </c>
      <c r="B842" t="s">
        <v>131</v>
      </c>
      <c r="C842">
        <v>41</v>
      </c>
      <c r="D842" t="s">
        <v>91</v>
      </c>
      <c r="E842" t="s">
        <v>89</v>
      </c>
      <c r="F842" t="s">
        <v>90</v>
      </c>
      <c r="G842">
        <v>1.2572129776527901</v>
      </c>
      <c r="H842">
        <v>2E+20</v>
      </c>
      <c r="I842">
        <v>0.90973732508007299</v>
      </c>
      <c r="J842">
        <v>2.3773040950045501</v>
      </c>
      <c r="K842">
        <v>189</v>
      </c>
      <c r="L842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42" cm="1">
        <f t="array" ref="M842">MAX(IF((ProjectInfoTable[ProjectName]=DiscreteStatsTable[[#This Row],[ProjectName]]),(ProjectInfoTable[ProjectName]=DiscreteStatsTable[[#This Row],[ProjectName]])*ProjectInfoTable[NumberOfReplications]))</f>
        <v>50</v>
      </c>
      <c r="N842" cm="1">
        <f t="array" ref="N842">IFERROR(AVERAGE(IF((DiscreteStatsTable[GroupByKey]=DiscreteStatsTable[[#This Row],[GroupByKey]]),(DiscreteStatsTable[GroupByKey]=DiscreteStatsTable[[#This Row],[GroupByKey]])*DiscreteStatsTable[Average])),0)</f>
        <v>1.2960085058838744</v>
      </c>
      <c r="O842" cm="1">
        <f t="array" ref="O842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42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42" cm="1">
        <f t="array" ref="R842">MIN(IF((DiscreteStatsTable[GroupByKey]=DiscreteStatsTable[[#This Row],[GroupByKey]]),(DiscreteStatsTable[GroupByKey]=DiscreteStatsTable[[#This Row],[GroupByKey]])*DiscreteStatsTable[Average]))</f>
        <v>1.2434623099776301</v>
      </c>
      <c r="S842" cm="1">
        <f t="array" ref="S842">MAX(IF((DiscreteStatsTable[GroupByKey]=DiscreteStatsTable[[#This Row],[GroupByKey]]),(DiscreteStatsTable[GroupByKey]=DiscreteStatsTable[[#This Row],[GroupByKey]])*DiscreteStatsTable[Average]))</f>
        <v>1.34511985766981</v>
      </c>
      <c r="T842" cm="1">
        <f t="array" ref="T842">MIN(IF((DiscreteStatsTable[GroupByKey]=DiscreteStatsTable[[#This Row],[GroupByKey]]),(DiscreteStatsTable[GroupByKey]=DiscreteStatsTable[[#This Row],[GroupByKey]])*DiscreteStatsTable[Minimum]))</f>
        <v>0.82883063937214296</v>
      </c>
      <c r="U842" cm="1">
        <f t="array" ref="U842">MAX(IF((DiscreteStatsTable[GroupByKey]=DiscreteStatsTable[[#This Row],[GroupByKey]]),(DiscreteStatsTable[GroupByKey]=DiscreteStatsTable[[#This Row],[GroupByKey]])*DiscreteStatsTable[Maximum]))</f>
        <v>3.7385284063050199</v>
      </c>
      <c r="V842" cm="1">
        <f t="array" ref="V842">IFERROR(AVERAGE(IF((DiscreteStatsTable[GroupByKey]=DiscreteStatsTable[[#This Row],[GroupByKey]]),(DiscreteStatsTable[GroupByKey]=DiscreteStatsTable[[#This Row],[GroupByKey]])*DiscreteStatsTable[NumberObservations])),0)</f>
        <v>189.42</v>
      </c>
      <c r="W842">
        <f>IF((DiscreteStatsTable[[#This Row],[RepsRequested]]&gt;1),DiscreteStatsTable[[#This Row],[HalfWidth]],DiscreteStatsTable[[#This Row],[BatchMeansHalfWidth]])</f>
        <v>7.2337839818498884E-3</v>
      </c>
      <c r="X842" cm="1">
        <f t="array" ref="X842">COUNT(IF((DiscreteStatsTable[GroupByKey]=DiscreteStatsTable[[#This Row],[GroupByKey]]),(DiscreteStatsTable[GroupByKey]=DiscreteStatsTable[[#This Row],[GroupByKey]])*DiscreteStatsTable[Replication]))</f>
        <v>50</v>
      </c>
      <c r="Y842">
        <f>IF(DiscreteStatsTable[[#This Row],[RepsRequested]]=DiscreteStatsTable[[#This Row],[RepsWithStatObserved]],1,0)</f>
        <v>1</v>
      </c>
    </row>
    <row r="843" spans="1:25" x14ac:dyDescent="0.25">
      <c r="A843" t="s">
        <v>68</v>
      </c>
      <c r="B843" t="s">
        <v>131</v>
      </c>
      <c r="C843">
        <v>42</v>
      </c>
      <c r="D843" t="s">
        <v>91</v>
      </c>
      <c r="E843" t="s">
        <v>89</v>
      </c>
      <c r="F843" t="s">
        <v>90</v>
      </c>
      <c r="G843">
        <v>1.2652579203494201</v>
      </c>
      <c r="H843">
        <v>2E+20</v>
      </c>
      <c r="I843">
        <v>0.86048301020309703</v>
      </c>
      <c r="J843">
        <v>2.8969413965459698</v>
      </c>
      <c r="K843">
        <v>177</v>
      </c>
      <c r="L843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43" cm="1">
        <f t="array" ref="M843">MAX(IF((ProjectInfoTable[ProjectName]=DiscreteStatsTable[[#This Row],[ProjectName]]),(ProjectInfoTable[ProjectName]=DiscreteStatsTable[[#This Row],[ProjectName]])*ProjectInfoTable[NumberOfReplications]))</f>
        <v>50</v>
      </c>
      <c r="N843" cm="1">
        <f t="array" ref="N843">IFERROR(AVERAGE(IF((DiscreteStatsTable[GroupByKey]=DiscreteStatsTable[[#This Row],[GroupByKey]]),(DiscreteStatsTable[GroupByKey]=DiscreteStatsTable[[#This Row],[GroupByKey]])*DiscreteStatsTable[Average])),0)</f>
        <v>1.2960085058838744</v>
      </c>
      <c r="O843" cm="1">
        <f t="array" ref="O843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43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43" cm="1">
        <f t="array" ref="R843">MIN(IF((DiscreteStatsTable[GroupByKey]=DiscreteStatsTable[[#This Row],[GroupByKey]]),(DiscreteStatsTable[GroupByKey]=DiscreteStatsTable[[#This Row],[GroupByKey]])*DiscreteStatsTable[Average]))</f>
        <v>1.2434623099776301</v>
      </c>
      <c r="S843" cm="1">
        <f t="array" ref="S843">MAX(IF((DiscreteStatsTable[GroupByKey]=DiscreteStatsTable[[#This Row],[GroupByKey]]),(DiscreteStatsTable[GroupByKey]=DiscreteStatsTable[[#This Row],[GroupByKey]])*DiscreteStatsTable[Average]))</f>
        <v>1.34511985766981</v>
      </c>
      <c r="T843" cm="1">
        <f t="array" ref="T843">MIN(IF((DiscreteStatsTable[GroupByKey]=DiscreteStatsTable[[#This Row],[GroupByKey]]),(DiscreteStatsTable[GroupByKey]=DiscreteStatsTable[[#This Row],[GroupByKey]])*DiscreteStatsTable[Minimum]))</f>
        <v>0.82883063937214296</v>
      </c>
      <c r="U843" cm="1">
        <f t="array" ref="U843">MAX(IF((DiscreteStatsTable[GroupByKey]=DiscreteStatsTable[[#This Row],[GroupByKey]]),(DiscreteStatsTable[GroupByKey]=DiscreteStatsTable[[#This Row],[GroupByKey]])*DiscreteStatsTable[Maximum]))</f>
        <v>3.7385284063050199</v>
      </c>
      <c r="V843" cm="1">
        <f t="array" ref="V843">IFERROR(AVERAGE(IF((DiscreteStatsTable[GroupByKey]=DiscreteStatsTable[[#This Row],[GroupByKey]]),(DiscreteStatsTable[GroupByKey]=DiscreteStatsTable[[#This Row],[GroupByKey]])*DiscreteStatsTable[NumberObservations])),0)</f>
        <v>189.42</v>
      </c>
      <c r="W843">
        <f>IF((DiscreteStatsTable[[#This Row],[RepsRequested]]&gt;1),DiscreteStatsTable[[#This Row],[HalfWidth]],DiscreteStatsTable[[#This Row],[BatchMeansHalfWidth]])</f>
        <v>7.2337839818498884E-3</v>
      </c>
      <c r="X843" cm="1">
        <f t="array" ref="X843">COUNT(IF((DiscreteStatsTable[GroupByKey]=DiscreteStatsTable[[#This Row],[GroupByKey]]),(DiscreteStatsTable[GroupByKey]=DiscreteStatsTable[[#This Row],[GroupByKey]])*DiscreteStatsTable[Replication]))</f>
        <v>50</v>
      </c>
      <c r="Y843">
        <f>IF(DiscreteStatsTable[[#This Row],[RepsRequested]]=DiscreteStatsTable[[#This Row],[RepsWithStatObserved]],1,0)</f>
        <v>1</v>
      </c>
    </row>
    <row r="844" spans="1:25" x14ac:dyDescent="0.25">
      <c r="A844" t="s">
        <v>68</v>
      </c>
      <c r="B844" t="s">
        <v>131</v>
      </c>
      <c r="C844">
        <v>43</v>
      </c>
      <c r="D844" t="s">
        <v>91</v>
      </c>
      <c r="E844" t="s">
        <v>89</v>
      </c>
      <c r="F844" t="s">
        <v>90</v>
      </c>
      <c r="G844">
        <v>1.2576091481953899</v>
      </c>
      <c r="H844">
        <v>2E+20</v>
      </c>
      <c r="I844">
        <v>0.91693321779757797</v>
      </c>
      <c r="J844">
        <v>2.0833883992029301</v>
      </c>
      <c r="K844">
        <v>186</v>
      </c>
      <c r="L844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44" cm="1">
        <f t="array" ref="M844">MAX(IF((ProjectInfoTable[ProjectName]=DiscreteStatsTable[[#This Row],[ProjectName]]),(ProjectInfoTable[ProjectName]=DiscreteStatsTable[[#This Row],[ProjectName]])*ProjectInfoTable[NumberOfReplications]))</f>
        <v>50</v>
      </c>
      <c r="N844" cm="1">
        <f t="array" ref="N844">IFERROR(AVERAGE(IF((DiscreteStatsTable[GroupByKey]=DiscreteStatsTable[[#This Row],[GroupByKey]]),(DiscreteStatsTable[GroupByKey]=DiscreteStatsTable[[#This Row],[GroupByKey]])*DiscreteStatsTable[Average])),0)</f>
        <v>1.2960085058838744</v>
      </c>
      <c r="O844" cm="1">
        <f t="array" ref="O844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44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44" cm="1">
        <f t="array" ref="R844">MIN(IF((DiscreteStatsTable[GroupByKey]=DiscreteStatsTable[[#This Row],[GroupByKey]]),(DiscreteStatsTable[GroupByKey]=DiscreteStatsTable[[#This Row],[GroupByKey]])*DiscreteStatsTable[Average]))</f>
        <v>1.2434623099776301</v>
      </c>
      <c r="S844" cm="1">
        <f t="array" ref="S844">MAX(IF((DiscreteStatsTable[GroupByKey]=DiscreteStatsTable[[#This Row],[GroupByKey]]),(DiscreteStatsTable[GroupByKey]=DiscreteStatsTable[[#This Row],[GroupByKey]])*DiscreteStatsTable[Average]))</f>
        <v>1.34511985766981</v>
      </c>
      <c r="T844" cm="1">
        <f t="array" ref="T844">MIN(IF((DiscreteStatsTable[GroupByKey]=DiscreteStatsTable[[#This Row],[GroupByKey]]),(DiscreteStatsTable[GroupByKey]=DiscreteStatsTable[[#This Row],[GroupByKey]])*DiscreteStatsTable[Minimum]))</f>
        <v>0.82883063937214296</v>
      </c>
      <c r="U844" cm="1">
        <f t="array" ref="U844">MAX(IF((DiscreteStatsTable[GroupByKey]=DiscreteStatsTable[[#This Row],[GroupByKey]]),(DiscreteStatsTable[GroupByKey]=DiscreteStatsTable[[#This Row],[GroupByKey]])*DiscreteStatsTable[Maximum]))</f>
        <v>3.7385284063050199</v>
      </c>
      <c r="V844" cm="1">
        <f t="array" ref="V844">IFERROR(AVERAGE(IF((DiscreteStatsTable[GroupByKey]=DiscreteStatsTable[[#This Row],[GroupByKey]]),(DiscreteStatsTable[GroupByKey]=DiscreteStatsTable[[#This Row],[GroupByKey]])*DiscreteStatsTable[NumberObservations])),0)</f>
        <v>189.42</v>
      </c>
      <c r="W844">
        <f>IF((DiscreteStatsTable[[#This Row],[RepsRequested]]&gt;1),DiscreteStatsTable[[#This Row],[HalfWidth]],DiscreteStatsTable[[#This Row],[BatchMeansHalfWidth]])</f>
        <v>7.2337839818498884E-3</v>
      </c>
      <c r="X844" cm="1">
        <f t="array" ref="X844">COUNT(IF((DiscreteStatsTable[GroupByKey]=DiscreteStatsTable[[#This Row],[GroupByKey]]),(DiscreteStatsTable[GroupByKey]=DiscreteStatsTable[[#This Row],[GroupByKey]])*DiscreteStatsTable[Replication]))</f>
        <v>50</v>
      </c>
      <c r="Y844">
        <f>IF(DiscreteStatsTable[[#This Row],[RepsRequested]]=DiscreteStatsTable[[#This Row],[RepsWithStatObserved]],1,0)</f>
        <v>1</v>
      </c>
    </row>
    <row r="845" spans="1:25" x14ac:dyDescent="0.25">
      <c r="A845" t="s">
        <v>68</v>
      </c>
      <c r="B845" t="s">
        <v>131</v>
      </c>
      <c r="C845">
        <v>44</v>
      </c>
      <c r="D845" t="s">
        <v>91</v>
      </c>
      <c r="E845" t="s">
        <v>89</v>
      </c>
      <c r="F845" t="s">
        <v>90</v>
      </c>
      <c r="G845">
        <v>1.3019319183937399</v>
      </c>
      <c r="H845">
        <v>2E+20</v>
      </c>
      <c r="I845">
        <v>0.89983113169307705</v>
      </c>
      <c r="J845">
        <v>2.54315122805765</v>
      </c>
      <c r="K845">
        <v>169</v>
      </c>
      <c r="L845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45" cm="1">
        <f t="array" ref="M845">MAX(IF((ProjectInfoTable[ProjectName]=DiscreteStatsTable[[#This Row],[ProjectName]]),(ProjectInfoTable[ProjectName]=DiscreteStatsTable[[#This Row],[ProjectName]])*ProjectInfoTable[NumberOfReplications]))</f>
        <v>50</v>
      </c>
      <c r="N845" cm="1">
        <f t="array" ref="N845">IFERROR(AVERAGE(IF((DiscreteStatsTable[GroupByKey]=DiscreteStatsTable[[#This Row],[GroupByKey]]),(DiscreteStatsTable[GroupByKey]=DiscreteStatsTable[[#This Row],[GroupByKey]])*DiscreteStatsTable[Average])),0)</f>
        <v>1.2960085058838744</v>
      </c>
      <c r="O845" cm="1">
        <f t="array" ref="O845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4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45" cm="1">
        <f t="array" ref="R845">MIN(IF((DiscreteStatsTable[GroupByKey]=DiscreteStatsTable[[#This Row],[GroupByKey]]),(DiscreteStatsTable[GroupByKey]=DiscreteStatsTable[[#This Row],[GroupByKey]])*DiscreteStatsTable[Average]))</f>
        <v>1.2434623099776301</v>
      </c>
      <c r="S845" cm="1">
        <f t="array" ref="S845">MAX(IF((DiscreteStatsTable[GroupByKey]=DiscreteStatsTable[[#This Row],[GroupByKey]]),(DiscreteStatsTable[GroupByKey]=DiscreteStatsTable[[#This Row],[GroupByKey]])*DiscreteStatsTable[Average]))</f>
        <v>1.34511985766981</v>
      </c>
      <c r="T845" cm="1">
        <f t="array" ref="T845">MIN(IF((DiscreteStatsTable[GroupByKey]=DiscreteStatsTable[[#This Row],[GroupByKey]]),(DiscreteStatsTable[GroupByKey]=DiscreteStatsTable[[#This Row],[GroupByKey]])*DiscreteStatsTable[Minimum]))</f>
        <v>0.82883063937214296</v>
      </c>
      <c r="U845" cm="1">
        <f t="array" ref="U845">MAX(IF((DiscreteStatsTable[GroupByKey]=DiscreteStatsTable[[#This Row],[GroupByKey]]),(DiscreteStatsTable[GroupByKey]=DiscreteStatsTable[[#This Row],[GroupByKey]])*DiscreteStatsTable[Maximum]))</f>
        <v>3.7385284063050199</v>
      </c>
      <c r="V845" cm="1">
        <f t="array" ref="V845">IFERROR(AVERAGE(IF((DiscreteStatsTable[GroupByKey]=DiscreteStatsTable[[#This Row],[GroupByKey]]),(DiscreteStatsTable[GroupByKey]=DiscreteStatsTable[[#This Row],[GroupByKey]])*DiscreteStatsTable[NumberObservations])),0)</f>
        <v>189.42</v>
      </c>
      <c r="W845">
        <f>IF((DiscreteStatsTable[[#This Row],[RepsRequested]]&gt;1),DiscreteStatsTable[[#This Row],[HalfWidth]],DiscreteStatsTable[[#This Row],[BatchMeansHalfWidth]])</f>
        <v>7.2337839818498884E-3</v>
      </c>
      <c r="X845" cm="1">
        <f t="array" ref="X845">COUNT(IF((DiscreteStatsTable[GroupByKey]=DiscreteStatsTable[[#This Row],[GroupByKey]]),(DiscreteStatsTable[GroupByKey]=DiscreteStatsTable[[#This Row],[GroupByKey]])*DiscreteStatsTable[Replication]))</f>
        <v>50</v>
      </c>
      <c r="Y845">
        <f>IF(DiscreteStatsTable[[#This Row],[RepsRequested]]=DiscreteStatsTable[[#This Row],[RepsWithStatObserved]],1,0)</f>
        <v>1</v>
      </c>
    </row>
    <row r="846" spans="1:25" x14ac:dyDescent="0.25">
      <c r="A846" t="s">
        <v>68</v>
      </c>
      <c r="B846" t="s">
        <v>131</v>
      </c>
      <c r="C846">
        <v>45</v>
      </c>
      <c r="D846" t="s">
        <v>91</v>
      </c>
      <c r="E846" t="s">
        <v>89</v>
      </c>
      <c r="F846" t="s">
        <v>90</v>
      </c>
      <c r="G846">
        <v>1.27455653273598</v>
      </c>
      <c r="H846">
        <v>2E+20</v>
      </c>
      <c r="I846">
        <v>0.86036227098020401</v>
      </c>
      <c r="J846">
        <v>2.3721732666208499</v>
      </c>
      <c r="K846">
        <v>175</v>
      </c>
      <c r="L846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46" cm="1">
        <f t="array" ref="M846">MAX(IF((ProjectInfoTable[ProjectName]=DiscreteStatsTable[[#This Row],[ProjectName]]),(ProjectInfoTable[ProjectName]=DiscreteStatsTable[[#This Row],[ProjectName]])*ProjectInfoTable[NumberOfReplications]))</f>
        <v>50</v>
      </c>
      <c r="N846" cm="1">
        <f t="array" ref="N846">IFERROR(AVERAGE(IF((DiscreteStatsTable[GroupByKey]=DiscreteStatsTable[[#This Row],[GroupByKey]]),(DiscreteStatsTable[GroupByKey]=DiscreteStatsTable[[#This Row],[GroupByKey]])*DiscreteStatsTable[Average])),0)</f>
        <v>1.2960085058838744</v>
      </c>
      <c r="O846" cm="1">
        <f t="array" ref="O846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46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46" cm="1">
        <f t="array" ref="R846">MIN(IF((DiscreteStatsTable[GroupByKey]=DiscreteStatsTable[[#This Row],[GroupByKey]]),(DiscreteStatsTable[GroupByKey]=DiscreteStatsTable[[#This Row],[GroupByKey]])*DiscreteStatsTable[Average]))</f>
        <v>1.2434623099776301</v>
      </c>
      <c r="S846" cm="1">
        <f t="array" ref="S846">MAX(IF((DiscreteStatsTable[GroupByKey]=DiscreteStatsTable[[#This Row],[GroupByKey]]),(DiscreteStatsTable[GroupByKey]=DiscreteStatsTable[[#This Row],[GroupByKey]])*DiscreteStatsTable[Average]))</f>
        <v>1.34511985766981</v>
      </c>
      <c r="T846" cm="1">
        <f t="array" ref="T846">MIN(IF((DiscreteStatsTable[GroupByKey]=DiscreteStatsTable[[#This Row],[GroupByKey]]),(DiscreteStatsTable[GroupByKey]=DiscreteStatsTable[[#This Row],[GroupByKey]])*DiscreteStatsTable[Minimum]))</f>
        <v>0.82883063937214296</v>
      </c>
      <c r="U846" cm="1">
        <f t="array" ref="U846">MAX(IF((DiscreteStatsTable[GroupByKey]=DiscreteStatsTable[[#This Row],[GroupByKey]]),(DiscreteStatsTable[GroupByKey]=DiscreteStatsTable[[#This Row],[GroupByKey]])*DiscreteStatsTable[Maximum]))</f>
        <v>3.7385284063050199</v>
      </c>
      <c r="V846" cm="1">
        <f t="array" ref="V846">IFERROR(AVERAGE(IF((DiscreteStatsTable[GroupByKey]=DiscreteStatsTable[[#This Row],[GroupByKey]]),(DiscreteStatsTable[GroupByKey]=DiscreteStatsTable[[#This Row],[GroupByKey]])*DiscreteStatsTable[NumberObservations])),0)</f>
        <v>189.42</v>
      </c>
      <c r="W846">
        <f>IF((DiscreteStatsTable[[#This Row],[RepsRequested]]&gt;1),DiscreteStatsTable[[#This Row],[HalfWidth]],DiscreteStatsTable[[#This Row],[BatchMeansHalfWidth]])</f>
        <v>7.2337839818498884E-3</v>
      </c>
      <c r="X846" cm="1">
        <f t="array" ref="X846">COUNT(IF((DiscreteStatsTable[GroupByKey]=DiscreteStatsTable[[#This Row],[GroupByKey]]),(DiscreteStatsTable[GroupByKey]=DiscreteStatsTable[[#This Row],[GroupByKey]])*DiscreteStatsTable[Replication]))</f>
        <v>50</v>
      </c>
      <c r="Y846">
        <f>IF(DiscreteStatsTable[[#This Row],[RepsRequested]]=DiscreteStatsTable[[#This Row],[RepsWithStatObserved]],1,0)</f>
        <v>1</v>
      </c>
    </row>
    <row r="847" spans="1:25" x14ac:dyDescent="0.25">
      <c r="A847" t="s">
        <v>68</v>
      </c>
      <c r="B847" t="s">
        <v>131</v>
      </c>
      <c r="C847">
        <v>46</v>
      </c>
      <c r="D847" t="s">
        <v>91</v>
      </c>
      <c r="E847" t="s">
        <v>89</v>
      </c>
      <c r="F847" t="s">
        <v>90</v>
      </c>
      <c r="G847">
        <v>1.3031452322232999</v>
      </c>
      <c r="H847">
        <v>2E+20</v>
      </c>
      <c r="I847">
        <v>0.84766275334499097</v>
      </c>
      <c r="J847">
        <v>2.6518576207222999</v>
      </c>
      <c r="K847">
        <v>181</v>
      </c>
      <c r="L847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47" cm="1">
        <f t="array" ref="M847">MAX(IF((ProjectInfoTable[ProjectName]=DiscreteStatsTable[[#This Row],[ProjectName]]),(ProjectInfoTable[ProjectName]=DiscreteStatsTable[[#This Row],[ProjectName]])*ProjectInfoTable[NumberOfReplications]))</f>
        <v>50</v>
      </c>
      <c r="N847" cm="1">
        <f t="array" ref="N847">IFERROR(AVERAGE(IF((DiscreteStatsTable[GroupByKey]=DiscreteStatsTable[[#This Row],[GroupByKey]]),(DiscreteStatsTable[GroupByKey]=DiscreteStatsTable[[#This Row],[GroupByKey]])*DiscreteStatsTable[Average])),0)</f>
        <v>1.2960085058838744</v>
      </c>
      <c r="O847" cm="1">
        <f t="array" ref="O847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47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47" cm="1">
        <f t="array" ref="R847">MIN(IF((DiscreteStatsTable[GroupByKey]=DiscreteStatsTable[[#This Row],[GroupByKey]]),(DiscreteStatsTable[GroupByKey]=DiscreteStatsTable[[#This Row],[GroupByKey]])*DiscreteStatsTable[Average]))</f>
        <v>1.2434623099776301</v>
      </c>
      <c r="S847" cm="1">
        <f t="array" ref="S847">MAX(IF((DiscreteStatsTable[GroupByKey]=DiscreteStatsTable[[#This Row],[GroupByKey]]),(DiscreteStatsTable[GroupByKey]=DiscreteStatsTable[[#This Row],[GroupByKey]])*DiscreteStatsTable[Average]))</f>
        <v>1.34511985766981</v>
      </c>
      <c r="T847" cm="1">
        <f t="array" ref="T847">MIN(IF((DiscreteStatsTable[GroupByKey]=DiscreteStatsTable[[#This Row],[GroupByKey]]),(DiscreteStatsTable[GroupByKey]=DiscreteStatsTable[[#This Row],[GroupByKey]])*DiscreteStatsTable[Minimum]))</f>
        <v>0.82883063937214296</v>
      </c>
      <c r="U847" cm="1">
        <f t="array" ref="U847">MAX(IF((DiscreteStatsTable[GroupByKey]=DiscreteStatsTable[[#This Row],[GroupByKey]]),(DiscreteStatsTable[GroupByKey]=DiscreteStatsTable[[#This Row],[GroupByKey]])*DiscreteStatsTable[Maximum]))</f>
        <v>3.7385284063050199</v>
      </c>
      <c r="V847" cm="1">
        <f t="array" ref="V847">IFERROR(AVERAGE(IF((DiscreteStatsTable[GroupByKey]=DiscreteStatsTable[[#This Row],[GroupByKey]]),(DiscreteStatsTable[GroupByKey]=DiscreteStatsTable[[#This Row],[GroupByKey]])*DiscreteStatsTable[NumberObservations])),0)</f>
        <v>189.42</v>
      </c>
      <c r="W847">
        <f>IF((DiscreteStatsTable[[#This Row],[RepsRequested]]&gt;1),DiscreteStatsTable[[#This Row],[HalfWidth]],DiscreteStatsTable[[#This Row],[BatchMeansHalfWidth]])</f>
        <v>7.2337839818498884E-3</v>
      </c>
      <c r="X847" cm="1">
        <f t="array" ref="X847">COUNT(IF((DiscreteStatsTable[GroupByKey]=DiscreteStatsTable[[#This Row],[GroupByKey]]),(DiscreteStatsTable[GroupByKey]=DiscreteStatsTable[[#This Row],[GroupByKey]])*DiscreteStatsTable[Replication]))</f>
        <v>50</v>
      </c>
      <c r="Y847">
        <f>IF(DiscreteStatsTable[[#This Row],[RepsRequested]]=DiscreteStatsTable[[#This Row],[RepsWithStatObserved]],1,0)</f>
        <v>1</v>
      </c>
    </row>
    <row r="848" spans="1:25" x14ac:dyDescent="0.25">
      <c r="A848" t="s">
        <v>68</v>
      </c>
      <c r="B848" t="s">
        <v>131</v>
      </c>
      <c r="C848">
        <v>47</v>
      </c>
      <c r="D848" t="s">
        <v>91</v>
      </c>
      <c r="E848" t="s">
        <v>89</v>
      </c>
      <c r="F848" t="s">
        <v>90</v>
      </c>
      <c r="G848">
        <v>1.3448554309054099</v>
      </c>
      <c r="H848">
        <v>2E+20</v>
      </c>
      <c r="I848">
        <v>0.92433600206146604</v>
      </c>
      <c r="J848">
        <v>3.0083750117078099</v>
      </c>
      <c r="K848">
        <v>185</v>
      </c>
      <c r="L848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48" cm="1">
        <f t="array" ref="M848">MAX(IF((ProjectInfoTable[ProjectName]=DiscreteStatsTable[[#This Row],[ProjectName]]),(ProjectInfoTable[ProjectName]=DiscreteStatsTable[[#This Row],[ProjectName]])*ProjectInfoTable[NumberOfReplications]))</f>
        <v>50</v>
      </c>
      <c r="N848" cm="1">
        <f t="array" ref="N848">IFERROR(AVERAGE(IF((DiscreteStatsTable[GroupByKey]=DiscreteStatsTable[[#This Row],[GroupByKey]]),(DiscreteStatsTable[GroupByKey]=DiscreteStatsTable[[#This Row],[GroupByKey]])*DiscreteStatsTable[Average])),0)</f>
        <v>1.2960085058838744</v>
      </c>
      <c r="O848" cm="1">
        <f t="array" ref="O848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48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48" cm="1">
        <f t="array" ref="R848">MIN(IF((DiscreteStatsTable[GroupByKey]=DiscreteStatsTable[[#This Row],[GroupByKey]]),(DiscreteStatsTable[GroupByKey]=DiscreteStatsTable[[#This Row],[GroupByKey]])*DiscreteStatsTable[Average]))</f>
        <v>1.2434623099776301</v>
      </c>
      <c r="S848" cm="1">
        <f t="array" ref="S848">MAX(IF((DiscreteStatsTable[GroupByKey]=DiscreteStatsTable[[#This Row],[GroupByKey]]),(DiscreteStatsTable[GroupByKey]=DiscreteStatsTable[[#This Row],[GroupByKey]])*DiscreteStatsTable[Average]))</f>
        <v>1.34511985766981</v>
      </c>
      <c r="T848" cm="1">
        <f t="array" ref="T848">MIN(IF((DiscreteStatsTable[GroupByKey]=DiscreteStatsTable[[#This Row],[GroupByKey]]),(DiscreteStatsTable[GroupByKey]=DiscreteStatsTable[[#This Row],[GroupByKey]])*DiscreteStatsTable[Minimum]))</f>
        <v>0.82883063937214296</v>
      </c>
      <c r="U848" cm="1">
        <f t="array" ref="U848">MAX(IF((DiscreteStatsTable[GroupByKey]=DiscreteStatsTable[[#This Row],[GroupByKey]]),(DiscreteStatsTable[GroupByKey]=DiscreteStatsTable[[#This Row],[GroupByKey]])*DiscreteStatsTable[Maximum]))</f>
        <v>3.7385284063050199</v>
      </c>
      <c r="V848" cm="1">
        <f t="array" ref="V848">IFERROR(AVERAGE(IF((DiscreteStatsTable[GroupByKey]=DiscreteStatsTable[[#This Row],[GroupByKey]]),(DiscreteStatsTable[GroupByKey]=DiscreteStatsTable[[#This Row],[GroupByKey]])*DiscreteStatsTable[NumberObservations])),0)</f>
        <v>189.42</v>
      </c>
      <c r="W848">
        <f>IF((DiscreteStatsTable[[#This Row],[RepsRequested]]&gt;1),DiscreteStatsTable[[#This Row],[HalfWidth]],DiscreteStatsTable[[#This Row],[BatchMeansHalfWidth]])</f>
        <v>7.2337839818498884E-3</v>
      </c>
      <c r="X848" cm="1">
        <f t="array" ref="X848">COUNT(IF((DiscreteStatsTable[GroupByKey]=DiscreteStatsTable[[#This Row],[GroupByKey]]),(DiscreteStatsTable[GroupByKey]=DiscreteStatsTable[[#This Row],[GroupByKey]])*DiscreteStatsTable[Replication]))</f>
        <v>50</v>
      </c>
      <c r="Y848">
        <f>IF(DiscreteStatsTable[[#This Row],[RepsRequested]]=DiscreteStatsTable[[#This Row],[RepsWithStatObserved]],1,0)</f>
        <v>1</v>
      </c>
    </row>
    <row r="849" spans="1:25" x14ac:dyDescent="0.25">
      <c r="A849" t="s">
        <v>68</v>
      </c>
      <c r="B849" t="s">
        <v>131</v>
      </c>
      <c r="C849">
        <v>48</v>
      </c>
      <c r="D849" t="s">
        <v>91</v>
      </c>
      <c r="E849" t="s">
        <v>89</v>
      </c>
      <c r="F849" t="s">
        <v>90</v>
      </c>
      <c r="G849">
        <v>1.3058308850712199</v>
      </c>
      <c r="H849">
        <v>2E+20</v>
      </c>
      <c r="I849">
        <v>0.86090859184244595</v>
      </c>
      <c r="J849">
        <v>2.6508721700534998</v>
      </c>
      <c r="K849">
        <v>186</v>
      </c>
      <c r="L849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49" cm="1">
        <f t="array" ref="M849">MAX(IF((ProjectInfoTable[ProjectName]=DiscreteStatsTable[[#This Row],[ProjectName]]),(ProjectInfoTable[ProjectName]=DiscreteStatsTable[[#This Row],[ProjectName]])*ProjectInfoTable[NumberOfReplications]))</f>
        <v>50</v>
      </c>
      <c r="N849" cm="1">
        <f t="array" ref="N849">IFERROR(AVERAGE(IF((DiscreteStatsTable[GroupByKey]=DiscreteStatsTable[[#This Row],[GroupByKey]]),(DiscreteStatsTable[GroupByKey]=DiscreteStatsTable[[#This Row],[GroupByKey]])*DiscreteStatsTable[Average])),0)</f>
        <v>1.2960085058838744</v>
      </c>
      <c r="O849" cm="1">
        <f t="array" ref="O849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49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49" cm="1">
        <f t="array" ref="R849">MIN(IF((DiscreteStatsTable[GroupByKey]=DiscreteStatsTable[[#This Row],[GroupByKey]]),(DiscreteStatsTable[GroupByKey]=DiscreteStatsTable[[#This Row],[GroupByKey]])*DiscreteStatsTable[Average]))</f>
        <v>1.2434623099776301</v>
      </c>
      <c r="S849" cm="1">
        <f t="array" ref="S849">MAX(IF((DiscreteStatsTable[GroupByKey]=DiscreteStatsTable[[#This Row],[GroupByKey]]),(DiscreteStatsTable[GroupByKey]=DiscreteStatsTable[[#This Row],[GroupByKey]])*DiscreteStatsTable[Average]))</f>
        <v>1.34511985766981</v>
      </c>
      <c r="T849" cm="1">
        <f t="array" ref="T849">MIN(IF((DiscreteStatsTable[GroupByKey]=DiscreteStatsTable[[#This Row],[GroupByKey]]),(DiscreteStatsTable[GroupByKey]=DiscreteStatsTable[[#This Row],[GroupByKey]])*DiscreteStatsTable[Minimum]))</f>
        <v>0.82883063937214296</v>
      </c>
      <c r="U849" cm="1">
        <f t="array" ref="U849">MAX(IF((DiscreteStatsTable[GroupByKey]=DiscreteStatsTable[[#This Row],[GroupByKey]]),(DiscreteStatsTable[GroupByKey]=DiscreteStatsTable[[#This Row],[GroupByKey]])*DiscreteStatsTable[Maximum]))</f>
        <v>3.7385284063050199</v>
      </c>
      <c r="V849" cm="1">
        <f t="array" ref="V849">IFERROR(AVERAGE(IF((DiscreteStatsTable[GroupByKey]=DiscreteStatsTable[[#This Row],[GroupByKey]]),(DiscreteStatsTable[GroupByKey]=DiscreteStatsTable[[#This Row],[GroupByKey]])*DiscreteStatsTable[NumberObservations])),0)</f>
        <v>189.42</v>
      </c>
      <c r="W849">
        <f>IF((DiscreteStatsTable[[#This Row],[RepsRequested]]&gt;1),DiscreteStatsTable[[#This Row],[HalfWidth]],DiscreteStatsTable[[#This Row],[BatchMeansHalfWidth]])</f>
        <v>7.2337839818498884E-3</v>
      </c>
      <c r="X849" cm="1">
        <f t="array" ref="X849">COUNT(IF((DiscreteStatsTable[GroupByKey]=DiscreteStatsTable[[#This Row],[GroupByKey]]),(DiscreteStatsTable[GroupByKey]=DiscreteStatsTable[[#This Row],[GroupByKey]])*DiscreteStatsTable[Replication]))</f>
        <v>50</v>
      </c>
      <c r="Y849">
        <f>IF(DiscreteStatsTable[[#This Row],[RepsRequested]]=DiscreteStatsTable[[#This Row],[RepsWithStatObserved]],1,0)</f>
        <v>1</v>
      </c>
    </row>
    <row r="850" spans="1:25" x14ac:dyDescent="0.25">
      <c r="A850" t="s">
        <v>68</v>
      </c>
      <c r="B850" t="s">
        <v>131</v>
      </c>
      <c r="C850">
        <v>49</v>
      </c>
      <c r="D850" t="s">
        <v>91</v>
      </c>
      <c r="E850" t="s">
        <v>89</v>
      </c>
      <c r="F850" t="s">
        <v>90</v>
      </c>
      <c r="G850">
        <v>1.2614680248771799</v>
      </c>
      <c r="H850">
        <v>2E+20</v>
      </c>
      <c r="I850">
        <v>0.91752924755610399</v>
      </c>
      <c r="J850">
        <v>2.45331835400179</v>
      </c>
      <c r="K850">
        <v>194</v>
      </c>
      <c r="L850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50" cm="1">
        <f t="array" ref="M850">MAX(IF((ProjectInfoTable[ProjectName]=DiscreteStatsTable[[#This Row],[ProjectName]]),(ProjectInfoTable[ProjectName]=DiscreteStatsTable[[#This Row],[ProjectName]])*ProjectInfoTable[NumberOfReplications]))</f>
        <v>50</v>
      </c>
      <c r="N850" cm="1">
        <f t="array" ref="N850">IFERROR(AVERAGE(IF((DiscreteStatsTable[GroupByKey]=DiscreteStatsTable[[#This Row],[GroupByKey]]),(DiscreteStatsTable[GroupByKey]=DiscreteStatsTable[[#This Row],[GroupByKey]])*DiscreteStatsTable[Average])),0)</f>
        <v>1.2960085058838744</v>
      </c>
      <c r="O850" cm="1">
        <f t="array" ref="O850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50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50" cm="1">
        <f t="array" ref="R850">MIN(IF((DiscreteStatsTable[GroupByKey]=DiscreteStatsTable[[#This Row],[GroupByKey]]),(DiscreteStatsTable[GroupByKey]=DiscreteStatsTable[[#This Row],[GroupByKey]])*DiscreteStatsTable[Average]))</f>
        <v>1.2434623099776301</v>
      </c>
      <c r="S850" cm="1">
        <f t="array" ref="S850">MAX(IF((DiscreteStatsTable[GroupByKey]=DiscreteStatsTable[[#This Row],[GroupByKey]]),(DiscreteStatsTable[GroupByKey]=DiscreteStatsTable[[#This Row],[GroupByKey]])*DiscreteStatsTable[Average]))</f>
        <v>1.34511985766981</v>
      </c>
      <c r="T850" cm="1">
        <f t="array" ref="T850">MIN(IF((DiscreteStatsTable[GroupByKey]=DiscreteStatsTable[[#This Row],[GroupByKey]]),(DiscreteStatsTable[GroupByKey]=DiscreteStatsTable[[#This Row],[GroupByKey]])*DiscreteStatsTable[Minimum]))</f>
        <v>0.82883063937214296</v>
      </c>
      <c r="U850" cm="1">
        <f t="array" ref="U850">MAX(IF((DiscreteStatsTable[GroupByKey]=DiscreteStatsTable[[#This Row],[GroupByKey]]),(DiscreteStatsTable[GroupByKey]=DiscreteStatsTable[[#This Row],[GroupByKey]])*DiscreteStatsTable[Maximum]))</f>
        <v>3.7385284063050199</v>
      </c>
      <c r="V850" cm="1">
        <f t="array" ref="V850">IFERROR(AVERAGE(IF((DiscreteStatsTable[GroupByKey]=DiscreteStatsTable[[#This Row],[GroupByKey]]),(DiscreteStatsTable[GroupByKey]=DiscreteStatsTable[[#This Row],[GroupByKey]])*DiscreteStatsTable[NumberObservations])),0)</f>
        <v>189.42</v>
      </c>
      <c r="W850">
        <f>IF((DiscreteStatsTable[[#This Row],[RepsRequested]]&gt;1),DiscreteStatsTable[[#This Row],[HalfWidth]],DiscreteStatsTable[[#This Row],[BatchMeansHalfWidth]])</f>
        <v>7.2337839818498884E-3</v>
      </c>
      <c r="X850" cm="1">
        <f t="array" ref="X850">COUNT(IF((DiscreteStatsTable[GroupByKey]=DiscreteStatsTable[[#This Row],[GroupByKey]]),(DiscreteStatsTable[GroupByKey]=DiscreteStatsTable[[#This Row],[GroupByKey]])*DiscreteStatsTable[Replication]))</f>
        <v>50</v>
      </c>
      <c r="Y850">
        <f>IF(DiscreteStatsTable[[#This Row],[RepsRequested]]=DiscreteStatsTable[[#This Row],[RepsWithStatObserved]],1,0)</f>
        <v>1</v>
      </c>
    </row>
    <row r="851" spans="1:25" x14ac:dyDescent="0.25">
      <c r="A851" t="s">
        <v>68</v>
      </c>
      <c r="B851" t="s">
        <v>131</v>
      </c>
      <c r="C851">
        <v>50</v>
      </c>
      <c r="D851" t="s">
        <v>91</v>
      </c>
      <c r="E851" t="s">
        <v>89</v>
      </c>
      <c r="F851" t="s">
        <v>90</v>
      </c>
      <c r="G851">
        <v>1.2854339601244</v>
      </c>
      <c r="H851">
        <v>2E+20</v>
      </c>
      <c r="I851">
        <v>0.86067890235662503</v>
      </c>
      <c r="J851">
        <v>2.50515856373312</v>
      </c>
      <c r="K851">
        <v>195</v>
      </c>
      <c r="L851" t="str">
        <f>DiscreteStatsTable[[#This Row],[ProjectName]]&amp;DiscreteStatsTable[[#This Row],[Name]]&amp;DiscreteStatsTable[[#This Row],[Type]]&amp;DiscreteStatsTable[[#This Row],[Source]]</f>
        <v>PacientesTiempoTipo2NoneUser Specified</v>
      </c>
      <c r="M851" cm="1">
        <f t="array" ref="M851">MAX(IF((ProjectInfoTable[ProjectName]=DiscreteStatsTable[[#This Row],[ProjectName]]),(ProjectInfoTable[ProjectName]=DiscreteStatsTable[[#This Row],[ProjectName]])*ProjectInfoTable[NumberOfReplications]))</f>
        <v>50</v>
      </c>
      <c r="N851" cm="1">
        <f t="array" ref="N851">IFERROR(AVERAGE(IF((DiscreteStatsTable[GroupByKey]=DiscreteStatsTable[[#This Row],[GroupByKey]]),(DiscreteStatsTable[GroupByKey]=DiscreteStatsTable[[#This Row],[GroupByKey]])*DiscreteStatsTable[Average])),0)</f>
        <v>1.2960085058838744</v>
      </c>
      <c r="O851" cm="1">
        <f t="array" ref="O851">IFERROR(_xlfn.STDEV.S(IF((DiscreteStatsTable[GroupByKey]=DiscreteStatsTable[[#This Row],[GroupByKey]]),(DiscreteStatsTable[GroupByKey]=DiscreteStatsTable[[#This Row],[GroupByKey]])*DiscreteStatsTable[Average])),0)</f>
        <v>2.5453427235258695E-2</v>
      </c>
      <c r="P851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7.2337839818498884E-3</v>
      </c>
      <c r="R851" cm="1">
        <f t="array" ref="R851">MIN(IF((DiscreteStatsTable[GroupByKey]=DiscreteStatsTable[[#This Row],[GroupByKey]]),(DiscreteStatsTable[GroupByKey]=DiscreteStatsTable[[#This Row],[GroupByKey]])*DiscreteStatsTable[Average]))</f>
        <v>1.2434623099776301</v>
      </c>
      <c r="S851" cm="1">
        <f t="array" ref="S851">MAX(IF((DiscreteStatsTable[GroupByKey]=DiscreteStatsTable[[#This Row],[GroupByKey]]),(DiscreteStatsTable[GroupByKey]=DiscreteStatsTable[[#This Row],[GroupByKey]])*DiscreteStatsTable[Average]))</f>
        <v>1.34511985766981</v>
      </c>
      <c r="T851" cm="1">
        <f t="array" ref="T851">MIN(IF((DiscreteStatsTable[GroupByKey]=DiscreteStatsTable[[#This Row],[GroupByKey]]),(DiscreteStatsTable[GroupByKey]=DiscreteStatsTable[[#This Row],[GroupByKey]])*DiscreteStatsTable[Minimum]))</f>
        <v>0.82883063937214296</v>
      </c>
      <c r="U851" cm="1">
        <f t="array" ref="U851">MAX(IF((DiscreteStatsTable[GroupByKey]=DiscreteStatsTable[[#This Row],[GroupByKey]]),(DiscreteStatsTable[GroupByKey]=DiscreteStatsTable[[#This Row],[GroupByKey]])*DiscreteStatsTable[Maximum]))</f>
        <v>3.7385284063050199</v>
      </c>
      <c r="V851" cm="1">
        <f t="array" ref="V851">IFERROR(AVERAGE(IF((DiscreteStatsTable[GroupByKey]=DiscreteStatsTable[[#This Row],[GroupByKey]]),(DiscreteStatsTable[GroupByKey]=DiscreteStatsTable[[#This Row],[GroupByKey]])*DiscreteStatsTable[NumberObservations])),0)</f>
        <v>189.42</v>
      </c>
      <c r="W851">
        <f>IF((DiscreteStatsTable[[#This Row],[RepsRequested]]&gt;1),DiscreteStatsTable[[#This Row],[HalfWidth]],DiscreteStatsTable[[#This Row],[BatchMeansHalfWidth]])</f>
        <v>7.2337839818498884E-3</v>
      </c>
      <c r="X851" cm="1">
        <f t="array" ref="X851">COUNT(IF((DiscreteStatsTable[GroupByKey]=DiscreteStatsTable[[#This Row],[GroupByKey]]),(DiscreteStatsTable[GroupByKey]=DiscreteStatsTable[[#This Row],[GroupByKey]])*DiscreteStatsTable[Replication]))</f>
        <v>50</v>
      </c>
      <c r="Y851">
        <f>IF(DiscreteStatsTable[[#This Row],[RepsRequested]]=DiscreteStatsTable[[#This Row],[RepsWithStatObserved]],1,0)</f>
        <v>1</v>
      </c>
    </row>
    <row r="852" spans="1:25" x14ac:dyDescent="0.25">
      <c r="A852" t="s">
        <v>68</v>
      </c>
      <c r="B852" t="s">
        <v>131</v>
      </c>
      <c r="C852">
        <v>1</v>
      </c>
      <c r="D852" t="s">
        <v>92</v>
      </c>
      <c r="E852" t="s">
        <v>89</v>
      </c>
      <c r="F852" t="s">
        <v>90</v>
      </c>
      <c r="G852">
        <v>1.0189767592861001</v>
      </c>
      <c r="H852">
        <v>6.1542033634002402E-2</v>
      </c>
      <c r="I852">
        <v>0.541403655028034</v>
      </c>
      <c r="J852">
        <v>3.0831459710423799</v>
      </c>
      <c r="K852">
        <v>482</v>
      </c>
      <c r="L852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52" cm="1">
        <f t="array" ref="M852">MAX(IF((ProjectInfoTable[ProjectName]=DiscreteStatsTable[[#This Row],[ProjectName]]),(ProjectInfoTable[ProjectName]=DiscreteStatsTable[[#This Row],[ProjectName]])*ProjectInfoTable[NumberOfReplications]))</f>
        <v>50</v>
      </c>
      <c r="N852" cm="1">
        <f t="array" ref="N852">IFERROR(AVERAGE(IF((DiscreteStatsTable[GroupByKey]=DiscreteStatsTable[[#This Row],[GroupByKey]]),(DiscreteStatsTable[GroupByKey]=DiscreteStatsTable[[#This Row],[GroupByKey]])*DiscreteStatsTable[Average])),0)</f>
        <v>1.0196487348764249</v>
      </c>
      <c r="O852" cm="1">
        <f t="array" ref="O852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52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52" cm="1">
        <f t="array" ref="R852">MIN(IF((DiscreteStatsTable[GroupByKey]=DiscreteStatsTable[[#This Row],[GroupByKey]]),(DiscreteStatsTable[GroupByKey]=DiscreteStatsTable[[#This Row],[GroupByKey]])*DiscreteStatsTable[Average]))</f>
        <v>0.95501634543056202</v>
      </c>
      <c r="S852" cm="1">
        <f t="array" ref="S852">MAX(IF((DiscreteStatsTable[GroupByKey]=DiscreteStatsTable[[#This Row],[GroupByKey]]),(DiscreteStatsTable[GroupByKey]=DiscreteStatsTable[[#This Row],[GroupByKey]])*DiscreteStatsTable[Average]))</f>
        <v>1.10769496585296</v>
      </c>
      <c r="T852" cm="1">
        <f t="array" ref="T852">MIN(IF((DiscreteStatsTable[GroupByKey]=DiscreteStatsTable[[#This Row],[GroupByKey]]),(DiscreteStatsTable[GroupByKey]=DiscreteStatsTable[[#This Row],[GroupByKey]])*DiscreteStatsTable[Minimum]))</f>
        <v>0.51401222690765302</v>
      </c>
      <c r="U852" cm="1">
        <f t="array" ref="U852">MAX(IF((DiscreteStatsTable[GroupByKey]=DiscreteStatsTable[[#This Row],[GroupByKey]]),(DiscreteStatsTable[GroupByKey]=DiscreteStatsTable[[#This Row],[GroupByKey]])*DiscreteStatsTable[Maximum]))</f>
        <v>5.8546620722510996</v>
      </c>
      <c r="V852" cm="1">
        <f t="array" ref="V852">IFERROR(AVERAGE(IF((DiscreteStatsTable[GroupByKey]=DiscreteStatsTable[[#This Row],[GroupByKey]]),(DiscreteStatsTable[GroupByKey]=DiscreteStatsTable[[#This Row],[GroupByKey]])*DiscreteStatsTable[NumberObservations])),0)</f>
        <v>437.5</v>
      </c>
      <c r="W852">
        <f>IF((DiscreteStatsTable[[#This Row],[RepsRequested]]&gt;1),DiscreteStatsTable[[#This Row],[HalfWidth]],DiscreteStatsTable[[#This Row],[BatchMeansHalfWidth]])</f>
        <v>9.0257219283451061E-3</v>
      </c>
      <c r="X852" cm="1">
        <f t="array" ref="X852">COUNT(IF((DiscreteStatsTable[GroupByKey]=DiscreteStatsTable[[#This Row],[GroupByKey]]),(DiscreteStatsTable[GroupByKey]=DiscreteStatsTable[[#This Row],[GroupByKey]])*DiscreteStatsTable[Replication]))</f>
        <v>50</v>
      </c>
      <c r="Y852">
        <f>IF(DiscreteStatsTable[[#This Row],[RepsRequested]]=DiscreteStatsTable[[#This Row],[RepsWithStatObserved]],1,0)</f>
        <v>1</v>
      </c>
    </row>
    <row r="853" spans="1:25" x14ac:dyDescent="0.25">
      <c r="A853" t="s">
        <v>68</v>
      </c>
      <c r="B853" t="s">
        <v>131</v>
      </c>
      <c r="C853">
        <v>2</v>
      </c>
      <c r="D853" t="s">
        <v>92</v>
      </c>
      <c r="E853" t="s">
        <v>89</v>
      </c>
      <c r="F853" t="s">
        <v>90</v>
      </c>
      <c r="G853">
        <v>1.0157029127006401</v>
      </c>
      <c r="H853">
        <v>6.6314720369056404E-2</v>
      </c>
      <c r="I853">
        <v>0.55862353980546697</v>
      </c>
      <c r="J853">
        <v>3.8252296621686201</v>
      </c>
      <c r="K853">
        <v>419</v>
      </c>
      <c r="L853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53" cm="1">
        <f t="array" ref="M853">MAX(IF((ProjectInfoTable[ProjectName]=DiscreteStatsTable[[#This Row],[ProjectName]]),(ProjectInfoTable[ProjectName]=DiscreteStatsTable[[#This Row],[ProjectName]])*ProjectInfoTable[NumberOfReplications]))</f>
        <v>50</v>
      </c>
      <c r="N853" cm="1">
        <f t="array" ref="N853">IFERROR(AVERAGE(IF((DiscreteStatsTable[GroupByKey]=DiscreteStatsTable[[#This Row],[GroupByKey]]),(DiscreteStatsTable[GroupByKey]=DiscreteStatsTable[[#This Row],[GroupByKey]])*DiscreteStatsTable[Average])),0)</f>
        <v>1.0196487348764249</v>
      </c>
      <c r="O853" cm="1">
        <f t="array" ref="O853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53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53" cm="1">
        <f t="array" ref="R853">MIN(IF((DiscreteStatsTable[GroupByKey]=DiscreteStatsTable[[#This Row],[GroupByKey]]),(DiscreteStatsTable[GroupByKey]=DiscreteStatsTable[[#This Row],[GroupByKey]])*DiscreteStatsTable[Average]))</f>
        <v>0.95501634543056202</v>
      </c>
      <c r="S853" cm="1">
        <f t="array" ref="S853">MAX(IF((DiscreteStatsTable[GroupByKey]=DiscreteStatsTable[[#This Row],[GroupByKey]]),(DiscreteStatsTable[GroupByKey]=DiscreteStatsTable[[#This Row],[GroupByKey]])*DiscreteStatsTable[Average]))</f>
        <v>1.10769496585296</v>
      </c>
      <c r="T853" cm="1">
        <f t="array" ref="T853">MIN(IF((DiscreteStatsTable[GroupByKey]=DiscreteStatsTable[[#This Row],[GroupByKey]]),(DiscreteStatsTable[GroupByKey]=DiscreteStatsTable[[#This Row],[GroupByKey]])*DiscreteStatsTable[Minimum]))</f>
        <v>0.51401222690765302</v>
      </c>
      <c r="U853" cm="1">
        <f t="array" ref="U853">MAX(IF((DiscreteStatsTable[GroupByKey]=DiscreteStatsTable[[#This Row],[GroupByKey]]),(DiscreteStatsTable[GroupByKey]=DiscreteStatsTable[[#This Row],[GroupByKey]])*DiscreteStatsTable[Maximum]))</f>
        <v>5.8546620722510996</v>
      </c>
      <c r="V853" cm="1">
        <f t="array" ref="V853">IFERROR(AVERAGE(IF((DiscreteStatsTable[GroupByKey]=DiscreteStatsTable[[#This Row],[GroupByKey]]),(DiscreteStatsTable[GroupByKey]=DiscreteStatsTable[[#This Row],[GroupByKey]])*DiscreteStatsTable[NumberObservations])),0)</f>
        <v>437.5</v>
      </c>
      <c r="W853">
        <f>IF((DiscreteStatsTable[[#This Row],[RepsRequested]]&gt;1),DiscreteStatsTable[[#This Row],[HalfWidth]],DiscreteStatsTable[[#This Row],[BatchMeansHalfWidth]])</f>
        <v>9.0257219283451061E-3</v>
      </c>
      <c r="X853" cm="1">
        <f t="array" ref="X853">COUNT(IF((DiscreteStatsTable[GroupByKey]=DiscreteStatsTable[[#This Row],[GroupByKey]]),(DiscreteStatsTable[GroupByKey]=DiscreteStatsTable[[#This Row],[GroupByKey]])*DiscreteStatsTable[Replication]))</f>
        <v>50</v>
      </c>
      <c r="Y853">
        <f>IF(DiscreteStatsTable[[#This Row],[RepsRequested]]=DiscreteStatsTable[[#This Row],[RepsWithStatObserved]],1,0)</f>
        <v>1</v>
      </c>
    </row>
    <row r="854" spans="1:25" x14ac:dyDescent="0.25">
      <c r="A854" t="s">
        <v>68</v>
      </c>
      <c r="B854" t="s">
        <v>131</v>
      </c>
      <c r="C854">
        <v>3</v>
      </c>
      <c r="D854" t="s">
        <v>92</v>
      </c>
      <c r="E854" t="s">
        <v>89</v>
      </c>
      <c r="F854" t="s">
        <v>90</v>
      </c>
      <c r="G854">
        <v>1.0055156346903</v>
      </c>
      <c r="H854">
        <v>7.2281728429299294E-2</v>
      </c>
      <c r="I854">
        <v>0.54138298242696703</v>
      </c>
      <c r="J854">
        <v>4.64585583547046</v>
      </c>
      <c r="K854">
        <v>423</v>
      </c>
      <c r="L854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54" cm="1">
        <f t="array" ref="M854">MAX(IF((ProjectInfoTable[ProjectName]=DiscreteStatsTable[[#This Row],[ProjectName]]),(ProjectInfoTable[ProjectName]=DiscreteStatsTable[[#This Row],[ProjectName]])*ProjectInfoTable[NumberOfReplications]))</f>
        <v>50</v>
      </c>
      <c r="N854" cm="1">
        <f t="array" ref="N854">IFERROR(AVERAGE(IF((DiscreteStatsTable[GroupByKey]=DiscreteStatsTable[[#This Row],[GroupByKey]]),(DiscreteStatsTable[GroupByKey]=DiscreteStatsTable[[#This Row],[GroupByKey]])*DiscreteStatsTable[Average])),0)</f>
        <v>1.0196487348764249</v>
      </c>
      <c r="O854" cm="1">
        <f t="array" ref="O854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54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54" cm="1">
        <f t="array" ref="R854">MIN(IF((DiscreteStatsTable[GroupByKey]=DiscreteStatsTable[[#This Row],[GroupByKey]]),(DiscreteStatsTable[GroupByKey]=DiscreteStatsTable[[#This Row],[GroupByKey]])*DiscreteStatsTable[Average]))</f>
        <v>0.95501634543056202</v>
      </c>
      <c r="S854" cm="1">
        <f t="array" ref="S854">MAX(IF((DiscreteStatsTable[GroupByKey]=DiscreteStatsTable[[#This Row],[GroupByKey]]),(DiscreteStatsTable[GroupByKey]=DiscreteStatsTable[[#This Row],[GroupByKey]])*DiscreteStatsTable[Average]))</f>
        <v>1.10769496585296</v>
      </c>
      <c r="T854" cm="1">
        <f t="array" ref="T854">MIN(IF((DiscreteStatsTable[GroupByKey]=DiscreteStatsTable[[#This Row],[GroupByKey]]),(DiscreteStatsTable[GroupByKey]=DiscreteStatsTable[[#This Row],[GroupByKey]])*DiscreteStatsTable[Minimum]))</f>
        <v>0.51401222690765302</v>
      </c>
      <c r="U854" cm="1">
        <f t="array" ref="U854">MAX(IF((DiscreteStatsTable[GroupByKey]=DiscreteStatsTable[[#This Row],[GroupByKey]]),(DiscreteStatsTable[GroupByKey]=DiscreteStatsTable[[#This Row],[GroupByKey]])*DiscreteStatsTable[Maximum]))</f>
        <v>5.8546620722510996</v>
      </c>
      <c r="V854" cm="1">
        <f t="array" ref="V854">IFERROR(AVERAGE(IF((DiscreteStatsTable[GroupByKey]=DiscreteStatsTable[[#This Row],[GroupByKey]]),(DiscreteStatsTable[GroupByKey]=DiscreteStatsTable[[#This Row],[GroupByKey]])*DiscreteStatsTable[NumberObservations])),0)</f>
        <v>437.5</v>
      </c>
      <c r="W854">
        <f>IF((DiscreteStatsTable[[#This Row],[RepsRequested]]&gt;1),DiscreteStatsTable[[#This Row],[HalfWidth]],DiscreteStatsTable[[#This Row],[BatchMeansHalfWidth]])</f>
        <v>9.0257219283451061E-3</v>
      </c>
      <c r="X854" cm="1">
        <f t="array" ref="X854">COUNT(IF((DiscreteStatsTable[GroupByKey]=DiscreteStatsTable[[#This Row],[GroupByKey]]),(DiscreteStatsTable[GroupByKey]=DiscreteStatsTable[[#This Row],[GroupByKey]])*DiscreteStatsTable[Replication]))</f>
        <v>50</v>
      </c>
      <c r="Y854">
        <f>IF(DiscreteStatsTable[[#This Row],[RepsRequested]]=DiscreteStatsTable[[#This Row],[RepsWithStatObserved]],1,0)</f>
        <v>1</v>
      </c>
    </row>
    <row r="855" spans="1:25" x14ac:dyDescent="0.25">
      <c r="A855" t="s">
        <v>68</v>
      </c>
      <c r="B855" t="s">
        <v>131</v>
      </c>
      <c r="C855">
        <v>4</v>
      </c>
      <c r="D855" t="s">
        <v>92</v>
      </c>
      <c r="E855" t="s">
        <v>89</v>
      </c>
      <c r="F855" t="s">
        <v>90</v>
      </c>
      <c r="G855">
        <v>1.0736877981739601</v>
      </c>
      <c r="H855">
        <v>7.3037334431382703E-2</v>
      </c>
      <c r="I855">
        <v>0.56315496960593203</v>
      </c>
      <c r="J855">
        <v>4.08325936233551</v>
      </c>
      <c r="K855">
        <v>457</v>
      </c>
      <c r="L855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55" cm="1">
        <f t="array" ref="M855">MAX(IF((ProjectInfoTable[ProjectName]=DiscreteStatsTable[[#This Row],[ProjectName]]),(ProjectInfoTable[ProjectName]=DiscreteStatsTable[[#This Row],[ProjectName]])*ProjectInfoTable[NumberOfReplications]))</f>
        <v>50</v>
      </c>
      <c r="N855" cm="1">
        <f t="array" ref="N855">IFERROR(AVERAGE(IF((DiscreteStatsTable[GroupByKey]=DiscreteStatsTable[[#This Row],[GroupByKey]]),(DiscreteStatsTable[GroupByKey]=DiscreteStatsTable[[#This Row],[GroupByKey]])*DiscreteStatsTable[Average])),0)</f>
        <v>1.0196487348764249</v>
      </c>
      <c r="O855" cm="1">
        <f t="array" ref="O855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5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55" cm="1">
        <f t="array" ref="R855">MIN(IF((DiscreteStatsTable[GroupByKey]=DiscreteStatsTable[[#This Row],[GroupByKey]]),(DiscreteStatsTable[GroupByKey]=DiscreteStatsTable[[#This Row],[GroupByKey]])*DiscreteStatsTable[Average]))</f>
        <v>0.95501634543056202</v>
      </c>
      <c r="S855" cm="1">
        <f t="array" ref="S855">MAX(IF((DiscreteStatsTable[GroupByKey]=DiscreteStatsTable[[#This Row],[GroupByKey]]),(DiscreteStatsTable[GroupByKey]=DiscreteStatsTable[[#This Row],[GroupByKey]])*DiscreteStatsTable[Average]))</f>
        <v>1.10769496585296</v>
      </c>
      <c r="T855" cm="1">
        <f t="array" ref="T855">MIN(IF((DiscreteStatsTable[GroupByKey]=DiscreteStatsTable[[#This Row],[GroupByKey]]),(DiscreteStatsTable[GroupByKey]=DiscreteStatsTable[[#This Row],[GroupByKey]])*DiscreteStatsTable[Minimum]))</f>
        <v>0.51401222690765302</v>
      </c>
      <c r="U855" cm="1">
        <f t="array" ref="U855">MAX(IF((DiscreteStatsTable[GroupByKey]=DiscreteStatsTable[[#This Row],[GroupByKey]]),(DiscreteStatsTable[GroupByKey]=DiscreteStatsTable[[#This Row],[GroupByKey]])*DiscreteStatsTable[Maximum]))</f>
        <v>5.8546620722510996</v>
      </c>
      <c r="V855" cm="1">
        <f t="array" ref="V855">IFERROR(AVERAGE(IF((DiscreteStatsTable[GroupByKey]=DiscreteStatsTable[[#This Row],[GroupByKey]]),(DiscreteStatsTable[GroupByKey]=DiscreteStatsTable[[#This Row],[GroupByKey]])*DiscreteStatsTable[NumberObservations])),0)</f>
        <v>437.5</v>
      </c>
      <c r="W855">
        <f>IF((DiscreteStatsTable[[#This Row],[RepsRequested]]&gt;1),DiscreteStatsTable[[#This Row],[HalfWidth]],DiscreteStatsTable[[#This Row],[BatchMeansHalfWidth]])</f>
        <v>9.0257219283451061E-3</v>
      </c>
      <c r="X855" cm="1">
        <f t="array" ref="X855">COUNT(IF((DiscreteStatsTable[GroupByKey]=DiscreteStatsTable[[#This Row],[GroupByKey]]),(DiscreteStatsTable[GroupByKey]=DiscreteStatsTable[[#This Row],[GroupByKey]])*DiscreteStatsTable[Replication]))</f>
        <v>50</v>
      </c>
      <c r="Y855">
        <f>IF(DiscreteStatsTable[[#This Row],[RepsRequested]]=DiscreteStatsTable[[#This Row],[RepsWithStatObserved]],1,0)</f>
        <v>1</v>
      </c>
    </row>
    <row r="856" spans="1:25" x14ac:dyDescent="0.25">
      <c r="A856" t="s">
        <v>68</v>
      </c>
      <c r="B856" t="s">
        <v>131</v>
      </c>
      <c r="C856">
        <v>5</v>
      </c>
      <c r="D856" t="s">
        <v>92</v>
      </c>
      <c r="E856" t="s">
        <v>89</v>
      </c>
      <c r="F856" t="s">
        <v>90</v>
      </c>
      <c r="G856">
        <v>0.95501634543056202</v>
      </c>
      <c r="H856">
        <v>3.4705958133107E-2</v>
      </c>
      <c r="I856">
        <v>0.56996385911361402</v>
      </c>
      <c r="J856">
        <v>2.3233739441041599</v>
      </c>
      <c r="K856">
        <v>440</v>
      </c>
      <c r="L856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56" cm="1">
        <f t="array" ref="M856">MAX(IF((ProjectInfoTable[ProjectName]=DiscreteStatsTable[[#This Row],[ProjectName]]),(ProjectInfoTable[ProjectName]=DiscreteStatsTable[[#This Row],[ProjectName]])*ProjectInfoTable[NumberOfReplications]))</f>
        <v>50</v>
      </c>
      <c r="N856" cm="1">
        <f t="array" ref="N856">IFERROR(AVERAGE(IF((DiscreteStatsTable[GroupByKey]=DiscreteStatsTable[[#This Row],[GroupByKey]]),(DiscreteStatsTable[GroupByKey]=DiscreteStatsTable[[#This Row],[GroupByKey]])*DiscreteStatsTable[Average])),0)</f>
        <v>1.0196487348764249</v>
      </c>
      <c r="O856" cm="1">
        <f t="array" ref="O856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56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56" cm="1">
        <f t="array" ref="R856">MIN(IF((DiscreteStatsTable[GroupByKey]=DiscreteStatsTable[[#This Row],[GroupByKey]]),(DiscreteStatsTable[GroupByKey]=DiscreteStatsTable[[#This Row],[GroupByKey]])*DiscreteStatsTable[Average]))</f>
        <v>0.95501634543056202</v>
      </c>
      <c r="S856" cm="1">
        <f t="array" ref="S856">MAX(IF((DiscreteStatsTable[GroupByKey]=DiscreteStatsTable[[#This Row],[GroupByKey]]),(DiscreteStatsTable[GroupByKey]=DiscreteStatsTable[[#This Row],[GroupByKey]])*DiscreteStatsTable[Average]))</f>
        <v>1.10769496585296</v>
      </c>
      <c r="T856" cm="1">
        <f t="array" ref="T856">MIN(IF((DiscreteStatsTable[GroupByKey]=DiscreteStatsTable[[#This Row],[GroupByKey]]),(DiscreteStatsTable[GroupByKey]=DiscreteStatsTable[[#This Row],[GroupByKey]])*DiscreteStatsTable[Minimum]))</f>
        <v>0.51401222690765302</v>
      </c>
      <c r="U856" cm="1">
        <f t="array" ref="U856">MAX(IF((DiscreteStatsTable[GroupByKey]=DiscreteStatsTable[[#This Row],[GroupByKey]]),(DiscreteStatsTable[GroupByKey]=DiscreteStatsTable[[#This Row],[GroupByKey]])*DiscreteStatsTable[Maximum]))</f>
        <v>5.8546620722510996</v>
      </c>
      <c r="V856" cm="1">
        <f t="array" ref="V856">IFERROR(AVERAGE(IF((DiscreteStatsTable[GroupByKey]=DiscreteStatsTable[[#This Row],[GroupByKey]]),(DiscreteStatsTable[GroupByKey]=DiscreteStatsTable[[#This Row],[GroupByKey]])*DiscreteStatsTable[NumberObservations])),0)</f>
        <v>437.5</v>
      </c>
      <c r="W856">
        <f>IF((DiscreteStatsTable[[#This Row],[RepsRequested]]&gt;1),DiscreteStatsTable[[#This Row],[HalfWidth]],DiscreteStatsTable[[#This Row],[BatchMeansHalfWidth]])</f>
        <v>9.0257219283451061E-3</v>
      </c>
      <c r="X856" cm="1">
        <f t="array" ref="X856">COUNT(IF((DiscreteStatsTable[GroupByKey]=DiscreteStatsTable[[#This Row],[GroupByKey]]),(DiscreteStatsTable[GroupByKey]=DiscreteStatsTable[[#This Row],[GroupByKey]])*DiscreteStatsTable[Replication]))</f>
        <v>50</v>
      </c>
      <c r="Y856">
        <f>IF(DiscreteStatsTable[[#This Row],[RepsRequested]]=DiscreteStatsTable[[#This Row],[RepsWithStatObserved]],1,0)</f>
        <v>1</v>
      </c>
    </row>
    <row r="857" spans="1:25" x14ac:dyDescent="0.25">
      <c r="A857" t="s">
        <v>68</v>
      </c>
      <c r="B857" t="s">
        <v>131</v>
      </c>
      <c r="C857">
        <v>6</v>
      </c>
      <c r="D857" t="s">
        <v>92</v>
      </c>
      <c r="E857" t="s">
        <v>89</v>
      </c>
      <c r="F857" t="s">
        <v>90</v>
      </c>
      <c r="G857">
        <v>1.0273350720148899</v>
      </c>
      <c r="H857">
        <v>6.1083720224049801E-2</v>
      </c>
      <c r="I857">
        <v>0.58060829411783699</v>
      </c>
      <c r="J857">
        <v>3.3940578216316601</v>
      </c>
      <c r="K857">
        <v>474</v>
      </c>
      <c r="L857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57" cm="1">
        <f t="array" ref="M857">MAX(IF((ProjectInfoTable[ProjectName]=DiscreteStatsTable[[#This Row],[ProjectName]]),(ProjectInfoTable[ProjectName]=DiscreteStatsTable[[#This Row],[ProjectName]])*ProjectInfoTable[NumberOfReplications]))</f>
        <v>50</v>
      </c>
      <c r="N857" cm="1">
        <f t="array" ref="N857">IFERROR(AVERAGE(IF((DiscreteStatsTable[GroupByKey]=DiscreteStatsTable[[#This Row],[GroupByKey]]),(DiscreteStatsTable[GroupByKey]=DiscreteStatsTable[[#This Row],[GroupByKey]])*DiscreteStatsTable[Average])),0)</f>
        <v>1.0196487348764249</v>
      </c>
      <c r="O857" cm="1">
        <f t="array" ref="O857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57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57" cm="1">
        <f t="array" ref="R857">MIN(IF((DiscreteStatsTable[GroupByKey]=DiscreteStatsTable[[#This Row],[GroupByKey]]),(DiscreteStatsTable[GroupByKey]=DiscreteStatsTable[[#This Row],[GroupByKey]])*DiscreteStatsTable[Average]))</f>
        <v>0.95501634543056202</v>
      </c>
      <c r="S857" cm="1">
        <f t="array" ref="S857">MAX(IF((DiscreteStatsTable[GroupByKey]=DiscreteStatsTable[[#This Row],[GroupByKey]]),(DiscreteStatsTable[GroupByKey]=DiscreteStatsTable[[#This Row],[GroupByKey]])*DiscreteStatsTable[Average]))</f>
        <v>1.10769496585296</v>
      </c>
      <c r="T857" cm="1">
        <f t="array" ref="T857">MIN(IF((DiscreteStatsTable[GroupByKey]=DiscreteStatsTable[[#This Row],[GroupByKey]]),(DiscreteStatsTable[GroupByKey]=DiscreteStatsTable[[#This Row],[GroupByKey]])*DiscreteStatsTable[Minimum]))</f>
        <v>0.51401222690765302</v>
      </c>
      <c r="U857" cm="1">
        <f t="array" ref="U857">MAX(IF((DiscreteStatsTable[GroupByKey]=DiscreteStatsTable[[#This Row],[GroupByKey]]),(DiscreteStatsTable[GroupByKey]=DiscreteStatsTable[[#This Row],[GroupByKey]])*DiscreteStatsTable[Maximum]))</f>
        <v>5.8546620722510996</v>
      </c>
      <c r="V857" cm="1">
        <f t="array" ref="V857">IFERROR(AVERAGE(IF((DiscreteStatsTable[GroupByKey]=DiscreteStatsTable[[#This Row],[GroupByKey]]),(DiscreteStatsTable[GroupByKey]=DiscreteStatsTable[[#This Row],[GroupByKey]])*DiscreteStatsTable[NumberObservations])),0)</f>
        <v>437.5</v>
      </c>
      <c r="W857">
        <f>IF((DiscreteStatsTable[[#This Row],[RepsRequested]]&gt;1),DiscreteStatsTable[[#This Row],[HalfWidth]],DiscreteStatsTable[[#This Row],[BatchMeansHalfWidth]])</f>
        <v>9.0257219283451061E-3</v>
      </c>
      <c r="X857" cm="1">
        <f t="array" ref="X857">COUNT(IF((DiscreteStatsTable[GroupByKey]=DiscreteStatsTable[[#This Row],[GroupByKey]]),(DiscreteStatsTable[GroupByKey]=DiscreteStatsTable[[#This Row],[GroupByKey]])*DiscreteStatsTable[Replication]))</f>
        <v>50</v>
      </c>
      <c r="Y857">
        <f>IF(DiscreteStatsTable[[#This Row],[RepsRequested]]=DiscreteStatsTable[[#This Row],[RepsWithStatObserved]],1,0)</f>
        <v>1</v>
      </c>
    </row>
    <row r="858" spans="1:25" x14ac:dyDescent="0.25">
      <c r="A858" t="s">
        <v>68</v>
      </c>
      <c r="B858" t="s">
        <v>131</v>
      </c>
      <c r="C858">
        <v>7</v>
      </c>
      <c r="D858" t="s">
        <v>92</v>
      </c>
      <c r="E858" t="s">
        <v>89</v>
      </c>
      <c r="F858" t="s">
        <v>90</v>
      </c>
      <c r="G858">
        <v>1.04503180562674</v>
      </c>
      <c r="H858">
        <v>5.3685043034145299E-2</v>
      </c>
      <c r="I858">
        <v>0.57610983272897398</v>
      </c>
      <c r="J858">
        <v>3.4815049556539202</v>
      </c>
      <c r="K858">
        <v>416</v>
      </c>
      <c r="L858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58" cm="1">
        <f t="array" ref="M858">MAX(IF((ProjectInfoTable[ProjectName]=DiscreteStatsTable[[#This Row],[ProjectName]]),(ProjectInfoTable[ProjectName]=DiscreteStatsTable[[#This Row],[ProjectName]])*ProjectInfoTable[NumberOfReplications]))</f>
        <v>50</v>
      </c>
      <c r="N858" cm="1">
        <f t="array" ref="N858">IFERROR(AVERAGE(IF((DiscreteStatsTable[GroupByKey]=DiscreteStatsTable[[#This Row],[GroupByKey]]),(DiscreteStatsTable[GroupByKey]=DiscreteStatsTable[[#This Row],[GroupByKey]])*DiscreteStatsTable[Average])),0)</f>
        <v>1.0196487348764249</v>
      </c>
      <c r="O858" cm="1">
        <f t="array" ref="O858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58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58" cm="1">
        <f t="array" ref="R858">MIN(IF((DiscreteStatsTable[GroupByKey]=DiscreteStatsTable[[#This Row],[GroupByKey]]),(DiscreteStatsTable[GroupByKey]=DiscreteStatsTable[[#This Row],[GroupByKey]])*DiscreteStatsTable[Average]))</f>
        <v>0.95501634543056202</v>
      </c>
      <c r="S858" cm="1">
        <f t="array" ref="S858">MAX(IF((DiscreteStatsTable[GroupByKey]=DiscreteStatsTable[[#This Row],[GroupByKey]]),(DiscreteStatsTable[GroupByKey]=DiscreteStatsTable[[#This Row],[GroupByKey]])*DiscreteStatsTable[Average]))</f>
        <v>1.10769496585296</v>
      </c>
      <c r="T858" cm="1">
        <f t="array" ref="T858">MIN(IF((DiscreteStatsTable[GroupByKey]=DiscreteStatsTable[[#This Row],[GroupByKey]]),(DiscreteStatsTable[GroupByKey]=DiscreteStatsTable[[#This Row],[GroupByKey]])*DiscreteStatsTable[Minimum]))</f>
        <v>0.51401222690765302</v>
      </c>
      <c r="U858" cm="1">
        <f t="array" ref="U858">MAX(IF((DiscreteStatsTable[GroupByKey]=DiscreteStatsTable[[#This Row],[GroupByKey]]),(DiscreteStatsTable[GroupByKey]=DiscreteStatsTable[[#This Row],[GroupByKey]])*DiscreteStatsTable[Maximum]))</f>
        <v>5.8546620722510996</v>
      </c>
      <c r="V858" cm="1">
        <f t="array" ref="V858">IFERROR(AVERAGE(IF((DiscreteStatsTable[GroupByKey]=DiscreteStatsTable[[#This Row],[GroupByKey]]),(DiscreteStatsTable[GroupByKey]=DiscreteStatsTable[[#This Row],[GroupByKey]])*DiscreteStatsTable[NumberObservations])),0)</f>
        <v>437.5</v>
      </c>
      <c r="W858">
        <f>IF((DiscreteStatsTable[[#This Row],[RepsRequested]]&gt;1),DiscreteStatsTable[[#This Row],[HalfWidth]],DiscreteStatsTable[[#This Row],[BatchMeansHalfWidth]])</f>
        <v>9.0257219283451061E-3</v>
      </c>
      <c r="X858" cm="1">
        <f t="array" ref="X858">COUNT(IF((DiscreteStatsTable[GroupByKey]=DiscreteStatsTable[[#This Row],[GroupByKey]]),(DiscreteStatsTable[GroupByKey]=DiscreteStatsTable[[#This Row],[GroupByKey]])*DiscreteStatsTable[Replication]))</f>
        <v>50</v>
      </c>
      <c r="Y858">
        <f>IF(DiscreteStatsTable[[#This Row],[RepsRequested]]=DiscreteStatsTable[[#This Row],[RepsWithStatObserved]],1,0)</f>
        <v>1</v>
      </c>
    </row>
    <row r="859" spans="1:25" x14ac:dyDescent="0.25">
      <c r="A859" t="s">
        <v>68</v>
      </c>
      <c r="B859" t="s">
        <v>131</v>
      </c>
      <c r="C859">
        <v>8</v>
      </c>
      <c r="D859" t="s">
        <v>92</v>
      </c>
      <c r="E859" t="s">
        <v>89</v>
      </c>
      <c r="F859" t="s">
        <v>90</v>
      </c>
      <c r="G859">
        <v>0.99856818630489197</v>
      </c>
      <c r="H859">
        <v>5.9249139614849899E-2</v>
      </c>
      <c r="I859">
        <v>0.53890770951511502</v>
      </c>
      <c r="J859">
        <v>2.87104276191178</v>
      </c>
      <c r="K859">
        <v>430</v>
      </c>
      <c r="L859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59" cm="1">
        <f t="array" ref="M859">MAX(IF((ProjectInfoTable[ProjectName]=DiscreteStatsTable[[#This Row],[ProjectName]]),(ProjectInfoTable[ProjectName]=DiscreteStatsTable[[#This Row],[ProjectName]])*ProjectInfoTable[NumberOfReplications]))</f>
        <v>50</v>
      </c>
      <c r="N859" cm="1">
        <f t="array" ref="N859">IFERROR(AVERAGE(IF((DiscreteStatsTable[GroupByKey]=DiscreteStatsTable[[#This Row],[GroupByKey]]),(DiscreteStatsTable[GroupByKey]=DiscreteStatsTable[[#This Row],[GroupByKey]])*DiscreteStatsTable[Average])),0)</f>
        <v>1.0196487348764249</v>
      </c>
      <c r="O859" cm="1">
        <f t="array" ref="O859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59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59" cm="1">
        <f t="array" ref="R859">MIN(IF((DiscreteStatsTable[GroupByKey]=DiscreteStatsTable[[#This Row],[GroupByKey]]),(DiscreteStatsTable[GroupByKey]=DiscreteStatsTable[[#This Row],[GroupByKey]])*DiscreteStatsTable[Average]))</f>
        <v>0.95501634543056202</v>
      </c>
      <c r="S859" cm="1">
        <f t="array" ref="S859">MAX(IF((DiscreteStatsTable[GroupByKey]=DiscreteStatsTable[[#This Row],[GroupByKey]]),(DiscreteStatsTable[GroupByKey]=DiscreteStatsTable[[#This Row],[GroupByKey]])*DiscreteStatsTable[Average]))</f>
        <v>1.10769496585296</v>
      </c>
      <c r="T859" cm="1">
        <f t="array" ref="T859">MIN(IF((DiscreteStatsTable[GroupByKey]=DiscreteStatsTable[[#This Row],[GroupByKey]]),(DiscreteStatsTable[GroupByKey]=DiscreteStatsTable[[#This Row],[GroupByKey]])*DiscreteStatsTable[Minimum]))</f>
        <v>0.51401222690765302</v>
      </c>
      <c r="U859" cm="1">
        <f t="array" ref="U859">MAX(IF((DiscreteStatsTable[GroupByKey]=DiscreteStatsTable[[#This Row],[GroupByKey]]),(DiscreteStatsTable[GroupByKey]=DiscreteStatsTable[[#This Row],[GroupByKey]])*DiscreteStatsTable[Maximum]))</f>
        <v>5.8546620722510996</v>
      </c>
      <c r="V859" cm="1">
        <f t="array" ref="V859">IFERROR(AVERAGE(IF((DiscreteStatsTable[GroupByKey]=DiscreteStatsTable[[#This Row],[GroupByKey]]),(DiscreteStatsTable[GroupByKey]=DiscreteStatsTable[[#This Row],[GroupByKey]])*DiscreteStatsTable[NumberObservations])),0)</f>
        <v>437.5</v>
      </c>
      <c r="W859">
        <f>IF((DiscreteStatsTable[[#This Row],[RepsRequested]]&gt;1),DiscreteStatsTable[[#This Row],[HalfWidth]],DiscreteStatsTable[[#This Row],[BatchMeansHalfWidth]])</f>
        <v>9.0257219283451061E-3</v>
      </c>
      <c r="X859" cm="1">
        <f t="array" ref="X859">COUNT(IF((DiscreteStatsTable[GroupByKey]=DiscreteStatsTable[[#This Row],[GroupByKey]]),(DiscreteStatsTable[GroupByKey]=DiscreteStatsTable[[#This Row],[GroupByKey]])*DiscreteStatsTable[Replication]))</f>
        <v>50</v>
      </c>
      <c r="Y859">
        <f>IF(DiscreteStatsTable[[#This Row],[RepsRequested]]=DiscreteStatsTable[[#This Row],[RepsWithStatObserved]],1,0)</f>
        <v>1</v>
      </c>
    </row>
    <row r="860" spans="1:25" x14ac:dyDescent="0.25">
      <c r="A860" t="s">
        <v>68</v>
      </c>
      <c r="B860" t="s">
        <v>131</v>
      </c>
      <c r="C860">
        <v>9</v>
      </c>
      <c r="D860" t="s">
        <v>92</v>
      </c>
      <c r="E860" t="s">
        <v>89</v>
      </c>
      <c r="F860" t="s">
        <v>90</v>
      </c>
      <c r="G860">
        <v>1.06556897138257</v>
      </c>
      <c r="H860">
        <v>9.8175309845270398E-2</v>
      </c>
      <c r="I860">
        <v>0.52516841054853103</v>
      </c>
      <c r="J860">
        <v>4.7527741487962203</v>
      </c>
      <c r="K860">
        <v>429</v>
      </c>
      <c r="L860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60" cm="1">
        <f t="array" ref="M860">MAX(IF((ProjectInfoTable[ProjectName]=DiscreteStatsTable[[#This Row],[ProjectName]]),(ProjectInfoTable[ProjectName]=DiscreteStatsTable[[#This Row],[ProjectName]])*ProjectInfoTable[NumberOfReplications]))</f>
        <v>50</v>
      </c>
      <c r="N860" cm="1">
        <f t="array" ref="N860">IFERROR(AVERAGE(IF((DiscreteStatsTable[GroupByKey]=DiscreteStatsTable[[#This Row],[GroupByKey]]),(DiscreteStatsTable[GroupByKey]=DiscreteStatsTable[[#This Row],[GroupByKey]])*DiscreteStatsTable[Average])),0)</f>
        <v>1.0196487348764249</v>
      </c>
      <c r="O860" cm="1">
        <f t="array" ref="O860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60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60" cm="1">
        <f t="array" ref="R860">MIN(IF((DiscreteStatsTable[GroupByKey]=DiscreteStatsTable[[#This Row],[GroupByKey]]),(DiscreteStatsTable[GroupByKey]=DiscreteStatsTable[[#This Row],[GroupByKey]])*DiscreteStatsTable[Average]))</f>
        <v>0.95501634543056202</v>
      </c>
      <c r="S860" cm="1">
        <f t="array" ref="S860">MAX(IF((DiscreteStatsTable[GroupByKey]=DiscreteStatsTable[[#This Row],[GroupByKey]]),(DiscreteStatsTable[GroupByKey]=DiscreteStatsTable[[#This Row],[GroupByKey]])*DiscreteStatsTable[Average]))</f>
        <v>1.10769496585296</v>
      </c>
      <c r="T860" cm="1">
        <f t="array" ref="T860">MIN(IF((DiscreteStatsTable[GroupByKey]=DiscreteStatsTable[[#This Row],[GroupByKey]]),(DiscreteStatsTable[GroupByKey]=DiscreteStatsTable[[#This Row],[GroupByKey]])*DiscreteStatsTable[Minimum]))</f>
        <v>0.51401222690765302</v>
      </c>
      <c r="U860" cm="1">
        <f t="array" ref="U860">MAX(IF((DiscreteStatsTable[GroupByKey]=DiscreteStatsTable[[#This Row],[GroupByKey]]),(DiscreteStatsTable[GroupByKey]=DiscreteStatsTable[[#This Row],[GroupByKey]])*DiscreteStatsTable[Maximum]))</f>
        <v>5.8546620722510996</v>
      </c>
      <c r="V860" cm="1">
        <f t="array" ref="V860">IFERROR(AVERAGE(IF((DiscreteStatsTable[GroupByKey]=DiscreteStatsTable[[#This Row],[GroupByKey]]),(DiscreteStatsTable[GroupByKey]=DiscreteStatsTable[[#This Row],[GroupByKey]])*DiscreteStatsTable[NumberObservations])),0)</f>
        <v>437.5</v>
      </c>
      <c r="W860">
        <f>IF((DiscreteStatsTable[[#This Row],[RepsRequested]]&gt;1),DiscreteStatsTable[[#This Row],[HalfWidth]],DiscreteStatsTable[[#This Row],[BatchMeansHalfWidth]])</f>
        <v>9.0257219283451061E-3</v>
      </c>
      <c r="X860" cm="1">
        <f t="array" ref="X860">COUNT(IF((DiscreteStatsTable[GroupByKey]=DiscreteStatsTable[[#This Row],[GroupByKey]]),(DiscreteStatsTable[GroupByKey]=DiscreteStatsTable[[#This Row],[GroupByKey]])*DiscreteStatsTable[Replication]))</f>
        <v>50</v>
      </c>
      <c r="Y860">
        <f>IF(DiscreteStatsTable[[#This Row],[RepsRequested]]=DiscreteStatsTable[[#This Row],[RepsWithStatObserved]],1,0)</f>
        <v>1</v>
      </c>
    </row>
    <row r="861" spans="1:25" x14ac:dyDescent="0.25">
      <c r="A861" t="s">
        <v>68</v>
      </c>
      <c r="B861" t="s">
        <v>131</v>
      </c>
      <c r="C861">
        <v>10</v>
      </c>
      <c r="D861" t="s">
        <v>92</v>
      </c>
      <c r="E861" t="s">
        <v>89</v>
      </c>
      <c r="F861" t="s">
        <v>90</v>
      </c>
      <c r="G861">
        <v>1.01195733636614</v>
      </c>
      <c r="H861">
        <v>5.3493182086211198E-2</v>
      </c>
      <c r="I861">
        <v>0.57858454246917301</v>
      </c>
      <c r="J861">
        <v>3.0968418235890498</v>
      </c>
      <c r="K861">
        <v>471</v>
      </c>
      <c r="L861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61" cm="1">
        <f t="array" ref="M861">MAX(IF((ProjectInfoTable[ProjectName]=DiscreteStatsTable[[#This Row],[ProjectName]]),(ProjectInfoTable[ProjectName]=DiscreteStatsTable[[#This Row],[ProjectName]])*ProjectInfoTable[NumberOfReplications]))</f>
        <v>50</v>
      </c>
      <c r="N861" cm="1">
        <f t="array" ref="N861">IFERROR(AVERAGE(IF((DiscreteStatsTable[GroupByKey]=DiscreteStatsTable[[#This Row],[GroupByKey]]),(DiscreteStatsTable[GroupByKey]=DiscreteStatsTable[[#This Row],[GroupByKey]])*DiscreteStatsTable[Average])),0)</f>
        <v>1.0196487348764249</v>
      </c>
      <c r="O861" cm="1">
        <f t="array" ref="O861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61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61" cm="1">
        <f t="array" ref="R861">MIN(IF((DiscreteStatsTable[GroupByKey]=DiscreteStatsTable[[#This Row],[GroupByKey]]),(DiscreteStatsTable[GroupByKey]=DiscreteStatsTable[[#This Row],[GroupByKey]])*DiscreteStatsTable[Average]))</f>
        <v>0.95501634543056202</v>
      </c>
      <c r="S861" cm="1">
        <f t="array" ref="S861">MAX(IF((DiscreteStatsTable[GroupByKey]=DiscreteStatsTable[[#This Row],[GroupByKey]]),(DiscreteStatsTable[GroupByKey]=DiscreteStatsTable[[#This Row],[GroupByKey]])*DiscreteStatsTable[Average]))</f>
        <v>1.10769496585296</v>
      </c>
      <c r="T861" cm="1">
        <f t="array" ref="T861">MIN(IF((DiscreteStatsTable[GroupByKey]=DiscreteStatsTable[[#This Row],[GroupByKey]]),(DiscreteStatsTable[GroupByKey]=DiscreteStatsTable[[#This Row],[GroupByKey]])*DiscreteStatsTable[Minimum]))</f>
        <v>0.51401222690765302</v>
      </c>
      <c r="U861" cm="1">
        <f t="array" ref="U861">MAX(IF((DiscreteStatsTable[GroupByKey]=DiscreteStatsTable[[#This Row],[GroupByKey]]),(DiscreteStatsTable[GroupByKey]=DiscreteStatsTable[[#This Row],[GroupByKey]])*DiscreteStatsTable[Maximum]))</f>
        <v>5.8546620722510996</v>
      </c>
      <c r="V861" cm="1">
        <f t="array" ref="V861">IFERROR(AVERAGE(IF((DiscreteStatsTable[GroupByKey]=DiscreteStatsTable[[#This Row],[GroupByKey]]),(DiscreteStatsTable[GroupByKey]=DiscreteStatsTable[[#This Row],[GroupByKey]])*DiscreteStatsTable[NumberObservations])),0)</f>
        <v>437.5</v>
      </c>
      <c r="W861">
        <f>IF((DiscreteStatsTable[[#This Row],[RepsRequested]]&gt;1),DiscreteStatsTable[[#This Row],[HalfWidth]],DiscreteStatsTable[[#This Row],[BatchMeansHalfWidth]])</f>
        <v>9.0257219283451061E-3</v>
      </c>
      <c r="X861" cm="1">
        <f t="array" ref="X861">COUNT(IF((DiscreteStatsTable[GroupByKey]=DiscreteStatsTable[[#This Row],[GroupByKey]]),(DiscreteStatsTable[GroupByKey]=DiscreteStatsTable[[#This Row],[GroupByKey]])*DiscreteStatsTable[Replication]))</f>
        <v>50</v>
      </c>
      <c r="Y861">
        <f>IF(DiscreteStatsTable[[#This Row],[RepsRequested]]=DiscreteStatsTable[[#This Row],[RepsWithStatObserved]],1,0)</f>
        <v>1</v>
      </c>
    </row>
    <row r="862" spans="1:25" x14ac:dyDescent="0.25">
      <c r="A862" t="s">
        <v>68</v>
      </c>
      <c r="B862" t="s">
        <v>131</v>
      </c>
      <c r="C862">
        <v>11</v>
      </c>
      <c r="D862" t="s">
        <v>92</v>
      </c>
      <c r="E862" t="s">
        <v>89</v>
      </c>
      <c r="F862" t="s">
        <v>90</v>
      </c>
      <c r="G862">
        <v>0.99935144145042099</v>
      </c>
      <c r="H862">
        <v>4.50214238615365E-2</v>
      </c>
      <c r="I862">
        <v>0.56822214906947</v>
      </c>
      <c r="J862">
        <v>3.4490059419188701</v>
      </c>
      <c r="K862">
        <v>429</v>
      </c>
      <c r="L862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62" cm="1">
        <f t="array" ref="M862">MAX(IF((ProjectInfoTable[ProjectName]=DiscreteStatsTable[[#This Row],[ProjectName]]),(ProjectInfoTable[ProjectName]=DiscreteStatsTable[[#This Row],[ProjectName]])*ProjectInfoTable[NumberOfReplications]))</f>
        <v>50</v>
      </c>
      <c r="N862" cm="1">
        <f t="array" ref="N862">IFERROR(AVERAGE(IF((DiscreteStatsTable[GroupByKey]=DiscreteStatsTable[[#This Row],[GroupByKey]]),(DiscreteStatsTable[GroupByKey]=DiscreteStatsTable[[#This Row],[GroupByKey]])*DiscreteStatsTable[Average])),0)</f>
        <v>1.0196487348764249</v>
      </c>
      <c r="O862" cm="1">
        <f t="array" ref="O862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62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62" cm="1">
        <f t="array" ref="R862">MIN(IF((DiscreteStatsTable[GroupByKey]=DiscreteStatsTable[[#This Row],[GroupByKey]]),(DiscreteStatsTable[GroupByKey]=DiscreteStatsTable[[#This Row],[GroupByKey]])*DiscreteStatsTable[Average]))</f>
        <v>0.95501634543056202</v>
      </c>
      <c r="S862" cm="1">
        <f t="array" ref="S862">MAX(IF((DiscreteStatsTable[GroupByKey]=DiscreteStatsTable[[#This Row],[GroupByKey]]),(DiscreteStatsTable[GroupByKey]=DiscreteStatsTable[[#This Row],[GroupByKey]])*DiscreteStatsTable[Average]))</f>
        <v>1.10769496585296</v>
      </c>
      <c r="T862" cm="1">
        <f t="array" ref="T862">MIN(IF((DiscreteStatsTable[GroupByKey]=DiscreteStatsTable[[#This Row],[GroupByKey]]),(DiscreteStatsTable[GroupByKey]=DiscreteStatsTable[[#This Row],[GroupByKey]])*DiscreteStatsTable[Minimum]))</f>
        <v>0.51401222690765302</v>
      </c>
      <c r="U862" cm="1">
        <f t="array" ref="U862">MAX(IF((DiscreteStatsTable[GroupByKey]=DiscreteStatsTable[[#This Row],[GroupByKey]]),(DiscreteStatsTable[GroupByKey]=DiscreteStatsTable[[#This Row],[GroupByKey]])*DiscreteStatsTable[Maximum]))</f>
        <v>5.8546620722510996</v>
      </c>
      <c r="V862" cm="1">
        <f t="array" ref="V862">IFERROR(AVERAGE(IF((DiscreteStatsTable[GroupByKey]=DiscreteStatsTable[[#This Row],[GroupByKey]]),(DiscreteStatsTable[GroupByKey]=DiscreteStatsTable[[#This Row],[GroupByKey]])*DiscreteStatsTable[NumberObservations])),0)</f>
        <v>437.5</v>
      </c>
      <c r="W862">
        <f>IF((DiscreteStatsTable[[#This Row],[RepsRequested]]&gt;1),DiscreteStatsTable[[#This Row],[HalfWidth]],DiscreteStatsTable[[#This Row],[BatchMeansHalfWidth]])</f>
        <v>9.0257219283451061E-3</v>
      </c>
      <c r="X862" cm="1">
        <f t="array" ref="X862">COUNT(IF((DiscreteStatsTable[GroupByKey]=DiscreteStatsTable[[#This Row],[GroupByKey]]),(DiscreteStatsTable[GroupByKey]=DiscreteStatsTable[[#This Row],[GroupByKey]])*DiscreteStatsTable[Replication]))</f>
        <v>50</v>
      </c>
      <c r="Y862">
        <f>IF(DiscreteStatsTable[[#This Row],[RepsRequested]]=DiscreteStatsTable[[#This Row],[RepsWithStatObserved]],1,0)</f>
        <v>1</v>
      </c>
    </row>
    <row r="863" spans="1:25" x14ac:dyDescent="0.25">
      <c r="A863" t="s">
        <v>68</v>
      </c>
      <c r="B863" t="s">
        <v>131</v>
      </c>
      <c r="C863">
        <v>12</v>
      </c>
      <c r="D863" t="s">
        <v>92</v>
      </c>
      <c r="E863" t="s">
        <v>89</v>
      </c>
      <c r="F863" t="s">
        <v>90</v>
      </c>
      <c r="G863">
        <v>1.0635402426823899</v>
      </c>
      <c r="H863">
        <v>7.0464941981188994E-2</v>
      </c>
      <c r="I863">
        <v>0.59102911616002995</v>
      </c>
      <c r="J863">
        <v>3.1617656432246699</v>
      </c>
      <c r="K863">
        <v>439</v>
      </c>
      <c r="L863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63" cm="1">
        <f t="array" ref="M863">MAX(IF((ProjectInfoTable[ProjectName]=DiscreteStatsTable[[#This Row],[ProjectName]]),(ProjectInfoTable[ProjectName]=DiscreteStatsTable[[#This Row],[ProjectName]])*ProjectInfoTable[NumberOfReplications]))</f>
        <v>50</v>
      </c>
      <c r="N863" cm="1">
        <f t="array" ref="N863">IFERROR(AVERAGE(IF((DiscreteStatsTable[GroupByKey]=DiscreteStatsTable[[#This Row],[GroupByKey]]),(DiscreteStatsTable[GroupByKey]=DiscreteStatsTable[[#This Row],[GroupByKey]])*DiscreteStatsTable[Average])),0)</f>
        <v>1.0196487348764249</v>
      </c>
      <c r="O863" cm="1">
        <f t="array" ref="O863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63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63" cm="1">
        <f t="array" ref="R863">MIN(IF((DiscreteStatsTable[GroupByKey]=DiscreteStatsTable[[#This Row],[GroupByKey]]),(DiscreteStatsTable[GroupByKey]=DiscreteStatsTable[[#This Row],[GroupByKey]])*DiscreteStatsTable[Average]))</f>
        <v>0.95501634543056202</v>
      </c>
      <c r="S863" cm="1">
        <f t="array" ref="S863">MAX(IF((DiscreteStatsTable[GroupByKey]=DiscreteStatsTable[[#This Row],[GroupByKey]]),(DiscreteStatsTable[GroupByKey]=DiscreteStatsTable[[#This Row],[GroupByKey]])*DiscreteStatsTable[Average]))</f>
        <v>1.10769496585296</v>
      </c>
      <c r="T863" cm="1">
        <f t="array" ref="T863">MIN(IF((DiscreteStatsTable[GroupByKey]=DiscreteStatsTable[[#This Row],[GroupByKey]]),(DiscreteStatsTable[GroupByKey]=DiscreteStatsTable[[#This Row],[GroupByKey]])*DiscreteStatsTable[Minimum]))</f>
        <v>0.51401222690765302</v>
      </c>
      <c r="U863" cm="1">
        <f t="array" ref="U863">MAX(IF((DiscreteStatsTable[GroupByKey]=DiscreteStatsTable[[#This Row],[GroupByKey]]),(DiscreteStatsTable[GroupByKey]=DiscreteStatsTable[[#This Row],[GroupByKey]])*DiscreteStatsTable[Maximum]))</f>
        <v>5.8546620722510996</v>
      </c>
      <c r="V863" cm="1">
        <f t="array" ref="V863">IFERROR(AVERAGE(IF((DiscreteStatsTable[GroupByKey]=DiscreteStatsTable[[#This Row],[GroupByKey]]),(DiscreteStatsTable[GroupByKey]=DiscreteStatsTable[[#This Row],[GroupByKey]])*DiscreteStatsTable[NumberObservations])),0)</f>
        <v>437.5</v>
      </c>
      <c r="W863">
        <f>IF((DiscreteStatsTable[[#This Row],[RepsRequested]]&gt;1),DiscreteStatsTable[[#This Row],[HalfWidth]],DiscreteStatsTable[[#This Row],[BatchMeansHalfWidth]])</f>
        <v>9.0257219283451061E-3</v>
      </c>
      <c r="X863" cm="1">
        <f t="array" ref="X863">COUNT(IF((DiscreteStatsTable[GroupByKey]=DiscreteStatsTable[[#This Row],[GroupByKey]]),(DiscreteStatsTable[GroupByKey]=DiscreteStatsTable[[#This Row],[GroupByKey]])*DiscreteStatsTable[Replication]))</f>
        <v>50</v>
      </c>
      <c r="Y863">
        <f>IF(DiscreteStatsTable[[#This Row],[RepsRequested]]=DiscreteStatsTable[[#This Row],[RepsWithStatObserved]],1,0)</f>
        <v>1</v>
      </c>
    </row>
    <row r="864" spans="1:25" x14ac:dyDescent="0.25">
      <c r="A864" t="s">
        <v>68</v>
      </c>
      <c r="B864" t="s">
        <v>131</v>
      </c>
      <c r="C864">
        <v>13</v>
      </c>
      <c r="D864" t="s">
        <v>92</v>
      </c>
      <c r="E864" t="s">
        <v>89</v>
      </c>
      <c r="F864" t="s">
        <v>90</v>
      </c>
      <c r="G864">
        <v>1.0102354013730599</v>
      </c>
      <c r="H864">
        <v>4.8228708452953101E-2</v>
      </c>
      <c r="I864">
        <v>0.53362094055796705</v>
      </c>
      <c r="J864">
        <v>2.8218596331918002</v>
      </c>
      <c r="K864">
        <v>419</v>
      </c>
      <c r="L864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64" cm="1">
        <f t="array" ref="M864">MAX(IF((ProjectInfoTable[ProjectName]=DiscreteStatsTable[[#This Row],[ProjectName]]),(ProjectInfoTable[ProjectName]=DiscreteStatsTable[[#This Row],[ProjectName]])*ProjectInfoTable[NumberOfReplications]))</f>
        <v>50</v>
      </c>
      <c r="N864" cm="1">
        <f t="array" ref="N864">IFERROR(AVERAGE(IF((DiscreteStatsTable[GroupByKey]=DiscreteStatsTable[[#This Row],[GroupByKey]]),(DiscreteStatsTable[GroupByKey]=DiscreteStatsTable[[#This Row],[GroupByKey]])*DiscreteStatsTable[Average])),0)</f>
        <v>1.0196487348764249</v>
      </c>
      <c r="O864" cm="1">
        <f t="array" ref="O864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64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64" cm="1">
        <f t="array" ref="R864">MIN(IF((DiscreteStatsTable[GroupByKey]=DiscreteStatsTable[[#This Row],[GroupByKey]]),(DiscreteStatsTable[GroupByKey]=DiscreteStatsTable[[#This Row],[GroupByKey]])*DiscreteStatsTable[Average]))</f>
        <v>0.95501634543056202</v>
      </c>
      <c r="S864" cm="1">
        <f t="array" ref="S864">MAX(IF((DiscreteStatsTable[GroupByKey]=DiscreteStatsTable[[#This Row],[GroupByKey]]),(DiscreteStatsTable[GroupByKey]=DiscreteStatsTable[[#This Row],[GroupByKey]])*DiscreteStatsTable[Average]))</f>
        <v>1.10769496585296</v>
      </c>
      <c r="T864" cm="1">
        <f t="array" ref="T864">MIN(IF((DiscreteStatsTable[GroupByKey]=DiscreteStatsTable[[#This Row],[GroupByKey]]),(DiscreteStatsTable[GroupByKey]=DiscreteStatsTable[[#This Row],[GroupByKey]])*DiscreteStatsTable[Minimum]))</f>
        <v>0.51401222690765302</v>
      </c>
      <c r="U864" cm="1">
        <f t="array" ref="U864">MAX(IF((DiscreteStatsTable[GroupByKey]=DiscreteStatsTable[[#This Row],[GroupByKey]]),(DiscreteStatsTable[GroupByKey]=DiscreteStatsTable[[#This Row],[GroupByKey]])*DiscreteStatsTable[Maximum]))</f>
        <v>5.8546620722510996</v>
      </c>
      <c r="V864" cm="1">
        <f t="array" ref="V864">IFERROR(AVERAGE(IF((DiscreteStatsTable[GroupByKey]=DiscreteStatsTable[[#This Row],[GroupByKey]]),(DiscreteStatsTable[GroupByKey]=DiscreteStatsTable[[#This Row],[GroupByKey]])*DiscreteStatsTable[NumberObservations])),0)</f>
        <v>437.5</v>
      </c>
      <c r="W864">
        <f>IF((DiscreteStatsTable[[#This Row],[RepsRequested]]&gt;1),DiscreteStatsTable[[#This Row],[HalfWidth]],DiscreteStatsTable[[#This Row],[BatchMeansHalfWidth]])</f>
        <v>9.0257219283451061E-3</v>
      </c>
      <c r="X864" cm="1">
        <f t="array" ref="X864">COUNT(IF((DiscreteStatsTable[GroupByKey]=DiscreteStatsTable[[#This Row],[GroupByKey]]),(DiscreteStatsTable[GroupByKey]=DiscreteStatsTable[[#This Row],[GroupByKey]])*DiscreteStatsTable[Replication]))</f>
        <v>50</v>
      </c>
      <c r="Y864">
        <f>IF(DiscreteStatsTable[[#This Row],[RepsRequested]]=DiscreteStatsTable[[#This Row],[RepsWithStatObserved]],1,0)</f>
        <v>1</v>
      </c>
    </row>
    <row r="865" spans="1:25" x14ac:dyDescent="0.25">
      <c r="A865" t="s">
        <v>68</v>
      </c>
      <c r="B865" t="s">
        <v>131</v>
      </c>
      <c r="C865">
        <v>14</v>
      </c>
      <c r="D865" t="s">
        <v>92</v>
      </c>
      <c r="E865" t="s">
        <v>89</v>
      </c>
      <c r="F865" t="s">
        <v>90</v>
      </c>
      <c r="G865">
        <v>1.03684404692863</v>
      </c>
      <c r="H865">
        <v>8.73624685114366E-2</v>
      </c>
      <c r="I865">
        <v>0.54244488335552898</v>
      </c>
      <c r="J865">
        <v>3.6941013364577202</v>
      </c>
      <c r="K865">
        <v>433</v>
      </c>
      <c r="L865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65" cm="1">
        <f t="array" ref="M865">MAX(IF((ProjectInfoTable[ProjectName]=DiscreteStatsTable[[#This Row],[ProjectName]]),(ProjectInfoTable[ProjectName]=DiscreteStatsTable[[#This Row],[ProjectName]])*ProjectInfoTable[NumberOfReplications]))</f>
        <v>50</v>
      </c>
      <c r="N865" cm="1">
        <f t="array" ref="N865">IFERROR(AVERAGE(IF((DiscreteStatsTable[GroupByKey]=DiscreteStatsTable[[#This Row],[GroupByKey]]),(DiscreteStatsTable[GroupByKey]=DiscreteStatsTable[[#This Row],[GroupByKey]])*DiscreteStatsTable[Average])),0)</f>
        <v>1.0196487348764249</v>
      </c>
      <c r="O865" cm="1">
        <f t="array" ref="O865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6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65" cm="1">
        <f t="array" ref="R865">MIN(IF((DiscreteStatsTable[GroupByKey]=DiscreteStatsTable[[#This Row],[GroupByKey]]),(DiscreteStatsTable[GroupByKey]=DiscreteStatsTable[[#This Row],[GroupByKey]])*DiscreteStatsTable[Average]))</f>
        <v>0.95501634543056202</v>
      </c>
      <c r="S865" cm="1">
        <f t="array" ref="S865">MAX(IF((DiscreteStatsTable[GroupByKey]=DiscreteStatsTable[[#This Row],[GroupByKey]]),(DiscreteStatsTable[GroupByKey]=DiscreteStatsTable[[#This Row],[GroupByKey]])*DiscreteStatsTable[Average]))</f>
        <v>1.10769496585296</v>
      </c>
      <c r="T865" cm="1">
        <f t="array" ref="T865">MIN(IF((DiscreteStatsTable[GroupByKey]=DiscreteStatsTable[[#This Row],[GroupByKey]]),(DiscreteStatsTable[GroupByKey]=DiscreteStatsTable[[#This Row],[GroupByKey]])*DiscreteStatsTable[Minimum]))</f>
        <v>0.51401222690765302</v>
      </c>
      <c r="U865" cm="1">
        <f t="array" ref="U865">MAX(IF((DiscreteStatsTable[GroupByKey]=DiscreteStatsTable[[#This Row],[GroupByKey]]),(DiscreteStatsTable[GroupByKey]=DiscreteStatsTable[[#This Row],[GroupByKey]])*DiscreteStatsTable[Maximum]))</f>
        <v>5.8546620722510996</v>
      </c>
      <c r="V865" cm="1">
        <f t="array" ref="V865">IFERROR(AVERAGE(IF((DiscreteStatsTable[GroupByKey]=DiscreteStatsTable[[#This Row],[GroupByKey]]),(DiscreteStatsTable[GroupByKey]=DiscreteStatsTable[[#This Row],[GroupByKey]])*DiscreteStatsTable[NumberObservations])),0)</f>
        <v>437.5</v>
      </c>
      <c r="W865">
        <f>IF((DiscreteStatsTable[[#This Row],[RepsRequested]]&gt;1),DiscreteStatsTable[[#This Row],[HalfWidth]],DiscreteStatsTable[[#This Row],[BatchMeansHalfWidth]])</f>
        <v>9.0257219283451061E-3</v>
      </c>
      <c r="X865" cm="1">
        <f t="array" ref="X865">COUNT(IF((DiscreteStatsTable[GroupByKey]=DiscreteStatsTable[[#This Row],[GroupByKey]]),(DiscreteStatsTable[GroupByKey]=DiscreteStatsTable[[#This Row],[GroupByKey]])*DiscreteStatsTable[Replication]))</f>
        <v>50</v>
      </c>
      <c r="Y865">
        <f>IF(DiscreteStatsTable[[#This Row],[RepsRequested]]=DiscreteStatsTable[[#This Row],[RepsWithStatObserved]],1,0)</f>
        <v>1</v>
      </c>
    </row>
    <row r="866" spans="1:25" x14ac:dyDescent="0.25">
      <c r="A866" t="s">
        <v>68</v>
      </c>
      <c r="B866" t="s">
        <v>131</v>
      </c>
      <c r="C866">
        <v>15</v>
      </c>
      <c r="D866" t="s">
        <v>92</v>
      </c>
      <c r="E866" t="s">
        <v>89</v>
      </c>
      <c r="F866" t="s">
        <v>90</v>
      </c>
      <c r="G866">
        <v>1.06945778837811</v>
      </c>
      <c r="H866">
        <v>8.4274916445168893E-2</v>
      </c>
      <c r="I866">
        <v>0.57050536023842802</v>
      </c>
      <c r="J866">
        <v>3.4658766040484998</v>
      </c>
      <c r="K866">
        <v>499</v>
      </c>
      <c r="L866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66" cm="1">
        <f t="array" ref="M866">MAX(IF((ProjectInfoTable[ProjectName]=DiscreteStatsTable[[#This Row],[ProjectName]]),(ProjectInfoTable[ProjectName]=DiscreteStatsTable[[#This Row],[ProjectName]])*ProjectInfoTable[NumberOfReplications]))</f>
        <v>50</v>
      </c>
      <c r="N866" cm="1">
        <f t="array" ref="N866">IFERROR(AVERAGE(IF((DiscreteStatsTable[GroupByKey]=DiscreteStatsTable[[#This Row],[GroupByKey]]),(DiscreteStatsTable[GroupByKey]=DiscreteStatsTable[[#This Row],[GroupByKey]])*DiscreteStatsTable[Average])),0)</f>
        <v>1.0196487348764249</v>
      </c>
      <c r="O866" cm="1">
        <f t="array" ref="O866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66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66" cm="1">
        <f t="array" ref="R866">MIN(IF((DiscreteStatsTable[GroupByKey]=DiscreteStatsTable[[#This Row],[GroupByKey]]),(DiscreteStatsTable[GroupByKey]=DiscreteStatsTable[[#This Row],[GroupByKey]])*DiscreteStatsTable[Average]))</f>
        <v>0.95501634543056202</v>
      </c>
      <c r="S866" cm="1">
        <f t="array" ref="S866">MAX(IF((DiscreteStatsTable[GroupByKey]=DiscreteStatsTable[[#This Row],[GroupByKey]]),(DiscreteStatsTable[GroupByKey]=DiscreteStatsTable[[#This Row],[GroupByKey]])*DiscreteStatsTable[Average]))</f>
        <v>1.10769496585296</v>
      </c>
      <c r="T866" cm="1">
        <f t="array" ref="T866">MIN(IF((DiscreteStatsTable[GroupByKey]=DiscreteStatsTable[[#This Row],[GroupByKey]]),(DiscreteStatsTable[GroupByKey]=DiscreteStatsTable[[#This Row],[GroupByKey]])*DiscreteStatsTable[Minimum]))</f>
        <v>0.51401222690765302</v>
      </c>
      <c r="U866" cm="1">
        <f t="array" ref="U866">MAX(IF((DiscreteStatsTable[GroupByKey]=DiscreteStatsTable[[#This Row],[GroupByKey]]),(DiscreteStatsTable[GroupByKey]=DiscreteStatsTable[[#This Row],[GroupByKey]])*DiscreteStatsTable[Maximum]))</f>
        <v>5.8546620722510996</v>
      </c>
      <c r="V866" cm="1">
        <f t="array" ref="V866">IFERROR(AVERAGE(IF((DiscreteStatsTable[GroupByKey]=DiscreteStatsTable[[#This Row],[GroupByKey]]),(DiscreteStatsTable[GroupByKey]=DiscreteStatsTable[[#This Row],[GroupByKey]])*DiscreteStatsTable[NumberObservations])),0)</f>
        <v>437.5</v>
      </c>
      <c r="W866">
        <f>IF((DiscreteStatsTable[[#This Row],[RepsRequested]]&gt;1),DiscreteStatsTable[[#This Row],[HalfWidth]],DiscreteStatsTable[[#This Row],[BatchMeansHalfWidth]])</f>
        <v>9.0257219283451061E-3</v>
      </c>
      <c r="X866" cm="1">
        <f t="array" ref="X866">COUNT(IF((DiscreteStatsTable[GroupByKey]=DiscreteStatsTable[[#This Row],[GroupByKey]]),(DiscreteStatsTable[GroupByKey]=DiscreteStatsTable[[#This Row],[GroupByKey]])*DiscreteStatsTable[Replication]))</f>
        <v>50</v>
      </c>
      <c r="Y866">
        <f>IF(DiscreteStatsTable[[#This Row],[RepsRequested]]=DiscreteStatsTable[[#This Row],[RepsWithStatObserved]],1,0)</f>
        <v>1</v>
      </c>
    </row>
    <row r="867" spans="1:25" x14ac:dyDescent="0.25">
      <c r="A867" t="s">
        <v>68</v>
      </c>
      <c r="B867" t="s">
        <v>131</v>
      </c>
      <c r="C867">
        <v>16</v>
      </c>
      <c r="D867" t="s">
        <v>92</v>
      </c>
      <c r="E867" t="s">
        <v>89</v>
      </c>
      <c r="F867" t="s">
        <v>90</v>
      </c>
      <c r="G867">
        <v>1.0141181870392</v>
      </c>
      <c r="H867">
        <v>6.9015979864265706E-2</v>
      </c>
      <c r="I867">
        <v>0.56128911117536995</v>
      </c>
      <c r="J867">
        <v>3.8089472504210602</v>
      </c>
      <c r="K867">
        <v>407</v>
      </c>
      <c r="L867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67" cm="1">
        <f t="array" ref="M867">MAX(IF((ProjectInfoTable[ProjectName]=DiscreteStatsTable[[#This Row],[ProjectName]]),(ProjectInfoTable[ProjectName]=DiscreteStatsTable[[#This Row],[ProjectName]])*ProjectInfoTable[NumberOfReplications]))</f>
        <v>50</v>
      </c>
      <c r="N867" cm="1">
        <f t="array" ref="N867">IFERROR(AVERAGE(IF((DiscreteStatsTable[GroupByKey]=DiscreteStatsTable[[#This Row],[GroupByKey]]),(DiscreteStatsTable[GroupByKey]=DiscreteStatsTable[[#This Row],[GroupByKey]])*DiscreteStatsTable[Average])),0)</f>
        <v>1.0196487348764249</v>
      </c>
      <c r="O867" cm="1">
        <f t="array" ref="O867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67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67" cm="1">
        <f t="array" ref="R867">MIN(IF((DiscreteStatsTable[GroupByKey]=DiscreteStatsTable[[#This Row],[GroupByKey]]),(DiscreteStatsTable[GroupByKey]=DiscreteStatsTable[[#This Row],[GroupByKey]])*DiscreteStatsTable[Average]))</f>
        <v>0.95501634543056202</v>
      </c>
      <c r="S867" cm="1">
        <f t="array" ref="S867">MAX(IF((DiscreteStatsTable[GroupByKey]=DiscreteStatsTable[[#This Row],[GroupByKey]]),(DiscreteStatsTable[GroupByKey]=DiscreteStatsTable[[#This Row],[GroupByKey]])*DiscreteStatsTable[Average]))</f>
        <v>1.10769496585296</v>
      </c>
      <c r="T867" cm="1">
        <f t="array" ref="T867">MIN(IF((DiscreteStatsTable[GroupByKey]=DiscreteStatsTable[[#This Row],[GroupByKey]]),(DiscreteStatsTable[GroupByKey]=DiscreteStatsTable[[#This Row],[GroupByKey]])*DiscreteStatsTable[Minimum]))</f>
        <v>0.51401222690765302</v>
      </c>
      <c r="U867" cm="1">
        <f t="array" ref="U867">MAX(IF((DiscreteStatsTable[GroupByKey]=DiscreteStatsTable[[#This Row],[GroupByKey]]),(DiscreteStatsTable[GroupByKey]=DiscreteStatsTable[[#This Row],[GroupByKey]])*DiscreteStatsTable[Maximum]))</f>
        <v>5.8546620722510996</v>
      </c>
      <c r="V867" cm="1">
        <f t="array" ref="V867">IFERROR(AVERAGE(IF((DiscreteStatsTable[GroupByKey]=DiscreteStatsTable[[#This Row],[GroupByKey]]),(DiscreteStatsTable[GroupByKey]=DiscreteStatsTable[[#This Row],[GroupByKey]])*DiscreteStatsTable[NumberObservations])),0)</f>
        <v>437.5</v>
      </c>
      <c r="W867">
        <f>IF((DiscreteStatsTable[[#This Row],[RepsRequested]]&gt;1),DiscreteStatsTable[[#This Row],[HalfWidth]],DiscreteStatsTable[[#This Row],[BatchMeansHalfWidth]])</f>
        <v>9.0257219283451061E-3</v>
      </c>
      <c r="X867" cm="1">
        <f t="array" ref="X867">COUNT(IF((DiscreteStatsTable[GroupByKey]=DiscreteStatsTable[[#This Row],[GroupByKey]]),(DiscreteStatsTable[GroupByKey]=DiscreteStatsTable[[#This Row],[GroupByKey]])*DiscreteStatsTable[Replication]))</f>
        <v>50</v>
      </c>
      <c r="Y867">
        <f>IF(DiscreteStatsTable[[#This Row],[RepsRequested]]=DiscreteStatsTable[[#This Row],[RepsWithStatObserved]],1,0)</f>
        <v>1</v>
      </c>
    </row>
    <row r="868" spans="1:25" x14ac:dyDescent="0.25">
      <c r="A868" t="s">
        <v>68</v>
      </c>
      <c r="B868" t="s">
        <v>131</v>
      </c>
      <c r="C868">
        <v>17</v>
      </c>
      <c r="D868" t="s">
        <v>92</v>
      </c>
      <c r="E868" t="s">
        <v>89</v>
      </c>
      <c r="F868" t="s">
        <v>90</v>
      </c>
      <c r="G868">
        <v>1.01673018717625</v>
      </c>
      <c r="H868">
        <v>7.1006049420158701E-2</v>
      </c>
      <c r="I868">
        <v>0.565833217790214</v>
      </c>
      <c r="J868">
        <v>3.2703740840354998</v>
      </c>
      <c r="K868">
        <v>430</v>
      </c>
      <c r="L868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68" cm="1">
        <f t="array" ref="M868">MAX(IF((ProjectInfoTable[ProjectName]=DiscreteStatsTable[[#This Row],[ProjectName]]),(ProjectInfoTable[ProjectName]=DiscreteStatsTable[[#This Row],[ProjectName]])*ProjectInfoTable[NumberOfReplications]))</f>
        <v>50</v>
      </c>
      <c r="N868" cm="1">
        <f t="array" ref="N868">IFERROR(AVERAGE(IF((DiscreteStatsTable[GroupByKey]=DiscreteStatsTable[[#This Row],[GroupByKey]]),(DiscreteStatsTable[GroupByKey]=DiscreteStatsTable[[#This Row],[GroupByKey]])*DiscreteStatsTable[Average])),0)</f>
        <v>1.0196487348764249</v>
      </c>
      <c r="O868" cm="1">
        <f t="array" ref="O868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68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68" cm="1">
        <f t="array" ref="R868">MIN(IF((DiscreteStatsTable[GroupByKey]=DiscreteStatsTable[[#This Row],[GroupByKey]]),(DiscreteStatsTable[GroupByKey]=DiscreteStatsTable[[#This Row],[GroupByKey]])*DiscreteStatsTable[Average]))</f>
        <v>0.95501634543056202</v>
      </c>
      <c r="S868" cm="1">
        <f t="array" ref="S868">MAX(IF((DiscreteStatsTable[GroupByKey]=DiscreteStatsTable[[#This Row],[GroupByKey]]),(DiscreteStatsTable[GroupByKey]=DiscreteStatsTable[[#This Row],[GroupByKey]])*DiscreteStatsTable[Average]))</f>
        <v>1.10769496585296</v>
      </c>
      <c r="T868" cm="1">
        <f t="array" ref="T868">MIN(IF((DiscreteStatsTable[GroupByKey]=DiscreteStatsTable[[#This Row],[GroupByKey]]),(DiscreteStatsTable[GroupByKey]=DiscreteStatsTable[[#This Row],[GroupByKey]])*DiscreteStatsTable[Minimum]))</f>
        <v>0.51401222690765302</v>
      </c>
      <c r="U868" cm="1">
        <f t="array" ref="U868">MAX(IF((DiscreteStatsTable[GroupByKey]=DiscreteStatsTable[[#This Row],[GroupByKey]]),(DiscreteStatsTable[GroupByKey]=DiscreteStatsTable[[#This Row],[GroupByKey]])*DiscreteStatsTable[Maximum]))</f>
        <v>5.8546620722510996</v>
      </c>
      <c r="V868" cm="1">
        <f t="array" ref="V868">IFERROR(AVERAGE(IF((DiscreteStatsTable[GroupByKey]=DiscreteStatsTable[[#This Row],[GroupByKey]]),(DiscreteStatsTable[GroupByKey]=DiscreteStatsTable[[#This Row],[GroupByKey]])*DiscreteStatsTable[NumberObservations])),0)</f>
        <v>437.5</v>
      </c>
      <c r="W868">
        <f>IF((DiscreteStatsTable[[#This Row],[RepsRequested]]&gt;1),DiscreteStatsTable[[#This Row],[HalfWidth]],DiscreteStatsTable[[#This Row],[BatchMeansHalfWidth]])</f>
        <v>9.0257219283451061E-3</v>
      </c>
      <c r="X868" cm="1">
        <f t="array" ref="X868">COUNT(IF((DiscreteStatsTable[GroupByKey]=DiscreteStatsTable[[#This Row],[GroupByKey]]),(DiscreteStatsTable[GroupByKey]=DiscreteStatsTable[[#This Row],[GroupByKey]])*DiscreteStatsTable[Replication]))</f>
        <v>50</v>
      </c>
      <c r="Y868">
        <f>IF(DiscreteStatsTable[[#This Row],[RepsRequested]]=DiscreteStatsTable[[#This Row],[RepsWithStatObserved]],1,0)</f>
        <v>1</v>
      </c>
    </row>
    <row r="869" spans="1:25" x14ac:dyDescent="0.25">
      <c r="A869" t="s">
        <v>68</v>
      </c>
      <c r="B869" t="s">
        <v>131</v>
      </c>
      <c r="C869">
        <v>18</v>
      </c>
      <c r="D869" t="s">
        <v>92</v>
      </c>
      <c r="E869" t="s">
        <v>89</v>
      </c>
      <c r="F869" t="s">
        <v>90</v>
      </c>
      <c r="G869">
        <v>0.996905872297143</v>
      </c>
      <c r="H869">
        <v>5.91465294238867E-2</v>
      </c>
      <c r="I869">
        <v>0.55014010827034099</v>
      </c>
      <c r="J869">
        <v>2.7074286549300299</v>
      </c>
      <c r="K869">
        <v>421</v>
      </c>
      <c r="L869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69" cm="1">
        <f t="array" ref="M869">MAX(IF((ProjectInfoTable[ProjectName]=DiscreteStatsTable[[#This Row],[ProjectName]]),(ProjectInfoTable[ProjectName]=DiscreteStatsTable[[#This Row],[ProjectName]])*ProjectInfoTable[NumberOfReplications]))</f>
        <v>50</v>
      </c>
      <c r="N869" cm="1">
        <f t="array" ref="N869">IFERROR(AVERAGE(IF((DiscreteStatsTable[GroupByKey]=DiscreteStatsTable[[#This Row],[GroupByKey]]),(DiscreteStatsTable[GroupByKey]=DiscreteStatsTable[[#This Row],[GroupByKey]])*DiscreteStatsTable[Average])),0)</f>
        <v>1.0196487348764249</v>
      </c>
      <c r="O869" cm="1">
        <f t="array" ref="O869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69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69" cm="1">
        <f t="array" ref="R869">MIN(IF((DiscreteStatsTable[GroupByKey]=DiscreteStatsTable[[#This Row],[GroupByKey]]),(DiscreteStatsTable[GroupByKey]=DiscreteStatsTable[[#This Row],[GroupByKey]])*DiscreteStatsTable[Average]))</f>
        <v>0.95501634543056202</v>
      </c>
      <c r="S869" cm="1">
        <f t="array" ref="S869">MAX(IF((DiscreteStatsTable[GroupByKey]=DiscreteStatsTable[[#This Row],[GroupByKey]]),(DiscreteStatsTable[GroupByKey]=DiscreteStatsTable[[#This Row],[GroupByKey]])*DiscreteStatsTable[Average]))</f>
        <v>1.10769496585296</v>
      </c>
      <c r="T869" cm="1">
        <f t="array" ref="T869">MIN(IF((DiscreteStatsTable[GroupByKey]=DiscreteStatsTable[[#This Row],[GroupByKey]]),(DiscreteStatsTable[GroupByKey]=DiscreteStatsTable[[#This Row],[GroupByKey]])*DiscreteStatsTable[Minimum]))</f>
        <v>0.51401222690765302</v>
      </c>
      <c r="U869" cm="1">
        <f t="array" ref="U869">MAX(IF((DiscreteStatsTable[GroupByKey]=DiscreteStatsTable[[#This Row],[GroupByKey]]),(DiscreteStatsTable[GroupByKey]=DiscreteStatsTable[[#This Row],[GroupByKey]])*DiscreteStatsTable[Maximum]))</f>
        <v>5.8546620722510996</v>
      </c>
      <c r="V869" cm="1">
        <f t="array" ref="V869">IFERROR(AVERAGE(IF((DiscreteStatsTable[GroupByKey]=DiscreteStatsTable[[#This Row],[GroupByKey]]),(DiscreteStatsTable[GroupByKey]=DiscreteStatsTable[[#This Row],[GroupByKey]])*DiscreteStatsTable[NumberObservations])),0)</f>
        <v>437.5</v>
      </c>
      <c r="W869">
        <f>IF((DiscreteStatsTable[[#This Row],[RepsRequested]]&gt;1),DiscreteStatsTable[[#This Row],[HalfWidth]],DiscreteStatsTable[[#This Row],[BatchMeansHalfWidth]])</f>
        <v>9.0257219283451061E-3</v>
      </c>
      <c r="X869" cm="1">
        <f t="array" ref="X869">COUNT(IF((DiscreteStatsTable[GroupByKey]=DiscreteStatsTable[[#This Row],[GroupByKey]]),(DiscreteStatsTable[GroupByKey]=DiscreteStatsTable[[#This Row],[GroupByKey]])*DiscreteStatsTable[Replication]))</f>
        <v>50</v>
      </c>
      <c r="Y869">
        <f>IF(DiscreteStatsTable[[#This Row],[RepsRequested]]=DiscreteStatsTable[[#This Row],[RepsWithStatObserved]],1,0)</f>
        <v>1</v>
      </c>
    </row>
    <row r="870" spans="1:25" x14ac:dyDescent="0.25">
      <c r="A870" t="s">
        <v>68</v>
      </c>
      <c r="B870" t="s">
        <v>131</v>
      </c>
      <c r="C870">
        <v>19</v>
      </c>
      <c r="D870" t="s">
        <v>92</v>
      </c>
      <c r="E870" t="s">
        <v>89</v>
      </c>
      <c r="F870" t="s">
        <v>90</v>
      </c>
      <c r="G870">
        <v>0.99203530199499601</v>
      </c>
      <c r="H870">
        <v>3.8468786947459199E-2</v>
      </c>
      <c r="I870">
        <v>0.51401222690765302</v>
      </c>
      <c r="J870">
        <v>2.6583691228910298</v>
      </c>
      <c r="K870">
        <v>462</v>
      </c>
      <c r="L870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70" cm="1">
        <f t="array" ref="M870">MAX(IF((ProjectInfoTable[ProjectName]=DiscreteStatsTable[[#This Row],[ProjectName]]),(ProjectInfoTable[ProjectName]=DiscreteStatsTable[[#This Row],[ProjectName]])*ProjectInfoTable[NumberOfReplications]))</f>
        <v>50</v>
      </c>
      <c r="N870" cm="1">
        <f t="array" ref="N870">IFERROR(AVERAGE(IF((DiscreteStatsTable[GroupByKey]=DiscreteStatsTable[[#This Row],[GroupByKey]]),(DiscreteStatsTable[GroupByKey]=DiscreteStatsTable[[#This Row],[GroupByKey]])*DiscreteStatsTable[Average])),0)</f>
        <v>1.0196487348764249</v>
      </c>
      <c r="O870" cm="1">
        <f t="array" ref="O870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70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70" cm="1">
        <f t="array" ref="R870">MIN(IF((DiscreteStatsTable[GroupByKey]=DiscreteStatsTable[[#This Row],[GroupByKey]]),(DiscreteStatsTable[GroupByKey]=DiscreteStatsTable[[#This Row],[GroupByKey]])*DiscreteStatsTable[Average]))</f>
        <v>0.95501634543056202</v>
      </c>
      <c r="S870" cm="1">
        <f t="array" ref="S870">MAX(IF((DiscreteStatsTable[GroupByKey]=DiscreteStatsTable[[#This Row],[GroupByKey]]),(DiscreteStatsTable[GroupByKey]=DiscreteStatsTable[[#This Row],[GroupByKey]])*DiscreteStatsTable[Average]))</f>
        <v>1.10769496585296</v>
      </c>
      <c r="T870" cm="1">
        <f t="array" ref="T870">MIN(IF((DiscreteStatsTable[GroupByKey]=DiscreteStatsTable[[#This Row],[GroupByKey]]),(DiscreteStatsTable[GroupByKey]=DiscreteStatsTable[[#This Row],[GroupByKey]])*DiscreteStatsTable[Minimum]))</f>
        <v>0.51401222690765302</v>
      </c>
      <c r="U870" cm="1">
        <f t="array" ref="U870">MAX(IF((DiscreteStatsTable[GroupByKey]=DiscreteStatsTable[[#This Row],[GroupByKey]]),(DiscreteStatsTable[GroupByKey]=DiscreteStatsTable[[#This Row],[GroupByKey]])*DiscreteStatsTable[Maximum]))</f>
        <v>5.8546620722510996</v>
      </c>
      <c r="V870" cm="1">
        <f t="array" ref="V870">IFERROR(AVERAGE(IF((DiscreteStatsTable[GroupByKey]=DiscreteStatsTable[[#This Row],[GroupByKey]]),(DiscreteStatsTable[GroupByKey]=DiscreteStatsTable[[#This Row],[GroupByKey]])*DiscreteStatsTable[NumberObservations])),0)</f>
        <v>437.5</v>
      </c>
      <c r="W870">
        <f>IF((DiscreteStatsTable[[#This Row],[RepsRequested]]&gt;1),DiscreteStatsTable[[#This Row],[HalfWidth]],DiscreteStatsTable[[#This Row],[BatchMeansHalfWidth]])</f>
        <v>9.0257219283451061E-3</v>
      </c>
      <c r="X870" cm="1">
        <f t="array" ref="X870">COUNT(IF((DiscreteStatsTable[GroupByKey]=DiscreteStatsTable[[#This Row],[GroupByKey]]),(DiscreteStatsTable[GroupByKey]=DiscreteStatsTable[[#This Row],[GroupByKey]])*DiscreteStatsTable[Replication]))</f>
        <v>50</v>
      </c>
      <c r="Y870">
        <f>IF(DiscreteStatsTable[[#This Row],[RepsRequested]]=DiscreteStatsTable[[#This Row],[RepsWithStatObserved]],1,0)</f>
        <v>1</v>
      </c>
    </row>
    <row r="871" spans="1:25" x14ac:dyDescent="0.25">
      <c r="A871" t="s">
        <v>68</v>
      </c>
      <c r="B871" t="s">
        <v>131</v>
      </c>
      <c r="C871">
        <v>20</v>
      </c>
      <c r="D871" t="s">
        <v>92</v>
      </c>
      <c r="E871" t="s">
        <v>89</v>
      </c>
      <c r="F871" t="s">
        <v>90</v>
      </c>
      <c r="G871">
        <v>0.98322118939105096</v>
      </c>
      <c r="H871">
        <v>4.7929433211533402E-2</v>
      </c>
      <c r="I871">
        <v>0.52398989717951105</v>
      </c>
      <c r="J871">
        <v>2.6969001237970001</v>
      </c>
      <c r="K871">
        <v>415</v>
      </c>
      <c r="L871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71" cm="1">
        <f t="array" ref="M871">MAX(IF((ProjectInfoTable[ProjectName]=DiscreteStatsTable[[#This Row],[ProjectName]]),(ProjectInfoTable[ProjectName]=DiscreteStatsTable[[#This Row],[ProjectName]])*ProjectInfoTable[NumberOfReplications]))</f>
        <v>50</v>
      </c>
      <c r="N871" cm="1">
        <f t="array" ref="N871">IFERROR(AVERAGE(IF((DiscreteStatsTable[GroupByKey]=DiscreteStatsTable[[#This Row],[GroupByKey]]),(DiscreteStatsTable[GroupByKey]=DiscreteStatsTable[[#This Row],[GroupByKey]])*DiscreteStatsTable[Average])),0)</f>
        <v>1.0196487348764249</v>
      </c>
      <c r="O871" cm="1">
        <f t="array" ref="O871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71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71" cm="1">
        <f t="array" ref="R871">MIN(IF((DiscreteStatsTable[GroupByKey]=DiscreteStatsTable[[#This Row],[GroupByKey]]),(DiscreteStatsTable[GroupByKey]=DiscreteStatsTable[[#This Row],[GroupByKey]])*DiscreteStatsTable[Average]))</f>
        <v>0.95501634543056202</v>
      </c>
      <c r="S871" cm="1">
        <f t="array" ref="S871">MAX(IF((DiscreteStatsTable[GroupByKey]=DiscreteStatsTable[[#This Row],[GroupByKey]]),(DiscreteStatsTable[GroupByKey]=DiscreteStatsTable[[#This Row],[GroupByKey]])*DiscreteStatsTable[Average]))</f>
        <v>1.10769496585296</v>
      </c>
      <c r="T871" cm="1">
        <f t="array" ref="T871">MIN(IF((DiscreteStatsTable[GroupByKey]=DiscreteStatsTable[[#This Row],[GroupByKey]]),(DiscreteStatsTable[GroupByKey]=DiscreteStatsTable[[#This Row],[GroupByKey]])*DiscreteStatsTable[Minimum]))</f>
        <v>0.51401222690765302</v>
      </c>
      <c r="U871" cm="1">
        <f t="array" ref="U871">MAX(IF((DiscreteStatsTable[GroupByKey]=DiscreteStatsTable[[#This Row],[GroupByKey]]),(DiscreteStatsTable[GroupByKey]=DiscreteStatsTable[[#This Row],[GroupByKey]])*DiscreteStatsTable[Maximum]))</f>
        <v>5.8546620722510996</v>
      </c>
      <c r="V871" cm="1">
        <f t="array" ref="V871">IFERROR(AVERAGE(IF((DiscreteStatsTable[GroupByKey]=DiscreteStatsTable[[#This Row],[GroupByKey]]),(DiscreteStatsTable[GroupByKey]=DiscreteStatsTable[[#This Row],[GroupByKey]])*DiscreteStatsTable[NumberObservations])),0)</f>
        <v>437.5</v>
      </c>
      <c r="W871">
        <f>IF((DiscreteStatsTable[[#This Row],[RepsRequested]]&gt;1),DiscreteStatsTable[[#This Row],[HalfWidth]],DiscreteStatsTable[[#This Row],[BatchMeansHalfWidth]])</f>
        <v>9.0257219283451061E-3</v>
      </c>
      <c r="X871" cm="1">
        <f t="array" ref="X871">COUNT(IF((DiscreteStatsTable[GroupByKey]=DiscreteStatsTable[[#This Row],[GroupByKey]]),(DiscreteStatsTable[GroupByKey]=DiscreteStatsTable[[#This Row],[GroupByKey]])*DiscreteStatsTable[Replication]))</f>
        <v>50</v>
      </c>
      <c r="Y871">
        <f>IF(DiscreteStatsTable[[#This Row],[RepsRequested]]=DiscreteStatsTable[[#This Row],[RepsWithStatObserved]],1,0)</f>
        <v>1</v>
      </c>
    </row>
    <row r="872" spans="1:25" x14ac:dyDescent="0.25">
      <c r="A872" t="s">
        <v>68</v>
      </c>
      <c r="B872" t="s">
        <v>131</v>
      </c>
      <c r="C872">
        <v>21</v>
      </c>
      <c r="D872" t="s">
        <v>92</v>
      </c>
      <c r="E872" t="s">
        <v>89</v>
      </c>
      <c r="F872" t="s">
        <v>90</v>
      </c>
      <c r="G872">
        <v>0.99169070461944098</v>
      </c>
      <c r="H872">
        <v>4.39342158851877E-2</v>
      </c>
      <c r="I872">
        <v>0.56806632055861395</v>
      </c>
      <c r="J872">
        <v>5.8546620722510996</v>
      </c>
      <c r="K872">
        <v>430</v>
      </c>
      <c r="L872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72" cm="1">
        <f t="array" ref="M872">MAX(IF((ProjectInfoTable[ProjectName]=DiscreteStatsTable[[#This Row],[ProjectName]]),(ProjectInfoTable[ProjectName]=DiscreteStatsTable[[#This Row],[ProjectName]])*ProjectInfoTable[NumberOfReplications]))</f>
        <v>50</v>
      </c>
      <c r="N872" cm="1">
        <f t="array" ref="N872">IFERROR(AVERAGE(IF((DiscreteStatsTable[GroupByKey]=DiscreteStatsTable[[#This Row],[GroupByKey]]),(DiscreteStatsTable[GroupByKey]=DiscreteStatsTable[[#This Row],[GroupByKey]])*DiscreteStatsTable[Average])),0)</f>
        <v>1.0196487348764249</v>
      </c>
      <c r="O872" cm="1">
        <f t="array" ref="O872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72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72" cm="1">
        <f t="array" ref="R872">MIN(IF((DiscreteStatsTable[GroupByKey]=DiscreteStatsTable[[#This Row],[GroupByKey]]),(DiscreteStatsTable[GroupByKey]=DiscreteStatsTable[[#This Row],[GroupByKey]])*DiscreteStatsTable[Average]))</f>
        <v>0.95501634543056202</v>
      </c>
      <c r="S872" cm="1">
        <f t="array" ref="S872">MAX(IF((DiscreteStatsTable[GroupByKey]=DiscreteStatsTable[[#This Row],[GroupByKey]]),(DiscreteStatsTable[GroupByKey]=DiscreteStatsTable[[#This Row],[GroupByKey]])*DiscreteStatsTable[Average]))</f>
        <v>1.10769496585296</v>
      </c>
      <c r="T872" cm="1">
        <f t="array" ref="T872">MIN(IF((DiscreteStatsTable[GroupByKey]=DiscreteStatsTable[[#This Row],[GroupByKey]]),(DiscreteStatsTable[GroupByKey]=DiscreteStatsTable[[#This Row],[GroupByKey]])*DiscreteStatsTable[Minimum]))</f>
        <v>0.51401222690765302</v>
      </c>
      <c r="U872" cm="1">
        <f t="array" ref="U872">MAX(IF((DiscreteStatsTable[GroupByKey]=DiscreteStatsTable[[#This Row],[GroupByKey]]),(DiscreteStatsTable[GroupByKey]=DiscreteStatsTable[[#This Row],[GroupByKey]])*DiscreteStatsTable[Maximum]))</f>
        <v>5.8546620722510996</v>
      </c>
      <c r="V872" cm="1">
        <f t="array" ref="V872">IFERROR(AVERAGE(IF((DiscreteStatsTable[GroupByKey]=DiscreteStatsTable[[#This Row],[GroupByKey]]),(DiscreteStatsTable[GroupByKey]=DiscreteStatsTable[[#This Row],[GroupByKey]])*DiscreteStatsTable[NumberObservations])),0)</f>
        <v>437.5</v>
      </c>
      <c r="W872">
        <f>IF((DiscreteStatsTable[[#This Row],[RepsRequested]]&gt;1),DiscreteStatsTable[[#This Row],[HalfWidth]],DiscreteStatsTable[[#This Row],[BatchMeansHalfWidth]])</f>
        <v>9.0257219283451061E-3</v>
      </c>
      <c r="X872" cm="1">
        <f t="array" ref="X872">COUNT(IF((DiscreteStatsTable[GroupByKey]=DiscreteStatsTable[[#This Row],[GroupByKey]]),(DiscreteStatsTable[GroupByKey]=DiscreteStatsTable[[#This Row],[GroupByKey]])*DiscreteStatsTable[Replication]))</f>
        <v>50</v>
      </c>
      <c r="Y872">
        <f>IF(DiscreteStatsTable[[#This Row],[RepsRequested]]=DiscreteStatsTable[[#This Row],[RepsWithStatObserved]],1,0)</f>
        <v>1</v>
      </c>
    </row>
    <row r="873" spans="1:25" x14ac:dyDescent="0.25">
      <c r="A873" t="s">
        <v>68</v>
      </c>
      <c r="B873" t="s">
        <v>131</v>
      </c>
      <c r="C873">
        <v>22</v>
      </c>
      <c r="D873" t="s">
        <v>92</v>
      </c>
      <c r="E873" t="s">
        <v>89</v>
      </c>
      <c r="F873" t="s">
        <v>90</v>
      </c>
      <c r="G873">
        <v>1.07235747410381</v>
      </c>
      <c r="H873">
        <v>0.104908404888426</v>
      </c>
      <c r="I873">
        <v>0.59053000552667401</v>
      </c>
      <c r="J873">
        <v>5.1724003860062497</v>
      </c>
      <c r="K873">
        <v>438</v>
      </c>
      <c r="L873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73" cm="1">
        <f t="array" ref="M873">MAX(IF((ProjectInfoTable[ProjectName]=DiscreteStatsTable[[#This Row],[ProjectName]]),(ProjectInfoTable[ProjectName]=DiscreteStatsTable[[#This Row],[ProjectName]])*ProjectInfoTable[NumberOfReplications]))</f>
        <v>50</v>
      </c>
      <c r="N873" cm="1">
        <f t="array" ref="N873">IFERROR(AVERAGE(IF((DiscreteStatsTable[GroupByKey]=DiscreteStatsTable[[#This Row],[GroupByKey]]),(DiscreteStatsTable[GroupByKey]=DiscreteStatsTable[[#This Row],[GroupByKey]])*DiscreteStatsTable[Average])),0)</f>
        <v>1.0196487348764249</v>
      </c>
      <c r="O873" cm="1">
        <f t="array" ref="O873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73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73" cm="1">
        <f t="array" ref="R873">MIN(IF((DiscreteStatsTable[GroupByKey]=DiscreteStatsTable[[#This Row],[GroupByKey]]),(DiscreteStatsTable[GroupByKey]=DiscreteStatsTable[[#This Row],[GroupByKey]])*DiscreteStatsTable[Average]))</f>
        <v>0.95501634543056202</v>
      </c>
      <c r="S873" cm="1">
        <f t="array" ref="S873">MAX(IF((DiscreteStatsTable[GroupByKey]=DiscreteStatsTable[[#This Row],[GroupByKey]]),(DiscreteStatsTable[GroupByKey]=DiscreteStatsTable[[#This Row],[GroupByKey]])*DiscreteStatsTable[Average]))</f>
        <v>1.10769496585296</v>
      </c>
      <c r="T873" cm="1">
        <f t="array" ref="T873">MIN(IF((DiscreteStatsTable[GroupByKey]=DiscreteStatsTable[[#This Row],[GroupByKey]]),(DiscreteStatsTable[GroupByKey]=DiscreteStatsTable[[#This Row],[GroupByKey]])*DiscreteStatsTable[Minimum]))</f>
        <v>0.51401222690765302</v>
      </c>
      <c r="U873" cm="1">
        <f t="array" ref="U873">MAX(IF((DiscreteStatsTable[GroupByKey]=DiscreteStatsTable[[#This Row],[GroupByKey]]),(DiscreteStatsTable[GroupByKey]=DiscreteStatsTable[[#This Row],[GroupByKey]])*DiscreteStatsTable[Maximum]))</f>
        <v>5.8546620722510996</v>
      </c>
      <c r="V873" cm="1">
        <f t="array" ref="V873">IFERROR(AVERAGE(IF((DiscreteStatsTable[GroupByKey]=DiscreteStatsTable[[#This Row],[GroupByKey]]),(DiscreteStatsTable[GroupByKey]=DiscreteStatsTable[[#This Row],[GroupByKey]])*DiscreteStatsTable[NumberObservations])),0)</f>
        <v>437.5</v>
      </c>
      <c r="W873">
        <f>IF((DiscreteStatsTable[[#This Row],[RepsRequested]]&gt;1),DiscreteStatsTable[[#This Row],[HalfWidth]],DiscreteStatsTable[[#This Row],[BatchMeansHalfWidth]])</f>
        <v>9.0257219283451061E-3</v>
      </c>
      <c r="X873" cm="1">
        <f t="array" ref="X873">COUNT(IF((DiscreteStatsTable[GroupByKey]=DiscreteStatsTable[[#This Row],[GroupByKey]]),(DiscreteStatsTable[GroupByKey]=DiscreteStatsTable[[#This Row],[GroupByKey]])*DiscreteStatsTable[Replication]))</f>
        <v>50</v>
      </c>
      <c r="Y873">
        <f>IF(DiscreteStatsTable[[#This Row],[RepsRequested]]=DiscreteStatsTable[[#This Row],[RepsWithStatObserved]],1,0)</f>
        <v>1</v>
      </c>
    </row>
    <row r="874" spans="1:25" x14ac:dyDescent="0.25">
      <c r="A874" t="s">
        <v>68</v>
      </c>
      <c r="B874" t="s">
        <v>131</v>
      </c>
      <c r="C874">
        <v>23</v>
      </c>
      <c r="D874" t="s">
        <v>92</v>
      </c>
      <c r="E874" t="s">
        <v>89</v>
      </c>
      <c r="F874" t="s">
        <v>90</v>
      </c>
      <c r="G874">
        <v>1.0039224740255299</v>
      </c>
      <c r="H874">
        <v>4.8160000536292297E-2</v>
      </c>
      <c r="I874">
        <v>0.54578516813060696</v>
      </c>
      <c r="J874">
        <v>3.0279172359533302</v>
      </c>
      <c r="K874">
        <v>422</v>
      </c>
      <c r="L874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74" cm="1">
        <f t="array" ref="M874">MAX(IF((ProjectInfoTable[ProjectName]=DiscreteStatsTable[[#This Row],[ProjectName]]),(ProjectInfoTable[ProjectName]=DiscreteStatsTable[[#This Row],[ProjectName]])*ProjectInfoTable[NumberOfReplications]))</f>
        <v>50</v>
      </c>
      <c r="N874" cm="1">
        <f t="array" ref="N874">IFERROR(AVERAGE(IF((DiscreteStatsTable[GroupByKey]=DiscreteStatsTable[[#This Row],[GroupByKey]]),(DiscreteStatsTable[GroupByKey]=DiscreteStatsTable[[#This Row],[GroupByKey]])*DiscreteStatsTable[Average])),0)</f>
        <v>1.0196487348764249</v>
      </c>
      <c r="O874" cm="1">
        <f t="array" ref="O874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74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74" cm="1">
        <f t="array" ref="R874">MIN(IF((DiscreteStatsTable[GroupByKey]=DiscreteStatsTable[[#This Row],[GroupByKey]]),(DiscreteStatsTable[GroupByKey]=DiscreteStatsTable[[#This Row],[GroupByKey]])*DiscreteStatsTable[Average]))</f>
        <v>0.95501634543056202</v>
      </c>
      <c r="S874" cm="1">
        <f t="array" ref="S874">MAX(IF((DiscreteStatsTable[GroupByKey]=DiscreteStatsTable[[#This Row],[GroupByKey]]),(DiscreteStatsTable[GroupByKey]=DiscreteStatsTable[[#This Row],[GroupByKey]])*DiscreteStatsTable[Average]))</f>
        <v>1.10769496585296</v>
      </c>
      <c r="T874" cm="1">
        <f t="array" ref="T874">MIN(IF((DiscreteStatsTable[GroupByKey]=DiscreteStatsTable[[#This Row],[GroupByKey]]),(DiscreteStatsTable[GroupByKey]=DiscreteStatsTable[[#This Row],[GroupByKey]])*DiscreteStatsTable[Minimum]))</f>
        <v>0.51401222690765302</v>
      </c>
      <c r="U874" cm="1">
        <f t="array" ref="U874">MAX(IF((DiscreteStatsTable[GroupByKey]=DiscreteStatsTable[[#This Row],[GroupByKey]]),(DiscreteStatsTable[GroupByKey]=DiscreteStatsTable[[#This Row],[GroupByKey]])*DiscreteStatsTable[Maximum]))</f>
        <v>5.8546620722510996</v>
      </c>
      <c r="V874" cm="1">
        <f t="array" ref="V874">IFERROR(AVERAGE(IF((DiscreteStatsTable[GroupByKey]=DiscreteStatsTable[[#This Row],[GroupByKey]]),(DiscreteStatsTable[GroupByKey]=DiscreteStatsTable[[#This Row],[GroupByKey]])*DiscreteStatsTable[NumberObservations])),0)</f>
        <v>437.5</v>
      </c>
      <c r="W874">
        <f>IF((DiscreteStatsTable[[#This Row],[RepsRequested]]&gt;1),DiscreteStatsTable[[#This Row],[HalfWidth]],DiscreteStatsTable[[#This Row],[BatchMeansHalfWidth]])</f>
        <v>9.0257219283451061E-3</v>
      </c>
      <c r="X874" cm="1">
        <f t="array" ref="X874">COUNT(IF((DiscreteStatsTable[GroupByKey]=DiscreteStatsTable[[#This Row],[GroupByKey]]),(DiscreteStatsTable[GroupByKey]=DiscreteStatsTable[[#This Row],[GroupByKey]])*DiscreteStatsTable[Replication]))</f>
        <v>50</v>
      </c>
      <c r="Y874">
        <f>IF(DiscreteStatsTable[[#This Row],[RepsRequested]]=DiscreteStatsTable[[#This Row],[RepsWithStatObserved]],1,0)</f>
        <v>1</v>
      </c>
    </row>
    <row r="875" spans="1:25" x14ac:dyDescent="0.25">
      <c r="A875" t="s">
        <v>68</v>
      </c>
      <c r="B875" t="s">
        <v>131</v>
      </c>
      <c r="C875">
        <v>24</v>
      </c>
      <c r="D875" t="s">
        <v>92</v>
      </c>
      <c r="E875" t="s">
        <v>89</v>
      </c>
      <c r="F875" t="s">
        <v>90</v>
      </c>
      <c r="G875">
        <v>1.0780351018935601</v>
      </c>
      <c r="H875">
        <v>8.5888942992609393E-2</v>
      </c>
      <c r="I875">
        <v>0.54572539241371498</v>
      </c>
      <c r="J875">
        <v>3.0121857429785499</v>
      </c>
      <c r="K875">
        <v>445</v>
      </c>
      <c r="L875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75" cm="1">
        <f t="array" ref="M875">MAX(IF((ProjectInfoTable[ProjectName]=DiscreteStatsTable[[#This Row],[ProjectName]]),(ProjectInfoTable[ProjectName]=DiscreteStatsTable[[#This Row],[ProjectName]])*ProjectInfoTable[NumberOfReplications]))</f>
        <v>50</v>
      </c>
      <c r="N875" cm="1">
        <f t="array" ref="N875">IFERROR(AVERAGE(IF((DiscreteStatsTable[GroupByKey]=DiscreteStatsTable[[#This Row],[GroupByKey]]),(DiscreteStatsTable[GroupByKey]=DiscreteStatsTable[[#This Row],[GroupByKey]])*DiscreteStatsTable[Average])),0)</f>
        <v>1.0196487348764249</v>
      </c>
      <c r="O875" cm="1">
        <f t="array" ref="O875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7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75" cm="1">
        <f t="array" ref="R875">MIN(IF((DiscreteStatsTable[GroupByKey]=DiscreteStatsTable[[#This Row],[GroupByKey]]),(DiscreteStatsTable[GroupByKey]=DiscreteStatsTable[[#This Row],[GroupByKey]])*DiscreteStatsTable[Average]))</f>
        <v>0.95501634543056202</v>
      </c>
      <c r="S875" cm="1">
        <f t="array" ref="S875">MAX(IF((DiscreteStatsTable[GroupByKey]=DiscreteStatsTable[[#This Row],[GroupByKey]]),(DiscreteStatsTable[GroupByKey]=DiscreteStatsTable[[#This Row],[GroupByKey]])*DiscreteStatsTable[Average]))</f>
        <v>1.10769496585296</v>
      </c>
      <c r="T875" cm="1">
        <f t="array" ref="T875">MIN(IF((DiscreteStatsTable[GroupByKey]=DiscreteStatsTable[[#This Row],[GroupByKey]]),(DiscreteStatsTable[GroupByKey]=DiscreteStatsTable[[#This Row],[GroupByKey]])*DiscreteStatsTable[Minimum]))</f>
        <v>0.51401222690765302</v>
      </c>
      <c r="U875" cm="1">
        <f t="array" ref="U875">MAX(IF((DiscreteStatsTable[GroupByKey]=DiscreteStatsTable[[#This Row],[GroupByKey]]),(DiscreteStatsTable[GroupByKey]=DiscreteStatsTable[[#This Row],[GroupByKey]])*DiscreteStatsTable[Maximum]))</f>
        <v>5.8546620722510996</v>
      </c>
      <c r="V875" cm="1">
        <f t="array" ref="V875">IFERROR(AVERAGE(IF((DiscreteStatsTable[GroupByKey]=DiscreteStatsTable[[#This Row],[GroupByKey]]),(DiscreteStatsTable[GroupByKey]=DiscreteStatsTable[[#This Row],[GroupByKey]])*DiscreteStatsTable[NumberObservations])),0)</f>
        <v>437.5</v>
      </c>
      <c r="W875">
        <f>IF((DiscreteStatsTable[[#This Row],[RepsRequested]]&gt;1),DiscreteStatsTable[[#This Row],[HalfWidth]],DiscreteStatsTable[[#This Row],[BatchMeansHalfWidth]])</f>
        <v>9.0257219283451061E-3</v>
      </c>
      <c r="X875" cm="1">
        <f t="array" ref="X875">COUNT(IF((DiscreteStatsTable[GroupByKey]=DiscreteStatsTable[[#This Row],[GroupByKey]]),(DiscreteStatsTable[GroupByKey]=DiscreteStatsTable[[#This Row],[GroupByKey]])*DiscreteStatsTable[Replication]))</f>
        <v>50</v>
      </c>
      <c r="Y875">
        <f>IF(DiscreteStatsTable[[#This Row],[RepsRequested]]=DiscreteStatsTable[[#This Row],[RepsWithStatObserved]],1,0)</f>
        <v>1</v>
      </c>
    </row>
    <row r="876" spans="1:25" x14ac:dyDescent="0.25">
      <c r="A876" t="s">
        <v>68</v>
      </c>
      <c r="B876" t="s">
        <v>131</v>
      </c>
      <c r="C876">
        <v>25</v>
      </c>
      <c r="D876" t="s">
        <v>92</v>
      </c>
      <c r="E876" t="s">
        <v>89</v>
      </c>
      <c r="F876" t="s">
        <v>90</v>
      </c>
      <c r="G876">
        <v>1.0712070901016699</v>
      </c>
      <c r="H876">
        <v>7.55767880098661E-2</v>
      </c>
      <c r="I876">
        <v>0.58182127956183605</v>
      </c>
      <c r="J876">
        <v>3.7533257090527701</v>
      </c>
      <c r="K876">
        <v>487</v>
      </c>
      <c r="L876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76" cm="1">
        <f t="array" ref="M876">MAX(IF((ProjectInfoTable[ProjectName]=DiscreteStatsTable[[#This Row],[ProjectName]]),(ProjectInfoTable[ProjectName]=DiscreteStatsTable[[#This Row],[ProjectName]])*ProjectInfoTable[NumberOfReplications]))</f>
        <v>50</v>
      </c>
      <c r="N876" cm="1">
        <f t="array" ref="N876">IFERROR(AVERAGE(IF((DiscreteStatsTable[GroupByKey]=DiscreteStatsTable[[#This Row],[GroupByKey]]),(DiscreteStatsTable[GroupByKey]=DiscreteStatsTable[[#This Row],[GroupByKey]])*DiscreteStatsTable[Average])),0)</f>
        <v>1.0196487348764249</v>
      </c>
      <c r="O876" cm="1">
        <f t="array" ref="O876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76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76" cm="1">
        <f t="array" ref="R876">MIN(IF((DiscreteStatsTable[GroupByKey]=DiscreteStatsTable[[#This Row],[GroupByKey]]),(DiscreteStatsTable[GroupByKey]=DiscreteStatsTable[[#This Row],[GroupByKey]])*DiscreteStatsTable[Average]))</f>
        <v>0.95501634543056202</v>
      </c>
      <c r="S876" cm="1">
        <f t="array" ref="S876">MAX(IF((DiscreteStatsTable[GroupByKey]=DiscreteStatsTable[[#This Row],[GroupByKey]]),(DiscreteStatsTable[GroupByKey]=DiscreteStatsTable[[#This Row],[GroupByKey]])*DiscreteStatsTable[Average]))</f>
        <v>1.10769496585296</v>
      </c>
      <c r="T876" cm="1">
        <f t="array" ref="T876">MIN(IF((DiscreteStatsTable[GroupByKey]=DiscreteStatsTable[[#This Row],[GroupByKey]]),(DiscreteStatsTable[GroupByKey]=DiscreteStatsTable[[#This Row],[GroupByKey]])*DiscreteStatsTable[Minimum]))</f>
        <v>0.51401222690765302</v>
      </c>
      <c r="U876" cm="1">
        <f t="array" ref="U876">MAX(IF((DiscreteStatsTable[GroupByKey]=DiscreteStatsTable[[#This Row],[GroupByKey]]),(DiscreteStatsTable[GroupByKey]=DiscreteStatsTable[[#This Row],[GroupByKey]])*DiscreteStatsTable[Maximum]))</f>
        <v>5.8546620722510996</v>
      </c>
      <c r="V876" cm="1">
        <f t="array" ref="V876">IFERROR(AVERAGE(IF((DiscreteStatsTable[GroupByKey]=DiscreteStatsTable[[#This Row],[GroupByKey]]),(DiscreteStatsTable[GroupByKey]=DiscreteStatsTable[[#This Row],[GroupByKey]])*DiscreteStatsTable[NumberObservations])),0)</f>
        <v>437.5</v>
      </c>
      <c r="W876">
        <f>IF((DiscreteStatsTable[[#This Row],[RepsRequested]]&gt;1),DiscreteStatsTable[[#This Row],[HalfWidth]],DiscreteStatsTable[[#This Row],[BatchMeansHalfWidth]])</f>
        <v>9.0257219283451061E-3</v>
      </c>
      <c r="X876" cm="1">
        <f t="array" ref="X876">COUNT(IF((DiscreteStatsTable[GroupByKey]=DiscreteStatsTable[[#This Row],[GroupByKey]]),(DiscreteStatsTable[GroupByKey]=DiscreteStatsTable[[#This Row],[GroupByKey]])*DiscreteStatsTable[Replication]))</f>
        <v>50</v>
      </c>
      <c r="Y876">
        <f>IF(DiscreteStatsTable[[#This Row],[RepsRequested]]=DiscreteStatsTable[[#This Row],[RepsWithStatObserved]],1,0)</f>
        <v>1</v>
      </c>
    </row>
    <row r="877" spans="1:25" x14ac:dyDescent="0.25">
      <c r="A877" t="s">
        <v>68</v>
      </c>
      <c r="B877" t="s">
        <v>131</v>
      </c>
      <c r="C877">
        <v>26</v>
      </c>
      <c r="D877" t="s">
        <v>92</v>
      </c>
      <c r="E877" t="s">
        <v>89</v>
      </c>
      <c r="F877" t="s">
        <v>90</v>
      </c>
      <c r="G877">
        <v>1.02320674807996</v>
      </c>
      <c r="H877">
        <v>7.8205785351149401E-2</v>
      </c>
      <c r="I877">
        <v>0.58033209173066802</v>
      </c>
      <c r="J877">
        <v>3.7296608716878801</v>
      </c>
      <c r="K877">
        <v>433</v>
      </c>
      <c r="L877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77" cm="1">
        <f t="array" ref="M877">MAX(IF((ProjectInfoTable[ProjectName]=DiscreteStatsTable[[#This Row],[ProjectName]]),(ProjectInfoTable[ProjectName]=DiscreteStatsTable[[#This Row],[ProjectName]])*ProjectInfoTable[NumberOfReplications]))</f>
        <v>50</v>
      </c>
      <c r="N877" cm="1">
        <f t="array" ref="N877">IFERROR(AVERAGE(IF((DiscreteStatsTable[GroupByKey]=DiscreteStatsTable[[#This Row],[GroupByKey]]),(DiscreteStatsTable[GroupByKey]=DiscreteStatsTable[[#This Row],[GroupByKey]])*DiscreteStatsTable[Average])),0)</f>
        <v>1.0196487348764249</v>
      </c>
      <c r="O877" cm="1">
        <f t="array" ref="O877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77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77" cm="1">
        <f t="array" ref="R877">MIN(IF((DiscreteStatsTable[GroupByKey]=DiscreteStatsTable[[#This Row],[GroupByKey]]),(DiscreteStatsTable[GroupByKey]=DiscreteStatsTable[[#This Row],[GroupByKey]])*DiscreteStatsTable[Average]))</f>
        <v>0.95501634543056202</v>
      </c>
      <c r="S877" cm="1">
        <f t="array" ref="S877">MAX(IF((DiscreteStatsTable[GroupByKey]=DiscreteStatsTable[[#This Row],[GroupByKey]]),(DiscreteStatsTable[GroupByKey]=DiscreteStatsTable[[#This Row],[GroupByKey]])*DiscreteStatsTable[Average]))</f>
        <v>1.10769496585296</v>
      </c>
      <c r="T877" cm="1">
        <f t="array" ref="T877">MIN(IF((DiscreteStatsTable[GroupByKey]=DiscreteStatsTable[[#This Row],[GroupByKey]]),(DiscreteStatsTable[GroupByKey]=DiscreteStatsTable[[#This Row],[GroupByKey]])*DiscreteStatsTable[Minimum]))</f>
        <v>0.51401222690765302</v>
      </c>
      <c r="U877" cm="1">
        <f t="array" ref="U877">MAX(IF((DiscreteStatsTable[GroupByKey]=DiscreteStatsTable[[#This Row],[GroupByKey]]),(DiscreteStatsTable[GroupByKey]=DiscreteStatsTable[[#This Row],[GroupByKey]])*DiscreteStatsTable[Maximum]))</f>
        <v>5.8546620722510996</v>
      </c>
      <c r="V877" cm="1">
        <f t="array" ref="V877">IFERROR(AVERAGE(IF((DiscreteStatsTable[GroupByKey]=DiscreteStatsTable[[#This Row],[GroupByKey]]),(DiscreteStatsTable[GroupByKey]=DiscreteStatsTable[[#This Row],[GroupByKey]])*DiscreteStatsTable[NumberObservations])),0)</f>
        <v>437.5</v>
      </c>
      <c r="W877">
        <f>IF((DiscreteStatsTable[[#This Row],[RepsRequested]]&gt;1),DiscreteStatsTable[[#This Row],[HalfWidth]],DiscreteStatsTable[[#This Row],[BatchMeansHalfWidth]])</f>
        <v>9.0257219283451061E-3</v>
      </c>
      <c r="X877" cm="1">
        <f t="array" ref="X877">COUNT(IF((DiscreteStatsTable[GroupByKey]=DiscreteStatsTable[[#This Row],[GroupByKey]]),(DiscreteStatsTable[GroupByKey]=DiscreteStatsTable[[#This Row],[GroupByKey]])*DiscreteStatsTable[Replication]))</f>
        <v>50</v>
      </c>
      <c r="Y877">
        <f>IF(DiscreteStatsTable[[#This Row],[RepsRequested]]=DiscreteStatsTable[[#This Row],[RepsWithStatObserved]],1,0)</f>
        <v>1</v>
      </c>
    </row>
    <row r="878" spans="1:25" x14ac:dyDescent="0.25">
      <c r="A878" t="s">
        <v>68</v>
      </c>
      <c r="B878" t="s">
        <v>131</v>
      </c>
      <c r="C878">
        <v>27</v>
      </c>
      <c r="D878" t="s">
        <v>92</v>
      </c>
      <c r="E878" t="s">
        <v>89</v>
      </c>
      <c r="F878" t="s">
        <v>90</v>
      </c>
      <c r="G878">
        <v>1.04803224261156</v>
      </c>
      <c r="H878">
        <v>5.3821681765876699E-2</v>
      </c>
      <c r="I878">
        <v>0.56462889909761305</v>
      </c>
      <c r="J878">
        <v>3.1538970260554602</v>
      </c>
      <c r="K878">
        <v>461</v>
      </c>
      <c r="L878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78" cm="1">
        <f t="array" ref="M878">MAX(IF((ProjectInfoTable[ProjectName]=DiscreteStatsTable[[#This Row],[ProjectName]]),(ProjectInfoTable[ProjectName]=DiscreteStatsTable[[#This Row],[ProjectName]])*ProjectInfoTable[NumberOfReplications]))</f>
        <v>50</v>
      </c>
      <c r="N878" cm="1">
        <f t="array" ref="N878">IFERROR(AVERAGE(IF((DiscreteStatsTable[GroupByKey]=DiscreteStatsTable[[#This Row],[GroupByKey]]),(DiscreteStatsTable[GroupByKey]=DiscreteStatsTable[[#This Row],[GroupByKey]])*DiscreteStatsTable[Average])),0)</f>
        <v>1.0196487348764249</v>
      </c>
      <c r="O878" cm="1">
        <f t="array" ref="O878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78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78" cm="1">
        <f t="array" ref="R878">MIN(IF((DiscreteStatsTable[GroupByKey]=DiscreteStatsTable[[#This Row],[GroupByKey]]),(DiscreteStatsTable[GroupByKey]=DiscreteStatsTable[[#This Row],[GroupByKey]])*DiscreteStatsTable[Average]))</f>
        <v>0.95501634543056202</v>
      </c>
      <c r="S878" cm="1">
        <f t="array" ref="S878">MAX(IF((DiscreteStatsTable[GroupByKey]=DiscreteStatsTable[[#This Row],[GroupByKey]]),(DiscreteStatsTable[GroupByKey]=DiscreteStatsTable[[#This Row],[GroupByKey]])*DiscreteStatsTable[Average]))</f>
        <v>1.10769496585296</v>
      </c>
      <c r="T878" cm="1">
        <f t="array" ref="T878">MIN(IF((DiscreteStatsTable[GroupByKey]=DiscreteStatsTable[[#This Row],[GroupByKey]]),(DiscreteStatsTable[GroupByKey]=DiscreteStatsTable[[#This Row],[GroupByKey]])*DiscreteStatsTable[Minimum]))</f>
        <v>0.51401222690765302</v>
      </c>
      <c r="U878" cm="1">
        <f t="array" ref="U878">MAX(IF((DiscreteStatsTable[GroupByKey]=DiscreteStatsTable[[#This Row],[GroupByKey]]),(DiscreteStatsTable[GroupByKey]=DiscreteStatsTable[[#This Row],[GroupByKey]])*DiscreteStatsTable[Maximum]))</f>
        <v>5.8546620722510996</v>
      </c>
      <c r="V878" cm="1">
        <f t="array" ref="V878">IFERROR(AVERAGE(IF((DiscreteStatsTable[GroupByKey]=DiscreteStatsTable[[#This Row],[GroupByKey]]),(DiscreteStatsTable[GroupByKey]=DiscreteStatsTable[[#This Row],[GroupByKey]])*DiscreteStatsTable[NumberObservations])),0)</f>
        <v>437.5</v>
      </c>
      <c r="W878">
        <f>IF((DiscreteStatsTable[[#This Row],[RepsRequested]]&gt;1),DiscreteStatsTable[[#This Row],[HalfWidth]],DiscreteStatsTable[[#This Row],[BatchMeansHalfWidth]])</f>
        <v>9.0257219283451061E-3</v>
      </c>
      <c r="X878" cm="1">
        <f t="array" ref="X878">COUNT(IF((DiscreteStatsTable[GroupByKey]=DiscreteStatsTable[[#This Row],[GroupByKey]]),(DiscreteStatsTable[GroupByKey]=DiscreteStatsTable[[#This Row],[GroupByKey]])*DiscreteStatsTable[Replication]))</f>
        <v>50</v>
      </c>
      <c r="Y878">
        <f>IF(DiscreteStatsTable[[#This Row],[RepsRequested]]=DiscreteStatsTable[[#This Row],[RepsWithStatObserved]],1,0)</f>
        <v>1</v>
      </c>
    </row>
    <row r="879" spans="1:25" x14ac:dyDescent="0.25">
      <c r="A879" t="s">
        <v>68</v>
      </c>
      <c r="B879" t="s">
        <v>131</v>
      </c>
      <c r="C879">
        <v>28</v>
      </c>
      <c r="D879" t="s">
        <v>92</v>
      </c>
      <c r="E879" t="s">
        <v>89</v>
      </c>
      <c r="F879" t="s">
        <v>90</v>
      </c>
      <c r="G879">
        <v>1.10769496585296</v>
      </c>
      <c r="H879">
        <v>9.9630795612499004E-2</v>
      </c>
      <c r="I879">
        <v>0.56975677076536602</v>
      </c>
      <c r="J879">
        <v>5.2908845486305696</v>
      </c>
      <c r="K879">
        <v>434</v>
      </c>
      <c r="L879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79" cm="1">
        <f t="array" ref="M879">MAX(IF((ProjectInfoTable[ProjectName]=DiscreteStatsTable[[#This Row],[ProjectName]]),(ProjectInfoTable[ProjectName]=DiscreteStatsTable[[#This Row],[ProjectName]])*ProjectInfoTable[NumberOfReplications]))</f>
        <v>50</v>
      </c>
      <c r="N879" cm="1">
        <f t="array" ref="N879">IFERROR(AVERAGE(IF((DiscreteStatsTable[GroupByKey]=DiscreteStatsTable[[#This Row],[GroupByKey]]),(DiscreteStatsTable[GroupByKey]=DiscreteStatsTable[[#This Row],[GroupByKey]])*DiscreteStatsTable[Average])),0)</f>
        <v>1.0196487348764249</v>
      </c>
      <c r="O879" cm="1">
        <f t="array" ref="O879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79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79" cm="1">
        <f t="array" ref="R879">MIN(IF((DiscreteStatsTable[GroupByKey]=DiscreteStatsTable[[#This Row],[GroupByKey]]),(DiscreteStatsTable[GroupByKey]=DiscreteStatsTable[[#This Row],[GroupByKey]])*DiscreteStatsTable[Average]))</f>
        <v>0.95501634543056202</v>
      </c>
      <c r="S879" cm="1">
        <f t="array" ref="S879">MAX(IF((DiscreteStatsTable[GroupByKey]=DiscreteStatsTable[[#This Row],[GroupByKey]]),(DiscreteStatsTable[GroupByKey]=DiscreteStatsTable[[#This Row],[GroupByKey]])*DiscreteStatsTable[Average]))</f>
        <v>1.10769496585296</v>
      </c>
      <c r="T879" cm="1">
        <f t="array" ref="T879">MIN(IF((DiscreteStatsTable[GroupByKey]=DiscreteStatsTable[[#This Row],[GroupByKey]]),(DiscreteStatsTable[GroupByKey]=DiscreteStatsTable[[#This Row],[GroupByKey]])*DiscreteStatsTable[Minimum]))</f>
        <v>0.51401222690765302</v>
      </c>
      <c r="U879" cm="1">
        <f t="array" ref="U879">MAX(IF((DiscreteStatsTable[GroupByKey]=DiscreteStatsTable[[#This Row],[GroupByKey]]),(DiscreteStatsTable[GroupByKey]=DiscreteStatsTable[[#This Row],[GroupByKey]])*DiscreteStatsTable[Maximum]))</f>
        <v>5.8546620722510996</v>
      </c>
      <c r="V879" cm="1">
        <f t="array" ref="V879">IFERROR(AVERAGE(IF((DiscreteStatsTable[GroupByKey]=DiscreteStatsTable[[#This Row],[GroupByKey]]),(DiscreteStatsTable[GroupByKey]=DiscreteStatsTable[[#This Row],[GroupByKey]])*DiscreteStatsTable[NumberObservations])),0)</f>
        <v>437.5</v>
      </c>
      <c r="W879">
        <f>IF((DiscreteStatsTable[[#This Row],[RepsRequested]]&gt;1),DiscreteStatsTable[[#This Row],[HalfWidth]],DiscreteStatsTable[[#This Row],[BatchMeansHalfWidth]])</f>
        <v>9.0257219283451061E-3</v>
      </c>
      <c r="X879" cm="1">
        <f t="array" ref="X879">COUNT(IF((DiscreteStatsTable[GroupByKey]=DiscreteStatsTable[[#This Row],[GroupByKey]]),(DiscreteStatsTable[GroupByKey]=DiscreteStatsTable[[#This Row],[GroupByKey]])*DiscreteStatsTable[Replication]))</f>
        <v>50</v>
      </c>
      <c r="Y879">
        <f>IF(DiscreteStatsTable[[#This Row],[RepsRequested]]=DiscreteStatsTable[[#This Row],[RepsWithStatObserved]],1,0)</f>
        <v>1</v>
      </c>
    </row>
    <row r="880" spans="1:25" x14ac:dyDescent="0.25">
      <c r="A880" t="s">
        <v>68</v>
      </c>
      <c r="B880" t="s">
        <v>131</v>
      </c>
      <c r="C880">
        <v>29</v>
      </c>
      <c r="D880" t="s">
        <v>92</v>
      </c>
      <c r="E880" t="s">
        <v>89</v>
      </c>
      <c r="F880" t="s">
        <v>90</v>
      </c>
      <c r="G880">
        <v>0.99868318945402601</v>
      </c>
      <c r="H880">
        <v>4.92080231405774E-2</v>
      </c>
      <c r="I880">
        <v>0.54769584505540803</v>
      </c>
      <c r="J880">
        <v>2.59804047071884</v>
      </c>
      <c r="K880">
        <v>462</v>
      </c>
      <c r="L880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80" cm="1">
        <f t="array" ref="M880">MAX(IF((ProjectInfoTable[ProjectName]=DiscreteStatsTable[[#This Row],[ProjectName]]),(ProjectInfoTable[ProjectName]=DiscreteStatsTable[[#This Row],[ProjectName]])*ProjectInfoTable[NumberOfReplications]))</f>
        <v>50</v>
      </c>
      <c r="N880" cm="1">
        <f t="array" ref="N880">IFERROR(AVERAGE(IF((DiscreteStatsTable[GroupByKey]=DiscreteStatsTable[[#This Row],[GroupByKey]]),(DiscreteStatsTable[GroupByKey]=DiscreteStatsTable[[#This Row],[GroupByKey]])*DiscreteStatsTable[Average])),0)</f>
        <v>1.0196487348764249</v>
      </c>
      <c r="O880" cm="1">
        <f t="array" ref="O880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80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80" cm="1">
        <f t="array" ref="R880">MIN(IF((DiscreteStatsTable[GroupByKey]=DiscreteStatsTable[[#This Row],[GroupByKey]]),(DiscreteStatsTable[GroupByKey]=DiscreteStatsTable[[#This Row],[GroupByKey]])*DiscreteStatsTable[Average]))</f>
        <v>0.95501634543056202</v>
      </c>
      <c r="S880" cm="1">
        <f t="array" ref="S880">MAX(IF((DiscreteStatsTable[GroupByKey]=DiscreteStatsTable[[#This Row],[GroupByKey]]),(DiscreteStatsTable[GroupByKey]=DiscreteStatsTable[[#This Row],[GroupByKey]])*DiscreteStatsTable[Average]))</f>
        <v>1.10769496585296</v>
      </c>
      <c r="T880" cm="1">
        <f t="array" ref="T880">MIN(IF((DiscreteStatsTable[GroupByKey]=DiscreteStatsTable[[#This Row],[GroupByKey]]),(DiscreteStatsTable[GroupByKey]=DiscreteStatsTable[[#This Row],[GroupByKey]])*DiscreteStatsTable[Minimum]))</f>
        <v>0.51401222690765302</v>
      </c>
      <c r="U880" cm="1">
        <f t="array" ref="U880">MAX(IF((DiscreteStatsTable[GroupByKey]=DiscreteStatsTable[[#This Row],[GroupByKey]]),(DiscreteStatsTable[GroupByKey]=DiscreteStatsTable[[#This Row],[GroupByKey]])*DiscreteStatsTable[Maximum]))</f>
        <v>5.8546620722510996</v>
      </c>
      <c r="V880" cm="1">
        <f t="array" ref="V880">IFERROR(AVERAGE(IF((DiscreteStatsTable[GroupByKey]=DiscreteStatsTable[[#This Row],[GroupByKey]]),(DiscreteStatsTable[GroupByKey]=DiscreteStatsTable[[#This Row],[GroupByKey]])*DiscreteStatsTable[NumberObservations])),0)</f>
        <v>437.5</v>
      </c>
      <c r="W880">
        <f>IF((DiscreteStatsTable[[#This Row],[RepsRequested]]&gt;1),DiscreteStatsTable[[#This Row],[HalfWidth]],DiscreteStatsTable[[#This Row],[BatchMeansHalfWidth]])</f>
        <v>9.0257219283451061E-3</v>
      </c>
      <c r="X880" cm="1">
        <f t="array" ref="X880">COUNT(IF((DiscreteStatsTable[GroupByKey]=DiscreteStatsTable[[#This Row],[GroupByKey]]),(DiscreteStatsTable[GroupByKey]=DiscreteStatsTable[[#This Row],[GroupByKey]])*DiscreteStatsTable[Replication]))</f>
        <v>50</v>
      </c>
      <c r="Y880">
        <f>IF(DiscreteStatsTable[[#This Row],[RepsRequested]]=DiscreteStatsTable[[#This Row],[RepsWithStatObserved]],1,0)</f>
        <v>1</v>
      </c>
    </row>
    <row r="881" spans="1:25" x14ac:dyDescent="0.25">
      <c r="A881" t="s">
        <v>68</v>
      </c>
      <c r="B881" t="s">
        <v>131</v>
      </c>
      <c r="C881">
        <v>30</v>
      </c>
      <c r="D881" t="s">
        <v>92</v>
      </c>
      <c r="E881" t="s">
        <v>89</v>
      </c>
      <c r="F881" t="s">
        <v>90</v>
      </c>
      <c r="G881">
        <v>1.05971783602713</v>
      </c>
      <c r="H881">
        <v>8.9689528627353604E-2</v>
      </c>
      <c r="I881">
        <v>0.57904434252560599</v>
      </c>
      <c r="J881">
        <v>4.0936347001549498</v>
      </c>
      <c r="K881">
        <v>427</v>
      </c>
      <c r="L881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81" cm="1">
        <f t="array" ref="M881">MAX(IF((ProjectInfoTable[ProjectName]=DiscreteStatsTable[[#This Row],[ProjectName]]),(ProjectInfoTable[ProjectName]=DiscreteStatsTable[[#This Row],[ProjectName]])*ProjectInfoTable[NumberOfReplications]))</f>
        <v>50</v>
      </c>
      <c r="N881" cm="1">
        <f t="array" ref="N881">IFERROR(AVERAGE(IF((DiscreteStatsTable[GroupByKey]=DiscreteStatsTable[[#This Row],[GroupByKey]]),(DiscreteStatsTable[GroupByKey]=DiscreteStatsTable[[#This Row],[GroupByKey]])*DiscreteStatsTable[Average])),0)</f>
        <v>1.0196487348764249</v>
      </c>
      <c r="O881" cm="1">
        <f t="array" ref="O881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81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81" cm="1">
        <f t="array" ref="R881">MIN(IF((DiscreteStatsTable[GroupByKey]=DiscreteStatsTable[[#This Row],[GroupByKey]]),(DiscreteStatsTable[GroupByKey]=DiscreteStatsTable[[#This Row],[GroupByKey]])*DiscreteStatsTable[Average]))</f>
        <v>0.95501634543056202</v>
      </c>
      <c r="S881" cm="1">
        <f t="array" ref="S881">MAX(IF((DiscreteStatsTable[GroupByKey]=DiscreteStatsTable[[#This Row],[GroupByKey]]),(DiscreteStatsTable[GroupByKey]=DiscreteStatsTable[[#This Row],[GroupByKey]])*DiscreteStatsTable[Average]))</f>
        <v>1.10769496585296</v>
      </c>
      <c r="T881" cm="1">
        <f t="array" ref="T881">MIN(IF((DiscreteStatsTable[GroupByKey]=DiscreteStatsTable[[#This Row],[GroupByKey]]),(DiscreteStatsTable[GroupByKey]=DiscreteStatsTable[[#This Row],[GroupByKey]])*DiscreteStatsTable[Minimum]))</f>
        <v>0.51401222690765302</v>
      </c>
      <c r="U881" cm="1">
        <f t="array" ref="U881">MAX(IF((DiscreteStatsTable[GroupByKey]=DiscreteStatsTable[[#This Row],[GroupByKey]]),(DiscreteStatsTable[GroupByKey]=DiscreteStatsTable[[#This Row],[GroupByKey]])*DiscreteStatsTable[Maximum]))</f>
        <v>5.8546620722510996</v>
      </c>
      <c r="V881" cm="1">
        <f t="array" ref="V881">IFERROR(AVERAGE(IF((DiscreteStatsTable[GroupByKey]=DiscreteStatsTable[[#This Row],[GroupByKey]]),(DiscreteStatsTable[GroupByKey]=DiscreteStatsTable[[#This Row],[GroupByKey]])*DiscreteStatsTable[NumberObservations])),0)</f>
        <v>437.5</v>
      </c>
      <c r="W881">
        <f>IF((DiscreteStatsTable[[#This Row],[RepsRequested]]&gt;1),DiscreteStatsTable[[#This Row],[HalfWidth]],DiscreteStatsTable[[#This Row],[BatchMeansHalfWidth]])</f>
        <v>9.0257219283451061E-3</v>
      </c>
      <c r="X881" cm="1">
        <f t="array" ref="X881">COUNT(IF((DiscreteStatsTable[GroupByKey]=DiscreteStatsTable[[#This Row],[GroupByKey]]),(DiscreteStatsTable[GroupByKey]=DiscreteStatsTable[[#This Row],[GroupByKey]])*DiscreteStatsTable[Replication]))</f>
        <v>50</v>
      </c>
      <c r="Y881">
        <f>IF(DiscreteStatsTable[[#This Row],[RepsRequested]]=DiscreteStatsTable[[#This Row],[RepsWithStatObserved]],1,0)</f>
        <v>1</v>
      </c>
    </row>
    <row r="882" spans="1:25" x14ac:dyDescent="0.25">
      <c r="A882" t="s">
        <v>68</v>
      </c>
      <c r="B882" t="s">
        <v>131</v>
      </c>
      <c r="C882">
        <v>31</v>
      </c>
      <c r="D882" t="s">
        <v>92</v>
      </c>
      <c r="E882" t="s">
        <v>89</v>
      </c>
      <c r="F882" t="s">
        <v>90</v>
      </c>
      <c r="G882">
        <v>1.01751146724786</v>
      </c>
      <c r="H882">
        <v>8.4204576096185202E-2</v>
      </c>
      <c r="I882">
        <v>0.56827018267489404</v>
      </c>
      <c r="J882">
        <v>4.2635657634704103</v>
      </c>
      <c r="K882">
        <v>437</v>
      </c>
      <c r="L882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82" cm="1">
        <f t="array" ref="M882">MAX(IF((ProjectInfoTable[ProjectName]=DiscreteStatsTable[[#This Row],[ProjectName]]),(ProjectInfoTable[ProjectName]=DiscreteStatsTable[[#This Row],[ProjectName]])*ProjectInfoTable[NumberOfReplications]))</f>
        <v>50</v>
      </c>
      <c r="N882" cm="1">
        <f t="array" ref="N882">IFERROR(AVERAGE(IF((DiscreteStatsTable[GroupByKey]=DiscreteStatsTable[[#This Row],[GroupByKey]]),(DiscreteStatsTable[GroupByKey]=DiscreteStatsTable[[#This Row],[GroupByKey]])*DiscreteStatsTable[Average])),0)</f>
        <v>1.0196487348764249</v>
      </c>
      <c r="O882" cm="1">
        <f t="array" ref="O882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82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82" cm="1">
        <f t="array" ref="R882">MIN(IF((DiscreteStatsTable[GroupByKey]=DiscreteStatsTable[[#This Row],[GroupByKey]]),(DiscreteStatsTable[GroupByKey]=DiscreteStatsTable[[#This Row],[GroupByKey]])*DiscreteStatsTable[Average]))</f>
        <v>0.95501634543056202</v>
      </c>
      <c r="S882" cm="1">
        <f t="array" ref="S882">MAX(IF((DiscreteStatsTable[GroupByKey]=DiscreteStatsTable[[#This Row],[GroupByKey]]),(DiscreteStatsTable[GroupByKey]=DiscreteStatsTable[[#This Row],[GroupByKey]])*DiscreteStatsTable[Average]))</f>
        <v>1.10769496585296</v>
      </c>
      <c r="T882" cm="1">
        <f t="array" ref="T882">MIN(IF((DiscreteStatsTable[GroupByKey]=DiscreteStatsTable[[#This Row],[GroupByKey]]),(DiscreteStatsTable[GroupByKey]=DiscreteStatsTable[[#This Row],[GroupByKey]])*DiscreteStatsTable[Minimum]))</f>
        <v>0.51401222690765302</v>
      </c>
      <c r="U882" cm="1">
        <f t="array" ref="U882">MAX(IF((DiscreteStatsTable[GroupByKey]=DiscreteStatsTable[[#This Row],[GroupByKey]]),(DiscreteStatsTable[GroupByKey]=DiscreteStatsTable[[#This Row],[GroupByKey]])*DiscreteStatsTable[Maximum]))</f>
        <v>5.8546620722510996</v>
      </c>
      <c r="V882" cm="1">
        <f t="array" ref="V882">IFERROR(AVERAGE(IF((DiscreteStatsTable[GroupByKey]=DiscreteStatsTable[[#This Row],[GroupByKey]]),(DiscreteStatsTable[GroupByKey]=DiscreteStatsTable[[#This Row],[GroupByKey]])*DiscreteStatsTable[NumberObservations])),0)</f>
        <v>437.5</v>
      </c>
      <c r="W882">
        <f>IF((DiscreteStatsTable[[#This Row],[RepsRequested]]&gt;1),DiscreteStatsTable[[#This Row],[HalfWidth]],DiscreteStatsTable[[#This Row],[BatchMeansHalfWidth]])</f>
        <v>9.0257219283451061E-3</v>
      </c>
      <c r="X882" cm="1">
        <f t="array" ref="X882">COUNT(IF((DiscreteStatsTable[GroupByKey]=DiscreteStatsTable[[#This Row],[GroupByKey]]),(DiscreteStatsTable[GroupByKey]=DiscreteStatsTable[[#This Row],[GroupByKey]])*DiscreteStatsTable[Replication]))</f>
        <v>50</v>
      </c>
      <c r="Y882">
        <f>IF(DiscreteStatsTable[[#This Row],[RepsRequested]]=DiscreteStatsTable[[#This Row],[RepsWithStatObserved]],1,0)</f>
        <v>1</v>
      </c>
    </row>
    <row r="883" spans="1:25" x14ac:dyDescent="0.25">
      <c r="A883" t="s">
        <v>68</v>
      </c>
      <c r="B883" t="s">
        <v>131</v>
      </c>
      <c r="C883">
        <v>32</v>
      </c>
      <c r="D883" t="s">
        <v>92</v>
      </c>
      <c r="E883" t="s">
        <v>89</v>
      </c>
      <c r="F883" t="s">
        <v>90</v>
      </c>
      <c r="G883">
        <v>0.98584617353806403</v>
      </c>
      <c r="H883">
        <v>3.9127409931465303E-2</v>
      </c>
      <c r="I883">
        <v>0.53976788676305898</v>
      </c>
      <c r="J883">
        <v>3.33235207012146</v>
      </c>
      <c r="K883">
        <v>440</v>
      </c>
      <c r="L883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83" cm="1">
        <f t="array" ref="M883">MAX(IF((ProjectInfoTable[ProjectName]=DiscreteStatsTable[[#This Row],[ProjectName]]),(ProjectInfoTable[ProjectName]=DiscreteStatsTable[[#This Row],[ProjectName]])*ProjectInfoTable[NumberOfReplications]))</f>
        <v>50</v>
      </c>
      <c r="N883" cm="1">
        <f t="array" ref="N883">IFERROR(AVERAGE(IF((DiscreteStatsTable[GroupByKey]=DiscreteStatsTable[[#This Row],[GroupByKey]]),(DiscreteStatsTable[GroupByKey]=DiscreteStatsTable[[#This Row],[GroupByKey]])*DiscreteStatsTable[Average])),0)</f>
        <v>1.0196487348764249</v>
      </c>
      <c r="O883" cm="1">
        <f t="array" ref="O883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83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83" cm="1">
        <f t="array" ref="R883">MIN(IF((DiscreteStatsTable[GroupByKey]=DiscreteStatsTable[[#This Row],[GroupByKey]]),(DiscreteStatsTable[GroupByKey]=DiscreteStatsTable[[#This Row],[GroupByKey]])*DiscreteStatsTable[Average]))</f>
        <v>0.95501634543056202</v>
      </c>
      <c r="S883" cm="1">
        <f t="array" ref="S883">MAX(IF((DiscreteStatsTable[GroupByKey]=DiscreteStatsTable[[#This Row],[GroupByKey]]),(DiscreteStatsTable[GroupByKey]=DiscreteStatsTable[[#This Row],[GroupByKey]])*DiscreteStatsTable[Average]))</f>
        <v>1.10769496585296</v>
      </c>
      <c r="T883" cm="1">
        <f t="array" ref="T883">MIN(IF((DiscreteStatsTable[GroupByKey]=DiscreteStatsTable[[#This Row],[GroupByKey]]),(DiscreteStatsTable[GroupByKey]=DiscreteStatsTable[[#This Row],[GroupByKey]])*DiscreteStatsTable[Minimum]))</f>
        <v>0.51401222690765302</v>
      </c>
      <c r="U883" cm="1">
        <f t="array" ref="U883">MAX(IF((DiscreteStatsTable[GroupByKey]=DiscreteStatsTable[[#This Row],[GroupByKey]]),(DiscreteStatsTable[GroupByKey]=DiscreteStatsTable[[#This Row],[GroupByKey]])*DiscreteStatsTable[Maximum]))</f>
        <v>5.8546620722510996</v>
      </c>
      <c r="V883" cm="1">
        <f t="array" ref="V883">IFERROR(AVERAGE(IF((DiscreteStatsTable[GroupByKey]=DiscreteStatsTable[[#This Row],[GroupByKey]]),(DiscreteStatsTable[GroupByKey]=DiscreteStatsTable[[#This Row],[GroupByKey]])*DiscreteStatsTable[NumberObservations])),0)</f>
        <v>437.5</v>
      </c>
      <c r="W883">
        <f>IF((DiscreteStatsTable[[#This Row],[RepsRequested]]&gt;1),DiscreteStatsTable[[#This Row],[HalfWidth]],DiscreteStatsTable[[#This Row],[BatchMeansHalfWidth]])</f>
        <v>9.0257219283451061E-3</v>
      </c>
      <c r="X883" cm="1">
        <f t="array" ref="X883">COUNT(IF((DiscreteStatsTable[GroupByKey]=DiscreteStatsTable[[#This Row],[GroupByKey]]),(DiscreteStatsTable[GroupByKey]=DiscreteStatsTable[[#This Row],[GroupByKey]])*DiscreteStatsTable[Replication]))</f>
        <v>50</v>
      </c>
      <c r="Y883">
        <f>IF(DiscreteStatsTable[[#This Row],[RepsRequested]]=DiscreteStatsTable[[#This Row],[RepsWithStatObserved]],1,0)</f>
        <v>1</v>
      </c>
    </row>
    <row r="884" spans="1:25" x14ac:dyDescent="0.25">
      <c r="A884" t="s">
        <v>68</v>
      </c>
      <c r="B884" t="s">
        <v>131</v>
      </c>
      <c r="C884">
        <v>33</v>
      </c>
      <c r="D884" t="s">
        <v>92</v>
      </c>
      <c r="E884" t="s">
        <v>89</v>
      </c>
      <c r="F884" t="s">
        <v>90</v>
      </c>
      <c r="G884">
        <v>1.00440217919046</v>
      </c>
      <c r="H884">
        <v>5.6546722079600598E-2</v>
      </c>
      <c r="I884">
        <v>0.55496964688180095</v>
      </c>
      <c r="J884">
        <v>3.3131650617685899</v>
      </c>
      <c r="K884">
        <v>426</v>
      </c>
      <c r="L884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84" cm="1">
        <f t="array" ref="M884">MAX(IF((ProjectInfoTable[ProjectName]=DiscreteStatsTable[[#This Row],[ProjectName]]),(ProjectInfoTable[ProjectName]=DiscreteStatsTable[[#This Row],[ProjectName]])*ProjectInfoTable[NumberOfReplications]))</f>
        <v>50</v>
      </c>
      <c r="N884" cm="1">
        <f t="array" ref="N884">IFERROR(AVERAGE(IF((DiscreteStatsTable[GroupByKey]=DiscreteStatsTable[[#This Row],[GroupByKey]]),(DiscreteStatsTable[GroupByKey]=DiscreteStatsTable[[#This Row],[GroupByKey]])*DiscreteStatsTable[Average])),0)</f>
        <v>1.0196487348764249</v>
      </c>
      <c r="O884" cm="1">
        <f t="array" ref="O884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84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84" cm="1">
        <f t="array" ref="R884">MIN(IF((DiscreteStatsTable[GroupByKey]=DiscreteStatsTable[[#This Row],[GroupByKey]]),(DiscreteStatsTable[GroupByKey]=DiscreteStatsTable[[#This Row],[GroupByKey]])*DiscreteStatsTable[Average]))</f>
        <v>0.95501634543056202</v>
      </c>
      <c r="S884" cm="1">
        <f t="array" ref="S884">MAX(IF((DiscreteStatsTable[GroupByKey]=DiscreteStatsTable[[#This Row],[GroupByKey]]),(DiscreteStatsTable[GroupByKey]=DiscreteStatsTable[[#This Row],[GroupByKey]])*DiscreteStatsTable[Average]))</f>
        <v>1.10769496585296</v>
      </c>
      <c r="T884" cm="1">
        <f t="array" ref="T884">MIN(IF((DiscreteStatsTable[GroupByKey]=DiscreteStatsTable[[#This Row],[GroupByKey]]),(DiscreteStatsTable[GroupByKey]=DiscreteStatsTable[[#This Row],[GroupByKey]])*DiscreteStatsTable[Minimum]))</f>
        <v>0.51401222690765302</v>
      </c>
      <c r="U884" cm="1">
        <f t="array" ref="U884">MAX(IF((DiscreteStatsTable[GroupByKey]=DiscreteStatsTable[[#This Row],[GroupByKey]]),(DiscreteStatsTable[GroupByKey]=DiscreteStatsTable[[#This Row],[GroupByKey]])*DiscreteStatsTable[Maximum]))</f>
        <v>5.8546620722510996</v>
      </c>
      <c r="V884" cm="1">
        <f t="array" ref="V884">IFERROR(AVERAGE(IF((DiscreteStatsTable[GroupByKey]=DiscreteStatsTable[[#This Row],[GroupByKey]]),(DiscreteStatsTable[GroupByKey]=DiscreteStatsTable[[#This Row],[GroupByKey]])*DiscreteStatsTable[NumberObservations])),0)</f>
        <v>437.5</v>
      </c>
      <c r="W884">
        <f>IF((DiscreteStatsTable[[#This Row],[RepsRequested]]&gt;1),DiscreteStatsTable[[#This Row],[HalfWidth]],DiscreteStatsTable[[#This Row],[BatchMeansHalfWidth]])</f>
        <v>9.0257219283451061E-3</v>
      </c>
      <c r="X884" cm="1">
        <f t="array" ref="X884">COUNT(IF((DiscreteStatsTable[GroupByKey]=DiscreteStatsTable[[#This Row],[GroupByKey]]),(DiscreteStatsTable[GroupByKey]=DiscreteStatsTable[[#This Row],[GroupByKey]])*DiscreteStatsTable[Replication]))</f>
        <v>50</v>
      </c>
      <c r="Y884">
        <f>IF(DiscreteStatsTable[[#This Row],[RepsRequested]]=DiscreteStatsTable[[#This Row],[RepsWithStatObserved]],1,0)</f>
        <v>1</v>
      </c>
    </row>
    <row r="885" spans="1:25" x14ac:dyDescent="0.25">
      <c r="A885" t="s">
        <v>68</v>
      </c>
      <c r="B885" t="s">
        <v>131</v>
      </c>
      <c r="C885">
        <v>34</v>
      </c>
      <c r="D885" t="s">
        <v>92</v>
      </c>
      <c r="E885" t="s">
        <v>89</v>
      </c>
      <c r="F885" t="s">
        <v>90</v>
      </c>
      <c r="G885">
        <v>1.0007949490966801</v>
      </c>
      <c r="H885">
        <v>5.8213935218318802E-2</v>
      </c>
      <c r="I885">
        <v>0.54834937551566998</v>
      </c>
      <c r="J885">
        <v>3.48045802194815</v>
      </c>
      <c r="K885">
        <v>423</v>
      </c>
      <c r="L885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85" cm="1">
        <f t="array" ref="M885">MAX(IF((ProjectInfoTable[ProjectName]=DiscreteStatsTable[[#This Row],[ProjectName]]),(ProjectInfoTable[ProjectName]=DiscreteStatsTable[[#This Row],[ProjectName]])*ProjectInfoTable[NumberOfReplications]))</f>
        <v>50</v>
      </c>
      <c r="N885" cm="1">
        <f t="array" ref="N885">IFERROR(AVERAGE(IF((DiscreteStatsTable[GroupByKey]=DiscreteStatsTable[[#This Row],[GroupByKey]]),(DiscreteStatsTable[GroupByKey]=DiscreteStatsTable[[#This Row],[GroupByKey]])*DiscreteStatsTable[Average])),0)</f>
        <v>1.0196487348764249</v>
      </c>
      <c r="O885" cm="1">
        <f t="array" ref="O885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8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85" cm="1">
        <f t="array" ref="R885">MIN(IF((DiscreteStatsTable[GroupByKey]=DiscreteStatsTable[[#This Row],[GroupByKey]]),(DiscreteStatsTable[GroupByKey]=DiscreteStatsTable[[#This Row],[GroupByKey]])*DiscreteStatsTable[Average]))</f>
        <v>0.95501634543056202</v>
      </c>
      <c r="S885" cm="1">
        <f t="array" ref="S885">MAX(IF((DiscreteStatsTable[GroupByKey]=DiscreteStatsTable[[#This Row],[GroupByKey]]),(DiscreteStatsTable[GroupByKey]=DiscreteStatsTable[[#This Row],[GroupByKey]])*DiscreteStatsTable[Average]))</f>
        <v>1.10769496585296</v>
      </c>
      <c r="T885" cm="1">
        <f t="array" ref="T885">MIN(IF((DiscreteStatsTable[GroupByKey]=DiscreteStatsTable[[#This Row],[GroupByKey]]),(DiscreteStatsTable[GroupByKey]=DiscreteStatsTable[[#This Row],[GroupByKey]])*DiscreteStatsTable[Minimum]))</f>
        <v>0.51401222690765302</v>
      </c>
      <c r="U885" cm="1">
        <f t="array" ref="U885">MAX(IF((DiscreteStatsTable[GroupByKey]=DiscreteStatsTable[[#This Row],[GroupByKey]]),(DiscreteStatsTable[GroupByKey]=DiscreteStatsTable[[#This Row],[GroupByKey]])*DiscreteStatsTable[Maximum]))</f>
        <v>5.8546620722510996</v>
      </c>
      <c r="V885" cm="1">
        <f t="array" ref="V885">IFERROR(AVERAGE(IF((DiscreteStatsTable[GroupByKey]=DiscreteStatsTable[[#This Row],[GroupByKey]]),(DiscreteStatsTable[GroupByKey]=DiscreteStatsTable[[#This Row],[GroupByKey]])*DiscreteStatsTable[NumberObservations])),0)</f>
        <v>437.5</v>
      </c>
      <c r="W885">
        <f>IF((DiscreteStatsTable[[#This Row],[RepsRequested]]&gt;1),DiscreteStatsTable[[#This Row],[HalfWidth]],DiscreteStatsTable[[#This Row],[BatchMeansHalfWidth]])</f>
        <v>9.0257219283451061E-3</v>
      </c>
      <c r="X885" cm="1">
        <f t="array" ref="X885">COUNT(IF((DiscreteStatsTable[GroupByKey]=DiscreteStatsTable[[#This Row],[GroupByKey]]),(DiscreteStatsTable[GroupByKey]=DiscreteStatsTable[[#This Row],[GroupByKey]])*DiscreteStatsTable[Replication]))</f>
        <v>50</v>
      </c>
      <c r="Y885">
        <f>IF(DiscreteStatsTable[[#This Row],[RepsRequested]]=DiscreteStatsTable[[#This Row],[RepsWithStatObserved]],1,0)</f>
        <v>1</v>
      </c>
    </row>
    <row r="886" spans="1:25" x14ac:dyDescent="0.25">
      <c r="A886" t="s">
        <v>68</v>
      </c>
      <c r="B886" t="s">
        <v>131</v>
      </c>
      <c r="C886">
        <v>35</v>
      </c>
      <c r="D886" t="s">
        <v>92</v>
      </c>
      <c r="E886" t="s">
        <v>89</v>
      </c>
      <c r="F886" t="s">
        <v>90</v>
      </c>
      <c r="G886">
        <v>1.0068010618377801</v>
      </c>
      <c r="H886">
        <v>4.1707730691211198E-2</v>
      </c>
      <c r="I886">
        <v>0.58147248618490699</v>
      </c>
      <c r="J886">
        <v>2.8430431432607302</v>
      </c>
      <c r="K886">
        <v>445</v>
      </c>
      <c r="L886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86" cm="1">
        <f t="array" ref="M886">MAX(IF((ProjectInfoTable[ProjectName]=DiscreteStatsTable[[#This Row],[ProjectName]]),(ProjectInfoTable[ProjectName]=DiscreteStatsTable[[#This Row],[ProjectName]])*ProjectInfoTable[NumberOfReplications]))</f>
        <v>50</v>
      </c>
      <c r="N886" cm="1">
        <f t="array" ref="N886">IFERROR(AVERAGE(IF((DiscreteStatsTable[GroupByKey]=DiscreteStatsTable[[#This Row],[GroupByKey]]),(DiscreteStatsTable[GroupByKey]=DiscreteStatsTable[[#This Row],[GroupByKey]])*DiscreteStatsTable[Average])),0)</f>
        <v>1.0196487348764249</v>
      </c>
      <c r="O886" cm="1">
        <f t="array" ref="O886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86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86" cm="1">
        <f t="array" ref="R886">MIN(IF((DiscreteStatsTable[GroupByKey]=DiscreteStatsTable[[#This Row],[GroupByKey]]),(DiscreteStatsTable[GroupByKey]=DiscreteStatsTable[[#This Row],[GroupByKey]])*DiscreteStatsTable[Average]))</f>
        <v>0.95501634543056202</v>
      </c>
      <c r="S886" cm="1">
        <f t="array" ref="S886">MAX(IF((DiscreteStatsTable[GroupByKey]=DiscreteStatsTable[[#This Row],[GroupByKey]]),(DiscreteStatsTable[GroupByKey]=DiscreteStatsTable[[#This Row],[GroupByKey]])*DiscreteStatsTable[Average]))</f>
        <v>1.10769496585296</v>
      </c>
      <c r="T886" cm="1">
        <f t="array" ref="T886">MIN(IF((DiscreteStatsTable[GroupByKey]=DiscreteStatsTable[[#This Row],[GroupByKey]]),(DiscreteStatsTable[GroupByKey]=DiscreteStatsTable[[#This Row],[GroupByKey]])*DiscreteStatsTable[Minimum]))</f>
        <v>0.51401222690765302</v>
      </c>
      <c r="U886" cm="1">
        <f t="array" ref="U886">MAX(IF((DiscreteStatsTable[GroupByKey]=DiscreteStatsTable[[#This Row],[GroupByKey]]),(DiscreteStatsTable[GroupByKey]=DiscreteStatsTable[[#This Row],[GroupByKey]])*DiscreteStatsTable[Maximum]))</f>
        <v>5.8546620722510996</v>
      </c>
      <c r="V886" cm="1">
        <f t="array" ref="V886">IFERROR(AVERAGE(IF((DiscreteStatsTable[GroupByKey]=DiscreteStatsTable[[#This Row],[GroupByKey]]),(DiscreteStatsTable[GroupByKey]=DiscreteStatsTable[[#This Row],[GroupByKey]])*DiscreteStatsTable[NumberObservations])),0)</f>
        <v>437.5</v>
      </c>
      <c r="W886">
        <f>IF((DiscreteStatsTable[[#This Row],[RepsRequested]]&gt;1),DiscreteStatsTable[[#This Row],[HalfWidth]],DiscreteStatsTable[[#This Row],[BatchMeansHalfWidth]])</f>
        <v>9.0257219283451061E-3</v>
      </c>
      <c r="X886" cm="1">
        <f t="array" ref="X886">COUNT(IF((DiscreteStatsTable[GroupByKey]=DiscreteStatsTable[[#This Row],[GroupByKey]]),(DiscreteStatsTable[GroupByKey]=DiscreteStatsTable[[#This Row],[GroupByKey]])*DiscreteStatsTable[Replication]))</f>
        <v>50</v>
      </c>
      <c r="Y886">
        <f>IF(DiscreteStatsTable[[#This Row],[RepsRequested]]=DiscreteStatsTable[[#This Row],[RepsWithStatObserved]],1,0)</f>
        <v>1</v>
      </c>
    </row>
    <row r="887" spans="1:25" x14ac:dyDescent="0.25">
      <c r="A887" t="s">
        <v>68</v>
      </c>
      <c r="B887" t="s">
        <v>131</v>
      </c>
      <c r="C887">
        <v>36</v>
      </c>
      <c r="D887" t="s">
        <v>92</v>
      </c>
      <c r="E887" t="s">
        <v>89</v>
      </c>
      <c r="F887" t="s">
        <v>90</v>
      </c>
      <c r="G887">
        <v>0.98105337691968897</v>
      </c>
      <c r="H887">
        <v>3.44630931435808E-2</v>
      </c>
      <c r="I887">
        <v>0.57924423073632203</v>
      </c>
      <c r="J887">
        <v>2.8311195865123899</v>
      </c>
      <c r="K887">
        <v>398</v>
      </c>
      <c r="L887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87" cm="1">
        <f t="array" ref="M887">MAX(IF((ProjectInfoTable[ProjectName]=DiscreteStatsTable[[#This Row],[ProjectName]]),(ProjectInfoTable[ProjectName]=DiscreteStatsTable[[#This Row],[ProjectName]])*ProjectInfoTable[NumberOfReplications]))</f>
        <v>50</v>
      </c>
      <c r="N887" cm="1">
        <f t="array" ref="N887">IFERROR(AVERAGE(IF((DiscreteStatsTable[GroupByKey]=DiscreteStatsTable[[#This Row],[GroupByKey]]),(DiscreteStatsTable[GroupByKey]=DiscreteStatsTable[[#This Row],[GroupByKey]])*DiscreteStatsTable[Average])),0)</f>
        <v>1.0196487348764249</v>
      </c>
      <c r="O887" cm="1">
        <f t="array" ref="O887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87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87" cm="1">
        <f t="array" ref="R887">MIN(IF((DiscreteStatsTable[GroupByKey]=DiscreteStatsTable[[#This Row],[GroupByKey]]),(DiscreteStatsTable[GroupByKey]=DiscreteStatsTable[[#This Row],[GroupByKey]])*DiscreteStatsTable[Average]))</f>
        <v>0.95501634543056202</v>
      </c>
      <c r="S887" cm="1">
        <f t="array" ref="S887">MAX(IF((DiscreteStatsTable[GroupByKey]=DiscreteStatsTable[[#This Row],[GroupByKey]]),(DiscreteStatsTable[GroupByKey]=DiscreteStatsTable[[#This Row],[GroupByKey]])*DiscreteStatsTable[Average]))</f>
        <v>1.10769496585296</v>
      </c>
      <c r="T887" cm="1">
        <f t="array" ref="T887">MIN(IF((DiscreteStatsTable[GroupByKey]=DiscreteStatsTable[[#This Row],[GroupByKey]]),(DiscreteStatsTable[GroupByKey]=DiscreteStatsTable[[#This Row],[GroupByKey]])*DiscreteStatsTable[Minimum]))</f>
        <v>0.51401222690765302</v>
      </c>
      <c r="U887" cm="1">
        <f t="array" ref="U887">MAX(IF((DiscreteStatsTable[GroupByKey]=DiscreteStatsTable[[#This Row],[GroupByKey]]),(DiscreteStatsTable[GroupByKey]=DiscreteStatsTable[[#This Row],[GroupByKey]])*DiscreteStatsTable[Maximum]))</f>
        <v>5.8546620722510996</v>
      </c>
      <c r="V887" cm="1">
        <f t="array" ref="V887">IFERROR(AVERAGE(IF((DiscreteStatsTable[GroupByKey]=DiscreteStatsTable[[#This Row],[GroupByKey]]),(DiscreteStatsTable[GroupByKey]=DiscreteStatsTable[[#This Row],[GroupByKey]])*DiscreteStatsTable[NumberObservations])),0)</f>
        <v>437.5</v>
      </c>
      <c r="W887">
        <f>IF((DiscreteStatsTable[[#This Row],[RepsRequested]]&gt;1),DiscreteStatsTable[[#This Row],[HalfWidth]],DiscreteStatsTable[[#This Row],[BatchMeansHalfWidth]])</f>
        <v>9.0257219283451061E-3</v>
      </c>
      <c r="X887" cm="1">
        <f t="array" ref="X887">COUNT(IF((DiscreteStatsTable[GroupByKey]=DiscreteStatsTable[[#This Row],[GroupByKey]]),(DiscreteStatsTable[GroupByKey]=DiscreteStatsTable[[#This Row],[GroupByKey]])*DiscreteStatsTable[Replication]))</f>
        <v>50</v>
      </c>
      <c r="Y887">
        <f>IF(DiscreteStatsTable[[#This Row],[RepsRequested]]=DiscreteStatsTable[[#This Row],[RepsWithStatObserved]],1,0)</f>
        <v>1</v>
      </c>
    </row>
    <row r="888" spans="1:25" x14ac:dyDescent="0.25">
      <c r="A888" t="s">
        <v>68</v>
      </c>
      <c r="B888" t="s">
        <v>131</v>
      </c>
      <c r="C888">
        <v>37</v>
      </c>
      <c r="D888" t="s">
        <v>92</v>
      </c>
      <c r="E888" t="s">
        <v>89</v>
      </c>
      <c r="F888" t="s">
        <v>90</v>
      </c>
      <c r="G888">
        <v>1.02650908296264</v>
      </c>
      <c r="H888">
        <v>0.10699603755537</v>
      </c>
      <c r="I888">
        <v>0.52544568897697597</v>
      </c>
      <c r="J888">
        <v>4.6715920091706398</v>
      </c>
      <c r="K888">
        <v>430</v>
      </c>
      <c r="L888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88" cm="1">
        <f t="array" ref="M888">MAX(IF((ProjectInfoTable[ProjectName]=DiscreteStatsTable[[#This Row],[ProjectName]]),(ProjectInfoTable[ProjectName]=DiscreteStatsTable[[#This Row],[ProjectName]])*ProjectInfoTable[NumberOfReplications]))</f>
        <v>50</v>
      </c>
      <c r="N888" cm="1">
        <f t="array" ref="N888">IFERROR(AVERAGE(IF((DiscreteStatsTable[GroupByKey]=DiscreteStatsTable[[#This Row],[GroupByKey]]),(DiscreteStatsTable[GroupByKey]=DiscreteStatsTable[[#This Row],[GroupByKey]])*DiscreteStatsTable[Average])),0)</f>
        <v>1.0196487348764249</v>
      </c>
      <c r="O888" cm="1">
        <f t="array" ref="O888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88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88" cm="1">
        <f t="array" ref="R888">MIN(IF((DiscreteStatsTable[GroupByKey]=DiscreteStatsTable[[#This Row],[GroupByKey]]),(DiscreteStatsTable[GroupByKey]=DiscreteStatsTable[[#This Row],[GroupByKey]])*DiscreteStatsTable[Average]))</f>
        <v>0.95501634543056202</v>
      </c>
      <c r="S888" cm="1">
        <f t="array" ref="S888">MAX(IF((DiscreteStatsTable[GroupByKey]=DiscreteStatsTable[[#This Row],[GroupByKey]]),(DiscreteStatsTable[GroupByKey]=DiscreteStatsTable[[#This Row],[GroupByKey]])*DiscreteStatsTable[Average]))</f>
        <v>1.10769496585296</v>
      </c>
      <c r="T888" cm="1">
        <f t="array" ref="T888">MIN(IF((DiscreteStatsTable[GroupByKey]=DiscreteStatsTable[[#This Row],[GroupByKey]]),(DiscreteStatsTable[GroupByKey]=DiscreteStatsTable[[#This Row],[GroupByKey]])*DiscreteStatsTable[Minimum]))</f>
        <v>0.51401222690765302</v>
      </c>
      <c r="U888" cm="1">
        <f t="array" ref="U888">MAX(IF((DiscreteStatsTable[GroupByKey]=DiscreteStatsTable[[#This Row],[GroupByKey]]),(DiscreteStatsTable[GroupByKey]=DiscreteStatsTable[[#This Row],[GroupByKey]])*DiscreteStatsTable[Maximum]))</f>
        <v>5.8546620722510996</v>
      </c>
      <c r="V888" cm="1">
        <f t="array" ref="V888">IFERROR(AVERAGE(IF((DiscreteStatsTable[GroupByKey]=DiscreteStatsTable[[#This Row],[GroupByKey]]),(DiscreteStatsTable[GroupByKey]=DiscreteStatsTable[[#This Row],[GroupByKey]])*DiscreteStatsTable[NumberObservations])),0)</f>
        <v>437.5</v>
      </c>
      <c r="W888">
        <f>IF((DiscreteStatsTable[[#This Row],[RepsRequested]]&gt;1),DiscreteStatsTable[[#This Row],[HalfWidth]],DiscreteStatsTable[[#This Row],[BatchMeansHalfWidth]])</f>
        <v>9.0257219283451061E-3</v>
      </c>
      <c r="X888" cm="1">
        <f t="array" ref="X888">COUNT(IF((DiscreteStatsTable[GroupByKey]=DiscreteStatsTable[[#This Row],[GroupByKey]]),(DiscreteStatsTable[GroupByKey]=DiscreteStatsTable[[#This Row],[GroupByKey]])*DiscreteStatsTable[Replication]))</f>
        <v>50</v>
      </c>
      <c r="Y888">
        <f>IF(DiscreteStatsTable[[#This Row],[RepsRequested]]=DiscreteStatsTable[[#This Row],[RepsWithStatObserved]],1,0)</f>
        <v>1</v>
      </c>
    </row>
    <row r="889" spans="1:25" x14ac:dyDescent="0.25">
      <c r="A889" t="s">
        <v>68</v>
      </c>
      <c r="B889" t="s">
        <v>131</v>
      </c>
      <c r="C889">
        <v>38</v>
      </c>
      <c r="D889" t="s">
        <v>92</v>
      </c>
      <c r="E889" t="s">
        <v>89</v>
      </c>
      <c r="F889" t="s">
        <v>90</v>
      </c>
      <c r="G889">
        <v>1.0364881741215</v>
      </c>
      <c r="H889">
        <v>7.9960658697953199E-2</v>
      </c>
      <c r="I889">
        <v>0.57879967350032802</v>
      </c>
      <c r="J889">
        <v>3.9515028017525</v>
      </c>
      <c r="K889">
        <v>422</v>
      </c>
      <c r="L889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89" cm="1">
        <f t="array" ref="M889">MAX(IF((ProjectInfoTable[ProjectName]=DiscreteStatsTable[[#This Row],[ProjectName]]),(ProjectInfoTable[ProjectName]=DiscreteStatsTable[[#This Row],[ProjectName]])*ProjectInfoTable[NumberOfReplications]))</f>
        <v>50</v>
      </c>
      <c r="N889" cm="1">
        <f t="array" ref="N889">IFERROR(AVERAGE(IF((DiscreteStatsTable[GroupByKey]=DiscreteStatsTable[[#This Row],[GroupByKey]]),(DiscreteStatsTable[GroupByKey]=DiscreteStatsTable[[#This Row],[GroupByKey]])*DiscreteStatsTable[Average])),0)</f>
        <v>1.0196487348764249</v>
      </c>
      <c r="O889" cm="1">
        <f t="array" ref="O889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89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89" cm="1">
        <f t="array" ref="R889">MIN(IF((DiscreteStatsTable[GroupByKey]=DiscreteStatsTable[[#This Row],[GroupByKey]]),(DiscreteStatsTable[GroupByKey]=DiscreteStatsTable[[#This Row],[GroupByKey]])*DiscreteStatsTable[Average]))</f>
        <v>0.95501634543056202</v>
      </c>
      <c r="S889" cm="1">
        <f t="array" ref="S889">MAX(IF((DiscreteStatsTable[GroupByKey]=DiscreteStatsTable[[#This Row],[GroupByKey]]),(DiscreteStatsTable[GroupByKey]=DiscreteStatsTable[[#This Row],[GroupByKey]])*DiscreteStatsTable[Average]))</f>
        <v>1.10769496585296</v>
      </c>
      <c r="T889" cm="1">
        <f t="array" ref="T889">MIN(IF((DiscreteStatsTable[GroupByKey]=DiscreteStatsTable[[#This Row],[GroupByKey]]),(DiscreteStatsTable[GroupByKey]=DiscreteStatsTable[[#This Row],[GroupByKey]])*DiscreteStatsTable[Minimum]))</f>
        <v>0.51401222690765302</v>
      </c>
      <c r="U889" cm="1">
        <f t="array" ref="U889">MAX(IF((DiscreteStatsTable[GroupByKey]=DiscreteStatsTable[[#This Row],[GroupByKey]]),(DiscreteStatsTable[GroupByKey]=DiscreteStatsTable[[#This Row],[GroupByKey]])*DiscreteStatsTable[Maximum]))</f>
        <v>5.8546620722510996</v>
      </c>
      <c r="V889" cm="1">
        <f t="array" ref="V889">IFERROR(AVERAGE(IF((DiscreteStatsTable[GroupByKey]=DiscreteStatsTable[[#This Row],[GroupByKey]]),(DiscreteStatsTable[GroupByKey]=DiscreteStatsTable[[#This Row],[GroupByKey]])*DiscreteStatsTable[NumberObservations])),0)</f>
        <v>437.5</v>
      </c>
      <c r="W889">
        <f>IF((DiscreteStatsTable[[#This Row],[RepsRequested]]&gt;1),DiscreteStatsTable[[#This Row],[HalfWidth]],DiscreteStatsTable[[#This Row],[BatchMeansHalfWidth]])</f>
        <v>9.0257219283451061E-3</v>
      </c>
      <c r="X889" cm="1">
        <f t="array" ref="X889">COUNT(IF((DiscreteStatsTable[GroupByKey]=DiscreteStatsTable[[#This Row],[GroupByKey]]),(DiscreteStatsTable[GroupByKey]=DiscreteStatsTable[[#This Row],[GroupByKey]])*DiscreteStatsTable[Replication]))</f>
        <v>50</v>
      </c>
      <c r="Y889">
        <f>IF(DiscreteStatsTable[[#This Row],[RepsRequested]]=DiscreteStatsTable[[#This Row],[RepsWithStatObserved]],1,0)</f>
        <v>1</v>
      </c>
    </row>
    <row r="890" spans="1:25" x14ac:dyDescent="0.25">
      <c r="A890" t="s">
        <v>68</v>
      </c>
      <c r="B890" t="s">
        <v>131</v>
      </c>
      <c r="C890">
        <v>39</v>
      </c>
      <c r="D890" t="s">
        <v>92</v>
      </c>
      <c r="E890" t="s">
        <v>89</v>
      </c>
      <c r="F890" t="s">
        <v>90</v>
      </c>
      <c r="G890">
        <v>1.0195730272658099</v>
      </c>
      <c r="H890">
        <v>5.9299555658905899E-2</v>
      </c>
      <c r="I890">
        <v>0.54600869338168201</v>
      </c>
      <c r="J890">
        <v>3.65458178425382</v>
      </c>
      <c r="K890">
        <v>453</v>
      </c>
      <c r="L890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90" cm="1">
        <f t="array" ref="M890">MAX(IF((ProjectInfoTable[ProjectName]=DiscreteStatsTable[[#This Row],[ProjectName]]),(ProjectInfoTable[ProjectName]=DiscreteStatsTable[[#This Row],[ProjectName]])*ProjectInfoTable[NumberOfReplications]))</f>
        <v>50</v>
      </c>
      <c r="N890" cm="1">
        <f t="array" ref="N890">IFERROR(AVERAGE(IF((DiscreteStatsTable[GroupByKey]=DiscreteStatsTable[[#This Row],[GroupByKey]]),(DiscreteStatsTable[GroupByKey]=DiscreteStatsTable[[#This Row],[GroupByKey]])*DiscreteStatsTable[Average])),0)</f>
        <v>1.0196487348764249</v>
      </c>
      <c r="O890" cm="1">
        <f t="array" ref="O890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90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90" cm="1">
        <f t="array" ref="R890">MIN(IF((DiscreteStatsTable[GroupByKey]=DiscreteStatsTable[[#This Row],[GroupByKey]]),(DiscreteStatsTable[GroupByKey]=DiscreteStatsTable[[#This Row],[GroupByKey]])*DiscreteStatsTable[Average]))</f>
        <v>0.95501634543056202</v>
      </c>
      <c r="S890" cm="1">
        <f t="array" ref="S890">MAX(IF((DiscreteStatsTable[GroupByKey]=DiscreteStatsTable[[#This Row],[GroupByKey]]),(DiscreteStatsTable[GroupByKey]=DiscreteStatsTable[[#This Row],[GroupByKey]])*DiscreteStatsTable[Average]))</f>
        <v>1.10769496585296</v>
      </c>
      <c r="T890" cm="1">
        <f t="array" ref="T890">MIN(IF((DiscreteStatsTable[GroupByKey]=DiscreteStatsTable[[#This Row],[GroupByKey]]),(DiscreteStatsTable[GroupByKey]=DiscreteStatsTable[[#This Row],[GroupByKey]])*DiscreteStatsTable[Minimum]))</f>
        <v>0.51401222690765302</v>
      </c>
      <c r="U890" cm="1">
        <f t="array" ref="U890">MAX(IF((DiscreteStatsTable[GroupByKey]=DiscreteStatsTable[[#This Row],[GroupByKey]]),(DiscreteStatsTable[GroupByKey]=DiscreteStatsTable[[#This Row],[GroupByKey]])*DiscreteStatsTable[Maximum]))</f>
        <v>5.8546620722510996</v>
      </c>
      <c r="V890" cm="1">
        <f t="array" ref="V890">IFERROR(AVERAGE(IF((DiscreteStatsTable[GroupByKey]=DiscreteStatsTable[[#This Row],[GroupByKey]]),(DiscreteStatsTable[GroupByKey]=DiscreteStatsTable[[#This Row],[GroupByKey]])*DiscreteStatsTable[NumberObservations])),0)</f>
        <v>437.5</v>
      </c>
      <c r="W890">
        <f>IF((DiscreteStatsTable[[#This Row],[RepsRequested]]&gt;1),DiscreteStatsTable[[#This Row],[HalfWidth]],DiscreteStatsTable[[#This Row],[BatchMeansHalfWidth]])</f>
        <v>9.0257219283451061E-3</v>
      </c>
      <c r="X890" cm="1">
        <f t="array" ref="X890">COUNT(IF((DiscreteStatsTable[GroupByKey]=DiscreteStatsTable[[#This Row],[GroupByKey]]),(DiscreteStatsTable[GroupByKey]=DiscreteStatsTable[[#This Row],[GroupByKey]])*DiscreteStatsTable[Replication]))</f>
        <v>50</v>
      </c>
      <c r="Y890">
        <f>IF(DiscreteStatsTable[[#This Row],[RepsRequested]]=DiscreteStatsTable[[#This Row],[RepsWithStatObserved]],1,0)</f>
        <v>1</v>
      </c>
    </row>
    <row r="891" spans="1:25" x14ac:dyDescent="0.25">
      <c r="A891" t="s">
        <v>68</v>
      </c>
      <c r="B891" t="s">
        <v>131</v>
      </c>
      <c r="C891">
        <v>40</v>
      </c>
      <c r="D891" t="s">
        <v>92</v>
      </c>
      <c r="E891" t="s">
        <v>89</v>
      </c>
      <c r="F891" t="s">
        <v>90</v>
      </c>
      <c r="G891">
        <v>0.98069034771585695</v>
      </c>
      <c r="H891">
        <v>4.3190484528400797E-2</v>
      </c>
      <c r="I891">
        <v>0.56804898106670298</v>
      </c>
      <c r="J891">
        <v>2.9121633277982801</v>
      </c>
      <c r="K891">
        <v>456</v>
      </c>
      <c r="L891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91" cm="1">
        <f t="array" ref="M891">MAX(IF((ProjectInfoTable[ProjectName]=DiscreteStatsTable[[#This Row],[ProjectName]]),(ProjectInfoTable[ProjectName]=DiscreteStatsTable[[#This Row],[ProjectName]])*ProjectInfoTable[NumberOfReplications]))</f>
        <v>50</v>
      </c>
      <c r="N891" cm="1">
        <f t="array" ref="N891">IFERROR(AVERAGE(IF((DiscreteStatsTable[GroupByKey]=DiscreteStatsTable[[#This Row],[GroupByKey]]),(DiscreteStatsTable[GroupByKey]=DiscreteStatsTable[[#This Row],[GroupByKey]])*DiscreteStatsTable[Average])),0)</f>
        <v>1.0196487348764249</v>
      </c>
      <c r="O891" cm="1">
        <f t="array" ref="O891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91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91" cm="1">
        <f t="array" ref="R891">MIN(IF((DiscreteStatsTable[GroupByKey]=DiscreteStatsTable[[#This Row],[GroupByKey]]),(DiscreteStatsTable[GroupByKey]=DiscreteStatsTable[[#This Row],[GroupByKey]])*DiscreteStatsTable[Average]))</f>
        <v>0.95501634543056202</v>
      </c>
      <c r="S891" cm="1">
        <f t="array" ref="S891">MAX(IF((DiscreteStatsTable[GroupByKey]=DiscreteStatsTable[[#This Row],[GroupByKey]]),(DiscreteStatsTable[GroupByKey]=DiscreteStatsTable[[#This Row],[GroupByKey]])*DiscreteStatsTable[Average]))</f>
        <v>1.10769496585296</v>
      </c>
      <c r="T891" cm="1">
        <f t="array" ref="T891">MIN(IF((DiscreteStatsTable[GroupByKey]=DiscreteStatsTable[[#This Row],[GroupByKey]]),(DiscreteStatsTable[GroupByKey]=DiscreteStatsTable[[#This Row],[GroupByKey]])*DiscreteStatsTable[Minimum]))</f>
        <v>0.51401222690765302</v>
      </c>
      <c r="U891" cm="1">
        <f t="array" ref="U891">MAX(IF((DiscreteStatsTable[GroupByKey]=DiscreteStatsTable[[#This Row],[GroupByKey]]),(DiscreteStatsTable[GroupByKey]=DiscreteStatsTable[[#This Row],[GroupByKey]])*DiscreteStatsTable[Maximum]))</f>
        <v>5.8546620722510996</v>
      </c>
      <c r="V891" cm="1">
        <f t="array" ref="V891">IFERROR(AVERAGE(IF((DiscreteStatsTable[GroupByKey]=DiscreteStatsTable[[#This Row],[GroupByKey]]),(DiscreteStatsTable[GroupByKey]=DiscreteStatsTable[[#This Row],[GroupByKey]])*DiscreteStatsTable[NumberObservations])),0)</f>
        <v>437.5</v>
      </c>
      <c r="W891">
        <f>IF((DiscreteStatsTable[[#This Row],[RepsRequested]]&gt;1),DiscreteStatsTable[[#This Row],[HalfWidth]],DiscreteStatsTable[[#This Row],[BatchMeansHalfWidth]])</f>
        <v>9.0257219283451061E-3</v>
      </c>
      <c r="X891" cm="1">
        <f t="array" ref="X891">COUNT(IF((DiscreteStatsTable[GroupByKey]=DiscreteStatsTable[[#This Row],[GroupByKey]]),(DiscreteStatsTable[GroupByKey]=DiscreteStatsTable[[#This Row],[GroupByKey]])*DiscreteStatsTable[Replication]))</f>
        <v>50</v>
      </c>
      <c r="Y891">
        <f>IF(DiscreteStatsTable[[#This Row],[RepsRequested]]=DiscreteStatsTable[[#This Row],[RepsWithStatObserved]],1,0)</f>
        <v>1</v>
      </c>
    </row>
    <row r="892" spans="1:25" x14ac:dyDescent="0.25">
      <c r="A892" t="s">
        <v>68</v>
      </c>
      <c r="B892" t="s">
        <v>131</v>
      </c>
      <c r="C892">
        <v>41</v>
      </c>
      <c r="D892" t="s">
        <v>92</v>
      </c>
      <c r="E892" t="s">
        <v>89</v>
      </c>
      <c r="F892" t="s">
        <v>90</v>
      </c>
      <c r="G892">
        <v>0.999233372437351</v>
      </c>
      <c r="H892">
        <v>5.97045989444119E-2</v>
      </c>
      <c r="I892">
        <v>0.59009801878664803</v>
      </c>
      <c r="J892">
        <v>4.42151037645203</v>
      </c>
      <c r="K892">
        <v>433</v>
      </c>
      <c r="L892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92" cm="1">
        <f t="array" ref="M892">MAX(IF((ProjectInfoTable[ProjectName]=DiscreteStatsTable[[#This Row],[ProjectName]]),(ProjectInfoTable[ProjectName]=DiscreteStatsTable[[#This Row],[ProjectName]])*ProjectInfoTable[NumberOfReplications]))</f>
        <v>50</v>
      </c>
      <c r="N892" cm="1">
        <f t="array" ref="N892">IFERROR(AVERAGE(IF((DiscreteStatsTable[GroupByKey]=DiscreteStatsTable[[#This Row],[GroupByKey]]),(DiscreteStatsTable[GroupByKey]=DiscreteStatsTable[[#This Row],[GroupByKey]])*DiscreteStatsTable[Average])),0)</f>
        <v>1.0196487348764249</v>
      </c>
      <c r="O892" cm="1">
        <f t="array" ref="O892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92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92" cm="1">
        <f t="array" ref="R892">MIN(IF((DiscreteStatsTable[GroupByKey]=DiscreteStatsTable[[#This Row],[GroupByKey]]),(DiscreteStatsTable[GroupByKey]=DiscreteStatsTable[[#This Row],[GroupByKey]])*DiscreteStatsTable[Average]))</f>
        <v>0.95501634543056202</v>
      </c>
      <c r="S892" cm="1">
        <f t="array" ref="S892">MAX(IF((DiscreteStatsTable[GroupByKey]=DiscreteStatsTable[[#This Row],[GroupByKey]]),(DiscreteStatsTable[GroupByKey]=DiscreteStatsTable[[#This Row],[GroupByKey]])*DiscreteStatsTable[Average]))</f>
        <v>1.10769496585296</v>
      </c>
      <c r="T892" cm="1">
        <f t="array" ref="T892">MIN(IF((DiscreteStatsTable[GroupByKey]=DiscreteStatsTable[[#This Row],[GroupByKey]]),(DiscreteStatsTable[GroupByKey]=DiscreteStatsTable[[#This Row],[GroupByKey]])*DiscreteStatsTable[Minimum]))</f>
        <v>0.51401222690765302</v>
      </c>
      <c r="U892" cm="1">
        <f t="array" ref="U892">MAX(IF((DiscreteStatsTable[GroupByKey]=DiscreteStatsTable[[#This Row],[GroupByKey]]),(DiscreteStatsTable[GroupByKey]=DiscreteStatsTable[[#This Row],[GroupByKey]])*DiscreteStatsTable[Maximum]))</f>
        <v>5.8546620722510996</v>
      </c>
      <c r="V892" cm="1">
        <f t="array" ref="V892">IFERROR(AVERAGE(IF((DiscreteStatsTable[GroupByKey]=DiscreteStatsTable[[#This Row],[GroupByKey]]),(DiscreteStatsTable[GroupByKey]=DiscreteStatsTable[[#This Row],[GroupByKey]])*DiscreteStatsTable[NumberObservations])),0)</f>
        <v>437.5</v>
      </c>
      <c r="W892">
        <f>IF((DiscreteStatsTable[[#This Row],[RepsRequested]]&gt;1),DiscreteStatsTable[[#This Row],[HalfWidth]],DiscreteStatsTable[[#This Row],[BatchMeansHalfWidth]])</f>
        <v>9.0257219283451061E-3</v>
      </c>
      <c r="X892" cm="1">
        <f t="array" ref="X892">COUNT(IF((DiscreteStatsTable[GroupByKey]=DiscreteStatsTable[[#This Row],[GroupByKey]]),(DiscreteStatsTable[GroupByKey]=DiscreteStatsTable[[#This Row],[GroupByKey]])*DiscreteStatsTable[Replication]))</f>
        <v>50</v>
      </c>
      <c r="Y892">
        <f>IF(DiscreteStatsTable[[#This Row],[RepsRequested]]=DiscreteStatsTable[[#This Row],[RepsWithStatObserved]],1,0)</f>
        <v>1</v>
      </c>
    </row>
    <row r="893" spans="1:25" x14ac:dyDescent="0.25">
      <c r="A893" t="s">
        <v>68</v>
      </c>
      <c r="B893" t="s">
        <v>131</v>
      </c>
      <c r="C893">
        <v>42</v>
      </c>
      <c r="D893" t="s">
        <v>92</v>
      </c>
      <c r="E893" t="s">
        <v>89</v>
      </c>
      <c r="F893" t="s">
        <v>90</v>
      </c>
      <c r="G893">
        <v>0.971100321676028</v>
      </c>
      <c r="H893">
        <v>4.6475362845889399E-2</v>
      </c>
      <c r="I893">
        <v>0.52705006138245403</v>
      </c>
      <c r="J893">
        <v>3.0016864896414299</v>
      </c>
      <c r="K893">
        <v>408</v>
      </c>
      <c r="L893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93" cm="1">
        <f t="array" ref="M893">MAX(IF((ProjectInfoTable[ProjectName]=DiscreteStatsTable[[#This Row],[ProjectName]]),(ProjectInfoTable[ProjectName]=DiscreteStatsTable[[#This Row],[ProjectName]])*ProjectInfoTable[NumberOfReplications]))</f>
        <v>50</v>
      </c>
      <c r="N893" cm="1">
        <f t="array" ref="N893">IFERROR(AVERAGE(IF((DiscreteStatsTable[GroupByKey]=DiscreteStatsTable[[#This Row],[GroupByKey]]),(DiscreteStatsTable[GroupByKey]=DiscreteStatsTable[[#This Row],[GroupByKey]])*DiscreteStatsTable[Average])),0)</f>
        <v>1.0196487348764249</v>
      </c>
      <c r="O893" cm="1">
        <f t="array" ref="O893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93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93" cm="1">
        <f t="array" ref="R893">MIN(IF((DiscreteStatsTable[GroupByKey]=DiscreteStatsTable[[#This Row],[GroupByKey]]),(DiscreteStatsTable[GroupByKey]=DiscreteStatsTable[[#This Row],[GroupByKey]])*DiscreteStatsTable[Average]))</f>
        <v>0.95501634543056202</v>
      </c>
      <c r="S893" cm="1">
        <f t="array" ref="S893">MAX(IF((DiscreteStatsTable[GroupByKey]=DiscreteStatsTable[[#This Row],[GroupByKey]]),(DiscreteStatsTable[GroupByKey]=DiscreteStatsTable[[#This Row],[GroupByKey]])*DiscreteStatsTable[Average]))</f>
        <v>1.10769496585296</v>
      </c>
      <c r="T893" cm="1">
        <f t="array" ref="T893">MIN(IF((DiscreteStatsTable[GroupByKey]=DiscreteStatsTable[[#This Row],[GroupByKey]]),(DiscreteStatsTable[GroupByKey]=DiscreteStatsTable[[#This Row],[GroupByKey]])*DiscreteStatsTable[Minimum]))</f>
        <v>0.51401222690765302</v>
      </c>
      <c r="U893" cm="1">
        <f t="array" ref="U893">MAX(IF((DiscreteStatsTable[GroupByKey]=DiscreteStatsTable[[#This Row],[GroupByKey]]),(DiscreteStatsTable[GroupByKey]=DiscreteStatsTable[[#This Row],[GroupByKey]])*DiscreteStatsTable[Maximum]))</f>
        <v>5.8546620722510996</v>
      </c>
      <c r="V893" cm="1">
        <f t="array" ref="V893">IFERROR(AVERAGE(IF((DiscreteStatsTable[GroupByKey]=DiscreteStatsTable[[#This Row],[GroupByKey]]),(DiscreteStatsTable[GroupByKey]=DiscreteStatsTable[[#This Row],[GroupByKey]])*DiscreteStatsTable[NumberObservations])),0)</f>
        <v>437.5</v>
      </c>
      <c r="W893">
        <f>IF((DiscreteStatsTable[[#This Row],[RepsRequested]]&gt;1),DiscreteStatsTable[[#This Row],[HalfWidth]],DiscreteStatsTable[[#This Row],[BatchMeansHalfWidth]])</f>
        <v>9.0257219283451061E-3</v>
      </c>
      <c r="X893" cm="1">
        <f t="array" ref="X893">COUNT(IF((DiscreteStatsTable[GroupByKey]=DiscreteStatsTable[[#This Row],[GroupByKey]]),(DiscreteStatsTable[GroupByKey]=DiscreteStatsTable[[#This Row],[GroupByKey]])*DiscreteStatsTable[Replication]))</f>
        <v>50</v>
      </c>
      <c r="Y893">
        <f>IF(DiscreteStatsTable[[#This Row],[RepsRequested]]=DiscreteStatsTable[[#This Row],[RepsWithStatObserved]],1,0)</f>
        <v>1</v>
      </c>
    </row>
    <row r="894" spans="1:25" x14ac:dyDescent="0.25">
      <c r="A894" t="s">
        <v>68</v>
      </c>
      <c r="B894" t="s">
        <v>131</v>
      </c>
      <c r="C894">
        <v>43</v>
      </c>
      <c r="D894" t="s">
        <v>92</v>
      </c>
      <c r="E894" t="s">
        <v>89</v>
      </c>
      <c r="F894" t="s">
        <v>90</v>
      </c>
      <c r="G894">
        <v>1.0121934737979701</v>
      </c>
      <c r="H894">
        <v>5.10899960059834E-2</v>
      </c>
      <c r="I894">
        <v>0.552795647858495</v>
      </c>
      <c r="J894">
        <v>2.9581787810957998</v>
      </c>
      <c r="K894">
        <v>431</v>
      </c>
      <c r="L894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94" cm="1">
        <f t="array" ref="M894">MAX(IF((ProjectInfoTable[ProjectName]=DiscreteStatsTable[[#This Row],[ProjectName]]),(ProjectInfoTable[ProjectName]=DiscreteStatsTable[[#This Row],[ProjectName]])*ProjectInfoTable[NumberOfReplications]))</f>
        <v>50</v>
      </c>
      <c r="N894" cm="1">
        <f t="array" ref="N894">IFERROR(AVERAGE(IF((DiscreteStatsTable[GroupByKey]=DiscreteStatsTable[[#This Row],[GroupByKey]]),(DiscreteStatsTable[GroupByKey]=DiscreteStatsTable[[#This Row],[GroupByKey]])*DiscreteStatsTable[Average])),0)</f>
        <v>1.0196487348764249</v>
      </c>
      <c r="O894" cm="1">
        <f t="array" ref="O894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94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94" cm="1">
        <f t="array" ref="R894">MIN(IF((DiscreteStatsTable[GroupByKey]=DiscreteStatsTable[[#This Row],[GroupByKey]]),(DiscreteStatsTable[GroupByKey]=DiscreteStatsTable[[#This Row],[GroupByKey]])*DiscreteStatsTable[Average]))</f>
        <v>0.95501634543056202</v>
      </c>
      <c r="S894" cm="1">
        <f t="array" ref="S894">MAX(IF((DiscreteStatsTable[GroupByKey]=DiscreteStatsTable[[#This Row],[GroupByKey]]),(DiscreteStatsTable[GroupByKey]=DiscreteStatsTable[[#This Row],[GroupByKey]])*DiscreteStatsTable[Average]))</f>
        <v>1.10769496585296</v>
      </c>
      <c r="T894" cm="1">
        <f t="array" ref="T894">MIN(IF((DiscreteStatsTable[GroupByKey]=DiscreteStatsTable[[#This Row],[GroupByKey]]),(DiscreteStatsTable[GroupByKey]=DiscreteStatsTable[[#This Row],[GroupByKey]])*DiscreteStatsTable[Minimum]))</f>
        <v>0.51401222690765302</v>
      </c>
      <c r="U894" cm="1">
        <f t="array" ref="U894">MAX(IF((DiscreteStatsTable[GroupByKey]=DiscreteStatsTable[[#This Row],[GroupByKey]]),(DiscreteStatsTable[GroupByKey]=DiscreteStatsTable[[#This Row],[GroupByKey]])*DiscreteStatsTable[Maximum]))</f>
        <v>5.8546620722510996</v>
      </c>
      <c r="V894" cm="1">
        <f t="array" ref="V894">IFERROR(AVERAGE(IF((DiscreteStatsTable[GroupByKey]=DiscreteStatsTable[[#This Row],[GroupByKey]]),(DiscreteStatsTable[GroupByKey]=DiscreteStatsTable[[#This Row],[GroupByKey]])*DiscreteStatsTable[NumberObservations])),0)</f>
        <v>437.5</v>
      </c>
      <c r="W894">
        <f>IF((DiscreteStatsTable[[#This Row],[RepsRequested]]&gt;1),DiscreteStatsTable[[#This Row],[HalfWidth]],DiscreteStatsTable[[#This Row],[BatchMeansHalfWidth]])</f>
        <v>9.0257219283451061E-3</v>
      </c>
      <c r="X894" cm="1">
        <f t="array" ref="X894">COUNT(IF((DiscreteStatsTable[GroupByKey]=DiscreteStatsTable[[#This Row],[GroupByKey]]),(DiscreteStatsTable[GroupByKey]=DiscreteStatsTable[[#This Row],[GroupByKey]])*DiscreteStatsTable[Replication]))</f>
        <v>50</v>
      </c>
      <c r="Y894">
        <f>IF(DiscreteStatsTable[[#This Row],[RepsRequested]]=DiscreteStatsTable[[#This Row],[RepsWithStatObserved]],1,0)</f>
        <v>1</v>
      </c>
    </row>
    <row r="895" spans="1:25" x14ac:dyDescent="0.25">
      <c r="A895" t="s">
        <v>68</v>
      </c>
      <c r="B895" t="s">
        <v>131</v>
      </c>
      <c r="C895">
        <v>44</v>
      </c>
      <c r="D895" t="s">
        <v>92</v>
      </c>
      <c r="E895" t="s">
        <v>89</v>
      </c>
      <c r="F895" t="s">
        <v>90</v>
      </c>
      <c r="G895">
        <v>0.98286591789816102</v>
      </c>
      <c r="H895">
        <v>4.4436718453377801E-2</v>
      </c>
      <c r="I895">
        <v>0.53556285409149496</v>
      </c>
      <c r="J895">
        <v>2.6845711893081998</v>
      </c>
      <c r="K895">
        <v>430</v>
      </c>
      <c r="L895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95" cm="1">
        <f t="array" ref="M895">MAX(IF((ProjectInfoTable[ProjectName]=DiscreteStatsTable[[#This Row],[ProjectName]]),(ProjectInfoTable[ProjectName]=DiscreteStatsTable[[#This Row],[ProjectName]])*ProjectInfoTable[NumberOfReplications]))</f>
        <v>50</v>
      </c>
      <c r="N895" cm="1">
        <f t="array" ref="N895">IFERROR(AVERAGE(IF((DiscreteStatsTable[GroupByKey]=DiscreteStatsTable[[#This Row],[GroupByKey]]),(DiscreteStatsTable[GroupByKey]=DiscreteStatsTable[[#This Row],[GroupByKey]])*DiscreteStatsTable[Average])),0)</f>
        <v>1.0196487348764249</v>
      </c>
      <c r="O895" cm="1">
        <f t="array" ref="O895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9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95" cm="1">
        <f t="array" ref="R895">MIN(IF((DiscreteStatsTable[GroupByKey]=DiscreteStatsTable[[#This Row],[GroupByKey]]),(DiscreteStatsTable[GroupByKey]=DiscreteStatsTable[[#This Row],[GroupByKey]])*DiscreteStatsTable[Average]))</f>
        <v>0.95501634543056202</v>
      </c>
      <c r="S895" cm="1">
        <f t="array" ref="S895">MAX(IF((DiscreteStatsTable[GroupByKey]=DiscreteStatsTable[[#This Row],[GroupByKey]]),(DiscreteStatsTable[GroupByKey]=DiscreteStatsTable[[#This Row],[GroupByKey]])*DiscreteStatsTable[Average]))</f>
        <v>1.10769496585296</v>
      </c>
      <c r="T895" cm="1">
        <f t="array" ref="T895">MIN(IF((DiscreteStatsTable[GroupByKey]=DiscreteStatsTable[[#This Row],[GroupByKey]]),(DiscreteStatsTable[GroupByKey]=DiscreteStatsTable[[#This Row],[GroupByKey]])*DiscreteStatsTable[Minimum]))</f>
        <v>0.51401222690765302</v>
      </c>
      <c r="U895" cm="1">
        <f t="array" ref="U895">MAX(IF((DiscreteStatsTable[GroupByKey]=DiscreteStatsTable[[#This Row],[GroupByKey]]),(DiscreteStatsTable[GroupByKey]=DiscreteStatsTable[[#This Row],[GroupByKey]])*DiscreteStatsTable[Maximum]))</f>
        <v>5.8546620722510996</v>
      </c>
      <c r="V895" cm="1">
        <f t="array" ref="V895">IFERROR(AVERAGE(IF((DiscreteStatsTable[GroupByKey]=DiscreteStatsTable[[#This Row],[GroupByKey]]),(DiscreteStatsTable[GroupByKey]=DiscreteStatsTable[[#This Row],[GroupByKey]])*DiscreteStatsTable[NumberObservations])),0)</f>
        <v>437.5</v>
      </c>
      <c r="W895">
        <f>IF((DiscreteStatsTable[[#This Row],[RepsRequested]]&gt;1),DiscreteStatsTable[[#This Row],[HalfWidth]],DiscreteStatsTable[[#This Row],[BatchMeansHalfWidth]])</f>
        <v>9.0257219283451061E-3</v>
      </c>
      <c r="X895" cm="1">
        <f t="array" ref="X895">COUNT(IF((DiscreteStatsTable[GroupByKey]=DiscreteStatsTable[[#This Row],[GroupByKey]]),(DiscreteStatsTable[GroupByKey]=DiscreteStatsTable[[#This Row],[GroupByKey]])*DiscreteStatsTable[Replication]))</f>
        <v>50</v>
      </c>
      <c r="Y895">
        <f>IF(DiscreteStatsTable[[#This Row],[RepsRequested]]=DiscreteStatsTable[[#This Row],[RepsWithStatObserved]],1,0)</f>
        <v>1</v>
      </c>
    </row>
    <row r="896" spans="1:25" x14ac:dyDescent="0.25">
      <c r="A896" t="s">
        <v>68</v>
      </c>
      <c r="B896" t="s">
        <v>131</v>
      </c>
      <c r="C896">
        <v>45</v>
      </c>
      <c r="D896" t="s">
        <v>92</v>
      </c>
      <c r="E896" t="s">
        <v>89</v>
      </c>
      <c r="F896" t="s">
        <v>90</v>
      </c>
      <c r="G896">
        <v>1.00643482187432</v>
      </c>
      <c r="H896">
        <v>5.9885997001370601E-2</v>
      </c>
      <c r="I896">
        <v>0.57758153410099999</v>
      </c>
      <c r="J896">
        <v>3.4823974264848498</v>
      </c>
      <c r="K896">
        <v>444</v>
      </c>
      <c r="L896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96" cm="1">
        <f t="array" ref="M896">MAX(IF((ProjectInfoTable[ProjectName]=DiscreteStatsTable[[#This Row],[ProjectName]]),(ProjectInfoTable[ProjectName]=DiscreteStatsTable[[#This Row],[ProjectName]])*ProjectInfoTable[NumberOfReplications]))</f>
        <v>50</v>
      </c>
      <c r="N896" cm="1">
        <f t="array" ref="N896">IFERROR(AVERAGE(IF((DiscreteStatsTable[GroupByKey]=DiscreteStatsTable[[#This Row],[GroupByKey]]),(DiscreteStatsTable[GroupByKey]=DiscreteStatsTable[[#This Row],[GroupByKey]])*DiscreteStatsTable[Average])),0)</f>
        <v>1.0196487348764249</v>
      </c>
      <c r="O896" cm="1">
        <f t="array" ref="O896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96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96" cm="1">
        <f t="array" ref="R896">MIN(IF((DiscreteStatsTable[GroupByKey]=DiscreteStatsTable[[#This Row],[GroupByKey]]),(DiscreteStatsTable[GroupByKey]=DiscreteStatsTable[[#This Row],[GroupByKey]])*DiscreteStatsTable[Average]))</f>
        <v>0.95501634543056202</v>
      </c>
      <c r="S896" cm="1">
        <f t="array" ref="S896">MAX(IF((DiscreteStatsTable[GroupByKey]=DiscreteStatsTable[[#This Row],[GroupByKey]]),(DiscreteStatsTable[GroupByKey]=DiscreteStatsTable[[#This Row],[GroupByKey]])*DiscreteStatsTable[Average]))</f>
        <v>1.10769496585296</v>
      </c>
      <c r="T896" cm="1">
        <f t="array" ref="T896">MIN(IF((DiscreteStatsTable[GroupByKey]=DiscreteStatsTable[[#This Row],[GroupByKey]]),(DiscreteStatsTable[GroupByKey]=DiscreteStatsTable[[#This Row],[GroupByKey]])*DiscreteStatsTable[Minimum]))</f>
        <v>0.51401222690765302</v>
      </c>
      <c r="U896" cm="1">
        <f t="array" ref="U896">MAX(IF((DiscreteStatsTable[GroupByKey]=DiscreteStatsTable[[#This Row],[GroupByKey]]),(DiscreteStatsTable[GroupByKey]=DiscreteStatsTable[[#This Row],[GroupByKey]])*DiscreteStatsTable[Maximum]))</f>
        <v>5.8546620722510996</v>
      </c>
      <c r="V896" cm="1">
        <f t="array" ref="V896">IFERROR(AVERAGE(IF((DiscreteStatsTable[GroupByKey]=DiscreteStatsTable[[#This Row],[GroupByKey]]),(DiscreteStatsTable[GroupByKey]=DiscreteStatsTable[[#This Row],[GroupByKey]])*DiscreteStatsTable[NumberObservations])),0)</f>
        <v>437.5</v>
      </c>
      <c r="W896">
        <f>IF((DiscreteStatsTable[[#This Row],[RepsRequested]]&gt;1),DiscreteStatsTable[[#This Row],[HalfWidth]],DiscreteStatsTable[[#This Row],[BatchMeansHalfWidth]])</f>
        <v>9.0257219283451061E-3</v>
      </c>
      <c r="X896" cm="1">
        <f t="array" ref="X896">COUNT(IF((DiscreteStatsTable[GroupByKey]=DiscreteStatsTable[[#This Row],[GroupByKey]]),(DiscreteStatsTable[GroupByKey]=DiscreteStatsTable[[#This Row],[GroupByKey]])*DiscreteStatsTable[Replication]))</f>
        <v>50</v>
      </c>
      <c r="Y896">
        <f>IF(DiscreteStatsTable[[#This Row],[RepsRequested]]=DiscreteStatsTable[[#This Row],[RepsWithStatObserved]],1,0)</f>
        <v>1</v>
      </c>
    </row>
    <row r="897" spans="1:25" x14ac:dyDescent="0.25">
      <c r="A897" t="s">
        <v>68</v>
      </c>
      <c r="B897" t="s">
        <v>131</v>
      </c>
      <c r="C897">
        <v>46</v>
      </c>
      <c r="D897" t="s">
        <v>92</v>
      </c>
      <c r="E897" t="s">
        <v>89</v>
      </c>
      <c r="F897" t="s">
        <v>90</v>
      </c>
      <c r="G897">
        <v>1.01180939312624</v>
      </c>
      <c r="H897">
        <v>5.9617576872942502E-2</v>
      </c>
      <c r="I897">
        <v>0.54934849147949205</v>
      </c>
      <c r="J897">
        <v>3.4099522922747401</v>
      </c>
      <c r="K897">
        <v>433</v>
      </c>
      <c r="L897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97" cm="1">
        <f t="array" ref="M897">MAX(IF((ProjectInfoTable[ProjectName]=DiscreteStatsTable[[#This Row],[ProjectName]]),(ProjectInfoTable[ProjectName]=DiscreteStatsTable[[#This Row],[ProjectName]])*ProjectInfoTable[NumberOfReplications]))</f>
        <v>50</v>
      </c>
      <c r="N897" cm="1">
        <f t="array" ref="N897">IFERROR(AVERAGE(IF((DiscreteStatsTable[GroupByKey]=DiscreteStatsTable[[#This Row],[GroupByKey]]),(DiscreteStatsTable[GroupByKey]=DiscreteStatsTable[[#This Row],[GroupByKey]])*DiscreteStatsTable[Average])),0)</f>
        <v>1.0196487348764249</v>
      </c>
      <c r="O897" cm="1">
        <f t="array" ref="O897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97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97" cm="1">
        <f t="array" ref="R897">MIN(IF((DiscreteStatsTable[GroupByKey]=DiscreteStatsTable[[#This Row],[GroupByKey]]),(DiscreteStatsTable[GroupByKey]=DiscreteStatsTable[[#This Row],[GroupByKey]])*DiscreteStatsTable[Average]))</f>
        <v>0.95501634543056202</v>
      </c>
      <c r="S897" cm="1">
        <f t="array" ref="S897">MAX(IF((DiscreteStatsTable[GroupByKey]=DiscreteStatsTable[[#This Row],[GroupByKey]]),(DiscreteStatsTable[GroupByKey]=DiscreteStatsTable[[#This Row],[GroupByKey]])*DiscreteStatsTable[Average]))</f>
        <v>1.10769496585296</v>
      </c>
      <c r="T897" cm="1">
        <f t="array" ref="T897">MIN(IF((DiscreteStatsTable[GroupByKey]=DiscreteStatsTable[[#This Row],[GroupByKey]]),(DiscreteStatsTable[GroupByKey]=DiscreteStatsTable[[#This Row],[GroupByKey]])*DiscreteStatsTable[Minimum]))</f>
        <v>0.51401222690765302</v>
      </c>
      <c r="U897" cm="1">
        <f t="array" ref="U897">MAX(IF((DiscreteStatsTable[GroupByKey]=DiscreteStatsTable[[#This Row],[GroupByKey]]),(DiscreteStatsTable[GroupByKey]=DiscreteStatsTable[[#This Row],[GroupByKey]])*DiscreteStatsTable[Maximum]))</f>
        <v>5.8546620722510996</v>
      </c>
      <c r="V897" cm="1">
        <f t="array" ref="V897">IFERROR(AVERAGE(IF((DiscreteStatsTable[GroupByKey]=DiscreteStatsTable[[#This Row],[GroupByKey]]),(DiscreteStatsTable[GroupByKey]=DiscreteStatsTable[[#This Row],[GroupByKey]])*DiscreteStatsTable[NumberObservations])),0)</f>
        <v>437.5</v>
      </c>
      <c r="W897">
        <f>IF((DiscreteStatsTable[[#This Row],[RepsRequested]]&gt;1),DiscreteStatsTable[[#This Row],[HalfWidth]],DiscreteStatsTable[[#This Row],[BatchMeansHalfWidth]])</f>
        <v>9.0257219283451061E-3</v>
      </c>
      <c r="X897" cm="1">
        <f t="array" ref="X897">COUNT(IF((DiscreteStatsTable[GroupByKey]=DiscreteStatsTable[[#This Row],[GroupByKey]]),(DiscreteStatsTable[GroupByKey]=DiscreteStatsTable[[#This Row],[GroupByKey]])*DiscreteStatsTable[Replication]))</f>
        <v>50</v>
      </c>
      <c r="Y897">
        <f>IF(DiscreteStatsTable[[#This Row],[RepsRequested]]=DiscreteStatsTable[[#This Row],[RepsWithStatObserved]],1,0)</f>
        <v>1</v>
      </c>
    </row>
    <row r="898" spans="1:25" x14ac:dyDescent="0.25">
      <c r="A898" t="s">
        <v>68</v>
      </c>
      <c r="B898" t="s">
        <v>131</v>
      </c>
      <c r="C898">
        <v>47</v>
      </c>
      <c r="D898" t="s">
        <v>92</v>
      </c>
      <c r="E898" t="s">
        <v>89</v>
      </c>
      <c r="F898" t="s">
        <v>90</v>
      </c>
      <c r="G898">
        <v>1.01098922102829</v>
      </c>
      <c r="H898">
        <v>3E+20</v>
      </c>
      <c r="I898">
        <v>0.59150110027900404</v>
      </c>
      <c r="J898">
        <v>3.3375917384713598</v>
      </c>
      <c r="K898">
        <v>416</v>
      </c>
      <c r="L898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98" cm="1">
        <f t="array" ref="M898">MAX(IF((ProjectInfoTable[ProjectName]=DiscreteStatsTable[[#This Row],[ProjectName]]),(ProjectInfoTable[ProjectName]=DiscreteStatsTable[[#This Row],[ProjectName]])*ProjectInfoTable[NumberOfReplications]))</f>
        <v>50</v>
      </c>
      <c r="N898" cm="1">
        <f t="array" ref="N898">IFERROR(AVERAGE(IF((DiscreteStatsTable[GroupByKey]=DiscreteStatsTable[[#This Row],[GroupByKey]]),(DiscreteStatsTable[GroupByKey]=DiscreteStatsTable[[#This Row],[GroupByKey]])*DiscreteStatsTable[Average])),0)</f>
        <v>1.0196487348764249</v>
      </c>
      <c r="O898" cm="1">
        <f t="array" ref="O898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98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98" cm="1">
        <f t="array" ref="R898">MIN(IF((DiscreteStatsTable[GroupByKey]=DiscreteStatsTable[[#This Row],[GroupByKey]]),(DiscreteStatsTable[GroupByKey]=DiscreteStatsTable[[#This Row],[GroupByKey]])*DiscreteStatsTable[Average]))</f>
        <v>0.95501634543056202</v>
      </c>
      <c r="S898" cm="1">
        <f t="array" ref="S898">MAX(IF((DiscreteStatsTable[GroupByKey]=DiscreteStatsTable[[#This Row],[GroupByKey]]),(DiscreteStatsTable[GroupByKey]=DiscreteStatsTable[[#This Row],[GroupByKey]])*DiscreteStatsTable[Average]))</f>
        <v>1.10769496585296</v>
      </c>
      <c r="T898" cm="1">
        <f t="array" ref="T898">MIN(IF((DiscreteStatsTable[GroupByKey]=DiscreteStatsTable[[#This Row],[GroupByKey]]),(DiscreteStatsTable[GroupByKey]=DiscreteStatsTable[[#This Row],[GroupByKey]])*DiscreteStatsTable[Minimum]))</f>
        <v>0.51401222690765302</v>
      </c>
      <c r="U898" cm="1">
        <f t="array" ref="U898">MAX(IF((DiscreteStatsTable[GroupByKey]=DiscreteStatsTable[[#This Row],[GroupByKey]]),(DiscreteStatsTable[GroupByKey]=DiscreteStatsTable[[#This Row],[GroupByKey]])*DiscreteStatsTable[Maximum]))</f>
        <v>5.8546620722510996</v>
      </c>
      <c r="V898" cm="1">
        <f t="array" ref="V898">IFERROR(AVERAGE(IF((DiscreteStatsTable[GroupByKey]=DiscreteStatsTable[[#This Row],[GroupByKey]]),(DiscreteStatsTable[GroupByKey]=DiscreteStatsTable[[#This Row],[GroupByKey]])*DiscreteStatsTable[NumberObservations])),0)</f>
        <v>437.5</v>
      </c>
      <c r="W898">
        <f>IF((DiscreteStatsTable[[#This Row],[RepsRequested]]&gt;1),DiscreteStatsTable[[#This Row],[HalfWidth]],DiscreteStatsTable[[#This Row],[BatchMeansHalfWidth]])</f>
        <v>9.0257219283451061E-3</v>
      </c>
      <c r="X898" cm="1">
        <f t="array" ref="X898">COUNT(IF((DiscreteStatsTable[GroupByKey]=DiscreteStatsTable[[#This Row],[GroupByKey]]),(DiscreteStatsTable[GroupByKey]=DiscreteStatsTable[[#This Row],[GroupByKey]])*DiscreteStatsTable[Replication]))</f>
        <v>50</v>
      </c>
      <c r="Y898">
        <f>IF(DiscreteStatsTable[[#This Row],[RepsRequested]]=DiscreteStatsTable[[#This Row],[RepsWithStatObserved]],1,0)</f>
        <v>1</v>
      </c>
    </row>
    <row r="899" spans="1:25" x14ac:dyDescent="0.25">
      <c r="A899" t="s">
        <v>68</v>
      </c>
      <c r="B899" t="s">
        <v>131</v>
      </c>
      <c r="C899">
        <v>48</v>
      </c>
      <c r="D899" t="s">
        <v>92</v>
      </c>
      <c r="E899" t="s">
        <v>89</v>
      </c>
      <c r="F899" t="s">
        <v>90</v>
      </c>
      <c r="G899">
        <v>1.0103643723258799</v>
      </c>
      <c r="H899">
        <v>4.8902379397537797E-2</v>
      </c>
      <c r="I899">
        <v>0.59887684718422896</v>
      </c>
      <c r="J899">
        <v>3.1514376094350198</v>
      </c>
      <c r="K899">
        <v>425</v>
      </c>
      <c r="L899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899" cm="1">
        <f t="array" ref="M899">MAX(IF((ProjectInfoTable[ProjectName]=DiscreteStatsTable[[#This Row],[ProjectName]]),(ProjectInfoTable[ProjectName]=DiscreteStatsTable[[#This Row],[ProjectName]])*ProjectInfoTable[NumberOfReplications]))</f>
        <v>50</v>
      </c>
      <c r="N899" cm="1">
        <f t="array" ref="N899">IFERROR(AVERAGE(IF((DiscreteStatsTable[GroupByKey]=DiscreteStatsTable[[#This Row],[GroupByKey]]),(DiscreteStatsTable[GroupByKey]=DiscreteStatsTable[[#This Row],[GroupByKey]])*DiscreteStatsTable[Average])),0)</f>
        <v>1.0196487348764249</v>
      </c>
      <c r="O899" cm="1">
        <f t="array" ref="O899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899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899" cm="1">
        <f t="array" ref="R899">MIN(IF((DiscreteStatsTable[GroupByKey]=DiscreteStatsTable[[#This Row],[GroupByKey]]),(DiscreteStatsTable[GroupByKey]=DiscreteStatsTable[[#This Row],[GroupByKey]])*DiscreteStatsTable[Average]))</f>
        <v>0.95501634543056202</v>
      </c>
      <c r="S899" cm="1">
        <f t="array" ref="S899">MAX(IF((DiscreteStatsTable[GroupByKey]=DiscreteStatsTable[[#This Row],[GroupByKey]]),(DiscreteStatsTable[GroupByKey]=DiscreteStatsTable[[#This Row],[GroupByKey]])*DiscreteStatsTable[Average]))</f>
        <v>1.10769496585296</v>
      </c>
      <c r="T899" cm="1">
        <f t="array" ref="T899">MIN(IF((DiscreteStatsTable[GroupByKey]=DiscreteStatsTable[[#This Row],[GroupByKey]]),(DiscreteStatsTable[GroupByKey]=DiscreteStatsTable[[#This Row],[GroupByKey]])*DiscreteStatsTable[Minimum]))</f>
        <v>0.51401222690765302</v>
      </c>
      <c r="U899" cm="1">
        <f t="array" ref="U899">MAX(IF((DiscreteStatsTable[GroupByKey]=DiscreteStatsTable[[#This Row],[GroupByKey]]),(DiscreteStatsTable[GroupByKey]=DiscreteStatsTable[[#This Row],[GroupByKey]])*DiscreteStatsTable[Maximum]))</f>
        <v>5.8546620722510996</v>
      </c>
      <c r="V899" cm="1">
        <f t="array" ref="V899">IFERROR(AVERAGE(IF((DiscreteStatsTable[GroupByKey]=DiscreteStatsTable[[#This Row],[GroupByKey]]),(DiscreteStatsTable[GroupByKey]=DiscreteStatsTable[[#This Row],[GroupByKey]])*DiscreteStatsTable[NumberObservations])),0)</f>
        <v>437.5</v>
      </c>
      <c r="W899">
        <f>IF((DiscreteStatsTable[[#This Row],[RepsRequested]]&gt;1),DiscreteStatsTable[[#This Row],[HalfWidth]],DiscreteStatsTable[[#This Row],[BatchMeansHalfWidth]])</f>
        <v>9.0257219283451061E-3</v>
      </c>
      <c r="X899" cm="1">
        <f t="array" ref="X899">COUNT(IF((DiscreteStatsTable[GroupByKey]=DiscreteStatsTable[[#This Row],[GroupByKey]]),(DiscreteStatsTable[GroupByKey]=DiscreteStatsTable[[#This Row],[GroupByKey]])*DiscreteStatsTable[Replication]))</f>
        <v>50</v>
      </c>
      <c r="Y899">
        <f>IF(DiscreteStatsTable[[#This Row],[RepsRequested]]=DiscreteStatsTable[[#This Row],[RepsWithStatObserved]],1,0)</f>
        <v>1</v>
      </c>
    </row>
    <row r="900" spans="1:25" x14ac:dyDescent="0.25">
      <c r="A900" t="s">
        <v>68</v>
      </c>
      <c r="B900" t="s">
        <v>131</v>
      </c>
      <c r="C900">
        <v>49</v>
      </c>
      <c r="D900" t="s">
        <v>92</v>
      </c>
      <c r="E900" t="s">
        <v>89</v>
      </c>
      <c r="F900" t="s">
        <v>90</v>
      </c>
      <c r="G900">
        <v>1.0185806894454901</v>
      </c>
      <c r="H900">
        <v>7.0990511454229396E-2</v>
      </c>
      <c r="I900">
        <v>0.55001455949002298</v>
      </c>
      <c r="J900">
        <v>3.6021588303301</v>
      </c>
      <c r="K900">
        <v>430</v>
      </c>
      <c r="L900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900" cm="1">
        <f t="array" ref="M900">MAX(IF((ProjectInfoTable[ProjectName]=DiscreteStatsTable[[#This Row],[ProjectName]]),(ProjectInfoTable[ProjectName]=DiscreteStatsTable[[#This Row],[ProjectName]])*ProjectInfoTable[NumberOfReplications]))</f>
        <v>50</v>
      </c>
      <c r="N900" cm="1">
        <f t="array" ref="N900">IFERROR(AVERAGE(IF((DiscreteStatsTable[GroupByKey]=DiscreteStatsTable[[#This Row],[GroupByKey]]),(DiscreteStatsTable[GroupByKey]=DiscreteStatsTable[[#This Row],[GroupByKey]])*DiscreteStatsTable[Average])),0)</f>
        <v>1.0196487348764249</v>
      </c>
      <c r="O900" cm="1">
        <f t="array" ref="O900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900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900" cm="1">
        <f t="array" ref="R900">MIN(IF((DiscreteStatsTable[GroupByKey]=DiscreteStatsTable[[#This Row],[GroupByKey]]),(DiscreteStatsTable[GroupByKey]=DiscreteStatsTable[[#This Row],[GroupByKey]])*DiscreteStatsTable[Average]))</f>
        <v>0.95501634543056202</v>
      </c>
      <c r="S900" cm="1">
        <f t="array" ref="S900">MAX(IF((DiscreteStatsTable[GroupByKey]=DiscreteStatsTable[[#This Row],[GroupByKey]]),(DiscreteStatsTable[GroupByKey]=DiscreteStatsTable[[#This Row],[GroupByKey]])*DiscreteStatsTable[Average]))</f>
        <v>1.10769496585296</v>
      </c>
      <c r="T900" cm="1">
        <f t="array" ref="T900">MIN(IF((DiscreteStatsTable[GroupByKey]=DiscreteStatsTable[[#This Row],[GroupByKey]]),(DiscreteStatsTable[GroupByKey]=DiscreteStatsTable[[#This Row],[GroupByKey]])*DiscreteStatsTable[Minimum]))</f>
        <v>0.51401222690765302</v>
      </c>
      <c r="U900" cm="1">
        <f t="array" ref="U900">MAX(IF((DiscreteStatsTable[GroupByKey]=DiscreteStatsTable[[#This Row],[GroupByKey]]),(DiscreteStatsTable[GroupByKey]=DiscreteStatsTable[[#This Row],[GroupByKey]])*DiscreteStatsTable[Maximum]))</f>
        <v>5.8546620722510996</v>
      </c>
      <c r="V900" cm="1">
        <f t="array" ref="V900">IFERROR(AVERAGE(IF((DiscreteStatsTable[GroupByKey]=DiscreteStatsTable[[#This Row],[GroupByKey]]),(DiscreteStatsTable[GroupByKey]=DiscreteStatsTable[[#This Row],[GroupByKey]])*DiscreteStatsTable[NumberObservations])),0)</f>
        <v>437.5</v>
      </c>
      <c r="W900">
        <f>IF((DiscreteStatsTable[[#This Row],[RepsRequested]]&gt;1),DiscreteStatsTable[[#This Row],[HalfWidth]],DiscreteStatsTable[[#This Row],[BatchMeansHalfWidth]])</f>
        <v>9.0257219283451061E-3</v>
      </c>
      <c r="X900" cm="1">
        <f t="array" ref="X900">COUNT(IF((DiscreteStatsTable[GroupByKey]=DiscreteStatsTable[[#This Row],[GroupByKey]]),(DiscreteStatsTable[GroupByKey]=DiscreteStatsTable[[#This Row],[GroupByKey]])*DiscreteStatsTable[Replication]))</f>
        <v>50</v>
      </c>
      <c r="Y900">
        <f>IF(DiscreteStatsTable[[#This Row],[RepsRequested]]=DiscreteStatsTable[[#This Row],[RepsWithStatObserved]],1,0)</f>
        <v>1</v>
      </c>
    </row>
    <row r="901" spans="1:25" x14ac:dyDescent="0.25">
      <c r="A901" t="s">
        <v>68</v>
      </c>
      <c r="B901" t="s">
        <v>131</v>
      </c>
      <c r="C901">
        <v>50</v>
      </c>
      <c r="D901" t="s">
        <v>92</v>
      </c>
      <c r="E901" t="s">
        <v>89</v>
      </c>
      <c r="F901" t="s">
        <v>90</v>
      </c>
      <c r="G901">
        <v>1.0448470128574801</v>
      </c>
      <c r="H901">
        <v>5.8766831669726599E-2</v>
      </c>
      <c r="I901">
        <v>0.52406253892821997</v>
      </c>
      <c r="J901">
        <v>4.4462258535650996</v>
      </c>
      <c r="K901">
        <v>461</v>
      </c>
      <c r="L901" t="str">
        <f>DiscreteStatsTable[[#This Row],[ProjectName]]&amp;DiscreteStatsTable[[#This Row],[Name]]&amp;DiscreteStatsTable[[#This Row],[Type]]&amp;DiscreteStatsTable[[#This Row],[Source]]</f>
        <v>PacientesTiempoTipo3NoneUser Specified</v>
      </c>
      <c r="M901" cm="1">
        <f t="array" ref="M901">MAX(IF((ProjectInfoTable[ProjectName]=DiscreteStatsTable[[#This Row],[ProjectName]]),(ProjectInfoTable[ProjectName]=DiscreteStatsTable[[#This Row],[ProjectName]])*ProjectInfoTable[NumberOfReplications]))</f>
        <v>50</v>
      </c>
      <c r="N901" cm="1">
        <f t="array" ref="N901">IFERROR(AVERAGE(IF((DiscreteStatsTable[GroupByKey]=DiscreteStatsTable[[#This Row],[GroupByKey]]),(DiscreteStatsTable[GroupByKey]=DiscreteStatsTable[[#This Row],[GroupByKey]])*DiscreteStatsTable[Average])),0)</f>
        <v>1.0196487348764249</v>
      </c>
      <c r="O901" cm="1">
        <f t="array" ref="O901">IFERROR(_xlfn.STDEV.S(IF((DiscreteStatsTable[GroupByKey]=DiscreteStatsTable[[#This Row],[GroupByKey]]),(DiscreteStatsTable[GroupByKey]=DiscreteStatsTable[[#This Row],[GroupByKey]])*DiscreteStatsTable[Average])),0)</f>
        <v>3.1758697374048607E-2</v>
      </c>
      <c r="P901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9.0257219283451061E-3</v>
      </c>
      <c r="R901" cm="1">
        <f t="array" ref="R901">MIN(IF((DiscreteStatsTable[GroupByKey]=DiscreteStatsTable[[#This Row],[GroupByKey]]),(DiscreteStatsTable[GroupByKey]=DiscreteStatsTable[[#This Row],[GroupByKey]])*DiscreteStatsTable[Average]))</f>
        <v>0.95501634543056202</v>
      </c>
      <c r="S901" cm="1">
        <f t="array" ref="S901">MAX(IF((DiscreteStatsTable[GroupByKey]=DiscreteStatsTable[[#This Row],[GroupByKey]]),(DiscreteStatsTable[GroupByKey]=DiscreteStatsTable[[#This Row],[GroupByKey]])*DiscreteStatsTable[Average]))</f>
        <v>1.10769496585296</v>
      </c>
      <c r="T901" cm="1">
        <f t="array" ref="T901">MIN(IF((DiscreteStatsTable[GroupByKey]=DiscreteStatsTable[[#This Row],[GroupByKey]]),(DiscreteStatsTable[GroupByKey]=DiscreteStatsTable[[#This Row],[GroupByKey]])*DiscreteStatsTable[Minimum]))</f>
        <v>0.51401222690765302</v>
      </c>
      <c r="U901" cm="1">
        <f t="array" ref="U901">MAX(IF((DiscreteStatsTable[GroupByKey]=DiscreteStatsTable[[#This Row],[GroupByKey]]),(DiscreteStatsTable[GroupByKey]=DiscreteStatsTable[[#This Row],[GroupByKey]])*DiscreteStatsTable[Maximum]))</f>
        <v>5.8546620722510996</v>
      </c>
      <c r="V901" cm="1">
        <f t="array" ref="V901">IFERROR(AVERAGE(IF((DiscreteStatsTable[GroupByKey]=DiscreteStatsTable[[#This Row],[GroupByKey]]),(DiscreteStatsTable[GroupByKey]=DiscreteStatsTable[[#This Row],[GroupByKey]])*DiscreteStatsTable[NumberObservations])),0)</f>
        <v>437.5</v>
      </c>
      <c r="W901">
        <f>IF((DiscreteStatsTable[[#This Row],[RepsRequested]]&gt;1),DiscreteStatsTable[[#This Row],[HalfWidth]],DiscreteStatsTable[[#This Row],[BatchMeansHalfWidth]])</f>
        <v>9.0257219283451061E-3</v>
      </c>
      <c r="X901" cm="1">
        <f t="array" ref="X901">COUNT(IF((DiscreteStatsTable[GroupByKey]=DiscreteStatsTable[[#This Row],[GroupByKey]]),(DiscreteStatsTable[GroupByKey]=DiscreteStatsTable[[#This Row],[GroupByKey]])*DiscreteStatsTable[Replication]))</f>
        <v>50</v>
      </c>
      <c r="Y901">
        <f>IF(DiscreteStatsTable[[#This Row],[RepsRequested]]=DiscreteStatsTable[[#This Row],[RepsWithStatObserved]],1,0)</f>
        <v>1</v>
      </c>
    </row>
    <row r="902" spans="1:25" x14ac:dyDescent="0.25">
      <c r="A902" t="s">
        <v>68</v>
      </c>
      <c r="B902" t="s">
        <v>131</v>
      </c>
      <c r="C902">
        <v>1</v>
      </c>
      <c r="D902" t="s">
        <v>93</v>
      </c>
      <c r="E902" t="s">
        <v>89</v>
      </c>
      <c r="F902" t="s">
        <v>90</v>
      </c>
      <c r="G902">
        <v>1.1533873133675701</v>
      </c>
      <c r="H902">
        <v>0.20925953660250399</v>
      </c>
      <c r="I902">
        <v>0.37198757846181302</v>
      </c>
      <c r="J902">
        <v>7.6287695156000996</v>
      </c>
      <c r="K902">
        <v>757</v>
      </c>
      <c r="L902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02" cm="1">
        <f t="array" ref="M902">MAX(IF((ProjectInfoTable[ProjectName]=DiscreteStatsTable[[#This Row],[ProjectName]]),(ProjectInfoTable[ProjectName]=DiscreteStatsTable[[#This Row],[ProjectName]])*ProjectInfoTable[NumberOfReplications]))</f>
        <v>50</v>
      </c>
      <c r="N902" cm="1">
        <f t="array" ref="N902">IFERROR(AVERAGE(IF((DiscreteStatsTable[GroupByKey]=DiscreteStatsTable[[#This Row],[GroupByKey]]),(DiscreteStatsTable[GroupByKey]=DiscreteStatsTable[[#This Row],[GroupByKey]])*DiscreteStatsTable[Average])),0)</f>
        <v>1.1102466500497086</v>
      </c>
      <c r="O902" cm="1">
        <f t="array" ref="O902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02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02" cm="1">
        <f t="array" ref="R902">MIN(IF((DiscreteStatsTable[GroupByKey]=DiscreteStatsTable[[#This Row],[GroupByKey]]),(DiscreteStatsTable[GroupByKey]=DiscreteStatsTable[[#This Row],[GroupByKey]])*DiscreteStatsTable[Average]))</f>
        <v>0.96897044521179598</v>
      </c>
      <c r="S902" cm="1">
        <f t="array" ref="S902">MAX(IF((DiscreteStatsTable[GroupByKey]=DiscreteStatsTable[[#This Row],[GroupByKey]]),(DiscreteStatsTable[GroupByKey]=DiscreteStatsTable[[#This Row],[GroupByKey]])*DiscreteStatsTable[Average]))</f>
        <v>1.4337360021363801</v>
      </c>
      <c r="T902" cm="1">
        <f t="array" ref="T902">MIN(IF((DiscreteStatsTable[GroupByKey]=DiscreteStatsTable[[#This Row],[GroupByKey]]),(DiscreteStatsTable[GroupByKey]=DiscreteStatsTable[[#This Row],[GroupByKey]])*DiscreteStatsTable[Minimum]))</f>
        <v>0.31806625622363099</v>
      </c>
      <c r="U902" cm="1">
        <f t="array" ref="U902">MAX(IF((DiscreteStatsTable[GroupByKey]=DiscreteStatsTable[[#This Row],[GroupByKey]]),(DiscreteStatsTable[GroupByKey]=DiscreteStatsTable[[#This Row],[GroupByKey]])*DiscreteStatsTable[Maximum]))</f>
        <v>9.9062151562119993</v>
      </c>
      <c r="V902" cm="1">
        <f t="array" ref="V902">IFERROR(AVERAGE(IF((DiscreteStatsTable[GroupByKey]=DiscreteStatsTable[[#This Row],[GroupByKey]]),(DiscreteStatsTable[GroupByKey]=DiscreteStatsTable[[#This Row],[GroupByKey]])*DiscreteStatsTable[NumberObservations])),0)</f>
        <v>794.36</v>
      </c>
      <c r="W902">
        <f>IF((DiscreteStatsTable[[#This Row],[RepsRequested]]&gt;1),DiscreteStatsTable[[#This Row],[HalfWidth]],DiscreteStatsTable[[#This Row],[BatchMeansHalfWidth]])</f>
        <v>3.1607369037235981E-2</v>
      </c>
      <c r="X902" cm="1">
        <f t="array" ref="X902">COUNT(IF((DiscreteStatsTable[GroupByKey]=DiscreteStatsTable[[#This Row],[GroupByKey]]),(DiscreteStatsTable[GroupByKey]=DiscreteStatsTable[[#This Row],[GroupByKey]])*DiscreteStatsTable[Replication]))</f>
        <v>50</v>
      </c>
      <c r="Y902">
        <f>IF(DiscreteStatsTable[[#This Row],[RepsRequested]]=DiscreteStatsTable[[#This Row],[RepsWithStatObserved]],1,0)</f>
        <v>1</v>
      </c>
    </row>
    <row r="903" spans="1:25" x14ac:dyDescent="0.25">
      <c r="A903" t="s">
        <v>68</v>
      </c>
      <c r="B903" t="s">
        <v>131</v>
      </c>
      <c r="C903">
        <v>2</v>
      </c>
      <c r="D903" t="s">
        <v>93</v>
      </c>
      <c r="E903" t="s">
        <v>89</v>
      </c>
      <c r="F903" t="s">
        <v>90</v>
      </c>
      <c r="G903">
        <v>0.98788238933767103</v>
      </c>
      <c r="H903">
        <v>0.100884701239255</v>
      </c>
      <c r="I903">
        <v>0.31806625622363099</v>
      </c>
      <c r="J903">
        <v>4.0134119518272398</v>
      </c>
      <c r="K903">
        <v>798</v>
      </c>
      <c r="L903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03" cm="1">
        <f t="array" ref="M903">MAX(IF((ProjectInfoTable[ProjectName]=DiscreteStatsTable[[#This Row],[ProjectName]]),(ProjectInfoTable[ProjectName]=DiscreteStatsTable[[#This Row],[ProjectName]])*ProjectInfoTable[NumberOfReplications]))</f>
        <v>50</v>
      </c>
      <c r="N903" cm="1">
        <f t="array" ref="N903">IFERROR(AVERAGE(IF((DiscreteStatsTable[GroupByKey]=DiscreteStatsTable[[#This Row],[GroupByKey]]),(DiscreteStatsTable[GroupByKey]=DiscreteStatsTable[[#This Row],[GroupByKey]])*DiscreteStatsTable[Average])),0)</f>
        <v>1.1102466500497086</v>
      </c>
      <c r="O903" cm="1">
        <f t="array" ref="O903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03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03" cm="1">
        <f t="array" ref="R903">MIN(IF((DiscreteStatsTable[GroupByKey]=DiscreteStatsTable[[#This Row],[GroupByKey]]),(DiscreteStatsTable[GroupByKey]=DiscreteStatsTable[[#This Row],[GroupByKey]])*DiscreteStatsTable[Average]))</f>
        <v>0.96897044521179598</v>
      </c>
      <c r="S903" cm="1">
        <f t="array" ref="S903">MAX(IF((DiscreteStatsTable[GroupByKey]=DiscreteStatsTable[[#This Row],[GroupByKey]]),(DiscreteStatsTable[GroupByKey]=DiscreteStatsTable[[#This Row],[GroupByKey]])*DiscreteStatsTable[Average]))</f>
        <v>1.4337360021363801</v>
      </c>
      <c r="T903" cm="1">
        <f t="array" ref="T903">MIN(IF((DiscreteStatsTable[GroupByKey]=DiscreteStatsTable[[#This Row],[GroupByKey]]),(DiscreteStatsTable[GroupByKey]=DiscreteStatsTable[[#This Row],[GroupByKey]])*DiscreteStatsTable[Minimum]))</f>
        <v>0.31806625622363099</v>
      </c>
      <c r="U903" cm="1">
        <f t="array" ref="U903">MAX(IF((DiscreteStatsTable[GroupByKey]=DiscreteStatsTable[[#This Row],[GroupByKey]]),(DiscreteStatsTable[GroupByKey]=DiscreteStatsTable[[#This Row],[GroupByKey]])*DiscreteStatsTable[Maximum]))</f>
        <v>9.9062151562119993</v>
      </c>
      <c r="V903" cm="1">
        <f t="array" ref="V903">IFERROR(AVERAGE(IF((DiscreteStatsTable[GroupByKey]=DiscreteStatsTable[[#This Row],[GroupByKey]]),(DiscreteStatsTable[GroupByKey]=DiscreteStatsTable[[#This Row],[GroupByKey]])*DiscreteStatsTable[NumberObservations])),0)</f>
        <v>794.36</v>
      </c>
      <c r="W903">
        <f>IF((DiscreteStatsTable[[#This Row],[RepsRequested]]&gt;1),DiscreteStatsTable[[#This Row],[HalfWidth]],DiscreteStatsTable[[#This Row],[BatchMeansHalfWidth]])</f>
        <v>3.1607369037235981E-2</v>
      </c>
      <c r="X903" cm="1">
        <f t="array" ref="X903">COUNT(IF((DiscreteStatsTable[GroupByKey]=DiscreteStatsTable[[#This Row],[GroupByKey]]),(DiscreteStatsTable[GroupByKey]=DiscreteStatsTable[[#This Row],[GroupByKey]])*DiscreteStatsTable[Replication]))</f>
        <v>50</v>
      </c>
      <c r="Y903">
        <f>IF(DiscreteStatsTable[[#This Row],[RepsRequested]]=DiscreteStatsTable[[#This Row],[RepsWithStatObserved]],1,0)</f>
        <v>1</v>
      </c>
    </row>
    <row r="904" spans="1:25" x14ac:dyDescent="0.25">
      <c r="A904" t="s">
        <v>68</v>
      </c>
      <c r="B904" t="s">
        <v>131</v>
      </c>
      <c r="C904">
        <v>3</v>
      </c>
      <c r="D904" t="s">
        <v>93</v>
      </c>
      <c r="E904" t="s">
        <v>89</v>
      </c>
      <c r="F904" t="s">
        <v>90</v>
      </c>
      <c r="G904">
        <v>1.0071537013334499</v>
      </c>
      <c r="H904">
        <v>8.4944603088132301E-2</v>
      </c>
      <c r="I904">
        <v>0.34663813655868803</v>
      </c>
      <c r="J904">
        <v>7.1301610742308403</v>
      </c>
      <c r="K904">
        <v>796</v>
      </c>
      <c r="L904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04" cm="1">
        <f t="array" ref="M904">MAX(IF((ProjectInfoTable[ProjectName]=DiscreteStatsTable[[#This Row],[ProjectName]]),(ProjectInfoTable[ProjectName]=DiscreteStatsTable[[#This Row],[ProjectName]])*ProjectInfoTable[NumberOfReplications]))</f>
        <v>50</v>
      </c>
      <c r="N904" cm="1">
        <f t="array" ref="N904">IFERROR(AVERAGE(IF((DiscreteStatsTable[GroupByKey]=DiscreteStatsTable[[#This Row],[GroupByKey]]),(DiscreteStatsTable[GroupByKey]=DiscreteStatsTable[[#This Row],[GroupByKey]])*DiscreteStatsTable[Average])),0)</f>
        <v>1.1102466500497086</v>
      </c>
      <c r="O904" cm="1">
        <f t="array" ref="O904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04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04" cm="1">
        <f t="array" ref="R904">MIN(IF((DiscreteStatsTable[GroupByKey]=DiscreteStatsTable[[#This Row],[GroupByKey]]),(DiscreteStatsTable[GroupByKey]=DiscreteStatsTable[[#This Row],[GroupByKey]])*DiscreteStatsTable[Average]))</f>
        <v>0.96897044521179598</v>
      </c>
      <c r="S904" cm="1">
        <f t="array" ref="S904">MAX(IF((DiscreteStatsTable[GroupByKey]=DiscreteStatsTable[[#This Row],[GroupByKey]]),(DiscreteStatsTable[GroupByKey]=DiscreteStatsTable[[#This Row],[GroupByKey]])*DiscreteStatsTable[Average]))</f>
        <v>1.4337360021363801</v>
      </c>
      <c r="T904" cm="1">
        <f t="array" ref="T904">MIN(IF((DiscreteStatsTable[GroupByKey]=DiscreteStatsTable[[#This Row],[GroupByKey]]),(DiscreteStatsTable[GroupByKey]=DiscreteStatsTable[[#This Row],[GroupByKey]])*DiscreteStatsTable[Minimum]))</f>
        <v>0.31806625622363099</v>
      </c>
      <c r="U904" cm="1">
        <f t="array" ref="U904">MAX(IF((DiscreteStatsTable[GroupByKey]=DiscreteStatsTable[[#This Row],[GroupByKey]]),(DiscreteStatsTable[GroupByKey]=DiscreteStatsTable[[#This Row],[GroupByKey]])*DiscreteStatsTable[Maximum]))</f>
        <v>9.9062151562119993</v>
      </c>
      <c r="V904" cm="1">
        <f t="array" ref="V904">IFERROR(AVERAGE(IF((DiscreteStatsTable[GroupByKey]=DiscreteStatsTable[[#This Row],[GroupByKey]]),(DiscreteStatsTable[GroupByKey]=DiscreteStatsTable[[#This Row],[GroupByKey]])*DiscreteStatsTable[NumberObservations])),0)</f>
        <v>794.36</v>
      </c>
      <c r="W904">
        <f>IF((DiscreteStatsTable[[#This Row],[RepsRequested]]&gt;1),DiscreteStatsTable[[#This Row],[HalfWidth]],DiscreteStatsTable[[#This Row],[BatchMeansHalfWidth]])</f>
        <v>3.1607369037235981E-2</v>
      </c>
      <c r="X904" cm="1">
        <f t="array" ref="X904">COUNT(IF((DiscreteStatsTable[GroupByKey]=DiscreteStatsTable[[#This Row],[GroupByKey]]),(DiscreteStatsTable[GroupByKey]=DiscreteStatsTable[[#This Row],[GroupByKey]])*DiscreteStatsTable[Replication]))</f>
        <v>50</v>
      </c>
      <c r="Y904">
        <f>IF(DiscreteStatsTable[[#This Row],[RepsRequested]]=DiscreteStatsTable[[#This Row],[RepsWithStatObserved]],1,0)</f>
        <v>1</v>
      </c>
    </row>
    <row r="905" spans="1:25" x14ac:dyDescent="0.25">
      <c r="A905" t="s">
        <v>68</v>
      </c>
      <c r="B905" t="s">
        <v>131</v>
      </c>
      <c r="C905">
        <v>4</v>
      </c>
      <c r="D905" t="s">
        <v>93</v>
      </c>
      <c r="E905" t="s">
        <v>89</v>
      </c>
      <c r="F905" t="s">
        <v>90</v>
      </c>
      <c r="G905">
        <v>1.24155053601065</v>
      </c>
      <c r="H905">
        <v>0.22168137853124401</v>
      </c>
      <c r="I905">
        <v>0.343445517110396</v>
      </c>
      <c r="J905">
        <v>7.4136088673914697</v>
      </c>
      <c r="K905">
        <v>759</v>
      </c>
      <c r="L905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05" cm="1">
        <f t="array" ref="M905">MAX(IF((ProjectInfoTable[ProjectName]=DiscreteStatsTable[[#This Row],[ProjectName]]),(ProjectInfoTable[ProjectName]=DiscreteStatsTable[[#This Row],[ProjectName]])*ProjectInfoTable[NumberOfReplications]))</f>
        <v>50</v>
      </c>
      <c r="N905" cm="1">
        <f t="array" ref="N905">IFERROR(AVERAGE(IF((DiscreteStatsTable[GroupByKey]=DiscreteStatsTable[[#This Row],[GroupByKey]]),(DiscreteStatsTable[GroupByKey]=DiscreteStatsTable[[#This Row],[GroupByKey]])*DiscreteStatsTable[Average])),0)</f>
        <v>1.1102466500497086</v>
      </c>
      <c r="O905" cm="1">
        <f t="array" ref="O905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0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05" cm="1">
        <f t="array" ref="R905">MIN(IF((DiscreteStatsTable[GroupByKey]=DiscreteStatsTable[[#This Row],[GroupByKey]]),(DiscreteStatsTable[GroupByKey]=DiscreteStatsTable[[#This Row],[GroupByKey]])*DiscreteStatsTable[Average]))</f>
        <v>0.96897044521179598</v>
      </c>
      <c r="S905" cm="1">
        <f t="array" ref="S905">MAX(IF((DiscreteStatsTable[GroupByKey]=DiscreteStatsTable[[#This Row],[GroupByKey]]),(DiscreteStatsTable[GroupByKey]=DiscreteStatsTable[[#This Row],[GroupByKey]])*DiscreteStatsTable[Average]))</f>
        <v>1.4337360021363801</v>
      </c>
      <c r="T905" cm="1">
        <f t="array" ref="T905">MIN(IF((DiscreteStatsTable[GroupByKey]=DiscreteStatsTable[[#This Row],[GroupByKey]]),(DiscreteStatsTable[GroupByKey]=DiscreteStatsTable[[#This Row],[GroupByKey]])*DiscreteStatsTable[Minimum]))</f>
        <v>0.31806625622363099</v>
      </c>
      <c r="U905" cm="1">
        <f t="array" ref="U905">MAX(IF((DiscreteStatsTable[GroupByKey]=DiscreteStatsTable[[#This Row],[GroupByKey]]),(DiscreteStatsTable[GroupByKey]=DiscreteStatsTable[[#This Row],[GroupByKey]])*DiscreteStatsTable[Maximum]))</f>
        <v>9.9062151562119993</v>
      </c>
      <c r="V905" cm="1">
        <f t="array" ref="V905">IFERROR(AVERAGE(IF((DiscreteStatsTable[GroupByKey]=DiscreteStatsTable[[#This Row],[GroupByKey]]),(DiscreteStatsTable[GroupByKey]=DiscreteStatsTable[[#This Row],[GroupByKey]])*DiscreteStatsTable[NumberObservations])),0)</f>
        <v>794.36</v>
      </c>
      <c r="W905">
        <f>IF((DiscreteStatsTable[[#This Row],[RepsRequested]]&gt;1),DiscreteStatsTable[[#This Row],[HalfWidth]],DiscreteStatsTable[[#This Row],[BatchMeansHalfWidth]])</f>
        <v>3.1607369037235981E-2</v>
      </c>
      <c r="X905" cm="1">
        <f t="array" ref="X905">COUNT(IF((DiscreteStatsTable[GroupByKey]=DiscreteStatsTable[[#This Row],[GroupByKey]]),(DiscreteStatsTable[GroupByKey]=DiscreteStatsTable[[#This Row],[GroupByKey]])*DiscreteStatsTable[Replication]))</f>
        <v>50</v>
      </c>
      <c r="Y905">
        <f>IF(DiscreteStatsTable[[#This Row],[RepsRequested]]=DiscreteStatsTable[[#This Row],[RepsWithStatObserved]],1,0)</f>
        <v>1</v>
      </c>
    </row>
    <row r="906" spans="1:25" x14ac:dyDescent="0.25">
      <c r="A906" t="s">
        <v>68</v>
      </c>
      <c r="B906" t="s">
        <v>131</v>
      </c>
      <c r="C906">
        <v>5</v>
      </c>
      <c r="D906" t="s">
        <v>93</v>
      </c>
      <c r="E906" t="s">
        <v>89</v>
      </c>
      <c r="F906" t="s">
        <v>90</v>
      </c>
      <c r="G906">
        <v>0.99268591157069397</v>
      </c>
      <c r="H906">
        <v>0.119126362205006</v>
      </c>
      <c r="I906">
        <v>0.37661458220442501</v>
      </c>
      <c r="J906">
        <v>5.0657055760133298</v>
      </c>
      <c r="K906">
        <v>769</v>
      </c>
      <c r="L906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06" cm="1">
        <f t="array" ref="M906">MAX(IF((ProjectInfoTable[ProjectName]=DiscreteStatsTable[[#This Row],[ProjectName]]),(ProjectInfoTable[ProjectName]=DiscreteStatsTable[[#This Row],[ProjectName]])*ProjectInfoTable[NumberOfReplications]))</f>
        <v>50</v>
      </c>
      <c r="N906" cm="1">
        <f t="array" ref="N906">IFERROR(AVERAGE(IF((DiscreteStatsTable[GroupByKey]=DiscreteStatsTable[[#This Row],[GroupByKey]]),(DiscreteStatsTable[GroupByKey]=DiscreteStatsTable[[#This Row],[GroupByKey]])*DiscreteStatsTable[Average])),0)</f>
        <v>1.1102466500497086</v>
      </c>
      <c r="O906" cm="1">
        <f t="array" ref="O906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06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06" cm="1">
        <f t="array" ref="R906">MIN(IF((DiscreteStatsTable[GroupByKey]=DiscreteStatsTable[[#This Row],[GroupByKey]]),(DiscreteStatsTable[GroupByKey]=DiscreteStatsTable[[#This Row],[GroupByKey]])*DiscreteStatsTable[Average]))</f>
        <v>0.96897044521179598</v>
      </c>
      <c r="S906" cm="1">
        <f t="array" ref="S906">MAX(IF((DiscreteStatsTable[GroupByKey]=DiscreteStatsTable[[#This Row],[GroupByKey]]),(DiscreteStatsTable[GroupByKey]=DiscreteStatsTable[[#This Row],[GroupByKey]])*DiscreteStatsTable[Average]))</f>
        <v>1.4337360021363801</v>
      </c>
      <c r="T906" cm="1">
        <f t="array" ref="T906">MIN(IF((DiscreteStatsTable[GroupByKey]=DiscreteStatsTable[[#This Row],[GroupByKey]]),(DiscreteStatsTable[GroupByKey]=DiscreteStatsTable[[#This Row],[GroupByKey]])*DiscreteStatsTable[Minimum]))</f>
        <v>0.31806625622363099</v>
      </c>
      <c r="U906" cm="1">
        <f t="array" ref="U906">MAX(IF((DiscreteStatsTable[GroupByKey]=DiscreteStatsTable[[#This Row],[GroupByKey]]),(DiscreteStatsTable[GroupByKey]=DiscreteStatsTable[[#This Row],[GroupByKey]])*DiscreteStatsTable[Maximum]))</f>
        <v>9.9062151562119993</v>
      </c>
      <c r="V906" cm="1">
        <f t="array" ref="V906">IFERROR(AVERAGE(IF((DiscreteStatsTable[GroupByKey]=DiscreteStatsTable[[#This Row],[GroupByKey]]),(DiscreteStatsTable[GroupByKey]=DiscreteStatsTable[[#This Row],[GroupByKey]])*DiscreteStatsTable[NumberObservations])),0)</f>
        <v>794.36</v>
      </c>
      <c r="W906">
        <f>IF((DiscreteStatsTable[[#This Row],[RepsRequested]]&gt;1),DiscreteStatsTable[[#This Row],[HalfWidth]],DiscreteStatsTable[[#This Row],[BatchMeansHalfWidth]])</f>
        <v>3.1607369037235981E-2</v>
      </c>
      <c r="X906" cm="1">
        <f t="array" ref="X906">COUNT(IF((DiscreteStatsTable[GroupByKey]=DiscreteStatsTable[[#This Row],[GroupByKey]]),(DiscreteStatsTable[GroupByKey]=DiscreteStatsTable[[#This Row],[GroupByKey]])*DiscreteStatsTable[Replication]))</f>
        <v>50</v>
      </c>
      <c r="Y906">
        <f>IF(DiscreteStatsTable[[#This Row],[RepsRequested]]=DiscreteStatsTable[[#This Row],[RepsWithStatObserved]],1,0)</f>
        <v>1</v>
      </c>
    </row>
    <row r="907" spans="1:25" x14ac:dyDescent="0.25">
      <c r="A907" t="s">
        <v>68</v>
      </c>
      <c r="B907" t="s">
        <v>131</v>
      </c>
      <c r="C907">
        <v>6</v>
      </c>
      <c r="D907" t="s">
        <v>93</v>
      </c>
      <c r="E907" t="s">
        <v>89</v>
      </c>
      <c r="F907" t="s">
        <v>90</v>
      </c>
      <c r="G907">
        <v>1.22456553720553</v>
      </c>
      <c r="H907">
        <v>0.18203054269119001</v>
      </c>
      <c r="I907">
        <v>0.37173604882229899</v>
      </c>
      <c r="J907">
        <v>5.7689762655251098</v>
      </c>
      <c r="K907">
        <v>851</v>
      </c>
      <c r="L907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07" cm="1">
        <f t="array" ref="M907">MAX(IF((ProjectInfoTable[ProjectName]=DiscreteStatsTable[[#This Row],[ProjectName]]),(ProjectInfoTable[ProjectName]=DiscreteStatsTable[[#This Row],[ProjectName]])*ProjectInfoTable[NumberOfReplications]))</f>
        <v>50</v>
      </c>
      <c r="N907" cm="1">
        <f t="array" ref="N907">IFERROR(AVERAGE(IF((DiscreteStatsTable[GroupByKey]=DiscreteStatsTable[[#This Row],[GroupByKey]]),(DiscreteStatsTable[GroupByKey]=DiscreteStatsTable[[#This Row],[GroupByKey]])*DiscreteStatsTable[Average])),0)</f>
        <v>1.1102466500497086</v>
      </c>
      <c r="O907" cm="1">
        <f t="array" ref="O907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07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07" cm="1">
        <f t="array" ref="R907">MIN(IF((DiscreteStatsTable[GroupByKey]=DiscreteStatsTable[[#This Row],[GroupByKey]]),(DiscreteStatsTable[GroupByKey]=DiscreteStatsTable[[#This Row],[GroupByKey]])*DiscreteStatsTable[Average]))</f>
        <v>0.96897044521179598</v>
      </c>
      <c r="S907" cm="1">
        <f t="array" ref="S907">MAX(IF((DiscreteStatsTable[GroupByKey]=DiscreteStatsTable[[#This Row],[GroupByKey]]),(DiscreteStatsTable[GroupByKey]=DiscreteStatsTable[[#This Row],[GroupByKey]])*DiscreteStatsTable[Average]))</f>
        <v>1.4337360021363801</v>
      </c>
      <c r="T907" cm="1">
        <f t="array" ref="T907">MIN(IF((DiscreteStatsTable[GroupByKey]=DiscreteStatsTable[[#This Row],[GroupByKey]]),(DiscreteStatsTable[GroupByKey]=DiscreteStatsTable[[#This Row],[GroupByKey]])*DiscreteStatsTable[Minimum]))</f>
        <v>0.31806625622363099</v>
      </c>
      <c r="U907" cm="1">
        <f t="array" ref="U907">MAX(IF((DiscreteStatsTable[GroupByKey]=DiscreteStatsTable[[#This Row],[GroupByKey]]),(DiscreteStatsTable[GroupByKey]=DiscreteStatsTable[[#This Row],[GroupByKey]])*DiscreteStatsTable[Maximum]))</f>
        <v>9.9062151562119993</v>
      </c>
      <c r="V907" cm="1">
        <f t="array" ref="V907">IFERROR(AVERAGE(IF((DiscreteStatsTable[GroupByKey]=DiscreteStatsTable[[#This Row],[GroupByKey]]),(DiscreteStatsTable[GroupByKey]=DiscreteStatsTable[[#This Row],[GroupByKey]])*DiscreteStatsTable[NumberObservations])),0)</f>
        <v>794.36</v>
      </c>
      <c r="W907">
        <f>IF((DiscreteStatsTable[[#This Row],[RepsRequested]]&gt;1),DiscreteStatsTable[[#This Row],[HalfWidth]],DiscreteStatsTable[[#This Row],[BatchMeansHalfWidth]])</f>
        <v>3.1607369037235981E-2</v>
      </c>
      <c r="X907" cm="1">
        <f t="array" ref="X907">COUNT(IF((DiscreteStatsTable[GroupByKey]=DiscreteStatsTable[[#This Row],[GroupByKey]]),(DiscreteStatsTable[GroupByKey]=DiscreteStatsTable[[#This Row],[GroupByKey]])*DiscreteStatsTable[Replication]))</f>
        <v>50</v>
      </c>
      <c r="Y907">
        <f>IF(DiscreteStatsTable[[#This Row],[RepsRequested]]=DiscreteStatsTable[[#This Row],[RepsWithStatObserved]],1,0)</f>
        <v>1</v>
      </c>
    </row>
    <row r="908" spans="1:25" x14ac:dyDescent="0.25">
      <c r="A908" t="s">
        <v>68</v>
      </c>
      <c r="B908" t="s">
        <v>131</v>
      </c>
      <c r="C908">
        <v>7</v>
      </c>
      <c r="D908" t="s">
        <v>93</v>
      </c>
      <c r="E908" t="s">
        <v>89</v>
      </c>
      <c r="F908" t="s">
        <v>90</v>
      </c>
      <c r="G908">
        <v>1.07177067149438</v>
      </c>
      <c r="H908">
        <v>0.116983699393767</v>
      </c>
      <c r="I908">
        <v>0.342232136836287</v>
      </c>
      <c r="J908">
        <v>4.5907546919930802</v>
      </c>
      <c r="K908">
        <v>803</v>
      </c>
      <c r="L908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08" cm="1">
        <f t="array" ref="M908">MAX(IF((ProjectInfoTable[ProjectName]=DiscreteStatsTable[[#This Row],[ProjectName]]),(ProjectInfoTable[ProjectName]=DiscreteStatsTable[[#This Row],[ProjectName]])*ProjectInfoTable[NumberOfReplications]))</f>
        <v>50</v>
      </c>
      <c r="N908" cm="1">
        <f t="array" ref="N908">IFERROR(AVERAGE(IF((DiscreteStatsTable[GroupByKey]=DiscreteStatsTable[[#This Row],[GroupByKey]]),(DiscreteStatsTable[GroupByKey]=DiscreteStatsTable[[#This Row],[GroupByKey]])*DiscreteStatsTable[Average])),0)</f>
        <v>1.1102466500497086</v>
      </c>
      <c r="O908" cm="1">
        <f t="array" ref="O908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08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08" cm="1">
        <f t="array" ref="R908">MIN(IF((DiscreteStatsTable[GroupByKey]=DiscreteStatsTable[[#This Row],[GroupByKey]]),(DiscreteStatsTable[GroupByKey]=DiscreteStatsTable[[#This Row],[GroupByKey]])*DiscreteStatsTable[Average]))</f>
        <v>0.96897044521179598</v>
      </c>
      <c r="S908" cm="1">
        <f t="array" ref="S908">MAX(IF((DiscreteStatsTable[GroupByKey]=DiscreteStatsTable[[#This Row],[GroupByKey]]),(DiscreteStatsTable[GroupByKey]=DiscreteStatsTable[[#This Row],[GroupByKey]])*DiscreteStatsTable[Average]))</f>
        <v>1.4337360021363801</v>
      </c>
      <c r="T908" cm="1">
        <f t="array" ref="T908">MIN(IF((DiscreteStatsTable[GroupByKey]=DiscreteStatsTable[[#This Row],[GroupByKey]]),(DiscreteStatsTable[GroupByKey]=DiscreteStatsTable[[#This Row],[GroupByKey]])*DiscreteStatsTable[Minimum]))</f>
        <v>0.31806625622363099</v>
      </c>
      <c r="U908" cm="1">
        <f t="array" ref="U908">MAX(IF((DiscreteStatsTable[GroupByKey]=DiscreteStatsTable[[#This Row],[GroupByKey]]),(DiscreteStatsTable[GroupByKey]=DiscreteStatsTable[[#This Row],[GroupByKey]])*DiscreteStatsTable[Maximum]))</f>
        <v>9.9062151562119993</v>
      </c>
      <c r="V908" cm="1">
        <f t="array" ref="V908">IFERROR(AVERAGE(IF((DiscreteStatsTable[GroupByKey]=DiscreteStatsTable[[#This Row],[GroupByKey]]),(DiscreteStatsTable[GroupByKey]=DiscreteStatsTable[[#This Row],[GroupByKey]])*DiscreteStatsTable[NumberObservations])),0)</f>
        <v>794.36</v>
      </c>
      <c r="W908">
        <f>IF((DiscreteStatsTable[[#This Row],[RepsRequested]]&gt;1),DiscreteStatsTable[[#This Row],[HalfWidth]],DiscreteStatsTable[[#This Row],[BatchMeansHalfWidth]])</f>
        <v>3.1607369037235981E-2</v>
      </c>
      <c r="X908" cm="1">
        <f t="array" ref="X908">COUNT(IF((DiscreteStatsTable[GroupByKey]=DiscreteStatsTable[[#This Row],[GroupByKey]]),(DiscreteStatsTable[GroupByKey]=DiscreteStatsTable[[#This Row],[GroupByKey]])*DiscreteStatsTable[Replication]))</f>
        <v>50</v>
      </c>
      <c r="Y908">
        <f>IF(DiscreteStatsTable[[#This Row],[RepsRequested]]=DiscreteStatsTable[[#This Row],[RepsWithStatObserved]],1,0)</f>
        <v>1</v>
      </c>
    </row>
    <row r="909" spans="1:25" x14ac:dyDescent="0.25">
      <c r="A909" t="s">
        <v>68</v>
      </c>
      <c r="B909" t="s">
        <v>131</v>
      </c>
      <c r="C909">
        <v>8</v>
      </c>
      <c r="D909" t="s">
        <v>93</v>
      </c>
      <c r="E909" t="s">
        <v>89</v>
      </c>
      <c r="F909" t="s">
        <v>90</v>
      </c>
      <c r="G909">
        <v>1.11718462338508</v>
      </c>
      <c r="H909">
        <v>0.13654547133700001</v>
      </c>
      <c r="I909">
        <v>0.33215962270423899</v>
      </c>
      <c r="J909">
        <v>5.4640723671520801</v>
      </c>
      <c r="K909">
        <v>815</v>
      </c>
      <c r="L909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09" cm="1">
        <f t="array" ref="M909">MAX(IF((ProjectInfoTable[ProjectName]=DiscreteStatsTable[[#This Row],[ProjectName]]),(ProjectInfoTable[ProjectName]=DiscreteStatsTable[[#This Row],[ProjectName]])*ProjectInfoTable[NumberOfReplications]))</f>
        <v>50</v>
      </c>
      <c r="N909" cm="1">
        <f t="array" ref="N909">IFERROR(AVERAGE(IF((DiscreteStatsTable[GroupByKey]=DiscreteStatsTable[[#This Row],[GroupByKey]]),(DiscreteStatsTable[GroupByKey]=DiscreteStatsTable[[#This Row],[GroupByKey]])*DiscreteStatsTable[Average])),0)</f>
        <v>1.1102466500497086</v>
      </c>
      <c r="O909" cm="1">
        <f t="array" ref="O909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09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09" cm="1">
        <f t="array" ref="R909">MIN(IF((DiscreteStatsTable[GroupByKey]=DiscreteStatsTable[[#This Row],[GroupByKey]]),(DiscreteStatsTable[GroupByKey]=DiscreteStatsTable[[#This Row],[GroupByKey]])*DiscreteStatsTable[Average]))</f>
        <v>0.96897044521179598</v>
      </c>
      <c r="S909" cm="1">
        <f t="array" ref="S909">MAX(IF((DiscreteStatsTable[GroupByKey]=DiscreteStatsTable[[#This Row],[GroupByKey]]),(DiscreteStatsTable[GroupByKey]=DiscreteStatsTable[[#This Row],[GroupByKey]])*DiscreteStatsTable[Average]))</f>
        <v>1.4337360021363801</v>
      </c>
      <c r="T909" cm="1">
        <f t="array" ref="T909">MIN(IF((DiscreteStatsTable[GroupByKey]=DiscreteStatsTable[[#This Row],[GroupByKey]]),(DiscreteStatsTable[GroupByKey]=DiscreteStatsTable[[#This Row],[GroupByKey]])*DiscreteStatsTable[Minimum]))</f>
        <v>0.31806625622363099</v>
      </c>
      <c r="U909" cm="1">
        <f t="array" ref="U909">MAX(IF((DiscreteStatsTable[GroupByKey]=DiscreteStatsTable[[#This Row],[GroupByKey]]),(DiscreteStatsTable[GroupByKey]=DiscreteStatsTable[[#This Row],[GroupByKey]])*DiscreteStatsTable[Maximum]))</f>
        <v>9.9062151562119993</v>
      </c>
      <c r="V909" cm="1">
        <f t="array" ref="V909">IFERROR(AVERAGE(IF((DiscreteStatsTable[GroupByKey]=DiscreteStatsTable[[#This Row],[GroupByKey]]),(DiscreteStatsTable[GroupByKey]=DiscreteStatsTable[[#This Row],[GroupByKey]])*DiscreteStatsTable[NumberObservations])),0)</f>
        <v>794.36</v>
      </c>
      <c r="W909">
        <f>IF((DiscreteStatsTable[[#This Row],[RepsRequested]]&gt;1),DiscreteStatsTable[[#This Row],[HalfWidth]],DiscreteStatsTable[[#This Row],[BatchMeansHalfWidth]])</f>
        <v>3.1607369037235981E-2</v>
      </c>
      <c r="X909" cm="1">
        <f t="array" ref="X909">COUNT(IF((DiscreteStatsTable[GroupByKey]=DiscreteStatsTable[[#This Row],[GroupByKey]]),(DiscreteStatsTable[GroupByKey]=DiscreteStatsTable[[#This Row],[GroupByKey]])*DiscreteStatsTable[Replication]))</f>
        <v>50</v>
      </c>
      <c r="Y909">
        <f>IF(DiscreteStatsTable[[#This Row],[RepsRequested]]=DiscreteStatsTable[[#This Row],[RepsWithStatObserved]],1,0)</f>
        <v>1</v>
      </c>
    </row>
    <row r="910" spans="1:25" x14ac:dyDescent="0.25">
      <c r="A910" t="s">
        <v>68</v>
      </c>
      <c r="B910" t="s">
        <v>131</v>
      </c>
      <c r="C910">
        <v>9</v>
      </c>
      <c r="D910" t="s">
        <v>93</v>
      </c>
      <c r="E910" t="s">
        <v>89</v>
      </c>
      <c r="F910" t="s">
        <v>90</v>
      </c>
      <c r="G910">
        <v>1.36564593117694</v>
      </c>
      <c r="H910">
        <v>0.31833494501498399</v>
      </c>
      <c r="I910">
        <v>0.38612352794035598</v>
      </c>
      <c r="J910">
        <v>8.3248243966916107</v>
      </c>
      <c r="K910">
        <v>786</v>
      </c>
      <c r="L910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10" cm="1">
        <f t="array" ref="M910">MAX(IF((ProjectInfoTable[ProjectName]=DiscreteStatsTable[[#This Row],[ProjectName]]),(ProjectInfoTable[ProjectName]=DiscreteStatsTable[[#This Row],[ProjectName]])*ProjectInfoTable[NumberOfReplications]))</f>
        <v>50</v>
      </c>
      <c r="N910" cm="1">
        <f t="array" ref="N910">IFERROR(AVERAGE(IF((DiscreteStatsTable[GroupByKey]=DiscreteStatsTable[[#This Row],[GroupByKey]]),(DiscreteStatsTable[GroupByKey]=DiscreteStatsTable[[#This Row],[GroupByKey]])*DiscreteStatsTable[Average])),0)</f>
        <v>1.1102466500497086</v>
      </c>
      <c r="O910" cm="1">
        <f t="array" ref="O910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10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10" cm="1">
        <f t="array" ref="R910">MIN(IF((DiscreteStatsTable[GroupByKey]=DiscreteStatsTable[[#This Row],[GroupByKey]]),(DiscreteStatsTable[GroupByKey]=DiscreteStatsTable[[#This Row],[GroupByKey]])*DiscreteStatsTable[Average]))</f>
        <v>0.96897044521179598</v>
      </c>
      <c r="S910" cm="1">
        <f t="array" ref="S910">MAX(IF((DiscreteStatsTable[GroupByKey]=DiscreteStatsTable[[#This Row],[GroupByKey]]),(DiscreteStatsTable[GroupByKey]=DiscreteStatsTable[[#This Row],[GroupByKey]])*DiscreteStatsTable[Average]))</f>
        <v>1.4337360021363801</v>
      </c>
      <c r="T910" cm="1">
        <f t="array" ref="T910">MIN(IF((DiscreteStatsTable[GroupByKey]=DiscreteStatsTable[[#This Row],[GroupByKey]]),(DiscreteStatsTable[GroupByKey]=DiscreteStatsTable[[#This Row],[GroupByKey]])*DiscreteStatsTable[Minimum]))</f>
        <v>0.31806625622363099</v>
      </c>
      <c r="U910" cm="1">
        <f t="array" ref="U910">MAX(IF((DiscreteStatsTable[GroupByKey]=DiscreteStatsTable[[#This Row],[GroupByKey]]),(DiscreteStatsTable[GroupByKey]=DiscreteStatsTable[[#This Row],[GroupByKey]])*DiscreteStatsTable[Maximum]))</f>
        <v>9.9062151562119993</v>
      </c>
      <c r="V910" cm="1">
        <f t="array" ref="V910">IFERROR(AVERAGE(IF((DiscreteStatsTable[GroupByKey]=DiscreteStatsTable[[#This Row],[GroupByKey]]),(DiscreteStatsTable[GroupByKey]=DiscreteStatsTable[[#This Row],[GroupByKey]])*DiscreteStatsTable[NumberObservations])),0)</f>
        <v>794.36</v>
      </c>
      <c r="W910">
        <f>IF((DiscreteStatsTable[[#This Row],[RepsRequested]]&gt;1),DiscreteStatsTable[[#This Row],[HalfWidth]],DiscreteStatsTable[[#This Row],[BatchMeansHalfWidth]])</f>
        <v>3.1607369037235981E-2</v>
      </c>
      <c r="X910" cm="1">
        <f t="array" ref="X910">COUNT(IF((DiscreteStatsTable[GroupByKey]=DiscreteStatsTable[[#This Row],[GroupByKey]]),(DiscreteStatsTable[GroupByKey]=DiscreteStatsTable[[#This Row],[GroupByKey]])*DiscreteStatsTable[Replication]))</f>
        <v>50</v>
      </c>
      <c r="Y910">
        <f>IF(DiscreteStatsTable[[#This Row],[RepsRequested]]=DiscreteStatsTable[[#This Row],[RepsWithStatObserved]],1,0)</f>
        <v>1</v>
      </c>
    </row>
    <row r="911" spans="1:25" x14ac:dyDescent="0.25">
      <c r="A911" t="s">
        <v>68</v>
      </c>
      <c r="B911" t="s">
        <v>131</v>
      </c>
      <c r="C911">
        <v>10</v>
      </c>
      <c r="D911" t="s">
        <v>93</v>
      </c>
      <c r="E911" t="s">
        <v>89</v>
      </c>
      <c r="F911" t="s">
        <v>90</v>
      </c>
      <c r="G911">
        <v>1.2044445578543099</v>
      </c>
      <c r="H911">
        <v>0.18319206854973499</v>
      </c>
      <c r="I911">
        <v>0.35233983364943799</v>
      </c>
      <c r="J911">
        <v>6.09622682742972</v>
      </c>
      <c r="K911">
        <v>843</v>
      </c>
      <c r="L911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11" cm="1">
        <f t="array" ref="M911">MAX(IF((ProjectInfoTable[ProjectName]=DiscreteStatsTable[[#This Row],[ProjectName]]),(ProjectInfoTable[ProjectName]=DiscreteStatsTable[[#This Row],[ProjectName]])*ProjectInfoTable[NumberOfReplications]))</f>
        <v>50</v>
      </c>
      <c r="N911" cm="1">
        <f t="array" ref="N911">IFERROR(AVERAGE(IF((DiscreteStatsTable[GroupByKey]=DiscreteStatsTable[[#This Row],[GroupByKey]]),(DiscreteStatsTable[GroupByKey]=DiscreteStatsTable[[#This Row],[GroupByKey]])*DiscreteStatsTable[Average])),0)</f>
        <v>1.1102466500497086</v>
      </c>
      <c r="O911" cm="1">
        <f t="array" ref="O911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11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11" cm="1">
        <f t="array" ref="R911">MIN(IF((DiscreteStatsTable[GroupByKey]=DiscreteStatsTable[[#This Row],[GroupByKey]]),(DiscreteStatsTable[GroupByKey]=DiscreteStatsTable[[#This Row],[GroupByKey]])*DiscreteStatsTable[Average]))</f>
        <v>0.96897044521179598</v>
      </c>
      <c r="S911" cm="1">
        <f t="array" ref="S911">MAX(IF((DiscreteStatsTable[GroupByKey]=DiscreteStatsTable[[#This Row],[GroupByKey]]),(DiscreteStatsTable[GroupByKey]=DiscreteStatsTable[[#This Row],[GroupByKey]])*DiscreteStatsTable[Average]))</f>
        <v>1.4337360021363801</v>
      </c>
      <c r="T911" cm="1">
        <f t="array" ref="T911">MIN(IF((DiscreteStatsTable[GroupByKey]=DiscreteStatsTable[[#This Row],[GroupByKey]]),(DiscreteStatsTable[GroupByKey]=DiscreteStatsTable[[#This Row],[GroupByKey]])*DiscreteStatsTable[Minimum]))</f>
        <v>0.31806625622363099</v>
      </c>
      <c r="U911" cm="1">
        <f t="array" ref="U911">MAX(IF((DiscreteStatsTable[GroupByKey]=DiscreteStatsTable[[#This Row],[GroupByKey]]),(DiscreteStatsTable[GroupByKey]=DiscreteStatsTable[[#This Row],[GroupByKey]])*DiscreteStatsTable[Maximum]))</f>
        <v>9.9062151562119993</v>
      </c>
      <c r="V911" cm="1">
        <f t="array" ref="V911">IFERROR(AVERAGE(IF((DiscreteStatsTable[GroupByKey]=DiscreteStatsTable[[#This Row],[GroupByKey]]),(DiscreteStatsTable[GroupByKey]=DiscreteStatsTable[[#This Row],[GroupByKey]])*DiscreteStatsTable[NumberObservations])),0)</f>
        <v>794.36</v>
      </c>
      <c r="W911">
        <f>IF((DiscreteStatsTable[[#This Row],[RepsRequested]]&gt;1),DiscreteStatsTable[[#This Row],[HalfWidth]],DiscreteStatsTable[[#This Row],[BatchMeansHalfWidth]])</f>
        <v>3.1607369037235981E-2</v>
      </c>
      <c r="X911" cm="1">
        <f t="array" ref="X911">COUNT(IF((DiscreteStatsTable[GroupByKey]=DiscreteStatsTable[[#This Row],[GroupByKey]]),(DiscreteStatsTable[GroupByKey]=DiscreteStatsTable[[#This Row],[GroupByKey]])*DiscreteStatsTable[Replication]))</f>
        <v>50</v>
      </c>
      <c r="Y911">
        <f>IF(DiscreteStatsTable[[#This Row],[RepsRequested]]=DiscreteStatsTable[[#This Row],[RepsWithStatObserved]],1,0)</f>
        <v>1</v>
      </c>
    </row>
    <row r="912" spans="1:25" x14ac:dyDescent="0.25">
      <c r="A912" t="s">
        <v>68</v>
      </c>
      <c r="B912" t="s">
        <v>131</v>
      </c>
      <c r="C912">
        <v>11</v>
      </c>
      <c r="D912" t="s">
        <v>93</v>
      </c>
      <c r="E912" t="s">
        <v>89</v>
      </c>
      <c r="F912" t="s">
        <v>90</v>
      </c>
      <c r="G912">
        <v>1.0656477398856301</v>
      </c>
      <c r="H912">
        <v>0.104361819038696</v>
      </c>
      <c r="I912">
        <v>0.35054686705183302</v>
      </c>
      <c r="J912">
        <v>4.9453977999027101</v>
      </c>
      <c r="K912">
        <v>789</v>
      </c>
      <c r="L912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12" cm="1">
        <f t="array" ref="M912">MAX(IF((ProjectInfoTable[ProjectName]=DiscreteStatsTable[[#This Row],[ProjectName]]),(ProjectInfoTable[ProjectName]=DiscreteStatsTable[[#This Row],[ProjectName]])*ProjectInfoTable[NumberOfReplications]))</f>
        <v>50</v>
      </c>
      <c r="N912" cm="1">
        <f t="array" ref="N912">IFERROR(AVERAGE(IF((DiscreteStatsTable[GroupByKey]=DiscreteStatsTable[[#This Row],[GroupByKey]]),(DiscreteStatsTable[GroupByKey]=DiscreteStatsTable[[#This Row],[GroupByKey]])*DiscreteStatsTable[Average])),0)</f>
        <v>1.1102466500497086</v>
      </c>
      <c r="O912" cm="1">
        <f t="array" ref="O912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12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12" cm="1">
        <f t="array" ref="R912">MIN(IF((DiscreteStatsTable[GroupByKey]=DiscreteStatsTable[[#This Row],[GroupByKey]]),(DiscreteStatsTable[GroupByKey]=DiscreteStatsTable[[#This Row],[GroupByKey]])*DiscreteStatsTable[Average]))</f>
        <v>0.96897044521179598</v>
      </c>
      <c r="S912" cm="1">
        <f t="array" ref="S912">MAX(IF((DiscreteStatsTable[GroupByKey]=DiscreteStatsTable[[#This Row],[GroupByKey]]),(DiscreteStatsTable[GroupByKey]=DiscreteStatsTable[[#This Row],[GroupByKey]])*DiscreteStatsTable[Average]))</f>
        <v>1.4337360021363801</v>
      </c>
      <c r="T912" cm="1">
        <f t="array" ref="T912">MIN(IF((DiscreteStatsTable[GroupByKey]=DiscreteStatsTable[[#This Row],[GroupByKey]]),(DiscreteStatsTable[GroupByKey]=DiscreteStatsTable[[#This Row],[GroupByKey]])*DiscreteStatsTable[Minimum]))</f>
        <v>0.31806625622363099</v>
      </c>
      <c r="U912" cm="1">
        <f t="array" ref="U912">MAX(IF((DiscreteStatsTable[GroupByKey]=DiscreteStatsTable[[#This Row],[GroupByKey]]),(DiscreteStatsTable[GroupByKey]=DiscreteStatsTable[[#This Row],[GroupByKey]])*DiscreteStatsTable[Maximum]))</f>
        <v>9.9062151562119993</v>
      </c>
      <c r="V912" cm="1">
        <f t="array" ref="V912">IFERROR(AVERAGE(IF((DiscreteStatsTable[GroupByKey]=DiscreteStatsTable[[#This Row],[GroupByKey]]),(DiscreteStatsTable[GroupByKey]=DiscreteStatsTable[[#This Row],[GroupByKey]])*DiscreteStatsTable[NumberObservations])),0)</f>
        <v>794.36</v>
      </c>
      <c r="W912">
        <f>IF((DiscreteStatsTable[[#This Row],[RepsRequested]]&gt;1),DiscreteStatsTable[[#This Row],[HalfWidth]],DiscreteStatsTable[[#This Row],[BatchMeansHalfWidth]])</f>
        <v>3.1607369037235981E-2</v>
      </c>
      <c r="X912" cm="1">
        <f t="array" ref="X912">COUNT(IF((DiscreteStatsTable[GroupByKey]=DiscreteStatsTable[[#This Row],[GroupByKey]]),(DiscreteStatsTable[GroupByKey]=DiscreteStatsTable[[#This Row],[GroupByKey]])*DiscreteStatsTable[Replication]))</f>
        <v>50</v>
      </c>
      <c r="Y912">
        <f>IF(DiscreteStatsTable[[#This Row],[RepsRequested]]=DiscreteStatsTable[[#This Row],[RepsWithStatObserved]],1,0)</f>
        <v>1</v>
      </c>
    </row>
    <row r="913" spans="1:25" x14ac:dyDescent="0.25">
      <c r="A913" t="s">
        <v>68</v>
      </c>
      <c r="B913" t="s">
        <v>131</v>
      </c>
      <c r="C913">
        <v>12</v>
      </c>
      <c r="D913" t="s">
        <v>93</v>
      </c>
      <c r="E913" t="s">
        <v>89</v>
      </c>
      <c r="F913" t="s">
        <v>90</v>
      </c>
      <c r="G913">
        <v>1.4337360021363801</v>
      </c>
      <c r="H913">
        <v>0.249670870597375</v>
      </c>
      <c r="I913">
        <v>0.35515926444949703</v>
      </c>
      <c r="J913">
        <v>8.1688815043713703</v>
      </c>
      <c r="K913">
        <v>792</v>
      </c>
      <c r="L913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13" cm="1">
        <f t="array" ref="M913">MAX(IF((ProjectInfoTable[ProjectName]=DiscreteStatsTable[[#This Row],[ProjectName]]),(ProjectInfoTable[ProjectName]=DiscreteStatsTable[[#This Row],[ProjectName]])*ProjectInfoTable[NumberOfReplications]))</f>
        <v>50</v>
      </c>
      <c r="N913" cm="1">
        <f t="array" ref="N913">IFERROR(AVERAGE(IF((DiscreteStatsTable[GroupByKey]=DiscreteStatsTable[[#This Row],[GroupByKey]]),(DiscreteStatsTable[GroupByKey]=DiscreteStatsTable[[#This Row],[GroupByKey]])*DiscreteStatsTable[Average])),0)</f>
        <v>1.1102466500497086</v>
      </c>
      <c r="O913" cm="1">
        <f t="array" ref="O913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13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13" cm="1">
        <f t="array" ref="R913">MIN(IF((DiscreteStatsTable[GroupByKey]=DiscreteStatsTable[[#This Row],[GroupByKey]]),(DiscreteStatsTable[GroupByKey]=DiscreteStatsTable[[#This Row],[GroupByKey]])*DiscreteStatsTable[Average]))</f>
        <v>0.96897044521179598</v>
      </c>
      <c r="S913" cm="1">
        <f t="array" ref="S913">MAX(IF((DiscreteStatsTable[GroupByKey]=DiscreteStatsTable[[#This Row],[GroupByKey]]),(DiscreteStatsTable[GroupByKey]=DiscreteStatsTable[[#This Row],[GroupByKey]])*DiscreteStatsTable[Average]))</f>
        <v>1.4337360021363801</v>
      </c>
      <c r="T913" cm="1">
        <f t="array" ref="T913">MIN(IF((DiscreteStatsTable[GroupByKey]=DiscreteStatsTable[[#This Row],[GroupByKey]]),(DiscreteStatsTable[GroupByKey]=DiscreteStatsTable[[#This Row],[GroupByKey]])*DiscreteStatsTable[Minimum]))</f>
        <v>0.31806625622363099</v>
      </c>
      <c r="U913" cm="1">
        <f t="array" ref="U913">MAX(IF((DiscreteStatsTable[GroupByKey]=DiscreteStatsTable[[#This Row],[GroupByKey]]),(DiscreteStatsTable[GroupByKey]=DiscreteStatsTable[[#This Row],[GroupByKey]])*DiscreteStatsTable[Maximum]))</f>
        <v>9.9062151562119993</v>
      </c>
      <c r="V913" cm="1">
        <f t="array" ref="V913">IFERROR(AVERAGE(IF((DiscreteStatsTable[GroupByKey]=DiscreteStatsTable[[#This Row],[GroupByKey]]),(DiscreteStatsTable[GroupByKey]=DiscreteStatsTable[[#This Row],[GroupByKey]])*DiscreteStatsTable[NumberObservations])),0)</f>
        <v>794.36</v>
      </c>
      <c r="W913">
        <f>IF((DiscreteStatsTable[[#This Row],[RepsRequested]]&gt;1),DiscreteStatsTable[[#This Row],[HalfWidth]],DiscreteStatsTable[[#This Row],[BatchMeansHalfWidth]])</f>
        <v>3.1607369037235981E-2</v>
      </c>
      <c r="X913" cm="1">
        <f t="array" ref="X913">COUNT(IF((DiscreteStatsTable[GroupByKey]=DiscreteStatsTable[[#This Row],[GroupByKey]]),(DiscreteStatsTable[GroupByKey]=DiscreteStatsTable[[#This Row],[GroupByKey]])*DiscreteStatsTable[Replication]))</f>
        <v>50</v>
      </c>
      <c r="Y913">
        <f>IF(DiscreteStatsTable[[#This Row],[RepsRequested]]=DiscreteStatsTable[[#This Row],[RepsWithStatObserved]],1,0)</f>
        <v>1</v>
      </c>
    </row>
    <row r="914" spans="1:25" x14ac:dyDescent="0.25">
      <c r="A914" t="s">
        <v>68</v>
      </c>
      <c r="B914" t="s">
        <v>131</v>
      </c>
      <c r="C914">
        <v>13</v>
      </c>
      <c r="D914" t="s">
        <v>93</v>
      </c>
      <c r="E914" t="s">
        <v>89</v>
      </c>
      <c r="F914" t="s">
        <v>90</v>
      </c>
      <c r="G914">
        <v>1.0605058448799201</v>
      </c>
      <c r="H914">
        <v>0.141865306212758</v>
      </c>
      <c r="I914">
        <v>0.34264425644789798</v>
      </c>
      <c r="J914">
        <v>6.5117907662970502</v>
      </c>
      <c r="K914">
        <v>812</v>
      </c>
      <c r="L914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14" cm="1">
        <f t="array" ref="M914">MAX(IF((ProjectInfoTable[ProjectName]=DiscreteStatsTable[[#This Row],[ProjectName]]),(ProjectInfoTable[ProjectName]=DiscreteStatsTable[[#This Row],[ProjectName]])*ProjectInfoTable[NumberOfReplications]))</f>
        <v>50</v>
      </c>
      <c r="N914" cm="1">
        <f t="array" ref="N914">IFERROR(AVERAGE(IF((DiscreteStatsTable[GroupByKey]=DiscreteStatsTable[[#This Row],[GroupByKey]]),(DiscreteStatsTable[GroupByKey]=DiscreteStatsTable[[#This Row],[GroupByKey]])*DiscreteStatsTable[Average])),0)</f>
        <v>1.1102466500497086</v>
      </c>
      <c r="O914" cm="1">
        <f t="array" ref="O914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14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14" cm="1">
        <f t="array" ref="R914">MIN(IF((DiscreteStatsTable[GroupByKey]=DiscreteStatsTable[[#This Row],[GroupByKey]]),(DiscreteStatsTable[GroupByKey]=DiscreteStatsTable[[#This Row],[GroupByKey]])*DiscreteStatsTable[Average]))</f>
        <v>0.96897044521179598</v>
      </c>
      <c r="S914" cm="1">
        <f t="array" ref="S914">MAX(IF((DiscreteStatsTable[GroupByKey]=DiscreteStatsTable[[#This Row],[GroupByKey]]),(DiscreteStatsTable[GroupByKey]=DiscreteStatsTable[[#This Row],[GroupByKey]])*DiscreteStatsTable[Average]))</f>
        <v>1.4337360021363801</v>
      </c>
      <c r="T914" cm="1">
        <f t="array" ref="T914">MIN(IF((DiscreteStatsTable[GroupByKey]=DiscreteStatsTable[[#This Row],[GroupByKey]]),(DiscreteStatsTable[GroupByKey]=DiscreteStatsTable[[#This Row],[GroupByKey]])*DiscreteStatsTable[Minimum]))</f>
        <v>0.31806625622363099</v>
      </c>
      <c r="U914" cm="1">
        <f t="array" ref="U914">MAX(IF((DiscreteStatsTable[GroupByKey]=DiscreteStatsTable[[#This Row],[GroupByKey]]),(DiscreteStatsTable[GroupByKey]=DiscreteStatsTable[[#This Row],[GroupByKey]])*DiscreteStatsTable[Maximum]))</f>
        <v>9.9062151562119993</v>
      </c>
      <c r="V914" cm="1">
        <f t="array" ref="V914">IFERROR(AVERAGE(IF((DiscreteStatsTable[GroupByKey]=DiscreteStatsTable[[#This Row],[GroupByKey]]),(DiscreteStatsTable[GroupByKey]=DiscreteStatsTable[[#This Row],[GroupByKey]])*DiscreteStatsTable[NumberObservations])),0)</f>
        <v>794.36</v>
      </c>
      <c r="W914">
        <f>IF((DiscreteStatsTable[[#This Row],[RepsRequested]]&gt;1),DiscreteStatsTable[[#This Row],[HalfWidth]],DiscreteStatsTable[[#This Row],[BatchMeansHalfWidth]])</f>
        <v>3.1607369037235981E-2</v>
      </c>
      <c r="X914" cm="1">
        <f t="array" ref="X914">COUNT(IF((DiscreteStatsTable[GroupByKey]=DiscreteStatsTable[[#This Row],[GroupByKey]]),(DiscreteStatsTable[GroupByKey]=DiscreteStatsTable[[#This Row],[GroupByKey]])*DiscreteStatsTable[Replication]))</f>
        <v>50</v>
      </c>
      <c r="Y914">
        <f>IF(DiscreteStatsTable[[#This Row],[RepsRequested]]=DiscreteStatsTable[[#This Row],[RepsWithStatObserved]],1,0)</f>
        <v>1</v>
      </c>
    </row>
    <row r="915" spans="1:25" x14ac:dyDescent="0.25">
      <c r="A915" t="s">
        <v>68</v>
      </c>
      <c r="B915" t="s">
        <v>131</v>
      </c>
      <c r="C915">
        <v>14</v>
      </c>
      <c r="D915" t="s">
        <v>93</v>
      </c>
      <c r="E915" t="s">
        <v>89</v>
      </c>
      <c r="F915" t="s">
        <v>90</v>
      </c>
      <c r="G915">
        <v>1.0680127546120399</v>
      </c>
      <c r="H915">
        <v>3E+20</v>
      </c>
      <c r="I915">
        <v>0.34000596814490802</v>
      </c>
      <c r="J915">
        <v>8.12703007598952</v>
      </c>
      <c r="K915">
        <v>761</v>
      </c>
      <c r="L915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15" cm="1">
        <f t="array" ref="M915">MAX(IF((ProjectInfoTable[ProjectName]=DiscreteStatsTable[[#This Row],[ProjectName]]),(ProjectInfoTable[ProjectName]=DiscreteStatsTable[[#This Row],[ProjectName]])*ProjectInfoTable[NumberOfReplications]))</f>
        <v>50</v>
      </c>
      <c r="N915" cm="1">
        <f t="array" ref="N915">IFERROR(AVERAGE(IF((DiscreteStatsTable[GroupByKey]=DiscreteStatsTable[[#This Row],[GroupByKey]]),(DiscreteStatsTable[GroupByKey]=DiscreteStatsTable[[#This Row],[GroupByKey]])*DiscreteStatsTable[Average])),0)</f>
        <v>1.1102466500497086</v>
      </c>
      <c r="O915" cm="1">
        <f t="array" ref="O915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1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15" cm="1">
        <f t="array" ref="R915">MIN(IF((DiscreteStatsTable[GroupByKey]=DiscreteStatsTable[[#This Row],[GroupByKey]]),(DiscreteStatsTable[GroupByKey]=DiscreteStatsTable[[#This Row],[GroupByKey]])*DiscreteStatsTable[Average]))</f>
        <v>0.96897044521179598</v>
      </c>
      <c r="S915" cm="1">
        <f t="array" ref="S915">MAX(IF((DiscreteStatsTable[GroupByKey]=DiscreteStatsTable[[#This Row],[GroupByKey]]),(DiscreteStatsTable[GroupByKey]=DiscreteStatsTable[[#This Row],[GroupByKey]])*DiscreteStatsTable[Average]))</f>
        <v>1.4337360021363801</v>
      </c>
      <c r="T915" cm="1">
        <f t="array" ref="T915">MIN(IF((DiscreteStatsTable[GroupByKey]=DiscreteStatsTable[[#This Row],[GroupByKey]]),(DiscreteStatsTable[GroupByKey]=DiscreteStatsTable[[#This Row],[GroupByKey]])*DiscreteStatsTable[Minimum]))</f>
        <v>0.31806625622363099</v>
      </c>
      <c r="U915" cm="1">
        <f t="array" ref="U915">MAX(IF((DiscreteStatsTable[GroupByKey]=DiscreteStatsTable[[#This Row],[GroupByKey]]),(DiscreteStatsTable[GroupByKey]=DiscreteStatsTable[[#This Row],[GroupByKey]])*DiscreteStatsTable[Maximum]))</f>
        <v>9.9062151562119993</v>
      </c>
      <c r="V915" cm="1">
        <f t="array" ref="V915">IFERROR(AVERAGE(IF((DiscreteStatsTable[GroupByKey]=DiscreteStatsTable[[#This Row],[GroupByKey]]),(DiscreteStatsTable[GroupByKey]=DiscreteStatsTable[[#This Row],[GroupByKey]])*DiscreteStatsTable[NumberObservations])),0)</f>
        <v>794.36</v>
      </c>
      <c r="W915">
        <f>IF((DiscreteStatsTable[[#This Row],[RepsRequested]]&gt;1),DiscreteStatsTable[[#This Row],[HalfWidth]],DiscreteStatsTable[[#This Row],[BatchMeansHalfWidth]])</f>
        <v>3.1607369037235981E-2</v>
      </c>
      <c r="X915" cm="1">
        <f t="array" ref="X915">COUNT(IF((DiscreteStatsTable[GroupByKey]=DiscreteStatsTable[[#This Row],[GroupByKey]]),(DiscreteStatsTable[GroupByKey]=DiscreteStatsTable[[#This Row],[GroupByKey]])*DiscreteStatsTable[Replication]))</f>
        <v>50</v>
      </c>
      <c r="Y915">
        <f>IF(DiscreteStatsTable[[#This Row],[RepsRequested]]=DiscreteStatsTable[[#This Row],[RepsWithStatObserved]],1,0)</f>
        <v>1</v>
      </c>
    </row>
    <row r="916" spans="1:25" x14ac:dyDescent="0.25">
      <c r="A916" t="s">
        <v>68</v>
      </c>
      <c r="B916" t="s">
        <v>131</v>
      </c>
      <c r="C916">
        <v>15</v>
      </c>
      <c r="D916" t="s">
        <v>93</v>
      </c>
      <c r="E916" t="s">
        <v>89</v>
      </c>
      <c r="F916" t="s">
        <v>90</v>
      </c>
      <c r="G916">
        <v>1.2150754207294401</v>
      </c>
      <c r="H916">
        <v>0.18467916804617299</v>
      </c>
      <c r="I916">
        <v>0.33320251186182798</v>
      </c>
      <c r="J916">
        <v>8.2043897551600402</v>
      </c>
      <c r="K916">
        <v>793</v>
      </c>
      <c r="L916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16" cm="1">
        <f t="array" ref="M916">MAX(IF((ProjectInfoTable[ProjectName]=DiscreteStatsTable[[#This Row],[ProjectName]]),(ProjectInfoTable[ProjectName]=DiscreteStatsTable[[#This Row],[ProjectName]])*ProjectInfoTable[NumberOfReplications]))</f>
        <v>50</v>
      </c>
      <c r="N916" cm="1">
        <f t="array" ref="N916">IFERROR(AVERAGE(IF((DiscreteStatsTable[GroupByKey]=DiscreteStatsTable[[#This Row],[GroupByKey]]),(DiscreteStatsTable[GroupByKey]=DiscreteStatsTable[[#This Row],[GroupByKey]])*DiscreteStatsTable[Average])),0)</f>
        <v>1.1102466500497086</v>
      </c>
      <c r="O916" cm="1">
        <f t="array" ref="O916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16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16" cm="1">
        <f t="array" ref="R916">MIN(IF((DiscreteStatsTable[GroupByKey]=DiscreteStatsTable[[#This Row],[GroupByKey]]),(DiscreteStatsTable[GroupByKey]=DiscreteStatsTable[[#This Row],[GroupByKey]])*DiscreteStatsTable[Average]))</f>
        <v>0.96897044521179598</v>
      </c>
      <c r="S916" cm="1">
        <f t="array" ref="S916">MAX(IF((DiscreteStatsTable[GroupByKey]=DiscreteStatsTable[[#This Row],[GroupByKey]]),(DiscreteStatsTable[GroupByKey]=DiscreteStatsTable[[#This Row],[GroupByKey]])*DiscreteStatsTable[Average]))</f>
        <v>1.4337360021363801</v>
      </c>
      <c r="T916" cm="1">
        <f t="array" ref="T916">MIN(IF((DiscreteStatsTable[GroupByKey]=DiscreteStatsTable[[#This Row],[GroupByKey]]),(DiscreteStatsTable[GroupByKey]=DiscreteStatsTable[[#This Row],[GroupByKey]])*DiscreteStatsTable[Minimum]))</f>
        <v>0.31806625622363099</v>
      </c>
      <c r="U916" cm="1">
        <f t="array" ref="U916">MAX(IF((DiscreteStatsTable[GroupByKey]=DiscreteStatsTable[[#This Row],[GroupByKey]]),(DiscreteStatsTable[GroupByKey]=DiscreteStatsTable[[#This Row],[GroupByKey]])*DiscreteStatsTable[Maximum]))</f>
        <v>9.9062151562119993</v>
      </c>
      <c r="V916" cm="1">
        <f t="array" ref="V916">IFERROR(AVERAGE(IF((DiscreteStatsTable[GroupByKey]=DiscreteStatsTable[[#This Row],[GroupByKey]]),(DiscreteStatsTable[GroupByKey]=DiscreteStatsTable[[#This Row],[GroupByKey]])*DiscreteStatsTable[NumberObservations])),0)</f>
        <v>794.36</v>
      </c>
      <c r="W916">
        <f>IF((DiscreteStatsTable[[#This Row],[RepsRequested]]&gt;1),DiscreteStatsTable[[#This Row],[HalfWidth]],DiscreteStatsTable[[#This Row],[BatchMeansHalfWidth]])</f>
        <v>3.1607369037235981E-2</v>
      </c>
      <c r="X916" cm="1">
        <f t="array" ref="X916">COUNT(IF((DiscreteStatsTable[GroupByKey]=DiscreteStatsTable[[#This Row],[GroupByKey]]),(DiscreteStatsTable[GroupByKey]=DiscreteStatsTable[[#This Row],[GroupByKey]])*DiscreteStatsTable[Replication]))</f>
        <v>50</v>
      </c>
      <c r="Y916">
        <f>IF(DiscreteStatsTable[[#This Row],[RepsRequested]]=DiscreteStatsTable[[#This Row],[RepsWithStatObserved]],1,0)</f>
        <v>1</v>
      </c>
    </row>
    <row r="917" spans="1:25" x14ac:dyDescent="0.25">
      <c r="A917" t="s">
        <v>68</v>
      </c>
      <c r="B917" t="s">
        <v>131</v>
      </c>
      <c r="C917">
        <v>16</v>
      </c>
      <c r="D917" t="s">
        <v>93</v>
      </c>
      <c r="E917" t="s">
        <v>89</v>
      </c>
      <c r="F917" t="s">
        <v>90</v>
      </c>
      <c r="G917">
        <v>1.07854336652963</v>
      </c>
      <c r="H917">
        <v>0.15190657769570801</v>
      </c>
      <c r="I917">
        <v>0.34379451649672899</v>
      </c>
      <c r="J917">
        <v>5.7411560588266202</v>
      </c>
      <c r="K917">
        <v>808</v>
      </c>
      <c r="L917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17" cm="1">
        <f t="array" ref="M917">MAX(IF((ProjectInfoTable[ProjectName]=DiscreteStatsTable[[#This Row],[ProjectName]]),(ProjectInfoTable[ProjectName]=DiscreteStatsTable[[#This Row],[ProjectName]])*ProjectInfoTable[NumberOfReplications]))</f>
        <v>50</v>
      </c>
      <c r="N917" cm="1">
        <f t="array" ref="N917">IFERROR(AVERAGE(IF((DiscreteStatsTable[GroupByKey]=DiscreteStatsTable[[#This Row],[GroupByKey]]),(DiscreteStatsTable[GroupByKey]=DiscreteStatsTable[[#This Row],[GroupByKey]])*DiscreteStatsTable[Average])),0)</f>
        <v>1.1102466500497086</v>
      </c>
      <c r="O917" cm="1">
        <f t="array" ref="O917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17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17" cm="1">
        <f t="array" ref="R917">MIN(IF((DiscreteStatsTable[GroupByKey]=DiscreteStatsTable[[#This Row],[GroupByKey]]),(DiscreteStatsTable[GroupByKey]=DiscreteStatsTable[[#This Row],[GroupByKey]])*DiscreteStatsTable[Average]))</f>
        <v>0.96897044521179598</v>
      </c>
      <c r="S917" cm="1">
        <f t="array" ref="S917">MAX(IF((DiscreteStatsTable[GroupByKey]=DiscreteStatsTable[[#This Row],[GroupByKey]]),(DiscreteStatsTable[GroupByKey]=DiscreteStatsTable[[#This Row],[GroupByKey]])*DiscreteStatsTable[Average]))</f>
        <v>1.4337360021363801</v>
      </c>
      <c r="T917" cm="1">
        <f t="array" ref="T917">MIN(IF((DiscreteStatsTable[GroupByKey]=DiscreteStatsTable[[#This Row],[GroupByKey]]),(DiscreteStatsTable[GroupByKey]=DiscreteStatsTable[[#This Row],[GroupByKey]])*DiscreteStatsTable[Minimum]))</f>
        <v>0.31806625622363099</v>
      </c>
      <c r="U917" cm="1">
        <f t="array" ref="U917">MAX(IF((DiscreteStatsTable[GroupByKey]=DiscreteStatsTable[[#This Row],[GroupByKey]]),(DiscreteStatsTable[GroupByKey]=DiscreteStatsTable[[#This Row],[GroupByKey]])*DiscreteStatsTable[Maximum]))</f>
        <v>9.9062151562119993</v>
      </c>
      <c r="V917" cm="1">
        <f t="array" ref="V917">IFERROR(AVERAGE(IF((DiscreteStatsTable[GroupByKey]=DiscreteStatsTable[[#This Row],[GroupByKey]]),(DiscreteStatsTable[GroupByKey]=DiscreteStatsTable[[#This Row],[GroupByKey]])*DiscreteStatsTable[NumberObservations])),0)</f>
        <v>794.36</v>
      </c>
      <c r="W917">
        <f>IF((DiscreteStatsTable[[#This Row],[RepsRequested]]&gt;1),DiscreteStatsTable[[#This Row],[HalfWidth]],DiscreteStatsTable[[#This Row],[BatchMeansHalfWidth]])</f>
        <v>3.1607369037235981E-2</v>
      </c>
      <c r="X917" cm="1">
        <f t="array" ref="X917">COUNT(IF((DiscreteStatsTable[GroupByKey]=DiscreteStatsTable[[#This Row],[GroupByKey]]),(DiscreteStatsTable[GroupByKey]=DiscreteStatsTable[[#This Row],[GroupByKey]])*DiscreteStatsTable[Replication]))</f>
        <v>50</v>
      </c>
      <c r="Y917">
        <f>IF(DiscreteStatsTable[[#This Row],[RepsRequested]]=DiscreteStatsTable[[#This Row],[RepsWithStatObserved]],1,0)</f>
        <v>1</v>
      </c>
    </row>
    <row r="918" spans="1:25" x14ac:dyDescent="0.25">
      <c r="A918" t="s">
        <v>68</v>
      </c>
      <c r="B918" t="s">
        <v>131</v>
      </c>
      <c r="C918">
        <v>17</v>
      </c>
      <c r="D918" t="s">
        <v>93</v>
      </c>
      <c r="E918" t="s">
        <v>89</v>
      </c>
      <c r="F918" t="s">
        <v>90</v>
      </c>
      <c r="G918">
        <v>1.01382061811746</v>
      </c>
      <c r="H918">
        <v>8.1353911430342901E-2</v>
      </c>
      <c r="I918">
        <v>0.34676547245953798</v>
      </c>
      <c r="J918">
        <v>5.2944097385076798</v>
      </c>
      <c r="K918">
        <v>803</v>
      </c>
      <c r="L918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18" cm="1">
        <f t="array" ref="M918">MAX(IF((ProjectInfoTable[ProjectName]=DiscreteStatsTable[[#This Row],[ProjectName]]),(ProjectInfoTable[ProjectName]=DiscreteStatsTable[[#This Row],[ProjectName]])*ProjectInfoTable[NumberOfReplications]))</f>
        <v>50</v>
      </c>
      <c r="N918" cm="1">
        <f t="array" ref="N918">IFERROR(AVERAGE(IF((DiscreteStatsTable[GroupByKey]=DiscreteStatsTable[[#This Row],[GroupByKey]]),(DiscreteStatsTable[GroupByKey]=DiscreteStatsTable[[#This Row],[GroupByKey]])*DiscreteStatsTable[Average])),0)</f>
        <v>1.1102466500497086</v>
      </c>
      <c r="O918" cm="1">
        <f t="array" ref="O918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18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18" cm="1">
        <f t="array" ref="R918">MIN(IF((DiscreteStatsTable[GroupByKey]=DiscreteStatsTable[[#This Row],[GroupByKey]]),(DiscreteStatsTable[GroupByKey]=DiscreteStatsTable[[#This Row],[GroupByKey]])*DiscreteStatsTable[Average]))</f>
        <v>0.96897044521179598</v>
      </c>
      <c r="S918" cm="1">
        <f t="array" ref="S918">MAX(IF((DiscreteStatsTable[GroupByKey]=DiscreteStatsTable[[#This Row],[GroupByKey]]),(DiscreteStatsTable[GroupByKey]=DiscreteStatsTable[[#This Row],[GroupByKey]])*DiscreteStatsTable[Average]))</f>
        <v>1.4337360021363801</v>
      </c>
      <c r="T918" cm="1">
        <f t="array" ref="T918">MIN(IF((DiscreteStatsTable[GroupByKey]=DiscreteStatsTable[[#This Row],[GroupByKey]]),(DiscreteStatsTable[GroupByKey]=DiscreteStatsTable[[#This Row],[GroupByKey]])*DiscreteStatsTable[Minimum]))</f>
        <v>0.31806625622363099</v>
      </c>
      <c r="U918" cm="1">
        <f t="array" ref="U918">MAX(IF((DiscreteStatsTable[GroupByKey]=DiscreteStatsTable[[#This Row],[GroupByKey]]),(DiscreteStatsTable[GroupByKey]=DiscreteStatsTable[[#This Row],[GroupByKey]])*DiscreteStatsTable[Maximum]))</f>
        <v>9.9062151562119993</v>
      </c>
      <c r="V918" cm="1">
        <f t="array" ref="V918">IFERROR(AVERAGE(IF((DiscreteStatsTable[GroupByKey]=DiscreteStatsTable[[#This Row],[GroupByKey]]),(DiscreteStatsTable[GroupByKey]=DiscreteStatsTable[[#This Row],[GroupByKey]])*DiscreteStatsTable[NumberObservations])),0)</f>
        <v>794.36</v>
      </c>
      <c r="W918">
        <f>IF((DiscreteStatsTable[[#This Row],[RepsRequested]]&gt;1),DiscreteStatsTable[[#This Row],[HalfWidth]],DiscreteStatsTable[[#This Row],[BatchMeansHalfWidth]])</f>
        <v>3.1607369037235981E-2</v>
      </c>
      <c r="X918" cm="1">
        <f t="array" ref="X918">COUNT(IF((DiscreteStatsTable[GroupByKey]=DiscreteStatsTable[[#This Row],[GroupByKey]]),(DiscreteStatsTable[GroupByKey]=DiscreteStatsTable[[#This Row],[GroupByKey]])*DiscreteStatsTable[Replication]))</f>
        <v>50</v>
      </c>
      <c r="Y918">
        <f>IF(DiscreteStatsTable[[#This Row],[RepsRequested]]=DiscreteStatsTable[[#This Row],[RepsWithStatObserved]],1,0)</f>
        <v>1</v>
      </c>
    </row>
    <row r="919" spans="1:25" x14ac:dyDescent="0.25">
      <c r="A919" t="s">
        <v>68</v>
      </c>
      <c r="B919" t="s">
        <v>131</v>
      </c>
      <c r="C919">
        <v>18</v>
      </c>
      <c r="D919" t="s">
        <v>93</v>
      </c>
      <c r="E919" t="s">
        <v>89</v>
      </c>
      <c r="F919" t="s">
        <v>90</v>
      </c>
      <c r="G919">
        <v>1.0257764546257599</v>
      </c>
      <c r="H919">
        <v>0.107789586984585</v>
      </c>
      <c r="I919">
        <v>0.33663019984089698</v>
      </c>
      <c r="J919">
        <v>5.5077742237678002</v>
      </c>
      <c r="K919">
        <v>780</v>
      </c>
      <c r="L919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19" cm="1">
        <f t="array" ref="M919">MAX(IF((ProjectInfoTable[ProjectName]=DiscreteStatsTable[[#This Row],[ProjectName]]),(ProjectInfoTable[ProjectName]=DiscreteStatsTable[[#This Row],[ProjectName]])*ProjectInfoTable[NumberOfReplications]))</f>
        <v>50</v>
      </c>
      <c r="N919" cm="1">
        <f t="array" ref="N919">IFERROR(AVERAGE(IF((DiscreteStatsTable[GroupByKey]=DiscreteStatsTable[[#This Row],[GroupByKey]]),(DiscreteStatsTable[GroupByKey]=DiscreteStatsTable[[#This Row],[GroupByKey]])*DiscreteStatsTable[Average])),0)</f>
        <v>1.1102466500497086</v>
      </c>
      <c r="O919" cm="1">
        <f t="array" ref="O919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19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19" cm="1">
        <f t="array" ref="R919">MIN(IF((DiscreteStatsTable[GroupByKey]=DiscreteStatsTable[[#This Row],[GroupByKey]]),(DiscreteStatsTable[GroupByKey]=DiscreteStatsTable[[#This Row],[GroupByKey]])*DiscreteStatsTable[Average]))</f>
        <v>0.96897044521179598</v>
      </c>
      <c r="S919" cm="1">
        <f t="array" ref="S919">MAX(IF((DiscreteStatsTable[GroupByKey]=DiscreteStatsTable[[#This Row],[GroupByKey]]),(DiscreteStatsTable[GroupByKey]=DiscreteStatsTable[[#This Row],[GroupByKey]])*DiscreteStatsTable[Average]))</f>
        <v>1.4337360021363801</v>
      </c>
      <c r="T919" cm="1">
        <f t="array" ref="T919">MIN(IF((DiscreteStatsTable[GroupByKey]=DiscreteStatsTable[[#This Row],[GroupByKey]]),(DiscreteStatsTable[GroupByKey]=DiscreteStatsTable[[#This Row],[GroupByKey]])*DiscreteStatsTable[Minimum]))</f>
        <v>0.31806625622363099</v>
      </c>
      <c r="U919" cm="1">
        <f t="array" ref="U919">MAX(IF((DiscreteStatsTable[GroupByKey]=DiscreteStatsTable[[#This Row],[GroupByKey]]),(DiscreteStatsTable[GroupByKey]=DiscreteStatsTable[[#This Row],[GroupByKey]])*DiscreteStatsTable[Maximum]))</f>
        <v>9.9062151562119993</v>
      </c>
      <c r="V919" cm="1">
        <f t="array" ref="V919">IFERROR(AVERAGE(IF((DiscreteStatsTable[GroupByKey]=DiscreteStatsTable[[#This Row],[GroupByKey]]),(DiscreteStatsTable[GroupByKey]=DiscreteStatsTable[[#This Row],[GroupByKey]])*DiscreteStatsTable[NumberObservations])),0)</f>
        <v>794.36</v>
      </c>
      <c r="W919">
        <f>IF((DiscreteStatsTable[[#This Row],[RepsRequested]]&gt;1),DiscreteStatsTable[[#This Row],[HalfWidth]],DiscreteStatsTable[[#This Row],[BatchMeansHalfWidth]])</f>
        <v>3.1607369037235981E-2</v>
      </c>
      <c r="X919" cm="1">
        <f t="array" ref="X919">COUNT(IF((DiscreteStatsTable[GroupByKey]=DiscreteStatsTable[[#This Row],[GroupByKey]]),(DiscreteStatsTable[GroupByKey]=DiscreteStatsTable[[#This Row],[GroupByKey]])*DiscreteStatsTable[Replication]))</f>
        <v>50</v>
      </c>
      <c r="Y919">
        <f>IF(DiscreteStatsTable[[#This Row],[RepsRequested]]=DiscreteStatsTable[[#This Row],[RepsWithStatObserved]],1,0)</f>
        <v>1</v>
      </c>
    </row>
    <row r="920" spans="1:25" x14ac:dyDescent="0.25">
      <c r="A920" t="s">
        <v>68</v>
      </c>
      <c r="B920" t="s">
        <v>131</v>
      </c>
      <c r="C920">
        <v>19</v>
      </c>
      <c r="D920" t="s">
        <v>93</v>
      </c>
      <c r="E920" t="s">
        <v>89</v>
      </c>
      <c r="F920" t="s">
        <v>90</v>
      </c>
      <c r="G920">
        <v>1.1106583197795099</v>
      </c>
      <c r="H920">
        <v>0.16960477295850401</v>
      </c>
      <c r="I920">
        <v>0.35781173265149802</v>
      </c>
      <c r="J920">
        <v>5.8134234363688204</v>
      </c>
      <c r="K920">
        <v>780</v>
      </c>
      <c r="L920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20" cm="1">
        <f t="array" ref="M920">MAX(IF((ProjectInfoTable[ProjectName]=DiscreteStatsTable[[#This Row],[ProjectName]]),(ProjectInfoTable[ProjectName]=DiscreteStatsTable[[#This Row],[ProjectName]])*ProjectInfoTable[NumberOfReplications]))</f>
        <v>50</v>
      </c>
      <c r="N920" cm="1">
        <f t="array" ref="N920">IFERROR(AVERAGE(IF((DiscreteStatsTable[GroupByKey]=DiscreteStatsTable[[#This Row],[GroupByKey]]),(DiscreteStatsTable[GroupByKey]=DiscreteStatsTable[[#This Row],[GroupByKey]])*DiscreteStatsTable[Average])),0)</f>
        <v>1.1102466500497086</v>
      </c>
      <c r="O920" cm="1">
        <f t="array" ref="O920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20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20" cm="1">
        <f t="array" ref="R920">MIN(IF((DiscreteStatsTable[GroupByKey]=DiscreteStatsTable[[#This Row],[GroupByKey]]),(DiscreteStatsTable[GroupByKey]=DiscreteStatsTable[[#This Row],[GroupByKey]])*DiscreteStatsTable[Average]))</f>
        <v>0.96897044521179598</v>
      </c>
      <c r="S920" cm="1">
        <f t="array" ref="S920">MAX(IF((DiscreteStatsTable[GroupByKey]=DiscreteStatsTable[[#This Row],[GroupByKey]]),(DiscreteStatsTable[GroupByKey]=DiscreteStatsTable[[#This Row],[GroupByKey]])*DiscreteStatsTable[Average]))</f>
        <v>1.4337360021363801</v>
      </c>
      <c r="T920" cm="1">
        <f t="array" ref="T920">MIN(IF((DiscreteStatsTable[GroupByKey]=DiscreteStatsTable[[#This Row],[GroupByKey]]),(DiscreteStatsTable[GroupByKey]=DiscreteStatsTable[[#This Row],[GroupByKey]])*DiscreteStatsTable[Minimum]))</f>
        <v>0.31806625622363099</v>
      </c>
      <c r="U920" cm="1">
        <f t="array" ref="U920">MAX(IF((DiscreteStatsTable[GroupByKey]=DiscreteStatsTable[[#This Row],[GroupByKey]]),(DiscreteStatsTable[GroupByKey]=DiscreteStatsTable[[#This Row],[GroupByKey]])*DiscreteStatsTable[Maximum]))</f>
        <v>9.9062151562119993</v>
      </c>
      <c r="V920" cm="1">
        <f t="array" ref="V920">IFERROR(AVERAGE(IF((DiscreteStatsTable[GroupByKey]=DiscreteStatsTable[[#This Row],[GroupByKey]]),(DiscreteStatsTable[GroupByKey]=DiscreteStatsTable[[#This Row],[GroupByKey]])*DiscreteStatsTable[NumberObservations])),0)</f>
        <v>794.36</v>
      </c>
      <c r="W920">
        <f>IF((DiscreteStatsTable[[#This Row],[RepsRequested]]&gt;1),DiscreteStatsTable[[#This Row],[HalfWidth]],DiscreteStatsTable[[#This Row],[BatchMeansHalfWidth]])</f>
        <v>3.1607369037235981E-2</v>
      </c>
      <c r="X920" cm="1">
        <f t="array" ref="X920">COUNT(IF((DiscreteStatsTable[GroupByKey]=DiscreteStatsTable[[#This Row],[GroupByKey]]),(DiscreteStatsTable[GroupByKey]=DiscreteStatsTable[[#This Row],[GroupByKey]])*DiscreteStatsTable[Replication]))</f>
        <v>50</v>
      </c>
      <c r="Y920">
        <f>IF(DiscreteStatsTable[[#This Row],[RepsRequested]]=DiscreteStatsTable[[#This Row],[RepsWithStatObserved]],1,0)</f>
        <v>1</v>
      </c>
    </row>
    <row r="921" spans="1:25" x14ac:dyDescent="0.25">
      <c r="A921" t="s">
        <v>68</v>
      </c>
      <c r="B921" t="s">
        <v>131</v>
      </c>
      <c r="C921">
        <v>20</v>
      </c>
      <c r="D921" t="s">
        <v>93</v>
      </c>
      <c r="E921" t="s">
        <v>89</v>
      </c>
      <c r="F921" t="s">
        <v>90</v>
      </c>
      <c r="G921">
        <v>0.98235581603876798</v>
      </c>
      <c r="H921">
        <v>9.1252634836662905E-2</v>
      </c>
      <c r="I921">
        <v>0.34865090069160898</v>
      </c>
      <c r="J921">
        <v>4.8174424761253603</v>
      </c>
      <c r="K921">
        <v>789</v>
      </c>
      <c r="L921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21" cm="1">
        <f t="array" ref="M921">MAX(IF((ProjectInfoTable[ProjectName]=DiscreteStatsTable[[#This Row],[ProjectName]]),(ProjectInfoTable[ProjectName]=DiscreteStatsTable[[#This Row],[ProjectName]])*ProjectInfoTable[NumberOfReplications]))</f>
        <v>50</v>
      </c>
      <c r="N921" cm="1">
        <f t="array" ref="N921">IFERROR(AVERAGE(IF((DiscreteStatsTable[GroupByKey]=DiscreteStatsTable[[#This Row],[GroupByKey]]),(DiscreteStatsTable[GroupByKey]=DiscreteStatsTable[[#This Row],[GroupByKey]])*DiscreteStatsTable[Average])),0)</f>
        <v>1.1102466500497086</v>
      </c>
      <c r="O921" cm="1">
        <f t="array" ref="O921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21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21" cm="1">
        <f t="array" ref="R921">MIN(IF((DiscreteStatsTable[GroupByKey]=DiscreteStatsTable[[#This Row],[GroupByKey]]),(DiscreteStatsTable[GroupByKey]=DiscreteStatsTable[[#This Row],[GroupByKey]])*DiscreteStatsTable[Average]))</f>
        <v>0.96897044521179598</v>
      </c>
      <c r="S921" cm="1">
        <f t="array" ref="S921">MAX(IF((DiscreteStatsTable[GroupByKey]=DiscreteStatsTable[[#This Row],[GroupByKey]]),(DiscreteStatsTable[GroupByKey]=DiscreteStatsTable[[#This Row],[GroupByKey]])*DiscreteStatsTable[Average]))</f>
        <v>1.4337360021363801</v>
      </c>
      <c r="T921" cm="1">
        <f t="array" ref="T921">MIN(IF((DiscreteStatsTable[GroupByKey]=DiscreteStatsTable[[#This Row],[GroupByKey]]),(DiscreteStatsTable[GroupByKey]=DiscreteStatsTable[[#This Row],[GroupByKey]])*DiscreteStatsTable[Minimum]))</f>
        <v>0.31806625622363099</v>
      </c>
      <c r="U921" cm="1">
        <f t="array" ref="U921">MAX(IF((DiscreteStatsTable[GroupByKey]=DiscreteStatsTable[[#This Row],[GroupByKey]]),(DiscreteStatsTable[GroupByKey]=DiscreteStatsTable[[#This Row],[GroupByKey]])*DiscreteStatsTable[Maximum]))</f>
        <v>9.9062151562119993</v>
      </c>
      <c r="V921" cm="1">
        <f t="array" ref="V921">IFERROR(AVERAGE(IF((DiscreteStatsTable[GroupByKey]=DiscreteStatsTable[[#This Row],[GroupByKey]]),(DiscreteStatsTable[GroupByKey]=DiscreteStatsTable[[#This Row],[GroupByKey]])*DiscreteStatsTable[NumberObservations])),0)</f>
        <v>794.36</v>
      </c>
      <c r="W921">
        <f>IF((DiscreteStatsTable[[#This Row],[RepsRequested]]&gt;1),DiscreteStatsTable[[#This Row],[HalfWidth]],DiscreteStatsTable[[#This Row],[BatchMeansHalfWidth]])</f>
        <v>3.1607369037235981E-2</v>
      </c>
      <c r="X921" cm="1">
        <f t="array" ref="X921">COUNT(IF((DiscreteStatsTable[GroupByKey]=DiscreteStatsTable[[#This Row],[GroupByKey]]),(DiscreteStatsTable[GroupByKey]=DiscreteStatsTable[[#This Row],[GroupByKey]])*DiscreteStatsTable[Replication]))</f>
        <v>50</v>
      </c>
      <c r="Y921">
        <f>IF(DiscreteStatsTable[[#This Row],[RepsRequested]]=DiscreteStatsTable[[#This Row],[RepsWithStatObserved]],1,0)</f>
        <v>1</v>
      </c>
    </row>
    <row r="922" spans="1:25" x14ac:dyDescent="0.25">
      <c r="A922" t="s">
        <v>68</v>
      </c>
      <c r="B922" t="s">
        <v>131</v>
      </c>
      <c r="C922">
        <v>21</v>
      </c>
      <c r="D922" t="s">
        <v>93</v>
      </c>
      <c r="E922" t="s">
        <v>89</v>
      </c>
      <c r="F922" t="s">
        <v>90</v>
      </c>
      <c r="G922">
        <v>0.97990039911451099</v>
      </c>
      <c r="H922">
        <v>8.3666323730393899E-2</v>
      </c>
      <c r="I922">
        <v>0.35540743355022603</v>
      </c>
      <c r="J922">
        <v>4.5479572530917398</v>
      </c>
      <c r="K922">
        <v>736</v>
      </c>
      <c r="L922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22" cm="1">
        <f t="array" ref="M922">MAX(IF((ProjectInfoTable[ProjectName]=DiscreteStatsTable[[#This Row],[ProjectName]]),(ProjectInfoTable[ProjectName]=DiscreteStatsTable[[#This Row],[ProjectName]])*ProjectInfoTable[NumberOfReplications]))</f>
        <v>50</v>
      </c>
      <c r="N922" cm="1">
        <f t="array" ref="N922">IFERROR(AVERAGE(IF((DiscreteStatsTable[GroupByKey]=DiscreteStatsTable[[#This Row],[GroupByKey]]),(DiscreteStatsTable[GroupByKey]=DiscreteStatsTable[[#This Row],[GroupByKey]])*DiscreteStatsTable[Average])),0)</f>
        <v>1.1102466500497086</v>
      </c>
      <c r="O922" cm="1">
        <f t="array" ref="O922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22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22" cm="1">
        <f t="array" ref="R922">MIN(IF((DiscreteStatsTable[GroupByKey]=DiscreteStatsTable[[#This Row],[GroupByKey]]),(DiscreteStatsTable[GroupByKey]=DiscreteStatsTable[[#This Row],[GroupByKey]])*DiscreteStatsTable[Average]))</f>
        <v>0.96897044521179598</v>
      </c>
      <c r="S922" cm="1">
        <f t="array" ref="S922">MAX(IF((DiscreteStatsTable[GroupByKey]=DiscreteStatsTable[[#This Row],[GroupByKey]]),(DiscreteStatsTable[GroupByKey]=DiscreteStatsTable[[#This Row],[GroupByKey]])*DiscreteStatsTable[Average]))</f>
        <v>1.4337360021363801</v>
      </c>
      <c r="T922" cm="1">
        <f t="array" ref="T922">MIN(IF((DiscreteStatsTable[GroupByKey]=DiscreteStatsTable[[#This Row],[GroupByKey]]),(DiscreteStatsTable[GroupByKey]=DiscreteStatsTable[[#This Row],[GroupByKey]])*DiscreteStatsTable[Minimum]))</f>
        <v>0.31806625622363099</v>
      </c>
      <c r="U922" cm="1">
        <f t="array" ref="U922">MAX(IF((DiscreteStatsTable[GroupByKey]=DiscreteStatsTable[[#This Row],[GroupByKey]]),(DiscreteStatsTable[GroupByKey]=DiscreteStatsTable[[#This Row],[GroupByKey]])*DiscreteStatsTable[Maximum]))</f>
        <v>9.9062151562119993</v>
      </c>
      <c r="V922" cm="1">
        <f t="array" ref="V922">IFERROR(AVERAGE(IF((DiscreteStatsTable[GroupByKey]=DiscreteStatsTable[[#This Row],[GroupByKey]]),(DiscreteStatsTable[GroupByKey]=DiscreteStatsTable[[#This Row],[GroupByKey]])*DiscreteStatsTable[NumberObservations])),0)</f>
        <v>794.36</v>
      </c>
      <c r="W922">
        <f>IF((DiscreteStatsTable[[#This Row],[RepsRequested]]&gt;1),DiscreteStatsTable[[#This Row],[HalfWidth]],DiscreteStatsTable[[#This Row],[BatchMeansHalfWidth]])</f>
        <v>3.1607369037235981E-2</v>
      </c>
      <c r="X922" cm="1">
        <f t="array" ref="X922">COUNT(IF((DiscreteStatsTable[GroupByKey]=DiscreteStatsTable[[#This Row],[GroupByKey]]),(DiscreteStatsTable[GroupByKey]=DiscreteStatsTable[[#This Row],[GroupByKey]])*DiscreteStatsTable[Replication]))</f>
        <v>50</v>
      </c>
      <c r="Y922">
        <f>IF(DiscreteStatsTable[[#This Row],[RepsRequested]]=DiscreteStatsTable[[#This Row],[RepsWithStatObserved]],1,0)</f>
        <v>1</v>
      </c>
    </row>
    <row r="923" spans="1:25" x14ac:dyDescent="0.25">
      <c r="A923" t="s">
        <v>68</v>
      </c>
      <c r="B923" t="s">
        <v>131</v>
      </c>
      <c r="C923">
        <v>22</v>
      </c>
      <c r="D923" t="s">
        <v>93</v>
      </c>
      <c r="E923" t="s">
        <v>89</v>
      </c>
      <c r="F923" t="s">
        <v>90</v>
      </c>
      <c r="G923">
        <v>1.3298169675159801</v>
      </c>
      <c r="H923">
        <v>0.243067653022915</v>
      </c>
      <c r="I923">
        <v>0.341236500933363</v>
      </c>
      <c r="J923">
        <v>8.9896360774577602</v>
      </c>
      <c r="K923">
        <v>769</v>
      </c>
      <c r="L923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23" cm="1">
        <f t="array" ref="M923">MAX(IF((ProjectInfoTable[ProjectName]=DiscreteStatsTable[[#This Row],[ProjectName]]),(ProjectInfoTable[ProjectName]=DiscreteStatsTable[[#This Row],[ProjectName]])*ProjectInfoTable[NumberOfReplications]))</f>
        <v>50</v>
      </c>
      <c r="N923" cm="1">
        <f t="array" ref="N923">IFERROR(AVERAGE(IF((DiscreteStatsTable[GroupByKey]=DiscreteStatsTable[[#This Row],[GroupByKey]]),(DiscreteStatsTable[GroupByKey]=DiscreteStatsTable[[#This Row],[GroupByKey]])*DiscreteStatsTable[Average])),0)</f>
        <v>1.1102466500497086</v>
      </c>
      <c r="O923" cm="1">
        <f t="array" ref="O923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23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23" cm="1">
        <f t="array" ref="R923">MIN(IF((DiscreteStatsTable[GroupByKey]=DiscreteStatsTable[[#This Row],[GroupByKey]]),(DiscreteStatsTable[GroupByKey]=DiscreteStatsTable[[#This Row],[GroupByKey]])*DiscreteStatsTable[Average]))</f>
        <v>0.96897044521179598</v>
      </c>
      <c r="S923" cm="1">
        <f t="array" ref="S923">MAX(IF((DiscreteStatsTable[GroupByKey]=DiscreteStatsTable[[#This Row],[GroupByKey]]),(DiscreteStatsTable[GroupByKey]=DiscreteStatsTable[[#This Row],[GroupByKey]])*DiscreteStatsTable[Average]))</f>
        <v>1.4337360021363801</v>
      </c>
      <c r="T923" cm="1">
        <f t="array" ref="T923">MIN(IF((DiscreteStatsTable[GroupByKey]=DiscreteStatsTable[[#This Row],[GroupByKey]]),(DiscreteStatsTable[GroupByKey]=DiscreteStatsTable[[#This Row],[GroupByKey]])*DiscreteStatsTable[Minimum]))</f>
        <v>0.31806625622363099</v>
      </c>
      <c r="U923" cm="1">
        <f t="array" ref="U923">MAX(IF((DiscreteStatsTable[GroupByKey]=DiscreteStatsTable[[#This Row],[GroupByKey]]),(DiscreteStatsTable[GroupByKey]=DiscreteStatsTable[[#This Row],[GroupByKey]])*DiscreteStatsTable[Maximum]))</f>
        <v>9.9062151562119993</v>
      </c>
      <c r="V923" cm="1">
        <f t="array" ref="V923">IFERROR(AVERAGE(IF((DiscreteStatsTable[GroupByKey]=DiscreteStatsTable[[#This Row],[GroupByKey]]),(DiscreteStatsTable[GroupByKey]=DiscreteStatsTable[[#This Row],[GroupByKey]])*DiscreteStatsTable[NumberObservations])),0)</f>
        <v>794.36</v>
      </c>
      <c r="W923">
        <f>IF((DiscreteStatsTable[[#This Row],[RepsRequested]]&gt;1),DiscreteStatsTable[[#This Row],[HalfWidth]],DiscreteStatsTable[[#This Row],[BatchMeansHalfWidth]])</f>
        <v>3.1607369037235981E-2</v>
      </c>
      <c r="X923" cm="1">
        <f t="array" ref="X923">COUNT(IF((DiscreteStatsTable[GroupByKey]=DiscreteStatsTable[[#This Row],[GroupByKey]]),(DiscreteStatsTable[GroupByKey]=DiscreteStatsTable[[#This Row],[GroupByKey]])*DiscreteStatsTable[Replication]))</f>
        <v>50</v>
      </c>
      <c r="Y923">
        <f>IF(DiscreteStatsTable[[#This Row],[RepsRequested]]=DiscreteStatsTable[[#This Row],[RepsWithStatObserved]],1,0)</f>
        <v>1</v>
      </c>
    </row>
    <row r="924" spans="1:25" x14ac:dyDescent="0.25">
      <c r="A924" t="s">
        <v>68</v>
      </c>
      <c r="B924" t="s">
        <v>131</v>
      </c>
      <c r="C924">
        <v>23</v>
      </c>
      <c r="D924" t="s">
        <v>93</v>
      </c>
      <c r="E924" t="s">
        <v>89</v>
      </c>
      <c r="F924" t="s">
        <v>90</v>
      </c>
      <c r="G924">
        <v>1.11133672685725</v>
      </c>
      <c r="H924">
        <v>0.13916474755000399</v>
      </c>
      <c r="I924">
        <v>0.35865547303688999</v>
      </c>
      <c r="J924">
        <v>6.1748100176026801</v>
      </c>
      <c r="K924">
        <v>800</v>
      </c>
      <c r="L924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24" cm="1">
        <f t="array" ref="M924">MAX(IF((ProjectInfoTable[ProjectName]=DiscreteStatsTable[[#This Row],[ProjectName]]),(ProjectInfoTable[ProjectName]=DiscreteStatsTable[[#This Row],[ProjectName]])*ProjectInfoTable[NumberOfReplications]))</f>
        <v>50</v>
      </c>
      <c r="N924" cm="1">
        <f t="array" ref="N924">IFERROR(AVERAGE(IF((DiscreteStatsTable[GroupByKey]=DiscreteStatsTable[[#This Row],[GroupByKey]]),(DiscreteStatsTable[GroupByKey]=DiscreteStatsTable[[#This Row],[GroupByKey]])*DiscreteStatsTable[Average])),0)</f>
        <v>1.1102466500497086</v>
      </c>
      <c r="O924" cm="1">
        <f t="array" ref="O924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24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24" cm="1">
        <f t="array" ref="R924">MIN(IF((DiscreteStatsTable[GroupByKey]=DiscreteStatsTable[[#This Row],[GroupByKey]]),(DiscreteStatsTable[GroupByKey]=DiscreteStatsTable[[#This Row],[GroupByKey]])*DiscreteStatsTable[Average]))</f>
        <v>0.96897044521179598</v>
      </c>
      <c r="S924" cm="1">
        <f t="array" ref="S924">MAX(IF((DiscreteStatsTable[GroupByKey]=DiscreteStatsTable[[#This Row],[GroupByKey]]),(DiscreteStatsTable[GroupByKey]=DiscreteStatsTable[[#This Row],[GroupByKey]])*DiscreteStatsTable[Average]))</f>
        <v>1.4337360021363801</v>
      </c>
      <c r="T924" cm="1">
        <f t="array" ref="T924">MIN(IF((DiscreteStatsTable[GroupByKey]=DiscreteStatsTable[[#This Row],[GroupByKey]]),(DiscreteStatsTable[GroupByKey]=DiscreteStatsTable[[#This Row],[GroupByKey]])*DiscreteStatsTable[Minimum]))</f>
        <v>0.31806625622363099</v>
      </c>
      <c r="U924" cm="1">
        <f t="array" ref="U924">MAX(IF((DiscreteStatsTable[GroupByKey]=DiscreteStatsTable[[#This Row],[GroupByKey]]),(DiscreteStatsTable[GroupByKey]=DiscreteStatsTable[[#This Row],[GroupByKey]])*DiscreteStatsTable[Maximum]))</f>
        <v>9.9062151562119993</v>
      </c>
      <c r="V924" cm="1">
        <f t="array" ref="V924">IFERROR(AVERAGE(IF((DiscreteStatsTable[GroupByKey]=DiscreteStatsTable[[#This Row],[GroupByKey]]),(DiscreteStatsTable[GroupByKey]=DiscreteStatsTable[[#This Row],[GroupByKey]])*DiscreteStatsTable[NumberObservations])),0)</f>
        <v>794.36</v>
      </c>
      <c r="W924">
        <f>IF((DiscreteStatsTable[[#This Row],[RepsRequested]]&gt;1),DiscreteStatsTable[[#This Row],[HalfWidth]],DiscreteStatsTable[[#This Row],[BatchMeansHalfWidth]])</f>
        <v>3.1607369037235981E-2</v>
      </c>
      <c r="X924" cm="1">
        <f t="array" ref="X924">COUNT(IF((DiscreteStatsTable[GroupByKey]=DiscreteStatsTable[[#This Row],[GroupByKey]]),(DiscreteStatsTable[GroupByKey]=DiscreteStatsTable[[#This Row],[GroupByKey]])*DiscreteStatsTable[Replication]))</f>
        <v>50</v>
      </c>
      <c r="Y924">
        <f>IF(DiscreteStatsTable[[#This Row],[RepsRequested]]=DiscreteStatsTable[[#This Row],[RepsWithStatObserved]],1,0)</f>
        <v>1</v>
      </c>
    </row>
    <row r="925" spans="1:25" x14ac:dyDescent="0.25">
      <c r="A925" t="s">
        <v>68</v>
      </c>
      <c r="B925" t="s">
        <v>131</v>
      </c>
      <c r="C925">
        <v>24</v>
      </c>
      <c r="D925" t="s">
        <v>93</v>
      </c>
      <c r="E925" t="s">
        <v>89</v>
      </c>
      <c r="F925" t="s">
        <v>90</v>
      </c>
      <c r="G925">
        <v>1.3136085296759901</v>
      </c>
      <c r="H925">
        <v>3E+20</v>
      </c>
      <c r="I925">
        <v>0.339504066426628</v>
      </c>
      <c r="J925">
        <v>9.9062151562119993</v>
      </c>
      <c r="K925">
        <v>803</v>
      </c>
      <c r="L925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25" cm="1">
        <f t="array" ref="M925">MAX(IF((ProjectInfoTable[ProjectName]=DiscreteStatsTable[[#This Row],[ProjectName]]),(ProjectInfoTable[ProjectName]=DiscreteStatsTable[[#This Row],[ProjectName]])*ProjectInfoTable[NumberOfReplications]))</f>
        <v>50</v>
      </c>
      <c r="N925" cm="1">
        <f t="array" ref="N925">IFERROR(AVERAGE(IF((DiscreteStatsTable[GroupByKey]=DiscreteStatsTable[[#This Row],[GroupByKey]]),(DiscreteStatsTable[GroupByKey]=DiscreteStatsTable[[#This Row],[GroupByKey]])*DiscreteStatsTable[Average])),0)</f>
        <v>1.1102466500497086</v>
      </c>
      <c r="O925" cm="1">
        <f t="array" ref="O925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2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25" cm="1">
        <f t="array" ref="R925">MIN(IF((DiscreteStatsTable[GroupByKey]=DiscreteStatsTable[[#This Row],[GroupByKey]]),(DiscreteStatsTable[GroupByKey]=DiscreteStatsTable[[#This Row],[GroupByKey]])*DiscreteStatsTable[Average]))</f>
        <v>0.96897044521179598</v>
      </c>
      <c r="S925" cm="1">
        <f t="array" ref="S925">MAX(IF((DiscreteStatsTable[GroupByKey]=DiscreteStatsTable[[#This Row],[GroupByKey]]),(DiscreteStatsTable[GroupByKey]=DiscreteStatsTable[[#This Row],[GroupByKey]])*DiscreteStatsTable[Average]))</f>
        <v>1.4337360021363801</v>
      </c>
      <c r="T925" cm="1">
        <f t="array" ref="T925">MIN(IF((DiscreteStatsTable[GroupByKey]=DiscreteStatsTable[[#This Row],[GroupByKey]]),(DiscreteStatsTable[GroupByKey]=DiscreteStatsTable[[#This Row],[GroupByKey]])*DiscreteStatsTable[Minimum]))</f>
        <v>0.31806625622363099</v>
      </c>
      <c r="U925" cm="1">
        <f t="array" ref="U925">MAX(IF((DiscreteStatsTable[GroupByKey]=DiscreteStatsTable[[#This Row],[GroupByKey]]),(DiscreteStatsTable[GroupByKey]=DiscreteStatsTable[[#This Row],[GroupByKey]])*DiscreteStatsTable[Maximum]))</f>
        <v>9.9062151562119993</v>
      </c>
      <c r="V925" cm="1">
        <f t="array" ref="V925">IFERROR(AVERAGE(IF((DiscreteStatsTable[GroupByKey]=DiscreteStatsTable[[#This Row],[GroupByKey]]),(DiscreteStatsTable[GroupByKey]=DiscreteStatsTable[[#This Row],[GroupByKey]])*DiscreteStatsTable[NumberObservations])),0)</f>
        <v>794.36</v>
      </c>
      <c r="W925">
        <f>IF((DiscreteStatsTable[[#This Row],[RepsRequested]]&gt;1),DiscreteStatsTable[[#This Row],[HalfWidth]],DiscreteStatsTable[[#This Row],[BatchMeansHalfWidth]])</f>
        <v>3.1607369037235981E-2</v>
      </c>
      <c r="X925" cm="1">
        <f t="array" ref="X925">COUNT(IF((DiscreteStatsTable[GroupByKey]=DiscreteStatsTable[[#This Row],[GroupByKey]]),(DiscreteStatsTable[GroupByKey]=DiscreteStatsTable[[#This Row],[GroupByKey]])*DiscreteStatsTable[Replication]))</f>
        <v>50</v>
      </c>
      <c r="Y925">
        <f>IF(DiscreteStatsTable[[#This Row],[RepsRequested]]=DiscreteStatsTable[[#This Row],[RepsWithStatObserved]],1,0)</f>
        <v>1</v>
      </c>
    </row>
    <row r="926" spans="1:25" x14ac:dyDescent="0.25">
      <c r="A926" t="s">
        <v>68</v>
      </c>
      <c r="B926" t="s">
        <v>131</v>
      </c>
      <c r="C926">
        <v>25</v>
      </c>
      <c r="D926" t="s">
        <v>93</v>
      </c>
      <c r="E926" t="s">
        <v>89</v>
      </c>
      <c r="F926" t="s">
        <v>90</v>
      </c>
      <c r="G926">
        <v>1.3033822689319501</v>
      </c>
      <c r="H926">
        <v>0.206055743454756</v>
      </c>
      <c r="I926">
        <v>0.35373050594546401</v>
      </c>
      <c r="J926">
        <v>6.42723733766391</v>
      </c>
      <c r="K926">
        <v>820</v>
      </c>
      <c r="L926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26" cm="1">
        <f t="array" ref="M926">MAX(IF((ProjectInfoTable[ProjectName]=DiscreteStatsTable[[#This Row],[ProjectName]]),(ProjectInfoTable[ProjectName]=DiscreteStatsTable[[#This Row],[ProjectName]])*ProjectInfoTable[NumberOfReplications]))</f>
        <v>50</v>
      </c>
      <c r="N926" cm="1">
        <f t="array" ref="N926">IFERROR(AVERAGE(IF((DiscreteStatsTable[GroupByKey]=DiscreteStatsTable[[#This Row],[GroupByKey]]),(DiscreteStatsTable[GroupByKey]=DiscreteStatsTable[[#This Row],[GroupByKey]])*DiscreteStatsTable[Average])),0)</f>
        <v>1.1102466500497086</v>
      </c>
      <c r="O926" cm="1">
        <f t="array" ref="O926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26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26" cm="1">
        <f t="array" ref="R926">MIN(IF((DiscreteStatsTable[GroupByKey]=DiscreteStatsTable[[#This Row],[GroupByKey]]),(DiscreteStatsTable[GroupByKey]=DiscreteStatsTable[[#This Row],[GroupByKey]])*DiscreteStatsTable[Average]))</f>
        <v>0.96897044521179598</v>
      </c>
      <c r="S926" cm="1">
        <f t="array" ref="S926">MAX(IF((DiscreteStatsTable[GroupByKey]=DiscreteStatsTable[[#This Row],[GroupByKey]]),(DiscreteStatsTable[GroupByKey]=DiscreteStatsTable[[#This Row],[GroupByKey]])*DiscreteStatsTable[Average]))</f>
        <v>1.4337360021363801</v>
      </c>
      <c r="T926" cm="1">
        <f t="array" ref="T926">MIN(IF((DiscreteStatsTable[GroupByKey]=DiscreteStatsTable[[#This Row],[GroupByKey]]),(DiscreteStatsTable[GroupByKey]=DiscreteStatsTable[[#This Row],[GroupByKey]])*DiscreteStatsTable[Minimum]))</f>
        <v>0.31806625622363099</v>
      </c>
      <c r="U926" cm="1">
        <f t="array" ref="U926">MAX(IF((DiscreteStatsTable[GroupByKey]=DiscreteStatsTable[[#This Row],[GroupByKey]]),(DiscreteStatsTable[GroupByKey]=DiscreteStatsTable[[#This Row],[GroupByKey]])*DiscreteStatsTable[Maximum]))</f>
        <v>9.9062151562119993</v>
      </c>
      <c r="V926" cm="1">
        <f t="array" ref="V926">IFERROR(AVERAGE(IF((DiscreteStatsTable[GroupByKey]=DiscreteStatsTable[[#This Row],[GroupByKey]]),(DiscreteStatsTable[GroupByKey]=DiscreteStatsTable[[#This Row],[GroupByKey]])*DiscreteStatsTable[NumberObservations])),0)</f>
        <v>794.36</v>
      </c>
      <c r="W926">
        <f>IF((DiscreteStatsTable[[#This Row],[RepsRequested]]&gt;1),DiscreteStatsTable[[#This Row],[HalfWidth]],DiscreteStatsTable[[#This Row],[BatchMeansHalfWidth]])</f>
        <v>3.1607369037235981E-2</v>
      </c>
      <c r="X926" cm="1">
        <f t="array" ref="X926">COUNT(IF((DiscreteStatsTable[GroupByKey]=DiscreteStatsTable[[#This Row],[GroupByKey]]),(DiscreteStatsTable[GroupByKey]=DiscreteStatsTable[[#This Row],[GroupByKey]])*DiscreteStatsTable[Replication]))</f>
        <v>50</v>
      </c>
      <c r="Y926">
        <f>IF(DiscreteStatsTable[[#This Row],[RepsRequested]]=DiscreteStatsTable[[#This Row],[RepsWithStatObserved]],1,0)</f>
        <v>1</v>
      </c>
    </row>
    <row r="927" spans="1:25" x14ac:dyDescent="0.25">
      <c r="A927" t="s">
        <v>68</v>
      </c>
      <c r="B927" t="s">
        <v>131</v>
      </c>
      <c r="C927">
        <v>26</v>
      </c>
      <c r="D927" t="s">
        <v>93</v>
      </c>
      <c r="E927" t="s">
        <v>89</v>
      </c>
      <c r="F927" t="s">
        <v>90</v>
      </c>
      <c r="G927">
        <v>1.1105676991292901</v>
      </c>
      <c r="H927">
        <v>9.5395209849652204E-2</v>
      </c>
      <c r="I927">
        <v>0.32117102404231401</v>
      </c>
      <c r="J927">
        <v>7.2949912250162496</v>
      </c>
      <c r="K927">
        <v>758</v>
      </c>
      <c r="L927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27" cm="1">
        <f t="array" ref="M927">MAX(IF((ProjectInfoTable[ProjectName]=DiscreteStatsTable[[#This Row],[ProjectName]]),(ProjectInfoTable[ProjectName]=DiscreteStatsTable[[#This Row],[ProjectName]])*ProjectInfoTable[NumberOfReplications]))</f>
        <v>50</v>
      </c>
      <c r="N927" cm="1">
        <f t="array" ref="N927">IFERROR(AVERAGE(IF((DiscreteStatsTable[GroupByKey]=DiscreteStatsTable[[#This Row],[GroupByKey]]),(DiscreteStatsTable[GroupByKey]=DiscreteStatsTable[[#This Row],[GroupByKey]])*DiscreteStatsTable[Average])),0)</f>
        <v>1.1102466500497086</v>
      </c>
      <c r="O927" cm="1">
        <f t="array" ref="O927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27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27" cm="1">
        <f t="array" ref="R927">MIN(IF((DiscreteStatsTable[GroupByKey]=DiscreteStatsTable[[#This Row],[GroupByKey]]),(DiscreteStatsTable[GroupByKey]=DiscreteStatsTable[[#This Row],[GroupByKey]])*DiscreteStatsTable[Average]))</f>
        <v>0.96897044521179598</v>
      </c>
      <c r="S927" cm="1">
        <f t="array" ref="S927">MAX(IF((DiscreteStatsTable[GroupByKey]=DiscreteStatsTable[[#This Row],[GroupByKey]]),(DiscreteStatsTable[GroupByKey]=DiscreteStatsTable[[#This Row],[GroupByKey]])*DiscreteStatsTable[Average]))</f>
        <v>1.4337360021363801</v>
      </c>
      <c r="T927" cm="1">
        <f t="array" ref="T927">MIN(IF((DiscreteStatsTable[GroupByKey]=DiscreteStatsTable[[#This Row],[GroupByKey]]),(DiscreteStatsTable[GroupByKey]=DiscreteStatsTable[[#This Row],[GroupByKey]])*DiscreteStatsTable[Minimum]))</f>
        <v>0.31806625622363099</v>
      </c>
      <c r="U927" cm="1">
        <f t="array" ref="U927">MAX(IF((DiscreteStatsTable[GroupByKey]=DiscreteStatsTable[[#This Row],[GroupByKey]]),(DiscreteStatsTable[GroupByKey]=DiscreteStatsTable[[#This Row],[GroupByKey]])*DiscreteStatsTable[Maximum]))</f>
        <v>9.9062151562119993</v>
      </c>
      <c r="V927" cm="1">
        <f t="array" ref="V927">IFERROR(AVERAGE(IF((DiscreteStatsTable[GroupByKey]=DiscreteStatsTable[[#This Row],[GroupByKey]]),(DiscreteStatsTable[GroupByKey]=DiscreteStatsTable[[#This Row],[GroupByKey]])*DiscreteStatsTable[NumberObservations])),0)</f>
        <v>794.36</v>
      </c>
      <c r="W927">
        <f>IF((DiscreteStatsTable[[#This Row],[RepsRequested]]&gt;1),DiscreteStatsTable[[#This Row],[HalfWidth]],DiscreteStatsTable[[#This Row],[BatchMeansHalfWidth]])</f>
        <v>3.1607369037235981E-2</v>
      </c>
      <c r="X927" cm="1">
        <f t="array" ref="X927">COUNT(IF((DiscreteStatsTable[GroupByKey]=DiscreteStatsTable[[#This Row],[GroupByKey]]),(DiscreteStatsTable[GroupByKey]=DiscreteStatsTable[[#This Row],[GroupByKey]])*DiscreteStatsTable[Replication]))</f>
        <v>50</v>
      </c>
      <c r="Y927">
        <f>IF(DiscreteStatsTable[[#This Row],[RepsRequested]]=DiscreteStatsTable[[#This Row],[RepsWithStatObserved]],1,0)</f>
        <v>1</v>
      </c>
    </row>
    <row r="928" spans="1:25" x14ac:dyDescent="0.25">
      <c r="A928" t="s">
        <v>68</v>
      </c>
      <c r="B928" t="s">
        <v>131</v>
      </c>
      <c r="C928">
        <v>27</v>
      </c>
      <c r="D928" t="s">
        <v>93</v>
      </c>
      <c r="E928" t="s">
        <v>89</v>
      </c>
      <c r="F928" t="s">
        <v>90</v>
      </c>
      <c r="G928">
        <v>1.3085986416094699</v>
      </c>
      <c r="H928">
        <v>0.25832160279418198</v>
      </c>
      <c r="I928">
        <v>0.32014179808903998</v>
      </c>
      <c r="J928">
        <v>7.1221849369499104</v>
      </c>
      <c r="K928">
        <v>809</v>
      </c>
      <c r="L928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28" cm="1">
        <f t="array" ref="M928">MAX(IF((ProjectInfoTable[ProjectName]=DiscreteStatsTable[[#This Row],[ProjectName]]),(ProjectInfoTable[ProjectName]=DiscreteStatsTable[[#This Row],[ProjectName]])*ProjectInfoTable[NumberOfReplications]))</f>
        <v>50</v>
      </c>
      <c r="N928" cm="1">
        <f t="array" ref="N928">IFERROR(AVERAGE(IF((DiscreteStatsTable[GroupByKey]=DiscreteStatsTable[[#This Row],[GroupByKey]]),(DiscreteStatsTable[GroupByKey]=DiscreteStatsTable[[#This Row],[GroupByKey]])*DiscreteStatsTable[Average])),0)</f>
        <v>1.1102466500497086</v>
      </c>
      <c r="O928" cm="1">
        <f t="array" ref="O928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28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28" cm="1">
        <f t="array" ref="R928">MIN(IF((DiscreteStatsTable[GroupByKey]=DiscreteStatsTable[[#This Row],[GroupByKey]]),(DiscreteStatsTable[GroupByKey]=DiscreteStatsTable[[#This Row],[GroupByKey]])*DiscreteStatsTable[Average]))</f>
        <v>0.96897044521179598</v>
      </c>
      <c r="S928" cm="1">
        <f t="array" ref="S928">MAX(IF((DiscreteStatsTable[GroupByKey]=DiscreteStatsTable[[#This Row],[GroupByKey]]),(DiscreteStatsTable[GroupByKey]=DiscreteStatsTable[[#This Row],[GroupByKey]])*DiscreteStatsTable[Average]))</f>
        <v>1.4337360021363801</v>
      </c>
      <c r="T928" cm="1">
        <f t="array" ref="T928">MIN(IF((DiscreteStatsTable[GroupByKey]=DiscreteStatsTable[[#This Row],[GroupByKey]]),(DiscreteStatsTable[GroupByKey]=DiscreteStatsTable[[#This Row],[GroupByKey]])*DiscreteStatsTable[Minimum]))</f>
        <v>0.31806625622363099</v>
      </c>
      <c r="U928" cm="1">
        <f t="array" ref="U928">MAX(IF((DiscreteStatsTable[GroupByKey]=DiscreteStatsTable[[#This Row],[GroupByKey]]),(DiscreteStatsTable[GroupByKey]=DiscreteStatsTable[[#This Row],[GroupByKey]])*DiscreteStatsTable[Maximum]))</f>
        <v>9.9062151562119993</v>
      </c>
      <c r="V928" cm="1">
        <f t="array" ref="V928">IFERROR(AVERAGE(IF((DiscreteStatsTable[GroupByKey]=DiscreteStatsTable[[#This Row],[GroupByKey]]),(DiscreteStatsTable[GroupByKey]=DiscreteStatsTable[[#This Row],[GroupByKey]])*DiscreteStatsTable[NumberObservations])),0)</f>
        <v>794.36</v>
      </c>
      <c r="W928">
        <f>IF((DiscreteStatsTable[[#This Row],[RepsRequested]]&gt;1),DiscreteStatsTable[[#This Row],[HalfWidth]],DiscreteStatsTable[[#This Row],[BatchMeansHalfWidth]])</f>
        <v>3.1607369037235981E-2</v>
      </c>
      <c r="X928" cm="1">
        <f t="array" ref="X928">COUNT(IF((DiscreteStatsTable[GroupByKey]=DiscreteStatsTable[[#This Row],[GroupByKey]]),(DiscreteStatsTable[GroupByKey]=DiscreteStatsTable[[#This Row],[GroupByKey]])*DiscreteStatsTable[Replication]))</f>
        <v>50</v>
      </c>
      <c r="Y928">
        <f>IF(DiscreteStatsTable[[#This Row],[RepsRequested]]=DiscreteStatsTable[[#This Row],[RepsWithStatObserved]],1,0)</f>
        <v>1</v>
      </c>
    </row>
    <row r="929" spans="1:25" x14ac:dyDescent="0.25">
      <c r="A929" t="s">
        <v>68</v>
      </c>
      <c r="B929" t="s">
        <v>131</v>
      </c>
      <c r="C929">
        <v>28</v>
      </c>
      <c r="D929" t="s">
        <v>93</v>
      </c>
      <c r="E929" t="s">
        <v>89</v>
      </c>
      <c r="F929" t="s">
        <v>90</v>
      </c>
      <c r="G929">
        <v>1.14737515434433</v>
      </c>
      <c r="H929">
        <v>0.13970682290702099</v>
      </c>
      <c r="I929">
        <v>0.36066275189392599</v>
      </c>
      <c r="J929">
        <v>7.4779027571021297</v>
      </c>
      <c r="K929">
        <v>773</v>
      </c>
      <c r="L929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29" cm="1">
        <f t="array" ref="M929">MAX(IF((ProjectInfoTable[ProjectName]=DiscreteStatsTable[[#This Row],[ProjectName]]),(ProjectInfoTable[ProjectName]=DiscreteStatsTable[[#This Row],[ProjectName]])*ProjectInfoTable[NumberOfReplications]))</f>
        <v>50</v>
      </c>
      <c r="N929" cm="1">
        <f t="array" ref="N929">IFERROR(AVERAGE(IF((DiscreteStatsTable[GroupByKey]=DiscreteStatsTable[[#This Row],[GroupByKey]]),(DiscreteStatsTable[GroupByKey]=DiscreteStatsTable[[#This Row],[GroupByKey]])*DiscreteStatsTable[Average])),0)</f>
        <v>1.1102466500497086</v>
      </c>
      <c r="O929" cm="1">
        <f t="array" ref="O929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29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29" cm="1">
        <f t="array" ref="R929">MIN(IF((DiscreteStatsTable[GroupByKey]=DiscreteStatsTable[[#This Row],[GroupByKey]]),(DiscreteStatsTable[GroupByKey]=DiscreteStatsTable[[#This Row],[GroupByKey]])*DiscreteStatsTable[Average]))</f>
        <v>0.96897044521179598</v>
      </c>
      <c r="S929" cm="1">
        <f t="array" ref="S929">MAX(IF((DiscreteStatsTable[GroupByKey]=DiscreteStatsTable[[#This Row],[GroupByKey]]),(DiscreteStatsTable[GroupByKey]=DiscreteStatsTable[[#This Row],[GroupByKey]])*DiscreteStatsTable[Average]))</f>
        <v>1.4337360021363801</v>
      </c>
      <c r="T929" cm="1">
        <f t="array" ref="T929">MIN(IF((DiscreteStatsTable[GroupByKey]=DiscreteStatsTable[[#This Row],[GroupByKey]]),(DiscreteStatsTable[GroupByKey]=DiscreteStatsTable[[#This Row],[GroupByKey]])*DiscreteStatsTable[Minimum]))</f>
        <v>0.31806625622363099</v>
      </c>
      <c r="U929" cm="1">
        <f t="array" ref="U929">MAX(IF((DiscreteStatsTable[GroupByKey]=DiscreteStatsTable[[#This Row],[GroupByKey]]),(DiscreteStatsTable[GroupByKey]=DiscreteStatsTable[[#This Row],[GroupByKey]])*DiscreteStatsTable[Maximum]))</f>
        <v>9.9062151562119993</v>
      </c>
      <c r="V929" cm="1">
        <f t="array" ref="V929">IFERROR(AVERAGE(IF((DiscreteStatsTable[GroupByKey]=DiscreteStatsTable[[#This Row],[GroupByKey]]),(DiscreteStatsTable[GroupByKey]=DiscreteStatsTable[[#This Row],[GroupByKey]])*DiscreteStatsTable[NumberObservations])),0)</f>
        <v>794.36</v>
      </c>
      <c r="W929">
        <f>IF((DiscreteStatsTable[[#This Row],[RepsRequested]]&gt;1),DiscreteStatsTable[[#This Row],[HalfWidth]],DiscreteStatsTable[[#This Row],[BatchMeansHalfWidth]])</f>
        <v>3.1607369037235981E-2</v>
      </c>
      <c r="X929" cm="1">
        <f t="array" ref="X929">COUNT(IF((DiscreteStatsTable[GroupByKey]=DiscreteStatsTable[[#This Row],[GroupByKey]]),(DiscreteStatsTable[GroupByKey]=DiscreteStatsTable[[#This Row],[GroupByKey]])*DiscreteStatsTable[Replication]))</f>
        <v>50</v>
      </c>
      <c r="Y929">
        <f>IF(DiscreteStatsTable[[#This Row],[RepsRequested]]=DiscreteStatsTable[[#This Row],[RepsWithStatObserved]],1,0)</f>
        <v>1</v>
      </c>
    </row>
    <row r="930" spans="1:25" x14ac:dyDescent="0.25">
      <c r="A930" t="s">
        <v>68</v>
      </c>
      <c r="B930" t="s">
        <v>131</v>
      </c>
      <c r="C930">
        <v>29</v>
      </c>
      <c r="D930" t="s">
        <v>93</v>
      </c>
      <c r="E930" t="s">
        <v>89</v>
      </c>
      <c r="F930" t="s">
        <v>90</v>
      </c>
      <c r="G930">
        <v>1.1142713344130999</v>
      </c>
      <c r="H930">
        <v>0.168851721493605</v>
      </c>
      <c r="I930">
        <v>0.39888939026721498</v>
      </c>
      <c r="J930">
        <v>5.6361267053417201</v>
      </c>
      <c r="K930">
        <v>784</v>
      </c>
      <c r="L930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30" cm="1">
        <f t="array" ref="M930">MAX(IF((ProjectInfoTable[ProjectName]=DiscreteStatsTable[[#This Row],[ProjectName]]),(ProjectInfoTable[ProjectName]=DiscreteStatsTable[[#This Row],[ProjectName]])*ProjectInfoTable[NumberOfReplications]))</f>
        <v>50</v>
      </c>
      <c r="N930" cm="1">
        <f t="array" ref="N930">IFERROR(AVERAGE(IF((DiscreteStatsTable[GroupByKey]=DiscreteStatsTable[[#This Row],[GroupByKey]]),(DiscreteStatsTable[GroupByKey]=DiscreteStatsTable[[#This Row],[GroupByKey]])*DiscreteStatsTable[Average])),0)</f>
        <v>1.1102466500497086</v>
      </c>
      <c r="O930" cm="1">
        <f t="array" ref="O930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30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30" cm="1">
        <f t="array" ref="R930">MIN(IF((DiscreteStatsTable[GroupByKey]=DiscreteStatsTable[[#This Row],[GroupByKey]]),(DiscreteStatsTable[GroupByKey]=DiscreteStatsTable[[#This Row],[GroupByKey]])*DiscreteStatsTable[Average]))</f>
        <v>0.96897044521179598</v>
      </c>
      <c r="S930" cm="1">
        <f t="array" ref="S930">MAX(IF((DiscreteStatsTable[GroupByKey]=DiscreteStatsTable[[#This Row],[GroupByKey]]),(DiscreteStatsTable[GroupByKey]=DiscreteStatsTable[[#This Row],[GroupByKey]])*DiscreteStatsTable[Average]))</f>
        <v>1.4337360021363801</v>
      </c>
      <c r="T930" cm="1">
        <f t="array" ref="T930">MIN(IF((DiscreteStatsTable[GroupByKey]=DiscreteStatsTable[[#This Row],[GroupByKey]]),(DiscreteStatsTable[GroupByKey]=DiscreteStatsTable[[#This Row],[GroupByKey]])*DiscreteStatsTable[Minimum]))</f>
        <v>0.31806625622363099</v>
      </c>
      <c r="U930" cm="1">
        <f t="array" ref="U930">MAX(IF((DiscreteStatsTable[GroupByKey]=DiscreteStatsTable[[#This Row],[GroupByKey]]),(DiscreteStatsTable[GroupByKey]=DiscreteStatsTable[[#This Row],[GroupByKey]])*DiscreteStatsTable[Maximum]))</f>
        <v>9.9062151562119993</v>
      </c>
      <c r="V930" cm="1">
        <f t="array" ref="V930">IFERROR(AVERAGE(IF((DiscreteStatsTable[GroupByKey]=DiscreteStatsTable[[#This Row],[GroupByKey]]),(DiscreteStatsTable[GroupByKey]=DiscreteStatsTable[[#This Row],[GroupByKey]])*DiscreteStatsTable[NumberObservations])),0)</f>
        <v>794.36</v>
      </c>
      <c r="W930">
        <f>IF((DiscreteStatsTable[[#This Row],[RepsRequested]]&gt;1),DiscreteStatsTable[[#This Row],[HalfWidth]],DiscreteStatsTable[[#This Row],[BatchMeansHalfWidth]])</f>
        <v>3.1607369037235981E-2</v>
      </c>
      <c r="X930" cm="1">
        <f t="array" ref="X930">COUNT(IF((DiscreteStatsTable[GroupByKey]=DiscreteStatsTable[[#This Row],[GroupByKey]]),(DiscreteStatsTable[GroupByKey]=DiscreteStatsTable[[#This Row],[GroupByKey]])*DiscreteStatsTable[Replication]))</f>
        <v>50</v>
      </c>
      <c r="Y930">
        <f>IF(DiscreteStatsTable[[#This Row],[RepsRequested]]=DiscreteStatsTable[[#This Row],[RepsWithStatObserved]],1,0)</f>
        <v>1</v>
      </c>
    </row>
    <row r="931" spans="1:25" x14ac:dyDescent="0.25">
      <c r="A931" t="s">
        <v>68</v>
      </c>
      <c r="B931" t="s">
        <v>131</v>
      </c>
      <c r="C931">
        <v>30</v>
      </c>
      <c r="D931" t="s">
        <v>93</v>
      </c>
      <c r="E931" t="s">
        <v>89</v>
      </c>
      <c r="F931" t="s">
        <v>90</v>
      </c>
      <c r="G931">
        <v>1.1494497350930799</v>
      </c>
      <c r="H931">
        <v>0.181693847878593</v>
      </c>
      <c r="I931">
        <v>0.352409343809029</v>
      </c>
      <c r="J931">
        <v>8.0359334712708694</v>
      </c>
      <c r="K931">
        <v>788</v>
      </c>
      <c r="L931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31" cm="1">
        <f t="array" ref="M931">MAX(IF((ProjectInfoTable[ProjectName]=DiscreteStatsTable[[#This Row],[ProjectName]]),(ProjectInfoTable[ProjectName]=DiscreteStatsTable[[#This Row],[ProjectName]])*ProjectInfoTable[NumberOfReplications]))</f>
        <v>50</v>
      </c>
      <c r="N931" cm="1">
        <f t="array" ref="N931">IFERROR(AVERAGE(IF((DiscreteStatsTable[GroupByKey]=DiscreteStatsTable[[#This Row],[GroupByKey]]),(DiscreteStatsTable[GroupByKey]=DiscreteStatsTable[[#This Row],[GroupByKey]])*DiscreteStatsTable[Average])),0)</f>
        <v>1.1102466500497086</v>
      </c>
      <c r="O931" cm="1">
        <f t="array" ref="O931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31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31" cm="1">
        <f t="array" ref="R931">MIN(IF((DiscreteStatsTable[GroupByKey]=DiscreteStatsTable[[#This Row],[GroupByKey]]),(DiscreteStatsTable[GroupByKey]=DiscreteStatsTable[[#This Row],[GroupByKey]])*DiscreteStatsTable[Average]))</f>
        <v>0.96897044521179598</v>
      </c>
      <c r="S931" cm="1">
        <f t="array" ref="S931">MAX(IF((DiscreteStatsTable[GroupByKey]=DiscreteStatsTable[[#This Row],[GroupByKey]]),(DiscreteStatsTable[GroupByKey]=DiscreteStatsTable[[#This Row],[GroupByKey]])*DiscreteStatsTable[Average]))</f>
        <v>1.4337360021363801</v>
      </c>
      <c r="T931" cm="1">
        <f t="array" ref="T931">MIN(IF((DiscreteStatsTable[GroupByKey]=DiscreteStatsTable[[#This Row],[GroupByKey]]),(DiscreteStatsTable[GroupByKey]=DiscreteStatsTable[[#This Row],[GroupByKey]])*DiscreteStatsTable[Minimum]))</f>
        <v>0.31806625622363099</v>
      </c>
      <c r="U931" cm="1">
        <f t="array" ref="U931">MAX(IF((DiscreteStatsTable[GroupByKey]=DiscreteStatsTable[[#This Row],[GroupByKey]]),(DiscreteStatsTable[GroupByKey]=DiscreteStatsTable[[#This Row],[GroupByKey]])*DiscreteStatsTable[Maximum]))</f>
        <v>9.9062151562119993</v>
      </c>
      <c r="V931" cm="1">
        <f t="array" ref="V931">IFERROR(AVERAGE(IF((DiscreteStatsTable[GroupByKey]=DiscreteStatsTable[[#This Row],[GroupByKey]]),(DiscreteStatsTable[GroupByKey]=DiscreteStatsTable[[#This Row],[GroupByKey]])*DiscreteStatsTable[NumberObservations])),0)</f>
        <v>794.36</v>
      </c>
      <c r="W931">
        <f>IF((DiscreteStatsTable[[#This Row],[RepsRequested]]&gt;1),DiscreteStatsTable[[#This Row],[HalfWidth]],DiscreteStatsTable[[#This Row],[BatchMeansHalfWidth]])</f>
        <v>3.1607369037235981E-2</v>
      </c>
      <c r="X931" cm="1">
        <f t="array" ref="X931">COUNT(IF((DiscreteStatsTable[GroupByKey]=DiscreteStatsTable[[#This Row],[GroupByKey]]),(DiscreteStatsTable[GroupByKey]=DiscreteStatsTable[[#This Row],[GroupByKey]])*DiscreteStatsTable[Replication]))</f>
        <v>50</v>
      </c>
      <c r="Y931">
        <f>IF(DiscreteStatsTable[[#This Row],[RepsRequested]]=DiscreteStatsTable[[#This Row],[RepsWithStatObserved]],1,0)</f>
        <v>1</v>
      </c>
    </row>
    <row r="932" spans="1:25" x14ac:dyDescent="0.25">
      <c r="A932" t="s">
        <v>68</v>
      </c>
      <c r="B932" t="s">
        <v>131</v>
      </c>
      <c r="C932">
        <v>31</v>
      </c>
      <c r="D932" t="s">
        <v>93</v>
      </c>
      <c r="E932" t="s">
        <v>89</v>
      </c>
      <c r="F932" t="s">
        <v>90</v>
      </c>
      <c r="G932">
        <v>0.99499076375561002</v>
      </c>
      <c r="H932">
        <v>8.3388720434108998E-2</v>
      </c>
      <c r="I932">
        <v>0.34244475774299599</v>
      </c>
      <c r="J932">
        <v>4.8182596534439304</v>
      </c>
      <c r="K932">
        <v>782</v>
      </c>
      <c r="L932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32" cm="1">
        <f t="array" ref="M932">MAX(IF((ProjectInfoTable[ProjectName]=DiscreteStatsTable[[#This Row],[ProjectName]]),(ProjectInfoTable[ProjectName]=DiscreteStatsTable[[#This Row],[ProjectName]])*ProjectInfoTable[NumberOfReplications]))</f>
        <v>50</v>
      </c>
      <c r="N932" cm="1">
        <f t="array" ref="N932">IFERROR(AVERAGE(IF((DiscreteStatsTable[GroupByKey]=DiscreteStatsTable[[#This Row],[GroupByKey]]),(DiscreteStatsTable[GroupByKey]=DiscreteStatsTable[[#This Row],[GroupByKey]])*DiscreteStatsTable[Average])),0)</f>
        <v>1.1102466500497086</v>
      </c>
      <c r="O932" cm="1">
        <f t="array" ref="O932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32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32" cm="1">
        <f t="array" ref="R932">MIN(IF((DiscreteStatsTable[GroupByKey]=DiscreteStatsTable[[#This Row],[GroupByKey]]),(DiscreteStatsTable[GroupByKey]=DiscreteStatsTable[[#This Row],[GroupByKey]])*DiscreteStatsTable[Average]))</f>
        <v>0.96897044521179598</v>
      </c>
      <c r="S932" cm="1">
        <f t="array" ref="S932">MAX(IF((DiscreteStatsTable[GroupByKey]=DiscreteStatsTable[[#This Row],[GroupByKey]]),(DiscreteStatsTable[GroupByKey]=DiscreteStatsTable[[#This Row],[GroupByKey]])*DiscreteStatsTable[Average]))</f>
        <v>1.4337360021363801</v>
      </c>
      <c r="T932" cm="1">
        <f t="array" ref="T932">MIN(IF((DiscreteStatsTable[GroupByKey]=DiscreteStatsTable[[#This Row],[GroupByKey]]),(DiscreteStatsTable[GroupByKey]=DiscreteStatsTable[[#This Row],[GroupByKey]])*DiscreteStatsTable[Minimum]))</f>
        <v>0.31806625622363099</v>
      </c>
      <c r="U932" cm="1">
        <f t="array" ref="U932">MAX(IF((DiscreteStatsTable[GroupByKey]=DiscreteStatsTable[[#This Row],[GroupByKey]]),(DiscreteStatsTable[GroupByKey]=DiscreteStatsTable[[#This Row],[GroupByKey]])*DiscreteStatsTable[Maximum]))</f>
        <v>9.9062151562119993</v>
      </c>
      <c r="V932" cm="1">
        <f t="array" ref="V932">IFERROR(AVERAGE(IF((DiscreteStatsTable[GroupByKey]=DiscreteStatsTable[[#This Row],[GroupByKey]]),(DiscreteStatsTable[GroupByKey]=DiscreteStatsTable[[#This Row],[GroupByKey]])*DiscreteStatsTable[NumberObservations])),0)</f>
        <v>794.36</v>
      </c>
      <c r="W932">
        <f>IF((DiscreteStatsTable[[#This Row],[RepsRequested]]&gt;1),DiscreteStatsTable[[#This Row],[HalfWidth]],DiscreteStatsTable[[#This Row],[BatchMeansHalfWidth]])</f>
        <v>3.1607369037235981E-2</v>
      </c>
      <c r="X932" cm="1">
        <f t="array" ref="X932">COUNT(IF((DiscreteStatsTable[GroupByKey]=DiscreteStatsTable[[#This Row],[GroupByKey]]),(DiscreteStatsTable[GroupByKey]=DiscreteStatsTable[[#This Row],[GroupByKey]])*DiscreteStatsTable[Replication]))</f>
        <v>50</v>
      </c>
      <c r="Y932">
        <f>IF(DiscreteStatsTable[[#This Row],[RepsRequested]]=DiscreteStatsTable[[#This Row],[RepsWithStatObserved]],1,0)</f>
        <v>1</v>
      </c>
    </row>
    <row r="933" spans="1:25" x14ac:dyDescent="0.25">
      <c r="A933" t="s">
        <v>68</v>
      </c>
      <c r="B933" t="s">
        <v>131</v>
      </c>
      <c r="C933">
        <v>32</v>
      </c>
      <c r="D933" t="s">
        <v>93</v>
      </c>
      <c r="E933" t="s">
        <v>89</v>
      </c>
      <c r="F933" t="s">
        <v>90</v>
      </c>
      <c r="G933">
        <v>1.05906642991735</v>
      </c>
      <c r="H933">
        <v>0.105470019775516</v>
      </c>
      <c r="I933">
        <v>0.35998986535105398</v>
      </c>
      <c r="J933">
        <v>5.4847075395336402</v>
      </c>
      <c r="K933">
        <v>777</v>
      </c>
      <c r="L933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33" cm="1">
        <f t="array" ref="M933">MAX(IF((ProjectInfoTable[ProjectName]=DiscreteStatsTable[[#This Row],[ProjectName]]),(ProjectInfoTable[ProjectName]=DiscreteStatsTable[[#This Row],[ProjectName]])*ProjectInfoTable[NumberOfReplications]))</f>
        <v>50</v>
      </c>
      <c r="N933" cm="1">
        <f t="array" ref="N933">IFERROR(AVERAGE(IF((DiscreteStatsTable[GroupByKey]=DiscreteStatsTable[[#This Row],[GroupByKey]]),(DiscreteStatsTable[GroupByKey]=DiscreteStatsTable[[#This Row],[GroupByKey]])*DiscreteStatsTable[Average])),0)</f>
        <v>1.1102466500497086</v>
      </c>
      <c r="O933" cm="1">
        <f t="array" ref="O933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33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33" cm="1">
        <f t="array" ref="R933">MIN(IF((DiscreteStatsTable[GroupByKey]=DiscreteStatsTable[[#This Row],[GroupByKey]]),(DiscreteStatsTable[GroupByKey]=DiscreteStatsTable[[#This Row],[GroupByKey]])*DiscreteStatsTable[Average]))</f>
        <v>0.96897044521179598</v>
      </c>
      <c r="S933" cm="1">
        <f t="array" ref="S933">MAX(IF((DiscreteStatsTable[GroupByKey]=DiscreteStatsTable[[#This Row],[GroupByKey]]),(DiscreteStatsTable[GroupByKey]=DiscreteStatsTable[[#This Row],[GroupByKey]])*DiscreteStatsTable[Average]))</f>
        <v>1.4337360021363801</v>
      </c>
      <c r="T933" cm="1">
        <f t="array" ref="T933">MIN(IF((DiscreteStatsTable[GroupByKey]=DiscreteStatsTable[[#This Row],[GroupByKey]]),(DiscreteStatsTable[GroupByKey]=DiscreteStatsTable[[#This Row],[GroupByKey]])*DiscreteStatsTable[Minimum]))</f>
        <v>0.31806625622363099</v>
      </c>
      <c r="U933" cm="1">
        <f t="array" ref="U933">MAX(IF((DiscreteStatsTable[GroupByKey]=DiscreteStatsTable[[#This Row],[GroupByKey]]),(DiscreteStatsTable[GroupByKey]=DiscreteStatsTable[[#This Row],[GroupByKey]])*DiscreteStatsTable[Maximum]))</f>
        <v>9.9062151562119993</v>
      </c>
      <c r="V933" cm="1">
        <f t="array" ref="V933">IFERROR(AVERAGE(IF((DiscreteStatsTable[GroupByKey]=DiscreteStatsTable[[#This Row],[GroupByKey]]),(DiscreteStatsTable[GroupByKey]=DiscreteStatsTable[[#This Row],[GroupByKey]])*DiscreteStatsTable[NumberObservations])),0)</f>
        <v>794.36</v>
      </c>
      <c r="W933">
        <f>IF((DiscreteStatsTable[[#This Row],[RepsRequested]]&gt;1),DiscreteStatsTable[[#This Row],[HalfWidth]],DiscreteStatsTable[[#This Row],[BatchMeansHalfWidth]])</f>
        <v>3.1607369037235981E-2</v>
      </c>
      <c r="X933" cm="1">
        <f t="array" ref="X933">COUNT(IF((DiscreteStatsTable[GroupByKey]=DiscreteStatsTable[[#This Row],[GroupByKey]]),(DiscreteStatsTable[GroupByKey]=DiscreteStatsTable[[#This Row],[GroupByKey]])*DiscreteStatsTable[Replication]))</f>
        <v>50</v>
      </c>
      <c r="Y933">
        <f>IF(DiscreteStatsTable[[#This Row],[RepsRequested]]=DiscreteStatsTable[[#This Row],[RepsWithStatObserved]],1,0)</f>
        <v>1</v>
      </c>
    </row>
    <row r="934" spans="1:25" x14ac:dyDescent="0.25">
      <c r="A934" t="s">
        <v>68</v>
      </c>
      <c r="B934" t="s">
        <v>131</v>
      </c>
      <c r="C934">
        <v>33</v>
      </c>
      <c r="D934" t="s">
        <v>93</v>
      </c>
      <c r="E934" t="s">
        <v>89</v>
      </c>
      <c r="F934" t="s">
        <v>90</v>
      </c>
      <c r="G934">
        <v>1.06472571821952</v>
      </c>
      <c r="H934">
        <v>0.11346181696379599</v>
      </c>
      <c r="I934">
        <v>0.38047297581817902</v>
      </c>
      <c r="J934">
        <v>6.80749781378017</v>
      </c>
      <c r="K934">
        <v>776</v>
      </c>
      <c r="L934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34" cm="1">
        <f t="array" ref="M934">MAX(IF((ProjectInfoTable[ProjectName]=DiscreteStatsTable[[#This Row],[ProjectName]]),(ProjectInfoTable[ProjectName]=DiscreteStatsTable[[#This Row],[ProjectName]])*ProjectInfoTable[NumberOfReplications]))</f>
        <v>50</v>
      </c>
      <c r="N934" cm="1">
        <f t="array" ref="N934">IFERROR(AVERAGE(IF((DiscreteStatsTable[GroupByKey]=DiscreteStatsTable[[#This Row],[GroupByKey]]),(DiscreteStatsTable[GroupByKey]=DiscreteStatsTable[[#This Row],[GroupByKey]])*DiscreteStatsTable[Average])),0)</f>
        <v>1.1102466500497086</v>
      </c>
      <c r="O934" cm="1">
        <f t="array" ref="O934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34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34" cm="1">
        <f t="array" ref="R934">MIN(IF((DiscreteStatsTable[GroupByKey]=DiscreteStatsTable[[#This Row],[GroupByKey]]),(DiscreteStatsTable[GroupByKey]=DiscreteStatsTable[[#This Row],[GroupByKey]])*DiscreteStatsTable[Average]))</f>
        <v>0.96897044521179598</v>
      </c>
      <c r="S934" cm="1">
        <f t="array" ref="S934">MAX(IF((DiscreteStatsTable[GroupByKey]=DiscreteStatsTable[[#This Row],[GroupByKey]]),(DiscreteStatsTable[GroupByKey]=DiscreteStatsTable[[#This Row],[GroupByKey]])*DiscreteStatsTable[Average]))</f>
        <v>1.4337360021363801</v>
      </c>
      <c r="T934" cm="1">
        <f t="array" ref="T934">MIN(IF((DiscreteStatsTable[GroupByKey]=DiscreteStatsTable[[#This Row],[GroupByKey]]),(DiscreteStatsTable[GroupByKey]=DiscreteStatsTable[[#This Row],[GroupByKey]])*DiscreteStatsTable[Minimum]))</f>
        <v>0.31806625622363099</v>
      </c>
      <c r="U934" cm="1">
        <f t="array" ref="U934">MAX(IF((DiscreteStatsTable[GroupByKey]=DiscreteStatsTable[[#This Row],[GroupByKey]]),(DiscreteStatsTable[GroupByKey]=DiscreteStatsTable[[#This Row],[GroupByKey]])*DiscreteStatsTable[Maximum]))</f>
        <v>9.9062151562119993</v>
      </c>
      <c r="V934" cm="1">
        <f t="array" ref="V934">IFERROR(AVERAGE(IF((DiscreteStatsTable[GroupByKey]=DiscreteStatsTable[[#This Row],[GroupByKey]]),(DiscreteStatsTable[GroupByKey]=DiscreteStatsTable[[#This Row],[GroupByKey]])*DiscreteStatsTable[NumberObservations])),0)</f>
        <v>794.36</v>
      </c>
      <c r="W934">
        <f>IF((DiscreteStatsTable[[#This Row],[RepsRequested]]&gt;1),DiscreteStatsTable[[#This Row],[HalfWidth]],DiscreteStatsTable[[#This Row],[BatchMeansHalfWidth]])</f>
        <v>3.1607369037235981E-2</v>
      </c>
      <c r="X934" cm="1">
        <f t="array" ref="X934">COUNT(IF((DiscreteStatsTable[GroupByKey]=DiscreteStatsTable[[#This Row],[GroupByKey]]),(DiscreteStatsTable[GroupByKey]=DiscreteStatsTable[[#This Row],[GroupByKey]])*DiscreteStatsTable[Replication]))</f>
        <v>50</v>
      </c>
      <c r="Y934">
        <f>IF(DiscreteStatsTable[[#This Row],[RepsRequested]]=DiscreteStatsTable[[#This Row],[RepsWithStatObserved]],1,0)</f>
        <v>1</v>
      </c>
    </row>
    <row r="935" spans="1:25" x14ac:dyDescent="0.25">
      <c r="A935" t="s">
        <v>68</v>
      </c>
      <c r="B935" t="s">
        <v>131</v>
      </c>
      <c r="C935">
        <v>34</v>
      </c>
      <c r="D935" t="s">
        <v>93</v>
      </c>
      <c r="E935" t="s">
        <v>89</v>
      </c>
      <c r="F935" t="s">
        <v>90</v>
      </c>
      <c r="G935">
        <v>1.0931877946786099</v>
      </c>
      <c r="H935">
        <v>0.165187167368952</v>
      </c>
      <c r="I935">
        <v>0.34702176242612398</v>
      </c>
      <c r="J935">
        <v>6.5876654931868197</v>
      </c>
      <c r="K935">
        <v>815</v>
      </c>
      <c r="L935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35" cm="1">
        <f t="array" ref="M935">MAX(IF((ProjectInfoTable[ProjectName]=DiscreteStatsTable[[#This Row],[ProjectName]]),(ProjectInfoTable[ProjectName]=DiscreteStatsTable[[#This Row],[ProjectName]])*ProjectInfoTable[NumberOfReplications]))</f>
        <v>50</v>
      </c>
      <c r="N935" cm="1">
        <f t="array" ref="N935">IFERROR(AVERAGE(IF((DiscreteStatsTable[GroupByKey]=DiscreteStatsTable[[#This Row],[GroupByKey]]),(DiscreteStatsTable[GroupByKey]=DiscreteStatsTable[[#This Row],[GroupByKey]])*DiscreteStatsTable[Average])),0)</f>
        <v>1.1102466500497086</v>
      </c>
      <c r="O935" cm="1">
        <f t="array" ref="O935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3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35" cm="1">
        <f t="array" ref="R935">MIN(IF((DiscreteStatsTable[GroupByKey]=DiscreteStatsTable[[#This Row],[GroupByKey]]),(DiscreteStatsTable[GroupByKey]=DiscreteStatsTable[[#This Row],[GroupByKey]])*DiscreteStatsTable[Average]))</f>
        <v>0.96897044521179598</v>
      </c>
      <c r="S935" cm="1">
        <f t="array" ref="S935">MAX(IF((DiscreteStatsTable[GroupByKey]=DiscreteStatsTable[[#This Row],[GroupByKey]]),(DiscreteStatsTable[GroupByKey]=DiscreteStatsTable[[#This Row],[GroupByKey]])*DiscreteStatsTable[Average]))</f>
        <v>1.4337360021363801</v>
      </c>
      <c r="T935" cm="1">
        <f t="array" ref="T935">MIN(IF((DiscreteStatsTable[GroupByKey]=DiscreteStatsTable[[#This Row],[GroupByKey]]),(DiscreteStatsTable[GroupByKey]=DiscreteStatsTable[[#This Row],[GroupByKey]])*DiscreteStatsTable[Minimum]))</f>
        <v>0.31806625622363099</v>
      </c>
      <c r="U935" cm="1">
        <f t="array" ref="U935">MAX(IF((DiscreteStatsTable[GroupByKey]=DiscreteStatsTable[[#This Row],[GroupByKey]]),(DiscreteStatsTable[GroupByKey]=DiscreteStatsTable[[#This Row],[GroupByKey]])*DiscreteStatsTable[Maximum]))</f>
        <v>9.9062151562119993</v>
      </c>
      <c r="V935" cm="1">
        <f t="array" ref="V935">IFERROR(AVERAGE(IF((DiscreteStatsTable[GroupByKey]=DiscreteStatsTable[[#This Row],[GroupByKey]]),(DiscreteStatsTable[GroupByKey]=DiscreteStatsTable[[#This Row],[GroupByKey]])*DiscreteStatsTable[NumberObservations])),0)</f>
        <v>794.36</v>
      </c>
      <c r="W935">
        <f>IF((DiscreteStatsTable[[#This Row],[RepsRequested]]&gt;1),DiscreteStatsTable[[#This Row],[HalfWidth]],DiscreteStatsTable[[#This Row],[BatchMeansHalfWidth]])</f>
        <v>3.1607369037235981E-2</v>
      </c>
      <c r="X935" cm="1">
        <f t="array" ref="X935">COUNT(IF((DiscreteStatsTable[GroupByKey]=DiscreteStatsTable[[#This Row],[GroupByKey]]),(DiscreteStatsTable[GroupByKey]=DiscreteStatsTable[[#This Row],[GroupByKey]])*DiscreteStatsTable[Replication]))</f>
        <v>50</v>
      </c>
      <c r="Y935">
        <f>IF(DiscreteStatsTable[[#This Row],[RepsRequested]]=DiscreteStatsTable[[#This Row],[RepsWithStatObserved]],1,0)</f>
        <v>1</v>
      </c>
    </row>
    <row r="936" spans="1:25" x14ac:dyDescent="0.25">
      <c r="A936" t="s">
        <v>68</v>
      </c>
      <c r="B936" t="s">
        <v>131</v>
      </c>
      <c r="C936">
        <v>35</v>
      </c>
      <c r="D936" t="s">
        <v>93</v>
      </c>
      <c r="E936" t="s">
        <v>89</v>
      </c>
      <c r="F936" t="s">
        <v>90</v>
      </c>
      <c r="G936">
        <v>1.0529522212445099</v>
      </c>
      <c r="H936">
        <v>0.11342254573749801</v>
      </c>
      <c r="I936">
        <v>0.360154885216389</v>
      </c>
      <c r="J936">
        <v>4.7656360269998004</v>
      </c>
      <c r="K936">
        <v>821</v>
      </c>
      <c r="L936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36" cm="1">
        <f t="array" ref="M936">MAX(IF((ProjectInfoTable[ProjectName]=DiscreteStatsTable[[#This Row],[ProjectName]]),(ProjectInfoTable[ProjectName]=DiscreteStatsTable[[#This Row],[ProjectName]])*ProjectInfoTable[NumberOfReplications]))</f>
        <v>50</v>
      </c>
      <c r="N936" cm="1">
        <f t="array" ref="N936">IFERROR(AVERAGE(IF((DiscreteStatsTable[GroupByKey]=DiscreteStatsTable[[#This Row],[GroupByKey]]),(DiscreteStatsTable[GroupByKey]=DiscreteStatsTable[[#This Row],[GroupByKey]])*DiscreteStatsTable[Average])),0)</f>
        <v>1.1102466500497086</v>
      </c>
      <c r="O936" cm="1">
        <f t="array" ref="O936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36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36" cm="1">
        <f t="array" ref="R936">MIN(IF((DiscreteStatsTable[GroupByKey]=DiscreteStatsTable[[#This Row],[GroupByKey]]),(DiscreteStatsTable[GroupByKey]=DiscreteStatsTable[[#This Row],[GroupByKey]])*DiscreteStatsTable[Average]))</f>
        <v>0.96897044521179598</v>
      </c>
      <c r="S936" cm="1">
        <f t="array" ref="S936">MAX(IF((DiscreteStatsTable[GroupByKey]=DiscreteStatsTable[[#This Row],[GroupByKey]]),(DiscreteStatsTable[GroupByKey]=DiscreteStatsTable[[#This Row],[GroupByKey]])*DiscreteStatsTable[Average]))</f>
        <v>1.4337360021363801</v>
      </c>
      <c r="T936" cm="1">
        <f t="array" ref="T936">MIN(IF((DiscreteStatsTable[GroupByKey]=DiscreteStatsTable[[#This Row],[GroupByKey]]),(DiscreteStatsTable[GroupByKey]=DiscreteStatsTable[[#This Row],[GroupByKey]])*DiscreteStatsTable[Minimum]))</f>
        <v>0.31806625622363099</v>
      </c>
      <c r="U936" cm="1">
        <f t="array" ref="U936">MAX(IF((DiscreteStatsTable[GroupByKey]=DiscreteStatsTable[[#This Row],[GroupByKey]]),(DiscreteStatsTable[GroupByKey]=DiscreteStatsTable[[#This Row],[GroupByKey]])*DiscreteStatsTable[Maximum]))</f>
        <v>9.9062151562119993</v>
      </c>
      <c r="V936" cm="1">
        <f t="array" ref="V936">IFERROR(AVERAGE(IF((DiscreteStatsTable[GroupByKey]=DiscreteStatsTable[[#This Row],[GroupByKey]]),(DiscreteStatsTable[GroupByKey]=DiscreteStatsTable[[#This Row],[GroupByKey]])*DiscreteStatsTable[NumberObservations])),0)</f>
        <v>794.36</v>
      </c>
      <c r="W936">
        <f>IF((DiscreteStatsTable[[#This Row],[RepsRequested]]&gt;1),DiscreteStatsTable[[#This Row],[HalfWidth]],DiscreteStatsTable[[#This Row],[BatchMeansHalfWidth]])</f>
        <v>3.1607369037235981E-2</v>
      </c>
      <c r="X936" cm="1">
        <f t="array" ref="X936">COUNT(IF((DiscreteStatsTable[GroupByKey]=DiscreteStatsTable[[#This Row],[GroupByKey]]),(DiscreteStatsTable[GroupByKey]=DiscreteStatsTable[[#This Row],[GroupByKey]])*DiscreteStatsTable[Replication]))</f>
        <v>50</v>
      </c>
      <c r="Y936">
        <f>IF(DiscreteStatsTable[[#This Row],[RepsRequested]]=DiscreteStatsTable[[#This Row],[RepsWithStatObserved]],1,0)</f>
        <v>1</v>
      </c>
    </row>
    <row r="937" spans="1:25" x14ac:dyDescent="0.25">
      <c r="A937" t="s">
        <v>68</v>
      </c>
      <c r="B937" t="s">
        <v>131</v>
      </c>
      <c r="C937">
        <v>36</v>
      </c>
      <c r="D937" t="s">
        <v>93</v>
      </c>
      <c r="E937" t="s">
        <v>89</v>
      </c>
      <c r="F937" t="s">
        <v>90</v>
      </c>
      <c r="G937">
        <v>1.02174501894101</v>
      </c>
      <c r="H937">
        <v>8.2476215067297506E-2</v>
      </c>
      <c r="I937">
        <v>0.34333550025507997</v>
      </c>
      <c r="J937">
        <v>3.70121421370655</v>
      </c>
      <c r="K937">
        <v>841</v>
      </c>
      <c r="L937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37" cm="1">
        <f t="array" ref="M937">MAX(IF((ProjectInfoTable[ProjectName]=DiscreteStatsTable[[#This Row],[ProjectName]]),(ProjectInfoTable[ProjectName]=DiscreteStatsTable[[#This Row],[ProjectName]])*ProjectInfoTable[NumberOfReplications]))</f>
        <v>50</v>
      </c>
      <c r="N937" cm="1">
        <f t="array" ref="N937">IFERROR(AVERAGE(IF((DiscreteStatsTable[GroupByKey]=DiscreteStatsTable[[#This Row],[GroupByKey]]),(DiscreteStatsTable[GroupByKey]=DiscreteStatsTable[[#This Row],[GroupByKey]])*DiscreteStatsTable[Average])),0)</f>
        <v>1.1102466500497086</v>
      </c>
      <c r="O937" cm="1">
        <f t="array" ref="O937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37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37" cm="1">
        <f t="array" ref="R937">MIN(IF((DiscreteStatsTable[GroupByKey]=DiscreteStatsTable[[#This Row],[GroupByKey]]),(DiscreteStatsTable[GroupByKey]=DiscreteStatsTable[[#This Row],[GroupByKey]])*DiscreteStatsTable[Average]))</f>
        <v>0.96897044521179598</v>
      </c>
      <c r="S937" cm="1">
        <f t="array" ref="S937">MAX(IF((DiscreteStatsTable[GroupByKey]=DiscreteStatsTable[[#This Row],[GroupByKey]]),(DiscreteStatsTable[GroupByKey]=DiscreteStatsTable[[#This Row],[GroupByKey]])*DiscreteStatsTable[Average]))</f>
        <v>1.4337360021363801</v>
      </c>
      <c r="T937" cm="1">
        <f t="array" ref="T937">MIN(IF((DiscreteStatsTable[GroupByKey]=DiscreteStatsTable[[#This Row],[GroupByKey]]),(DiscreteStatsTable[GroupByKey]=DiscreteStatsTable[[#This Row],[GroupByKey]])*DiscreteStatsTable[Minimum]))</f>
        <v>0.31806625622363099</v>
      </c>
      <c r="U937" cm="1">
        <f t="array" ref="U937">MAX(IF((DiscreteStatsTable[GroupByKey]=DiscreteStatsTable[[#This Row],[GroupByKey]]),(DiscreteStatsTable[GroupByKey]=DiscreteStatsTable[[#This Row],[GroupByKey]])*DiscreteStatsTable[Maximum]))</f>
        <v>9.9062151562119993</v>
      </c>
      <c r="V937" cm="1">
        <f t="array" ref="V937">IFERROR(AVERAGE(IF((DiscreteStatsTable[GroupByKey]=DiscreteStatsTable[[#This Row],[GroupByKey]]),(DiscreteStatsTable[GroupByKey]=DiscreteStatsTable[[#This Row],[GroupByKey]])*DiscreteStatsTable[NumberObservations])),0)</f>
        <v>794.36</v>
      </c>
      <c r="W937">
        <f>IF((DiscreteStatsTable[[#This Row],[RepsRequested]]&gt;1),DiscreteStatsTable[[#This Row],[HalfWidth]],DiscreteStatsTable[[#This Row],[BatchMeansHalfWidth]])</f>
        <v>3.1607369037235981E-2</v>
      </c>
      <c r="X937" cm="1">
        <f t="array" ref="X937">COUNT(IF((DiscreteStatsTable[GroupByKey]=DiscreteStatsTable[[#This Row],[GroupByKey]]),(DiscreteStatsTable[GroupByKey]=DiscreteStatsTable[[#This Row],[GroupByKey]])*DiscreteStatsTable[Replication]))</f>
        <v>50</v>
      </c>
      <c r="Y937">
        <f>IF(DiscreteStatsTable[[#This Row],[RepsRequested]]=DiscreteStatsTable[[#This Row],[RepsWithStatObserved]],1,0)</f>
        <v>1</v>
      </c>
    </row>
    <row r="938" spans="1:25" x14ac:dyDescent="0.25">
      <c r="A938" t="s">
        <v>68</v>
      </c>
      <c r="B938" t="s">
        <v>131</v>
      </c>
      <c r="C938">
        <v>37</v>
      </c>
      <c r="D938" t="s">
        <v>93</v>
      </c>
      <c r="E938" t="s">
        <v>89</v>
      </c>
      <c r="F938" t="s">
        <v>90</v>
      </c>
      <c r="G938">
        <v>1.17480388618118</v>
      </c>
      <c r="H938">
        <v>0.23002151960879499</v>
      </c>
      <c r="I938">
        <v>0.34001064908244399</v>
      </c>
      <c r="J938">
        <v>8.5619357728030501</v>
      </c>
      <c r="K938">
        <v>822</v>
      </c>
      <c r="L938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38" cm="1">
        <f t="array" ref="M938">MAX(IF((ProjectInfoTable[ProjectName]=DiscreteStatsTable[[#This Row],[ProjectName]]),(ProjectInfoTable[ProjectName]=DiscreteStatsTable[[#This Row],[ProjectName]])*ProjectInfoTable[NumberOfReplications]))</f>
        <v>50</v>
      </c>
      <c r="N938" cm="1">
        <f t="array" ref="N938">IFERROR(AVERAGE(IF((DiscreteStatsTable[GroupByKey]=DiscreteStatsTable[[#This Row],[GroupByKey]]),(DiscreteStatsTable[GroupByKey]=DiscreteStatsTable[[#This Row],[GroupByKey]])*DiscreteStatsTable[Average])),0)</f>
        <v>1.1102466500497086</v>
      </c>
      <c r="O938" cm="1">
        <f t="array" ref="O938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38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38" cm="1">
        <f t="array" ref="R938">MIN(IF((DiscreteStatsTable[GroupByKey]=DiscreteStatsTable[[#This Row],[GroupByKey]]),(DiscreteStatsTable[GroupByKey]=DiscreteStatsTable[[#This Row],[GroupByKey]])*DiscreteStatsTable[Average]))</f>
        <v>0.96897044521179598</v>
      </c>
      <c r="S938" cm="1">
        <f t="array" ref="S938">MAX(IF((DiscreteStatsTable[GroupByKey]=DiscreteStatsTable[[#This Row],[GroupByKey]]),(DiscreteStatsTable[GroupByKey]=DiscreteStatsTable[[#This Row],[GroupByKey]])*DiscreteStatsTable[Average]))</f>
        <v>1.4337360021363801</v>
      </c>
      <c r="T938" cm="1">
        <f t="array" ref="T938">MIN(IF((DiscreteStatsTable[GroupByKey]=DiscreteStatsTable[[#This Row],[GroupByKey]]),(DiscreteStatsTable[GroupByKey]=DiscreteStatsTable[[#This Row],[GroupByKey]])*DiscreteStatsTable[Minimum]))</f>
        <v>0.31806625622363099</v>
      </c>
      <c r="U938" cm="1">
        <f t="array" ref="U938">MAX(IF((DiscreteStatsTable[GroupByKey]=DiscreteStatsTable[[#This Row],[GroupByKey]]),(DiscreteStatsTable[GroupByKey]=DiscreteStatsTable[[#This Row],[GroupByKey]])*DiscreteStatsTable[Maximum]))</f>
        <v>9.9062151562119993</v>
      </c>
      <c r="V938" cm="1">
        <f t="array" ref="V938">IFERROR(AVERAGE(IF((DiscreteStatsTable[GroupByKey]=DiscreteStatsTable[[#This Row],[GroupByKey]]),(DiscreteStatsTable[GroupByKey]=DiscreteStatsTable[[#This Row],[GroupByKey]])*DiscreteStatsTable[NumberObservations])),0)</f>
        <v>794.36</v>
      </c>
      <c r="W938">
        <f>IF((DiscreteStatsTable[[#This Row],[RepsRequested]]&gt;1),DiscreteStatsTable[[#This Row],[HalfWidth]],DiscreteStatsTable[[#This Row],[BatchMeansHalfWidth]])</f>
        <v>3.1607369037235981E-2</v>
      </c>
      <c r="X938" cm="1">
        <f t="array" ref="X938">COUNT(IF((DiscreteStatsTable[GroupByKey]=DiscreteStatsTable[[#This Row],[GroupByKey]]),(DiscreteStatsTable[GroupByKey]=DiscreteStatsTable[[#This Row],[GroupByKey]])*DiscreteStatsTable[Replication]))</f>
        <v>50</v>
      </c>
      <c r="Y938">
        <f>IF(DiscreteStatsTable[[#This Row],[RepsRequested]]=DiscreteStatsTable[[#This Row],[RepsWithStatObserved]],1,0)</f>
        <v>1</v>
      </c>
    </row>
    <row r="939" spans="1:25" x14ac:dyDescent="0.25">
      <c r="A939" t="s">
        <v>68</v>
      </c>
      <c r="B939" t="s">
        <v>131</v>
      </c>
      <c r="C939">
        <v>38</v>
      </c>
      <c r="D939" t="s">
        <v>93</v>
      </c>
      <c r="E939" t="s">
        <v>89</v>
      </c>
      <c r="F939" t="s">
        <v>90</v>
      </c>
      <c r="G939">
        <v>1.0769288009007301</v>
      </c>
      <c r="H939">
        <v>0.12227208853952</v>
      </c>
      <c r="I939">
        <v>0.35956885445978098</v>
      </c>
      <c r="J939">
        <v>5.9600512493514097</v>
      </c>
      <c r="K939">
        <v>838</v>
      </c>
      <c r="L939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39" cm="1">
        <f t="array" ref="M939">MAX(IF((ProjectInfoTable[ProjectName]=DiscreteStatsTable[[#This Row],[ProjectName]]),(ProjectInfoTable[ProjectName]=DiscreteStatsTable[[#This Row],[ProjectName]])*ProjectInfoTable[NumberOfReplications]))</f>
        <v>50</v>
      </c>
      <c r="N939" cm="1">
        <f t="array" ref="N939">IFERROR(AVERAGE(IF((DiscreteStatsTable[GroupByKey]=DiscreteStatsTable[[#This Row],[GroupByKey]]),(DiscreteStatsTable[GroupByKey]=DiscreteStatsTable[[#This Row],[GroupByKey]])*DiscreteStatsTable[Average])),0)</f>
        <v>1.1102466500497086</v>
      </c>
      <c r="O939" cm="1">
        <f t="array" ref="O939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39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39" cm="1">
        <f t="array" ref="R939">MIN(IF((DiscreteStatsTable[GroupByKey]=DiscreteStatsTable[[#This Row],[GroupByKey]]),(DiscreteStatsTable[GroupByKey]=DiscreteStatsTable[[#This Row],[GroupByKey]])*DiscreteStatsTable[Average]))</f>
        <v>0.96897044521179598</v>
      </c>
      <c r="S939" cm="1">
        <f t="array" ref="S939">MAX(IF((DiscreteStatsTable[GroupByKey]=DiscreteStatsTable[[#This Row],[GroupByKey]]),(DiscreteStatsTable[GroupByKey]=DiscreteStatsTable[[#This Row],[GroupByKey]])*DiscreteStatsTable[Average]))</f>
        <v>1.4337360021363801</v>
      </c>
      <c r="T939" cm="1">
        <f t="array" ref="T939">MIN(IF((DiscreteStatsTable[GroupByKey]=DiscreteStatsTable[[#This Row],[GroupByKey]]),(DiscreteStatsTable[GroupByKey]=DiscreteStatsTable[[#This Row],[GroupByKey]])*DiscreteStatsTable[Minimum]))</f>
        <v>0.31806625622363099</v>
      </c>
      <c r="U939" cm="1">
        <f t="array" ref="U939">MAX(IF((DiscreteStatsTable[GroupByKey]=DiscreteStatsTable[[#This Row],[GroupByKey]]),(DiscreteStatsTable[GroupByKey]=DiscreteStatsTable[[#This Row],[GroupByKey]])*DiscreteStatsTable[Maximum]))</f>
        <v>9.9062151562119993</v>
      </c>
      <c r="V939" cm="1">
        <f t="array" ref="V939">IFERROR(AVERAGE(IF((DiscreteStatsTable[GroupByKey]=DiscreteStatsTable[[#This Row],[GroupByKey]]),(DiscreteStatsTable[GroupByKey]=DiscreteStatsTable[[#This Row],[GroupByKey]])*DiscreteStatsTable[NumberObservations])),0)</f>
        <v>794.36</v>
      </c>
      <c r="W939">
        <f>IF((DiscreteStatsTable[[#This Row],[RepsRequested]]&gt;1),DiscreteStatsTable[[#This Row],[HalfWidth]],DiscreteStatsTable[[#This Row],[BatchMeansHalfWidth]])</f>
        <v>3.1607369037235981E-2</v>
      </c>
      <c r="X939" cm="1">
        <f t="array" ref="X939">COUNT(IF((DiscreteStatsTable[GroupByKey]=DiscreteStatsTable[[#This Row],[GroupByKey]]),(DiscreteStatsTable[GroupByKey]=DiscreteStatsTable[[#This Row],[GroupByKey]])*DiscreteStatsTable[Replication]))</f>
        <v>50</v>
      </c>
      <c r="Y939">
        <f>IF(DiscreteStatsTable[[#This Row],[RepsRequested]]=DiscreteStatsTable[[#This Row],[RepsWithStatObserved]],1,0)</f>
        <v>1</v>
      </c>
    </row>
    <row r="940" spans="1:25" x14ac:dyDescent="0.25">
      <c r="A940" t="s">
        <v>68</v>
      </c>
      <c r="B940" t="s">
        <v>131</v>
      </c>
      <c r="C940">
        <v>39</v>
      </c>
      <c r="D940" t="s">
        <v>93</v>
      </c>
      <c r="E940" t="s">
        <v>89</v>
      </c>
      <c r="F940" t="s">
        <v>90</v>
      </c>
      <c r="G940">
        <v>1.0271464746291299</v>
      </c>
      <c r="H940">
        <v>9.6510695224403101E-2</v>
      </c>
      <c r="I940">
        <v>0.35978833842079899</v>
      </c>
      <c r="J940">
        <v>5.4000722046087599</v>
      </c>
      <c r="K940">
        <v>773</v>
      </c>
      <c r="L940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40" cm="1">
        <f t="array" ref="M940">MAX(IF((ProjectInfoTable[ProjectName]=DiscreteStatsTable[[#This Row],[ProjectName]]),(ProjectInfoTable[ProjectName]=DiscreteStatsTable[[#This Row],[ProjectName]])*ProjectInfoTable[NumberOfReplications]))</f>
        <v>50</v>
      </c>
      <c r="N940" cm="1">
        <f t="array" ref="N940">IFERROR(AVERAGE(IF((DiscreteStatsTable[GroupByKey]=DiscreteStatsTable[[#This Row],[GroupByKey]]),(DiscreteStatsTable[GroupByKey]=DiscreteStatsTable[[#This Row],[GroupByKey]])*DiscreteStatsTable[Average])),0)</f>
        <v>1.1102466500497086</v>
      </c>
      <c r="O940" cm="1">
        <f t="array" ref="O940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40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40" cm="1">
        <f t="array" ref="R940">MIN(IF((DiscreteStatsTable[GroupByKey]=DiscreteStatsTable[[#This Row],[GroupByKey]]),(DiscreteStatsTable[GroupByKey]=DiscreteStatsTable[[#This Row],[GroupByKey]])*DiscreteStatsTable[Average]))</f>
        <v>0.96897044521179598</v>
      </c>
      <c r="S940" cm="1">
        <f t="array" ref="S940">MAX(IF((DiscreteStatsTable[GroupByKey]=DiscreteStatsTable[[#This Row],[GroupByKey]]),(DiscreteStatsTable[GroupByKey]=DiscreteStatsTable[[#This Row],[GroupByKey]])*DiscreteStatsTable[Average]))</f>
        <v>1.4337360021363801</v>
      </c>
      <c r="T940" cm="1">
        <f t="array" ref="T940">MIN(IF((DiscreteStatsTable[GroupByKey]=DiscreteStatsTable[[#This Row],[GroupByKey]]),(DiscreteStatsTable[GroupByKey]=DiscreteStatsTable[[#This Row],[GroupByKey]])*DiscreteStatsTable[Minimum]))</f>
        <v>0.31806625622363099</v>
      </c>
      <c r="U940" cm="1">
        <f t="array" ref="U940">MAX(IF((DiscreteStatsTable[GroupByKey]=DiscreteStatsTable[[#This Row],[GroupByKey]]),(DiscreteStatsTable[GroupByKey]=DiscreteStatsTable[[#This Row],[GroupByKey]])*DiscreteStatsTable[Maximum]))</f>
        <v>9.9062151562119993</v>
      </c>
      <c r="V940" cm="1">
        <f t="array" ref="V940">IFERROR(AVERAGE(IF((DiscreteStatsTable[GroupByKey]=DiscreteStatsTable[[#This Row],[GroupByKey]]),(DiscreteStatsTable[GroupByKey]=DiscreteStatsTable[[#This Row],[GroupByKey]])*DiscreteStatsTable[NumberObservations])),0)</f>
        <v>794.36</v>
      </c>
      <c r="W940">
        <f>IF((DiscreteStatsTable[[#This Row],[RepsRequested]]&gt;1),DiscreteStatsTable[[#This Row],[HalfWidth]],DiscreteStatsTable[[#This Row],[BatchMeansHalfWidth]])</f>
        <v>3.1607369037235981E-2</v>
      </c>
      <c r="X940" cm="1">
        <f t="array" ref="X940">COUNT(IF((DiscreteStatsTable[GroupByKey]=DiscreteStatsTable[[#This Row],[GroupByKey]]),(DiscreteStatsTable[GroupByKey]=DiscreteStatsTable[[#This Row],[GroupByKey]])*DiscreteStatsTable[Replication]))</f>
        <v>50</v>
      </c>
      <c r="Y940">
        <f>IF(DiscreteStatsTable[[#This Row],[RepsRequested]]=DiscreteStatsTable[[#This Row],[RepsWithStatObserved]],1,0)</f>
        <v>1</v>
      </c>
    </row>
    <row r="941" spans="1:25" x14ac:dyDescent="0.25">
      <c r="A941" t="s">
        <v>68</v>
      </c>
      <c r="B941" t="s">
        <v>131</v>
      </c>
      <c r="C941">
        <v>40</v>
      </c>
      <c r="D941" t="s">
        <v>93</v>
      </c>
      <c r="E941" t="s">
        <v>89</v>
      </c>
      <c r="F941" t="s">
        <v>90</v>
      </c>
      <c r="G941">
        <v>0.96897044521179598</v>
      </c>
      <c r="H941">
        <v>7.6161679573592198E-2</v>
      </c>
      <c r="I941">
        <v>0.37427238544387398</v>
      </c>
      <c r="J941">
        <v>4.5434233693869697</v>
      </c>
      <c r="K941">
        <v>764</v>
      </c>
      <c r="L941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41" cm="1">
        <f t="array" ref="M941">MAX(IF((ProjectInfoTable[ProjectName]=DiscreteStatsTable[[#This Row],[ProjectName]]),(ProjectInfoTable[ProjectName]=DiscreteStatsTable[[#This Row],[ProjectName]])*ProjectInfoTable[NumberOfReplications]))</f>
        <v>50</v>
      </c>
      <c r="N941" cm="1">
        <f t="array" ref="N941">IFERROR(AVERAGE(IF((DiscreteStatsTable[GroupByKey]=DiscreteStatsTable[[#This Row],[GroupByKey]]),(DiscreteStatsTable[GroupByKey]=DiscreteStatsTable[[#This Row],[GroupByKey]])*DiscreteStatsTable[Average])),0)</f>
        <v>1.1102466500497086</v>
      </c>
      <c r="O941" cm="1">
        <f t="array" ref="O941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41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41" cm="1">
        <f t="array" ref="R941">MIN(IF((DiscreteStatsTable[GroupByKey]=DiscreteStatsTable[[#This Row],[GroupByKey]]),(DiscreteStatsTable[GroupByKey]=DiscreteStatsTable[[#This Row],[GroupByKey]])*DiscreteStatsTable[Average]))</f>
        <v>0.96897044521179598</v>
      </c>
      <c r="S941" cm="1">
        <f t="array" ref="S941">MAX(IF((DiscreteStatsTable[GroupByKey]=DiscreteStatsTable[[#This Row],[GroupByKey]]),(DiscreteStatsTable[GroupByKey]=DiscreteStatsTable[[#This Row],[GroupByKey]])*DiscreteStatsTable[Average]))</f>
        <v>1.4337360021363801</v>
      </c>
      <c r="T941" cm="1">
        <f t="array" ref="T941">MIN(IF((DiscreteStatsTable[GroupByKey]=DiscreteStatsTable[[#This Row],[GroupByKey]]),(DiscreteStatsTable[GroupByKey]=DiscreteStatsTable[[#This Row],[GroupByKey]])*DiscreteStatsTable[Minimum]))</f>
        <v>0.31806625622363099</v>
      </c>
      <c r="U941" cm="1">
        <f t="array" ref="U941">MAX(IF((DiscreteStatsTable[GroupByKey]=DiscreteStatsTable[[#This Row],[GroupByKey]]),(DiscreteStatsTable[GroupByKey]=DiscreteStatsTable[[#This Row],[GroupByKey]])*DiscreteStatsTable[Maximum]))</f>
        <v>9.9062151562119993</v>
      </c>
      <c r="V941" cm="1">
        <f t="array" ref="V941">IFERROR(AVERAGE(IF((DiscreteStatsTable[GroupByKey]=DiscreteStatsTable[[#This Row],[GroupByKey]]),(DiscreteStatsTable[GroupByKey]=DiscreteStatsTable[[#This Row],[GroupByKey]])*DiscreteStatsTable[NumberObservations])),0)</f>
        <v>794.36</v>
      </c>
      <c r="W941">
        <f>IF((DiscreteStatsTable[[#This Row],[RepsRequested]]&gt;1),DiscreteStatsTable[[#This Row],[HalfWidth]],DiscreteStatsTable[[#This Row],[BatchMeansHalfWidth]])</f>
        <v>3.1607369037235981E-2</v>
      </c>
      <c r="X941" cm="1">
        <f t="array" ref="X941">COUNT(IF((DiscreteStatsTable[GroupByKey]=DiscreteStatsTable[[#This Row],[GroupByKey]]),(DiscreteStatsTable[GroupByKey]=DiscreteStatsTable[[#This Row],[GroupByKey]])*DiscreteStatsTable[Replication]))</f>
        <v>50</v>
      </c>
      <c r="Y941">
        <f>IF(DiscreteStatsTable[[#This Row],[RepsRequested]]=DiscreteStatsTable[[#This Row],[RepsWithStatObserved]],1,0)</f>
        <v>1</v>
      </c>
    </row>
    <row r="942" spans="1:25" x14ac:dyDescent="0.25">
      <c r="A942" t="s">
        <v>68</v>
      </c>
      <c r="B942" t="s">
        <v>131</v>
      </c>
      <c r="C942">
        <v>41</v>
      </c>
      <c r="D942" t="s">
        <v>93</v>
      </c>
      <c r="E942" t="s">
        <v>89</v>
      </c>
      <c r="F942" t="s">
        <v>90</v>
      </c>
      <c r="G942">
        <v>1.0048207645581799</v>
      </c>
      <c r="H942">
        <v>0.10926235175742199</v>
      </c>
      <c r="I942">
        <v>0.37429717510406102</v>
      </c>
      <c r="J942">
        <v>5.1808968940704396</v>
      </c>
      <c r="K942">
        <v>787</v>
      </c>
      <c r="L942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42" cm="1">
        <f t="array" ref="M942">MAX(IF((ProjectInfoTable[ProjectName]=DiscreteStatsTable[[#This Row],[ProjectName]]),(ProjectInfoTable[ProjectName]=DiscreteStatsTable[[#This Row],[ProjectName]])*ProjectInfoTable[NumberOfReplications]))</f>
        <v>50</v>
      </c>
      <c r="N942" cm="1">
        <f t="array" ref="N942">IFERROR(AVERAGE(IF((DiscreteStatsTable[GroupByKey]=DiscreteStatsTable[[#This Row],[GroupByKey]]),(DiscreteStatsTable[GroupByKey]=DiscreteStatsTable[[#This Row],[GroupByKey]])*DiscreteStatsTable[Average])),0)</f>
        <v>1.1102466500497086</v>
      </c>
      <c r="O942" cm="1">
        <f t="array" ref="O942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42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42" cm="1">
        <f t="array" ref="R942">MIN(IF((DiscreteStatsTable[GroupByKey]=DiscreteStatsTable[[#This Row],[GroupByKey]]),(DiscreteStatsTable[GroupByKey]=DiscreteStatsTable[[#This Row],[GroupByKey]])*DiscreteStatsTable[Average]))</f>
        <v>0.96897044521179598</v>
      </c>
      <c r="S942" cm="1">
        <f t="array" ref="S942">MAX(IF((DiscreteStatsTable[GroupByKey]=DiscreteStatsTable[[#This Row],[GroupByKey]]),(DiscreteStatsTable[GroupByKey]=DiscreteStatsTable[[#This Row],[GroupByKey]])*DiscreteStatsTable[Average]))</f>
        <v>1.4337360021363801</v>
      </c>
      <c r="T942" cm="1">
        <f t="array" ref="T942">MIN(IF((DiscreteStatsTable[GroupByKey]=DiscreteStatsTable[[#This Row],[GroupByKey]]),(DiscreteStatsTable[GroupByKey]=DiscreteStatsTable[[#This Row],[GroupByKey]])*DiscreteStatsTable[Minimum]))</f>
        <v>0.31806625622363099</v>
      </c>
      <c r="U942" cm="1">
        <f t="array" ref="U942">MAX(IF((DiscreteStatsTable[GroupByKey]=DiscreteStatsTable[[#This Row],[GroupByKey]]),(DiscreteStatsTable[GroupByKey]=DiscreteStatsTable[[#This Row],[GroupByKey]])*DiscreteStatsTable[Maximum]))</f>
        <v>9.9062151562119993</v>
      </c>
      <c r="V942" cm="1">
        <f t="array" ref="V942">IFERROR(AVERAGE(IF((DiscreteStatsTable[GroupByKey]=DiscreteStatsTable[[#This Row],[GroupByKey]]),(DiscreteStatsTable[GroupByKey]=DiscreteStatsTable[[#This Row],[GroupByKey]])*DiscreteStatsTable[NumberObservations])),0)</f>
        <v>794.36</v>
      </c>
      <c r="W942">
        <f>IF((DiscreteStatsTable[[#This Row],[RepsRequested]]&gt;1),DiscreteStatsTable[[#This Row],[HalfWidth]],DiscreteStatsTable[[#This Row],[BatchMeansHalfWidth]])</f>
        <v>3.1607369037235981E-2</v>
      </c>
      <c r="X942" cm="1">
        <f t="array" ref="X942">COUNT(IF((DiscreteStatsTable[GroupByKey]=DiscreteStatsTable[[#This Row],[GroupByKey]]),(DiscreteStatsTable[GroupByKey]=DiscreteStatsTable[[#This Row],[GroupByKey]])*DiscreteStatsTable[Replication]))</f>
        <v>50</v>
      </c>
      <c r="Y942">
        <f>IF(DiscreteStatsTable[[#This Row],[RepsRequested]]=DiscreteStatsTable[[#This Row],[RepsWithStatObserved]],1,0)</f>
        <v>1</v>
      </c>
    </row>
    <row r="943" spans="1:25" x14ac:dyDescent="0.25">
      <c r="A943" t="s">
        <v>68</v>
      </c>
      <c r="B943" t="s">
        <v>131</v>
      </c>
      <c r="C943">
        <v>42</v>
      </c>
      <c r="D943" t="s">
        <v>93</v>
      </c>
      <c r="E943" t="s">
        <v>89</v>
      </c>
      <c r="F943" t="s">
        <v>90</v>
      </c>
      <c r="G943">
        <v>1.04596116733717</v>
      </c>
      <c r="H943">
        <v>3E+20</v>
      </c>
      <c r="I943">
        <v>0.362406877711066</v>
      </c>
      <c r="J943">
        <v>6.3958542619265604</v>
      </c>
      <c r="K943">
        <v>819</v>
      </c>
      <c r="L943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43" cm="1">
        <f t="array" ref="M943">MAX(IF((ProjectInfoTable[ProjectName]=DiscreteStatsTable[[#This Row],[ProjectName]]),(ProjectInfoTable[ProjectName]=DiscreteStatsTable[[#This Row],[ProjectName]])*ProjectInfoTable[NumberOfReplications]))</f>
        <v>50</v>
      </c>
      <c r="N943" cm="1">
        <f t="array" ref="N943">IFERROR(AVERAGE(IF((DiscreteStatsTable[GroupByKey]=DiscreteStatsTable[[#This Row],[GroupByKey]]),(DiscreteStatsTable[GroupByKey]=DiscreteStatsTable[[#This Row],[GroupByKey]])*DiscreteStatsTable[Average])),0)</f>
        <v>1.1102466500497086</v>
      </c>
      <c r="O943" cm="1">
        <f t="array" ref="O943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43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43" cm="1">
        <f t="array" ref="R943">MIN(IF((DiscreteStatsTable[GroupByKey]=DiscreteStatsTable[[#This Row],[GroupByKey]]),(DiscreteStatsTable[GroupByKey]=DiscreteStatsTable[[#This Row],[GroupByKey]])*DiscreteStatsTable[Average]))</f>
        <v>0.96897044521179598</v>
      </c>
      <c r="S943" cm="1">
        <f t="array" ref="S943">MAX(IF((DiscreteStatsTable[GroupByKey]=DiscreteStatsTable[[#This Row],[GroupByKey]]),(DiscreteStatsTable[GroupByKey]=DiscreteStatsTable[[#This Row],[GroupByKey]])*DiscreteStatsTable[Average]))</f>
        <v>1.4337360021363801</v>
      </c>
      <c r="T943" cm="1">
        <f t="array" ref="T943">MIN(IF((DiscreteStatsTable[GroupByKey]=DiscreteStatsTable[[#This Row],[GroupByKey]]),(DiscreteStatsTable[GroupByKey]=DiscreteStatsTable[[#This Row],[GroupByKey]])*DiscreteStatsTable[Minimum]))</f>
        <v>0.31806625622363099</v>
      </c>
      <c r="U943" cm="1">
        <f t="array" ref="U943">MAX(IF((DiscreteStatsTable[GroupByKey]=DiscreteStatsTable[[#This Row],[GroupByKey]]),(DiscreteStatsTable[GroupByKey]=DiscreteStatsTable[[#This Row],[GroupByKey]])*DiscreteStatsTable[Maximum]))</f>
        <v>9.9062151562119993</v>
      </c>
      <c r="V943" cm="1">
        <f t="array" ref="V943">IFERROR(AVERAGE(IF((DiscreteStatsTable[GroupByKey]=DiscreteStatsTable[[#This Row],[GroupByKey]]),(DiscreteStatsTable[GroupByKey]=DiscreteStatsTable[[#This Row],[GroupByKey]])*DiscreteStatsTable[NumberObservations])),0)</f>
        <v>794.36</v>
      </c>
      <c r="W943">
        <f>IF((DiscreteStatsTable[[#This Row],[RepsRequested]]&gt;1),DiscreteStatsTable[[#This Row],[HalfWidth]],DiscreteStatsTable[[#This Row],[BatchMeansHalfWidth]])</f>
        <v>3.1607369037235981E-2</v>
      </c>
      <c r="X943" cm="1">
        <f t="array" ref="X943">COUNT(IF((DiscreteStatsTable[GroupByKey]=DiscreteStatsTable[[#This Row],[GroupByKey]]),(DiscreteStatsTable[GroupByKey]=DiscreteStatsTable[[#This Row],[GroupByKey]])*DiscreteStatsTable[Replication]))</f>
        <v>50</v>
      </c>
      <c r="Y943">
        <f>IF(DiscreteStatsTable[[#This Row],[RepsRequested]]=DiscreteStatsTable[[#This Row],[RepsWithStatObserved]],1,0)</f>
        <v>1</v>
      </c>
    </row>
    <row r="944" spans="1:25" x14ac:dyDescent="0.25">
      <c r="A944" t="s">
        <v>68</v>
      </c>
      <c r="B944" t="s">
        <v>131</v>
      </c>
      <c r="C944">
        <v>43</v>
      </c>
      <c r="D944" t="s">
        <v>93</v>
      </c>
      <c r="E944" t="s">
        <v>89</v>
      </c>
      <c r="F944" t="s">
        <v>90</v>
      </c>
      <c r="G944">
        <v>1.0378994208087899</v>
      </c>
      <c r="H944">
        <v>8.6968193830171001E-2</v>
      </c>
      <c r="I944">
        <v>0.36589666733084403</v>
      </c>
      <c r="J944">
        <v>4.3822941616817799</v>
      </c>
      <c r="K944">
        <v>775</v>
      </c>
      <c r="L944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44" cm="1">
        <f t="array" ref="M944">MAX(IF((ProjectInfoTable[ProjectName]=DiscreteStatsTable[[#This Row],[ProjectName]]),(ProjectInfoTable[ProjectName]=DiscreteStatsTable[[#This Row],[ProjectName]])*ProjectInfoTable[NumberOfReplications]))</f>
        <v>50</v>
      </c>
      <c r="N944" cm="1">
        <f t="array" ref="N944">IFERROR(AVERAGE(IF((DiscreteStatsTable[GroupByKey]=DiscreteStatsTable[[#This Row],[GroupByKey]]),(DiscreteStatsTable[GroupByKey]=DiscreteStatsTable[[#This Row],[GroupByKey]])*DiscreteStatsTable[Average])),0)</f>
        <v>1.1102466500497086</v>
      </c>
      <c r="O944" cm="1">
        <f t="array" ref="O944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44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44" cm="1">
        <f t="array" ref="R944">MIN(IF((DiscreteStatsTable[GroupByKey]=DiscreteStatsTable[[#This Row],[GroupByKey]]),(DiscreteStatsTable[GroupByKey]=DiscreteStatsTable[[#This Row],[GroupByKey]])*DiscreteStatsTable[Average]))</f>
        <v>0.96897044521179598</v>
      </c>
      <c r="S944" cm="1">
        <f t="array" ref="S944">MAX(IF((DiscreteStatsTable[GroupByKey]=DiscreteStatsTable[[#This Row],[GroupByKey]]),(DiscreteStatsTable[GroupByKey]=DiscreteStatsTable[[#This Row],[GroupByKey]])*DiscreteStatsTable[Average]))</f>
        <v>1.4337360021363801</v>
      </c>
      <c r="T944" cm="1">
        <f t="array" ref="T944">MIN(IF((DiscreteStatsTable[GroupByKey]=DiscreteStatsTable[[#This Row],[GroupByKey]]),(DiscreteStatsTable[GroupByKey]=DiscreteStatsTable[[#This Row],[GroupByKey]])*DiscreteStatsTable[Minimum]))</f>
        <v>0.31806625622363099</v>
      </c>
      <c r="U944" cm="1">
        <f t="array" ref="U944">MAX(IF((DiscreteStatsTable[GroupByKey]=DiscreteStatsTable[[#This Row],[GroupByKey]]),(DiscreteStatsTable[GroupByKey]=DiscreteStatsTable[[#This Row],[GroupByKey]])*DiscreteStatsTable[Maximum]))</f>
        <v>9.9062151562119993</v>
      </c>
      <c r="V944" cm="1">
        <f t="array" ref="V944">IFERROR(AVERAGE(IF((DiscreteStatsTable[GroupByKey]=DiscreteStatsTable[[#This Row],[GroupByKey]]),(DiscreteStatsTable[GroupByKey]=DiscreteStatsTable[[#This Row],[GroupByKey]])*DiscreteStatsTable[NumberObservations])),0)</f>
        <v>794.36</v>
      </c>
      <c r="W944">
        <f>IF((DiscreteStatsTable[[#This Row],[RepsRequested]]&gt;1),DiscreteStatsTable[[#This Row],[HalfWidth]],DiscreteStatsTable[[#This Row],[BatchMeansHalfWidth]])</f>
        <v>3.1607369037235981E-2</v>
      </c>
      <c r="X944" cm="1">
        <f t="array" ref="X944">COUNT(IF((DiscreteStatsTable[GroupByKey]=DiscreteStatsTable[[#This Row],[GroupByKey]]),(DiscreteStatsTable[GroupByKey]=DiscreteStatsTable[[#This Row],[GroupByKey]])*DiscreteStatsTable[Replication]))</f>
        <v>50</v>
      </c>
      <c r="Y944">
        <f>IF(DiscreteStatsTable[[#This Row],[RepsRequested]]=DiscreteStatsTable[[#This Row],[RepsWithStatObserved]],1,0)</f>
        <v>1</v>
      </c>
    </row>
    <row r="945" spans="1:25" x14ac:dyDescent="0.25">
      <c r="A945" t="s">
        <v>68</v>
      </c>
      <c r="B945" t="s">
        <v>131</v>
      </c>
      <c r="C945">
        <v>44</v>
      </c>
      <c r="D945" t="s">
        <v>93</v>
      </c>
      <c r="E945" t="s">
        <v>89</v>
      </c>
      <c r="F945" t="s">
        <v>90</v>
      </c>
      <c r="G945">
        <v>0.99913050741759901</v>
      </c>
      <c r="H945">
        <v>7.5451740461303804E-2</v>
      </c>
      <c r="I945">
        <v>0.35373341217052701</v>
      </c>
      <c r="J945">
        <v>4.6849296113753702</v>
      </c>
      <c r="K945">
        <v>770</v>
      </c>
      <c r="L945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45" cm="1">
        <f t="array" ref="M945">MAX(IF((ProjectInfoTable[ProjectName]=DiscreteStatsTable[[#This Row],[ProjectName]]),(ProjectInfoTable[ProjectName]=DiscreteStatsTable[[#This Row],[ProjectName]])*ProjectInfoTable[NumberOfReplications]))</f>
        <v>50</v>
      </c>
      <c r="N945" cm="1">
        <f t="array" ref="N945">IFERROR(AVERAGE(IF((DiscreteStatsTable[GroupByKey]=DiscreteStatsTable[[#This Row],[GroupByKey]]),(DiscreteStatsTable[GroupByKey]=DiscreteStatsTable[[#This Row],[GroupByKey]])*DiscreteStatsTable[Average])),0)</f>
        <v>1.1102466500497086</v>
      </c>
      <c r="O945" cm="1">
        <f t="array" ref="O945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4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45" cm="1">
        <f t="array" ref="R945">MIN(IF((DiscreteStatsTable[GroupByKey]=DiscreteStatsTable[[#This Row],[GroupByKey]]),(DiscreteStatsTable[GroupByKey]=DiscreteStatsTable[[#This Row],[GroupByKey]])*DiscreteStatsTable[Average]))</f>
        <v>0.96897044521179598</v>
      </c>
      <c r="S945" cm="1">
        <f t="array" ref="S945">MAX(IF((DiscreteStatsTable[GroupByKey]=DiscreteStatsTable[[#This Row],[GroupByKey]]),(DiscreteStatsTable[GroupByKey]=DiscreteStatsTable[[#This Row],[GroupByKey]])*DiscreteStatsTable[Average]))</f>
        <v>1.4337360021363801</v>
      </c>
      <c r="T945" cm="1">
        <f t="array" ref="T945">MIN(IF((DiscreteStatsTable[GroupByKey]=DiscreteStatsTable[[#This Row],[GroupByKey]]),(DiscreteStatsTable[GroupByKey]=DiscreteStatsTable[[#This Row],[GroupByKey]])*DiscreteStatsTable[Minimum]))</f>
        <v>0.31806625622363099</v>
      </c>
      <c r="U945" cm="1">
        <f t="array" ref="U945">MAX(IF((DiscreteStatsTable[GroupByKey]=DiscreteStatsTable[[#This Row],[GroupByKey]]),(DiscreteStatsTable[GroupByKey]=DiscreteStatsTable[[#This Row],[GroupByKey]])*DiscreteStatsTable[Maximum]))</f>
        <v>9.9062151562119993</v>
      </c>
      <c r="V945" cm="1">
        <f t="array" ref="V945">IFERROR(AVERAGE(IF((DiscreteStatsTable[GroupByKey]=DiscreteStatsTable[[#This Row],[GroupByKey]]),(DiscreteStatsTable[GroupByKey]=DiscreteStatsTable[[#This Row],[GroupByKey]])*DiscreteStatsTable[NumberObservations])),0)</f>
        <v>794.36</v>
      </c>
      <c r="W945">
        <f>IF((DiscreteStatsTable[[#This Row],[RepsRequested]]&gt;1),DiscreteStatsTable[[#This Row],[HalfWidth]],DiscreteStatsTable[[#This Row],[BatchMeansHalfWidth]])</f>
        <v>3.1607369037235981E-2</v>
      </c>
      <c r="X945" cm="1">
        <f t="array" ref="X945">COUNT(IF((DiscreteStatsTable[GroupByKey]=DiscreteStatsTable[[#This Row],[GroupByKey]]),(DiscreteStatsTable[GroupByKey]=DiscreteStatsTable[[#This Row],[GroupByKey]])*DiscreteStatsTable[Replication]))</f>
        <v>50</v>
      </c>
      <c r="Y945">
        <f>IF(DiscreteStatsTable[[#This Row],[RepsRequested]]=DiscreteStatsTable[[#This Row],[RepsWithStatObserved]],1,0)</f>
        <v>1</v>
      </c>
    </row>
    <row r="946" spans="1:25" x14ac:dyDescent="0.25">
      <c r="A946" t="s">
        <v>68</v>
      </c>
      <c r="B946" t="s">
        <v>131</v>
      </c>
      <c r="C946">
        <v>45</v>
      </c>
      <c r="D946" t="s">
        <v>93</v>
      </c>
      <c r="E946" t="s">
        <v>89</v>
      </c>
      <c r="F946" t="s">
        <v>90</v>
      </c>
      <c r="G946">
        <v>1.0600329670275099</v>
      </c>
      <c r="H946">
        <v>0.107852643524495</v>
      </c>
      <c r="I946">
        <v>0.35574106641979603</v>
      </c>
      <c r="J946">
        <v>4.92665630858491</v>
      </c>
      <c r="K946">
        <v>791</v>
      </c>
      <c r="L946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46" cm="1">
        <f t="array" ref="M946">MAX(IF((ProjectInfoTable[ProjectName]=DiscreteStatsTable[[#This Row],[ProjectName]]),(ProjectInfoTable[ProjectName]=DiscreteStatsTable[[#This Row],[ProjectName]])*ProjectInfoTable[NumberOfReplications]))</f>
        <v>50</v>
      </c>
      <c r="N946" cm="1">
        <f t="array" ref="N946">IFERROR(AVERAGE(IF((DiscreteStatsTable[GroupByKey]=DiscreteStatsTable[[#This Row],[GroupByKey]]),(DiscreteStatsTable[GroupByKey]=DiscreteStatsTable[[#This Row],[GroupByKey]])*DiscreteStatsTable[Average])),0)</f>
        <v>1.1102466500497086</v>
      </c>
      <c r="O946" cm="1">
        <f t="array" ref="O946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46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46" cm="1">
        <f t="array" ref="R946">MIN(IF((DiscreteStatsTable[GroupByKey]=DiscreteStatsTable[[#This Row],[GroupByKey]]),(DiscreteStatsTable[GroupByKey]=DiscreteStatsTable[[#This Row],[GroupByKey]])*DiscreteStatsTable[Average]))</f>
        <v>0.96897044521179598</v>
      </c>
      <c r="S946" cm="1">
        <f t="array" ref="S946">MAX(IF((DiscreteStatsTable[GroupByKey]=DiscreteStatsTable[[#This Row],[GroupByKey]]),(DiscreteStatsTable[GroupByKey]=DiscreteStatsTable[[#This Row],[GroupByKey]])*DiscreteStatsTable[Average]))</f>
        <v>1.4337360021363801</v>
      </c>
      <c r="T946" cm="1">
        <f t="array" ref="T946">MIN(IF((DiscreteStatsTable[GroupByKey]=DiscreteStatsTable[[#This Row],[GroupByKey]]),(DiscreteStatsTable[GroupByKey]=DiscreteStatsTable[[#This Row],[GroupByKey]])*DiscreteStatsTable[Minimum]))</f>
        <v>0.31806625622363099</v>
      </c>
      <c r="U946" cm="1">
        <f t="array" ref="U946">MAX(IF((DiscreteStatsTable[GroupByKey]=DiscreteStatsTable[[#This Row],[GroupByKey]]),(DiscreteStatsTable[GroupByKey]=DiscreteStatsTable[[#This Row],[GroupByKey]])*DiscreteStatsTable[Maximum]))</f>
        <v>9.9062151562119993</v>
      </c>
      <c r="V946" cm="1">
        <f t="array" ref="V946">IFERROR(AVERAGE(IF((DiscreteStatsTable[GroupByKey]=DiscreteStatsTable[[#This Row],[GroupByKey]]),(DiscreteStatsTable[GroupByKey]=DiscreteStatsTable[[#This Row],[GroupByKey]])*DiscreteStatsTable[NumberObservations])),0)</f>
        <v>794.36</v>
      </c>
      <c r="W946">
        <f>IF((DiscreteStatsTable[[#This Row],[RepsRequested]]&gt;1),DiscreteStatsTable[[#This Row],[HalfWidth]],DiscreteStatsTable[[#This Row],[BatchMeansHalfWidth]])</f>
        <v>3.1607369037235981E-2</v>
      </c>
      <c r="X946" cm="1">
        <f t="array" ref="X946">COUNT(IF((DiscreteStatsTable[GroupByKey]=DiscreteStatsTable[[#This Row],[GroupByKey]]),(DiscreteStatsTable[GroupByKey]=DiscreteStatsTable[[#This Row],[GroupByKey]])*DiscreteStatsTable[Replication]))</f>
        <v>50</v>
      </c>
      <c r="Y946">
        <f>IF(DiscreteStatsTable[[#This Row],[RepsRequested]]=DiscreteStatsTable[[#This Row],[RepsWithStatObserved]],1,0)</f>
        <v>1</v>
      </c>
    </row>
    <row r="947" spans="1:25" x14ac:dyDescent="0.25">
      <c r="A947" t="s">
        <v>68</v>
      </c>
      <c r="B947" t="s">
        <v>131</v>
      </c>
      <c r="C947">
        <v>46</v>
      </c>
      <c r="D947" t="s">
        <v>93</v>
      </c>
      <c r="E947" t="s">
        <v>89</v>
      </c>
      <c r="F947" t="s">
        <v>90</v>
      </c>
      <c r="G947">
        <v>1.0278805465486001</v>
      </c>
      <c r="H947">
        <v>0.11099330177177601</v>
      </c>
      <c r="I947">
        <v>0.36441278401093802</v>
      </c>
      <c r="J947">
        <v>5.1988567474909404</v>
      </c>
      <c r="K947">
        <v>846</v>
      </c>
      <c r="L947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47" cm="1">
        <f t="array" ref="M947">MAX(IF((ProjectInfoTable[ProjectName]=DiscreteStatsTable[[#This Row],[ProjectName]]),(ProjectInfoTable[ProjectName]=DiscreteStatsTable[[#This Row],[ProjectName]])*ProjectInfoTable[NumberOfReplications]))</f>
        <v>50</v>
      </c>
      <c r="N947" cm="1">
        <f t="array" ref="N947">IFERROR(AVERAGE(IF((DiscreteStatsTable[GroupByKey]=DiscreteStatsTable[[#This Row],[GroupByKey]]),(DiscreteStatsTable[GroupByKey]=DiscreteStatsTable[[#This Row],[GroupByKey]])*DiscreteStatsTable[Average])),0)</f>
        <v>1.1102466500497086</v>
      </c>
      <c r="O947" cm="1">
        <f t="array" ref="O947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47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47" cm="1">
        <f t="array" ref="R947">MIN(IF((DiscreteStatsTable[GroupByKey]=DiscreteStatsTable[[#This Row],[GroupByKey]]),(DiscreteStatsTable[GroupByKey]=DiscreteStatsTable[[#This Row],[GroupByKey]])*DiscreteStatsTable[Average]))</f>
        <v>0.96897044521179598</v>
      </c>
      <c r="S947" cm="1">
        <f t="array" ref="S947">MAX(IF((DiscreteStatsTable[GroupByKey]=DiscreteStatsTable[[#This Row],[GroupByKey]]),(DiscreteStatsTable[GroupByKey]=DiscreteStatsTable[[#This Row],[GroupByKey]])*DiscreteStatsTable[Average]))</f>
        <v>1.4337360021363801</v>
      </c>
      <c r="T947" cm="1">
        <f t="array" ref="T947">MIN(IF((DiscreteStatsTable[GroupByKey]=DiscreteStatsTable[[#This Row],[GroupByKey]]),(DiscreteStatsTable[GroupByKey]=DiscreteStatsTable[[#This Row],[GroupByKey]])*DiscreteStatsTable[Minimum]))</f>
        <v>0.31806625622363099</v>
      </c>
      <c r="U947" cm="1">
        <f t="array" ref="U947">MAX(IF((DiscreteStatsTable[GroupByKey]=DiscreteStatsTable[[#This Row],[GroupByKey]]),(DiscreteStatsTable[GroupByKey]=DiscreteStatsTable[[#This Row],[GroupByKey]])*DiscreteStatsTable[Maximum]))</f>
        <v>9.9062151562119993</v>
      </c>
      <c r="V947" cm="1">
        <f t="array" ref="V947">IFERROR(AVERAGE(IF((DiscreteStatsTable[GroupByKey]=DiscreteStatsTable[[#This Row],[GroupByKey]]),(DiscreteStatsTable[GroupByKey]=DiscreteStatsTable[[#This Row],[GroupByKey]])*DiscreteStatsTable[NumberObservations])),0)</f>
        <v>794.36</v>
      </c>
      <c r="W947">
        <f>IF((DiscreteStatsTable[[#This Row],[RepsRequested]]&gt;1),DiscreteStatsTable[[#This Row],[HalfWidth]],DiscreteStatsTable[[#This Row],[BatchMeansHalfWidth]])</f>
        <v>3.1607369037235981E-2</v>
      </c>
      <c r="X947" cm="1">
        <f t="array" ref="X947">COUNT(IF((DiscreteStatsTable[GroupByKey]=DiscreteStatsTable[[#This Row],[GroupByKey]]),(DiscreteStatsTable[GroupByKey]=DiscreteStatsTable[[#This Row],[GroupByKey]])*DiscreteStatsTable[Replication]))</f>
        <v>50</v>
      </c>
      <c r="Y947">
        <f>IF(DiscreteStatsTable[[#This Row],[RepsRequested]]=DiscreteStatsTable[[#This Row],[RepsWithStatObserved]],1,0)</f>
        <v>1</v>
      </c>
    </row>
    <row r="948" spans="1:25" x14ac:dyDescent="0.25">
      <c r="A948" t="s">
        <v>68</v>
      </c>
      <c r="B948" t="s">
        <v>131</v>
      </c>
      <c r="C948">
        <v>47</v>
      </c>
      <c r="D948" t="s">
        <v>93</v>
      </c>
      <c r="E948" t="s">
        <v>89</v>
      </c>
      <c r="F948" t="s">
        <v>90</v>
      </c>
      <c r="G948">
        <v>1.1645306162048199</v>
      </c>
      <c r="H948">
        <v>0.19746524870843801</v>
      </c>
      <c r="I948">
        <v>0.34065289584316399</v>
      </c>
      <c r="J948">
        <v>7.0378274976915201</v>
      </c>
      <c r="K948">
        <v>885</v>
      </c>
      <c r="L948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48" cm="1">
        <f t="array" ref="M948">MAX(IF((ProjectInfoTable[ProjectName]=DiscreteStatsTable[[#This Row],[ProjectName]]),(ProjectInfoTable[ProjectName]=DiscreteStatsTable[[#This Row],[ProjectName]])*ProjectInfoTable[NumberOfReplications]))</f>
        <v>50</v>
      </c>
      <c r="N948" cm="1">
        <f t="array" ref="N948">IFERROR(AVERAGE(IF((DiscreteStatsTable[GroupByKey]=DiscreteStatsTable[[#This Row],[GroupByKey]]),(DiscreteStatsTable[GroupByKey]=DiscreteStatsTable[[#This Row],[GroupByKey]])*DiscreteStatsTable[Average])),0)</f>
        <v>1.1102466500497086</v>
      </c>
      <c r="O948" cm="1">
        <f t="array" ref="O948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48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48" cm="1">
        <f t="array" ref="R948">MIN(IF((DiscreteStatsTable[GroupByKey]=DiscreteStatsTable[[#This Row],[GroupByKey]]),(DiscreteStatsTable[GroupByKey]=DiscreteStatsTable[[#This Row],[GroupByKey]])*DiscreteStatsTable[Average]))</f>
        <v>0.96897044521179598</v>
      </c>
      <c r="S948" cm="1">
        <f t="array" ref="S948">MAX(IF((DiscreteStatsTable[GroupByKey]=DiscreteStatsTable[[#This Row],[GroupByKey]]),(DiscreteStatsTable[GroupByKey]=DiscreteStatsTable[[#This Row],[GroupByKey]])*DiscreteStatsTable[Average]))</f>
        <v>1.4337360021363801</v>
      </c>
      <c r="T948" cm="1">
        <f t="array" ref="T948">MIN(IF((DiscreteStatsTable[GroupByKey]=DiscreteStatsTable[[#This Row],[GroupByKey]]),(DiscreteStatsTable[GroupByKey]=DiscreteStatsTable[[#This Row],[GroupByKey]])*DiscreteStatsTable[Minimum]))</f>
        <v>0.31806625622363099</v>
      </c>
      <c r="U948" cm="1">
        <f t="array" ref="U948">MAX(IF((DiscreteStatsTable[GroupByKey]=DiscreteStatsTable[[#This Row],[GroupByKey]]),(DiscreteStatsTable[GroupByKey]=DiscreteStatsTable[[#This Row],[GroupByKey]])*DiscreteStatsTable[Maximum]))</f>
        <v>9.9062151562119993</v>
      </c>
      <c r="V948" cm="1">
        <f t="array" ref="V948">IFERROR(AVERAGE(IF((DiscreteStatsTable[GroupByKey]=DiscreteStatsTable[[#This Row],[GroupByKey]]),(DiscreteStatsTable[GroupByKey]=DiscreteStatsTable[[#This Row],[GroupByKey]])*DiscreteStatsTable[NumberObservations])),0)</f>
        <v>794.36</v>
      </c>
      <c r="W948">
        <f>IF((DiscreteStatsTable[[#This Row],[RepsRequested]]&gt;1),DiscreteStatsTable[[#This Row],[HalfWidth]],DiscreteStatsTable[[#This Row],[BatchMeansHalfWidth]])</f>
        <v>3.1607369037235981E-2</v>
      </c>
      <c r="X948" cm="1">
        <f t="array" ref="X948">COUNT(IF((DiscreteStatsTable[GroupByKey]=DiscreteStatsTable[[#This Row],[GroupByKey]]),(DiscreteStatsTable[GroupByKey]=DiscreteStatsTable[[#This Row],[GroupByKey]])*DiscreteStatsTable[Replication]))</f>
        <v>50</v>
      </c>
      <c r="Y948">
        <f>IF(DiscreteStatsTable[[#This Row],[RepsRequested]]=DiscreteStatsTable[[#This Row],[RepsWithStatObserved]],1,0)</f>
        <v>1</v>
      </c>
    </row>
    <row r="949" spans="1:25" x14ac:dyDescent="0.25">
      <c r="A949" t="s">
        <v>68</v>
      </c>
      <c r="B949" t="s">
        <v>131</v>
      </c>
      <c r="C949">
        <v>48</v>
      </c>
      <c r="D949" t="s">
        <v>93</v>
      </c>
      <c r="E949" t="s">
        <v>89</v>
      </c>
      <c r="F949" t="s">
        <v>90</v>
      </c>
      <c r="G949">
        <v>1.0507556553320201</v>
      </c>
      <c r="H949">
        <v>0.13769108325878199</v>
      </c>
      <c r="I949">
        <v>0.34948425008804002</v>
      </c>
      <c r="J949">
        <v>5.2688192271549497</v>
      </c>
      <c r="K949">
        <v>783</v>
      </c>
      <c r="L949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49" cm="1">
        <f t="array" ref="M949">MAX(IF((ProjectInfoTable[ProjectName]=DiscreteStatsTable[[#This Row],[ProjectName]]),(ProjectInfoTable[ProjectName]=DiscreteStatsTable[[#This Row],[ProjectName]])*ProjectInfoTable[NumberOfReplications]))</f>
        <v>50</v>
      </c>
      <c r="N949" cm="1">
        <f t="array" ref="N949">IFERROR(AVERAGE(IF((DiscreteStatsTable[GroupByKey]=DiscreteStatsTable[[#This Row],[GroupByKey]]),(DiscreteStatsTable[GroupByKey]=DiscreteStatsTable[[#This Row],[GroupByKey]])*DiscreteStatsTable[Average])),0)</f>
        <v>1.1102466500497086</v>
      </c>
      <c r="O949" cm="1">
        <f t="array" ref="O949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49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49" cm="1">
        <f t="array" ref="R949">MIN(IF((DiscreteStatsTable[GroupByKey]=DiscreteStatsTable[[#This Row],[GroupByKey]]),(DiscreteStatsTable[GroupByKey]=DiscreteStatsTable[[#This Row],[GroupByKey]])*DiscreteStatsTable[Average]))</f>
        <v>0.96897044521179598</v>
      </c>
      <c r="S949" cm="1">
        <f t="array" ref="S949">MAX(IF((DiscreteStatsTable[GroupByKey]=DiscreteStatsTable[[#This Row],[GroupByKey]]),(DiscreteStatsTable[GroupByKey]=DiscreteStatsTable[[#This Row],[GroupByKey]])*DiscreteStatsTable[Average]))</f>
        <v>1.4337360021363801</v>
      </c>
      <c r="T949" cm="1">
        <f t="array" ref="T949">MIN(IF((DiscreteStatsTable[GroupByKey]=DiscreteStatsTable[[#This Row],[GroupByKey]]),(DiscreteStatsTable[GroupByKey]=DiscreteStatsTable[[#This Row],[GroupByKey]])*DiscreteStatsTable[Minimum]))</f>
        <v>0.31806625622363099</v>
      </c>
      <c r="U949" cm="1">
        <f t="array" ref="U949">MAX(IF((DiscreteStatsTable[GroupByKey]=DiscreteStatsTable[[#This Row],[GroupByKey]]),(DiscreteStatsTable[GroupByKey]=DiscreteStatsTable[[#This Row],[GroupByKey]])*DiscreteStatsTable[Maximum]))</f>
        <v>9.9062151562119993</v>
      </c>
      <c r="V949" cm="1">
        <f t="array" ref="V949">IFERROR(AVERAGE(IF((DiscreteStatsTable[GroupByKey]=DiscreteStatsTable[[#This Row],[GroupByKey]]),(DiscreteStatsTable[GroupByKey]=DiscreteStatsTable[[#This Row],[GroupByKey]])*DiscreteStatsTable[NumberObservations])),0)</f>
        <v>794.36</v>
      </c>
      <c r="W949">
        <f>IF((DiscreteStatsTable[[#This Row],[RepsRequested]]&gt;1),DiscreteStatsTable[[#This Row],[HalfWidth]],DiscreteStatsTable[[#This Row],[BatchMeansHalfWidth]])</f>
        <v>3.1607369037235981E-2</v>
      </c>
      <c r="X949" cm="1">
        <f t="array" ref="X949">COUNT(IF((DiscreteStatsTable[GroupByKey]=DiscreteStatsTable[[#This Row],[GroupByKey]]),(DiscreteStatsTable[GroupByKey]=DiscreteStatsTable[[#This Row],[GroupByKey]])*DiscreteStatsTable[Replication]))</f>
        <v>50</v>
      </c>
      <c r="Y949">
        <f>IF(DiscreteStatsTable[[#This Row],[RepsRequested]]=DiscreteStatsTable[[#This Row],[RepsWithStatObserved]],1,0)</f>
        <v>1</v>
      </c>
    </row>
    <row r="950" spans="1:25" x14ac:dyDescent="0.25">
      <c r="A950" t="s">
        <v>68</v>
      </c>
      <c r="B950" t="s">
        <v>131</v>
      </c>
      <c r="C950">
        <v>49</v>
      </c>
      <c r="D950" t="s">
        <v>93</v>
      </c>
      <c r="E950" t="s">
        <v>89</v>
      </c>
      <c r="F950" t="s">
        <v>90</v>
      </c>
      <c r="G950">
        <v>1.1049008652335599</v>
      </c>
      <c r="H950">
        <v>0.138780664475771</v>
      </c>
      <c r="I950">
        <v>0.35014217654474999</v>
      </c>
      <c r="J950">
        <v>8.5889567802985898</v>
      </c>
      <c r="K950">
        <v>768</v>
      </c>
      <c r="L950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50" cm="1">
        <f t="array" ref="M950">MAX(IF((ProjectInfoTable[ProjectName]=DiscreteStatsTable[[#This Row],[ProjectName]]),(ProjectInfoTable[ProjectName]=DiscreteStatsTable[[#This Row],[ProjectName]])*ProjectInfoTable[NumberOfReplications]))</f>
        <v>50</v>
      </c>
      <c r="N950" cm="1">
        <f t="array" ref="N950">IFERROR(AVERAGE(IF((DiscreteStatsTable[GroupByKey]=DiscreteStatsTable[[#This Row],[GroupByKey]]),(DiscreteStatsTable[GroupByKey]=DiscreteStatsTable[[#This Row],[GroupByKey]])*DiscreteStatsTable[Average])),0)</f>
        <v>1.1102466500497086</v>
      </c>
      <c r="O950" cm="1">
        <f t="array" ref="O950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50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50" cm="1">
        <f t="array" ref="R950">MIN(IF((DiscreteStatsTable[GroupByKey]=DiscreteStatsTable[[#This Row],[GroupByKey]]),(DiscreteStatsTable[GroupByKey]=DiscreteStatsTable[[#This Row],[GroupByKey]])*DiscreteStatsTable[Average]))</f>
        <v>0.96897044521179598</v>
      </c>
      <c r="S950" cm="1">
        <f t="array" ref="S950">MAX(IF((DiscreteStatsTable[GroupByKey]=DiscreteStatsTable[[#This Row],[GroupByKey]]),(DiscreteStatsTable[GroupByKey]=DiscreteStatsTable[[#This Row],[GroupByKey]])*DiscreteStatsTable[Average]))</f>
        <v>1.4337360021363801</v>
      </c>
      <c r="T950" cm="1">
        <f t="array" ref="T950">MIN(IF((DiscreteStatsTable[GroupByKey]=DiscreteStatsTable[[#This Row],[GroupByKey]]),(DiscreteStatsTable[GroupByKey]=DiscreteStatsTable[[#This Row],[GroupByKey]])*DiscreteStatsTable[Minimum]))</f>
        <v>0.31806625622363099</v>
      </c>
      <c r="U950" cm="1">
        <f t="array" ref="U950">MAX(IF((DiscreteStatsTable[GroupByKey]=DiscreteStatsTable[[#This Row],[GroupByKey]]),(DiscreteStatsTable[GroupByKey]=DiscreteStatsTable[[#This Row],[GroupByKey]])*DiscreteStatsTable[Maximum]))</f>
        <v>9.9062151562119993</v>
      </c>
      <c r="V950" cm="1">
        <f t="array" ref="V950">IFERROR(AVERAGE(IF((DiscreteStatsTable[GroupByKey]=DiscreteStatsTable[[#This Row],[GroupByKey]]),(DiscreteStatsTable[GroupByKey]=DiscreteStatsTable[[#This Row],[GroupByKey]])*DiscreteStatsTable[NumberObservations])),0)</f>
        <v>794.36</v>
      </c>
      <c r="W950">
        <f>IF((DiscreteStatsTable[[#This Row],[RepsRequested]]&gt;1),DiscreteStatsTable[[#This Row],[HalfWidth]],DiscreteStatsTable[[#This Row],[BatchMeansHalfWidth]])</f>
        <v>3.1607369037235981E-2</v>
      </c>
      <c r="X950" cm="1">
        <f t="array" ref="X950">COUNT(IF((DiscreteStatsTable[GroupByKey]=DiscreteStatsTable[[#This Row],[GroupByKey]]),(DiscreteStatsTable[GroupByKey]=DiscreteStatsTable[[#This Row],[GroupByKey]])*DiscreteStatsTable[Replication]))</f>
        <v>50</v>
      </c>
      <c r="Y950">
        <f>IF(DiscreteStatsTable[[#This Row],[RepsRequested]]=DiscreteStatsTable[[#This Row],[RepsWithStatObserved]],1,0)</f>
        <v>1</v>
      </c>
    </row>
    <row r="951" spans="1:25" x14ac:dyDescent="0.25">
      <c r="A951" t="s">
        <v>68</v>
      </c>
      <c r="B951" t="s">
        <v>131</v>
      </c>
      <c r="C951">
        <v>50</v>
      </c>
      <c r="D951" t="s">
        <v>93</v>
      </c>
      <c r="E951" t="s">
        <v>89</v>
      </c>
      <c r="F951" t="s">
        <v>90</v>
      </c>
      <c r="G951">
        <v>1.19319147158196</v>
      </c>
      <c r="H951">
        <v>0.156643434276282</v>
      </c>
      <c r="I951">
        <v>0.34946274403307598</v>
      </c>
      <c r="J951">
        <v>5.7339079548295002</v>
      </c>
      <c r="K951">
        <v>761</v>
      </c>
      <c r="L951" t="str">
        <f>DiscreteStatsTable[[#This Row],[ProjectName]]&amp;DiscreteStatsTable[[#This Row],[Name]]&amp;DiscreteStatsTable[[#This Row],[Type]]&amp;DiscreteStatsTable[[#This Row],[Source]]</f>
        <v>PacientesTiempoTipo4NoneUser Specified</v>
      </c>
      <c r="M951" cm="1">
        <f t="array" ref="M951">MAX(IF((ProjectInfoTable[ProjectName]=DiscreteStatsTable[[#This Row],[ProjectName]]),(ProjectInfoTable[ProjectName]=DiscreteStatsTable[[#This Row],[ProjectName]])*ProjectInfoTable[NumberOfReplications]))</f>
        <v>50</v>
      </c>
      <c r="N951" cm="1">
        <f t="array" ref="N951">IFERROR(AVERAGE(IF((DiscreteStatsTable[GroupByKey]=DiscreteStatsTable[[#This Row],[GroupByKey]]),(DiscreteStatsTable[GroupByKey]=DiscreteStatsTable[[#This Row],[GroupByKey]])*DiscreteStatsTable[Average])),0)</f>
        <v>1.1102466500497086</v>
      </c>
      <c r="O951" cm="1">
        <f t="array" ref="O951">IFERROR(_xlfn.STDEV.S(IF((DiscreteStatsTable[GroupByKey]=DiscreteStatsTable[[#This Row],[GroupByKey]]),(DiscreteStatsTable[GroupByKey]=DiscreteStatsTable[[#This Row],[GroupByKey]])*DiscreteStatsTable[Average])),0)</f>
        <v>0.11121646290597645</v>
      </c>
      <c r="P951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3.1607369037235981E-2</v>
      </c>
      <c r="R951" cm="1">
        <f t="array" ref="R951">MIN(IF((DiscreteStatsTable[GroupByKey]=DiscreteStatsTable[[#This Row],[GroupByKey]]),(DiscreteStatsTable[GroupByKey]=DiscreteStatsTable[[#This Row],[GroupByKey]])*DiscreteStatsTable[Average]))</f>
        <v>0.96897044521179598</v>
      </c>
      <c r="S951" cm="1">
        <f t="array" ref="S951">MAX(IF((DiscreteStatsTable[GroupByKey]=DiscreteStatsTable[[#This Row],[GroupByKey]]),(DiscreteStatsTable[GroupByKey]=DiscreteStatsTable[[#This Row],[GroupByKey]])*DiscreteStatsTable[Average]))</f>
        <v>1.4337360021363801</v>
      </c>
      <c r="T951" cm="1">
        <f t="array" ref="T951">MIN(IF((DiscreteStatsTable[GroupByKey]=DiscreteStatsTable[[#This Row],[GroupByKey]]),(DiscreteStatsTable[GroupByKey]=DiscreteStatsTable[[#This Row],[GroupByKey]])*DiscreteStatsTable[Minimum]))</f>
        <v>0.31806625622363099</v>
      </c>
      <c r="U951" cm="1">
        <f t="array" ref="U951">MAX(IF((DiscreteStatsTable[GroupByKey]=DiscreteStatsTable[[#This Row],[GroupByKey]]),(DiscreteStatsTable[GroupByKey]=DiscreteStatsTable[[#This Row],[GroupByKey]])*DiscreteStatsTable[Maximum]))</f>
        <v>9.9062151562119993</v>
      </c>
      <c r="V951" cm="1">
        <f t="array" ref="V951">IFERROR(AVERAGE(IF((DiscreteStatsTable[GroupByKey]=DiscreteStatsTable[[#This Row],[GroupByKey]]),(DiscreteStatsTable[GroupByKey]=DiscreteStatsTable[[#This Row],[GroupByKey]])*DiscreteStatsTable[NumberObservations])),0)</f>
        <v>794.36</v>
      </c>
      <c r="W951">
        <f>IF((DiscreteStatsTable[[#This Row],[RepsRequested]]&gt;1),DiscreteStatsTable[[#This Row],[HalfWidth]],DiscreteStatsTable[[#This Row],[BatchMeansHalfWidth]])</f>
        <v>3.1607369037235981E-2</v>
      </c>
      <c r="X951" cm="1">
        <f t="array" ref="X951">COUNT(IF((DiscreteStatsTable[GroupByKey]=DiscreteStatsTable[[#This Row],[GroupByKey]]),(DiscreteStatsTable[GroupByKey]=DiscreteStatsTable[[#This Row],[GroupByKey]])*DiscreteStatsTable[Replication]))</f>
        <v>50</v>
      </c>
      <c r="Y951">
        <f>IF(DiscreteStatsTable[[#This Row],[RepsRequested]]=DiscreteStatsTable[[#This Row],[RepsWithStatObserved]],1,0)</f>
        <v>1</v>
      </c>
    </row>
    <row r="952" spans="1:25" x14ac:dyDescent="0.25">
      <c r="A952" t="s">
        <v>68</v>
      </c>
      <c r="B952" t="s">
        <v>131</v>
      </c>
      <c r="C952">
        <v>1</v>
      </c>
      <c r="D952" t="s">
        <v>94</v>
      </c>
      <c r="E952" t="s">
        <v>89</v>
      </c>
      <c r="F952" t="s">
        <v>90</v>
      </c>
      <c r="G952">
        <v>2.5060574944226999</v>
      </c>
      <c r="H952">
        <v>0.85659112600537302</v>
      </c>
      <c r="I952">
        <v>0.24569792864633699</v>
      </c>
      <c r="J952">
        <v>17.289202716166201</v>
      </c>
      <c r="K952">
        <v>860</v>
      </c>
      <c r="L952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52" s="7" cm="1">
        <f t="array" ref="M952">MAX(IF((ProjectInfoTable[ProjectName]=DiscreteStatsTable[[#This Row],[ProjectName]]),(ProjectInfoTable[ProjectName]=DiscreteStatsTable[[#This Row],[ProjectName]])*ProjectInfoTable[NumberOfReplications]))</f>
        <v>50</v>
      </c>
      <c r="N952" s="7" cm="1">
        <f t="array" ref="N952">IFERROR(AVERAGE(IF((DiscreteStatsTable[GroupByKey]=DiscreteStatsTable[[#This Row],[GroupByKey]]),(DiscreteStatsTable[GroupByKey]=DiscreteStatsTable[[#This Row],[GroupByKey]])*DiscreteStatsTable[Average])),0)</f>
        <v>2.205174161750556</v>
      </c>
      <c r="O952" s="7" cm="1">
        <f t="array" ref="O952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52" s="7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 s="7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52" s="7" cm="1">
        <f t="array" ref="R952">MIN(IF((DiscreteStatsTable[GroupByKey]=DiscreteStatsTable[[#This Row],[GroupByKey]]),(DiscreteStatsTable[GroupByKey]=DiscreteStatsTable[[#This Row],[GroupByKey]])*DiscreteStatsTable[Average]))</f>
        <v>1.50461510232873</v>
      </c>
      <c r="S952" s="7" cm="1">
        <f t="array" ref="S952">MAX(IF((DiscreteStatsTable[GroupByKey]=DiscreteStatsTable[[#This Row],[GroupByKey]]),(DiscreteStatsTable[GroupByKey]=DiscreteStatsTable[[#This Row],[GroupByKey]])*DiscreteStatsTable[Average]))</f>
        <v>3.7741600797505002</v>
      </c>
      <c r="T952" s="7" cm="1">
        <f t="array" ref="T952">MIN(IF((DiscreteStatsTable[GroupByKey]=DiscreteStatsTable[[#This Row],[GroupByKey]]),(DiscreteStatsTable[GroupByKey]=DiscreteStatsTable[[#This Row],[GroupByKey]])*DiscreteStatsTable[Minimum]))</f>
        <v>0.203133309337034</v>
      </c>
      <c r="U952" s="7" cm="1">
        <f t="array" ref="U952">MAX(IF((DiscreteStatsTable[GroupByKey]=DiscreteStatsTable[[#This Row],[GroupByKey]]),(DiscreteStatsTable[GroupByKey]=DiscreteStatsTable[[#This Row],[GroupByKey]])*DiscreteStatsTable[Maximum]))</f>
        <v>29.554686467573401</v>
      </c>
      <c r="V952" s="7" cm="1">
        <f t="array" ref="V952">IFERROR(AVERAGE(IF((DiscreteStatsTable[GroupByKey]=DiscreteStatsTable[[#This Row],[GroupByKey]]),(DiscreteStatsTable[GroupByKey]=DiscreteStatsTable[[#This Row],[GroupByKey]])*DiscreteStatsTable[NumberObservations])),0)</f>
        <v>837.68</v>
      </c>
      <c r="W952" s="7">
        <f>IF((DiscreteStatsTable[[#This Row],[RepsRequested]]&gt;1),DiscreteStatsTable[[#This Row],[HalfWidth]],DiscreteStatsTable[[#This Row],[BatchMeansHalfWidth]])</f>
        <v>0.14988539923930494</v>
      </c>
      <c r="X952" s="7" cm="1">
        <f t="array" ref="X952">COUNT(IF((DiscreteStatsTable[GroupByKey]=DiscreteStatsTable[[#This Row],[GroupByKey]]),(DiscreteStatsTable[GroupByKey]=DiscreteStatsTable[[#This Row],[GroupByKey]])*DiscreteStatsTable[Replication]))</f>
        <v>50</v>
      </c>
      <c r="Y952" s="7">
        <f>IF(DiscreteStatsTable[[#This Row],[RepsRequested]]=DiscreteStatsTable[[#This Row],[RepsWithStatObserved]],1,0)</f>
        <v>1</v>
      </c>
    </row>
    <row r="953" spans="1:25" x14ac:dyDescent="0.25">
      <c r="A953" t="s">
        <v>68</v>
      </c>
      <c r="B953" t="s">
        <v>131</v>
      </c>
      <c r="C953">
        <v>2</v>
      </c>
      <c r="D953" t="s">
        <v>94</v>
      </c>
      <c r="E953" t="s">
        <v>89</v>
      </c>
      <c r="F953" t="s">
        <v>90</v>
      </c>
      <c r="G953">
        <v>1.6527023581470599</v>
      </c>
      <c r="H953">
        <v>0.41041064246088499</v>
      </c>
      <c r="I953">
        <v>0.24090578776761601</v>
      </c>
      <c r="J953">
        <v>9.3870565269969894</v>
      </c>
      <c r="K953">
        <v>861</v>
      </c>
      <c r="L953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53" s="7" cm="1">
        <f t="array" ref="M953">MAX(IF((ProjectInfoTable[ProjectName]=DiscreteStatsTable[[#This Row],[ProjectName]]),(ProjectInfoTable[ProjectName]=DiscreteStatsTable[[#This Row],[ProjectName]])*ProjectInfoTable[NumberOfReplications]))</f>
        <v>50</v>
      </c>
      <c r="N953" s="7" cm="1">
        <f t="array" ref="N953">IFERROR(AVERAGE(IF((DiscreteStatsTable[GroupByKey]=DiscreteStatsTable[[#This Row],[GroupByKey]]),(DiscreteStatsTable[GroupByKey]=DiscreteStatsTable[[#This Row],[GroupByKey]])*DiscreteStatsTable[Average])),0)</f>
        <v>2.205174161750556</v>
      </c>
      <c r="O953" s="7" cm="1">
        <f t="array" ref="O953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53" s="7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 s="7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53" s="7" cm="1">
        <f t="array" ref="R953">MIN(IF((DiscreteStatsTable[GroupByKey]=DiscreteStatsTable[[#This Row],[GroupByKey]]),(DiscreteStatsTable[GroupByKey]=DiscreteStatsTable[[#This Row],[GroupByKey]])*DiscreteStatsTable[Average]))</f>
        <v>1.50461510232873</v>
      </c>
      <c r="S953" s="7" cm="1">
        <f t="array" ref="S953">MAX(IF((DiscreteStatsTable[GroupByKey]=DiscreteStatsTable[[#This Row],[GroupByKey]]),(DiscreteStatsTable[GroupByKey]=DiscreteStatsTable[[#This Row],[GroupByKey]])*DiscreteStatsTable[Average]))</f>
        <v>3.7741600797505002</v>
      </c>
      <c r="T953" s="7" cm="1">
        <f t="array" ref="T953">MIN(IF((DiscreteStatsTable[GroupByKey]=DiscreteStatsTable[[#This Row],[GroupByKey]]),(DiscreteStatsTable[GroupByKey]=DiscreteStatsTable[[#This Row],[GroupByKey]])*DiscreteStatsTable[Minimum]))</f>
        <v>0.203133309337034</v>
      </c>
      <c r="U953" s="7" cm="1">
        <f t="array" ref="U953">MAX(IF((DiscreteStatsTable[GroupByKey]=DiscreteStatsTable[[#This Row],[GroupByKey]]),(DiscreteStatsTable[GroupByKey]=DiscreteStatsTable[[#This Row],[GroupByKey]])*DiscreteStatsTable[Maximum]))</f>
        <v>29.554686467573401</v>
      </c>
      <c r="V953" s="7" cm="1">
        <f t="array" ref="V953">IFERROR(AVERAGE(IF((DiscreteStatsTable[GroupByKey]=DiscreteStatsTable[[#This Row],[GroupByKey]]),(DiscreteStatsTable[GroupByKey]=DiscreteStatsTable[[#This Row],[GroupByKey]])*DiscreteStatsTable[NumberObservations])),0)</f>
        <v>837.68</v>
      </c>
      <c r="W953" s="7">
        <f>IF((DiscreteStatsTable[[#This Row],[RepsRequested]]&gt;1),DiscreteStatsTable[[#This Row],[HalfWidth]],DiscreteStatsTable[[#This Row],[BatchMeansHalfWidth]])</f>
        <v>0.14988539923930494</v>
      </c>
      <c r="X953" s="7" cm="1">
        <f t="array" ref="X953">COUNT(IF((DiscreteStatsTable[GroupByKey]=DiscreteStatsTable[[#This Row],[GroupByKey]]),(DiscreteStatsTable[GroupByKey]=DiscreteStatsTable[[#This Row],[GroupByKey]])*DiscreteStatsTable[Replication]))</f>
        <v>50</v>
      </c>
      <c r="Y953" s="7">
        <f>IF(DiscreteStatsTable[[#This Row],[RepsRequested]]=DiscreteStatsTable[[#This Row],[RepsWithStatObserved]],1,0)</f>
        <v>1</v>
      </c>
    </row>
    <row r="954" spans="1:25" x14ac:dyDescent="0.25">
      <c r="A954" t="s">
        <v>68</v>
      </c>
      <c r="B954" t="s">
        <v>131</v>
      </c>
      <c r="C954">
        <v>3</v>
      </c>
      <c r="D954" t="s">
        <v>94</v>
      </c>
      <c r="E954" t="s">
        <v>89</v>
      </c>
      <c r="F954" t="s">
        <v>90</v>
      </c>
      <c r="G954">
        <v>1.75666387701695</v>
      </c>
      <c r="H954">
        <v>0.51897344196914996</v>
      </c>
      <c r="I954">
        <v>0.21677352216357801</v>
      </c>
      <c r="J954">
        <v>12.5668743600623</v>
      </c>
      <c r="K954">
        <v>815</v>
      </c>
      <c r="L954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54" s="7" cm="1">
        <f t="array" ref="M954">MAX(IF((ProjectInfoTable[ProjectName]=DiscreteStatsTable[[#This Row],[ProjectName]]),(ProjectInfoTable[ProjectName]=DiscreteStatsTable[[#This Row],[ProjectName]])*ProjectInfoTable[NumberOfReplications]))</f>
        <v>50</v>
      </c>
      <c r="N954" s="7" cm="1">
        <f t="array" ref="N954">IFERROR(AVERAGE(IF((DiscreteStatsTable[GroupByKey]=DiscreteStatsTable[[#This Row],[GroupByKey]]),(DiscreteStatsTable[GroupByKey]=DiscreteStatsTable[[#This Row],[GroupByKey]])*DiscreteStatsTable[Average])),0)</f>
        <v>2.205174161750556</v>
      </c>
      <c r="O954" s="7" cm="1">
        <f t="array" ref="O954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54" s="7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 s="7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54" s="7" cm="1">
        <f t="array" ref="R954">MIN(IF((DiscreteStatsTable[GroupByKey]=DiscreteStatsTable[[#This Row],[GroupByKey]]),(DiscreteStatsTable[GroupByKey]=DiscreteStatsTable[[#This Row],[GroupByKey]])*DiscreteStatsTable[Average]))</f>
        <v>1.50461510232873</v>
      </c>
      <c r="S954" s="7" cm="1">
        <f t="array" ref="S954">MAX(IF((DiscreteStatsTable[GroupByKey]=DiscreteStatsTable[[#This Row],[GroupByKey]]),(DiscreteStatsTable[GroupByKey]=DiscreteStatsTable[[#This Row],[GroupByKey]])*DiscreteStatsTable[Average]))</f>
        <v>3.7741600797505002</v>
      </c>
      <c r="T954" s="7" cm="1">
        <f t="array" ref="T954">MIN(IF((DiscreteStatsTable[GroupByKey]=DiscreteStatsTable[[#This Row],[GroupByKey]]),(DiscreteStatsTable[GroupByKey]=DiscreteStatsTable[[#This Row],[GroupByKey]])*DiscreteStatsTable[Minimum]))</f>
        <v>0.203133309337034</v>
      </c>
      <c r="U954" s="7" cm="1">
        <f t="array" ref="U954">MAX(IF((DiscreteStatsTable[GroupByKey]=DiscreteStatsTable[[#This Row],[GroupByKey]]),(DiscreteStatsTable[GroupByKey]=DiscreteStatsTable[[#This Row],[GroupByKey]])*DiscreteStatsTable[Maximum]))</f>
        <v>29.554686467573401</v>
      </c>
      <c r="V954" s="7" cm="1">
        <f t="array" ref="V954">IFERROR(AVERAGE(IF((DiscreteStatsTable[GroupByKey]=DiscreteStatsTable[[#This Row],[GroupByKey]]),(DiscreteStatsTable[GroupByKey]=DiscreteStatsTable[[#This Row],[GroupByKey]])*DiscreteStatsTable[NumberObservations])),0)</f>
        <v>837.68</v>
      </c>
      <c r="W954" s="7">
        <f>IF((DiscreteStatsTable[[#This Row],[RepsRequested]]&gt;1),DiscreteStatsTable[[#This Row],[HalfWidth]],DiscreteStatsTable[[#This Row],[BatchMeansHalfWidth]])</f>
        <v>0.14988539923930494</v>
      </c>
      <c r="X954" s="7" cm="1">
        <f t="array" ref="X954">COUNT(IF((DiscreteStatsTable[GroupByKey]=DiscreteStatsTable[[#This Row],[GroupByKey]]),(DiscreteStatsTable[GroupByKey]=DiscreteStatsTable[[#This Row],[GroupByKey]])*DiscreteStatsTable[Replication]))</f>
        <v>50</v>
      </c>
      <c r="Y954" s="7">
        <f>IF(DiscreteStatsTable[[#This Row],[RepsRequested]]=DiscreteStatsTable[[#This Row],[RepsWithStatObserved]],1,0)</f>
        <v>1</v>
      </c>
    </row>
    <row r="955" spans="1:25" x14ac:dyDescent="0.25">
      <c r="A955" t="s">
        <v>68</v>
      </c>
      <c r="B955" t="s">
        <v>131</v>
      </c>
      <c r="C955">
        <v>4</v>
      </c>
      <c r="D955" t="s">
        <v>94</v>
      </c>
      <c r="E955" t="s">
        <v>89</v>
      </c>
      <c r="F955" t="s">
        <v>90</v>
      </c>
      <c r="G955">
        <v>2.3637381289267898</v>
      </c>
      <c r="H955">
        <v>0.87910922910944</v>
      </c>
      <c r="I955">
        <v>0.23955856428921199</v>
      </c>
      <c r="J955">
        <v>19.872147986401</v>
      </c>
      <c r="K955">
        <v>809</v>
      </c>
      <c r="L955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55" s="7" cm="1">
        <f t="array" ref="M955">MAX(IF((ProjectInfoTable[ProjectName]=DiscreteStatsTable[[#This Row],[ProjectName]]),(ProjectInfoTable[ProjectName]=DiscreteStatsTable[[#This Row],[ProjectName]])*ProjectInfoTable[NumberOfReplications]))</f>
        <v>50</v>
      </c>
      <c r="N955" s="7" cm="1">
        <f t="array" ref="N955">IFERROR(AVERAGE(IF((DiscreteStatsTable[GroupByKey]=DiscreteStatsTable[[#This Row],[GroupByKey]]),(DiscreteStatsTable[GroupByKey]=DiscreteStatsTable[[#This Row],[GroupByKey]])*DiscreteStatsTable[Average])),0)</f>
        <v>2.205174161750556</v>
      </c>
      <c r="O955" s="7" cm="1">
        <f t="array" ref="O955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55" s="7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 s="7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55" s="7" cm="1">
        <f t="array" ref="R955">MIN(IF((DiscreteStatsTable[GroupByKey]=DiscreteStatsTable[[#This Row],[GroupByKey]]),(DiscreteStatsTable[GroupByKey]=DiscreteStatsTable[[#This Row],[GroupByKey]])*DiscreteStatsTable[Average]))</f>
        <v>1.50461510232873</v>
      </c>
      <c r="S955" s="7" cm="1">
        <f t="array" ref="S955">MAX(IF((DiscreteStatsTable[GroupByKey]=DiscreteStatsTable[[#This Row],[GroupByKey]]),(DiscreteStatsTable[GroupByKey]=DiscreteStatsTable[[#This Row],[GroupByKey]])*DiscreteStatsTable[Average]))</f>
        <v>3.7741600797505002</v>
      </c>
      <c r="T955" s="7" cm="1">
        <f t="array" ref="T955">MIN(IF((DiscreteStatsTable[GroupByKey]=DiscreteStatsTable[[#This Row],[GroupByKey]]),(DiscreteStatsTable[GroupByKey]=DiscreteStatsTable[[#This Row],[GroupByKey]])*DiscreteStatsTable[Minimum]))</f>
        <v>0.203133309337034</v>
      </c>
      <c r="U955" s="7" cm="1">
        <f t="array" ref="U955">MAX(IF((DiscreteStatsTable[GroupByKey]=DiscreteStatsTable[[#This Row],[GroupByKey]]),(DiscreteStatsTable[GroupByKey]=DiscreteStatsTable[[#This Row],[GroupByKey]])*DiscreteStatsTable[Maximum]))</f>
        <v>29.554686467573401</v>
      </c>
      <c r="V955" s="7" cm="1">
        <f t="array" ref="V955">IFERROR(AVERAGE(IF((DiscreteStatsTable[GroupByKey]=DiscreteStatsTable[[#This Row],[GroupByKey]]),(DiscreteStatsTable[GroupByKey]=DiscreteStatsTable[[#This Row],[GroupByKey]])*DiscreteStatsTable[NumberObservations])),0)</f>
        <v>837.68</v>
      </c>
      <c r="W955" s="7">
        <f>IF((DiscreteStatsTable[[#This Row],[RepsRequested]]&gt;1),DiscreteStatsTable[[#This Row],[HalfWidth]],DiscreteStatsTable[[#This Row],[BatchMeansHalfWidth]])</f>
        <v>0.14988539923930494</v>
      </c>
      <c r="X955" s="7" cm="1">
        <f t="array" ref="X955">COUNT(IF((DiscreteStatsTable[GroupByKey]=DiscreteStatsTable[[#This Row],[GroupByKey]]),(DiscreteStatsTable[GroupByKey]=DiscreteStatsTable[[#This Row],[GroupByKey]])*DiscreteStatsTable[Replication]))</f>
        <v>50</v>
      </c>
      <c r="Y955" s="7">
        <f>IF(DiscreteStatsTable[[#This Row],[RepsRequested]]=DiscreteStatsTable[[#This Row],[RepsWithStatObserved]],1,0)</f>
        <v>1</v>
      </c>
    </row>
    <row r="956" spans="1:25" x14ac:dyDescent="0.25">
      <c r="A956" t="s">
        <v>68</v>
      </c>
      <c r="B956" t="s">
        <v>131</v>
      </c>
      <c r="C956">
        <v>5</v>
      </c>
      <c r="D956" t="s">
        <v>94</v>
      </c>
      <c r="E956" t="s">
        <v>89</v>
      </c>
      <c r="F956" t="s">
        <v>90</v>
      </c>
      <c r="G956">
        <v>1.86187490596712</v>
      </c>
      <c r="H956">
        <v>0.72399634330996898</v>
      </c>
      <c r="I956">
        <v>0.22737467353891799</v>
      </c>
      <c r="J956">
        <v>14.4932557652953</v>
      </c>
      <c r="K956">
        <v>824</v>
      </c>
      <c r="L956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56" s="7" cm="1">
        <f t="array" ref="M956">MAX(IF((ProjectInfoTable[ProjectName]=DiscreteStatsTable[[#This Row],[ProjectName]]),(ProjectInfoTable[ProjectName]=DiscreteStatsTable[[#This Row],[ProjectName]])*ProjectInfoTable[NumberOfReplications]))</f>
        <v>50</v>
      </c>
      <c r="N956" s="7" cm="1">
        <f t="array" ref="N956">IFERROR(AVERAGE(IF((DiscreteStatsTable[GroupByKey]=DiscreteStatsTable[[#This Row],[GroupByKey]]),(DiscreteStatsTable[GroupByKey]=DiscreteStatsTable[[#This Row],[GroupByKey]])*DiscreteStatsTable[Average])),0)</f>
        <v>2.205174161750556</v>
      </c>
      <c r="O956" s="7" cm="1">
        <f t="array" ref="O956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56" s="7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 s="7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56" s="7" cm="1">
        <f t="array" ref="R956">MIN(IF((DiscreteStatsTable[GroupByKey]=DiscreteStatsTable[[#This Row],[GroupByKey]]),(DiscreteStatsTable[GroupByKey]=DiscreteStatsTable[[#This Row],[GroupByKey]])*DiscreteStatsTable[Average]))</f>
        <v>1.50461510232873</v>
      </c>
      <c r="S956" s="7" cm="1">
        <f t="array" ref="S956">MAX(IF((DiscreteStatsTable[GroupByKey]=DiscreteStatsTable[[#This Row],[GroupByKey]]),(DiscreteStatsTable[GroupByKey]=DiscreteStatsTable[[#This Row],[GroupByKey]])*DiscreteStatsTable[Average]))</f>
        <v>3.7741600797505002</v>
      </c>
      <c r="T956" s="7" cm="1">
        <f t="array" ref="T956">MIN(IF((DiscreteStatsTable[GroupByKey]=DiscreteStatsTable[[#This Row],[GroupByKey]]),(DiscreteStatsTable[GroupByKey]=DiscreteStatsTable[[#This Row],[GroupByKey]])*DiscreteStatsTable[Minimum]))</f>
        <v>0.203133309337034</v>
      </c>
      <c r="U956" s="7" cm="1">
        <f t="array" ref="U956">MAX(IF((DiscreteStatsTable[GroupByKey]=DiscreteStatsTable[[#This Row],[GroupByKey]]),(DiscreteStatsTable[GroupByKey]=DiscreteStatsTable[[#This Row],[GroupByKey]])*DiscreteStatsTable[Maximum]))</f>
        <v>29.554686467573401</v>
      </c>
      <c r="V956" s="7" cm="1">
        <f t="array" ref="V956">IFERROR(AVERAGE(IF((DiscreteStatsTable[GroupByKey]=DiscreteStatsTable[[#This Row],[GroupByKey]]),(DiscreteStatsTable[GroupByKey]=DiscreteStatsTable[[#This Row],[GroupByKey]])*DiscreteStatsTable[NumberObservations])),0)</f>
        <v>837.68</v>
      </c>
      <c r="W956" s="7">
        <f>IF((DiscreteStatsTable[[#This Row],[RepsRequested]]&gt;1),DiscreteStatsTable[[#This Row],[HalfWidth]],DiscreteStatsTable[[#This Row],[BatchMeansHalfWidth]])</f>
        <v>0.14988539923930494</v>
      </c>
      <c r="X956" s="7" cm="1">
        <f t="array" ref="X956">COUNT(IF((DiscreteStatsTable[GroupByKey]=DiscreteStatsTable[[#This Row],[GroupByKey]]),(DiscreteStatsTable[GroupByKey]=DiscreteStatsTable[[#This Row],[GroupByKey]])*DiscreteStatsTable[Replication]))</f>
        <v>50</v>
      </c>
      <c r="Y956" s="7">
        <f>IF(DiscreteStatsTable[[#This Row],[RepsRequested]]=DiscreteStatsTable[[#This Row],[RepsWithStatObserved]],1,0)</f>
        <v>1</v>
      </c>
    </row>
    <row r="957" spans="1:25" x14ac:dyDescent="0.25">
      <c r="A957" t="s">
        <v>68</v>
      </c>
      <c r="B957" t="s">
        <v>131</v>
      </c>
      <c r="C957">
        <v>6</v>
      </c>
      <c r="D957" t="s">
        <v>94</v>
      </c>
      <c r="E957" t="s">
        <v>89</v>
      </c>
      <c r="F957" t="s">
        <v>90</v>
      </c>
      <c r="G957">
        <v>2.26964576763107</v>
      </c>
      <c r="H957">
        <v>0.66568226958578103</v>
      </c>
      <c r="I957">
        <v>0.25328199532430101</v>
      </c>
      <c r="J957">
        <v>12.3347031709779</v>
      </c>
      <c r="K957">
        <v>845</v>
      </c>
      <c r="L957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57" s="7" cm="1">
        <f t="array" ref="M957">MAX(IF((ProjectInfoTable[ProjectName]=DiscreteStatsTable[[#This Row],[ProjectName]]),(ProjectInfoTable[ProjectName]=DiscreteStatsTable[[#This Row],[ProjectName]])*ProjectInfoTable[NumberOfReplications]))</f>
        <v>50</v>
      </c>
      <c r="N957" s="7" cm="1">
        <f t="array" ref="N957">IFERROR(AVERAGE(IF((DiscreteStatsTable[GroupByKey]=DiscreteStatsTable[[#This Row],[GroupByKey]]),(DiscreteStatsTable[GroupByKey]=DiscreteStatsTable[[#This Row],[GroupByKey]])*DiscreteStatsTable[Average])),0)</f>
        <v>2.205174161750556</v>
      </c>
      <c r="O957" s="7" cm="1">
        <f t="array" ref="O957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57" s="7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 s="7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57" s="7" cm="1">
        <f t="array" ref="R957">MIN(IF((DiscreteStatsTable[GroupByKey]=DiscreteStatsTable[[#This Row],[GroupByKey]]),(DiscreteStatsTable[GroupByKey]=DiscreteStatsTable[[#This Row],[GroupByKey]])*DiscreteStatsTable[Average]))</f>
        <v>1.50461510232873</v>
      </c>
      <c r="S957" s="7" cm="1">
        <f t="array" ref="S957">MAX(IF((DiscreteStatsTable[GroupByKey]=DiscreteStatsTable[[#This Row],[GroupByKey]]),(DiscreteStatsTable[GroupByKey]=DiscreteStatsTable[[#This Row],[GroupByKey]])*DiscreteStatsTable[Average]))</f>
        <v>3.7741600797505002</v>
      </c>
      <c r="T957" s="7" cm="1">
        <f t="array" ref="T957">MIN(IF((DiscreteStatsTable[GroupByKey]=DiscreteStatsTable[[#This Row],[GroupByKey]]),(DiscreteStatsTable[GroupByKey]=DiscreteStatsTable[[#This Row],[GroupByKey]])*DiscreteStatsTable[Minimum]))</f>
        <v>0.203133309337034</v>
      </c>
      <c r="U957" s="7" cm="1">
        <f t="array" ref="U957">MAX(IF((DiscreteStatsTable[GroupByKey]=DiscreteStatsTable[[#This Row],[GroupByKey]]),(DiscreteStatsTable[GroupByKey]=DiscreteStatsTable[[#This Row],[GroupByKey]])*DiscreteStatsTable[Maximum]))</f>
        <v>29.554686467573401</v>
      </c>
      <c r="V957" s="7" cm="1">
        <f t="array" ref="V957">IFERROR(AVERAGE(IF((DiscreteStatsTable[GroupByKey]=DiscreteStatsTable[[#This Row],[GroupByKey]]),(DiscreteStatsTable[GroupByKey]=DiscreteStatsTable[[#This Row],[GroupByKey]])*DiscreteStatsTable[NumberObservations])),0)</f>
        <v>837.68</v>
      </c>
      <c r="W957" s="7">
        <f>IF((DiscreteStatsTable[[#This Row],[RepsRequested]]&gt;1),DiscreteStatsTable[[#This Row],[HalfWidth]],DiscreteStatsTable[[#This Row],[BatchMeansHalfWidth]])</f>
        <v>0.14988539923930494</v>
      </c>
      <c r="X957" s="7" cm="1">
        <f t="array" ref="X957">COUNT(IF((DiscreteStatsTable[GroupByKey]=DiscreteStatsTable[[#This Row],[GroupByKey]]),(DiscreteStatsTable[GroupByKey]=DiscreteStatsTable[[#This Row],[GroupByKey]])*DiscreteStatsTable[Replication]))</f>
        <v>50</v>
      </c>
      <c r="Y957" s="7">
        <f>IF(DiscreteStatsTable[[#This Row],[RepsRequested]]=DiscreteStatsTable[[#This Row],[RepsWithStatObserved]],1,0)</f>
        <v>1</v>
      </c>
    </row>
    <row r="958" spans="1:25" x14ac:dyDescent="0.25">
      <c r="A958" t="s">
        <v>68</v>
      </c>
      <c r="B958" t="s">
        <v>131</v>
      </c>
      <c r="C958">
        <v>7</v>
      </c>
      <c r="D958" t="s">
        <v>94</v>
      </c>
      <c r="E958" t="s">
        <v>89</v>
      </c>
      <c r="F958" t="s">
        <v>90</v>
      </c>
      <c r="G958">
        <v>2.0302145097887201</v>
      </c>
      <c r="H958">
        <v>0.60370273951580899</v>
      </c>
      <c r="I958">
        <v>0.25221005455790602</v>
      </c>
      <c r="J958">
        <v>14.7359788524615</v>
      </c>
      <c r="K958">
        <v>830</v>
      </c>
      <c r="L958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58" s="7" cm="1">
        <f t="array" ref="M958">MAX(IF((ProjectInfoTable[ProjectName]=DiscreteStatsTable[[#This Row],[ProjectName]]),(ProjectInfoTable[ProjectName]=DiscreteStatsTable[[#This Row],[ProjectName]])*ProjectInfoTable[NumberOfReplications]))</f>
        <v>50</v>
      </c>
      <c r="N958" s="7" cm="1">
        <f t="array" ref="N958">IFERROR(AVERAGE(IF((DiscreteStatsTable[GroupByKey]=DiscreteStatsTable[[#This Row],[GroupByKey]]),(DiscreteStatsTable[GroupByKey]=DiscreteStatsTable[[#This Row],[GroupByKey]])*DiscreteStatsTable[Average])),0)</f>
        <v>2.205174161750556</v>
      </c>
      <c r="O958" s="7" cm="1">
        <f t="array" ref="O958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58" s="7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 s="7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58" s="7" cm="1">
        <f t="array" ref="R958">MIN(IF((DiscreteStatsTable[GroupByKey]=DiscreteStatsTable[[#This Row],[GroupByKey]]),(DiscreteStatsTable[GroupByKey]=DiscreteStatsTable[[#This Row],[GroupByKey]])*DiscreteStatsTable[Average]))</f>
        <v>1.50461510232873</v>
      </c>
      <c r="S958" s="7" cm="1">
        <f t="array" ref="S958">MAX(IF((DiscreteStatsTable[GroupByKey]=DiscreteStatsTable[[#This Row],[GroupByKey]]),(DiscreteStatsTable[GroupByKey]=DiscreteStatsTable[[#This Row],[GroupByKey]])*DiscreteStatsTable[Average]))</f>
        <v>3.7741600797505002</v>
      </c>
      <c r="T958" s="7" cm="1">
        <f t="array" ref="T958">MIN(IF((DiscreteStatsTable[GroupByKey]=DiscreteStatsTable[[#This Row],[GroupByKey]]),(DiscreteStatsTable[GroupByKey]=DiscreteStatsTable[[#This Row],[GroupByKey]])*DiscreteStatsTable[Minimum]))</f>
        <v>0.203133309337034</v>
      </c>
      <c r="U958" s="7" cm="1">
        <f t="array" ref="U958">MAX(IF((DiscreteStatsTable[GroupByKey]=DiscreteStatsTable[[#This Row],[GroupByKey]]),(DiscreteStatsTable[GroupByKey]=DiscreteStatsTable[[#This Row],[GroupByKey]])*DiscreteStatsTable[Maximum]))</f>
        <v>29.554686467573401</v>
      </c>
      <c r="V958" s="7" cm="1">
        <f t="array" ref="V958">IFERROR(AVERAGE(IF((DiscreteStatsTable[GroupByKey]=DiscreteStatsTable[[#This Row],[GroupByKey]]),(DiscreteStatsTable[GroupByKey]=DiscreteStatsTable[[#This Row],[GroupByKey]])*DiscreteStatsTable[NumberObservations])),0)</f>
        <v>837.68</v>
      </c>
      <c r="W958" s="7">
        <f>IF((DiscreteStatsTable[[#This Row],[RepsRequested]]&gt;1),DiscreteStatsTable[[#This Row],[HalfWidth]],DiscreteStatsTable[[#This Row],[BatchMeansHalfWidth]])</f>
        <v>0.14988539923930494</v>
      </c>
      <c r="X958" s="7" cm="1">
        <f t="array" ref="X958">COUNT(IF((DiscreteStatsTable[GroupByKey]=DiscreteStatsTable[[#This Row],[GroupByKey]]),(DiscreteStatsTable[GroupByKey]=DiscreteStatsTable[[#This Row],[GroupByKey]])*DiscreteStatsTable[Replication]))</f>
        <v>50</v>
      </c>
      <c r="Y958" s="7">
        <f>IF(DiscreteStatsTable[[#This Row],[RepsRequested]]=DiscreteStatsTable[[#This Row],[RepsWithStatObserved]],1,0)</f>
        <v>1</v>
      </c>
    </row>
    <row r="959" spans="1:25" x14ac:dyDescent="0.25">
      <c r="A959" t="s">
        <v>68</v>
      </c>
      <c r="B959" t="s">
        <v>131</v>
      </c>
      <c r="C959">
        <v>8</v>
      </c>
      <c r="D959" t="s">
        <v>94</v>
      </c>
      <c r="E959" t="s">
        <v>89</v>
      </c>
      <c r="F959" t="s">
        <v>90</v>
      </c>
      <c r="G959">
        <v>1.98968501913861</v>
      </c>
      <c r="H959">
        <v>0.50168995188596699</v>
      </c>
      <c r="I959">
        <v>0.203133309337034</v>
      </c>
      <c r="J959">
        <v>10.0898139807387</v>
      </c>
      <c r="K959">
        <v>835</v>
      </c>
      <c r="L959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59" s="7" cm="1">
        <f t="array" ref="M959">MAX(IF((ProjectInfoTable[ProjectName]=DiscreteStatsTable[[#This Row],[ProjectName]]),(ProjectInfoTable[ProjectName]=DiscreteStatsTable[[#This Row],[ProjectName]])*ProjectInfoTable[NumberOfReplications]))</f>
        <v>50</v>
      </c>
      <c r="N959" s="7" cm="1">
        <f t="array" ref="N959">IFERROR(AVERAGE(IF((DiscreteStatsTable[GroupByKey]=DiscreteStatsTable[[#This Row],[GroupByKey]]),(DiscreteStatsTable[GroupByKey]=DiscreteStatsTable[[#This Row],[GroupByKey]])*DiscreteStatsTable[Average])),0)</f>
        <v>2.205174161750556</v>
      </c>
      <c r="O959" s="7" cm="1">
        <f t="array" ref="O959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59" s="7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 s="7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59" s="7" cm="1">
        <f t="array" ref="R959">MIN(IF((DiscreteStatsTable[GroupByKey]=DiscreteStatsTable[[#This Row],[GroupByKey]]),(DiscreteStatsTable[GroupByKey]=DiscreteStatsTable[[#This Row],[GroupByKey]])*DiscreteStatsTable[Average]))</f>
        <v>1.50461510232873</v>
      </c>
      <c r="S959" s="7" cm="1">
        <f t="array" ref="S959">MAX(IF((DiscreteStatsTable[GroupByKey]=DiscreteStatsTable[[#This Row],[GroupByKey]]),(DiscreteStatsTable[GroupByKey]=DiscreteStatsTable[[#This Row],[GroupByKey]])*DiscreteStatsTable[Average]))</f>
        <v>3.7741600797505002</v>
      </c>
      <c r="T959" s="7" cm="1">
        <f t="array" ref="T959">MIN(IF((DiscreteStatsTable[GroupByKey]=DiscreteStatsTable[[#This Row],[GroupByKey]]),(DiscreteStatsTable[GroupByKey]=DiscreteStatsTable[[#This Row],[GroupByKey]])*DiscreteStatsTable[Minimum]))</f>
        <v>0.203133309337034</v>
      </c>
      <c r="U959" s="7" cm="1">
        <f t="array" ref="U959">MAX(IF((DiscreteStatsTable[GroupByKey]=DiscreteStatsTable[[#This Row],[GroupByKey]]),(DiscreteStatsTable[GroupByKey]=DiscreteStatsTable[[#This Row],[GroupByKey]])*DiscreteStatsTable[Maximum]))</f>
        <v>29.554686467573401</v>
      </c>
      <c r="V959" s="7" cm="1">
        <f t="array" ref="V959">IFERROR(AVERAGE(IF((DiscreteStatsTable[GroupByKey]=DiscreteStatsTable[[#This Row],[GroupByKey]]),(DiscreteStatsTable[GroupByKey]=DiscreteStatsTable[[#This Row],[GroupByKey]])*DiscreteStatsTable[NumberObservations])),0)</f>
        <v>837.68</v>
      </c>
      <c r="W959" s="7">
        <f>IF((DiscreteStatsTable[[#This Row],[RepsRequested]]&gt;1),DiscreteStatsTable[[#This Row],[HalfWidth]],DiscreteStatsTable[[#This Row],[BatchMeansHalfWidth]])</f>
        <v>0.14988539923930494</v>
      </c>
      <c r="X959" s="7" cm="1">
        <f t="array" ref="X959">COUNT(IF((DiscreteStatsTable[GroupByKey]=DiscreteStatsTable[[#This Row],[GroupByKey]]),(DiscreteStatsTable[GroupByKey]=DiscreteStatsTable[[#This Row],[GroupByKey]])*DiscreteStatsTable[Replication]))</f>
        <v>50</v>
      </c>
      <c r="Y959" s="7">
        <f>IF(DiscreteStatsTable[[#This Row],[RepsRequested]]=DiscreteStatsTable[[#This Row],[RepsWithStatObserved]],1,0)</f>
        <v>1</v>
      </c>
    </row>
    <row r="960" spans="1:25" x14ac:dyDescent="0.25">
      <c r="A960" t="s">
        <v>68</v>
      </c>
      <c r="B960" t="s">
        <v>131</v>
      </c>
      <c r="C960">
        <v>9</v>
      </c>
      <c r="D960" t="s">
        <v>94</v>
      </c>
      <c r="E960" t="s">
        <v>89</v>
      </c>
      <c r="F960" t="s">
        <v>90</v>
      </c>
      <c r="G960">
        <v>3.0821273135943299</v>
      </c>
      <c r="H960">
        <v>1.0440991845783101</v>
      </c>
      <c r="I960">
        <v>0.28046973229794497</v>
      </c>
      <c r="J960">
        <v>18.771074116146298</v>
      </c>
      <c r="K960">
        <v>846</v>
      </c>
      <c r="L960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60" s="7" cm="1">
        <f t="array" ref="M960">MAX(IF((ProjectInfoTable[ProjectName]=DiscreteStatsTable[[#This Row],[ProjectName]]),(ProjectInfoTable[ProjectName]=DiscreteStatsTable[[#This Row],[ProjectName]])*ProjectInfoTable[NumberOfReplications]))</f>
        <v>50</v>
      </c>
      <c r="N960" s="7" cm="1">
        <f t="array" ref="N960">IFERROR(AVERAGE(IF((DiscreteStatsTable[GroupByKey]=DiscreteStatsTable[[#This Row],[GroupByKey]]),(DiscreteStatsTable[GroupByKey]=DiscreteStatsTable[[#This Row],[GroupByKey]])*DiscreteStatsTable[Average])),0)</f>
        <v>2.205174161750556</v>
      </c>
      <c r="O960" s="7" cm="1">
        <f t="array" ref="O960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60" s="7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 s="7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60" s="7" cm="1">
        <f t="array" ref="R960">MIN(IF((DiscreteStatsTable[GroupByKey]=DiscreteStatsTable[[#This Row],[GroupByKey]]),(DiscreteStatsTable[GroupByKey]=DiscreteStatsTable[[#This Row],[GroupByKey]])*DiscreteStatsTable[Average]))</f>
        <v>1.50461510232873</v>
      </c>
      <c r="S960" s="7" cm="1">
        <f t="array" ref="S960">MAX(IF((DiscreteStatsTable[GroupByKey]=DiscreteStatsTable[[#This Row],[GroupByKey]]),(DiscreteStatsTable[GroupByKey]=DiscreteStatsTable[[#This Row],[GroupByKey]])*DiscreteStatsTable[Average]))</f>
        <v>3.7741600797505002</v>
      </c>
      <c r="T960" s="7" cm="1">
        <f t="array" ref="T960">MIN(IF((DiscreteStatsTable[GroupByKey]=DiscreteStatsTable[[#This Row],[GroupByKey]]),(DiscreteStatsTable[GroupByKey]=DiscreteStatsTable[[#This Row],[GroupByKey]])*DiscreteStatsTable[Minimum]))</f>
        <v>0.203133309337034</v>
      </c>
      <c r="U960" s="7" cm="1">
        <f t="array" ref="U960">MAX(IF((DiscreteStatsTable[GroupByKey]=DiscreteStatsTable[[#This Row],[GroupByKey]]),(DiscreteStatsTable[GroupByKey]=DiscreteStatsTable[[#This Row],[GroupByKey]])*DiscreteStatsTable[Maximum]))</f>
        <v>29.554686467573401</v>
      </c>
      <c r="V960" s="7" cm="1">
        <f t="array" ref="V960">IFERROR(AVERAGE(IF((DiscreteStatsTable[GroupByKey]=DiscreteStatsTable[[#This Row],[GroupByKey]]),(DiscreteStatsTable[GroupByKey]=DiscreteStatsTable[[#This Row],[GroupByKey]])*DiscreteStatsTable[NumberObservations])),0)</f>
        <v>837.68</v>
      </c>
      <c r="W960" s="7">
        <f>IF((DiscreteStatsTable[[#This Row],[RepsRequested]]&gt;1),DiscreteStatsTable[[#This Row],[HalfWidth]],DiscreteStatsTable[[#This Row],[BatchMeansHalfWidth]])</f>
        <v>0.14988539923930494</v>
      </c>
      <c r="X960" s="7" cm="1">
        <f t="array" ref="X960">COUNT(IF((DiscreteStatsTable[GroupByKey]=DiscreteStatsTable[[#This Row],[GroupByKey]]),(DiscreteStatsTable[GroupByKey]=DiscreteStatsTable[[#This Row],[GroupByKey]])*DiscreteStatsTable[Replication]))</f>
        <v>50</v>
      </c>
      <c r="Y960" s="7">
        <f>IF(DiscreteStatsTable[[#This Row],[RepsRequested]]=DiscreteStatsTable[[#This Row],[RepsWithStatObserved]],1,0)</f>
        <v>1</v>
      </c>
    </row>
    <row r="961" spans="1:25" x14ac:dyDescent="0.25">
      <c r="A961" t="s">
        <v>68</v>
      </c>
      <c r="B961" t="s">
        <v>131</v>
      </c>
      <c r="C961">
        <v>10</v>
      </c>
      <c r="D961" t="s">
        <v>94</v>
      </c>
      <c r="E961" t="s">
        <v>89</v>
      </c>
      <c r="F961" t="s">
        <v>90</v>
      </c>
      <c r="G961">
        <v>2.6604969988617202</v>
      </c>
      <c r="H961">
        <v>0.68967704284394005</v>
      </c>
      <c r="I961">
        <v>0.24344814900564399</v>
      </c>
      <c r="J961">
        <v>18.334100703269801</v>
      </c>
      <c r="K961">
        <v>867</v>
      </c>
      <c r="L961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61" s="7" cm="1">
        <f t="array" ref="M961">MAX(IF((ProjectInfoTable[ProjectName]=DiscreteStatsTable[[#This Row],[ProjectName]]),(ProjectInfoTable[ProjectName]=DiscreteStatsTable[[#This Row],[ProjectName]])*ProjectInfoTable[NumberOfReplications]))</f>
        <v>50</v>
      </c>
      <c r="N961" s="7" cm="1">
        <f t="array" ref="N961">IFERROR(AVERAGE(IF((DiscreteStatsTable[GroupByKey]=DiscreteStatsTable[[#This Row],[GroupByKey]]),(DiscreteStatsTable[GroupByKey]=DiscreteStatsTable[[#This Row],[GroupByKey]])*DiscreteStatsTable[Average])),0)</f>
        <v>2.205174161750556</v>
      </c>
      <c r="O961" s="7" cm="1">
        <f t="array" ref="O961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61" s="7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 s="7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61" s="7" cm="1">
        <f t="array" ref="R961">MIN(IF((DiscreteStatsTable[GroupByKey]=DiscreteStatsTable[[#This Row],[GroupByKey]]),(DiscreteStatsTable[GroupByKey]=DiscreteStatsTable[[#This Row],[GroupByKey]])*DiscreteStatsTable[Average]))</f>
        <v>1.50461510232873</v>
      </c>
      <c r="S961" s="7" cm="1">
        <f t="array" ref="S961">MAX(IF((DiscreteStatsTable[GroupByKey]=DiscreteStatsTable[[#This Row],[GroupByKey]]),(DiscreteStatsTable[GroupByKey]=DiscreteStatsTable[[#This Row],[GroupByKey]])*DiscreteStatsTable[Average]))</f>
        <v>3.7741600797505002</v>
      </c>
      <c r="T961" s="7" cm="1">
        <f t="array" ref="T961">MIN(IF((DiscreteStatsTable[GroupByKey]=DiscreteStatsTable[[#This Row],[GroupByKey]]),(DiscreteStatsTable[GroupByKey]=DiscreteStatsTable[[#This Row],[GroupByKey]])*DiscreteStatsTable[Minimum]))</f>
        <v>0.203133309337034</v>
      </c>
      <c r="U961" s="7" cm="1">
        <f t="array" ref="U961">MAX(IF((DiscreteStatsTable[GroupByKey]=DiscreteStatsTable[[#This Row],[GroupByKey]]),(DiscreteStatsTable[GroupByKey]=DiscreteStatsTable[[#This Row],[GroupByKey]])*DiscreteStatsTable[Maximum]))</f>
        <v>29.554686467573401</v>
      </c>
      <c r="V961" s="7" cm="1">
        <f t="array" ref="V961">IFERROR(AVERAGE(IF((DiscreteStatsTable[GroupByKey]=DiscreteStatsTable[[#This Row],[GroupByKey]]),(DiscreteStatsTable[GroupByKey]=DiscreteStatsTable[[#This Row],[GroupByKey]])*DiscreteStatsTable[NumberObservations])),0)</f>
        <v>837.68</v>
      </c>
      <c r="W961" s="7">
        <f>IF((DiscreteStatsTable[[#This Row],[RepsRequested]]&gt;1),DiscreteStatsTable[[#This Row],[HalfWidth]],DiscreteStatsTable[[#This Row],[BatchMeansHalfWidth]])</f>
        <v>0.14988539923930494</v>
      </c>
      <c r="X961" s="7" cm="1">
        <f t="array" ref="X961">COUNT(IF((DiscreteStatsTable[GroupByKey]=DiscreteStatsTable[[#This Row],[GroupByKey]]),(DiscreteStatsTable[GroupByKey]=DiscreteStatsTable[[#This Row],[GroupByKey]])*DiscreteStatsTable[Replication]))</f>
        <v>50</v>
      </c>
      <c r="Y961" s="7">
        <f>IF(DiscreteStatsTable[[#This Row],[RepsRequested]]=DiscreteStatsTable[[#This Row],[RepsWithStatObserved]],1,0)</f>
        <v>1</v>
      </c>
    </row>
    <row r="962" spans="1:25" x14ac:dyDescent="0.25">
      <c r="A962" t="s">
        <v>68</v>
      </c>
      <c r="B962" t="s">
        <v>131</v>
      </c>
      <c r="C962">
        <v>11</v>
      </c>
      <c r="D962" t="s">
        <v>94</v>
      </c>
      <c r="E962" t="s">
        <v>89</v>
      </c>
      <c r="F962" t="s">
        <v>90</v>
      </c>
      <c r="G962">
        <v>2.3094198745666601</v>
      </c>
      <c r="H962">
        <v>0.84847308577208302</v>
      </c>
      <c r="I962">
        <v>0.25291142575252901</v>
      </c>
      <c r="J962">
        <v>17.454852447716402</v>
      </c>
      <c r="K962">
        <v>897</v>
      </c>
      <c r="L962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62" s="7" cm="1">
        <f t="array" ref="M962">MAX(IF((ProjectInfoTable[ProjectName]=DiscreteStatsTable[[#This Row],[ProjectName]]),(ProjectInfoTable[ProjectName]=DiscreteStatsTable[[#This Row],[ProjectName]])*ProjectInfoTable[NumberOfReplications]))</f>
        <v>50</v>
      </c>
      <c r="N962" s="7" cm="1">
        <f t="array" ref="N962">IFERROR(AVERAGE(IF((DiscreteStatsTable[GroupByKey]=DiscreteStatsTable[[#This Row],[GroupByKey]]),(DiscreteStatsTable[GroupByKey]=DiscreteStatsTable[[#This Row],[GroupByKey]])*DiscreteStatsTable[Average])),0)</f>
        <v>2.205174161750556</v>
      </c>
      <c r="O962" s="7" cm="1">
        <f t="array" ref="O962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62" s="7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 s="7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62" s="7" cm="1">
        <f t="array" ref="R962">MIN(IF((DiscreteStatsTable[GroupByKey]=DiscreteStatsTable[[#This Row],[GroupByKey]]),(DiscreteStatsTable[GroupByKey]=DiscreteStatsTable[[#This Row],[GroupByKey]])*DiscreteStatsTable[Average]))</f>
        <v>1.50461510232873</v>
      </c>
      <c r="S962" s="7" cm="1">
        <f t="array" ref="S962">MAX(IF((DiscreteStatsTable[GroupByKey]=DiscreteStatsTable[[#This Row],[GroupByKey]]),(DiscreteStatsTable[GroupByKey]=DiscreteStatsTable[[#This Row],[GroupByKey]])*DiscreteStatsTable[Average]))</f>
        <v>3.7741600797505002</v>
      </c>
      <c r="T962" s="7" cm="1">
        <f t="array" ref="T962">MIN(IF((DiscreteStatsTable[GroupByKey]=DiscreteStatsTable[[#This Row],[GroupByKey]]),(DiscreteStatsTable[GroupByKey]=DiscreteStatsTable[[#This Row],[GroupByKey]])*DiscreteStatsTable[Minimum]))</f>
        <v>0.203133309337034</v>
      </c>
      <c r="U962" s="7" cm="1">
        <f t="array" ref="U962">MAX(IF((DiscreteStatsTable[GroupByKey]=DiscreteStatsTable[[#This Row],[GroupByKey]]),(DiscreteStatsTable[GroupByKey]=DiscreteStatsTable[[#This Row],[GroupByKey]])*DiscreteStatsTable[Maximum]))</f>
        <v>29.554686467573401</v>
      </c>
      <c r="V962" s="7" cm="1">
        <f t="array" ref="V962">IFERROR(AVERAGE(IF((DiscreteStatsTable[GroupByKey]=DiscreteStatsTable[[#This Row],[GroupByKey]]),(DiscreteStatsTable[GroupByKey]=DiscreteStatsTable[[#This Row],[GroupByKey]])*DiscreteStatsTable[NumberObservations])),0)</f>
        <v>837.68</v>
      </c>
      <c r="W962" s="7">
        <f>IF((DiscreteStatsTable[[#This Row],[RepsRequested]]&gt;1),DiscreteStatsTable[[#This Row],[HalfWidth]],DiscreteStatsTable[[#This Row],[BatchMeansHalfWidth]])</f>
        <v>0.14988539923930494</v>
      </c>
      <c r="X962" s="7" cm="1">
        <f t="array" ref="X962">COUNT(IF((DiscreteStatsTable[GroupByKey]=DiscreteStatsTable[[#This Row],[GroupByKey]]),(DiscreteStatsTable[GroupByKey]=DiscreteStatsTable[[#This Row],[GroupByKey]])*DiscreteStatsTable[Replication]))</f>
        <v>50</v>
      </c>
      <c r="Y962" s="7">
        <f>IF(DiscreteStatsTable[[#This Row],[RepsRequested]]=DiscreteStatsTable[[#This Row],[RepsWithStatObserved]],1,0)</f>
        <v>1</v>
      </c>
    </row>
    <row r="963" spans="1:25" x14ac:dyDescent="0.25">
      <c r="A963" t="s">
        <v>68</v>
      </c>
      <c r="B963" t="s">
        <v>131</v>
      </c>
      <c r="C963">
        <v>12</v>
      </c>
      <c r="D963" t="s">
        <v>94</v>
      </c>
      <c r="E963" t="s">
        <v>89</v>
      </c>
      <c r="F963" t="s">
        <v>90</v>
      </c>
      <c r="G963">
        <v>2.4998095001542202</v>
      </c>
      <c r="H963">
        <v>0.65829420439299902</v>
      </c>
      <c r="I963">
        <v>0.26404548710593201</v>
      </c>
      <c r="J963">
        <v>15.072334208210499</v>
      </c>
      <c r="K963">
        <v>815</v>
      </c>
      <c r="L963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63" s="7" cm="1">
        <f t="array" ref="M963">MAX(IF((ProjectInfoTable[ProjectName]=DiscreteStatsTable[[#This Row],[ProjectName]]),(ProjectInfoTable[ProjectName]=DiscreteStatsTable[[#This Row],[ProjectName]])*ProjectInfoTable[NumberOfReplications]))</f>
        <v>50</v>
      </c>
      <c r="N963" s="7" cm="1">
        <f t="array" ref="N963">IFERROR(AVERAGE(IF((DiscreteStatsTable[GroupByKey]=DiscreteStatsTable[[#This Row],[GroupByKey]]),(DiscreteStatsTable[GroupByKey]=DiscreteStatsTable[[#This Row],[GroupByKey]])*DiscreteStatsTable[Average])),0)</f>
        <v>2.205174161750556</v>
      </c>
      <c r="O963" s="7" cm="1">
        <f t="array" ref="O963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63" s="7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 s="7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63" s="7" cm="1">
        <f t="array" ref="R963">MIN(IF((DiscreteStatsTable[GroupByKey]=DiscreteStatsTable[[#This Row],[GroupByKey]]),(DiscreteStatsTable[GroupByKey]=DiscreteStatsTable[[#This Row],[GroupByKey]])*DiscreteStatsTable[Average]))</f>
        <v>1.50461510232873</v>
      </c>
      <c r="S963" s="7" cm="1">
        <f t="array" ref="S963">MAX(IF((DiscreteStatsTable[GroupByKey]=DiscreteStatsTable[[#This Row],[GroupByKey]]),(DiscreteStatsTable[GroupByKey]=DiscreteStatsTable[[#This Row],[GroupByKey]])*DiscreteStatsTable[Average]))</f>
        <v>3.7741600797505002</v>
      </c>
      <c r="T963" s="7" cm="1">
        <f t="array" ref="T963">MIN(IF((DiscreteStatsTable[GroupByKey]=DiscreteStatsTable[[#This Row],[GroupByKey]]),(DiscreteStatsTable[GroupByKey]=DiscreteStatsTable[[#This Row],[GroupByKey]])*DiscreteStatsTable[Minimum]))</f>
        <v>0.203133309337034</v>
      </c>
      <c r="U963" s="7" cm="1">
        <f t="array" ref="U963">MAX(IF((DiscreteStatsTable[GroupByKey]=DiscreteStatsTable[[#This Row],[GroupByKey]]),(DiscreteStatsTable[GroupByKey]=DiscreteStatsTable[[#This Row],[GroupByKey]])*DiscreteStatsTable[Maximum]))</f>
        <v>29.554686467573401</v>
      </c>
      <c r="V963" s="7" cm="1">
        <f t="array" ref="V963">IFERROR(AVERAGE(IF((DiscreteStatsTable[GroupByKey]=DiscreteStatsTable[[#This Row],[GroupByKey]]),(DiscreteStatsTable[GroupByKey]=DiscreteStatsTable[[#This Row],[GroupByKey]])*DiscreteStatsTable[NumberObservations])),0)</f>
        <v>837.68</v>
      </c>
      <c r="W963" s="7">
        <f>IF((DiscreteStatsTable[[#This Row],[RepsRequested]]&gt;1),DiscreteStatsTable[[#This Row],[HalfWidth]],DiscreteStatsTable[[#This Row],[BatchMeansHalfWidth]])</f>
        <v>0.14988539923930494</v>
      </c>
      <c r="X963" s="7" cm="1">
        <f t="array" ref="X963">COUNT(IF((DiscreteStatsTable[GroupByKey]=DiscreteStatsTable[[#This Row],[GroupByKey]]),(DiscreteStatsTable[GroupByKey]=DiscreteStatsTable[[#This Row],[GroupByKey]])*DiscreteStatsTable[Replication]))</f>
        <v>50</v>
      </c>
      <c r="Y963" s="7">
        <f>IF(DiscreteStatsTable[[#This Row],[RepsRequested]]=DiscreteStatsTable[[#This Row],[RepsWithStatObserved]],1,0)</f>
        <v>1</v>
      </c>
    </row>
    <row r="964" spans="1:25" x14ac:dyDescent="0.25">
      <c r="A964" t="s">
        <v>68</v>
      </c>
      <c r="B964" t="s">
        <v>131</v>
      </c>
      <c r="C964">
        <v>13</v>
      </c>
      <c r="D964" t="s">
        <v>94</v>
      </c>
      <c r="E964" t="s">
        <v>89</v>
      </c>
      <c r="F964" t="s">
        <v>90</v>
      </c>
      <c r="G964">
        <v>2.0188053098702201</v>
      </c>
      <c r="H964">
        <v>0.47500326239409502</v>
      </c>
      <c r="I964">
        <v>0.27081192516368402</v>
      </c>
      <c r="J964">
        <v>13.594601015219199</v>
      </c>
      <c r="K964">
        <v>849</v>
      </c>
      <c r="L964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64" s="7" cm="1">
        <f t="array" ref="M964">MAX(IF((ProjectInfoTable[ProjectName]=DiscreteStatsTable[[#This Row],[ProjectName]]),(ProjectInfoTable[ProjectName]=DiscreteStatsTable[[#This Row],[ProjectName]])*ProjectInfoTable[NumberOfReplications]))</f>
        <v>50</v>
      </c>
      <c r="N964" s="7" cm="1">
        <f t="array" ref="N964">IFERROR(AVERAGE(IF((DiscreteStatsTable[GroupByKey]=DiscreteStatsTable[[#This Row],[GroupByKey]]),(DiscreteStatsTable[GroupByKey]=DiscreteStatsTable[[#This Row],[GroupByKey]])*DiscreteStatsTable[Average])),0)</f>
        <v>2.205174161750556</v>
      </c>
      <c r="O964" s="7" cm="1">
        <f t="array" ref="O964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64" s="7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 s="7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64" s="7" cm="1">
        <f t="array" ref="R964">MIN(IF((DiscreteStatsTable[GroupByKey]=DiscreteStatsTable[[#This Row],[GroupByKey]]),(DiscreteStatsTable[GroupByKey]=DiscreteStatsTable[[#This Row],[GroupByKey]])*DiscreteStatsTable[Average]))</f>
        <v>1.50461510232873</v>
      </c>
      <c r="S964" s="7" cm="1">
        <f t="array" ref="S964">MAX(IF((DiscreteStatsTable[GroupByKey]=DiscreteStatsTable[[#This Row],[GroupByKey]]),(DiscreteStatsTable[GroupByKey]=DiscreteStatsTable[[#This Row],[GroupByKey]])*DiscreteStatsTable[Average]))</f>
        <v>3.7741600797505002</v>
      </c>
      <c r="T964" s="7" cm="1">
        <f t="array" ref="T964">MIN(IF((DiscreteStatsTable[GroupByKey]=DiscreteStatsTable[[#This Row],[GroupByKey]]),(DiscreteStatsTable[GroupByKey]=DiscreteStatsTable[[#This Row],[GroupByKey]])*DiscreteStatsTable[Minimum]))</f>
        <v>0.203133309337034</v>
      </c>
      <c r="U964" s="7" cm="1">
        <f t="array" ref="U964">MAX(IF((DiscreteStatsTable[GroupByKey]=DiscreteStatsTable[[#This Row],[GroupByKey]]),(DiscreteStatsTable[GroupByKey]=DiscreteStatsTable[[#This Row],[GroupByKey]])*DiscreteStatsTable[Maximum]))</f>
        <v>29.554686467573401</v>
      </c>
      <c r="V964" s="7" cm="1">
        <f t="array" ref="V964">IFERROR(AVERAGE(IF((DiscreteStatsTable[GroupByKey]=DiscreteStatsTable[[#This Row],[GroupByKey]]),(DiscreteStatsTable[GroupByKey]=DiscreteStatsTable[[#This Row],[GroupByKey]])*DiscreteStatsTable[NumberObservations])),0)</f>
        <v>837.68</v>
      </c>
      <c r="W964" s="7">
        <f>IF((DiscreteStatsTable[[#This Row],[RepsRequested]]&gt;1),DiscreteStatsTable[[#This Row],[HalfWidth]],DiscreteStatsTable[[#This Row],[BatchMeansHalfWidth]])</f>
        <v>0.14988539923930494</v>
      </c>
      <c r="X964" s="7" cm="1">
        <f t="array" ref="X964">COUNT(IF((DiscreteStatsTable[GroupByKey]=DiscreteStatsTable[[#This Row],[GroupByKey]]),(DiscreteStatsTable[GroupByKey]=DiscreteStatsTable[[#This Row],[GroupByKey]])*DiscreteStatsTable[Replication]))</f>
        <v>50</v>
      </c>
      <c r="Y964" s="7">
        <f>IF(DiscreteStatsTable[[#This Row],[RepsRequested]]=DiscreteStatsTable[[#This Row],[RepsWithStatObserved]],1,0)</f>
        <v>1</v>
      </c>
    </row>
    <row r="965" spans="1:25" x14ac:dyDescent="0.25">
      <c r="A965" t="s">
        <v>68</v>
      </c>
      <c r="B965" t="s">
        <v>131</v>
      </c>
      <c r="C965">
        <v>14</v>
      </c>
      <c r="D965" t="s">
        <v>94</v>
      </c>
      <c r="E965" t="s">
        <v>89</v>
      </c>
      <c r="F965" t="s">
        <v>90</v>
      </c>
      <c r="G965">
        <v>1.9285818291364001</v>
      </c>
      <c r="H965">
        <v>0.59691878507804297</v>
      </c>
      <c r="I965">
        <v>0.23269038907210399</v>
      </c>
      <c r="J965">
        <v>14.155157162755</v>
      </c>
      <c r="K965">
        <v>844</v>
      </c>
      <c r="L965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65" s="7" cm="1">
        <f t="array" ref="M965">MAX(IF((ProjectInfoTable[ProjectName]=DiscreteStatsTable[[#This Row],[ProjectName]]),(ProjectInfoTable[ProjectName]=DiscreteStatsTable[[#This Row],[ProjectName]])*ProjectInfoTable[NumberOfReplications]))</f>
        <v>50</v>
      </c>
      <c r="N965" s="7" cm="1">
        <f t="array" ref="N965">IFERROR(AVERAGE(IF((DiscreteStatsTable[GroupByKey]=DiscreteStatsTable[[#This Row],[GroupByKey]]),(DiscreteStatsTable[GroupByKey]=DiscreteStatsTable[[#This Row],[GroupByKey]])*DiscreteStatsTable[Average])),0)</f>
        <v>2.205174161750556</v>
      </c>
      <c r="O965" s="7" cm="1">
        <f t="array" ref="O965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65" s="7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 s="7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65" s="7" cm="1">
        <f t="array" ref="R965">MIN(IF((DiscreteStatsTable[GroupByKey]=DiscreteStatsTable[[#This Row],[GroupByKey]]),(DiscreteStatsTable[GroupByKey]=DiscreteStatsTable[[#This Row],[GroupByKey]])*DiscreteStatsTable[Average]))</f>
        <v>1.50461510232873</v>
      </c>
      <c r="S965" s="7" cm="1">
        <f t="array" ref="S965">MAX(IF((DiscreteStatsTable[GroupByKey]=DiscreteStatsTable[[#This Row],[GroupByKey]]),(DiscreteStatsTable[GroupByKey]=DiscreteStatsTable[[#This Row],[GroupByKey]])*DiscreteStatsTable[Average]))</f>
        <v>3.7741600797505002</v>
      </c>
      <c r="T965" s="7" cm="1">
        <f t="array" ref="T965">MIN(IF((DiscreteStatsTable[GroupByKey]=DiscreteStatsTable[[#This Row],[GroupByKey]]),(DiscreteStatsTable[GroupByKey]=DiscreteStatsTable[[#This Row],[GroupByKey]])*DiscreteStatsTable[Minimum]))</f>
        <v>0.203133309337034</v>
      </c>
      <c r="U965" s="7" cm="1">
        <f t="array" ref="U965">MAX(IF((DiscreteStatsTable[GroupByKey]=DiscreteStatsTable[[#This Row],[GroupByKey]]),(DiscreteStatsTable[GroupByKey]=DiscreteStatsTable[[#This Row],[GroupByKey]])*DiscreteStatsTable[Maximum]))</f>
        <v>29.554686467573401</v>
      </c>
      <c r="V965" s="7" cm="1">
        <f t="array" ref="V965">IFERROR(AVERAGE(IF((DiscreteStatsTable[GroupByKey]=DiscreteStatsTable[[#This Row],[GroupByKey]]),(DiscreteStatsTable[GroupByKey]=DiscreteStatsTable[[#This Row],[GroupByKey]])*DiscreteStatsTable[NumberObservations])),0)</f>
        <v>837.68</v>
      </c>
      <c r="W965" s="7">
        <f>IF((DiscreteStatsTable[[#This Row],[RepsRequested]]&gt;1),DiscreteStatsTable[[#This Row],[HalfWidth]],DiscreteStatsTable[[#This Row],[BatchMeansHalfWidth]])</f>
        <v>0.14988539923930494</v>
      </c>
      <c r="X965" s="7" cm="1">
        <f t="array" ref="X965">COUNT(IF((DiscreteStatsTable[GroupByKey]=DiscreteStatsTable[[#This Row],[GroupByKey]]),(DiscreteStatsTable[GroupByKey]=DiscreteStatsTable[[#This Row],[GroupByKey]])*DiscreteStatsTable[Replication]))</f>
        <v>50</v>
      </c>
      <c r="Y965" s="7">
        <f>IF(DiscreteStatsTable[[#This Row],[RepsRequested]]=DiscreteStatsTable[[#This Row],[RepsWithStatObserved]],1,0)</f>
        <v>1</v>
      </c>
    </row>
    <row r="966" spans="1:25" x14ac:dyDescent="0.25">
      <c r="A966" t="s">
        <v>68</v>
      </c>
      <c r="B966" t="s">
        <v>131</v>
      </c>
      <c r="C966">
        <v>15</v>
      </c>
      <c r="D966" t="s">
        <v>94</v>
      </c>
      <c r="E966" t="s">
        <v>89</v>
      </c>
      <c r="F966" t="s">
        <v>90</v>
      </c>
      <c r="G966">
        <v>3.0448870255544298</v>
      </c>
      <c r="H966">
        <v>0.97609560246624405</v>
      </c>
      <c r="I966">
        <v>0.23983496785717801</v>
      </c>
      <c r="J966">
        <v>16.405426129444201</v>
      </c>
      <c r="K966">
        <v>880</v>
      </c>
      <c r="L966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66" s="7" cm="1">
        <f t="array" ref="M966">MAX(IF((ProjectInfoTable[ProjectName]=DiscreteStatsTable[[#This Row],[ProjectName]]),(ProjectInfoTable[ProjectName]=DiscreteStatsTable[[#This Row],[ProjectName]])*ProjectInfoTable[NumberOfReplications]))</f>
        <v>50</v>
      </c>
      <c r="N966" s="7" cm="1">
        <f t="array" ref="N966">IFERROR(AVERAGE(IF((DiscreteStatsTable[GroupByKey]=DiscreteStatsTable[[#This Row],[GroupByKey]]),(DiscreteStatsTable[GroupByKey]=DiscreteStatsTable[[#This Row],[GroupByKey]])*DiscreteStatsTable[Average])),0)</f>
        <v>2.205174161750556</v>
      </c>
      <c r="O966" s="7" cm="1">
        <f t="array" ref="O966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66" s="7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 s="7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66" s="7" cm="1">
        <f t="array" ref="R966">MIN(IF((DiscreteStatsTable[GroupByKey]=DiscreteStatsTable[[#This Row],[GroupByKey]]),(DiscreteStatsTable[GroupByKey]=DiscreteStatsTable[[#This Row],[GroupByKey]])*DiscreteStatsTable[Average]))</f>
        <v>1.50461510232873</v>
      </c>
      <c r="S966" s="7" cm="1">
        <f t="array" ref="S966">MAX(IF((DiscreteStatsTable[GroupByKey]=DiscreteStatsTable[[#This Row],[GroupByKey]]),(DiscreteStatsTable[GroupByKey]=DiscreteStatsTable[[#This Row],[GroupByKey]])*DiscreteStatsTable[Average]))</f>
        <v>3.7741600797505002</v>
      </c>
      <c r="T966" s="7" cm="1">
        <f t="array" ref="T966">MIN(IF((DiscreteStatsTable[GroupByKey]=DiscreteStatsTable[[#This Row],[GroupByKey]]),(DiscreteStatsTable[GroupByKey]=DiscreteStatsTable[[#This Row],[GroupByKey]])*DiscreteStatsTable[Minimum]))</f>
        <v>0.203133309337034</v>
      </c>
      <c r="U966" s="7" cm="1">
        <f t="array" ref="U966">MAX(IF((DiscreteStatsTable[GroupByKey]=DiscreteStatsTable[[#This Row],[GroupByKey]]),(DiscreteStatsTable[GroupByKey]=DiscreteStatsTable[[#This Row],[GroupByKey]])*DiscreteStatsTable[Maximum]))</f>
        <v>29.554686467573401</v>
      </c>
      <c r="V966" s="7" cm="1">
        <f t="array" ref="V966">IFERROR(AVERAGE(IF((DiscreteStatsTable[GroupByKey]=DiscreteStatsTable[[#This Row],[GroupByKey]]),(DiscreteStatsTable[GroupByKey]=DiscreteStatsTable[[#This Row],[GroupByKey]])*DiscreteStatsTable[NumberObservations])),0)</f>
        <v>837.68</v>
      </c>
      <c r="W966" s="7">
        <f>IF((DiscreteStatsTable[[#This Row],[RepsRequested]]&gt;1),DiscreteStatsTable[[#This Row],[HalfWidth]],DiscreteStatsTable[[#This Row],[BatchMeansHalfWidth]])</f>
        <v>0.14988539923930494</v>
      </c>
      <c r="X966" s="7" cm="1">
        <f t="array" ref="X966">COUNT(IF((DiscreteStatsTable[GroupByKey]=DiscreteStatsTable[[#This Row],[GroupByKey]]),(DiscreteStatsTable[GroupByKey]=DiscreteStatsTable[[#This Row],[GroupByKey]])*DiscreteStatsTable[Replication]))</f>
        <v>50</v>
      </c>
      <c r="Y966" s="7">
        <f>IF(DiscreteStatsTable[[#This Row],[RepsRequested]]=DiscreteStatsTable[[#This Row],[RepsWithStatObserved]],1,0)</f>
        <v>1</v>
      </c>
    </row>
    <row r="967" spans="1:25" x14ac:dyDescent="0.25">
      <c r="A967" t="s">
        <v>68</v>
      </c>
      <c r="B967" t="s">
        <v>131</v>
      </c>
      <c r="C967">
        <v>16</v>
      </c>
      <c r="D967" t="s">
        <v>94</v>
      </c>
      <c r="E967" t="s">
        <v>89</v>
      </c>
      <c r="F967" t="s">
        <v>90</v>
      </c>
      <c r="G967">
        <v>3.1537986230127899</v>
      </c>
      <c r="H967">
        <v>3E+20</v>
      </c>
      <c r="I967">
        <v>0.24200645872957699</v>
      </c>
      <c r="J967">
        <v>22.449885649638201</v>
      </c>
      <c r="K967">
        <v>818</v>
      </c>
      <c r="L967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67" s="7" cm="1">
        <f t="array" ref="M967">MAX(IF((ProjectInfoTable[ProjectName]=DiscreteStatsTable[[#This Row],[ProjectName]]),(ProjectInfoTable[ProjectName]=DiscreteStatsTable[[#This Row],[ProjectName]])*ProjectInfoTable[NumberOfReplications]))</f>
        <v>50</v>
      </c>
      <c r="N967" s="7" cm="1">
        <f t="array" ref="N967">IFERROR(AVERAGE(IF((DiscreteStatsTable[GroupByKey]=DiscreteStatsTable[[#This Row],[GroupByKey]]),(DiscreteStatsTable[GroupByKey]=DiscreteStatsTable[[#This Row],[GroupByKey]])*DiscreteStatsTable[Average])),0)</f>
        <v>2.205174161750556</v>
      </c>
      <c r="O967" s="7" cm="1">
        <f t="array" ref="O967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67" s="7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 s="7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67" s="7" cm="1">
        <f t="array" ref="R967">MIN(IF((DiscreteStatsTable[GroupByKey]=DiscreteStatsTable[[#This Row],[GroupByKey]]),(DiscreteStatsTable[GroupByKey]=DiscreteStatsTable[[#This Row],[GroupByKey]])*DiscreteStatsTable[Average]))</f>
        <v>1.50461510232873</v>
      </c>
      <c r="S967" s="7" cm="1">
        <f t="array" ref="S967">MAX(IF((DiscreteStatsTable[GroupByKey]=DiscreteStatsTable[[#This Row],[GroupByKey]]),(DiscreteStatsTable[GroupByKey]=DiscreteStatsTable[[#This Row],[GroupByKey]])*DiscreteStatsTable[Average]))</f>
        <v>3.7741600797505002</v>
      </c>
      <c r="T967" s="7" cm="1">
        <f t="array" ref="T967">MIN(IF((DiscreteStatsTable[GroupByKey]=DiscreteStatsTable[[#This Row],[GroupByKey]]),(DiscreteStatsTable[GroupByKey]=DiscreteStatsTable[[#This Row],[GroupByKey]])*DiscreteStatsTable[Minimum]))</f>
        <v>0.203133309337034</v>
      </c>
      <c r="U967" s="7" cm="1">
        <f t="array" ref="U967">MAX(IF((DiscreteStatsTable[GroupByKey]=DiscreteStatsTable[[#This Row],[GroupByKey]]),(DiscreteStatsTable[GroupByKey]=DiscreteStatsTable[[#This Row],[GroupByKey]])*DiscreteStatsTable[Maximum]))</f>
        <v>29.554686467573401</v>
      </c>
      <c r="V967" s="7" cm="1">
        <f t="array" ref="V967">IFERROR(AVERAGE(IF((DiscreteStatsTable[GroupByKey]=DiscreteStatsTable[[#This Row],[GroupByKey]]),(DiscreteStatsTable[GroupByKey]=DiscreteStatsTable[[#This Row],[GroupByKey]])*DiscreteStatsTable[NumberObservations])),0)</f>
        <v>837.68</v>
      </c>
      <c r="W967" s="7">
        <f>IF((DiscreteStatsTable[[#This Row],[RepsRequested]]&gt;1),DiscreteStatsTable[[#This Row],[HalfWidth]],DiscreteStatsTable[[#This Row],[BatchMeansHalfWidth]])</f>
        <v>0.14988539923930494</v>
      </c>
      <c r="X967" s="7" cm="1">
        <f t="array" ref="X967">COUNT(IF((DiscreteStatsTable[GroupByKey]=DiscreteStatsTable[[#This Row],[GroupByKey]]),(DiscreteStatsTable[GroupByKey]=DiscreteStatsTable[[#This Row],[GroupByKey]])*DiscreteStatsTable[Replication]))</f>
        <v>50</v>
      </c>
      <c r="Y967" s="7">
        <f>IF(DiscreteStatsTable[[#This Row],[RepsRequested]]=DiscreteStatsTable[[#This Row],[RepsWithStatObserved]],1,0)</f>
        <v>1</v>
      </c>
    </row>
    <row r="968" spans="1:25" x14ac:dyDescent="0.25">
      <c r="A968" t="s">
        <v>68</v>
      </c>
      <c r="B968" t="s">
        <v>131</v>
      </c>
      <c r="C968">
        <v>17</v>
      </c>
      <c r="D968" t="s">
        <v>94</v>
      </c>
      <c r="E968" t="s">
        <v>89</v>
      </c>
      <c r="F968" t="s">
        <v>90</v>
      </c>
      <c r="G968">
        <v>1.93576951375324</v>
      </c>
      <c r="H968">
        <v>0.52832553211102995</v>
      </c>
      <c r="I968">
        <v>0.225434982354869</v>
      </c>
      <c r="J968">
        <v>10.653650381020601</v>
      </c>
      <c r="K968">
        <v>807</v>
      </c>
      <c r="L968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68" s="7" cm="1">
        <f t="array" ref="M968">MAX(IF((ProjectInfoTable[ProjectName]=DiscreteStatsTable[[#This Row],[ProjectName]]),(ProjectInfoTable[ProjectName]=DiscreteStatsTable[[#This Row],[ProjectName]])*ProjectInfoTable[NumberOfReplications]))</f>
        <v>50</v>
      </c>
      <c r="N968" s="7" cm="1">
        <f t="array" ref="N968">IFERROR(AVERAGE(IF((DiscreteStatsTable[GroupByKey]=DiscreteStatsTable[[#This Row],[GroupByKey]]),(DiscreteStatsTable[GroupByKey]=DiscreteStatsTable[[#This Row],[GroupByKey]])*DiscreteStatsTable[Average])),0)</f>
        <v>2.205174161750556</v>
      </c>
      <c r="O968" s="7" cm="1">
        <f t="array" ref="O968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68" s="7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 s="7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68" s="7" cm="1">
        <f t="array" ref="R968">MIN(IF((DiscreteStatsTable[GroupByKey]=DiscreteStatsTable[[#This Row],[GroupByKey]]),(DiscreteStatsTable[GroupByKey]=DiscreteStatsTable[[#This Row],[GroupByKey]])*DiscreteStatsTable[Average]))</f>
        <v>1.50461510232873</v>
      </c>
      <c r="S968" s="7" cm="1">
        <f t="array" ref="S968">MAX(IF((DiscreteStatsTable[GroupByKey]=DiscreteStatsTable[[#This Row],[GroupByKey]]),(DiscreteStatsTable[GroupByKey]=DiscreteStatsTable[[#This Row],[GroupByKey]])*DiscreteStatsTable[Average]))</f>
        <v>3.7741600797505002</v>
      </c>
      <c r="T968" s="7" cm="1">
        <f t="array" ref="T968">MIN(IF((DiscreteStatsTable[GroupByKey]=DiscreteStatsTable[[#This Row],[GroupByKey]]),(DiscreteStatsTable[GroupByKey]=DiscreteStatsTable[[#This Row],[GroupByKey]])*DiscreteStatsTable[Minimum]))</f>
        <v>0.203133309337034</v>
      </c>
      <c r="U968" s="7" cm="1">
        <f t="array" ref="U968">MAX(IF((DiscreteStatsTable[GroupByKey]=DiscreteStatsTable[[#This Row],[GroupByKey]]),(DiscreteStatsTable[GroupByKey]=DiscreteStatsTable[[#This Row],[GroupByKey]])*DiscreteStatsTable[Maximum]))</f>
        <v>29.554686467573401</v>
      </c>
      <c r="V968" s="7" cm="1">
        <f t="array" ref="V968">IFERROR(AVERAGE(IF((DiscreteStatsTable[GroupByKey]=DiscreteStatsTable[[#This Row],[GroupByKey]]),(DiscreteStatsTable[GroupByKey]=DiscreteStatsTable[[#This Row],[GroupByKey]])*DiscreteStatsTable[NumberObservations])),0)</f>
        <v>837.68</v>
      </c>
      <c r="W968" s="7">
        <f>IF((DiscreteStatsTable[[#This Row],[RepsRequested]]&gt;1),DiscreteStatsTable[[#This Row],[HalfWidth]],DiscreteStatsTable[[#This Row],[BatchMeansHalfWidth]])</f>
        <v>0.14988539923930494</v>
      </c>
      <c r="X968" s="7" cm="1">
        <f t="array" ref="X968">COUNT(IF((DiscreteStatsTable[GroupByKey]=DiscreteStatsTable[[#This Row],[GroupByKey]]),(DiscreteStatsTable[GroupByKey]=DiscreteStatsTable[[#This Row],[GroupByKey]])*DiscreteStatsTable[Replication]))</f>
        <v>50</v>
      </c>
      <c r="Y968" s="7">
        <f>IF(DiscreteStatsTable[[#This Row],[RepsRequested]]=DiscreteStatsTable[[#This Row],[RepsWithStatObserved]],1,0)</f>
        <v>1</v>
      </c>
    </row>
    <row r="969" spans="1:25" x14ac:dyDescent="0.25">
      <c r="A969" t="s">
        <v>68</v>
      </c>
      <c r="B969" t="s">
        <v>131</v>
      </c>
      <c r="C969">
        <v>18</v>
      </c>
      <c r="D969" t="s">
        <v>94</v>
      </c>
      <c r="E969" t="s">
        <v>89</v>
      </c>
      <c r="F969" t="s">
        <v>90</v>
      </c>
      <c r="G969">
        <v>1.6613193369394601</v>
      </c>
      <c r="H969">
        <v>0.36945222844209102</v>
      </c>
      <c r="I969">
        <v>0.26875556797904199</v>
      </c>
      <c r="J969">
        <v>9.1173603752845302</v>
      </c>
      <c r="K969">
        <v>814</v>
      </c>
      <c r="L969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69" s="7" cm="1">
        <f t="array" ref="M969">MAX(IF((ProjectInfoTable[ProjectName]=DiscreteStatsTable[[#This Row],[ProjectName]]),(ProjectInfoTable[ProjectName]=DiscreteStatsTable[[#This Row],[ProjectName]])*ProjectInfoTable[NumberOfReplications]))</f>
        <v>50</v>
      </c>
      <c r="N969" s="7" cm="1">
        <f t="array" ref="N969">IFERROR(AVERAGE(IF((DiscreteStatsTable[GroupByKey]=DiscreteStatsTable[[#This Row],[GroupByKey]]),(DiscreteStatsTable[GroupByKey]=DiscreteStatsTable[[#This Row],[GroupByKey]])*DiscreteStatsTable[Average])),0)</f>
        <v>2.205174161750556</v>
      </c>
      <c r="O969" s="7" cm="1">
        <f t="array" ref="O969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69" s="7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 s="7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69" s="7" cm="1">
        <f t="array" ref="R969">MIN(IF((DiscreteStatsTable[GroupByKey]=DiscreteStatsTable[[#This Row],[GroupByKey]]),(DiscreteStatsTable[GroupByKey]=DiscreteStatsTable[[#This Row],[GroupByKey]])*DiscreteStatsTable[Average]))</f>
        <v>1.50461510232873</v>
      </c>
      <c r="S969" s="7" cm="1">
        <f t="array" ref="S969">MAX(IF((DiscreteStatsTable[GroupByKey]=DiscreteStatsTable[[#This Row],[GroupByKey]]),(DiscreteStatsTable[GroupByKey]=DiscreteStatsTable[[#This Row],[GroupByKey]])*DiscreteStatsTable[Average]))</f>
        <v>3.7741600797505002</v>
      </c>
      <c r="T969" s="7" cm="1">
        <f t="array" ref="T969">MIN(IF((DiscreteStatsTable[GroupByKey]=DiscreteStatsTable[[#This Row],[GroupByKey]]),(DiscreteStatsTable[GroupByKey]=DiscreteStatsTable[[#This Row],[GroupByKey]])*DiscreteStatsTable[Minimum]))</f>
        <v>0.203133309337034</v>
      </c>
      <c r="U969" s="7" cm="1">
        <f t="array" ref="U969">MAX(IF((DiscreteStatsTable[GroupByKey]=DiscreteStatsTable[[#This Row],[GroupByKey]]),(DiscreteStatsTable[GroupByKey]=DiscreteStatsTable[[#This Row],[GroupByKey]])*DiscreteStatsTable[Maximum]))</f>
        <v>29.554686467573401</v>
      </c>
      <c r="V969" s="7" cm="1">
        <f t="array" ref="V969">IFERROR(AVERAGE(IF((DiscreteStatsTable[GroupByKey]=DiscreteStatsTable[[#This Row],[GroupByKey]]),(DiscreteStatsTable[GroupByKey]=DiscreteStatsTable[[#This Row],[GroupByKey]])*DiscreteStatsTable[NumberObservations])),0)</f>
        <v>837.68</v>
      </c>
      <c r="W969" s="7">
        <f>IF((DiscreteStatsTable[[#This Row],[RepsRequested]]&gt;1),DiscreteStatsTable[[#This Row],[HalfWidth]],DiscreteStatsTable[[#This Row],[BatchMeansHalfWidth]])</f>
        <v>0.14988539923930494</v>
      </c>
      <c r="X969" s="7" cm="1">
        <f t="array" ref="X969">COUNT(IF((DiscreteStatsTable[GroupByKey]=DiscreteStatsTable[[#This Row],[GroupByKey]]),(DiscreteStatsTable[GroupByKey]=DiscreteStatsTable[[#This Row],[GroupByKey]])*DiscreteStatsTable[Replication]))</f>
        <v>50</v>
      </c>
      <c r="Y969" s="7">
        <f>IF(DiscreteStatsTable[[#This Row],[RepsRequested]]=DiscreteStatsTable[[#This Row],[RepsWithStatObserved]],1,0)</f>
        <v>1</v>
      </c>
    </row>
    <row r="970" spans="1:25" x14ac:dyDescent="0.25">
      <c r="A970" t="s">
        <v>68</v>
      </c>
      <c r="B970" t="s">
        <v>131</v>
      </c>
      <c r="C970">
        <v>19</v>
      </c>
      <c r="D970" t="s">
        <v>94</v>
      </c>
      <c r="E970" t="s">
        <v>89</v>
      </c>
      <c r="F970" t="s">
        <v>90</v>
      </c>
      <c r="G970">
        <v>1.8839584974833401</v>
      </c>
      <c r="H970">
        <v>0.43087883817341799</v>
      </c>
      <c r="I970">
        <v>0.235242064692784</v>
      </c>
      <c r="J970">
        <v>13.5714911561272</v>
      </c>
      <c r="K970">
        <v>788</v>
      </c>
      <c r="L970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70" s="7" cm="1">
        <f t="array" ref="M970">MAX(IF((ProjectInfoTable[ProjectName]=DiscreteStatsTable[[#This Row],[ProjectName]]),(ProjectInfoTable[ProjectName]=DiscreteStatsTable[[#This Row],[ProjectName]])*ProjectInfoTable[NumberOfReplications]))</f>
        <v>50</v>
      </c>
      <c r="N970" s="7" cm="1">
        <f t="array" ref="N970">IFERROR(AVERAGE(IF((DiscreteStatsTable[GroupByKey]=DiscreteStatsTable[[#This Row],[GroupByKey]]),(DiscreteStatsTable[GroupByKey]=DiscreteStatsTable[[#This Row],[GroupByKey]])*DiscreteStatsTable[Average])),0)</f>
        <v>2.205174161750556</v>
      </c>
      <c r="O970" s="7" cm="1">
        <f t="array" ref="O970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70" s="7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 s="7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70" s="7" cm="1">
        <f t="array" ref="R970">MIN(IF((DiscreteStatsTable[GroupByKey]=DiscreteStatsTable[[#This Row],[GroupByKey]]),(DiscreteStatsTable[GroupByKey]=DiscreteStatsTable[[#This Row],[GroupByKey]])*DiscreteStatsTable[Average]))</f>
        <v>1.50461510232873</v>
      </c>
      <c r="S970" s="7" cm="1">
        <f t="array" ref="S970">MAX(IF((DiscreteStatsTable[GroupByKey]=DiscreteStatsTable[[#This Row],[GroupByKey]]),(DiscreteStatsTable[GroupByKey]=DiscreteStatsTable[[#This Row],[GroupByKey]])*DiscreteStatsTable[Average]))</f>
        <v>3.7741600797505002</v>
      </c>
      <c r="T970" s="7" cm="1">
        <f t="array" ref="T970">MIN(IF((DiscreteStatsTable[GroupByKey]=DiscreteStatsTable[[#This Row],[GroupByKey]]),(DiscreteStatsTable[GroupByKey]=DiscreteStatsTable[[#This Row],[GroupByKey]])*DiscreteStatsTable[Minimum]))</f>
        <v>0.203133309337034</v>
      </c>
      <c r="U970" s="7" cm="1">
        <f t="array" ref="U970">MAX(IF((DiscreteStatsTable[GroupByKey]=DiscreteStatsTable[[#This Row],[GroupByKey]]),(DiscreteStatsTable[GroupByKey]=DiscreteStatsTable[[#This Row],[GroupByKey]])*DiscreteStatsTable[Maximum]))</f>
        <v>29.554686467573401</v>
      </c>
      <c r="V970" s="7" cm="1">
        <f t="array" ref="V970">IFERROR(AVERAGE(IF((DiscreteStatsTable[GroupByKey]=DiscreteStatsTable[[#This Row],[GroupByKey]]),(DiscreteStatsTable[GroupByKey]=DiscreteStatsTable[[#This Row],[GroupByKey]])*DiscreteStatsTable[NumberObservations])),0)</f>
        <v>837.68</v>
      </c>
      <c r="W970" s="7">
        <f>IF((DiscreteStatsTable[[#This Row],[RepsRequested]]&gt;1),DiscreteStatsTable[[#This Row],[HalfWidth]],DiscreteStatsTable[[#This Row],[BatchMeansHalfWidth]])</f>
        <v>0.14988539923930494</v>
      </c>
      <c r="X970" s="7" cm="1">
        <f t="array" ref="X970">COUNT(IF((DiscreteStatsTable[GroupByKey]=DiscreteStatsTable[[#This Row],[GroupByKey]]),(DiscreteStatsTable[GroupByKey]=DiscreteStatsTable[[#This Row],[GroupByKey]])*DiscreteStatsTable[Replication]))</f>
        <v>50</v>
      </c>
      <c r="Y970" s="7">
        <f>IF(DiscreteStatsTable[[#This Row],[RepsRequested]]=DiscreteStatsTable[[#This Row],[RepsWithStatObserved]],1,0)</f>
        <v>1</v>
      </c>
    </row>
    <row r="971" spans="1:25" x14ac:dyDescent="0.25">
      <c r="A971" t="s">
        <v>68</v>
      </c>
      <c r="B971" t="s">
        <v>131</v>
      </c>
      <c r="C971">
        <v>20</v>
      </c>
      <c r="D971" t="s">
        <v>94</v>
      </c>
      <c r="E971" t="s">
        <v>89</v>
      </c>
      <c r="F971" t="s">
        <v>90</v>
      </c>
      <c r="G971">
        <v>1.67485451719144</v>
      </c>
      <c r="H971">
        <v>0.41064493968563998</v>
      </c>
      <c r="I971">
        <v>0.25312886827214198</v>
      </c>
      <c r="J971">
        <v>10.791703986837801</v>
      </c>
      <c r="K971">
        <v>868</v>
      </c>
      <c r="L971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71" s="7" cm="1">
        <f t="array" ref="M971">MAX(IF((ProjectInfoTable[ProjectName]=DiscreteStatsTable[[#This Row],[ProjectName]]),(ProjectInfoTable[ProjectName]=DiscreteStatsTable[[#This Row],[ProjectName]])*ProjectInfoTable[NumberOfReplications]))</f>
        <v>50</v>
      </c>
      <c r="N971" s="7" cm="1">
        <f t="array" ref="N971">IFERROR(AVERAGE(IF((DiscreteStatsTable[GroupByKey]=DiscreteStatsTable[[#This Row],[GroupByKey]]),(DiscreteStatsTable[GroupByKey]=DiscreteStatsTable[[#This Row],[GroupByKey]])*DiscreteStatsTable[Average])),0)</f>
        <v>2.205174161750556</v>
      </c>
      <c r="O971" s="7" cm="1">
        <f t="array" ref="O971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71" s="7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 s="7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71" s="7" cm="1">
        <f t="array" ref="R971">MIN(IF((DiscreteStatsTable[GroupByKey]=DiscreteStatsTable[[#This Row],[GroupByKey]]),(DiscreteStatsTable[GroupByKey]=DiscreteStatsTable[[#This Row],[GroupByKey]])*DiscreteStatsTable[Average]))</f>
        <v>1.50461510232873</v>
      </c>
      <c r="S971" s="7" cm="1">
        <f t="array" ref="S971">MAX(IF((DiscreteStatsTable[GroupByKey]=DiscreteStatsTable[[#This Row],[GroupByKey]]),(DiscreteStatsTable[GroupByKey]=DiscreteStatsTable[[#This Row],[GroupByKey]])*DiscreteStatsTable[Average]))</f>
        <v>3.7741600797505002</v>
      </c>
      <c r="T971" s="7" cm="1">
        <f t="array" ref="T971">MIN(IF((DiscreteStatsTable[GroupByKey]=DiscreteStatsTable[[#This Row],[GroupByKey]]),(DiscreteStatsTable[GroupByKey]=DiscreteStatsTable[[#This Row],[GroupByKey]])*DiscreteStatsTable[Minimum]))</f>
        <v>0.203133309337034</v>
      </c>
      <c r="U971" s="7" cm="1">
        <f t="array" ref="U971">MAX(IF((DiscreteStatsTable[GroupByKey]=DiscreteStatsTable[[#This Row],[GroupByKey]]),(DiscreteStatsTable[GroupByKey]=DiscreteStatsTable[[#This Row],[GroupByKey]])*DiscreteStatsTable[Maximum]))</f>
        <v>29.554686467573401</v>
      </c>
      <c r="V971" s="7" cm="1">
        <f t="array" ref="V971">IFERROR(AVERAGE(IF((DiscreteStatsTable[GroupByKey]=DiscreteStatsTable[[#This Row],[GroupByKey]]),(DiscreteStatsTable[GroupByKey]=DiscreteStatsTable[[#This Row],[GroupByKey]])*DiscreteStatsTable[NumberObservations])),0)</f>
        <v>837.68</v>
      </c>
      <c r="W971" s="7">
        <f>IF((DiscreteStatsTable[[#This Row],[RepsRequested]]&gt;1),DiscreteStatsTable[[#This Row],[HalfWidth]],DiscreteStatsTable[[#This Row],[BatchMeansHalfWidth]])</f>
        <v>0.14988539923930494</v>
      </c>
      <c r="X971" s="7" cm="1">
        <f t="array" ref="X971">COUNT(IF((DiscreteStatsTable[GroupByKey]=DiscreteStatsTable[[#This Row],[GroupByKey]]),(DiscreteStatsTable[GroupByKey]=DiscreteStatsTable[[#This Row],[GroupByKey]])*DiscreteStatsTable[Replication]))</f>
        <v>50</v>
      </c>
      <c r="Y971" s="7">
        <f>IF(DiscreteStatsTable[[#This Row],[RepsRequested]]=DiscreteStatsTable[[#This Row],[RepsWithStatObserved]],1,0)</f>
        <v>1</v>
      </c>
    </row>
    <row r="972" spans="1:25" x14ac:dyDescent="0.25">
      <c r="A972" t="s">
        <v>68</v>
      </c>
      <c r="B972" t="s">
        <v>131</v>
      </c>
      <c r="C972">
        <v>21</v>
      </c>
      <c r="D972" t="s">
        <v>94</v>
      </c>
      <c r="E972" t="s">
        <v>89</v>
      </c>
      <c r="F972" t="s">
        <v>90</v>
      </c>
      <c r="G972">
        <v>1.79140022314245</v>
      </c>
      <c r="H972">
        <v>0.55309910981457899</v>
      </c>
      <c r="I972">
        <v>0.24767259257788499</v>
      </c>
      <c r="J972">
        <v>13.183630137863</v>
      </c>
      <c r="K972">
        <v>813</v>
      </c>
      <c r="L972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72" s="7" cm="1">
        <f t="array" ref="M972">MAX(IF((ProjectInfoTable[ProjectName]=DiscreteStatsTable[[#This Row],[ProjectName]]),(ProjectInfoTable[ProjectName]=DiscreteStatsTable[[#This Row],[ProjectName]])*ProjectInfoTable[NumberOfReplications]))</f>
        <v>50</v>
      </c>
      <c r="N972" s="7" cm="1">
        <f t="array" ref="N972">IFERROR(AVERAGE(IF((DiscreteStatsTable[GroupByKey]=DiscreteStatsTable[[#This Row],[GroupByKey]]),(DiscreteStatsTable[GroupByKey]=DiscreteStatsTable[[#This Row],[GroupByKey]])*DiscreteStatsTable[Average])),0)</f>
        <v>2.205174161750556</v>
      </c>
      <c r="O972" s="7" cm="1">
        <f t="array" ref="O972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72" s="7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 s="7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72" s="7" cm="1">
        <f t="array" ref="R972">MIN(IF((DiscreteStatsTable[GroupByKey]=DiscreteStatsTable[[#This Row],[GroupByKey]]),(DiscreteStatsTable[GroupByKey]=DiscreteStatsTable[[#This Row],[GroupByKey]])*DiscreteStatsTable[Average]))</f>
        <v>1.50461510232873</v>
      </c>
      <c r="S972" s="7" cm="1">
        <f t="array" ref="S972">MAX(IF((DiscreteStatsTable[GroupByKey]=DiscreteStatsTable[[#This Row],[GroupByKey]]),(DiscreteStatsTable[GroupByKey]=DiscreteStatsTable[[#This Row],[GroupByKey]])*DiscreteStatsTable[Average]))</f>
        <v>3.7741600797505002</v>
      </c>
      <c r="T972" s="7" cm="1">
        <f t="array" ref="T972">MIN(IF((DiscreteStatsTable[GroupByKey]=DiscreteStatsTable[[#This Row],[GroupByKey]]),(DiscreteStatsTable[GroupByKey]=DiscreteStatsTable[[#This Row],[GroupByKey]])*DiscreteStatsTable[Minimum]))</f>
        <v>0.203133309337034</v>
      </c>
      <c r="U972" s="7" cm="1">
        <f t="array" ref="U972">MAX(IF((DiscreteStatsTable[GroupByKey]=DiscreteStatsTable[[#This Row],[GroupByKey]]),(DiscreteStatsTable[GroupByKey]=DiscreteStatsTable[[#This Row],[GroupByKey]])*DiscreteStatsTable[Maximum]))</f>
        <v>29.554686467573401</v>
      </c>
      <c r="V972" s="7" cm="1">
        <f t="array" ref="V972">IFERROR(AVERAGE(IF((DiscreteStatsTable[GroupByKey]=DiscreteStatsTable[[#This Row],[GroupByKey]]),(DiscreteStatsTable[GroupByKey]=DiscreteStatsTable[[#This Row],[GroupByKey]])*DiscreteStatsTable[NumberObservations])),0)</f>
        <v>837.68</v>
      </c>
      <c r="W972" s="7">
        <f>IF((DiscreteStatsTable[[#This Row],[RepsRequested]]&gt;1),DiscreteStatsTable[[#This Row],[HalfWidth]],DiscreteStatsTable[[#This Row],[BatchMeansHalfWidth]])</f>
        <v>0.14988539923930494</v>
      </c>
      <c r="X972" s="7" cm="1">
        <f t="array" ref="X972">COUNT(IF((DiscreteStatsTable[GroupByKey]=DiscreteStatsTable[[#This Row],[GroupByKey]]),(DiscreteStatsTable[GroupByKey]=DiscreteStatsTable[[#This Row],[GroupByKey]])*DiscreteStatsTable[Replication]))</f>
        <v>50</v>
      </c>
      <c r="Y972" s="7">
        <f>IF(DiscreteStatsTable[[#This Row],[RepsRequested]]=DiscreteStatsTable[[#This Row],[RepsWithStatObserved]],1,0)</f>
        <v>1</v>
      </c>
    </row>
    <row r="973" spans="1:25" x14ac:dyDescent="0.25">
      <c r="A973" t="s">
        <v>68</v>
      </c>
      <c r="B973" t="s">
        <v>131</v>
      </c>
      <c r="C973">
        <v>22</v>
      </c>
      <c r="D973" t="s">
        <v>94</v>
      </c>
      <c r="E973" t="s">
        <v>89</v>
      </c>
      <c r="F973" t="s">
        <v>90</v>
      </c>
      <c r="G973">
        <v>2.5544616242592202</v>
      </c>
      <c r="H973">
        <v>0.58071049810261499</v>
      </c>
      <c r="I973">
        <v>0.24649430687509299</v>
      </c>
      <c r="J973">
        <v>12.280484162270101</v>
      </c>
      <c r="K973">
        <v>870</v>
      </c>
      <c r="L973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73" s="7" cm="1">
        <f t="array" ref="M973">MAX(IF((ProjectInfoTable[ProjectName]=DiscreteStatsTable[[#This Row],[ProjectName]]),(ProjectInfoTable[ProjectName]=DiscreteStatsTable[[#This Row],[ProjectName]])*ProjectInfoTable[NumberOfReplications]))</f>
        <v>50</v>
      </c>
      <c r="N973" s="7" cm="1">
        <f t="array" ref="N973">IFERROR(AVERAGE(IF((DiscreteStatsTable[GroupByKey]=DiscreteStatsTable[[#This Row],[GroupByKey]]),(DiscreteStatsTable[GroupByKey]=DiscreteStatsTable[[#This Row],[GroupByKey]])*DiscreteStatsTable[Average])),0)</f>
        <v>2.205174161750556</v>
      </c>
      <c r="O973" s="7" cm="1">
        <f t="array" ref="O973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73" s="7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 s="7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73" s="7" cm="1">
        <f t="array" ref="R973">MIN(IF((DiscreteStatsTable[GroupByKey]=DiscreteStatsTable[[#This Row],[GroupByKey]]),(DiscreteStatsTable[GroupByKey]=DiscreteStatsTable[[#This Row],[GroupByKey]])*DiscreteStatsTable[Average]))</f>
        <v>1.50461510232873</v>
      </c>
      <c r="S973" s="7" cm="1">
        <f t="array" ref="S973">MAX(IF((DiscreteStatsTable[GroupByKey]=DiscreteStatsTable[[#This Row],[GroupByKey]]),(DiscreteStatsTable[GroupByKey]=DiscreteStatsTable[[#This Row],[GroupByKey]])*DiscreteStatsTable[Average]))</f>
        <v>3.7741600797505002</v>
      </c>
      <c r="T973" s="7" cm="1">
        <f t="array" ref="T973">MIN(IF((DiscreteStatsTable[GroupByKey]=DiscreteStatsTable[[#This Row],[GroupByKey]]),(DiscreteStatsTable[GroupByKey]=DiscreteStatsTable[[#This Row],[GroupByKey]])*DiscreteStatsTable[Minimum]))</f>
        <v>0.203133309337034</v>
      </c>
      <c r="U973" s="7" cm="1">
        <f t="array" ref="U973">MAX(IF((DiscreteStatsTable[GroupByKey]=DiscreteStatsTable[[#This Row],[GroupByKey]]),(DiscreteStatsTable[GroupByKey]=DiscreteStatsTable[[#This Row],[GroupByKey]])*DiscreteStatsTable[Maximum]))</f>
        <v>29.554686467573401</v>
      </c>
      <c r="V973" s="7" cm="1">
        <f t="array" ref="V973">IFERROR(AVERAGE(IF((DiscreteStatsTable[GroupByKey]=DiscreteStatsTable[[#This Row],[GroupByKey]]),(DiscreteStatsTable[GroupByKey]=DiscreteStatsTable[[#This Row],[GroupByKey]])*DiscreteStatsTable[NumberObservations])),0)</f>
        <v>837.68</v>
      </c>
      <c r="W973" s="7">
        <f>IF((DiscreteStatsTable[[#This Row],[RepsRequested]]&gt;1),DiscreteStatsTable[[#This Row],[HalfWidth]],DiscreteStatsTable[[#This Row],[BatchMeansHalfWidth]])</f>
        <v>0.14988539923930494</v>
      </c>
      <c r="X973" s="7" cm="1">
        <f t="array" ref="X973">COUNT(IF((DiscreteStatsTable[GroupByKey]=DiscreteStatsTable[[#This Row],[GroupByKey]]),(DiscreteStatsTable[GroupByKey]=DiscreteStatsTable[[#This Row],[GroupByKey]])*DiscreteStatsTable[Replication]))</f>
        <v>50</v>
      </c>
      <c r="Y973" s="7">
        <f>IF(DiscreteStatsTable[[#This Row],[RepsRequested]]=DiscreteStatsTable[[#This Row],[RepsWithStatObserved]],1,0)</f>
        <v>1</v>
      </c>
    </row>
    <row r="974" spans="1:25" x14ac:dyDescent="0.25">
      <c r="A974" t="s">
        <v>68</v>
      </c>
      <c r="B974" t="s">
        <v>131</v>
      </c>
      <c r="C974">
        <v>23</v>
      </c>
      <c r="D974" t="s">
        <v>94</v>
      </c>
      <c r="E974" t="s">
        <v>89</v>
      </c>
      <c r="F974" t="s">
        <v>90</v>
      </c>
      <c r="G974">
        <v>2.2588301456121802</v>
      </c>
      <c r="H974">
        <v>0.61991811587766499</v>
      </c>
      <c r="I974">
        <v>0.25537359107277202</v>
      </c>
      <c r="J974">
        <v>12.334827344051501</v>
      </c>
      <c r="K974">
        <v>828</v>
      </c>
      <c r="L974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74" s="7" cm="1">
        <f t="array" ref="M974">MAX(IF((ProjectInfoTable[ProjectName]=DiscreteStatsTable[[#This Row],[ProjectName]]),(ProjectInfoTable[ProjectName]=DiscreteStatsTable[[#This Row],[ProjectName]])*ProjectInfoTable[NumberOfReplications]))</f>
        <v>50</v>
      </c>
      <c r="N974" s="7" cm="1">
        <f t="array" ref="N974">IFERROR(AVERAGE(IF((DiscreteStatsTable[GroupByKey]=DiscreteStatsTable[[#This Row],[GroupByKey]]),(DiscreteStatsTable[GroupByKey]=DiscreteStatsTable[[#This Row],[GroupByKey]])*DiscreteStatsTable[Average])),0)</f>
        <v>2.205174161750556</v>
      </c>
      <c r="O974" s="7" cm="1">
        <f t="array" ref="O974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74" s="7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 s="7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74" s="7" cm="1">
        <f t="array" ref="R974">MIN(IF((DiscreteStatsTable[GroupByKey]=DiscreteStatsTable[[#This Row],[GroupByKey]]),(DiscreteStatsTable[GroupByKey]=DiscreteStatsTable[[#This Row],[GroupByKey]])*DiscreteStatsTable[Average]))</f>
        <v>1.50461510232873</v>
      </c>
      <c r="S974" s="7" cm="1">
        <f t="array" ref="S974">MAX(IF((DiscreteStatsTable[GroupByKey]=DiscreteStatsTable[[#This Row],[GroupByKey]]),(DiscreteStatsTable[GroupByKey]=DiscreteStatsTable[[#This Row],[GroupByKey]])*DiscreteStatsTable[Average]))</f>
        <v>3.7741600797505002</v>
      </c>
      <c r="T974" s="7" cm="1">
        <f t="array" ref="T974">MIN(IF((DiscreteStatsTable[GroupByKey]=DiscreteStatsTable[[#This Row],[GroupByKey]]),(DiscreteStatsTable[GroupByKey]=DiscreteStatsTable[[#This Row],[GroupByKey]])*DiscreteStatsTable[Minimum]))</f>
        <v>0.203133309337034</v>
      </c>
      <c r="U974" s="7" cm="1">
        <f t="array" ref="U974">MAX(IF((DiscreteStatsTable[GroupByKey]=DiscreteStatsTable[[#This Row],[GroupByKey]]),(DiscreteStatsTable[GroupByKey]=DiscreteStatsTable[[#This Row],[GroupByKey]])*DiscreteStatsTable[Maximum]))</f>
        <v>29.554686467573401</v>
      </c>
      <c r="V974" s="7" cm="1">
        <f t="array" ref="V974">IFERROR(AVERAGE(IF((DiscreteStatsTable[GroupByKey]=DiscreteStatsTable[[#This Row],[GroupByKey]]),(DiscreteStatsTable[GroupByKey]=DiscreteStatsTable[[#This Row],[GroupByKey]])*DiscreteStatsTable[NumberObservations])),0)</f>
        <v>837.68</v>
      </c>
      <c r="W974" s="7">
        <f>IF((DiscreteStatsTable[[#This Row],[RepsRequested]]&gt;1),DiscreteStatsTable[[#This Row],[HalfWidth]],DiscreteStatsTable[[#This Row],[BatchMeansHalfWidth]])</f>
        <v>0.14988539923930494</v>
      </c>
      <c r="X974" s="7" cm="1">
        <f t="array" ref="X974">COUNT(IF((DiscreteStatsTable[GroupByKey]=DiscreteStatsTable[[#This Row],[GroupByKey]]),(DiscreteStatsTable[GroupByKey]=DiscreteStatsTable[[#This Row],[GroupByKey]])*DiscreteStatsTable[Replication]))</f>
        <v>50</v>
      </c>
      <c r="Y974" s="7">
        <f>IF(DiscreteStatsTable[[#This Row],[RepsRequested]]=DiscreteStatsTable[[#This Row],[RepsWithStatObserved]],1,0)</f>
        <v>1</v>
      </c>
    </row>
    <row r="975" spans="1:25" x14ac:dyDescent="0.25">
      <c r="A975" t="s">
        <v>68</v>
      </c>
      <c r="B975" t="s">
        <v>131</v>
      </c>
      <c r="C975">
        <v>24</v>
      </c>
      <c r="D975" t="s">
        <v>94</v>
      </c>
      <c r="E975" t="s">
        <v>89</v>
      </c>
      <c r="F975" t="s">
        <v>90</v>
      </c>
      <c r="G975">
        <v>3.3487565381548698</v>
      </c>
      <c r="H975">
        <v>3E+20</v>
      </c>
      <c r="I975">
        <v>0.26692020674048</v>
      </c>
      <c r="J975">
        <v>29.554686467573401</v>
      </c>
      <c r="K975">
        <v>854</v>
      </c>
      <c r="L975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75" s="7" cm="1">
        <f t="array" ref="M975">MAX(IF((ProjectInfoTable[ProjectName]=DiscreteStatsTable[[#This Row],[ProjectName]]),(ProjectInfoTable[ProjectName]=DiscreteStatsTable[[#This Row],[ProjectName]])*ProjectInfoTable[NumberOfReplications]))</f>
        <v>50</v>
      </c>
      <c r="N975" s="7" cm="1">
        <f t="array" ref="N975">IFERROR(AVERAGE(IF((DiscreteStatsTable[GroupByKey]=DiscreteStatsTable[[#This Row],[GroupByKey]]),(DiscreteStatsTable[GroupByKey]=DiscreteStatsTable[[#This Row],[GroupByKey]])*DiscreteStatsTable[Average])),0)</f>
        <v>2.205174161750556</v>
      </c>
      <c r="O975" s="7" cm="1">
        <f t="array" ref="O975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75" s="7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 s="7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75" s="7" cm="1">
        <f t="array" ref="R975">MIN(IF((DiscreteStatsTable[GroupByKey]=DiscreteStatsTable[[#This Row],[GroupByKey]]),(DiscreteStatsTable[GroupByKey]=DiscreteStatsTable[[#This Row],[GroupByKey]])*DiscreteStatsTable[Average]))</f>
        <v>1.50461510232873</v>
      </c>
      <c r="S975" s="7" cm="1">
        <f t="array" ref="S975">MAX(IF((DiscreteStatsTable[GroupByKey]=DiscreteStatsTable[[#This Row],[GroupByKey]]),(DiscreteStatsTable[GroupByKey]=DiscreteStatsTable[[#This Row],[GroupByKey]])*DiscreteStatsTable[Average]))</f>
        <v>3.7741600797505002</v>
      </c>
      <c r="T975" s="7" cm="1">
        <f t="array" ref="T975">MIN(IF((DiscreteStatsTable[GroupByKey]=DiscreteStatsTable[[#This Row],[GroupByKey]]),(DiscreteStatsTable[GroupByKey]=DiscreteStatsTable[[#This Row],[GroupByKey]])*DiscreteStatsTable[Minimum]))</f>
        <v>0.203133309337034</v>
      </c>
      <c r="U975" s="7" cm="1">
        <f t="array" ref="U975">MAX(IF((DiscreteStatsTable[GroupByKey]=DiscreteStatsTable[[#This Row],[GroupByKey]]),(DiscreteStatsTable[GroupByKey]=DiscreteStatsTable[[#This Row],[GroupByKey]])*DiscreteStatsTable[Maximum]))</f>
        <v>29.554686467573401</v>
      </c>
      <c r="V975" s="7" cm="1">
        <f t="array" ref="V975">IFERROR(AVERAGE(IF((DiscreteStatsTable[GroupByKey]=DiscreteStatsTable[[#This Row],[GroupByKey]]),(DiscreteStatsTable[GroupByKey]=DiscreteStatsTable[[#This Row],[GroupByKey]])*DiscreteStatsTable[NumberObservations])),0)</f>
        <v>837.68</v>
      </c>
      <c r="W975" s="7">
        <f>IF((DiscreteStatsTable[[#This Row],[RepsRequested]]&gt;1),DiscreteStatsTable[[#This Row],[HalfWidth]],DiscreteStatsTable[[#This Row],[BatchMeansHalfWidth]])</f>
        <v>0.14988539923930494</v>
      </c>
      <c r="X975" s="7" cm="1">
        <f t="array" ref="X975">COUNT(IF((DiscreteStatsTable[GroupByKey]=DiscreteStatsTable[[#This Row],[GroupByKey]]),(DiscreteStatsTable[GroupByKey]=DiscreteStatsTable[[#This Row],[GroupByKey]])*DiscreteStatsTable[Replication]))</f>
        <v>50</v>
      </c>
      <c r="Y975" s="7">
        <f>IF(DiscreteStatsTable[[#This Row],[RepsRequested]]=DiscreteStatsTable[[#This Row],[RepsWithStatObserved]],1,0)</f>
        <v>1</v>
      </c>
    </row>
    <row r="976" spans="1:25" x14ac:dyDescent="0.25">
      <c r="A976" t="s">
        <v>68</v>
      </c>
      <c r="B976" t="s">
        <v>131</v>
      </c>
      <c r="C976">
        <v>25</v>
      </c>
      <c r="D976" t="s">
        <v>94</v>
      </c>
      <c r="E976" t="s">
        <v>89</v>
      </c>
      <c r="F976" t="s">
        <v>90</v>
      </c>
      <c r="G976">
        <v>3.0710159561841999</v>
      </c>
      <c r="H976">
        <v>0.69799203166930701</v>
      </c>
      <c r="I976">
        <v>0.24872380162798199</v>
      </c>
      <c r="J976">
        <v>15.133604010751901</v>
      </c>
      <c r="K976">
        <v>857</v>
      </c>
      <c r="L976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76" s="7" cm="1">
        <f t="array" ref="M976">MAX(IF((ProjectInfoTable[ProjectName]=DiscreteStatsTable[[#This Row],[ProjectName]]),(ProjectInfoTable[ProjectName]=DiscreteStatsTable[[#This Row],[ProjectName]])*ProjectInfoTable[NumberOfReplications]))</f>
        <v>50</v>
      </c>
      <c r="N976" s="7" cm="1">
        <f t="array" ref="N976">IFERROR(AVERAGE(IF((DiscreteStatsTable[GroupByKey]=DiscreteStatsTable[[#This Row],[GroupByKey]]),(DiscreteStatsTable[GroupByKey]=DiscreteStatsTable[[#This Row],[GroupByKey]])*DiscreteStatsTable[Average])),0)</f>
        <v>2.205174161750556</v>
      </c>
      <c r="O976" s="7" cm="1">
        <f t="array" ref="O976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76" s="7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 s="7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76" s="7" cm="1">
        <f t="array" ref="R976">MIN(IF((DiscreteStatsTable[GroupByKey]=DiscreteStatsTable[[#This Row],[GroupByKey]]),(DiscreteStatsTable[GroupByKey]=DiscreteStatsTable[[#This Row],[GroupByKey]])*DiscreteStatsTable[Average]))</f>
        <v>1.50461510232873</v>
      </c>
      <c r="S976" s="7" cm="1">
        <f t="array" ref="S976">MAX(IF((DiscreteStatsTable[GroupByKey]=DiscreteStatsTable[[#This Row],[GroupByKey]]),(DiscreteStatsTable[GroupByKey]=DiscreteStatsTable[[#This Row],[GroupByKey]])*DiscreteStatsTable[Average]))</f>
        <v>3.7741600797505002</v>
      </c>
      <c r="T976" s="7" cm="1">
        <f t="array" ref="T976">MIN(IF((DiscreteStatsTable[GroupByKey]=DiscreteStatsTable[[#This Row],[GroupByKey]]),(DiscreteStatsTable[GroupByKey]=DiscreteStatsTable[[#This Row],[GroupByKey]])*DiscreteStatsTable[Minimum]))</f>
        <v>0.203133309337034</v>
      </c>
      <c r="U976" s="7" cm="1">
        <f t="array" ref="U976">MAX(IF((DiscreteStatsTable[GroupByKey]=DiscreteStatsTable[[#This Row],[GroupByKey]]),(DiscreteStatsTable[GroupByKey]=DiscreteStatsTable[[#This Row],[GroupByKey]])*DiscreteStatsTable[Maximum]))</f>
        <v>29.554686467573401</v>
      </c>
      <c r="V976" s="7" cm="1">
        <f t="array" ref="V976">IFERROR(AVERAGE(IF((DiscreteStatsTable[GroupByKey]=DiscreteStatsTable[[#This Row],[GroupByKey]]),(DiscreteStatsTable[GroupByKey]=DiscreteStatsTable[[#This Row],[GroupByKey]])*DiscreteStatsTable[NumberObservations])),0)</f>
        <v>837.68</v>
      </c>
      <c r="W976" s="7">
        <f>IF((DiscreteStatsTable[[#This Row],[RepsRequested]]&gt;1),DiscreteStatsTable[[#This Row],[HalfWidth]],DiscreteStatsTable[[#This Row],[BatchMeansHalfWidth]])</f>
        <v>0.14988539923930494</v>
      </c>
      <c r="X976" s="7" cm="1">
        <f t="array" ref="X976">COUNT(IF((DiscreteStatsTable[GroupByKey]=DiscreteStatsTable[[#This Row],[GroupByKey]]),(DiscreteStatsTable[GroupByKey]=DiscreteStatsTable[[#This Row],[GroupByKey]])*DiscreteStatsTable[Replication]))</f>
        <v>50</v>
      </c>
      <c r="Y976" s="7">
        <f>IF(DiscreteStatsTable[[#This Row],[RepsRequested]]=DiscreteStatsTable[[#This Row],[RepsWithStatObserved]],1,0)</f>
        <v>1</v>
      </c>
    </row>
    <row r="977" spans="1:25" x14ac:dyDescent="0.25">
      <c r="A977" t="s">
        <v>68</v>
      </c>
      <c r="B977" t="s">
        <v>131</v>
      </c>
      <c r="C977">
        <v>26</v>
      </c>
      <c r="D977" t="s">
        <v>94</v>
      </c>
      <c r="E977" t="s">
        <v>89</v>
      </c>
      <c r="F977" t="s">
        <v>90</v>
      </c>
      <c r="G977">
        <v>1.83929176586901</v>
      </c>
      <c r="H977">
        <v>0.51953671663829204</v>
      </c>
      <c r="I977">
        <v>0.26669007181510601</v>
      </c>
      <c r="J977">
        <v>10.460423694364501</v>
      </c>
      <c r="K977">
        <v>822</v>
      </c>
      <c r="L977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77" s="7" cm="1">
        <f t="array" ref="M977">MAX(IF((ProjectInfoTable[ProjectName]=DiscreteStatsTable[[#This Row],[ProjectName]]),(ProjectInfoTable[ProjectName]=DiscreteStatsTable[[#This Row],[ProjectName]])*ProjectInfoTable[NumberOfReplications]))</f>
        <v>50</v>
      </c>
      <c r="N977" s="7" cm="1">
        <f t="array" ref="N977">IFERROR(AVERAGE(IF((DiscreteStatsTable[GroupByKey]=DiscreteStatsTable[[#This Row],[GroupByKey]]),(DiscreteStatsTable[GroupByKey]=DiscreteStatsTable[[#This Row],[GroupByKey]])*DiscreteStatsTable[Average])),0)</f>
        <v>2.205174161750556</v>
      </c>
      <c r="O977" s="7" cm="1">
        <f t="array" ref="O977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77" s="7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 s="7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77" s="7" cm="1">
        <f t="array" ref="R977">MIN(IF((DiscreteStatsTable[GroupByKey]=DiscreteStatsTable[[#This Row],[GroupByKey]]),(DiscreteStatsTable[GroupByKey]=DiscreteStatsTable[[#This Row],[GroupByKey]])*DiscreteStatsTable[Average]))</f>
        <v>1.50461510232873</v>
      </c>
      <c r="S977" s="7" cm="1">
        <f t="array" ref="S977">MAX(IF((DiscreteStatsTable[GroupByKey]=DiscreteStatsTable[[#This Row],[GroupByKey]]),(DiscreteStatsTable[GroupByKey]=DiscreteStatsTable[[#This Row],[GroupByKey]])*DiscreteStatsTable[Average]))</f>
        <v>3.7741600797505002</v>
      </c>
      <c r="T977" s="7" cm="1">
        <f t="array" ref="T977">MIN(IF((DiscreteStatsTable[GroupByKey]=DiscreteStatsTable[[#This Row],[GroupByKey]]),(DiscreteStatsTable[GroupByKey]=DiscreteStatsTable[[#This Row],[GroupByKey]])*DiscreteStatsTable[Minimum]))</f>
        <v>0.203133309337034</v>
      </c>
      <c r="U977" s="7" cm="1">
        <f t="array" ref="U977">MAX(IF((DiscreteStatsTable[GroupByKey]=DiscreteStatsTable[[#This Row],[GroupByKey]]),(DiscreteStatsTable[GroupByKey]=DiscreteStatsTable[[#This Row],[GroupByKey]])*DiscreteStatsTable[Maximum]))</f>
        <v>29.554686467573401</v>
      </c>
      <c r="V977" s="7" cm="1">
        <f t="array" ref="V977">IFERROR(AVERAGE(IF((DiscreteStatsTable[GroupByKey]=DiscreteStatsTable[[#This Row],[GroupByKey]]),(DiscreteStatsTable[GroupByKey]=DiscreteStatsTable[[#This Row],[GroupByKey]])*DiscreteStatsTable[NumberObservations])),0)</f>
        <v>837.68</v>
      </c>
      <c r="W977" s="7">
        <f>IF((DiscreteStatsTable[[#This Row],[RepsRequested]]&gt;1),DiscreteStatsTable[[#This Row],[HalfWidth]],DiscreteStatsTable[[#This Row],[BatchMeansHalfWidth]])</f>
        <v>0.14988539923930494</v>
      </c>
      <c r="X977" s="7" cm="1">
        <f t="array" ref="X977">COUNT(IF((DiscreteStatsTable[GroupByKey]=DiscreteStatsTable[[#This Row],[GroupByKey]]),(DiscreteStatsTable[GroupByKey]=DiscreteStatsTable[[#This Row],[GroupByKey]])*DiscreteStatsTable[Replication]))</f>
        <v>50</v>
      </c>
      <c r="Y977" s="7">
        <f>IF(DiscreteStatsTable[[#This Row],[RepsRequested]]=DiscreteStatsTable[[#This Row],[RepsWithStatObserved]],1,0)</f>
        <v>1</v>
      </c>
    </row>
    <row r="978" spans="1:25" x14ac:dyDescent="0.25">
      <c r="A978" t="s">
        <v>68</v>
      </c>
      <c r="B978" t="s">
        <v>131</v>
      </c>
      <c r="C978">
        <v>27</v>
      </c>
      <c r="D978" t="s">
        <v>94</v>
      </c>
      <c r="E978" t="s">
        <v>89</v>
      </c>
      <c r="F978" t="s">
        <v>90</v>
      </c>
      <c r="G978">
        <v>3.7741600797505002</v>
      </c>
      <c r="H978">
        <v>1.6193131462818999</v>
      </c>
      <c r="I978">
        <v>0.254713097965521</v>
      </c>
      <c r="J978">
        <v>22.955794108810998</v>
      </c>
      <c r="K978">
        <v>785</v>
      </c>
      <c r="L978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78" s="7" cm="1">
        <f t="array" ref="M978">MAX(IF((ProjectInfoTable[ProjectName]=DiscreteStatsTable[[#This Row],[ProjectName]]),(ProjectInfoTable[ProjectName]=DiscreteStatsTable[[#This Row],[ProjectName]])*ProjectInfoTable[NumberOfReplications]))</f>
        <v>50</v>
      </c>
      <c r="N978" s="7" cm="1">
        <f t="array" ref="N978">IFERROR(AVERAGE(IF((DiscreteStatsTable[GroupByKey]=DiscreteStatsTable[[#This Row],[GroupByKey]]),(DiscreteStatsTable[GroupByKey]=DiscreteStatsTable[[#This Row],[GroupByKey]])*DiscreteStatsTable[Average])),0)</f>
        <v>2.205174161750556</v>
      </c>
      <c r="O978" s="7" cm="1">
        <f t="array" ref="O978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78" s="7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 s="7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78" s="7" cm="1">
        <f t="array" ref="R978">MIN(IF((DiscreteStatsTable[GroupByKey]=DiscreteStatsTable[[#This Row],[GroupByKey]]),(DiscreteStatsTable[GroupByKey]=DiscreteStatsTable[[#This Row],[GroupByKey]])*DiscreteStatsTable[Average]))</f>
        <v>1.50461510232873</v>
      </c>
      <c r="S978" s="7" cm="1">
        <f t="array" ref="S978">MAX(IF((DiscreteStatsTable[GroupByKey]=DiscreteStatsTable[[#This Row],[GroupByKey]]),(DiscreteStatsTable[GroupByKey]=DiscreteStatsTable[[#This Row],[GroupByKey]])*DiscreteStatsTable[Average]))</f>
        <v>3.7741600797505002</v>
      </c>
      <c r="T978" s="7" cm="1">
        <f t="array" ref="T978">MIN(IF((DiscreteStatsTable[GroupByKey]=DiscreteStatsTable[[#This Row],[GroupByKey]]),(DiscreteStatsTable[GroupByKey]=DiscreteStatsTable[[#This Row],[GroupByKey]])*DiscreteStatsTable[Minimum]))</f>
        <v>0.203133309337034</v>
      </c>
      <c r="U978" s="7" cm="1">
        <f t="array" ref="U978">MAX(IF((DiscreteStatsTable[GroupByKey]=DiscreteStatsTable[[#This Row],[GroupByKey]]),(DiscreteStatsTable[GroupByKey]=DiscreteStatsTable[[#This Row],[GroupByKey]])*DiscreteStatsTable[Maximum]))</f>
        <v>29.554686467573401</v>
      </c>
      <c r="V978" s="7" cm="1">
        <f t="array" ref="V978">IFERROR(AVERAGE(IF((DiscreteStatsTable[GroupByKey]=DiscreteStatsTable[[#This Row],[GroupByKey]]),(DiscreteStatsTable[GroupByKey]=DiscreteStatsTable[[#This Row],[GroupByKey]])*DiscreteStatsTable[NumberObservations])),0)</f>
        <v>837.68</v>
      </c>
      <c r="W978" s="7">
        <f>IF((DiscreteStatsTable[[#This Row],[RepsRequested]]&gt;1),DiscreteStatsTable[[#This Row],[HalfWidth]],DiscreteStatsTable[[#This Row],[BatchMeansHalfWidth]])</f>
        <v>0.14988539923930494</v>
      </c>
      <c r="X978" s="7" cm="1">
        <f t="array" ref="X978">COUNT(IF((DiscreteStatsTable[GroupByKey]=DiscreteStatsTable[[#This Row],[GroupByKey]]),(DiscreteStatsTable[GroupByKey]=DiscreteStatsTable[[#This Row],[GroupByKey]])*DiscreteStatsTable[Replication]))</f>
        <v>50</v>
      </c>
      <c r="Y978" s="7">
        <f>IF(DiscreteStatsTable[[#This Row],[RepsRequested]]=DiscreteStatsTable[[#This Row],[RepsWithStatObserved]],1,0)</f>
        <v>1</v>
      </c>
    </row>
    <row r="979" spans="1:25" x14ac:dyDescent="0.25">
      <c r="A979" t="s">
        <v>68</v>
      </c>
      <c r="B979" t="s">
        <v>131</v>
      </c>
      <c r="C979">
        <v>28</v>
      </c>
      <c r="D979" t="s">
        <v>94</v>
      </c>
      <c r="E979" t="s">
        <v>89</v>
      </c>
      <c r="F979" t="s">
        <v>90</v>
      </c>
      <c r="G979">
        <v>2.4169684610528401</v>
      </c>
      <c r="H979">
        <v>0.610718564911505</v>
      </c>
      <c r="I979">
        <v>0.27535644402513498</v>
      </c>
      <c r="J979">
        <v>11.369615117517601</v>
      </c>
      <c r="K979">
        <v>807</v>
      </c>
      <c r="L979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79" s="7" cm="1">
        <f t="array" ref="M979">MAX(IF((ProjectInfoTable[ProjectName]=DiscreteStatsTable[[#This Row],[ProjectName]]),(ProjectInfoTable[ProjectName]=DiscreteStatsTable[[#This Row],[ProjectName]])*ProjectInfoTable[NumberOfReplications]))</f>
        <v>50</v>
      </c>
      <c r="N979" s="7" cm="1">
        <f t="array" ref="N979">IFERROR(AVERAGE(IF((DiscreteStatsTable[GroupByKey]=DiscreteStatsTable[[#This Row],[GroupByKey]]),(DiscreteStatsTable[GroupByKey]=DiscreteStatsTable[[#This Row],[GroupByKey]])*DiscreteStatsTable[Average])),0)</f>
        <v>2.205174161750556</v>
      </c>
      <c r="O979" s="7" cm="1">
        <f t="array" ref="O979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79" s="7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 s="7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79" s="7" cm="1">
        <f t="array" ref="R979">MIN(IF((DiscreteStatsTable[GroupByKey]=DiscreteStatsTable[[#This Row],[GroupByKey]]),(DiscreteStatsTable[GroupByKey]=DiscreteStatsTable[[#This Row],[GroupByKey]])*DiscreteStatsTable[Average]))</f>
        <v>1.50461510232873</v>
      </c>
      <c r="S979" s="7" cm="1">
        <f t="array" ref="S979">MAX(IF((DiscreteStatsTable[GroupByKey]=DiscreteStatsTable[[#This Row],[GroupByKey]]),(DiscreteStatsTable[GroupByKey]=DiscreteStatsTable[[#This Row],[GroupByKey]])*DiscreteStatsTable[Average]))</f>
        <v>3.7741600797505002</v>
      </c>
      <c r="T979" s="7" cm="1">
        <f t="array" ref="T979">MIN(IF((DiscreteStatsTable[GroupByKey]=DiscreteStatsTable[[#This Row],[GroupByKey]]),(DiscreteStatsTable[GroupByKey]=DiscreteStatsTable[[#This Row],[GroupByKey]])*DiscreteStatsTable[Minimum]))</f>
        <v>0.203133309337034</v>
      </c>
      <c r="U979" s="7" cm="1">
        <f t="array" ref="U979">MAX(IF((DiscreteStatsTable[GroupByKey]=DiscreteStatsTable[[#This Row],[GroupByKey]]),(DiscreteStatsTable[GroupByKey]=DiscreteStatsTable[[#This Row],[GroupByKey]])*DiscreteStatsTable[Maximum]))</f>
        <v>29.554686467573401</v>
      </c>
      <c r="V979" s="7" cm="1">
        <f t="array" ref="V979">IFERROR(AVERAGE(IF((DiscreteStatsTable[GroupByKey]=DiscreteStatsTable[[#This Row],[GroupByKey]]),(DiscreteStatsTable[GroupByKey]=DiscreteStatsTable[[#This Row],[GroupByKey]])*DiscreteStatsTable[NumberObservations])),0)</f>
        <v>837.68</v>
      </c>
      <c r="W979" s="7">
        <f>IF((DiscreteStatsTable[[#This Row],[RepsRequested]]&gt;1),DiscreteStatsTable[[#This Row],[HalfWidth]],DiscreteStatsTable[[#This Row],[BatchMeansHalfWidth]])</f>
        <v>0.14988539923930494</v>
      </c>
      <c r="X979" s="7" cm="1">
        <f t="array" ref="X979">COUNT(IF((DiscreteStatsTable[GroupByKey]=DiscreteStatsTable[[#This Row],[GroupByKey]]),(DiscreteStatsTable[GroupByKey]=DiscreteStatsTable[[#This Row],[GroupByKey]])*DiscreteStatsTable[Replication]))</f>
        <v>50</v>
      </c>
      <c r="Y979" s="7">
        <f>IF(DiscreteStatsTable[[#This Row],[RepsRequested]]=DiscreteStatsTable[[#This Row],[RepsWithStatObserved]],1,0)</f>
        <v>1</v>
      </c>
    </row>
    <row r="980" spans="1:25" x14ac:dyDescent="0.25">
      <c r="A980" t="s">
        <v>68</v>
      </c>
      <c r="B980" t="s">
        <v>131</v>
      </c>
      <c r="C980">
        <v>29</v>
      </c>
      <c r="D980" t="s">
        <v>94</v>
      </c>
      <c r="E980" t="s">
        <v>89</v>
      </c>
      <c r="F980" t="s">
        <v>90</v>
      </c>
      <c r="G980">
        <v>2.5197177937778701</v>
      </c>
      <c r="H980">
        <v>1.2839672223685901</v>
      </c>
      <c r="I980">
        <v>0.264062188716366</v>
      </c>
      <c r="J980">
        <v>23.5430291492147</v>
      </c>
      <c r="K980">
        <v>878</v>
      </c>
      <c r="L980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80" s="7" cm="1">
        <f t="array" ref="M980">MAX(IF((ProjectInfoTable[ProjectName]=DiscreteStatsTable[[#This Row],[ProjectName]]),(ProjectInfoTable[ProjectName]=DiscreteStatsTable[[#This Row],[ProjectName]])*ProjectInfoTable[NumberOfReplications]))</f>
        <v>50</v>
      </c>
      <c r="N980" s="7" cm="1">
        <f t="array" ref="N980">IFERROR(AVERAGE(IF((DiscreteStatsTable[GroupByKey]=DiscreteStatsTable[[#This Row],[GroupByKey]]),(DiscreteStatsTable[GroupByKey]=DiscreteStatsTable[[#This Row],[GroupByKey]])*DiscreteStatsTable[Average])),0)</f>
        <v>2.205174161750556</v>
      </c>
      <c r="O980" s="7" cm="1">
        <f t="array" ref="O980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80" s="7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 s="7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80" s="7" cm="1">
        <f t="array" ref="R980">MIN(IF((DiscreteStatsTable[GroupByKey]=DiscreteStatsTable[[#This Row],[GroupByKey]]),(DiscreteStatsTable[GroupByKey]=DiscreteStatsTable[[#This Row],[GroupByKey]])*DiscreteStatsTable[Average]))</f>
        <v>1.50461510232873</v>
      </c>
      <c r="S980" s="7" cm="1">
        <f t="array" ref="S980">MAX(IF((DiscreteStatsTable[GroupByKey]=DiscreteStatsTable[[#This Row],[GroupByKey]]),(DiscreteStatsTable[GroupByKey]=DiscreteStatsTable[[#This Row],[GroupByKey]])*DiscreteStatsTable[Average]))</f>
        <v>3.7741600797505002</v>
      </c>
      <c r="T980" s="7" cm="1">
        <f t="array" ref="T980">MIN(IF((DiscreteStatsTable[GroupByKey]=DiscreteStatsTable[[#This Row],[GroupByKey]]),(DiscreteStatsTable[GroupByKey]=DiscreteStatsTable[[#This Row],[GroupByKey]])*DiscreteStatsTable[Minimum]))</f>
        <v>0.203133309337034</v>
      </c>
      <c r="U980" s="7" cm="1">
        <f t="array" ref="U980">MAX(IF((DiscreteStatsTable[GroupByKey]=DiscreteStatsTable[[#This Row],[GroupByKey]]),(DiscreteStatsTable[GroupByKey]=DiscreteStatsTable[[#This Row],[GroupByKey]])*DiscreteStatsTable[Maximum]))</f>
        <v>29.554686467573401</v>
      </c>
      <c r="V980" s="7" cm="1">
        <f t="array" ref="V980">IFERROR(AVERAGE(IF((DiscreteStatsTable[GroupByKey]=DiscreteStatsTable[[#This Row],[GroupByKey]]),(DiscreteStatsTable[GroupByKey]=DiscreteStatsTable[[#This Row],[GroupByKey]])*DiscreteStatsTable[NumberObservations])),0)</f>
        <v>837.68</v>
      </c>
      <c r="W980" s="7">
        <f>IF((DiscreteStatsTable[[#This Row],[RepsRequested]]&gt;1),DiscreteStatsTable[[#This Row],[HalfWidth]],DiscreteStatsTable[[#This Row],[BatchMeansHalfWidth]])</f>
        <v>0.14988539923930494</v>
      </c>
      <c r="X980" s="7" cm="1">
        <f t="array" ref="X980">COUNT(IF((DiscreteStatsTable[GroupByKey]=DiscreteStatsTable[[#This Row],[GroupByKey]]),(DiscreteStatsTable[GroupByKey]=DiscreteStatsTable[[#This Row],[GroupByKey]])*DiscreteStatsTable[Replication]))</f>
        <v>50</v>
      </c>
      <c r="Y980" s="7">
        <f>IF(DiscreteStatsTable[[#This Row],[RepsRequested]]=DiscreteStatsTable[[#This Row],[RepsWithStatObserved]],1,0)</f>
        <v>1</v>
      </c>
    </row>
    <row r="981" spans="1:25" x14ac:dyDescent="0.25">
      <c r="A981" t="s">
        <v>68</v>
      </c>
      <c r="B981" t="s">
        <v>131</v>
      </c>
      <c r="C981">
        <v>30</v>
      </c>
      <c r="D981" t="s">
        <v>94</v>
      </c>
      <c r="E981" t="s">
        <v>89</v>
      </c>
      <c r="F981" t="s">
        <v>90</v>
      </c>
      <c r="G981">
        <v>2.8049219464433102</v>
      </c>
      <c r="H981">
        <v>1.15296769087805</v>
      </c>
      <c r="I981">
        <v>0.25317126017483799</v>
      </c>
      <c r="J981">
        <v>19.533541523756899</v>
      </c>
      <c r="K981">
        <v>856</v>
      </c>
      <c r="L981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81" s="7" cm="1">
        <f t="array" ref="M981">MAX(IF((ProjectInfoTable[ProjectName]=DiscreteStatsTable[[#This Row],[ProjectName]]),(ProjectInfoTable[ProjectName]=DiscreteStatsTable[[#This Row],[ProjectName]])*ProjectInfoTable[NumberOfReplications]))</f>
        <v>50</v>
      </c>
      <c r="N981" s="7" cm="1">
        <f t="array" ref="N981">IFERROR(AVERAGE(IF((DiscreteStatsTable[GroupByKey]=DiscreteStatsTable[[#This Row],[GroupByKey]]),(DiscreteStatsTable[GroupByKey]=DiscreteStatsTable[[#This Row],[GroupByKey]])*DiscreteStatsTable[Average])),0)</f>
        <v>2.205174161750556</v>
      </c>
      <c r="O981" s="7" cm="1">
        <f t="array" ref="O981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81" s="7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 s="7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81" s="7" cm="1">
        <f t="array" ref="R981">MIN(IF((DiscreteStatsTable[GroupByKey]=DiscreteStatsTable[[#This Row],[GroupByKey]]),(DiscreteStatsTable[GroupByKey]=DiscreteStatsTable[[#This Row],[GroupByKey]])*DiscreteStatsTable[Average]))</f>
        <v>1.50461510232873</v>
      </c>
      <c r="S981" s="7" cm="1">
        <f t="array" ref="S981">MAX(IF((DiscreteStatsTable[GroupByKey]=DiscreteStatsTable[[#This Row],[GroupByKey]]),(DiscreteStatsTable[GroupByKey]=DiscreteStatsTable[[#This Row],[GroupByKey]])*DiscreteStatsTable[Average]))</f>
        <v>3.7741600797505002</v>
      </c>
      <c r="T981" s="7" cm="1">
        <f t="array" ref="T981">MIN(IF((DiscreteStatsTable[GroupByKey]=DiscreteStatsTable[[#This Row],[GroupByKey]]),(DiscreteStatsTable[GroupByKey]=DiscreteStatsTable[[#This Row],[GroupByKey]])*DiscreteStatsTable[Minimum]))</f>
        <v>0.203133309337034</v>
      </c>
      <c r="U981" s="7" cm="1">
        <f t="array" ref="U981">MAX(IF((DiscreteStatsTable[GroupByKey]=DiscreteStatsTable[[#This Row],[GroupByKey]]),(DiscreteStatsTable[GroupByKey]=DiscreteStatsTable[[#This Row],[GroupByKey]])*DiscreteStatsTable[Maximum]))</f>
        <v>29.554686467573401</v>
      </c>
      <c r="V981" s="7" cm="1">
        <f t="array" ref="V981">IFERROR(AVERAGE(IF((DiscreteStatsTable[GroupByKey]=DiscreteStatsTable[[#This Row],[GroupByKey]]),(DiscreteStatsTable[GroupByKey]=DiscreteStatsTable[[#This Row],[GroupByKey]])*DiscreteStatsTable[NumberObservations])),0)</f>
        <v>837.68</v>
      </c>
      <c r="W981" s="7">
        <f>IF((DiscreteStatsTable[[#This Row],[RepsRequested]]&gt;1),DiscreteStatsTable[[#This Row],[HalfWidth]],DiscreteStatsTable[[#This Row],[BatchMeansHalfWidth]])</f>
        <v>0.14988539923930494</v>
      </c>
      <c r="X981" s="7" cm="1">
        <f t="array" ref="X981">COUNT(IF((DiscreteStatsTable[GroupByKey]=DiscreteStatsTable[[#This Row],[GroupByKey]]),(DiscreteStatsTable[GroupByKey]=DiscreteStatsTable[[#This Row],[GroupByKey]])*DiscreteStatsTable[Replication]))</f>
        <v>50</v>
      </c>
      <c r="Y981" s="7">
        <f>IF(DiscreteStatsTable[[#This Row],[RepsRequested]]=DiscreteStatsTable[[#This Row],[RepsWithStatObserved]],1,0)</f>
        <v>1</v>
      </c>
    </row>
    <row r="982" spans="1:25" x14ac:dyDescent="0.25">
      <c r="A982" t="s">
        <v>68</v>
      </c>
      <c r="B982" t="s">
        <v>131</v>
      </c>
      <c r="C982">
        <v>31</v>
      </c>
      <c r="D982" t="s">
        <v>94</v>
      </c>
      <c r="E982" t="s">
        <v>89</v>
      </c>
      <c r="F982" t="s">
        <v>90</v>
      </c>
      <c r="G982">
        <v>1.50461510232873</v>
      </c>
      <c r="H982">
        <v>0.28206358036221102</v>
      </c>
      <c r="I982">
        <v>0.235540746690624</v>
      </c>
      <c r="J982">
        <v>10.5148892281978</v>
      </c>
      <c r="K982">
        <v>813</v>
      </c>
      <c r="L982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82" s="7" cm="1">
        <f t="array" ref="M982">MAX(IF((ProjectInfoTable[ProjectName]=DiscreteStatsTable[[#This Row],[ProjectName]]),(ProjectInfoTable[ProjectName]=DiscreteStatsTable[[#This Row],[ProjectName]])*ProjectInfoTable[NumberOfReplications]))</f>
        <v>50</v>
      </c>
      <c r="N982" s="7" cm="1">
        <f t="array" ref="N982">IFERROR(AVERAGE(IF((DiscreteStatsTable[GroupByKey]=DiscreteStatsTable[[#This Row],[GroupByKey]]),(DiscreteStatsTable[GroupByKey]=DiscreteStatsTable[[#This Row],[GroupByKey]])*DiscreteStatsTable[Average])),0)</f>
        <v>2.205174161750556</v>
      </c>
      <c r="O982" s="7" cm="1">
        <f t="array" ref="O982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82" s="7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 s="7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82" s="7" cm="1">
        <f t="array" ref="R982">MIN(IF((DiscreteStatsTable[GroupByKey]=DiscreteStatsTable[[#This Row],[GroupByKey]]),(DiscreteStatsTable[GroupByKey]=DiscreteStatsTable[[#This Row],[GroupByKey]])*DiscreteStatsTable[Average]))</f>
        <v>1.50461510232873</v>
      </c>
      <c r="S982" s="7" cm="1">
        <f t="array" ref="S982">MAX(IF((DiscreteStatsTable[GroupByKey]=DiscreteStatsTable[[#This Row],[GroupByKey]]),(DiscreteStatsTable[GroupByKey]=DiscreteStatsTable[[#This Row],[GroupByKey]])*DiscreteStatsTable[Average]))</f>
        <v>3.7741600797505002</v>
      </c>
      <c r="T982" s="7" cm="1">
        <f t="array" ref="T982">MIN(IF((DiscreteStatsTable[GroupByKey]=DiscreteStatsTable[[#This Row],[GroupByKey]]),(DiscreteStatsTable[GroupByKey]=DiscreteStatsTable[[#This Row],[GroupByKey]])*DiscreteStatsTable[Minimum]))</f>
        <v>0.203133309337034</v>
      </c>
      <c r="U982" s="7" cm="1">
        <f t="array" ref="U982">MAX(IF((DiscreteStatsTable[GroupByKey]=DiscreteStatsTable[[#This Row],[GroupByKey]]),(DiscreteStatsTable[GroupByKey]=DiscreteStatsTable[[#This Row],[GroupByKey]])*DiscreteStatsTable[Maximum]))</f>
        <v>29.554686467573401</v>
      </c>
      <c r="V982" s="7" cm="1">
        <f t="array" ref="V982">IFERROR(AVERAGE(IF((DiscreteStatsTable[GroupByKey]=DiscreteStatsTable[[#This Row],[GroupByKey]]),(DiscreteStatsTable[GroupByKey]=DiscreteStatsTable[[#This Row],[GroupByKey]])*DiscreteStatsTable[NumberObservations])),0)</f>
        <v>837.68</v>
      </c>
      <c r="W982" s="7">
        <f>IF((DiscreteStatsTable[[#This Row],[RepsRequested]]&gt;1),DiscreteStatsTable[[#This Row],[HalfWidth]],DiscreteStatsTable[[#This Row],[BatchMeansHalfWidth]])</f>
        <v>0.14988539923930494</v>
      </c>
      <c r="X982" s="7" cm="1">
        <f t="array" ref="X982">COUNT(IF((DiscreteStatsTable[GroupByKey]=DiscreteStatsTable[[#This Row],[GroupByKey]]),(DiscreteStatsTable[GroupByKey]=DiscreteStatsTable[[#This Row],[GroupByKey]])*DiscreteStatsTable[Replication]))</f>
        <v>50</v>
      </c>
      <c r="Y982" s="7">
        <f>IF(DiscreteStatsTable[[#This Row],[RepsRequested]]=DiscreteStatsTable[[#This Row],[RepsWithStatObserved]],1,0)</f>
        <v>1</v>
      </c>
    </row>
    <row r="983" spans="1:25" x14ac:dyDescent="0.25">
      <c r="A983" t="s">
        <v>68</v>
      </c>
      <c r="B983" t="s">
        <v>131</v>
      </c>
      <c r="C983">
        <v>32</v>
      </c>
      <c r="D983" t="s">
        <v>94</v>
      </c>
      <c r="E983" t="s">
        <v>89</v>
      </c>
      <c r="F983" t="s">
        <v>90</v>
      </c>
      <c r="G983">
        <v>1.6823412900321999</v>
      </c>
      <c r="H983">
        <v>0.37346949488815201</v>
      </c>
      <c r="I983">
        <v>0.23018746572927301</v>
      </c>
      <c r="J983">
        <v>11.749548532490101</v>
      </c>
      <c r="K983">
        <v>765</v>
      </c>
      <c r="L983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83" s="7" cm="1">
        <f t="array" ref="M983">MAX(IF((ProjectInfoTable[ProjectName]=DiscreteStatsTable[[#This Row],[ProjectName]]),(ProjectInfoTable[ProjectName]=DiscreteStatsTable[[#This Row],[ProjectName]])*ProjectInfoTable[NumberOfReplications]))</f>
        <v>50</v>
      </c>
      <c r="N983" s="7" cm="1">
        <f t="array" ref="N983">IFERROR(AVERAGE(IF((DiscreteStatsTable[GroupByKey]=DiscreteStatsTable[[#This Row],[GroupByKey]]),(DiscreteStatsTable[GroupByKey]=DiscreteStatsTable[[#This Row],[GroupByKey]])*DiscreteStatsTable[Average])),0)</f>
        <v>2.205174161750556</v>
      </c>
      <c r="O983" s="7" cm="1">
        <f t="array" ref="O983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83" s="7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 s="7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83" s="7" cm="1">
        <f t="array" ref="R983">MIN(IF((DiscreteStatsTable[GroupByKey]=DiscreteStatsTable[[#This Row],[GroupByKey]]),(DiscreteStatsTable[GroupByKey]=DiscreteStatsTable[[#This Row],[GroupByKey]])*DiscreteStatsTable[Average]))</f>
        <v>1.50461510232873</v>
      </c>
      <c r="S983" s="7" cm="1">
        <f t="array" ref="S983">MAX(IF((DiscreteStatsTable[GroupByKey]=DiscreteStatsTable[[#This Row],[GroupByKey]]),(DiscreteStatsTable[GroupByKey]=DiscreteStatsTable[[#This Row],[GroupByKey]])*DiscreteStatsTable[Average]))</f>
        <v>3.7741600797505002</v>
      </c>
      <c r="T983" s="7" cm="1">
        <f t="array" ref="T983">MIN(IF((DiscreteStatsTable[GroupByKey]=DiscreteStatsTable[[#This Row],[GroupByKey]]),(DiscreteStatsTable[GroupByKey]=DiscreteStatsTable[[#This Row],[GroupByKey]])*DiscreteStatsTable[Minimum]))</f>
        <v>0.203133309337034</v>
      </c>
      <c r="U983" s="7" cm="1">
        <f t="array" ref="U983">MAX(IF((DiscreteStatsTable[GroupByKey]=DiscreteStatsTable[[#This Row],[GroupByKey]]),(DiscreteStatsTable[GroupByKey]=DiscreteStatsTable[[#This Row],[GroupByKey]])*DiscreteStatsTable[Maximum]))</f>
        <v>29.554686467573401</v>
      </c>
      <c r="V983" s="7" cm="1">
        <f t="array" ref="V983">IFERROR(AVERAGE(IF((DiscreteStatsTable[GroupByKey]=DiscreteStatsTable[[#This Row],[GroupByKey]]),(DiscreteStatsTable[GroupByKey]=DiscreteStatsTable[[#This Row],[GroupByKey]])*DiscreteStatsTable[NumberObservations])),0)</f>
        <v>837.68</v>
      </c>
      <c r="W983" s="7">
        <f>IF((DiscreteStatsTable[[#This Row],[RepsRequested]]&gt;1),DiscreteStatsTable[[#This Row],[HalfWidth]],DiscreteStatsTable[[#This Row],[BatchMeansHalfWidth]])</f>
        <v>0.14988539923930494</v>
      </c>
      <c r="X983" s="7" cm="1">
        <f t="array" ref="X983">COUNT(IF((DiscreteStatsTable[GroupByKey]=DiscreteStatsTable[[#This Row],[GroupByKey]]),(DiscreteStatsTable[GroupByKey]=DiscreteStatsTable[[#This Row],[GroupByKey]])*DiscreteStatsTable[Replication]))</f>
        <v>50</v>
      </c>
      <c r="Y983" s="7">
        <f>IF(DiscreteStatsTable[[#This Row],[RepsRequested]]=DiscreteStatsTable[[#This Row],[RepsWithStatObserved]],1,0)</f>
        <v>1</v>
      </c>
    </row>
    <row r="984" spans="1:25" x14ac:dyDescent="0.25">
      <c r="A984" t="s">
        <v>68</v>
      </c>
      <c r="B984" t="s">
        <v>131</v>
      </c>
      <c r="C984">
        <v>33</v>
      </c>
      <c r="D984" t="s">
        <v>94</v>
      </c>
      <c r="E984" t="s">
        <v>89</v>
      </c>
      <c r="F984" t="s">
        <v>90</v>
      </c>
      <c r="G984">
        <v>1.9245787018406799</v>
      </c>
      <c r="H984">
        <v>0.41734862795755501</v>
      </c>
      <c r="I984">
        <v>0.246016273962709</v>
      </c>
      <c r="J984">
        <v>10.6142811553326</v>
      </c>
      <c r="K984">
        <v>864</v>
      </c>
      <c r="L984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84" s="7" cm="1">
        <f t="array" ref="M984">MAX(IF((ProjectInfoTable[ProjectName]=DiscreteStatsTable[[#This Row],[ProjectName]]),(ProjectInfoTable[ProjectName]=DiscreteStatsTable[[#This Row],[ProjectName]])*ProjectInfoTable[NumberOfReplications]))</f>
        <v>50</v>
      </c>
      <c r="N984" s="7" cm="1">
        <f t="array" ref="N984">IFERROR(AVERAGE(IF((DiscreteStatsTable[GroupByKey]=DiscreteStatsTable[[#This Row],[GroupByKey]]),(DiscreteStatsTable[GroupByKey]=DiscreteStatsTable[[#This Row],[GroupByKey]])*DiscreteStatsTable[Average])),0)</f>
        <v>2.205174161750556</v>
      </c>
      <c r="O984" s="7" cm="1">
        <f t="array" ref="O984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84" s="7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 s="7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84" s="7" cm="1">
        <f t="array" ref="R984">MIN(IF((DiscreteStatsTable[GroupByKey]=DiscreteStatsTable[[#This Row],[GroupByKey]]),(DiscreteStatsTable[GroupByKey]=DiscreteStatsTable[[#This Row],[GroupByKey]])*DiscreteStatsTable[Average]))</f>
        <v>1.50461510232873</v>
      </c>
      <c r="S984" s="7" cm="1">
        <f t="array" ref="S984">MAX(IF((DiscreteStatsTable[GroupByKey]=DiscreteStatsTable[[#This Row],[GroupByKey]]),(DiscreteStatsTable[GroupByKey]=DiscreteStatsTable[[#This Row],[GroupByKey]])*DiscreteStatsTable[Average]))</f>
        <v>3.7741600797505002</v>
      </c>
      <c r="T984" s="7" cm="1">
        <f t="array" ref="T984">MIN(IF((DiscreteStatsTable[GroupByKey]=DiscreteStatsTable[[#This Row],[GroupByKey]]),(DiscreteStatsTable[GroupByKey]=DiscreteStatsTable[[#This Row],[GroupByKey]])*DiscreteStatsTable[Minimum]))</f>
        <v>0.203133309337034</v>
      </c>
      <c r="U984" s="7" cm="1">
        <f t="array" ref="U984">MAX(IF((DiscreteStatsTable[GroupByKey]=DiscreteStatsTable[[#This Row],[GroupByKey]]),(DiscreteStatsTable[GroupByKey]=DiscreteStatsTable[[#This Row],[GroupByKey]])*DiscreteStatsTable[Maximum]))</f>
        <v>29.554686467573401</v>
      </c>
      <c r="V984" s="7" cm="1">
        <f t="array" ref="V984">IFERROR(AVERAGE(IF((DiscreteStatsTable[GroupByKey]=DiscreteStatsTable[[#This Row],[GroupByKey]]),(DiscreteStatsTable[GroupByKey]=DiscreteStatsTable[[#This Row],[GroupByKey]])*DiscreteStatsTable[NumberObservations])),0)</f>
        <v>837.68</v>
      </c>
      <c r="W984" s="7">
        <f>IF((DiscreteStatsTable[[#This Row],[RepsRequested]]&gt;1),DiscreteStatsTable[[#This Row],[HalfWidth]],DiscreteStatsTable[[#This Row],[BatchMeansHalfWidth]])</f>
        <v>0.14988539923930494</v>
      </c>
      <c r="X984" s="7" cm="1">
        <f t="array" ref="X984">COUNT(IF((DiscreteStatsTable[GroupByKey]=DiscreteStatsTable[[#This Row],[GroupByKey]]),(DiscreteStatsTable[GroupByKey]=DiscreteStatsTable[[#This Row],[GroupByKey]])*DiscreteStatsTable[Replication]))</f>
        <v>50</v>
      </c>
      <c r="Y984" s="7">
        <f>IF(DiscreteStatsTable[[#This Row],[RepsRequested]]=DiscreteStatsTable[[#This Row],[RepsWithStatObserved]],1,0)</f>
        <v>1</v>
      </c>
    </row>
    <row r="985" spans="1:25" x14ac:dyDescent="0.25">
      <c r="A985" t="s">
        <v>68</v>
      </c>
      <c r="B985" t="s">
        <v>131</v>
      </c>
      <c r="C985">
        <v>34</v>
      </c>
      <c r="D985" t="s">
        <v>94</v>
      </c>
      <c r="E985" t="s">
        <v>89</v>
      </c>
      <c r="F985" t="s">
        <v>90</v>
      </c>
      <c r="G985">
        <v>2.1163675088536</v>
      </c>
      <c r="H985">
        <v>0.71313927383778997</v>
      </c>
      <c r="I985">
        <v>0.26885543374333998</v>
      </c>
      <c r="J985">
        <v>17.730339065876802</v>
      </c>
      <c r="K985">
        <v>839</v>
      </c>
      <c r="L985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85" s="7" cm="1">
        <f t="array" ref="M985">MAX(IF((ProjectInfoTable[ProjectName]=DiscreteStatsTable[[#This Row],[ProjectName]]),(ProjectInfoTable[ProjectName]=DiscreteStatsTable[[#This Row],[ProjectName]])*ProjectInfoTable[NumberOfReplications]))</f>
        <v>50</v>
      </c>
      <c r="N985" s="7" cm="1">
        <f t="array" ref="N985">IFERROR(AVERAGE(IF((DiscreteStatsTable[GroupByKey]=DiscreteStatsTable[[#This Row],[GroupByKey]]),(DiscreteStatsTable[GroupByKey]=DiscreteStatsTable[[#This Row],[GroupByKey]])*DiscreteStatsTable[Average])),0)</f>
        <v>2.205174161750556</v>
      </c>
      <c r="O985" s="7" cm="1">
        <f t="array" ref="O985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85" s="7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 s="7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85" s="7" cm="1">
        <f t="array" ref="R985">MIN(IF((DiscreteStatsTable[GroupByKey]=DiscreteStatsTable[[#This Row],[GroupByKey]]),(DiscreteStatsTable[GroupByKey]=DiscreteStatsTable[[#This Row],[GroupByKey]])*DiscreteStatsTable[Average]))</f>
        <v>1.50461510232873</v>
      </c>
      <c r="S985" s="7" cm="1">
        <f t="array" ref="S985">MAX(IF((DiscreteStatsTable[GroupByKey]=DiscreteStatsTable[[#This Row],[GroupByKey]]),(DiscreteStatsTable[GroupByKey]=DiscreteStatsTable[[#This Row],[GroupByKey]])*DiscreteStatsTable[Average]))</f>
        <v>3.7741600797505002</v>
      </c>
      <c r="T985" s="7" cm="1">
        <f t="array" ref="T985">MIN(IF((DiscreteStatsTable[GroupByKey]=DiscreteStatsTable[[#This Row],[GroupByKey]]),(DiscreteStatsTable[GroupByKey]=DiscreteStatsTable[[#This Row],[GroupByKey]])*DiscreteStatsTable[Minimum]))</f>
        <v>0.203133309337034</v>
      </c>
      <c r="U985" s="7" cm="1">
        <f t="array" ref="U985">MAX(IF((DiscreteStatsTable[GroupByKey]=DiscreteStatsTable[[#This Row],[GroupByKey]]),(DiscreteStatsTable[GroupByKey]=DiscreteStatsTable[[#This Row],[GroupByKey]])*DiscreteStatsTable[Maximum]))</f>
        <v>29.554686467573401</v>
      </c>
      <c r="V985" s="7" cm="1">
        <f t="array" ref="V985">IFERROR(AVERAGE(IF((DiscreteStatsTable[GroupByKey]=DiscreteStatsTable[[#This Row],[GroupByKey]]),(DiscreteStatsTable[GroupByKey]=DiscreteStatsTable[[#This Row],[GroupByKey]])*DiscreteStatsTable[NumberObservations])),0)</f>
        <v>837.68</v>
      </c>
      <c r="W985" s="7">
        <f>IF((DiscreteStatsTable[[#This Row],[RepsRequested]]&gt;1),DiscreteStatsTable[[#This Row],[HalfWidth]],DiscreteStatsTable[[#This Row],[BatchMeansHalfWidth]])</f>
        <v>0.14988539923930494</v>
      </c>
      <c r="X985" s="7" cm="1">
        <f t="array" ref="X985">COUNT(IF((DiscreteStatsTable[GroupByKey]=DiscreteStatsTable[[#This Row],[GroupByKey]]),(DiscreteStatsTable[GroupByKey]=DiscreteStatsTable[[#This Row],[GroupByKey]])*DiscreteStatsTable[Replication]))</f>
        <v>50</v>
      </c>
      <c r="Y985" s="7">
        <f>IF(DiscreteStatsTable[[#This Row],[RepsRequested]]=DiscreteStatsTable[[#This Row],[RepsWithStatObserved]],1,0)</f>
        <v>1</v>
      </c>
    </row>
    <row r="986" spans="1:25" x14ac:dyDescent="0.25">
      <c r="A986" t="s">
        <v>68</v>
      </c>
      <c r="B986" t="s">
        <v>131</v>
      </c>
      <c r="C986">
        <v>35</v>
      </c>
      <c r="D986" t="s">
        <v>94</v>
      </c>
      <c r="E986" t="s">
        <v>89</v>
      </c>
      <c r="F986" t="s">
        <v>90</v>
      </c>
      <c r="G986">
        <v>1.8901781477717701</v>
      </c>
      <c r="H986">
        <v>0.50364901425862296</v>
      </c>
      <c r="I986">
        <v>0.24786367069259499</v>
      </c>
      <c r="J986">
        <v>13.7369407914641</v>
      </c>
      <c r="K986">
        <v>859</v>
      </c>
      <c r="L986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86" s="7" cm="1">
        <f t="array" ref="M986">MAX(IF((ProjectInfoTable[ProjectName]=DiscreteStatsTable[[#This Row],[ProjectName]]),(ProjectInfoTable[ProjectName]=DiscreteStatsTable[[#This Row],[ProjectName]])*ProjectInfoTable[NumberOfReplications]))</f>
        <v>50</v>
      </c>
      <c r="N986" s="7" cm="1">
        <f t="array" ref="N986">IFERROR(AVERAGE(IF((DiscreteStatsTable[GroupByKey]=DiscreteStatsTable[[#This Row],[GroupByKey]]),(DiscreteStatsTable[GroupByKey]=DiscreteStatsTable[[#This Row],[GroupByKey]])*DiscreteStatsTable[Average])),0)</f>
        <v>2.205174161750556</v>
      </c>
      <c r="O986" s="7" cm="1">
        <f t="array" ref="O986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86" s="7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 s="7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86" s="7" cm="1">
        <f t="array" ref="R986">MIN(IF((DiscreteStatsTable[GroupByKey]=DiscreteStatsTable[[#This Row],[GroupByKey]]),(DiscreteStatsTable[GroupByKey]=DiscreteStatsTable[[#This Row],[GroupByKey]])*DiscreteStatsTable[Average]))</f>
        <v>1.50461510232873</v>
      </c>
      <c r="S986" s="7" cm="1">
        <f t="array" ref="S986">MAX(IF((DiscreteStatsTable[GroupByKey]=DiscreteStatsTable[[#This Row],[GroupByKey]]),(DiscreteStatsTable[GroupByKey]=DiscreteStatsTable[[#This Row],[GroupByKey]])*DiscreteStatsTable[Average]))</f>
        <v>3.7741600797505002</v>
      </c>
      <c r="T986" s="7" cm="1">
        <f t="array" ref="T986">MIN(IF((DiscreteStatsTable[GroupByKey]=DiscreteStatsTable[[#This Row],[GroupByKey]]),(DiscreteStatsTable[GroupByKey]=DiscreteStatsTable[[#This Row],[GroupByKey]])*DiscreteStatsTable[Minimum]))</f>
        <v>0.203133309337034</v>
      </c>
      <c r="U986" s="7" cm="1">
        <f t="array" ref="U986">MAX(IF((DiscreteStatsTable[GroupByKey]=DiscreteStatsTable[[#This Row],[GroupByKey]]),(DiscreteStatsTable[GroupByKey]=DiscreteStatsTable[[#This Row],[GroupByKey]])*DiscreteStatsTable[Maximum]))</f>
        <v>29.554686467573401</v>
      </c>
      <c r="V986" s="7" cm="1">
        <f t="array" ref="V986">IFERROR(AVERAGE(IF((DiscreteStatsTable[GroupByKey]=DiscreteStatsTable[[#This Row],[GroupByKey]]),(DiscreteStatsTable[GroupByKey]=DiscreteStatsTable[[#This Row],[GroupByKey]])*DiscreteStatsTable[NumberObservations])),0)</f>
        <v>837.68</v>
      </c>
      <c r="W986" s="7">
        <f>IF((DiscreteStatsTable[[#This Row],[RepsRequested]]&gt;1),DiscreteStatsTable[[#This Row],[HalfWidth]],DiscreteStatsTable[[#This Row],[BatchMeansHalfWidth]])</f>
        <v>0.14988539923930494</v>
      </c>
      <c r="X986" s="7" cm="1">
        <f t="array" ref="X986">COUNT(IF((DiscreteStatsTable[GroupByKey]=DiscreteStatsTable[[#This Row],[GroupByKey]]),(DiscreteStatsTable[GroupByKey]=DiscreteStatsTable[[#This Row],[GroupByKey]])*DiscreteStatsTable[Replication]))</f>
        <v>50</v>
      </c>
      <c r="Y986" s="7">
        <f>IF(DiscreteStatsTable[[#This Row],[RepsRequested]]=DiscreteStatsTable[[#This Row],[RepsWithStatObserved]],1,0)</f>
        <v>1</v>
      </c>
    </row>
    <row r="987" spans="1:25" x14ac:dyDescent="0.25">
      <c r="A987" t="s">
        <v>68</v>
      </c>
      <c r="B987" t="s">
        <v>131</v>
      </c>
      <c r="C987">
        <v>36</v>
      </c>
      <c r="D987" t="s">
        <v>94</v>
      </c>
      <c r="E987" t="s">
        <v>89</v>
      </c>
      <c r="F987" t="s">
        <v>90</v>
      </c>
      <c r="G987">
        <v>1.5070834526052199</v>
      </c>
      <c r="H987">
        <v>0.28873393591351099</v>
      </c>
      <c r="I987">
        <v>0.25267791701713799</v>
      </c>
      <c r="J987">
        <v>8.7766043892596599</v>
      </c>
      <c r="K987">
        <v>824</v>
      </c>
      <c r="L987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87" s="7" cm="1">
        <f t="array" ref="M987">MAX(IF((ProjectInfoTable[ProjectName]=DiscreteStatsTable[[#This Row],[ProjectName]]),(ProjectInfoTable[ProjectName]=DiscreteStatsTable[[#This Row],[ProjectName]])*ProjectInfoTable[NumberOfReplications]))</f>
        <v>50</v>
      </c>
      <c r="N987" s="7" cm="1">
        <f t="array" ref="N987">IFERROR(AVERAGE(IF((DiscreteStatsTable[GroupByKey]=DiscreteStatsTable[[#This Row],[GroupByKey]]),(DiscreteStatsTable[GroupByKey]=DiscreteStatsTable[[#This Row],[GroupByKey]])*DiscreteStatsTable[Average])),0)</f>
        <v>2.205174161750556</v>
      </c>
      <c r="O987" s="7" cm="1">
        <f t="array" ref="O987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87" s="7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 s="7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87" s="7" cm="1">
        <f t="array" ref="R987">MIN(IF((DiscreteStatsTable[GroupByKey]=DiscreteStatsTable[[#This Row],[GroupByKey]]),(DiscreteStatsTable[GroupByKey]=DiscreteStatsTable[[#This Row],[GroupByKey]])*DiscreteStatsTable[Average]))</f>
        <v>1.50461510232873</v>
      </c>
      <c r="S987" s="7" cm="1">
        <f t="array" ref="S987">MAX(IF((DiscreteStatsTable[GroupByKey]=DiscreteStatsTable[[#This Row],[GroupByKey]]),(DiscreteStatsTable[GroupByKey]=DiscreteStatsTable[[#This Row],[GroupByKey]])*DiscreteStatsTable[Average]))</f>
        <v>3.7741600797505002</v>
      </c>
      <c r="T987" s="7" cm="1">
        <f t="array" ref="T987">MIN(IF((DiscreteStatsTable[GroupByKey]=DiscreteStatsTable[[#This Row],[GroupByKey]]),(DiscreteStatsTable[GroupByKey]=DiscreteStatsTable[[#This Row],[GroupByKey]])*DiscreteStatsTable[Minimum]))</f>
        <v>0.203133309337034</v>
      </c>
      <c r="U987" s="7" cm="1">
        <f t="array" ref="U987">MAX(IF((DiscreteStatsTable[GroupByKey]=DiscreteStatsTable[[#This Row],[GroupByKey]]),(DiscreteStatsTable[GroupByKey]=DiscreteStatsTable[[#This Row],[GroupByKey]])*DiscreteStatsTable[Maximum]))</f>
        <v>29.554686467573401</v>
      </c>
      <c r="V987" s="7" cm="1">
        <f t="array" ref="V987">IFERROR(AVERAGE(IF((DiscreteStatsTable[GroupByKey]=DiscreteStatsTable[[#This Row],[GroupByKey]]),(DiscreteStatsTable[GroupByKey]=DiscreteStatsTable[[#This Row],[GroupByKey]])*DiscreteStatsTable[NumberObservations])),0)</f>
        <v>837.68</v>
      </c>
      <c r="W987" s="7">
        <f>IF((DiscreteStatsTable[[#This Row],[RepsRequested]]&gt;1),DiscreteStatsTable[[#This Row],[HalfWidth]],DiscreteStatsTable[[#This Row],[BatchMeansHalfWidth]])</f>
        <v>0.14988539923930494</v>
      </c>
      <c r="X987" s="7" cm="1">
        <f t="array" ref="X987">COUNT(IF((DiscreteStatsTable[GroupByKey]=DiscreteStatsTable[[#This Row],[GroupByKey]]),(DiscreteStatsTable[GroupByKey]=DiscreteStatsTable[[#This Row],[GroupByKey]])*DiscreteStatsTable[Replication]))</f>
        <v>50</v>
      </c>
      <c r="Y987" s="7">
        <f>IF(DiscreteStatsTable[[#This Row],[RepsRequested]]=DiscreteStatsTable[[#This Row],[RepsWithStatObserved]],1,0)</f>
        <v>1</v>
      </c>
    </row>
    <row r="988" spans="1:25" x14ac:dyDescent="0.25">
      <c r="A988" t="s">
        <v>68</v>
      </c>
      <c r="B988" t="s">
        <v>131</v>
      </c>
      <c r="C988">
        <v>37</v>
      </c>
      <c r="D988" t="s">
        <v>94</v>
      </c>
      <c r="E988" t="s">
        <v>89</v>
      </c>
      <c r="F988" t="s">
        <v>90</v>
      </c>
      <c r="G988">
        <v>2.6939414436282298</v>
      </c>
      <c r="H988">
        <v>3E+20</v>
      </c>
      <c r="I988">
        <v>0.240195896727016</v>
      </c>
      <c r="J988">
        <v>25.838501022951501</v>
      </c>
      <c r="K988">
        <v>812</v>
      </c>
      <c r="L988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88" s="7" cm="1">
        <f t="array" ref="M988">MAX(IF((ProjectInfoTable[ProjectName]=DiscreteStatsTable[[#This Row],[ProjectName]]),(ProjectInfoTable[ProjectName]=DiscreteStatsTable[[#This Row],[ProjectName]])*ProjectInfoTable[NumberOfReplications]))</f>
        <v>50</v>
      </c>
      <c r="N988" s="7" cm="1">
        <f t="array" ref="N988">IFERROR(AVERAGE(IF((DiscreteStatsTable[GroupByKey]=DiscreteStatsTable[[#This Row],[GroupByKey]]),(DiscreteStatsTable[GroupByKey]=DiscreteStatsTable[[#This Row],[GroupByKey]])*DiscreteStatsTable[Average])),0)</f>
        <v>2.205174161750556</v>
      </c>
      <c r="O988" s="7" cm="1">
        <f t="array" ref="O988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88" s="7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 s="7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88" s="7" cm="1">
        <f t="array" ref="R988">MIN(IF((DiscreteStatsTable[GroupByKey]=DiscreteStatsTable[[#This Row],[GroupByKey]]),(DiscreteStatsTable[GroupByKey]=DiscreteStatsTable[[#This Row],[GroupByKey]])*DiscreteStatsTable[Average]))</f>
        <v>1.50461510232873</v>
      </c>
      <c r="S988" s="7" cm="1">
        <f t="array" ref="S988">MAX(IF((DiscreteStatsTable[GroupByKey]=DiscreteStatsTable[[#This Row],[GroupByKey]]),(DiscreteStatsTable[GroupByKey]=DiscreteStatsTable[[#This Row],[GroupByKey]])*DiscreteStatsTable[Average]))</f>
        <v>3.7741600797505002</v>
      </c>
      <c r="T988" s="7" cm="1">
        <f t="array" ref="T988">MIN(IF((DiscreteStatsTable[GroupByKey]=DiscreteStatsTable[[#This Row],[GroupByKey]]),(DiscreteStatsTable[GroupByKey]=DiscreteStatsTable[[#This Row],[GroupByKey]])*DiscreteStatsTable[Minimum]))</f>
        <v>0.203133309337034</v>
      </c>
      <c r="U988" s="7" cm="1">
        <f t="array" ref="U988">MAX(IF((DiscreteStatsTable[GroupByKey]=DiscreteStatsTable[[#This Row],[GroupByKey]]),(DiscreteStatsTable[GroupByKey]=DiscreteStatsTable[[#This Row],[GroupByKey]])*DiscreteStatsTable[Maximum]))</f>
        <v>29.554686467573401</v>
      </c>
      <c r="V988" s="7" cm="1">
        <f t="array" ref="V988">IFERROR(AVERAGE(IF((DiscreteStatsTable[GroupByKey]=DiscreteStatsTable[[#This Row],[GroupByKey]]),(DiscreteStatsTable[GroupByKey]=DiscreteStatsTable[[#This Row],[GroupByKey]])*DiscreteStatsTable[NumberObservations])),0)</f>
        <v>837.68</v>
      </c>
      <c r="W988" s="7">
        <f>IF((DiscreteStatsTable[[#This Row],[RepsRequested]]&gt;1),DiscreteStatsTable[[#This Row],[HalfWidth]],DiscreteStatsTable[[#This Row],[BatchMeansHalfWidth]])</f>
        <v>0.14988539923930494</v>
      </c>
      <c r="X988" s="7" cm="1">
        <f t="array" ref="X988">COUNT(IF((DiscreteStatsTable[GroupByKey]=DiscreteStatsTable[[#This Row],[GroupByKey]]),(DiscreteStatsTable[GroupByKey]=DiscreteStatsTable[[#This Row],[GroupByKey]])*DiscreteStatsTable[Replication]))</f>
        <v>50</v>
      </c>
      <c r="Y988" s="7">
        <f>IF(DiscreteStatsTable[[#This Row],[RepsRequested]]=DiscreteStatsTable[[#This Row],[RepsWithStatObserved]],1,0)</f>
        <v>1</v>
      </c>
    </row>
    <row r="989" spans="1:25" x14ac:dyDescent="0.25">
      <c r="A989" t="s">
        <v>68</v>
      </c>
      <c r="B989" t="s">
        <v>131</v>
      </c>
      <c r="C989">
        <v>38</v>
      </c>
      <c r="D989" t="s">
        <v>94</v>
      </c>
      <c r="E989" t="s">
        <v>89</v>
      </c>
      <c r="F989" t="s">
        <v>90</v>
      </c>
      <c r="G989">
        <v>1.9972367490414</v>
      </c>
      <c r="H989">
        <v>0.44934959481582198</v>
      </c>
      <c r="I989">
        <v>0.23788649934084599</v>
      </c>
      <c r="J989">
        <v>14.375775347160999</v>
      </c>
      <c r="K989">
        <v>816</v>
      </c>
      <c r="L989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89" s="7" cm="1">
        <f t="array" ref="M989">MAX(IF((ProjectInfoTable[ProjectName]=DiscreteStatsTable[[#This Row],[ProjectName]]),(ProjectInfoTable[ProjectName]=DiscreteStatsTable[[#This Row],[ProjectName]])*ProjectInfoTable[NumberOfReplications]))</f>
        <v>50</v>
      </c>
      <c r="N989" s="7" cm="1">
        <f t="array" ref="N989">IFERROR(AVERAGE(IF((DiscreteStatsTable[GroupByKey]=DiscreteStatsTable[[#This Row],[GroupByKey]]),(DiscreteStatsTable[GroupByKey]=DiscreteStatsTable[[#This Row],[GroupByKey]])*DiscreteStatsTable[Average])),0)</f>
        <v>2.205174161750556</v>
      </c>
      <c r="O989" s="7" cm="1">
        <f t="array" ref="O989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89" s="7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 s="7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89" s="7" cm="1">
        <f t="array" ref="R989">MIN(IF((DiscreteStatsTable[GroupByKey]=DiscreteStatsTable[[#This Row],[GroupByKey]]),(DiscreteStatsTable[GroupByKey]=DiscreteStatsTable[[#This Row],[GroupByKey]])*DiscreteStatsTable[Average]))</f>
        <v>1.50461510232873</v>
      </c>
      <c r="S989" s="7" cm="1">
        <f t="array" ref="S989">MAX(IF((DiscreteStatsTable[GroupByKey]=DiscreteStatsTable[[#This Row],[GroupByKey]]),(DiscreteStatsTable[GroupByKey]=DiscreteStatsTable[[#This Row],[GroupByKey]])*DiscreteStatsTable[Average]))</f>
        <v>3.7741600797505002</v>
      </c>
      <c r="T989" s="7" cm="1">
        <f t="array" ref="T989">MIN(IF((DiscreteStatsTable[GroupByKey]=DiscreteStatsTable[[#This Row],[GroupByKey]]),(DiscreteStatsTable[GroupByKey]=DiscreteStatsTable[[#This Row],[GroupByKey]])*DiscreteStatsTable[Minimum]))</f>
        <v>0.203133309337034</v>
      </c>
      <c r="U989" s="7" cm="1">
        <f t="array" ref="U989">MAX(IF((DiscreteStatsTable[GroupByKey]=DiscreteStatsTable[[#This Row],[GroupByKey]]),(DiscreteStatsTable[GroupByKey]=DiscreteStatsTable[[#This Row],[GroupByKey]])*DiscreteStatsTable[Maximum]))</f>
        <v>29.554686467573401</v>
      </c>
      <c r="V989" s="7" cm="1">
        <f t="array" ref="V989">IFERROR(AVERAGE(IF((DiscreteStatsTable[GroupByKey]=DiscreteStatsTable[[#This Row],[GroupByKey]]),(DiscreteStatsTable[GroupByKey]=DiscreteStatsTable[[#This Row],[GroupByKey]])*DiscreteStatsTable[NumberObservations])),0)</f>
        <v>837.68</v>
      </c>
      <c r="W989" s="7">
        <f>IF((DiscreteStatsTable[[#This Row],[RepsRequested]]&gt;1),DiscreteStatsTable[[#This Row],[HalfWidth]],DiscreteStatsTable[[#This Row],[BatchMeansHalfWidth]])</f>
        <v>0.14988539923930494</v>
      </c>
      <c r="X989" s="7" cm="1">
        <f t="array" ref="X989">COUNT(IF((DiscreteStatsTable[GroupByKey]=DiscreteStatsTable[[#This Row],[GroupByKey]]),(DiscreteStatsTable[GroupByKey]=DiscreteStatsTable[[#This Row],[GroupByKey]])*DiscreteStatsTable[Replication]))</f>
        <v>50</v>
      </c>
      <c r="Y989" s="7">
        <f>IF(DiscreteStatsTable[[#This Row],[RepsRequested]]=DiscreteStatsTable[[#This Row],[RepsWithStatObserved]],1,0)</f>
        <v>1</v>
      </c>
    </row>
    <row r="990" spans="1:25" x14ac:dyDescent="0.25">
      <c r="A990" t="s">
        <v>68</v>
      </c>
      <c r="B990" t="s">
        <v>131</v>
      </c>
      <c r="C990">
        <v>39</v>
      </c>
      <c r="D990" t="s">
        <v>94</v>
      </c>
      <c r="E990" t="s">
        <v>89</v>
      </c>
      <c r="F990" t="s">
        <v>90</v>
      </c>
      <c r="G990">
        <v>1.5283817473022301</v>
      </c>
      <c r="H990">
        <v>0.22018159628357101</v>
      </c>
      <c r="I990">
        <v>0.22971885375182</v>
      </c>
      <c r="J990">
        <v>7.5706155695615402</v>
      </c>
      <c r="K990">
        <v>848</v>
      </c>
      <c r="L990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90" s="7" cm="1">
        <f t="array" ref="M990">MAX(IF((ProjectInfoTable[ProjectName]=DiscreteStatsTable[[#This Row],[ProjectName]]),(ProjectInfoTable[ProjectName]=DiscreteStatsTable[[#This Row],[ProjectName]])*ProjectInfoTable[NumberOfReplications]))</f>
        <v>50</v>
      </c>
      <c r="N990" s="7" cm="1">
        <f t="array" ref="N990">IFERROR(AVERAGE(IF((DiscreteStatsTable[GroupByKey]=DiscreteStatsTable[[#This Row],[GroupByKey]]),(DiscreteStatsTable[GroupByKey]=DiscreteStatsTable[[#This Row],[GroupByKey]])*DiscreteStatsTable[Average])),0)</f>
        <v>2.205174161750556</v>
      </c>
      <c r="O990" s="7" cm="1">
        <f t="array" ref="O990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90" s="7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 s="7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90" s="7" cm="1">
        <f t="array" ref="R990">MIN(IF((DiscreteStatsTable[GroupByKey]=DiscreteStatsTable[[#This Row],[GroupByKey]]),(DiscreteStatsTable[GroupByKey]=DiscreteStatsTable[[#This Row],[GroupByKey]])*DiscreteStatsTable[Average]))</f>
        <v>1.50461510232873</v>
      </c>
      <c r="S990" s="7" cm="1">
        <f t="array" ref="S990">MAX(IF((DiscreteStatsTable[GroupByKey]=DiscreteStatsTable[[#This Row],[GroupByKey]]),(DiscreteStatsTable[GroupByKey]=DiscreteStatsTable[[#This Row],[GroupByKey]])*DiscreteStatsTable[Average]))</f>
        <v>3.7741600797505002</v>
      </c>
      <c r="T990" s="7" cm="1">
        <f t="array" ref="T990">MIN(IF((DiscreteStatsTable[GroupByKey]=DiscreteStatsTable[[#This Row],[GroupByKey]]),(DiscreteStatsTable[GroupByKey]=DiscreteStatsTable[[#This Row],[GroupByKey]])*DiscreteStatsTable[Minimum]))</f>
        <v>0.203133309337034</v>
      </c>
      <c r="U990" s="7" cm="1">
        <f t="array" ref="U990">MAX(IF((DiscreteStatsTable[GroupByKey]=DiscreteStatsTable[[#This Row],[GroupByKey]]),(DiscreteStatsTable[GroupByKey]=DiscreteStatsTable[[#This Row],[GroupByKey]])*DiscreteStatsTable[Maximum]))</f>
        <v>29.554686467573401</v>
      </c>
      <c r="V990" s="7" cm="1">
        <f t="array" ref="V990">IFERROR(AVERAGE(IF((DiscreteStatsTable[GroupByKey]=DiscreteStatsTable[[#This Row],[GroupByKey]]),(DiscreteStatsTable[GroupByKey]=DiscreteStatsTable[[#This Row],[GroupByKey]])*DiscreteStatsTable[NumberObservations])),0)</f>
        <v>837.68</v>
      </c>
      <c r="W990" s="7">
        <f>IF((DiscreteStatsTable[[#This Row],[RepsRequested]]&gt;1),DiscreteStatsTable[[#This Row],[HalfWidth]],DiscreteStatsTable[[#This Row],[BatchMeansHalfWidth]])</f>
        <v>0.14988539923930494</v>
      </c>
      <c r="X990" s="7" cm="1">
        <f t="array" ref="X990">COUNT(IF((DiscreteStatsTable[GroupByKey]=DiscreteStatsTable[[#This Row],[GroupByKey]]),(DiscreteStatsTable[GroupByKey]=DiscreteStatsTable[[#This Row],[GroupByKey]])*DiscreteStatsTable[Replication]))</f>
        <v>50</v>
      </c>
      <c r="Y990" s="7">
        <f>IF(DiscreteStatsTable[[#This Row],[RepsRequested]]=DiscreteStatsTable[[#This Row],[RepsWithStatObserved]],1,0)</f>
        <v>1</v>
      </c>
    </row>
    <row r="991" spans="1:25" x14ac:dyDescent="0.25">
      <c r="A991" t="s">
        <v>68</v>
      </c>
      <c r="B991" t="s">
        <v>131</v>
      </c>
      <c r="C991">
        <v>40</v>
      </c>
      <c r="D991" t="s">
        <v>94</v>
      </c>
      <c r="E991" t="s">
        <v>89</v>
      </c>
      <c r="F991" t="s">
        <v>90</v>
      </c>
      <c r="G991">
        <v>1.85956973417688</v>
      </c>
      <c r="H991">
        <v>0.71452913122372297</v>
      </c>
      <c r="I991">
        <v>0.23885971800285699</v>
      </c>
      <c r="J991">
        <v>14.5456892848898</v>
      </c>
      <c r="K991">
        <v>845</v>
      </c>
      <c r="L991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91" s="7" cm="1">
        <f t="array" ref="M991">MAX(IF((ProjectInfoTable[ProjectName]=DiscreteStatsTable[[#This Row],[ProjectName]]),(ProjectInfoTable[ProjectName]=DiscreteStatsTable[[#This Row],[ProjectName]])*ProjectInfoTable[NumberOfReplications]))</f>
        <v>50</v>
      </c>
      <c r="N991" s="7" cm="1">
        <f t="array" ref="N991">IFERROR(AVERAGE(IF((DiscreteStatsTable[GroupByKey]=DiscreteStatsTable[[#This Row],[GroupByKey]]),(DiscreteStatsTable[GroupByKey]=DiscreteStatsTable[[#This Row],[GroupByKey]])*DiscreteStatsTable[Average])),0)</f>
        <v>2.205174161750556</v>
      </c>
      <c r="O991" s="7" cm="1">
        <f t="array" ref="O991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91" s="7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 s="7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91" s="7" cm="1">
        <f t="array" ref="R991">MIN(IF((DiscreteStatsTable[GroupByKey]=DiscreteStatsTable[[#This Row],[GroupByKey]]),(DiscreteStatsTable[GroupByKey]=DiscreteStatsTable[[#This Row],[GroupByKey]])*DiscreteStatsTable[Average]))</f>
        <v>1.50461510232873</v>
      </c>
      <c r="S991" s="7" cm="1">
        <f t="array" ref="S991">MAX(IF((DiscreteStatsTable[GroupByKey]=DiscreteStatsTable[[#This Row],[GroupByKey]]),(DiscreteStatsTable[GroupByKey]=DiscreteStatsTable[[#This Row],[GroupByKey]])*DiscreteStatsTable[Average]))</f>
        <v>3.7741600797505002</v>
      </c>
      <c r="T991" s="7" cm="1">
        <f t="array" ref="T991">MIN(IF((DiscreteStatsTable[GroupByKey]=DiscreteStatsTable[[#This Row],[GroupByKey]]),(DiscreteStatsTable[GroupByKey]=DiscreteStatsTable[[#This Row],[GroupByKey]])*DiscreteStatsTable[Minimum]))</f>
        <v>0.203133309337034</v>
      </c>
      <c r="U991" s="7" cm="1">
        <f t="array" ref="U991">MAX(IF((DiscreteStatsTable[GroupByKey]=DiscreteStatsTable[[#This Row],[GroupByKey]]),(DiscreteStatsTable[GroupByKey]=DiscreteStatsTable[[#This Row],[GroupByKey]])*DiscreteStatsTable[Maximum]))</f>
        <v>29.554686467573401</v>
      </c>
      <c r="V991" s="7" cm="1">
        <f t="array" ref="V991">IFERROR(AVERAGE(IF((DiscreteStatsTable[GroupByKey]=DiscreteStatsTable[[#This Row],[GroupByKey]]),(DiscreteStatsTable[GroupByKey]=DiscreteStatsTable[[#This Row],[GroupByKey]])*DiscreteStatsTable[NumberObservations])),0)</f>
        <v>837.68</v>
      </c>
      <c r="W991" s="7">
        <f>IF((DiscreteStatsTable[[#This Row],[RepsRequested]]&gt;1),DiscreteStatsTable[[#This Row],[HalfWidth]],DiscreteStatsTable[[#This Row],[BatchMeansHalfWidth]])</f>
        <v>0.14988539923930494</v>
      </c>
      <c r="X991" s="7" cm="1">
        <f t="array" ref="X991">COUNT(IF((DiscreteStatsTable[GroupByKey]=DiscreteStatsTable[[#This Row],[GroupByKey]]),(DiscreteStatsTable[GroupByKey]=DiscreteStatsTable[[#This Row],[GroupByKey]])*DiscreteStatsTable[Replication]))</f>
        <v>50</v>
      </c>
      <c r="Y991" s="7">
        <f>IF(DiscreteStatsTable[[#This Row],[RepsRequested]]=DiscreteStatsTable[[#This Row],[RepsWithStatObserved]],1,0)</f>
        <v>1</v>
      </c>
    </row>
    <row r="992" spans="1:25" x14ac:dyDescent="0.25">
      <c r="A992" t="s">
        <v>68</v>
      </c>
      <c r="B992" t="s">
        <v>131</v>
      </c>
      <c r="C992">
        <v>41</v>
      </c>
      <c r="D992" t="s">
        <v>94</v>
      </c>
      <c r="E992" t="s">
        <v>89</v>
      </c>
      <c r="F992" t="s">
        <v>90</v>
      </c>
      <c r="G992">
        <v>1.7901474674429301</v>
      </c>
      <c r="H992">
        <v>0.459584058277897</v>
      </c>
      <c r="I992">
        <v>0.231158987675258</v>
      </c>
      <c r="J992">
        <v>12.758218320237001</v>
      </c>
      <c r="K992">
        <v>801</v>
      </c>
      <c r="L992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92" s="7" cm="1">
        <f t="array" ref="M992">MAX(IF((ProjectInfoTable[ProjectName]=DiscreteStatsTable[[#This Row],[ProjectName]]),(ProjectInfoTable[ProjectName]=DiscreteStatsTable[[#This Row],[ProjectName]])*ProjectInfoTable[NumberOfReplications]))</f>
        <v>50</v>
      </c>
      <c r="N992" s="7" cm="1">
        <f t="array" ref="N992">IFERROR(AVERAGE(IF((DiscreteStatsTable[GroupByKey]=DiscreteStatsTable[[#This Row],[GroupByKey]]),(DiscreteStatsTable[GroupByKey]=DiscreteStatsTable[[#This Row],[GroupByKey]])*DiscreteStatsTable[Average])),0)</f>
        <v>2.205174161750556</v>
      </c>
      <c r="O992" s="7" cm="1">
        <f t="array" ref="O992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92" s="7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 s="7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92" s="7" cm="1">
        <f t="array" ref="R992">MIN(IF((DiscreteStatsTable[GroupByKey]=DiscreteStatsTable[[#This Row],[GroupByKey]]),(DiscreteStatsTable[GroupByKey]=DiscreteStatsTable[[#This Row],[GroupByKey]])*DiscreteStatsTable[Average]))</f>
        <v>1.50461510232873</v>
      </c>
      <c r="S992" s="7" cm="1">
        <f t="array" ref="S992">MAX(IF((DiscreteStatsTable[GroupByKey]=DiscreteStatsTable[[#This Row],[GroupByKey]]),(DiscreteStatsTable[GroupByKey]=DiscreteStatsTable[[#This Row],[GroupByKey]])*DiscreteStatsTable[Average]))</f>
        <v>3.7741600797505002</v>
      </c>
      <c r="T992" s="7" cm="1">
        <f t="array" ref="T992">MIN(IF((DiscreteStatsTable[GroupByKey]=DiscreteStatsTable[[#This Row],[GroupByKey]]),(DiscreteStatsTable[GroupByKey]=DiscreteStatsTable[[#This Row],[GroupByKey]])*DiscreteStatsTable[Minimum]))</f>
        <v>0.203133309337034</v>
      </c>
      <c r="U992" s="7" cm="1">
        <f t="array" ref="U992">MAX(IF((DiscreteStatsTable[GroupByKey]=DiscreteStatsTable[[#This Row],[GroupByKey]]),(DiscreteStatsTable[GroupByKey]=DiscreteStatsTable[[#This Row],[GroupByKey]])*DiscreteStatsTable[Maximum]))</f>
        <v>29.554686467573401</v>
      </c>
      <c r="V992" s="7" cm="1">
        <f t="array" ref="V992">IFERROR(AVERAGE(IF((DiscreteStatsTable[GroupByKey]=DiscreteStatsTable[[#This Row],[GroupByKey]]),(DiscreteStatsTable[GroupByKey]=DiscreteStatsTable[[#This Row],[GroupByKey]])*DiscreteStatsTable[NumberObservations])),0)</f>
        <v>837.68</v>
      </c>
      <c r="W992" s="7">
        <f>IF((DiscreteStatsTable[[#This Row],[RepsRequested]]&gt;1),DiscreteStatsTable[[#This Row],[HalfWidth]],DiscreteStatsTable[[#This Row],[BatchMeansHalfWidth]])</f>
        <v>0.14988539923930494</v>
      </c>
      <c r="X992" s="7" cm="1">
        <f t="array" ref="X992">COUNT(IF((DiscreteStatsTable[GroupByKey]=DiscreteStatsTable[[#This Row],[GroupByKey]]),(DiscreteStatsTable[GroupByKey]=DiscreteStatsTable[[#This Row],[GroupByKey]])*DiscreteStatsTable[Replication]))</f>
        <v>50</v>
      </c>
      <c r="Y992" s="7">
        <f>IF(DiscreteStatsTable[[#This Row],[RepsRequested]]=DiscreteStatsTable[[#This Row],[RepsWithStatObserved]],1,0)</f>
        <v>1</v>
      </c>
    </row>
    <row r="993" spans="1:25" x14ac:dyDescent="0.25">
      <c r="A993" t="s">
        <v>68</v>
      </c>
      <c r="B993" t="s">
        <v>131</v>
      </c>
      <c r="C993">
        <v>42</v>
      </c>
      <c r="D993" t="s">
        <v>94</v>
      </c>
      <c r="E993" t="s">
        <v>89</v>
      </c>
      <c r="F993" t="s">
        <v>90</v>
      </c>
      <c r="G993">
        <v>1.98978642772428</v>
      </c>
      <c r="H993">
        <v>0.77584827431885905</v>
      </c>
      <c r="I993">
        <v>0.27286426164494099</v>
      </c>
      <c r="J993">
        <v>15.4434518189065</v>
      </c>
      <c r="K993">
        <v>880</v>
      </c>
      <c r="L993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93" s="7" cm="1">
        <f t="array" ref="M993">MAX(IF((ProjectInfoTable[ProjectName]=DiscreteStatsTable[[#This Row],[ProjectName]]),(ProjectInfoTable[ProjectName]=DiscreteStatsTable[[#This Row],[ProjectName]])*ProjectInfoTable[NumberOfReplications]))</f>
        <v>50</v>
      </c>
      <c r="N993" s="7" cm="1">
        <f t="array" ref="N993">IFERROR(AVERAGE(IF((DiscreteStatsTable[GroupByKey]=DiscreteStatsTable[[#This Row],[GroupByKey]]),(DiscreteStatsTable[GroupByKey]=DiscreteStatsTable[[#This Row],[GroupByKey]])*DiscreteStatsTable[Average])),0)</f>
        <v>2.205174161750556</v>
      </c>
      <c r="O993" s="7" cm="1">
        <f t="array" ref="O993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93" s="7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 s="7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93" s="7" cm="1">
        <f t="array" ref="R993">MIN(IF((DiscreteStatsTable[GroupByKey]=DiscreteStatsTable[[#This Row],[GroupByKey]]),(DiscreteStatsTable[GroupByKey]=DiscreteStatsTable[[#This Row],[GroupByKey]])*DiscreteStatsTable[Average]))</f>
        <v>1.50461510232873</v>
      </c>
      <c r="S993" s="7" cm="1">
        <f t="array" ref="S993">MAX(IF((DiscreteStatsTable[GroupByKey]=DiscreteStatsTable[[#This Row],[GroupByKey]]),(DiscreteStatsTable[GroupByKey]=DiscreteStatsTable[[#This Row],[GroupByKey]])*DiscreteStatsTable[Average]))</f>
        <v>3.7741600797505002</v>
      </c>
      <c r="T993" s="7" cm="1">
        <f t="array" ref="T993">MIN(IF((DiscreteStatsTable[GroupByKey]=DiscreteStatsTable[[#This Row],[GroupByKey]]),(DiscreteStatsTable[GroupByKey]=DiscreteStatsTable[[#This Row],[GroupByKey]])*DiscreteStatsTable[Minimum]))</f>
        <v>0.203133309337034</v>
      </c>
      <c r="U993" s="7" cm="1">
        <f t="array" ref="U993">MAX(IF((DiscreteStatsTable[GroupByKey]=DiscreteStatsTable[[#This Row],[GroupByKey]]),(DiscreteStatsTable[GroupByKey]=DiscreteStatsTable[[#This Row],[GroupByKey]])*DiscreteStatsTable[Maximum]))</f>
        <v>29.554686467573401</v>
      </c>
      <c r="V993" s="7" cm="1">
        <f t="array" ref="V993">IFERROR(AVERAGE(IF((DiscreteStatsTable[GroupByKey]=DiscreteStatsTable[[#This Row],[GroupByKey]]),(DiscreteStatsTable[GroupByKey]=DiscreteStatsTable[[#This Row],[GroupByKey]])*DiscreteStatsTable[NumberObservations])),0)</f>
        <v>837.68</v>
      </c>
      <c r="W993" s="7">
        <f>IF((DiscreteStatsTable[[#This Row],[RepsRequested]]&gt;1),DiscreteStatsTable[[#This Row],[HalfWidth]],DiscreteStatsTable[[#This Row],[BatchMeansHalfWidth]])</f>
        <v>0.14988539923930494</v>
      </c>
      <c r="X993" s="7" cm="1">
        <f t="array" ref="X993">COUNT(IF((DiscreteStatsTable[GroupByKey]=DiscreteStatsTable[[#This Row],[GroupByKey]]),(DiscreteStatsTable[GroupByKey]=DiscreteStatsTable[[#This Row],[GroupByKey]])*DiscreteStatsTable[Replication]))</f>
        <v>50</v>
      </c>
      <c r="Y993" s="7">
        <f>IF(DiscreteStatsTable[[#This Row],[RepsRequested]]=DiscreteStatsTable[[#This Row],[RepsWithStatObserved]],1,0)</f>
        <v>1</v>
      </c>
    </row>
    <row r="994" spans="1:25" x14ac:dyDescent="0.25">
      <c r="A994" t="s">
        <v>68</v>
      </c>
      <c r="B994" t="s">
        <v>131</v>
      </c>
      <c r="C994">
        <v>43</v>
      </c>
      <c r="D994" t="s">
        <v>94</v>
      </c>
      <c r="E994" t="s">
        <v>89</v>
      </c>
      <c r="F994" t="s">
        <v>90</v>
      </c>
      <c r="G994">
        <v>2.0082849536558598</v>
      </c>
      <c r="H994">
        <v>0.557095714194346</v>
      </c>
      <c r="I994">
        <v>0.24585752805967301</v>
      </c>
      <c r="J994">
        <v>13.518838976587</v>
      </c>
      <c r="K994">
        <v>834</v>
      </c>
      <c r="L994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94" s="7" cm="1">
        <f t="array" ref="M994">MAX(IF((ProjectInfoTable[ProjectName]=DiscreteStatsTable[[#This Row],[ProjectName]]),(ProjectInfoTable[ProjectName]=DiscreteStatsTable[[#This Row],[ProjectName]])*ProjectInfoTable[NumberOfReplications]))</f>
        <v>50</v>
      </c>
      <c r="N994" s="7" cm="1">
        <f t="array" ref="N994">IFERROR(AVERAGE(IF((DiscreteStatsTable[GroupByKey]=DiscreteStatsTable[[#This Row],[GroupByKey]]),(DiscreteStatsTable[GroupByKey]=DiscreteStatsTable[[#This Row],[GroupByKey]])*DiscreteStatsTable[Average])),0)</f>
        <v>2.205174161750556</v>
      </c>
      <c r="O994" s="7" cm="1">
        <f t="array" ref="O994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94" s="7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 s="7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94" s="7" cm="1">
        <f t="array" ref="R994">MIN(IF((DiscreteStatsTable[GroupByKey]=DiscreteStatsTable[[#This Row],[GroupByKey]]),(DiscreteStatsTable[GroupByKey]=DiscreteStatsTable[[#This Row],[GroupByKey]])*DiscreteStatsTable[Average]))</f>
        <v>1.50461510232873</v>
      </c>
      <c r="S994" s="7" cm="1">
        <f t="array" ref="S994">MAX(IF((DiscreteStatsTable[GroupByKey]=DiscreteStatsTable[[#This Row],[GroupByKey]]),(DiscreteStatsTable[GroupByKey]=DiscreteStatsTable[[#This Row],[GroupByKey]])*DiscreteStatsTable[Average]))</f>
        <v>3.7741600797505002</v>
      </c>
      <c r="T994" s="7" cm="1">
        <f t="array" ref="T994">MIN(IF((DiscreteStatsTable[GroupByKey]=DiscreteStatsTable[[#This Row],[GroupByKey]]),(DiscreteStatsTable[GroupByKey]=DiscreteStatsTable[[#This Row],[GroupByKey]])*DiscreteStatsTable[Minimum]))</f>
        <v>0.203133309337034</v>
      </c>
      <c r="U994" s="7" cm="1">
        <f t="array" ref="U994">MAX(IF((DiscreteStatsTable[GroupByKey]=DiscreteStatsTable[[#This Row],[GroupByKey]]),(DiscreteStatsTable[GroupByKey]=DiscreteStatsTable[[#This Row],[GroupByKey]])*DiscreteStatsTable[Maximum]))</f>
        <v>29.554686467573401</v>
      </c>
      <c r="V994" s="7" cm="1">
        <f t="array" ref="V994">IFERROR(AVERAGE(IF((DiscreteStatsTable[GroupByKey]=DiscreteStatsTable[[#This Row],[GroupByKey]]),(DiscreteStatsTable[GroupByKey]=DiscreteStatsTable[[#This Row],[GroupByKey]])*DiscreteStatsTable[NumberObservations])),0)</f>
        <v>837.68</v>
      </c>
      <c r="W994" s="7">
        <f>IF((DiscreteStatsTable[[#This Row],[RepsRequested]]&gt;1),DiscreteStatsTable[[#This Row],[HalfWidth]],DiscreteStatsTable[[#This Row],[BatchMeansHalfWidth]])</f>
        <v>0.14988539923930494</v>
      </c>
      <c r="X994" s="7" cm="1">
        <f t="array" ref="X994">COUNT(IF((DiscreteStatsTable[GroupByKey]=DiscreteStatsTable[[#This Row],[GroupByKey]]),(DiscreteStatsTable[GroupByKey]=DiscreteStatsTable[[#This Row],[GroupByKey]])*DiscreteStatsTable[Replication]))</f>
        <v>50</v>
      </c>
      <c r="Y994" s="7">
        <f>IF(DiscreteStatsTable[[#This Row],[RepsRequested]]=DiscreteStatsTable[[#This Row],[RepsWithStatObserved]],1,0)</f>
        <v>1</v>
      </c>
    </row>
    <row r="995" spans="1:25" x14ac:dyDescent="0.25">
      <c r="A995" t="s">
        <v>68</v>
      </c>
      <c r="B995" t="s">
        <v>131</v>
      </c>
      <c r="C995">
        <v>44</v>
      </c>
      <c r="D995" t="s">
        <v>94</v>
      </c>
      <c r="E995" t="s">
        <v>89</v>
      </c>
      <c r="F995" t="s">
        <v>90</v>
      </c>
      <c r="G995">
        <v>1.66671028204827</v>
      </c>
      <c r="H995">
        <v>0.36546164155037197</v>
      </c>
      <c r="I995">
        <v>0.27501313414586498</v>
      </c>
      <c r="J995">
        <v>10.548453602206701</v>
      </c>
      <c r="K995">
        <v>815</v>
      </c>
      <c r="L995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95" s="7" cm="1">
        <f t="array" ref="M995">MAX(IF((ProjectInfoTable[ProjectName]=DiscreteStatsTable[[#This Row],[ProjectName]]),(ProjectInfoTable[ProjectName]=DiscreteStatsTable[[#This Row],[ProjectName]])*ProjectInfoTable[NumberOfReplications]))</f>
        <v>50</v>
      </c>
      <c r="N995" s="7" cm="1">
        <f t="array" ref="N995">IFERROR(AVERAGE(IF((DiscreteStatsTable[GroupByKey]=DiscreteStatsTable[[#This Row],[GroupByKey]]),(DiscreteStatsTable[GroupByKey]=DiscreteStatsTable[[#This Row],[GroupByKey]])*DiscreteStatsTable[Average])),0)</f>
        <v>2.205174161750556</v>
      </c>
      <c r="O995" s="7" cm="1">
        <f t="array" ref="O995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95" s="7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 s="7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95" s="7" cm="1">
        <f t="array" ref="R995">MIN(IF((DiscreteStatsTable[GroupByKey]=DiscreteStatsTable[[#This Row],[GroupByKey]]),(DiscreteStatsTable[GroupByKey]=DiscreteStatsTable[[#This Row],[GroupByKey]])*DiscreteStatsTable[Average]))</f>
        <v>1.50461510232873</v>
      </c>
      <c r="S995" s="7" cm="1">
        <f t="array" ref="S995">MAX(IF((DiscreteStatsTable[GroupByKey]=DiscreteStatsTable[[#This Row],[GroupByKey]]),(DiscreteStatsTable[GroupByKey]=DiscreteStatsTable[[#This Row],[GroupByKey]])*DiscreteStatsTable[Average]))</f>
        <v>3.7741600797505002</v>
      </c>
      <c r="T995" s="7" cm="1">
        <f t="array" ref="T995">MIN(IF((DiscreteStatsTable[GroupByKey]=DiscreteStatsTable[[#This Row],[GroupByKey]]),(DiscreteStatsTable[GroupByKey]=DiscreteStatsTable[[#This Row],[GroupByKey]])*DiscreteStatsTable[Minimum]))</f>
        <v>0.203133309337034</v>
      </c>
      <c r="U995" s="7" cm="1">
        <f t="array" ref="U995">MAX(IF((DiscreteStatsTable[GroupByKey]=DiscreteStatsTable[[#This Row],[GroupByKey]]),(DiscreteStatsTable[GroupByKey]=DiscreteStatsTable[[#This Row],[GroupByKey]])*DiscreteStatsTable[Maximum]))</f>
        <v>29.554686467573401</v>
      </c>
      <c r="V995" s="7" cm="1">
        <f t="array" ref="V995">IFERROR(AVERAGE(IF((DiscreteStatsTable[GroupByKey]=DiscreteStatsTable[[#This Row],[GroupByKey]]),(DiscreteStatsTable[GroupByKey]=DiscreteStatsTable[[#This Row],[GroupByKey]])*DiscreteStatsTable[NumberObservations])),0)</f>
        <v>837.68</v>
      </c>
      <c r="W995" s="7">
        <f>IF((DiscreteStatsTable[[#This Row],[RepsRequested]]&gt;1),DiscreteStatsTable[[#This Row],[HalfWidth]],DiscreteStatsTable[[#This Row],[BatchMeansHalfWidth]])</f>
        <v>0.14988539923930494</v>
      </c>
      <c r="X995" s="7" cm="1">
        <f t="array" ref="X995">COUNT(IF((DiscreteStatsTable[GroupByKey]=DiscreteStatsTable[[#This Row],[GroupByKey]]),(DiscreteStatsTable[GroupByKey]=DiscreteStatsTable[[#This Row],[GroupByKey]])*DiscreteStatsTable[Replication]))</f>
        <v>50</v>
      </c>
      <c r="Y995" s="7">
        <f>IF(DiscreteStatsTable[[#This Row],[RepsRequested]]=DiscreteStatsTable[[#This Row],[RepsWithStatObserved]],1,0)</f>
        <v>1</v>
      </c>
    </row>
    <row r="996" spans="1:25" x14ac:dyDescent="0.25">
      <c r="A996" t="s">
        <v>68</v>
      </c>
      <c r="B996" t="s">
        <v>131</v>
      </c>
      <c r="C996">
        <v>45</v>
      </c>
      <c r="D996" t="s">
        <v>94</v>
      </c>
      <c r="E996" t="s">
        <v>89</v>
      </c>
      <c r="F996" t="s">
        <v>90</v>
      </c>
      <c r="G996">
        <v>1.9428539290143001</v>
      </c>
      <c r="H996">
        <v>0.43016863770613101</v>
      </c>
      <c r="I996">
        <v>0.242929417660775</v>
      </c>
      <c r="J996">
        <v>11.3052200021875</v>
      </c>
      <c r="K996">
        <v>882</v>
      </c>
      <c r="L996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96" s="7" cm="1">
        <f t="array" ref="M996">MAX(IF((ProjectInfoTable[ProjectName]=DiscreteStatsTable[[#This Row],[ProjectName]]),(ProjectInfoTable[ProjectName]=DiscreteStatsTable[[#This Row],[ProjectName]])*ProjectInfoTable[NumberOfReplications]))</f>
        <v>50</v>
      </c>
      <c r="N996" s="7" cm="1">
        <f t="array" ref="N996">IFERROR(AVERAGE(IF((DiscreteStatsTable[GroupByKey]=DiscreteStatsTable[[#This Row],[GroupByKey]]),(DiscreteStatsTable[GroupByKey]=DiscreteStatsTable[[#This Row],[GroupByKey]])*DiscreteStatsTable[Average])),0)</f>
        <v>2.205174161750556</v>
      </c>
      <c r="O996" s="7" cm="1">
        <f t="array" ref="O996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96" s="7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 s="7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96" s="7" cm="1">
        <f t="array" ref="R996">MIN(IF((DiscreteStatsTable[GroupByKey]=DiscreteStatsTable[[#This Row],[GroupByKey]]),(DiscreteStatsTable[GroupByKey]=DiscreteStatsTable[[#This Row],[GroupByKey]])*DiscreteStatsTable[Average]))</f>
        <v>1.50461510232873</v>
      </c>
      <c r="S996" s="7" cm="1">
        <f t="array" ref="S996">MAX(IF((DiscreteStatsTable[GroupByKey]=DiscreteStatsTable[[#This Row],[GroupByKey]]),(DiscreteStatsTable[GroupByKey]=DiscreteStatsTable[[#This Row],[GroupByKey]])*DiscreteStatsTable[Average]))</f>
        <v>3.7741600797505002</v>
      </c>
      <c r="T996" s="7" cm="1">
        <f t="array" ref="T996">MIN(IF((DiscreteStatsTable[GroupByKey]=DiscreteStatsTable[[#This Row],[GroupByKey]]),(DiscreteStatsTable[GroupByKey]=DiscreteStatsTable[[#This Row],[GroupByKey]])*DiscreteStatsTable[Minimum]))</f>
        <v>0.203133309337034</v>
      </c>
      <c r="U996" s="7" cm="1">
        <f t="array" ref="U996">MAX(IF((DiscreteStatsTable[GroupByKey]=DiscreteStatsTable[[#This Row],[GroupByKey]]),(DiscreteStatsTable[GroupByKey]=DiscreteStatsTable[[#This Row],[GroupByKey]])*DiscreteStatsTable[Maximum]))</f>
        <v>29.554686467573401</v>
      </c>
      <c r="V996" s="7" cm="1">
        <f t="array" ref="V996">IFERROR(AVERAGE(IF((DiscreteStatsTable[GroupByKey]=DiscreteStatsTable[[#This Row],[GroupByKey]]),(DiscreteStatsTable[GroupByKey]=DiscreteStatsTable[[#This Row],[GroupByKey]])*DiscreteStatsTable[NumberObservations])),0)</f>
        <v>837.68</v>
      </c>
      <c r="W996" s="7">
        <f>IF((DiscreteStatsTable[[#This Row],[RepsRequested]]&gt;1),DiscreteStatsTable[[#This Row],[HalfWidth]],DiscreteStatsTable[[#This Row],[BatchMeansHalfWidth]])</f>
        <v>0.14988539923930494</v>
      </c>
      <c r="X996" s="7" cm="1">
        <f t="array" ref="X996">COUNT(IF((DiscreteStatsTable[GroupByKey]=DiscreteStatsTable[[#This Row],[GroupByKey]]),(DiscreteStatsTable[GroupByKey]=DiscreteStatsTable[[#This Row],[GroupByKey]])*DiscreteStatsTable[Replication]))</f>
        <v>50</v>
      </c>
      <c r="Y996" s="7">
        <f>IF(DiscreteStatsTable[[#This Row],[RepsRequested]]=DiscreteStatsTable[[#This Row],[RepsWithStatObserved]],1,0)</f>
        <v>1</v>
      </c>
    </row>
    <row r="997" spans="1:25" x14ac:dyDescent="0.25">
      <c r="A997" t="s">
        <v>68</v>
      </c>
      <c r="B997" t="s">
        <v>131</v>
      </c>
      <c r="C997">
        <v>46</v>
      </c>
      <c r="D997" t="s">
        <v>94</v>
      </c>
      <c r="E997" t="s">
        <v>89</v>
      </c>
      <c r="F997" t="s">
        <v>90</v>
      </c>
      <c r="G997">
        <v>2.3115232458928698</v>
      </c>
      <c r="H997">
        <v>0.65568058689379005</v>
      </c>
      <c r="I997">
        <v>0.25740903482147798</v>
      </c>
      <c r="J997">
        <v>13.274833947345099</v>
      </c>
      <c r="K997">
        <v>823</v>
      </c>
      <c r="L997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97" s="7" cm="1">
        <f t="array" ref="M997">MAX(IF((ProjectInfoTable[ProjectName]=DiscreteStatsTable[[#This Row],[ProjectName]]),(ProjectInfoTable[ProjectName]=DiscreteStatsTable[[#This Row],[ProjectName]])*ProjectInfoTable[NumberOfReplications]))</f>
        <v>50</v>
      </c>
      <c r="N997" s="7" cm="1">
        <f t="array" ref="N997">IFERROR(AVERAGE(IF((DiscreteStatsTable[GroupByKey]=DiscreteStatsTable[[#This Row],[GroupByKey]]),(DiscreteStatsTable[GroupByKey]=DiscreteStatsTable[[#This Row],[GroupByKey]])*DiscreteStatsTable[Average])),0)</f>
        <v>2.205174161750556</v>
      </c>
      <c r="O997" s="7" cm="1">
        <f t="array" ref="O997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97" s="7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 s="7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97" s="7" cm="1">
        <f t="array" ref="R997">MIN(IF((DiscreteStatsTable[GroupByKey]=DiscreteStatsTable[[#This Row],[GroupByKey]]),(DiscreteStatsTable[GroupByKey]=DiscreteStatsTable[[#This Row],[GroupByKey]])*DiscreteStatsTable[Average]))</f>
        <v>1.50461510232873</v>
      </c>
      <c r="S997" s="7" cm="1">
        <f t="array" ref="S997">MAX(IF((DiscreteStatsTable[GroupByKey]=DiscreteStatsTable[[#This Row],[GroupByKey]]),(DiscreteStatsTable[GroupByKey]=DiscreteStatsTable[[#This Row],[GroupByKey]])*DiscreteStatsTable[Average]))</f>
        <v>3.7741600797505002</v>
      </c>
      <c r="T997" s="7" cm="1">
        <f t="array" ref="T997">MIN(IF((DiscreteStatsTable[GroupByKey]=DiscreteStatsTable[[#This Row],[GroupByKey]]),(DiscreteStatsTable[GroupByKey]=DiscreteStatsTable[[#This Row],[GroupByKey]])*DiscreteStatsTable[Minimum]))</f>
        <v>0.203133309337034</v>
      </c>
      <c r="U997" s="7" cm="1">
        <f t="array" ref="U997">MAX(IF((DiscreteStatsTable[GroupByKey]=DiscreteStatsTable[[#This Row],[GroupByKey]]),(DiscreteStatsTable[GroupByKey]=DiscreteStatsTable[[#This Row],[GroupByKey]])*DiscreteStatsTable[Maximum]))</f>
        <v>29.554686467573401</v>
      </c>
      <c r="V997" s="7" cm="1">
        <f t="array" ref="V997">IFERROR(AVERAGE(IF((DiscreteStatsTable[GroupByKey]=DiscreteStatsTable[[#This Row],[GroupByKey]]),(DiscreteStatsTable[GroupByKey]=DiscreteStatsTable[[#This Row],[GroupByKey]])*DiscreteStatsTable[NumberObservations])),0)</f>
        <v>837.68</v>
      </c>
      <c r="W997" s="7">
        <f>IF((DiscreteStatsTable[[#This Row],[RepsRequested]]&gt;1),DiscreteStatsTable[[#This Row],[HalfWidth]],DiscreteStatsTable[[#This Row],[BatchMeansHalfWidth]])</f>
        <v>0.14988539923930494</v>
      </c>
      <c r="X997" s="7" cm="1">
        <f t="array" ref="X997">COUNT(IF((DiscreteStatsTable[GroupByKey]=DiscreteStatsTable[[#This Row],[GroupByKey]]),(DiscreteStatsTable[GroupByKey]=DiscreteStatsTable[[#This Row],[GroupByKey]])*DiscreteStatsTable[Replication]))</f>
        <v>50</v>
      </c>
      <c r="Y997" s="7">
        <f>IF(DiscreteStatsTable[[#This Row],[RepsRequested]]=DiscreteStatsTable[[#This Row],[RepsWithStatObserved]],1,0)</f>
        <v>1</v>
      </c>
    </row>
    <row r="998" spans="1:25" x14ac:dyDescent="0.25">
      <c r="A998" t="s">
        <v>68</v>
      </c>
      <c r="B998" t="s">
        <v>131</v>
      </c>
      <c r="C998">
        <v>47</v>
      </c>
      <c r="D998" t="s">
        <v>94</v>
      </c>
      <c r="E998" t="s">
        <v>89</v>
      </c>
      <c r="F998" t="s">
        <v>90</v>
      </c>
      <c r="G998">
        <v>2.66492418189556</v>
      </c>
      <c r="H998">
        <v>1.3682796132764601</v>
      </c>
      <c r="I998">
        <v>0.248490123703277</v>
      </c>
      <c r="J998">
        <v>24.642408099828401</v>
      </c>
      <c r="K998">
        <v>827</v>
      </c>
      <c r="L998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98" s="7" cm="1">
        <f t="array" ref="M998">MAX(IF((ProjectInfoTable[ProjectName]=DiscreteStatsTable[[#This Row],[ProjectName]]),(ProjectInfoTable[ProjectName]=DiscreteStatsTable[[#This Row],[ProjectName]])*ProjectInfoTable[NumberOfReplications]))</f>
        <v>50</v>
      </c>
      <c r="N998" s="7" cm="1">
        <f t="array" ref="N998">IFERROR(AVERAGE(IF((DiscreteStatsTable[GroupByKey]=DiscreteStatsTable[[#This Row],[GroupByKey]]),(DiscreteStatsTable[GroupByKey]=DiscreteStatsTable[[#This Row],[GroupByKey]])*DiscreteStatsTable[Average])),0)</f>
        <v>2.205174161750556</v>
      </c>
      <c r="O998" s="7" cm="1">
        <f t="array" ref="O998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98" s="7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 s="7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98" s="7" cm="1">
        <f t="array" ref="R998">MIN(IF((DiscreteStatsTable[GroupByKey]=DiscreteStatsTable[[#This Row],[GroupByKey]]),(DiscreteStatsTable[GroupByKey]=DiscreteStatsTable[[#This Row],[GroupByKey]])*DiscreteStatsTable[Average]))</f>
        <v>1.50461510232873</v>
      </c>
      <c r="S998" s="7" cm="1">
        <f t="array" ref="S998">MAX(IF((DiscreteStatsTable[GroupByKey]=DiscreteStatsTable[[#This Row],[GroupByKey]]),(DiscreteStatsTable[GroupByKey]=DiscreteStatsTable[[#This Row],[GroupByKey]])*DiscreteStatsTable[Average]))</f>
        <v>3.7741600797505002</v>
      </c>
      <c r="T998" s="7" cm="1">
        <f t="array" ref="T998">MIN(IF((DiscreteStatsTable[GroupByKey]=DiscreteStatsTable[[#This Row],[GroupByKey]]),(DiscreteStatsTable[GroupByKey]=DiscreteStatsTable[[#This Row],[GroupByKey]])*DiscreteStatsTable[Minimum]))</f>
        <v>0.203133309337034</v>
      </c>
      <c r="U998" s="7" cm="1">
        <f t="array" ref="U998">MAX(IF((DiscreteStatsTable[GroupByKey]=DiscreteStatsTable[[#This Row],[GroupByKey]]),(DiscreteStatsTable[GroupByKey]=DiscreteStatsTable[[#This Row],[GroupByKey]])*DiscreteStatsTable[Maximum]))</f>
        <v>29.554686467573401</v>
      </c>
      <c r="V998" s="7" cm="1">
        <f t="array" ref="V998">IFERROR(AVERAGE(IF((DiscreteStatsTable[GroupByKey]=DiscreteStatsTable[[#This Row],[GroupByKey]]),(DiscreteStatsTable[GroupByKey]=DiscreteStatsTable[[#This Row],[GroupByKey]])*DiscreteStatsTable[NumberObservations])),0)</f>
        <v>837.68</v>
      </c>
      <c r="W998" s="7">
        <f>IF((DiscreteStatsTable[[#This Row],[RepsRequested]]&gt;1),DiscreteStatsTable[[#This Row],[HalfWidth]],DiscreteStatsTable[[#This Row],[BatchMeansHalfWidth]])</f>
        <v>0.14988539923930494</v>
      </c>
      <c r="X998" s="7" cm="1">
        <f t="array" ref="X998">COUNT(IF((DiscreteStatsTable[GroupByKey]=DiscreteStatsTable[[#This Row],[GroupByKey]]),(DiscreteStatsTable[GroupByKey]=DiscreteStatsTable[[#This Row],[GroupByKey]])*DiscreteStatsTable[Replication]))</f>
        <v>50</v>
      </c>
      <c r="Y998" s="7">
        <f>IF(DiscreteStatsTable[[#This Row],[RepsRequested]]=DiscreteStatsTable[[#This Row],[RepsWithStatObserved]],1,0)</f>
        <v>1</v>
      </c>
    </row>
    <row r="999" spans="1:25" x14ac:dyDescent="0.25">
      <c r="A999" t="s">
        <v>68</v>
      </c>
      <c r="B999" t="s">
        <v>131</v>
      </c>
      <c r="C999">
        <v>48</v>
      </c>
      <c r="D999" t="s">
        <v>94</v>
      </c>
      <c r="E999" t="s">
        <v>89</v>
      </c>
      <c r="F999" t="s">
        <v>90</v>
      </c>
      <c r="G999">
        <v>1.73639516788588</v>
      </c>
      <c r="H999">
        <v>0.50456250263921998</v>
      </c>
      <c r="I999">
        <v>0.231873147989063</v>
      </c>
      <c r="J999">
        <v>14.8474430211882</v>
      </c>
      <c r="K999">
        <v>878</v>
      </c>
      <c r="L999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999" s="7" cm="1">
        <f t="array" ref="M999">MAX(IF((ProjectInfoTable[ProjectName]=DiscreteStatsTable[[#This Row],[ProjectName]]),(ProjectInfoTable[ProjectName]=DiscreteStatsTable[[#This Row],[ProjectName]])*ProjectInfoTable[NumberOfReplications]))</f>
        <v>50</v>
      </c>
      <c r="N999" s="7" cm="1">
        <f t="array" ref="N999">IFERROR(AVERAGE(IF((DiscreteStatsTable[GroupByKey]=DiscreteStatsTable[[#This Row],[GroupByKey]]),(DiscreteStatsTable[GroupByKey]=DiscreteStatsTable[[#This Row],[GroupByKey]])*DiscreteStatsTable[Average])),0)</f>
        <v>2.205174161750556</v>
      </c>
      <c r="O999" s="7" cm="1">
        <f t="array" ref="O999">IFERROR(_xlfn.STDEV.S(IF((DiscreteStatsTable[GroupByKey]=DiscreteStatsTable[[#This Row],[GroupByKey]]),(DiscreteStatsTable[GroupByKey]=DiscreteStatsTable[[#This Row],[GroupByKey]])*DiscreteStatsTable[Average])),0)</f>
        <v>0.52739992136034408</v>
      </c>
      <c r="P999" s="7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 s="7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999" s="7" cm="1">
        <f t="array" ref="R999">MIN(IF((DiscreteStatsTable[GroupByKey]=DiscreteStatsTable[[#This Row],[GroupByKey]]),(DiscreteStatsTable[GroupByKey]=DiscreteStatsTable[[#This Row],[GroupByKey]])*DiscreteStatsTable[Average]))</f>
        <v>1.50461510232873</v>
      </c>
      <c r="S999" s="7" cm="1">
        <f t="array" ref="S999">MAX(IF((DiscreteStatsTable[GroupByKey]=DiscreteStatsTable[[#This Row],[GroupByKey]]),(DiscreteStatsTable[GroupByKey]=DiscreteStatsTable[[#This Row],[GroupByKey]])*DiscreteStatsTable[Average]))</f>
        <v>3.7741600797505002</v>
      </c>
      <c r="T999" s="7" cm="1">
        <f t="array" ref="T999">MIN(IF((DiscreteStatsTable[GroupByKey]=DiscreteStatsTable[[#This Row],[GroupByKey]]),(DiscreteStatsTable[GroupByKey]=DiscreteStatsTable[[#This Row],[GroupByKey]])*DiscreteStatsTable[Minimum]))</f>
        <v>0.203133309337034</v>
      </c>
      <c r="U999" s="7" cm="1">
        <f t="array" ref="U999">MAX(IF((DiscreteStatsTable[GroupByKey]=DiscreteStatsTable[[#This Row],[GroupByKey]]),(DiscreteStatsTable[GroupByKey]=DiscreteStatsTable[[#This Row],[GroupByKey]])*DiscreteStatsTable[Maximum]))</f>
        <v>29.554686467573401</v>
      </c>
      <c r="V999" s="7" cm="1">
        <f t="array" ref="V999">IFERROR(AVERAGE(IF((DiscreteStatsTable[GroupByKey]=DiscreteStatsTable[[#This Row],[GroupByKey]]),(DiscreteStatsTable[GroupByKey]=DiscreteStatsTable[[#This Row],[GroupByKey]])*DiscreteStatsTable[NumberObservations])),0)</f>
        <v>837.68</v>
      </c>
      <c r="W999" s="7">
        <f>IF((DiscreteStatsTable[[#This Row],[RepsRequested]]&gt;1),DiscreteStatsTable[[#This Row],[HalfWidth]],DiscreteStatsTable[[#This Row],[BatchMeansHalfWidth]])</f>
        <v>0.14988539923930494</v>
      </c>
      <c r="X999" s="7" cm="1">
        <f t="array" ref="X999">COUNT(IF((DiscreteStatsTable[GroupByKey]=DiscreteStatsTable[[#This Row],[GroupByKey]]),(DiscreteStatsTable[GroupByKey]=DiscreteStatsTable[[#This Row],[GroupByKey]])*DiscreteStatsTable[Replication]))</f>
        <v>50</v>
      </c>
      <c r="Y999" s="7">
        <f>IF(DiscreteStatsTable[[#This Row],[RepsRequested]]=DiscreteStatsTable[[#This Row],[RepsWithStatObserved]],1,0)</f>
        <v>1</v>
      </c>
    </row>
    <row r="1000" spans="1:25" x14ac:dyDescent="0.25">
      <c r="A1000" t="s">
        <v>68</v>
      </c>
      <c r="B1000" t="s">
        <v>131</v>
      </c>
      <c r="C1000">
        <v>49</v>
      </c>
      <c r="D1000" t="s">
        <v>94</v>
      </c>
      <c r="E1000" t="s">
        <v>89</v>
      </c>
      <c r="F1000" t="s">
        <v>90</v>
      </c>
      <c r="G1000">
        <v>1.9490295702845499</v>
      </c>
      <c r="H1000">
        <v>3E+20</v>
      </c>
      <c r="I1000">
        <v>0.22914863277776501</v>
      </c>
      <c r="J1000">
        <v>12.295049315713101</v>
      </c>
      <c r="K1000">
        <v>844</v>
      </c>
      <c r="L1000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1000" s="7" cm="1">
        <f t="array" ref="M1000">MAX(IF((ProjectInfoTable[ProjectName]=DiscreteStatsTable[[#This Row],[ProjectName]]),(ProjectInfoTable[ProjectName]=DiscreteStatsTable[[#This Row],[ProjectName]])*ProjectInfoTable[NumberOfReplications]))</f>
        <v>50</v>
      </c>
      <c r="N1000" s="7" cm="1">
        <f t="array" ref="N1000">IFERROR(AVERAGE(IF((DiscreteStatsTable[GroupByKey]=DiscreteStatsTable[[#This Row],[GroupByKey]]),(DiscreteStatsTable[GroupByKey]=DiscreteStatsTable[[#This Row],[GroupByKey]])*DiscreteStatsTable[Average])),0)</f>
        <v>2.205174161750556</v>
      </c>
      <c r="O1000" s="7" cm="1">
        <f t="array" ref="O1000">IFERROR(_xlfn.STDEV.S(IF((DiscreteStatsTable[GroupByKey]=DiscreteStatsTable[[#This Row],[GroupByKey]]),(DiscreteStatsTable[GroupByKey]=DiscreteStatsTable[[#This Row],[GroupByKey]])*DiscreteStatsTable[Average])),0)</f>
        <v>0.52739992136034408</v>
      </c>
      <c r="P1000" s="7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 s="7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1000" s="7" cm="1">
        <f t="array" ref="R1000">MIN(IF((DiscreteStatsTable[GroupByKey]=DiscreteStatsTable[[#This Row],[GroupByKey]]),(DiscreteStatsTable[GroupByKey]=DiscreteStatsTable[[#This Row],[GroupByKey]])*DiscreteStatsTable[Average]))</f>
        <v>1.50461510232873</v>
      </c>
      <c r="S1000" s="7" cm="1">
        <f t="array" ref="S1000">MAX(IF((DiscreteStatsTable[GroupByKey]=DiscreteStatsTable[[#This Row],[GroupByKey]]),(DiscreteStatsTable[GroupByKey]=DiscreteStatsTable[[#This Row],[GroupByKey]])*DiscreteStatsTable[Average]))</f>
        <v>3.7741600797505002</v>
      </c>
      <c r="T1000" s="7" cm="1">
        <f t="array" ref="T1000">MIN(IF((DiscreteStatsTable[GroupByKey]=DiscreteStatsTable[[#This Row],[GroupByKey]]),(DiscreteStatsTable[GroupByKey]=DiscreteStatsTable[[#This Row],[GroupByKey]])*DiscreteStatsTable[Minimum]))</f>
        <v>0.203133309337034</v>
      </c>
      <c r="U1000" s="7" cm="1">
        <f t="array" ref="U1000">MAX(IF((DiscreteStatsTable[GroupByKey]=DiscreteStatsTable[[#This Row],[GroupByKey]]),(DiscreteStatsTable[GroupByKey]=DiscreteStatsTable[[#This Row],[GroupByKey]])*DiscreteStatsTable[Maximum]))</f>
        <v>29.554686467573401</v>
      </c>
      <c r="V1000" s="7" cm="1">
        <f t="array" ref="V1000">IFERROR(AVERAGE(IF((DiscreteStatsTable[GroupByKey]=DiscreteStatsTable[[#This Row],[GroupByKey]]),(DiscreteStatsTable[GroupByKey]=DiscreteStatsTable[[#This Row],[GroupByKey]])*DiscreteStatsTable[NumberObservations])),0)</f>
        <v>837.68</v>
      </c>
      <c r="W1000" s="7">
        <f>IF((DiscreteStatsTable[[#This Row],[RepsRequested]]&gt;1),DiscreteStatsTable[[#This Row],[HalfWidth]],DiscreteStatsTable[[#This Row],[BatchMeansHalfWidth]])</f>
        <v>0.14988539923930494</v>
      </c>
      <c r="X1000" s="7" cm="1">
        <f t="array" ref="X1000">COUNT(IF((DiscreteStatsTable[GroupByKey]=DiscreteStatsTable[[#This Row],[GroupByKey]]),(DiscreteStatsTable[GroupByKey]=DiscreteStatsTable[[#This Row],[GroupByKey]])*DiscreteStatsTable[Replication]))</f>
        <v>50</v>
      </c>
      <c r="Y1000" s="7">
        <f>IF(DiscreteStatsTable[[#This Row],[RepsRequested]]=DiscreteStatsTable[[#This Row],[RepsWithStatObserved]],1,0)</f>
        <v>1</v>
      </c>
    </row>
    <row r="1001" spans="1:25" x14ac:dyDescent="0.25">
      <c r="A1001" t="s">
        <v>68</v>
      </c>
      <c r="B1001" t="s">
        <v>131</v>
      </c>
      <c r="C1001">
        <v>50</v>
      </c>
      <c r="D1001" t="s">
        <v>94</v>
      </c>
      <c r="E1001" t="s">
        <v>89</v>
      </c>
      <c r="F1001" t="s">
        <v>90</v>
      </c>
      <c r="G1001">
        <v>2.83082404869862</v>
      </c>
      <c r="H1001">
        <v>1.0754888610123501</v>
      </c>
      <c r="I1001">
        <v>0.23986953287840199</v>
      </c>
      <c r="J1001">
        <v>19.1491845365926</v>
      </c>
      <c r="K1001">
        <v>873</v>
      </c>
      <c r="L1001" s="7" t="str">
        <f>DiscreteStatsTable[[#This Row],[ProjectName]]&amp;DiscreteStatsTable[[#This Row],[Name]]&amp;DiscreteStatsTable[[#This Row],[Type]]&amp;DiscreteStatsTable[[#This Row],[Source]]</f>
        <v>PacientesTiempoTipo5NoneUser Specified</v>
      </c>
      <c r="M1001" s="7" cm="1">
        <f t="array" ref="M1001">MAX(IF((ProjectInfoTable[ProjectName]=DiscreteStatsTable[[#This Row],[ProjectName]]),(ProjectInfoTable[ProjectName]=DiscreteStatsTable[[#This Row],[ProjectName]])*ProjectInfoTable[NumberOfReplications]))</f>
        <v>50</v>
      </c>
      <c r="N1001" s="7" cm="1">
        <f t="array" ref="N1001">IFERROR(AVERAGE(IF((DiscreteStatsTable[GroupByKey]=DiscreteStatsTable[[#This Row],[GroupByKey]]),(DiscreteStatsTable[GroupByKey]=DiscreteStatsTable[[#This Row],[GroupByKey]])*DiscreteStatsTable[Average])),0)</f>
        <v>2.205174161750556</v>
      </c>
      <c r="O1001" s="7" cm="1">
        <f t="array" ref="O1001">IFERROR(_xlfn.STDEV.S(IF((DiscreteStatsTable[GroupByKey]=DiscreteStatsTable[[#This Row],[GroupByKey]]),(DiscreteStatsTable[GroupByKey]=DiscreteStatsTable[[#This Row],[GroupByKey]])*DiscreteStatsTable[Average])),0)</f>
        <v>0.52739992136034408</v>
      </c>
      <c r="P1001" s="7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 s="7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0.14988539923930494</v>
      </c>
      <c r="R1001" s="7" cm="1">
        <f t="array" ref="R1001">MIN(IF((DiscreteStatsTable[GroupByKey]=DiscreteStatsTable[[#This Row],[GroupByKey]]),(DiscreteStatsTable[GroupByKey]=DiscreteStatsTable[[#This Row],[GroupByKey]])*DiscreteStatsTable[Average]))</f>
        <v>1.50461510232873</v>
      </c>
      <c r="S1001" s="7" cm="1">
        <f t="array" ref="S1001">MAX(IF((DiscreteStatsTable[GroupByKey]=DiscreteStatsTable[[#This Row],[GroupByKey]]),(DiscreteStatsTable[GroupByKey]=DiscreteStatsTable[[#This Row],[GroupByKey]])*DiscreteStatsTable[Average]))</f>
        <v>3.7741600797505002</v>
      </c>
      <c r="T1001" s="7" cm="1">
        <f t="array" ref="T1001">MIN(IF((DiscreteStatsTable[GroupByKey]=DiscreteStatsTable[[#This Row],[GroupByKey]]),(DiscreteStatsTable[GroupByKey]=DiscreteStatsTable[[#This Row],[GroupByKey]])*DiscreteStatsTable[Minimum]))</f>
        <v>0.203133309337034</v>
      </c>
      <c r="U1001" s="7" cm="1">
        <f t="array" ref="U1001">MAX(IF((DiscreteStatsTable[GroupByKey]=DiscreteStatsTable[[#This Row],[GroupByKey]]),(DiscreteStatsTable[GroupByKey]=DiscreteStatsTable[[#This Row],[GroupByKey]])*DiscreteStatsTable[Maximum]))</f>
        <v>29.554686467573401</v>
      </c>
      <c r="V1001" s="7" cm="1">
        <f t="array" ref="V1001">IFERROR(AVERAGE(IF((DiscreteStatsTable[GroupByKey]=DiscreteStatsTable[[#This Row],[GroupByKey]]),(DiscreteStatsTable[GroupByKey]=DiscreteStatsTable[[#This Row],[GroupByKey]])*DiscreteStatsTable[NumberObservations])),0)</f>
        <v>837.68</v>
      </c>
      <c r="W1001" s="7">
        <f>IF((DiscreteStatsTable[[#This Row],[RepsRequested]]&gt;1),DiscreteStatsTable[[#This Row],[HalfWidth]],DiscreteStatsTable[[#This Row],[BatchMeansHalfWidth]])</f>
        <v>0.14988539923930494</v>
      </c>
      <c r="X1001" s="7" cm="1">
        <f t="array" ref="X1001">COUNT(IF((DiscreteStatsTable[GroupByKey]=DiscreteStatsTable[[#This Row],[GroupByKey]]),(DiscreteStatsTable[GroupByKey]=DiscreteStatsTable[[#This Row],[GroupByKey]])*DiscreteStatsTable[Replication]))</f>
        <v>50</v>
      </c>
      <c r="Y1001" s="7">
        <f>IF(DiscreteStatsTable[[#This Row],[RepsRequested]]=DiscreteStatsTable[[#This Row],[RepsWithStatObserved]],1,0)</f>
        <v>1</v>
      </c>
    </row>
  </sheetData>
  <phoneticPr fontId="2" type="noConversion"/>
  <conditionalFormatting sqref="H2:H1001 Q2:Q1001">
    <cfRule type="expression" dxfId="34" priority="23">
      <formula>H2=200000000000000000000</formula>
    </cfRule>
  </conditionalFormatting>
  <conditionalFormatting sqref="H2:H1001">
    <cfRule type="expression" dxfId="33" priority="21">
      <formula>H2=300000000000000000000</formula>
    </cfRule>
  </conditionalFormatting>
  <conditionalFormatting sqref="L2:Y1001">
    <cfRule type="expression" dxfId="32" priority="19">
      <formula>MOD(ROW(),2)=0</formula>
    </cfRule>
  </conditionalFormatting>
  <conditionalFormatting sqref="Y2:Y1001">
    <cfRule type="expression" dxfId="31" priority="14">
      <formula>Y2=0</formula>
    </cfRule>
    <cfRule type="expression" dxfId="30" priority="16">
      <formula>Y2=1</formula>
    </cfRule>
  </conditionalFormatting>
  <conditionalFormatting sqref="Y3:Y1001">
    <cfRule type="expression" dxfId="29" priority="15">
      <formula>Y3=1</formula>
    </cfRule>
  </conditionalFormatting>
  <conditionalFormatting sqref="W2:W1001">
    <cfRule type="expression" dxfId="28" priority="6">
      <formula>W2=300000000000000000000</formula>
    </cfRule>
    <cfRule type="expression" dxfId="27" priority="7">
      <formula>W2=200000000000000000000</formula>
    </cfRule>
  </conditionalFormatting>
  <conditionalFormatting sqref="Q2:Q1001 W2:W1001">
    <cfRule type="expression" dxfId="26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01"/>
  <sheetViews>
    <sheetView workbookViewId="0">
      <selection activeCell="A2" sqref="A2:L1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15.8554687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3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131</v>
      </c>
      <c r="C2">
        <v>1</v>
      </c>
      <c r="D2" t="s">
        <v>70</v>
      </c>
      <c r="E2" t="s">
        <v>95</v>
      </c>
      <c r="F2" t="s">
        <v>72</v>
      </c>
      <c r="G2">
        <v>5.4796101334594596</v>
      </c>
      <c r="H2">
        <v>1.1862788268342701</v>
      </c>
      <c r="I2">
        <v>0</v>
      </c>
      <c r="J2">
        <v>30</v>
      </c>
      <c r="K2">
        <v>5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PacientesEntity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3.9757448048151298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6.9386840633215803</v>
      </c>
      <c r="U2">
        <f>IF((ContinuousStatsTable[[#This Row],[RepsRequested]]&gt;1),ContinuousStatsTable[[#This Row],[HalfWidth]],ContinuousStatsTable[[#This Row],[BatchMeansHalfWidth]])</f>
        <v>0.22030607219171747</v>
      </c>
    </row>
    <row r="3" spans="1:21" x14ac:dyDescent="0.25">
      <c r="A3" t="s">
        <v>68</v>
      </c>
      <c r="B3" t="s">
        <v>131</v>
      </c>
      <c r="C3">
        <v>1</v>
      </c>
      <c r="D3" t="s">
        <v>83</v>
      </c>
      <c r="E3" t="s">
        <v>96</v>
      </c>
      <c r="F3" t="s">
        <v>85</v>
      </c>
      <c r="G3">
        <v>3.1330622291468302</v>
      </c>
      <c r="H3">
        <v>1.0670938084999899</v>
      </c>
      <c r="I3">
        <v>0</v>
      </c>
      <c r="J3">
        <v>27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1.7200278735122601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4.5543512780988502</v>
      </c>
      <c r="U3">
        <f>IF((ContinuousStatsTable[[#This Row],[RepsRequested]]&gt;1),ContinuousStatsTable[[#This Row],[HalfWidth]],ContinuousStatsTable[[#This Row],[BatchMeansHalfWidth]])</f>
        <v>0.21041231434540877</v>
      </c>
    </row>
    <row r="4" spans="1:21" x14ac:dyDescent="0.25">
      <c r="A4" t="s">
        <v>68</v>
      </c>
      <c r="B4" t="s">
        <v>131</v>
      </c>
      <c r="C4">
        <v>1</v>
      </c>
      <c r="D4" t="s">
        <v>87</v>
      </c>
      <c r="E4" t="s">
        <v>96</v>
      </c>
      <c r="F4" t="s">
        <v>85</v>
      </c>
      <c r="G4">
        <v>0.21374299767067501</v>
      </c>
      <c r="H4">
        <v>4.6911710595199503E-2</v>
      </c>
      <c r="I4">
        <v>0</v>
      </c>
      <c r="J4">
        <v>8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0.172815232766103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0.24783514900621301</v>
      </c>
      <c r="U4">
        <f>IF((ContinuousStatsTable[[#This Row],[RepsRequested]]&gt;1),ContinuousStatsTable[[#This Row],[HalfWidth]],ContinuousStatsTable[[#This Row],[BatchMeansHalfWidth]])</f>
        <v>4.7768909384897544E-3</v>
      </c>
    </row>
    <row r="5" spans="1:21" x14ac:dyDescent="0.25">
      <c r="A5" t="s">
        <v>68</v>
      </c>
      <c r="B5" t="s">
        <v>131</v>
      </c>
      <c r="C5">
        <v>1</v>
      </c>
      <c r="D5" t="s">
        <v>97</v>
      </c>
      <c r="E5" t="s">
        <v>98</v>
      </c>
      <c r="F5" t="s">
        <v>99</v>
      </c>
      <c r="G5">
        <v>0.55361951090148698</v>
      </c>
      <c r="H5">
        <v>2.97898511690005E-2</v>
      </c>
      <c r="I5">
        <v>0</v>
      </c>
      <c r="J5">
        <v>0.66666666666666696</v>
      </c>
      <c r="K5">
        <v>0.66666666666666696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0.52470641844357602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0.57005812966092095</v>
      </c>
      <c r="U5">
        <f>IF((ContinuousStatsTable[[#This Row],[RepsRequested]]&gt;1),ContinuousStatsTable[[#This Row],[HalfWidth]],ContinuousStatsTable[[#This Row],[BatchMeansHalfWidth]])</f>
        <v>2.9048243757695521E-3</v>
      </c>
    </row>
    <row r="6" spans="1:21" x14ac:dyDescent="0.25">
      <c r="A6" t="s">
        <v>68</v>
      </c>
      <c r="B6" t="s">
        <v>131</v>
      </c>
      <c r="C6">
        <v>1</v>
      </c>
      <c r="D6" t="s">
        <v>97</v>
      </c>
      <c r="E6" t="s">
        <v>100</v>
      </c>
      <c r="F6" t="s">
        <v>99</v>
      </c>
      <c r="G6">
        <v>1.66085853270446</v>
      </c>
      <c r="H6">
        <v>8.9369553507001501E-2</v>
      </c>
      <c r="I6">
        <v>0</v>
      </c>
      <c r="J6">
        <v>2</v>
      </c>
      <c r="K6">
        <v>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1.5741192553307399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1.7101743889827701</v>
      </c>
      <c r="U6">
        <f>IF((ContinuousStatsTable[[#This Row],[RepsRequested]]&gt;1),ContinuousStatsTable[[#This Row],[HalfWidth]],ContinuousStatsTable[[#This Row],[BatchMeansHalfWidth]])</f>
        <v>8.7144731273084922E-3</v>
      </c>
    </row>
    <row r="7" spans="1:21" x14ac:dyDescent="0.25">
      <c r="A7" t="s">
        <v>68</v>
      </c>
      <c r="B7" t="s">
        <v>131</v>
      </c>
      <c r="C7">
        <v>1</v>
      </c>
      <c r="D7" t="s">
        <v>97</v>
      </c>
      <c r="E7" t="s">
        <v>101</v>
      </c>
      <c r="F7" t="s">
        <v>99</v>
      </c>
      <c r="G7">
        <v>3</v>
      </c>
      <c r="H7">
        <v>2E+20</v>
      </c>
      <c r="I7">
        <v>3</v>
      </c>
      <c r="J7">
        <v>3</v>
      </c>
      <c r="K7">
        <v>3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3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3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131</v>
      </c>
      <c r="C8">
        <v>1</v>
      </c>
      <c r="D8" t="s">
        <v>102</v>
      </c>
      <c r="E8" t="s">
        <v>98</v>
      </c>
      <c r="F8" t="s">
        <v>99</v>
      </c>
      <c r="G8">
        <v>0.83042926635223202</v>
      </c>
      <c r="H8">
        <v>4.4684776753500799E-2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0.78705962766536897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0.85508719449138504</v>
      </c>
      <c r="U8">
        <f>IF((ContinuousStatsTable[[#This Row],[RepsRequested]]&gt;1),ContinuousStatsTable[[#This Row],[HalfWidth]],ContinuousStatsTable[[#This Row],[BatchMeansHalfWidth]])</f>
        <v>4.3572365636542886E-3</v>
      </c>
    </row>
    <row r="9" spans="1:21" x14ac:dyDescent="0.25">
      <c r="A9" t="s">
        <v>68</v>
      </c>
      <c r="B9" t="s">
        <v>131</v>
      </c>
      <c r="C9">
        <v>1</v>
      </c>
      <c r="D9" t="s">
        <v>102</v>
      </c>
      <c r="E9" t="s">
        <v>100</v>
      </c>
      <c r="F9" t="s">
        <v>99</v>
      </c>
      <c r="G9">
        <v>1.66085853270446</v>
      </c>
      <c r="H9">
        <v>8.9369553507001501E-2</v>
      </c>
      <c r="I9">
        <v>0</v>
      </c>
      <c r="J9">
        <v>2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1.5741192553307399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1.7101743889827701</v>
      </c>
      <c r="U9">
        <f>IF((ContinuousStatsTable[[#This Row],[RepsRequested]]&gt;1),ContinuousStatsTable[[#This Row],[HalfWidth]],ContinuousStatsTable[[#This Row],[BatchMeansHalfWidth]])</f>
        <v>8.7144731273084922E-3</v>
      </c>
    </row>
    <row r="10" spans="1:21" x14ac:dyDescent="0.25">
      <c r="A10" t="s">
        <v>68</v>
      </c>
      <c r="B10" t="s">
        <v>131</v>
      </c>
      <c r="C10">
        <v>1</v>
      </c>
      <c r="D10" t="s">
        <v>102</v>
      </c>
      <c r="E10" t="s">
        <v>101</v>
      </c>
      <c r="F10" t="s">
        <v>99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131</v>
      </c>
      <c r="C11">
        <v>1</v>
      </c>
      <c r="D11" t="s">
        <v>103</v>
      </c>
      <c r="E11" t="s">
        <v>98</v>
      </c>
      <c r="F11" t="s">
        <v>99</v>
      </c>
      <c r="G11">
        <v>0.471946373937492</v>
      </c>
      <c r="H11">
        <v>2.4679879982887301E-2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0.452397944183905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0.49691123629694001</v>
      </c>
      <c r="U11">
        <f>IF((ContinuousStatsTable[[#This Row],[RepsRequested]]&gt;1),ContinuousStatsTable[[#This Row],[HalfWidth]],ContinuousStatsTable[[#This Row],[BatchMeansHalfWidth]])</f>
        <v>2.7457743728226142E-3</v>
      </c>
    </row>
    <row r="12" spans="1:21" x14ac:dyDescent="0.25">
      <c r="A12" t="s">
        <v>68</v>
      </c>
      <c r="B12" t="s">
        <v>131</v>
      </c>
      <c r="C12">
        <v>1</v>
      </c>
      <c r="D12" t="s">
        <v>103</v>
      </c>
      <c r="E12" t="s">
        <v>100</v>
      </c>
      <c r="F12" t="s">
        <v>99</v>
      </c>
      <c r="G12">
        <v>0.471946373937492</v>
      </c>
      <c r="H12">
        <v>2.4679879982887301E-2</v>
      </c>
      <c r="I12">
        <v>0</v>
      </c>
      <c r="J12">
        <v>1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0.452397944183905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0.49691123629694001</v>
      </c>
      <c r="U12">
        <f>IF((ContinuousStatsTable[[#This Row],[RepsRequested]]&gt;1),ContinuousStatsTable[[#This Row],[HalfWidth]],ContinuousStatsTable[[#This Row],[BatchMeansHalfWidth]])</f>
        <v>2.7457743728226142E-3</v>
      </c>
    </row>
    <row r="13" spans="1:21" x14ac:dyDescent="0.25">
      <c r="A13" t="s">
        <v>68</v>
      </c>
      <c r="B13" t="s">
        <v>131</v>
      </c>
      <c r="C13">
        <v>1</v>
      </c>
      <c r="D13" t="s">
        <v>103</v>
      </c>
      <c r="E13" t="s">
        <v>101</v>
      </c>
      <c r="F13" t="s">
        <v>99</v>
      </c>
      <c r="G13">
        <v>1</v>
      </c>
      <c r="H13">
        <v>2E+20</v>
      </c>
      <c r="I13">
        <v>1</v>
      </c>
      <c r="J13">
        <v>1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1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>
        <f>IF((ContinuousStatsTable[[#This Row],[RepsRequested]]&gt;1),ContinuousStatsTable[[#This Row],[HalfWidth]],ContinuousStatsTable[[#This Row],[BatchMeansHalfWidth]])</f>
        <v>0</v>
      </c>
    </row>
    <row r="14" spans="1:21" x14ac:dyDescent="0.25">
      <c r="A14" t="s">
        <v>68</v>
      </c>
      <c r="B14" t="s">
        <v>131</v>
      </c>
      <c r="C14">
        <v>2</v>
      </c>
      <c r="D14" t="s">
        <v>70</v>
      </c>
      <c r="E14" t="s">
        <v>95</v>
      </c>
      <c r="F14" t="s">
        <v>72</v>
      </c>
      <c r="G14">
        <v>4.2444993457534297</v>
      </c>
      <c r="H14">
        <v>0.70220257810651299</v>
      </c>
      <c r="I14">
        <v>0</v>
      </c>
      <c r="J14">
        <v>18</v>
      </c>
      <c r="K14">
        <v>4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PacientesEntity 1WIPEntity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3.9757448048151298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6.9386840633215803</v>
      </c>
      <c r="U14">
        <f>IF((ContinuousStatsTable[[#This Row],[RepsRequested]]&gt;1),ContinuousStatsTable[[#This Row],[HalfWidth]],ContinuousStatsTable[[#This Row],[BatchMeansHalfWidth]])</f>
        <v>0.22030607219171747</v>
      </c>
    </row>
    <row r="15" spans="1:21" x14ac:dyDescent="0.25">
      <c r="A15" t="s">
        <v>68</v>
      </c>
      <c r="B15" t="s">
        <v>131</v>
      </c>
      <c r="C15">
        <v>2</v>
      </c>
      <c r="D15" t="s">
        <v>83</v>
      </c>
      <c r="E15" t="s">
        <v>96</v>
      </c>
      <c r="F15" t="s">
        <v>85</v>
      </c>
      <c r="G15">
        <v>1.94599336328638</v>
      </c>
      <c r="H15">
        <v>0.65100224909037097</v>
      </c>
      <c r="I15">
        <v>0</v>
      </c>
      <c r="J15">
        <v>14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1.7200278735122601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4.5543512780988502</v>
      </c>
      <c r="U15">
        <f>IF((ContinuousStatsTable[[#This Row],[RepsRequested]]&gt;1),ContinuousStatsTable[[#This Row],[HalfWidth]],ContinuousStatsTable[[#This Row],[BatchMeansHalfWidth]])</f>
        <v>0.21041231434540877</v>
      </c>
    </row>
    <row r="16" spans="1:21" x14ac:dyDescent="0.25">
      <c r="A16" t="s">
        <v>68</v>
      </c>
      <c r="B16" t="s">
        <v>131</v>
      </c>
      <c r="C16">
        <v>2</v>
      </c>
      <c r="D16" t="s">
        <v>87</v>
      </c>
      <c r="E16" t="s">
        <v>96</v>
      </c>
      <c r="F16" t="s">
        <v>85</v>
      </c>
      <c r="G16">
        <v>0.20429174386377</v>
      </c>
      <c r="H16">
        <v>2.4443456094377002E-2</v>
      </c>
      <c r="I16">
        <v>0</v>
      </c>
      <c r="J16">
        <v>4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0.172815232766103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0.24783514900621301</v>
      </c>
      <c r="U16">
        <f>IF((ContinuousStatsTable[[#This Row],[RepsRequested]]&gt;1),ContinuousStatsTable[[#This Row],[HalfWidth]],ContinuousStatsTable[[#This Row],[BatchMeansHalfWidth]])</f>
        <v>4.7768909384897544E-3</v>
      </c>
    </row>
    <row r="17" spans="1:21" x14ac:dyDescent="0.25">
      <c r="A17" t="s">
        <v>68</v>
      </c>
      <c r="B17" t="s">
        <v>131</v>
      </c>
      <c r="C17">
        <v>2</v>
      </c>
      <c r="D17" t="s">
        <v>97</v>
      </c>
      <c r="E17" t="s">
        <v>98</v>
      </c>
      <c r="F17" t="s">
        <v>99</v>
      </c>
      <c r="G17">
        <v>0.54004048802791205</v>
      </c>
      <c r="H17">
        <v>1.8029305450637099E-2</v>
      </c>
      <c r="I17">
        <v>0</v>
      </c>
      <c r="J17">
        <v>0.66666666666666696</v>
      </c>
      <c r="K17">
        <v>0.66666666666666696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0.52470641844357602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0.57005812966092095</v>
      </c>
      <c r="U17">
        <f>IF((ContinuousStatsTable[[#This Row],[RepsRequested]]&gt;1),ContinuousStatsTable[[#This Row],[HalfWidth]],ContinuousStatsTable[[#This Row],[BatchMeansHalfWidth]])</f>
        <v>2.9048243757695521E-3</v>
      </c>
    </row>
    <row r="18" spans="1:21" x14ac:dyDescent="0.25">
      <c r="A18" t="s">
        <v>68</v>
      </c>
      <c r="B18" t="s">
        <v>131</v>
      </c>
      <c r="C18">
        <v>2</v>
      </c>
      <c r="D18" t="s">
        <v>97</v>
      </c>
      <c r="E18" t="s">
        <v>100</v>
      </c>
      <c r="F18" t="s">
        <v>99</v>
      </c>
      <c r="G18">
        <v>1.62012146408374</v>
      </c>
      <c r="H18">
        <v>5.4087916351911403E-2</v>
      </c>
      <c r="I18">
        <v>0</v>
      </c>
      <c r="J18">
        <v>2</v>
      </c>
      <c r="K18">
        <v>2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1.5741192553307399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1.7101743889827701</v>
      </c>
      <c r="U18">
        <f>IF((ContinuousStatsTable[[#This Row],[RepsRequested]]&gt;1),ContinuousStatsTable[[#This Row],[HalfWidth]],ContinuousStatsTable[[#This Row],[BatchMeansHalfWidth]])</f>
        <v>8.7144731273084922E-3</v>
      </c>
    </row>
    <row r="19" spans="1:21" x14ac:dyDescent="0.25">
      <c r="A19" t="s">
        <v>68</v>
      </c>
      <c r="B19" t="s">
        <v>131</v>
      </c>
      <c r="C19">
        <v>2</v>
      </c>
      <c r="D19" t="s">
        <v>97</v>
      </c>
      <c r="E19" t="s">
        <v>101</v>
      </c>
      <c r="F19" t="s">
        <v>99</v>
      </c>
      <c r="G19">
        <v>3</v>
      </c>
      <c r="H19">
        <v>2E+20</v>
      </c>
      <c r="I19">
        <v>3</v>
      </c>
      <c r="J19">
        <v>3</v>
      </c>
      <c r="K19">
        <v>3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3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3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3</v>
      </c>
      <c r="U19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131</v>
      </c>
      <c r="C20">
        <v>2</v>
      </c>
      <c r="D20" t="s">
        <v>102</v>
      </c>
      <c r="E20" t="s">
        <v>98</v>
      </c>
      <c r="F20" t="s">
        <v>99</v>
      </c>
      <c r="G20">
        <v>0.81006073204186801</v>
      </c>
      <c r="H20">
        <v>2.7043958175955701E-2</v>
      </c>
      <c r="I20">
        <v>0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0.78705962766536897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0.85508719449138504</v>
      </c>
      <c r="U20">
        <f>IF((ContinuousStatsTable[[#This Row],[RepsRequested]]&gt;1),ContinuousStatsTable[[#This Row],[HalfWidth]],ContinuousStatsTable[[#This Row],[BatchMeansHalfWidth]])</f>
        <v>4.3572365636542886E-3</v>
      </c>
    </row>
    <row r="21" spans="1:21" x14ac:dyDescent="0.25">
      <c r="A21" t="s">
        <v>68</v>
      </c>
      <c r="B21" t="s">
        <v>131</v>
      </c>
      <c r="C21">
        <v>2</v>
      </c>
      <c r="D21" t="s">
        <v>102</v>
      </c>
      <c r="E21" t="s">
        <v>100</v>
      </c>
      <c r="F21" t="s">
        <v>99</v>
      </c>
      <c r="G21">
        <v>1.62012146408374</v>
      </c>
      <c r="H21">
        <v>5.4087916351911403E-2</v>
      </c>
      <c r="I21">
        <v>0</v>
      </c>
      <c r="J21">
        <v>2</v>
      </c>
      <c r="K21">
        <v>2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1.5741192553307399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1.7101743889827701</v>
      </c>
      <c r="U21">
        <f>IF((ContinuousStatsTable[[#This Row],[RepsRequested]]&gt;1),ContinuousStatsTable[[#This Row],[HalfWidth]],ContinuousStatsTable[[#This Row],[BatchMeansHalfWidth]])</f>
        <v>8.7144731273084922E-3</v>
      </c>
    </row>
    <row r="22" spans="1:21" x14ac:dyDescent="0.25">
      <c r="A22" t="s">
        <v>68</v>
      </c>
      <c r="B22" t="s">
        <v>131</v>
      </c>
      <c r="C22">
        <v>2</v>
      </c>
      <c r="D22" t="s">
        <v>102</v>
      </c>
      <c r="E22" t="s">
        <v>101</v>
      </c>
      <c r="F22" t="s">
        <v>99</v>
      </c>
      <c r="G22">
        <v>2</v>
      </c>
      <c r="H22">
        <v>2E+20</v>
      </c>
      <c r="I22">
        <v>2</v>
      </c>
      <c r="J22">
        <v>2</v>
      </c>
      <c r="K22">
        <v>2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2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2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</v>
      </c>
      <c r="U22">
        <f>IF((ContinuousStatsTable[[#This Row],[RepsRequested]]&gt;1),ContinuousStatsTable[[#This Row],[HalfWidth]],ContinuousStatsTable[[#This Row],[BatchMeansHalfWidth]])</f>
        <v>0</v>
      </c>
    </row>
    <row r="23" spans="1:21" x14ac:dyDescent="0.25">
      <c r="A23" t="s">
        <v>68</v>
      </c>
      <c r="B23" t="s">
        <v>131</v>
      </c>
      <c r="C23">
        <v>2</v>
      </c>
      <c r="D23" t="s">
        <v>103</v>
      </c>
      <c r="E23" t="s">
        <v>98</v>
      </c>
      <c r="F23" t="s">
        <v>99</v>
      </c>
      <c r="G23">
        <v>0.474092774519558</v>
      </c>
      <c r="H23">
        <v>1.97985088250992E-2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0.452397944183905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0.49691123629694001</v>
      </c>
      <c r="U23">
        <f>IF((ContinuousStatsTable[[#This Row],[RepsRequested]]&gt;1),ContinuousStatsTable[[#This Row],[HalfWidth]],ContinuousStatsTable[[#This Row],[BatchMeansHalfWidth]])</f>
        <v>2.7457743728226142E-3</v>
      </c>
    </row>
    <row r="24" spans="1:21" x14ac:dyDescent="0.25">
      <c r="A24" t="s">
        <v>68</v>
      </c>
      <c r="B24" t="s">
        <v>131</v>
      </c>
      <c r="C24">
        <v>2</v>
      </c>
      <c r="D24" t="s">
        <v>103</v>
      </c>
      <c r="E24" t="s">
        <v>100</v>
      </c>
      <c r="F24" t="s">
        <v>99</v>
      </c>
      <c r="G24">
        <v>0.474092774519558</v>
      </c>
      <c r="H24">
        <v>1.97985088250992E-2</v>
      </c>
      <c r="I24">
        <v>0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0.452397944183905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0.49691123629694001</v>
      </c>
      <c r="U24">
        <f>IF((ContinuousStatsTable[[#This Row],[RepsRequested]]&gt;1),ContinuousStatsTable[[#This Row],[HalfWidth]],ContinuousStatsTable[[#This Row],[BatchMeansHalfWidth]])</f>
        <v>2.7457743728226142E-3</v>
      </c>
    </row>
    <row r="25" spans="1:21" x14ac:dyDescent="0.25">
      <c r="A25" t="s">
        <v>68</v>
      </c>
      <c r="B25" t="s">
        <v>131</v>
      </c>
      <c r="C25">
        <v>2</v>
      </c>
      <c r="D25" t="s">
        <v>103</v>
      </c>
      <c r="E25" t="s">
        <v>101</v>
      </c>
      <c r="F25" t="s">
        <v>99</v>
      </c>
      <c r="G25">
        <v>1</v>
      </c>
      <c r="H25">
        <v>2E+20</v>
      </c>
      <c r="I25">
        <v>1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1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1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25">
      <c r="A26" t="s">
        <v>68</v>
      </c>
      <c r="B26" t="s">
        <v>131</v>
      </c>
      <c r="C26">
        <v>3</v>
      </c>
      <c r="D26" t="s">
        <v>70</v>
      </c>
      <c r="E26" t="s">
        <v>95</v>
      </c>
      <c r="F26" t="s">
        <v>72</v>
      </c>
      <c r="G26">
        <v>4.2858969774836702</v>
      </c>
      <c r="H26">
        <v>0.88743637787726803</v>
      </c>
      <c r="I26">
        <v>0</v>
      </c>
      <c r="J26">
        <v>22</v>
      </c>
      <c r="K26">
        <v>5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PacientesEntity 1WIPEntity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3.9757448048151298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6.9386840633215803</v>
      </c>
      <c r="U26">
        <f>IF((ContinuousStatsTable[[#This Row],[RepsRequested]]&gt;1),ContinuousStatsTable[[#This Row],[HalfWidth]],ContinuousStatsTable[[#This Row],[BatchMeansHalfWidth]])</f>
        <v>0.22030607219171747</v>
      </c>
    </row>
    <row r="27" spans="1:21" x14ac:dyDescent="0.25">
      <c r="A27" t="s">
        <v>68</v>
      </c>
      <c r="B27" t="s">
        <v>131</v>
      </c>
      <c r="C27">
        <v>3</v>
      </c>
      <c r="D27" t="s">
        <v>83</v>
      </c>
      <c r="E27" t="s">
        <v>96</v>
      </c>
      <c r="F27" t="s">
        <v>85</v>
      </c>
      <c r="G27">
        <v>2.0392772402728401</v>
      </c>
      <c r="H27">
        <v>0.81178046699665396</v>
      </c>
      <c r="I27">
        <v>0</v>
      </c>
      <c r="J27">
        <v>18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1.7200278735122601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4.5543512780988502</v>
      </c>
      <c r="U27">
        <f>IF((ContinuousStatsTable[[#This Row],[RepsRequested]]&gt;1),ContinuousStatsTable[[#This Row],[HalfWidth]],ContinuousStatsTable[[#This Row],[BatchMeansHalfWidth]])</f>
        <v>0.21041231434540877</v>
      </c>
    </row>
    <row r="28" spans="1:21" x14ac:dyDescent="0.25">
      <c r="A28" t="s">
        <v>68</v>
      </c>
      <c r="B28" t="s">
        <v>131</v>
      </c>
      <c r="C28">
        <v>3</v>
      </c>
      <c r="D28" t="s">
        <v>87</v>
      </c>
      <c r="E28" t="s">
        <v>96</v>
      </c>
      <c r="F28" t="s">
        <v>85</v>
      </c>
      <c r="G28">
        <v>0.172815232766103</v>
      </c>
      <c r="H28">
        <v>2.4247356248625999E-2</v>
      </c>
      <c r="I28">
        <v>0</v>
      </c>
      <c r="J28">
        <v>4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0.172815232766103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0.24783514900621301</v>
      </c>
      <c r="U28">
        <f>IF((ContinuousStatsTable[[#This Row],[RepsRequested]]&gt;1),ContinuousStatsTable[[#This Row],[HalfWidth]],ContinuousStatsTable[[#This Row],[BatchMeansHalfWidth]])</f>
        <v>4.7768909384897544E-3</v>
      </c>
    </row>
    <row r="29" spans="1:21" x14ac:dyDescent="0.25">
      <c r="A29" t="s">
        <v>68</v>
      </c>
      <c r="B29" t="s">
        <v>131</v>
      </c>
      <c r="C29">
        <v>3</v>
      </c>
      <c r="D29" t="s">
        <v>97</v>
      </c>
      <c r="E29" t="s">
        <v>98</v>
      </c>
      <c r="F29" t="s">
        <v>99</v>
      </c>
      <c r="G29">
        <v>0.53825197371438505</v>
      </c>
      <c r="H29">
        <v>2.0828504846337099E-2</v>
      </c>
      <c r="I29">
        <v>0</v>
      </c>
      <c r="J29">
        <v>0.66666666666666696</v>
      </c>
      <c r="K29">
        <v>0.66666666666666696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0.52470641844357602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0.57005812966092095</v>
      </c>
      <c r="U29">
        <f>IF((ContinuousStatsTable[[#This Row],[RepsRequested]]&gt;1),ContinuousStatsTable[[#This Row],[HalfWidth]],ContinuousStatsTable[[#This Row],[BatchMeansHalfWidth]])</f>
        <v>2.9048243757695521E-3</v>
      </c>
    </row>
    <row r="30" spans="1:21" x14ac:dyDescent="0.25">
      <c r="A30" t="s">
        <v>68</v>
      </c>
      <c r="B30" t="s">
        <v>131</v>
      </c>
      <c r="C30">
        <v>3</v>
      </c>
      <c r="D30" t="s">
        <v>97</v>
      </c>
      <c r="E30" t="s">
        <v>100</v>
      </c>
      <c r="F30" t="s">
        <v>99</v>
      </c>
      <c r="G30">
        <v>1.6147559211431599</v>
      </c>
      <c r="H30">
        <v>6.24855145390113E-2</v>
      </c>
      <c r="I30">
        <v>0</v>
      </c>
      <c r="J30">
        <v>2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1.5741192553307399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1.7101743889827701</v>
      </c>
      <c r="U30">
        <f>IF((ContinuousStatsTable[[#This Row],[RepsRequested]]&gt;1),ContinuousStatsTable[[#This Row],[HalfWidth]],ContinuousStatsTable[[#This Row],[BatchMeansHalfWidth]])</f>
        <v>8.7144731273084922E-3</v>
      </c>
    </row>
    <row r="31" spans="1:21" x14ac:dyDescent="0.25">
      <c r="A31" t="s">
        <v>68</v>
      </c>
      <c r="B31" t="s">
        <v>131</v>
      </c>
      <c r="C31">
        <v>3</v>
      </c>
      <c r="D31" t="s">
        <v>97</v>
      </c>
      <c r="E31" t="s">
        <v>101</v>
      </c>
      <c r="F31" t="s">
        <v>99</v>
      </c>
      <c r="G31">
        <v>3</v>
      </c>
      <c r="H31">
        <v>2E+20</v>
      </c>
      <c r="I31">
        <v>3</v>
      </c>
      <c r="J31">
        <v>3</v>
      </c>
      <c r="K31">
        <v>3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3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3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3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68</v>
      </c>
      <c r="B32" t="s">
        <v>131</v>
      </c>
      <c r="C32">
        <v>3</v>
      </c>
      <c r="D32" t="s">
        <v>102</v>
      </c>
      <c r="E32" t="s">
        <v>98</v>
      </c>
      <c r="F32" t="s">
        <v>99</v>
      </c>
      <c r="G32">
        <v>0.80737796057157996</v>
      </c>
      <c r="H32">
        <v>3.1242757269505698E-2</v>
      </c>
      <c r="I32">
        <v>0</v>
      </c>
      <c r="J32">
        <v>1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0.78705962766536897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0.85508719449138504</v>
      </c>
      <c r="U32">
        <f>IF((ContinuousStatsTable[[#This Row],[RepsRequested]]&gt;1),ContinuousStatsTable[[#This Row],[HalfWidth]],ContinuousStatsTable[[#This Row],[BatchMeansHalfWidth]])</f>
        <v>4.3572365636542886E-3</v>
      </c>
    </row>
    <row r="33" spans="1:21" x14ac:dyDescent="0.25">
      <c r="A33" t="s">
        <v>68</v>
      </c>
      <c r="B33" t="s">
        <v>131</v>
      </c>
      <c r="C33">
        <v>3</v>
      </c>
      <c r="D33" t="s">
        <v>102</v>
      </c>
      <c r="E33" t="s">
        <v>100</v>
      </c>
      <c r="F33" t="s">
        <v>99</v>
      </c>
      <c r="G33">
        <v>1.6147559211431599</v>
      </c>
      <c r="H33">
        <v>6.24855145390113E-2</v>
      </c>
      <c r="I33">
        <v>0</v>
      </c>
      <c r="J33">
        <v>2</v>
      </c>
      <c r="K33">
        <v>2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1.5741192553307399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1.7101743889827701</v>
      </c>
      <c r="U33">
        <f>IF((ContinuousStatsTable[[#This Row],[RepsRequested]]&gt;1),ContinuousStatsTable[[#This Row],[HalfWidth]],ContinuousStatsTable[[#This Row],[BatchMeansHalfWidth]])</f>
        <v>8.7144731273084922E-3</v>
      </c>
    </row>
    <row r="34" spans="1:21" x14ac:dyDescent="0.25">
      <c r="A34" t="s">
        <v>68</v>
      </c>
      <c r="B34" t="s">
        <v>131</v>
      </c>
      <c r="C34">
        <v>3</v>
      </c>
      <c r="D34" t="s">
        <v>102</v>
      </c>
      <c r="E34" t="s">
        <v>101</v>
      </c>
      <c r="F34" t="s">
        <v>99</v>
      </c>
      <c r="G34">
        <v>2</v>
      </c>
      <c r="H34">
        <v>2E+20</v>
      </c>
      <c r="I34">
        <v>2</v>
      </c>
      <c r="J34">
        <v>2</v>
      </c>
      <c r="K34">
        <v>2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2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2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2</v>
      </c>
      <c r="U34">
        <f>IF((ContinuousStatsTable[[#This Row],[RepsRequested]]&gt;1),ContinuousStatsTable[[#This Row],[HalfWidth]],ContinuousStatsTable[[#This Row],[BatchMeansHalfWidth]])</f>
        <v>0</v>
      </c>
    </row>
    <row r="35" spans="1:21" x14ac:dyDescent="0.25">
      <c r="A35" t="s">
        <v>68</v>
      </c>
      <c r="B35" t="s">
        <v>131</v>
      </c>
      <c r="C35">
        <v>3</v>
      </c>
      <c r="D35" t="s">
        <v>103</v>
      </c>
      <c r="E35" t="s">
        <v>98</v>
      </c>
      <c r="F35" t="s">
        <v>99</v>
      </c>
      <c r="G35">
        <v>0.45904858330157</v>
      </c>
      <c r="H35">
        <v>2.1947724912223399E-2</v>
      </c>
      <c r="I35">
        <v>0</v>
      </c>
      <c r="J35">
        <v>1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0.452397944183905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0.49691123629694001</v>
      </c>
      <c r="U35">
        <f>IF((ContinuousStatsTable[[#This Row],[RepsRequested]]&gt;1),ContinuousStatsTable[[#This Row],[HalfWidth]],ContinuousStatsTable[[#This Row],[BatchMeansHalfWidth]])</f>
        <v>2.7457743728226142E-3</v>
      </c>
    </row>
    <row r="36" spans="1:21" x14ac:dyDescent="0.25">
      <c r="A36" t="s">
        <v>68</v>
      </c>
      <c r="B36" t="s">
        <v>131</v>
      </c>
      <c r="C36">
        <v>3</v>
      </c>
      <c r="D36" t="s">
        <v>103</v>
      </c>
      <c r="E36" t="s">
        <v>100</v>
      </c>
      <c r="F36" t="s">
        <v>99</v>
      </c>
      <c r="G36">
        <v>0.45904858330157</v>
      </c>
      <c r="H36">
        <v>2.1947724912223399E-2</v>
      </c>
      <c r="I36">
        <v>0</v>
      </c>
      <c r="J36">
        <v>1</v>
      </c>
      <c r="K36">
        <v>1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0.452397944183905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0.49691123629694001</v>
      </c>
      <c r="U36">
        <f>IF((ContinuousStatsTable[[#This Row],[RepsRequested]]&gt;1),ContinuousStatsTable[[#This Row],[HalfWidth]],ContinuousStatsTable[[#This Row],[BatchMeansHalfWidth]])</f>
        <v>2.7457743728226142E-3</v>
      </c>
    </row>
    <row r="37" spans="1:21" x14ac:dyDescent="0.25">
      <c r="A37" t="s">
        <v>68</v>
      </c>
      <c r="B37" t="s">
        <v>131</v>
      </c>
      <c r="C37">
        <v>3</v>
      </c>
      <c r="D37" t="s">
        <v>103</v>
      </c>
      <c r="E37" t="s">
        <v>101</v>
      </c>
      <c r="F37" t="s">
        <v>99</v>
      </c>
      <c r="G37">
        <v>1</v>
      </c>
      <c r="H37">
        <v>2E+20</v>
      </c>
      <c r="I37">
        <v>1</v>
      </c>
      <c r="J37">
        <v>1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1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</v>
      </c>
      <c r="U37">
        <f>IF((ContinuousStatsTable[[#This Row],[RepsRequested]]&gt;1),ContinuousStatsTable[[#This Row],[HalfWidth]],ContinuousStatsTable[[#This Row],[BatchMeansHalfWidth]])</f>
        <v>0</v>
      </c>
    </row>
    <row r="38" spans="1:21" x14ac:dyDescent="0.25">
      <c r="A38" t="s">
        <v>68</v>
      </c>
      <c r="B38" t="s">
        <v>131</v>
      </c>
      <c r="C38">
        <v>4</v>
      </c>
      <c r="D38" t="s">
        <v>70</v>
      </c>
      <c r="E38" t="s">
        <v>95</v>
      </c>
      <c r="F38" t="s">
        <v>72</v>
      </c>
      <c r="G38">
        <v>5.2790564276834901</v>
      </c>
      <c r="H38">
        <v>1.54390988438322</v>
      </c>
      <c r="I38">
        <v>0</v>
      </c>
      <c r="J38">
        <v>32</v>
      </c>
      <c r="K38">
        <v>4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PacientesEntity 1WIPEntity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3.9757448048151298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6.9386840633215803</v>
      </c>
      <c r="U38">
        <f>IF((ContinuousStatsTable[[#This Row],[RepsRequested]]&gt;1),ContinuousStatsTable[[#This Row],[HalfWidth]],ContinuousStatsTable[[#This Row],[BatchMeansHalfWidth]])</f>
        <v>0.22030607219171747</v>
      </c>
    </row>
    <row r="39" spans="1:21" x14ac:dyDescent="0.25">
      <c r="A39" t="s">
        <v>68</v>
      </c>
      <c r="B39" t="s">
        <v>131</v>
      </c>
      <c r="C39">
        <v>4</v>
      </c>
      <c r="D39" t="s">
        <v>83</v>
      </c>
      <c r="E39" t="s">
        <v>96</v>
      </c>
      <c r="F39" t="s">
        <v>85</v>
      </c>
      <c r="G39">
        <v>2.97642879648253</v>
      </c>
      <c r="H39">
        <v>1.45706792087547</v>
      </c>
      <c r="I39">
        <v>0</v>
      </c>
      <c r="J39">
        <v>30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1.7200278735122601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4.5543512780988502</v>
      </c>
      <c r="U39">
        <f>IF((ContinuousStatsTable[[#This Row],[RepsRequested]]&gt;1),ContinuousStatsTable[[#This Row],[HalfWidth]],ContinuousStatsTable[[#This Row],[BatchMeansHalfWidth]])</f>
        <v>0.21041231434540877</v>
      </c>
    </row>
    <row r="40" spans="1:21" x14ac:dyDescent="0.25">
      <c r="A40" t="s">
        <v>68</v>
      </c>
      <c r="B40" t="s">
        <v>131</v>
      </c>
      <c r="C40">
        <v>4</v>
      </c>
      <c r="D40" t="s">
        <v>87</v>
      </c>
      <c r="E40" t="s">
        <v>96</v>
      </c>
      <c r="F40" t="s">
        <v>85</v>
      </c>
      <c r="G40">
        <v>0.194292055854283</v>
      </c>
      <c r="H40">
        <v>3.2622979021267803E-2</v>
      </c>
      <c r="I40">
        <v>0</v>
      </c>
      <c r="J40">
        <v>5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0.172815232766103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0.24783514900621301</v>
      </c>
      <c r="U40">
        <f>IF((ContinuousStatsTable[[#This Row],[RepsRequested]]&gt;1),ContinuousStatsTable[[#This Row],[HalfWidth]],ContinuousStatsTable[[#This Row],[BatchMeansHalfWidth]])</f>
        <v>4.7768909384897544E-3</v>
      </c>
    </row>
    <row r="41" spans="1:21" x14ac:dyDescent="0.25">
      <c r="A41" t="s">
        <v>68</v>
      </c>
      <c r="B41" t="s">
        <v>131</v>
      </c>
      <c r="C41">
        <v>4</v>
      </c>
      <c r="D41" t="s">
        <v>97</v>
      </c>
      <c r="E41" t="s">
        <v>98</v>
      </c>
      <c r="F41" t="s">
        <v>99</v>
      </c>
      <c r="G41">
        <v>0.54818436022974204</v>
      </c>
      <c r="H41">
        <v>2.84009726008768E-2</v>
      </c>
      <c r="I41">
        <v>0</v>
      </c>
      <c r="J41">
        <v>0.66666666666666696</v>
      </c>
      <c r="K41">
        <v>0.66666666666666696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0.52470641844357602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0.57005812966092095</v>
      </c>
      <c r="U41">
        <f>IF((ContinuousStatsTable[[#This Row],[RepsRequested]]&gt;1),ContinuousStatsTable[[#This Row],[HalfWidth]],ContinuousStatsTable[[#This Row],[BatchMeansHalfWidth]])</f>
        <v>2.9048243757695521E-3</v>
      </c>
    </row>
    <row r="42" spans="1:21" x14ac:dyDescent="0.25">
      <c r="A42" t="s">
        <v>68</v>
      </c>
      <c r="B42" t="s">
        <v>131</v>
      </c>
      <c r="C42">
        <v>4</v>
      </c>
      <c r="D42" t="s">
        <v>97</v>
      </c>
      <c r="E42" t="s">
        <v>100</v>
      </c>
      <c r="F42" t="s">
        <v>99</v>
      </c>
      <c r="G42">
        <v>1.6445530806892199</v>
      </c>
      <c r="H42">
        <v>8.5202917802630299E-2</v>
      </c>
      <c r="I42">
        <v>0</v>
      </c>
      <c r="J42">
        <v>2</v>
      </c>
      <c r="K42">
        <v>2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1.5741192553307399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1.7101743889827701</v>
      </c>
      <c r="U42">
        <f>IF((ContinuousStatsTable[[#This Row],[RepsRequested]]&gt;1),ContinuousStatsTable[[#This Row],[HalfWidth]],ContinuousStatsTable[[#This Row],[BatchMeansHalfWidth]])</f>
        <v>8.7144731273084922E-3</v>
      </c>
    </row>
    <row r="43" spans="1:21" x14ac:dyDescent="0.25">
      <c r="A43" t="s">
        <v>68</v>
      </c>
      <c r="B43" t="s">
        <v>131</v>
      </c>
      <c r="C43">
        <v>4</v>
      </c>
      <c r="D43" t="s">
        <v>97</v>
      </c>
      <c r="E43" t="s">
        <v>101</v>
      </c>
      <c r="F43" t="s">
        <v>99</v>
      </c>
      <c r="G43">
        <v>3</v>
      </c>
      <c r="H43">
        <v>2E+20</v>
      </c>
      <c r="I43">
        <v>3</v>
      </c>
      <c r="J43">
        <v>3</v>
      </c>
      <c r="K43">
        <v>3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3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3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3</v>
      </c>
      <c r="U43">
        <f>IF((ContinuousStatsTable[[#This Row],[RepsRequested]]&gt;1),ContinuousStatsTable[[#This Row],[HalfWidth]],ContinuousStatsTable[[#This Row],[BatchMeansHalfWidth]])</f>
        <v>0</v>
      </c>
    </row>
    <row r="44" spans="1:21" x14ac:dyDescent="0.25">
      <c r="A44" t="s">
        <v>68</v>
      </c>
      <c r="B44" t="s">
        <v>131</v>
      </c>
      <c r="C44">
        <v>4</v>
      </c>
      <c r="D44" t="s">
        <v>102</v>
      </c>
      <c r="E44" t="s">
        <v>98</v>
      </c>
      <c r="F44" t="s">
        <v>99</v>
      </c>
      <c r="G44">
        <v>0.82227654034461095</v>
      </c>
      <c r="H44">
        <v>4.2601458901315101E-2</v>
      </c>
      <c r="I44">
        <v>0</v>
      </c>
      <c r="J44">
        <v>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0.78705962766536897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0.85508719449138504</v>
      </c>
      <c r="U44">
        <f>IF((ContinuousStatsTable[[#This Row],[RepsRequested]]&gt;1),ContinuousStatsTable[[#This Row],[HalfWidth]],ContinuousStatsTable[[#This Row],[BatchMeansHalfWidth]])</f>
        <v>4.3572365636542886E-3</v>
      </c>
    </row>
    <row r="45" spans="1:21" x14ac:dyDescent="0.25">
      <c r="A45" t="s">
        <v>68</v>
      </c>
      <c r="B45" t="s">
        <v>131</v>
      </c>
      <c r="C45">
        <v>4</v>
      </c>
      <c r="D45" t="s">
        <v>102</v>
      </c>
      <c r="E45" t="s">
        <v>100</v>
      </c>
      <c r="F45" t="s">
        <v>99</v>
      </c>
      <c r="G45">
        <v>1.6445530806892199</v>
      </c>
      <c r="H45">
        <v>8.5202917802630299E-2</v>
      </c>
      <c r="I45">
        <v>0</v>
      </c>
      <c r="J45">
        <v>2</v>
      </c>
      <c r="K45">
        <v>2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1.5741192553307399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1.7101743889827701</v>
      </c>
      <c r="U45">
        <f>IF((ContinuousStatsTable[[#This Row],[RepsRequested]]&gt;1),ContinuousStatsTable[[#This Row],[HalfWidth]],ContinuousStatsTable[[#This Row],[BatchMeansHalfWidth]])</f>
        <v>8.7144731273084922E-3</v>
      </c>
    </row>
    <row r="46" spans="1:21" x14ac:dyDescent="0.25">
      <c r="A46" t="s">
        <v>68</v>
      </c>
      <c r="B46" t="s">
        <v>131</v>
      </c>
      <c r="C46">
        <v>4</v>
      </c>
      <c r="D46" t="s">
        <v>102</v>
      </c>
      <c r="E46" t="s">
        <v>101</v>
      </c>
      <c r="F46" t="s">
        <v>99</v>
      </c>
      <c r="G46">
        <v>2</v>
      </c>
      <c r="H46">
        <v>2E+20</v>
      </c>
      <c r="I46">
        <v>2</v>
      </c>
      <c r="J46">
        <v>2</v>
      </c>
      <c r="K46">
        <v>2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2</v>
      </c>
      <c r="U46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131</v>
      </c>
      <c r="C47">
        <v>4</v>
      </c>
      <c r="D47" t="s">
        <v>103</v>
      </c>
      <c r="E47" t="s">
        <v>98</v>
      </c>
      <c r="F47" t="s">
        <v>99</v>
      </c>
      <c r="G47">
        <v>0.46378249465744398</v>
      </c>
      <c r="H47">
        <v>2.0395468365528399E-2</v>
      </c>
      <c r="I47">
        <v>0</v>
      </c>
      <c r="J47">
        <v>1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0.452397944183905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0.49691123629694001</v>
      </c>
      <c r="U47">
        <f>IF((ContinuousStatsTable[[#This Row],[RepsRequested]]&gt;1),ContinuousStatsTable[[#This Row],[HalfWidth]],ContinuousStatsTable[[#This Row],[BatchMeansHalfWidth]])</f>
        <v>2.7457743728226142E-3</v>
      </c>
    </row>
    <row r="48" spans="1:21" x14ac:dyDescent="0.25">
      <c r="A48" t="s">
        <v>68</v>
      </c>
      <c r="B48" t="s">
        <v>131</v>
      </c>
      <c r="C48">
        <v>4</v>
      </c>
      <c r="D48" t="s">
        <v>103</v>
      </c>
      <c r="E48" t="s">
        <v>100</v>
      </c>
      <c r="F48" t="s">
        <v>99</v>
      </c>
      <c r="G48">
        <v>0.46378249465744398</v>
      </c>
      <c r="H48">
        <v>2.0395468365528399E-2</v>
      </c>
      <c r="I48">
        <v>0</v>
      </c>
      <c r="J48">
        <v>1</v>
      </c>
      <c r="K48">
        <v>1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0.452397944183905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0.49691123629694001</v>
      </c>
      <c r="U48">
        <f>IF((ContinuousStatsTable[[#This Row],[RepsRequested]]&gt;1),ContinuousStatsTable[[#This Row],[HalfWidth]],ContinuousStatsTable[[#This Row],[BatchMeansHalfWidth]])</f>
        <v>2.7457743728226142E-3</v>
      </c>
    </row>
    <row r="49" spans="1:21" x14ac:dyDescent="0.25">
      <c r="A49" t="s">
        <v>68</v>
      </c>
      <c r="B49" t="s">
        <v>131</v>
      </c>
      <c r="C49">
        <v>4</v>
      </c>
      <c r="D49" t="s">
        <v>103</v>
      </c>
      <c r="E49" t="s">
        <v>101</v>
      </c>
      <c r="F49" t="s">
        <v>99</v>
      </c>
      <c r="G49">
        <v>1</v>
      </c>
      <c r="H49">
        <v>2E+20</v>
      </c>
      <c r="I49">
        <v>1</v>
      </c>
      <c r="J49">
        <v>1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1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131</v>
      </c>
      <c r="C50">
        <v>5</v>
      </c>
      <c r="D50" t="s">
        <v>70</v>
      </c>
      <c r="E50" t="s">
        <v>95</v>
      </c>
      <c r="F50" t="s">
        <v>72</v>
      </c>
      <c r="G50">
        <v>4.3218680927470903</v>
      </c>
      <c r="H50">
        <v>1.0269961547820301</v>
      </c>
      <c r="I50">
        <v>0</v>
      </c>
      <c r="J50">
        <v>24</v>
      </c>
      <c r="K50">
        <v>3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PacientesEntity 1WIPEntity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3.9757448048151298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6.9386840633215803</v>
      </c>
      <c r="U50">
        <f>IF((ContinuousStatsTable[[#This Row],[RepsRequested]]&gt;1),ContinuousStatsTable[[#This Row],[HalfWidth]],ContinuousStatsTable[[#This Row],[BatchMeansHalfWidth]])</f>
        <v>0.22030607219171747</v>
      </c>
    </row>
    <row r="51" spans="1:21" x14ac:dyDescent="0.25">
      <c r="A51" t="s">
        <v>68</v>
      </c>
      <c r="B51" t="s">
        <v>131</v>
      </c>
      <c r="C51">
        <v>5</v>
      </c>
      <c r="D51" t="s">
        <v>83</v>
      </c>
      <c r="E51" t="s">
        <v>96</v>
      </c>
      <c r="F51" t="s">
        <v>85</v>
      </c>
      <c r="G51">
        <v>2.0957381636740702</v>
      </c>
      <c r="H51">
        <v>0.93243275653186697</v>
      </c>
      <c r="I51">
        <v>0</v>
      </c>
      <c r="J51">
        <v>21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1.7200278735122601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4.5543512780988502</v>
      </c>
      <c r="U51">
        <f>IF((ContinuousStatsTable[[#This Row],[RepsRequested]]&gt;1),ContinuousStatsTable[[#This Row],[HalfWidth]],ContinuousStatsTable[[#This Row],[BatchMeansHalfWidth]])</f>
        <v>0.21041231434540877</v>
      </c>
    </row>
    <row r="52" spans="1:21" x14ac:dyDescent="0.25">
      <c r="A52" t="s">
        <v>68</v>
      </c>
      <c r="B52" t="s">
        <v>131</v>
      </c>
      <c r="C52">
        <v>5</v>
      </c>
      <c r="D52" t="s">
        <v>87</v>
      </c>
      <c r="E52" t="s">
        <v>96</v>
      </c>
      <c r="F52" t="s">
        <v>85</v>
      </c>
      <c r="G52">
        <v>0.19170268393329201</v>
      </c>
      <c r="H52">
        <v>3.1304884728189902E-2</v>
      </c>
      <c r="I52">
        <v>0</v>
      </c>
      <c r="J52">
        <v>5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0.172815232766103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0.24783514900621301</v>
      </c>
      <c r="U52">
        <f>IF((ContinuousStatsTable[[#This Row],[RepsRequested]]&gt;1),ContinuousStatsTable[[#This Row],[HalfWidth]],ContinuousStatsTable[[#This Row],[BatchMeansHalfWidth]])</f>
        <v>4.7768909384897544E-3</v>
      </c>
    </row>
    <row r="53" spans="1:21" x14ac:dyDescent="0.25">
      <c r="A53" t="s">
        <v>68</v>
      </c>
      <c r="B53" t="s">
        <v>131</v>
      </c>
      <c r="C53">
        <v>5</v>
      </c>
      <c r="D53" t="s">
        <v>97</v>
      </c>
      <c r="E53" t="s">
        <v>98</v>
      </c>
      <c r="F53" t="s">
        <v>99</v>
      </c>
      <c r="G53">
        <v>0.52571085737109402</v>
      </c>
      <c r="H53">
        <v>2.7316203401162899E-2</v>
      </c>
      <c r="I53">
        <v>0</v>
      </c>
      <c r="J53">
        <v>0.66666666666666696</v>
      </c>
      <c r="K53">
        <v>0.66666666666666696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0.52470641844357602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0.57005812966092095</v>
      </c>
      <c r="U53">
        <f>IF((ContinuousStatsTable[[#This Row],[RepsRequested]]&gt;1),ContinuousStatsTable[[#This Row],[HalfWidth]],ContinuousStatsTable[[#This Row],[BatchMeansHalfWidth]])</f>
        <v>2.9048243757695521E-3</v>
      </c>
    </row>
    <row r="54" spans="1:21" x14ac:dyDescent="0.25">
      <c r="A54" t="s">
        <v>68</v>
      </c>
      <c r="B54" t="s">
        <v>131</v>
      </c>
      <c r="C54">
        <v>5</v>
      </c>
      <c r="D54" t="s">
        <v>97</v>
      </c>
      <c r="E54" t="s">
        <v>100</v>
      </c>
      <c r="F54" t="s">
        <v>99</v>
      </c>
      <c r="G54">
        <v>1.5771325721132801</v>
      </c>
      <c r="H54">
        <v>8.1948610203488703E-2</v>
      </c>
      <c r="I54">
        <v>0</v>
      </c>
      <c r="J54">
        <v>2</v>
      </c>
      <c r="K54">
        <v>2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1.5741192553307399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1.7101743889827701</v>
      </c>
      <c r="U54">
        <f>IF((ContinuousStatsTable[[#This Row],[RepsRequested]]&gt;1),ContinuousStatsTable[[#This Row],[HalfWidth]],ContinuousStatsTable[[#This Row],[BatchMeansHalfWidth]])</f>
        <v>8.7144731273084922E-3</v>
      </c>
    </row>
    <row r="55" spans="1:21" x14ac:dyDescent="0.25">
      <c r="A55" t="s">
        <v>68</v>
      </c>
      <c r="B55" t="s">
        <v>131</v>
      </c>
      <c r="C55">
        <v>5</v>
      </c>
      <c r="D55" t="s">
        <v>97</v>
      </c>
      <c r="E55" t="s">
        <v>101</v>
      </c>
      <c r="F55" t="s">
        <v>99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25">
      <c r="A56" t="s">
        <v>68</v>
      </c>
      <c r="B56" t="s">
        <v>131</v>
      </c>
      <c r="C56">
        <v>5</v>
      </c>
      <c r="D56" t="s">
        <v>102</v>
      </c>
      <c r="E56" t="s">
        <v>98</v>
      </c>
      <c r="F56" t="s">
        <v>99</v>
      </c>
      <c r="G56">
        <v>0.78856628605664203</v>
      </c>
      <c r="H56">
        <v>4.0974305101744303E-2</v>
      </c>
      <c r="I56">
        <v>0</v>
      </c>
      <c r="J56">
        <v>1</v>
      </c>
      <c r="K56">
        <v>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0.78705962766536897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0.85508719449138504</v>
      </c>
      <c r="U56">
        <f>IF((ContinuousStatsTable[[#This Row],[RepsRequested]]&gt;1),ContinuousStatsTable[[#This Row],[HalfWidth]],ContinuousStatsTable[[#This Row],[BatchMeansHalfWidth]])</f>
        <v>4.3572365636542886E-3</v>
      </c>
    </row>
    <row r="57" spans="1:21" x14ac:dyDescent="0.25">
      <c r="A57" t="s">
        <v>68</v>
      </c>
      <c r="B57" t="s">
        <v>131</v>
      </c>
      <c r="C57">
        <v>5</v>
      </c>
      <c r="D57" t="s">
        <v>102</v>
      </c>
      <c r="E57" t="s">
        <v>100</v>
      </c>
      <c r="F57" t="s">
        <v>99</v>
      </c>
      <c r="G57">
        <v>1.5771325721132801</v>
      </c>
      <c r="H57">
        <v>8.1948610203488703E-2</v>
      </c>
      <c r="I57">
        <v>0</v>
      </c>
      <c r="J57">
        <v>2</v>
      </c>
      <c r="K57">
        <v>2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1.5741192553307399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1.7101743889827701</v>
      </c>
      <c r="U57">
        <f>IF((ContinuousStatsTable[[#This Row],[RepsRequested]]&gt;1),ContinuousStatsTable[[#This Row],[HalfWidth]],ContinuousStatsTable[[#This Row],[BatchMeansHalfWidth]])</f>
        <v>8.7144731273084922E-3</v>
      </c>
    </row>
    <row r="58" spans="1:21" x14ac:dyDescent="0.25">
      <c r="A58" t="s">
        <v>68</v>
      </c>
      <c r="B58" t="s">
        <v>131</v>
      </c>
      <c r="C58">
        <v>5</v>
      </c>
      <c r="D58" t="s">
        <v>102</v>
      </c>
      <c r="E58" t="s">
        <v>101</v>
      </c>
      <c r="F58" t="s">
        <v>99</v>
      </c>
      <c r="G58">
        <v>2</v>
      </c>
      <c r="H58">
        <v>2E+20</v>
      </c>
      <c r="I58">
        <v>2</v>
      </c>
      <c r="J58">
        <v>2</v>
      </c>
      <c r="K58">
        <v>2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2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2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2</v>
      </c>
      <c r="U58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68</v>
      </c>
      <c r="B59" t="s">
        <v>131</v>
      </c>
      <c r="C59">
        <v>5</v>
      </c>
      <c r="D59" t="s">
        <v>103</v>
      </c>
      <c r="E59" t="s">
        <v>98</v>
      </c>
      <c r="F59" t="s">
        <v>99</v>
      </c>
      <c r="G59">
        <v>0.457294673026444</v>
      </c>
      <c r="H59">
        <v>2.1951212866183501E-2</v>
      </c>
      <c r="I59">
        <v>0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0.452397944183905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0.49691123629694001</v>
      </c>
      <c r="U59">
        <f>IF((ContinuousStatsTable[[#This Row],[RepsRequested]]&gt;1),ContinuousStatsTable[[#This Row],[HalfWidth]],ContinuousStatsTable[[#This Row],[BatchMeansHalfWidth]])</f>
        <v>2.7457743728226142E-3</v>
      </c>
    </row>
    <row r="60" spans="1:21" x14ac:dyDescent="0.25">
      <c r="A60" t="s">
        <v>68</v>
      </c>
      <c r="B60" t="s">
        <v>131</v>
      </c>
      <c r="C60">
        <v>5</v>
      </c>
      <c r="D60" t="s">
        <v>103</v>
      </c>
      <c r="E60" t="s">
        <v>100</v>
      </c>
      <c r="F60" t="s">
        <v>99</v>
      </c>
      <c r="G60">
        <v>0.457294673026444</v>
      </c>
      <c r="H60">
        <v>2.1951212866183501E-2</v>
      </c>
      <c r="I60">
        <v>0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0.452397944183905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0.49691123629694001</v>
      </c>
      <c r="U60">
        <f>IF((ContinuousStatsTable[[#This Row],[RepsRequested]]&gt;1),ContinuousStatsTable[[#This Row],[HalfWidth]],ContinuousStatsTable[[#This Row],[BatchMeansHalfWidth]])</f>
        <v>2.7457743728226142E-3</v>
      </c>
    </row>
    <row r="61" spans="1:21" x14ac:dyDescent="0.25">
      <c r="A61" t="s">
        <v>68</v>
      </c>
      <c r="B61" t="s">
        <v>131</v>
      </c>
      <c r="C61">
        <v>5</v>
      </c>
      <c r="D61" t="s">
        <v>103</v>
      </c>
      <c r="E61" t="s">
        <v>101</v>
      </c>
      <c r="F61" t="s">
        <v>99</v>
      </c>
      <c r="G61">
        <v>1</v>
      </c>
      <c r="H61">
        <v>2E+20</v>
      </c>
      <c r="I61">
        <v>1</v>
      </c>
      <c r="J61">
        <v>1</v>
      </c>
      <c r="K61">
        <v>1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1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1</v>
      </c>
      <c r="U61">
        <f>IF((ContinuousStatsTable[[#This Row],[RepsRequested]]&gt;1),ContinuousStatsTable[[#This Row],[HalfWidth]],ContinuousStatsTable[[#This Row],[BatchMeansHalfWidth]])</f>
        <v>0</v>
      </c>
    </row>
    <row r="62" spans="1:21" x14ac:dyDescent="0.25">
      <c r="A62" t="s">
        <v>68</v>
      </c>
      <c r="B62" t="s">
        <v>131</v>
      </c>
      <c r="C62">
        <v>6</v>
      </c>
      <c r="D62" t="s">
        <v>70</v>
      </c>
      <c r="E62" t="s">
        <v>95</v>
      </c>
      <c r="F62" t="s">
        <v>72</v>
      </c>
      <c r="G62">
        <v>5.4866396805800299</v>
      </c>
      <c r="H62">
        <v>0.96908411735125899</v>
      </c>
      <c r="I62">
        <v>0</v>
      </c>
      <c r="J62">
        <v>27</v>
      </c>
      <c r="K62">
        <v>14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PacientesEntity 1WIPEntity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3.9757448048151298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6.9386840633215803</v>
      </c>
      <c r="U62">
        <f>IF((ContinuousStatsTable[[#This Row],[RepsRequested]]&gt;1),ContinuousStatsTable[[#This Row],[HalfWidth]],ContinuousStatsTable[[#This Row],[BatchMeansHalfWidth]])</f>
        <v>0.22030607219171747</v>
      </c>
    </row>
    <row r="63" spans="1:21" x14ac:dyDescent="0.25">
      <c r="A63" t="s">
        <v>68</v>
      </c>
      <c r="B63" t="s">
        <v>131</v>
      </c>
      <c r="C63">
        <v>6</v>
      </c>
      <c r="D63" t="s">
        <v>83</v>
      </c>
      <c r="E63" t="s">
        <v>96</v>
      </c>
      <c r="F63" t="s">
        <v>85</v>
      </c>
      <c r="G63">
        <v>3.0427132949199001</v>
      </c>
      <c r="H63">
        <v>0.90371444693127401</v>
      </c>
      <c r="I63">
        <v>0</v>
      </c>
      <c r="J63">
        <v>23</v>
      </c>
      <c r="K63">
        <v>12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1.7200278735122601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4.5543512780988502</v>
      </c>
      <c r="U63">
        <f>IF((ContinuousStatsTable[[#This Row],[RepsRequested]]&gt;1),ContinuousStatsTable[[#This Row],[HalfWidth]],ContinuousStatsTable[[#This Row],[BatchMeansHalfWidth]])</f>
        <v>0.21041231434540877</v>
      </c>
    </row>
    <row r="64" spans="1:21" x14ac:dyDescent="0.25">
      <c r="A64" t="s">
        <v>68</v>
      </c>
      <c r="B64" t="s">
        <v>131</v>
      </c>
      <c r="C64">
        <v>6</v>
      </c>
      <c r="D64" t="s">
        <v>87</v>
      </c>
      <c r="E64" t="s">
        <v>96</v>
      </c>
      <c r="F64" t="s">
        <v>85</v>
      </c>
      <c r="G64">
        <v>0.24783514900621301</v>
      </c>
      <c r="H64">
        <v>4.4367476563348197E-2</v>
      </c>
      <c r="I64">
        <v>0</v>
      </c>
      <c r="J64">
        <v>5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0.172815232766103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0.24783514900621301</v>
      </c>
      <c r="U64">
        <f>IF((ContinuousStatsTable[[#This Row],[RepsRequested]]&gt;1),ContinuousStatsTable[[#This Row],[HalfWidth]],ContinuousStatsTable[[#This Row],[BatchMeansHalfWidth]])</f>
        <v>4.7768909384897544E-3</v>
      </c>
    </row>
    <row r="65" spans="1:21" x14ac:dyDescent="0.25">
      <c r="A65" t="s">
        <v>68</v>
      </c>
      <c r="B65" t="s">
        <v>131</v>
      </c>
      <c r="C65">
        <v>6</v>
      </c>
      <c r="D65" t="s">
        <v>97</v>
      </c>
      <c r="E65" t="s">
        <v>98</v>
      </c>
      <c r="F65" t="s">
        <v>99</v>
      </c>
      <c r="G65">
        <v>0.56639333345232001</v>
      </c>
      <c r="H65">
        <v>2.36764570193661E-2</v>
      </c>
      <c r="I65">
        <v>0</v>
      </c>
      <c r="J65">
        <v>0.66666666666666696</v>
      </c>
      <c r="K65">
        <v>0.66666666666666696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0.52470641844357602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0.57005812966092095</v>
      </c>
      <c r="U65">
        <f>IF((ContinuousStatsTable[[#This Row],[RepsRequested]]&gt;1),ContinuousStatsTable[[#This Row],[HalfWidth]],ContinuousStatsTable[[#This Row],[BatchMeansHalfWidth]])</f>
        <v>2.9048243757695521E-3</v>
      </c>
    </row>
    <row r="66" spans="1:21" x14ac:dyDescent="0.25">
      <c r="A66" t="s">
        <v>68</v>
      </c>
      <c r="B66" t="s">
        <v>131</v>
      </c>
      <c r="C66">
        <v>6</v>
      </c>
      <c r="D66" t="s">
        <v>97</v>
      </c>
      <c r="E66" t="s">
        <v>100</v>
      </c>
      <c r="F66" t="s">
        <v>99</v>
      </c>
      <c r="G66">
        <v>1.6991800003569599</v>
      </c>
      <c r="H66">
        <v>7.1029371058098395E-2</v>
      </c>
      <c r="I66">
        <v>0</v>
      </c>
      <c r="J66">
        <v>2</v>
      </c>
      <c r="K66">
        <v>2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1.5741192553307399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1.7101743889827701</v>
      </c>
      <c r="U66">
        <f>IF((ContinuousStatsTable[[#This Row],[RepsRequested]]&gt;1),ContinuousStatsTable[[#This Row],[HalfWidth]],ContinuousStatsTable[[#This Row],[BatchMeansHalfWidth]])</f>
        <v>8.7144731273084922E-3</v>
      </c>
    </row>
    <row r="67" spans="1:21" x14ac:dyDescent="0.25">
      <c r="A67" t="s">
        <v>68</v>
      </c>
      <c r="B67" t="s">
        <v>131</v>
      </c>
      <c r="C67">
        <v>6</v>
      </c>
      <c r="D67" t="s">
        <v>97</v>
      </c>
      <c r="E67" t="s">
        <v>101</v>
      </c>
      <c r="F67" t="s">
        <v>99</v>
      </c>
      <c r="G67">
        <v>3</v>
      </c>
      <c r="H67">
        <v>2E+20</v>
      </c>
      <c r="I67">
        <v>3</v>
      </c>
      <c r="J67">
        <v>3</v>
      </c>
      <c r="K67">
        <v>3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3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3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3</v>
      </c>
      <c r="U67">
        <f>IF((ContinuousStatsTable[[#This Row],[RepsRequested]]&gt;1),ContinuousStatsTable[[#This Row],[HalfWidth]],ContinuousStatsTable[[#This Row],[BatchMeansHalfWidth]])</f>
        <v>0</v>
      </c>
    </row>
    <row r="68" spans="1:21" x14ac:dyDescent="0.25">
      <c r="A68" t="s">
        <v>68</v>
      </c>
      <c r="B68" t="s">
        <v>131</v>
      </c>
      <c r="C68">
        <v>6</v>
      </c>
      <c r="D68" t="s">
        <v>102</v>
      </c>
      <c r="E68" t="s">
        <v>98</v>
      </c>
      <c r="F68" t="s">
        <v>99</v>
      </c>
      <c r="G68">
        <v>0.84959000017848096</v>
      </c>
      <c r="H68">
        <v>3.5514685529049198E-2</v>
      </c>
      <c r="I68">
        <v>0</v>
      </c>
      <c r="J68">
        <v>1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0.78705962766536897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0.85508719449138504</v>
      </c>
      <c r="U68">
        <f>IF((ContinuousStatsTable[[#This Row],[RepsRequested]]&gt;1),ContinuousStatsTable[[#This Row],[HalfWidth]],ContinuousStatsTable[[#This Row],[BatchMeansHalfWidth]])</f>
        <v>4.3572365636542886E-3</v>
      </c>
    </row>
    <row r="69" spans="1:21" x14ac:dyDescent="0.25">
      <c r="A69" t="s">
        <v>68</v>
      </c>
      <c r="B69" t="s">
        <v>131</v>
      </c>
      <c r="C69">
        <v>6</v>
      </c>
      <c r="D69" t="s">
        <v>102</v>
      </c>
      <c r="E69" t="s">
        <v>100</v>
      </c>
      <c r="F69" t="s">
        <v>99</v>
      </c>
      <c r="G69">
        <v>1.6991800003569599</v>
      </c>
      <c r="H69">
        <v>7.1029371058098395E-2</v>
      </c>
      <c r="I69">
        <v>0</v>
      </c>
      <c r="J69">
        <v>2</v>
      </c>
      <c r="K69">
        <v>2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1.5741192553307399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1.7101743889827701</v>
      </c>
      <c r="U69">
        <f>IF((ContinuousStatsTable[[#This Row],[RepsRequested]]&gt;1),ContinuousStatsTable[[#This Row],[HalfWidth]],ContinuousStatsTable[[#This Row],[BatchMeansHalfWidth]])</f>
        <v>8.7144731273084922E-3</v>
      </c>
    </row>
    <row r="70" spans="1:21" x14ac:dyDescent="0.25">
      <c r="A70" t="s">
        <v>68</v>
      </c>
      <c r="B70" t="s">
        <v>131</v>
      </c>
      <c r="C70">
        <v>6</v>
      </c>
      <c r="D70" t="s">
        <v>102</v>
      </c>
      <c r="E70" t="s">
        <v>101</v>
      </c>
      <c r="F70" t="s">
        <v>99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68</v>
      </c>
      <c r="B71" t="s">
        <v>131</v>
      </c>
      <c r="C71">
        <v>6</v>
      </c>
      <c r="D71" t="s">
        <v>103</v>
      </c>
      <c r="E71" t="s">
        <v>98</v>
      </c>
      <c r="F71" t="s">
        <v>99</v>
      </c>
      <c r="G71">
        <v>0.49691123629694001</v>
      </c>
      <c r="H71">
        <v>1.66611007926784E-2</v>
      </c>
      <c r="I71">
        <v>0</v>
      </c>
      <c r="J71">
        <v>1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0.452397944183905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0.49691123629694001</v>
      </c>
      <c r="U71">
        <f>IF((ContinuousStatsTable[[#This Row],[RepsRequested]]&gt;1),ContinuousStatsTable[[#This Row],[HalfWidth]],ContinuousStatsTable[[#This Row],[BatchMeansHalfWidth]])</f>
        <v>2.7457743728226142E-3</v>
      </c>
    </row>
    <row r="72" spans="1:21" x14ac:dyDescent="0.25">
      <c r="A72" t="s">
        <v>68</v>
      </c>
      <c r="B72" t="s">
        <v>131</v>
      </c>
      <c r="C72">
        <v>6</v>
      </c>
      <c r="D72" t="s">
        <v>103</v>
      </c>
      <c r="E72" t="s">
        <v>100</v>
      </c>
      <c r="F72" t="s">
        <v>99</v>
      </c>
      <c r="G72">
        <v>0.49691123629694001</v>
      </c>
      <c r="H72">
        <v>1.66611007926784E-2</v>
      </c>
      <c r="I72">
        <v>0</v>
      </c>
      <c r="J72">
        <v>1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0.452397944183905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0.49691123629694001</v>
      </c>
      <c r="U72">
        <f>IF((ContinuousStatsTable[[#This Row],[RepsRequested]]&gt;1),ContinuousStatsTable[[#This Row],[HalfWidth]],ContinuousStatsTable[[#This Row],[BatchMeansHalfWidth]])</f>
        <v>2.7457743728226142E-3</v>
      </c>
    </row>
    <row r="73" spans="1:21" x14ac:dyDescent="0.25">
      <c r="A73" t="s">
        <v>68</v>
      </c>
      <c r="B73" t="s">
        <v>131</v>
      </c>
      <c r="C73">
        <v>6</v>
      </c>
      <c r="D73" t="s">
        <v>103</v>
      </c>
      <c r="E73" t="s">
        <v>101</v>
      </c>
      <c r="F73" t="s">
        <v>99</v>
      </c>
      <c r="G73">
        <v>1</v>
      </c>
      <c r="H73">
        <v>2E+20</v>
      </c>
      <c r="I73">
        <v>1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1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1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1</v>
      </c>
      <c r="U73">
        <f>IF((ContinuousStatsTable[[#This Row],[RepsRequested]]&gt;1),ContinuousStatsTable[[#This Row],[HalfWidth]],ContinuousStatsTable[[#This Row],[BatchMeansHalfWidth]])</f>
        <v>0</v>
      </c>
    </row>
    <row r="74" spans="1:21" x14ac:dyDescent="0.25">
      <c r="A74" t="s">
        <v>68</v>
      </c>
      <c r="B74" t="s">
        <v>131</v>
      </c>
      <c r="C74">
        <v>7</v>
      </c>
      <c r="D74" t="s">
        <v>70</v>
      </c>
      <c r="E74" t="s">
        <v>95</v>
      </c>
      <c r="F74" t="s">
        <v>72</v>
      </c>
      <c r="G74">
        <v>4.7708710782443502</v>
      </c>
      <c r="H74">
        <v>0.94957275005792396</v>
      </c>
      <c r="I74">
        <v>0</v>
      </c>
      <c r="J74">
        <v>21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PacientesEntity 1WIPEntity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3.9757448048151298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6.9386840633215803</v>
      </c>
      <c r="U74">
        <f>IF((ContinuousStatsTable[[#This Row],[RepsRequested]]&gt;1),ContinuousStatsTable[[#This Row],[HalfWidth]],ContinuousStatsTable[[#This Row],[BatchMeansHalfWidth]])</f>
        <v>0.22030607219171747</v>
      </c>
    </row>
    <row r="75" spans="1:21" x14ac:dyDescent="0.25">
      <c r="A75" t="s">
        <v>68</v>
      </c>
      <c r="B75" t="s">
        <v>131</v>
      </c>
      <c r="C75">
        <v>7</v>
      </c>
      <c r="D75" t="s">
        <v>83</v>
      </c>
      <c r="E75" t="s">
        <v>96</v>
      </c>
      <c r="F75" t="s">
        <v>85</v>
      </c>
      <c r="G75">
        <v>2.4062942234090401</v>
      </c>
      <c r="H75">
        <v>0.84759230887519599</v>
      </c>
      <c r="I75">
        <v>0</v>
      </c>
      <c r="J75">
        <v>18</v>
      </c>
      <c r="K75">
        <v>0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1.7200278735122601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4.5543512780988502</v>
      </c>
      <c r="U75">
        <f>IF((ContinuousStatsTable[[#This Row],[RepsRequested]]&gt;1),ContinuousStatsTable[[#This Row],[HalfWidth]],ContinuousStatsTable[[#This Row],[BatchMeansHalfWidth]])</f>
        <v>0.21041231434540877</v>
      </c>
    </row>
    <row r="76" spans="1:21" x14ac:dyDescent="0.25">
      <c r="A76" t="s">
        <v>68</v>
      </c>
      <c r="B76" t="s">
        <v>131</v>
      </c>
      <c r="C76">
        <v>7</v>
      </c>
      <c r="D76" t="s">
        <v>87</v>
      </c>
      <c r="E76" t="s">
        <v>96</v>
      </c>
      <c r="F76" t="s">
        <v>85</v>
      </c>
      <c r="G76">
        <v>0.24674246571420499</v>
      </c>
      <c r="H76">
        <v>4.5733596880675E-2</v>
      </c>
      <c r="I76">
        <v>0</v>
      </c>
      <c r="J76">
        <v>8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0.172815232766103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0.24783514900621301</v>
      </c>
      <c r="U76">
        <f>IF((ContinuousStatsTable[[#This Row],[RepsRequested]]&gt;1),ContinuousStatsTable[[#This Row],[HalfWidth]],ContinuousStatsTable[[#This Row],[BatchMeansHalfWidth]])</f>
        <v>4.7768909384897544E-3</v>
      </c>
    </row>
    <row r="77" spans="1:21" x14ac:dyDescent="0.25">
      <c r="A77" t="s">
        <v>68</v>
      </c>
      <c r="B77" t="s">
        <v>131</v>
      </c>
      <c r="C77">
        <v>7</v>
      </c>
      <c r="D77" t="s">
        <v>97</v>
      </c>
      <c r="E77" t="s">
        <v>98</v>
      </c>
      <c r="F77" t="s">
        <v>99</v>
      </c>
      <c r="G77">
        <v>0.54914734727032</v>
      </c>
      <c r="H77">
        <v>2.49488764473626E-2</v>
      </c>
      <c r="I77">
        <v>0</v>
      </c>
      <c r="J77">
        <v>0.66666666666666696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0.52470641844357602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0.57005812966092095</v>
      </c>
      <c r="U77">
        <f>IF((ContinuousStatsTable[[#This Row],[RepsRequested]]&gt;1),ContinuousStatsTable[[#This Row],[HalfWidth]],ContinuousStatsTable[[#This Row],[BatchMeansHalfWidth]])</f>
        <v>2.9048243757695521E-3</v>
      </c>
    </row>
    <row r="78" spans="1:21" x14ac:dyDescent="0.25">
      <c r="A78" t="s">
        <v>68</v>
      </c>
      <c r="B78" t="s">
        <v>131</v>
      </c>
      <c r="C78">
        <v>7</v>
      </c>
      <c r="D78" t="s">
        <v>97</v>
      </c>
      <c r="E78" t="s">
        <v>100</v>
      </c>
      <c r="F78" t="s">
        <v>99</v>
      </c>
      <c r="G78">
        <v>1.6474420418109601</v>
      </c>
      <c r="H78">
        <v>7.4846629342087898E-2</v>
      </c>
      <c r="I78">
        <v>0</v>
      </c>
      <c r="J78">
        <v>2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1.5741192553307399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1.7101743889827701</v>
      </c>
      <c r="U78">
        <f>IF((ContinuousStatsTable[[#This Row],[RepsRequested]]&gt;1),ContinuousStatsTable[[#This Row],[HalfWidth]],ContinuousStatsTable[[#This Row],[BatchMeansHalfWidth]])</f>
        <v>8.7144731273084922E-3</v>
      </c>
    </row>
    <row r="79" spans="1:21" x14ac:dyDescent="0.25">
      <c r="A79" t="s">
        <v>68</v>
      </c>
      <c r="B79" t="s">
        <v>131</v>
      </c>
      <c r="C79">
        <v>7</v>
      </c>
      <c r="D79" t="s">
        <v>97</v>
      </c>
      <c r="E79" t="s">
        <v>101</v>
      </c>
      <c r="F79" t="s">
        <v>99</v>
      </c>
      <c r="G79">
        <v>3</v>
      </c>
      <c r="H79">
        <v>2E+20</v>
      </c>
      <c r="I79">
        <v>3</v>
      </c>
      <c r="J79">
        <v>3</v>
      </c>
      <c r="K79">
        <v>3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3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3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3</v>
      </c>
      <c r="U79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131</v>
      </c>
      <c r="C80">
        <v>7</v>
      </c>
      <c r="D80" t="s">
        <v>102</v>
      </c>
      <c r="E80" t="s">
        <v>98</v>
      </c>
      <c r="F80" t="s">
        <v>99</v>
      </c>
      <c r="G80">
        <v>0.82372102090548105</v>
      </c>
      <c r="H80">
        <v>3.7423314671043997E-2</v>
      </c>
      <c r="I80">
        <v>0</v>
      </c>
      <c r="J80">
        <v>1</v>
      </c>
      <c r="K80">
        <v>0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0.78705962766536897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0.85508719449138504</v>
      </c>
      <c r="U80">
        <f>IF((ContinuousStatsTable[[#This Row],[RepsRequested]]&gt;1),ContinuousStatsTable[[#This Row],[HalfWidth]],ContinuousStatsTable[[#This Row],[BatchMeansHalfWidth]])</f>
        <v>4.3572365636542886E-3</v>
      </c>
    </row>
    <row r="81" spans="1:21" x14ac:dyDescent="0.25">
      <c r="A81" t="s">
        <v>68</v>
      </c>
      <c r="B81" t="s">
        <v>131</v>
      </c>
      <c r="C81">
        <v>7</v>
      </c>
      <c r="D81" t="s">
        <v>102</v>
      </c>
      <c r="E81" t="s">
        <v>100</v>
      </c>
      <c r="F81" t="s">
        <v>99</v>
      </c>
      <c r="G81">
        <v>1.6474420418109601</v>
      </c>
      <c r="H81">
        <v>7.4846629342087898E-2</v>
      </c>
      <c r="I81">
        <v>0</v>
      </c>
      <c r="J81">
        <v>2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1.5741192553307399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1.7101743889827701</v>
      </c>
      <c r="U81">
        <f>IF((ContinuousStatsTable[[#This Row],[RepsRequested]]&gt;1),ContinuousStatsTable[[#This Row],[HalfWidth]],ContinuousStatsTable[[#This Row],[BatchMeansHalfWidth]])</f>
        <v>8.7144731273084922E-3</v>
      </c>
    </row>
    <row r="82" spans="1:21" x14ac:dyDescent="0.25">
      <c r="A82" t="s">
        <v>68</v>
      </c>
      <c r="B82" t="s">
        <v>131</v>
      </c>
      <c r="C82">
        <v>7</v>
      </c>
      <c r="D82" t="s">
        <v>102</v>
      </c>
      <c r="E82" t="s">
        <v>101</v>
      </c>
      <c r="F82" t="s">
        <v>99</v>
      </c>
      <c r="G82">
        <v>2</v>
      </c>
      <c r="H82">
        <v>2E+20</v>
      </c>
      <c r="I82">
        <v>2</v>
      </c>
      <c r="J82">
        <v>2</v>
      </c>
      <c r="K82">
        <v>2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2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2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2</v>
      </c>
      <c r="U82">
        <f>IF((ContinuousStatsTable[[#This Row],[RepsRequested]]&gt;1),ContinuousStatsTable[[#This Row],[HalfWidth]],ContinuousStatsTable[[#This Row],[BatchMeansHalfWidth]])</f>
        <v>0</v>
      </c>
    </row>
    <row r="83" spans="1:21" x14ac:dyDescent="0.25">
      <c r="A83" t="s">
        <v>68</v>
      </c>
      <c r="B83" t="s">
        <v>131</v>
      </c>
      <c r="C83">
        <v>7</v>
      </c>
      <c r="D83" t="s">
        <v>103</v>
      </c>
      <c r="E83" t="s">
        <v>98</v>
      </c>
      <c r="F83" t="s">
        <v>99</v>
      </c>
      <c r="G83">
        <v>0.47039234731014501</v>
      </c>
      <c r="H83">
        <v>2.4933266046930299E-2</v>
      </c>
      <c r="I83">
        <v>0</v>
      </c>
      <c r="J83">
        <v>1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0.452397944183905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0.49691123629694001</v>
      </c>
      <c r="U83">
        <f>IF((ContinuousStatsTable[[#This Row],[RepsRequested]]&gt;1),ContinuousStatsTable[[#This Row],[HalfWidth]],ContinuousStatsTable[[#This Row],[BatchMeansHalfWidth]])</f>
        <v>2.7457743728226142E-3</v>
      </c>
    </row>
    <row r="84" spans="1:21" x14ac:dyDescent="0.25">
      <c r="A84" t="s">
        <v>68</v>
      </c>
      <c r="B84" t="s">
        <v>131</v>
      </c>
      <c r="C84">
        <v>7</v>
      </c>
      <c r="D84" t="s">
        <v>103</v>
      </c>
      <c r="E84" t="s">
        <v>100</v>
      </c>
      <c r="F84" t="s">
        <v>99</v>
      </c>
      <c r="G84">
        <v>0.47039234731014501</v>
      </c>
      <c r="H84">
        <v>2.4933266046930299E-2</v>
      </c>
      <c r="I84">
        <v>0</v>
      </c>
      <c r="J84">
        <v>1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0.452397944183905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0.49691123629694001</v>
      </c>
      <c r="U84">
        <f>IF((ContinuousStatsTable[[#This Row],[RepsRequested]]&gt;1),ContinuousStatsTable[[#This Row],[HalfWidth]],ContinuousStatsTable[[#This Row],[BatchMeansHalfWidth]])</f>
        <v>2.7457743728226142E-3</v>
      </c>
    </row>
    <row r="85" spans="1:21" x14ac:dyDescent="0.25">
      <c r="A85" t="s">
        <v>68</v>
      </c>
      <c r="B85" t="s">
        <v>131</v>
      </c>
      <c r="C85">
        <v>7</v>
      </c>
      <c r="D85" t="s">
        <v>103</v>
      </c>
      <c r="E85" t="s">
        <v>101</v>
      </c>
      <c r="F85" t="s">
        <v>99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131</v>
      </c>
      <c r="C86">
        <v>8</v>
      </c>
      <c r="D86" t="s">
        <v>70</v>
      </c>
      <c r="E86" t="s">
        <v>95</v>
      </c>
      <c r="F86" t="s">
        <v>72</v>
      </c>
      <c r="G86">
        <v>4.76676046340787</v>
      </c>
      <c r="H86">
        <v>0.87975790796251097</v>
      </c>
      <c r="I86">
        <v>0</v>
      </c>
      <c r="J86">
        <v>24</v>
      </c>
      <c r="K86">
        <v>3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PacientesEntity 1WIPEntity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3.9757448048151298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6.9386840633215803</v>
      </c>
      <c r="U86">
        <f>IF((ContinuousStatsTable[[#This Row],[RepsRequested]]&gt;1),ContinuousStatsTable[[#This Row],[HalfWidth]],ContinuousStatsTable[[#This Row],[BatchMeansHalfWidth]])</f>
        <v>0.22030607219171747</v>
      </c>
    </row>
    <row r="87" spans="1:21" x14ac:dyDescent="0.25">
      <c r="A87" t="s">
        <v>68</v>
      </c>
      <c r="B87" t="s">
        <v>131</v>
      </c>
      <c r="C87">
        <v>8</v>
      </c>
      <c r="D87" t="s">
        <v>83</v>
      </c>
      <c r="E87" t="s">
        <v>96</v>
      </c>
      <c r="F87" t="s">
        <v>85</v>
      </c>
      <c r="G87">
        <v>2.4142800251833298</v>
      </c>
      <c r="H87">
        <v>0.76454967267375695</v>
      </c>
      <c r="I87">
        <v>0</v>
      </c>
      <c r="J87">
        <v>19</v>
      </c>
      <c r="K87">
        <v>0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1.7200278735122601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4.5543512780988502</v>
      </c>
      <c r="U87">
        <f>IF((ContinuousStatsTable[[#This Row],[RepsRequested]]&gt;1),ContinuousStatsTable[[#This Row],[HalfWidth]],ContinuousStatsTable[[#This Row],[BatchMeansHalfWidth]])</f>
        <v>0.21041231434540877</v>
      </c>
    </row>
    <row r="88" spans="1:21" x14ac:dyDescent="0.25">
      <c r="A88" t="s">
        <v>68</v>
      </c>
      <c r="B88" t="s">
        <v>131</v>
      </c>
      <c r="C88">
        <v>8</v>
      </c>
      <c r="D88" t="s">
        <v>87</v>
      </c>
      <c r="E88" t="s">
        <v>96</v>
      </c>
      <c r="F88" t="s">
        <v>85</v>
      </c>
      <c r="G88">
        <v>0.23270865862731999</v>
      </c>
      <c r="H88">
        <v>6.1929346608664698E-2</v>
      </c>
      <c r="I88">
        <v>0</v>
      </c>
      <c r="J88">
        <v>7</v>
      </c>
      <c r="K88">
        <v>0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0.172815232766103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0.24783514900621301</v>
      </c>
      <c r="U88">
        <f>IF((ContinuousStatsTable[[#This Row],[RepsRequested]]&gt;1),ContinuousStatsTable[[#This Row],[HalfWidth]],ContinuousStatsTable[[#This Row],[BatchMeansHalfWidth]])</f>
        <v>4.7768909384897544E-3</v>
      </c>
    </row>
    <row r="89" spans="1:21" x14ac:dyDescent="0.25">
      <c r="A89" t="s">
        <v>68</v>
      </c>
      <c r="B89" t="s">
        <v>131</v>
      </c>
      <c r="C89">
        <v>8</v>
      </c>
      <c r="D89" t="s">
        <v>97</v>
      </c>
      <c r="E89" t="s">
        <v>98</v>
      </c>
      <c r="F89" t="s">
        <v>99</v>
      </c>
      <c r="G89">
        <v>0.54784356510118204</v>
      </c>
      <c r="H89">
        <v>2.41802799781261E-2</v>
      </c>
      <c r="I89">
        <v>0</v>
      </c>
      <c r="J89">
        <v>0.66666666666666696</v>
      </c>
      <c r="K89">
        <v>0.66666666666666696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0.52470641844357602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0.57005812966092095</v>
      </c>
      <c r="U89">
        <f>IF((ContinuousStatsTable[[#This Row],[RepsRequested]]&gt;1),ContinuousStatsTable[[#This Row],[HalfWidth]],ContinuousStatsTable[[#This Row],[BatchMeansHalfWidth]])</f>
        <v>2.9048243757695521E-3</v>
      </c>
    </row>
    <row r="90" spans="1:21" x14ac:dyDescent="0.25">
      <c r="A90" t="s">
        <v>68</v>
      </c>
      <c r="B90" t="s">
        <v>131</v>
      </c>
      <c r="C90">
        <v>8</v>
      </c>
      <c r="D90" t="s">
        <v>97</v>
      </c>
      <c r="E90" t="s">
        <v>100</v>
      </c>
      <c r="F90" t="s">
        <v>99</v>
      </c>
      <c r="G90">
        <v>1.64353069530355</v>
      </c>
      <c r="H90">
        <v>7.2540839934378501E-2</v>
      </c>
      <c r="I90">
        <v>0</v>
      </c>
      <c r="J90">
        <v>2</v>
      </c>
      <c r="K90">
        <v>2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1.5741192553307399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1.7101743889827701</v>
      </c>
      <c r="U90">
        <f>IF((ContinuousStatsTable[[#This Row],[RepsRequested]]&gt;1),ContinuousStatsTable[[#This Row],[HalfWidth]],ContinuousStatsTable[[#This Row],[BatchMeansHalfWidth]])</f>
        <v>8.7144731273084922E-3</v>
      </c>
    </row>
    <row r="91" spans="1:21" x14ac:dyDescent="0.25">
      <c r="A91" t="s">
        <v>68</v>
      </c>
      <c r="B91" t="s">
        <v>131</v>
      </c>
      <c r="C91">
        <v>8</v>
      </c>
      <c r="D91" t="s">
        <v>97</v>
      </c>
      <c r="E91" t="s">
        <v>101</v>
      </c>
      <c r="F91" t="s">
        <v>99</v>
      </c>
      <c r="G91">
        <v>3</v>
      </c>
      <c r="H91">
        <v>2E+20</v>
      </c>
      <c r="I91">
        <v>3</v>
      </c>
      <c r="J91">
        <v>3</v>
      </c>
      <c r="K91">
        <v>3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3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3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3</v>
      </c>
      <c r="U91">
        <f>IF((ContinuousStatsTable[[#This Row],[RepsRequested]]&gt;1),ContinuousStatsTable[[#This Row],[HalfWidth]],ContinuousStatsTable[[#This Row],[BatchMeansHalfWidth]])</f>
        <v>0</v>
      </c>
    </row>
    <row r="92" spans="1:21" x14ac:dyDescent="0.25">
      <c r="A92" t="s">
        <v>68</v>
      </c>
      <c r="B92" t="s">
        <v>131</v>
      </c>
      <c r="C92">
        <v>8</v>
      </c>
      <c r="D92" t="s">
        <v>102</v>
      </c>
      <c r="E92" t="s">
        <v>98</v>
      </c>
      <c r="F92" t="s">
        <v>99</v>
      </c>
      <c r="G92">
        <v>0.821765347651774</v>
      </c>
      <c r="H92">
        <v>3.6270419967189202E-2</v>
      </c>
      <c r="I92">
        <v>0</v>
      </c>
      <c r="J92">
        <v>1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0.78705962766536897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0.85508719449138504</v>
      </c>
      <c r="U92">
        <f>IF((ContinuousStatsTable[[#This Row],[RepsRequested]]&gt;1),ContinuousStatsTable[[#This Row],[HalfWidth]],ContinuousStatsTable[[#This Row],[BatchMeansHalfWidth]])</f>
        <v>4.3572365636542886E-3</v>
      </c>
    </row>
    <row r="93" spans="1:21" x14ac:dyDescent="0.25">
      <c r="A93" t="s">
        <v>68</v>
      </c>
      <c r="B93" t="s">
        <v>131</v>
      </c>
      <c r="C93">
        <v>8</v>
      </c>
      <c r="D93" t="s">
        <v>102</v>
      </c>
      <c r="E93" t="s">
        <v>100</v>
      </c>
      <c r="F93" t="s">
        <v>99</v>
      </c>
      <c r="G93">
        <v>1.64353069530355</v>
      </c>
      <c r="H93">
        <v>7.2540839934378501E-2</v>
      </c>
      <c r="I93">
        <v>0</v>
      </c>
      <c r="J93">
        <v>2</v>
      </c>
      <c r="K93">
        <v>2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1.5741192553307399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1.7101743889827701</v>
      </c>
      <c r="U93">
        <f>IF((ContinuousStatsTable[[#This Row],[RepsRequested]]&gt;1),ContinuousStatsTable[[#This Row],[HalfWidth]],ContinuousStatsTable[[#This Row],[BatchMeansHalfWidth]])</f>
        <v>8.7144731273084922E-3</v>
      </c>
    </row>
    <row r="94" spans="1:21" x14ac:dyDescent="0.25">
      <c r="A94" t="s">
        <v>68</v>
      </c>
      <c r="B94" t="s">
        <v>131</v>
      </c>
      <c r="C94">
        <v>8</v>
      </c>
      <c r="D94" t="s">
        <v>102</v>
      </c>
      <c r="E94" t="s">
        <v>101</v>
      </c>
      <c r="F94" t="s">
        <v>99</v>
      </c>
      <c r="G94">
        <v>2</v>
      </c>
      <c r="H94">
        <v>2E+20</v>
      </c>
      <c r="I94">
        <v>2</v>
      </c>
      <c r="J94">
        <v>2</v>
      </c>
      <c r="K94">
        <v>2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2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2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2</v>
      </c>
      <c r="U94">
        <f>IF((ContinuousStatsTable[[#This Row],[RepsRequested]]&gt;1),ContinuousStatsTable[[#This Row],[HalfWidth]],ContinuousStatsTable[[#This Row],[BatchMeansHalfWidth]])</f>
        <v>0</v>
      </c>
    </row>
    <row r="95" spans="1:21" x14ac:dyDescent="0.25">
      <c r="A95" t="s">
        <v>68</v>
      </c>
      <c r="B95" t="s">
        <v>131</v>
      </c>
      <c r="C95">
        <v>8</v>
      </c>
      <c r="D95" t="s">
        <v>103</v>
      </c>
      <c r="E95" t="s">
        <v>98</v>
      </c>
      <c r="F95" t="s">
        <v>99</v>
      </c>
      <c r="G95">
        <v>0.476241084293693</v>
      </c>
      <c r="H95">
        <v>2.2033147090968E-2</v>
      </c>
      <c r="I95">
        <v>0</v>
      </c>
      <c r="J95">
        <v>1</v>
      </c>
      <c r="K95">
        <v>1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0.452397944183905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0.49691123629694001</v>
      </c>
      <c r="U95">
        <f>IF((ContinuousStatsTable[[#This Row],[RepsRequested]]&gt;1),ContinuousStatsTable[[#This Row],[HalfWidth]],ContinuousStatsTable[[#This Row],[BatchMeansHalfWidth]])</f>
        <v>2.7457743728226142E-3</v>
      </c>
    </row>
    <row r="96" spans="1:21" x14ac:dyDescent="0.25">
      <c r="A96" t="s">
        <v>68</v>
      </c>
      <c r="B96" t="s">
        <v>131</v>
      </c>
      <c r="C96">
        <v>8</v>
      </c>
      <c r="D96" t="s">
        <v>103</v>
      </c>
      <c r="E96" t="s">
        <v>100</v>
      </c>
      <c r="F96" t="s">
        <v>99</v>
      </c>
      <c r="G96">
        <v>0.476241084293693</v>
      </c>
      <c r="H96">
        <v>2.2033147090968E-2</v>
      </c>
      <c r="I96">
        <v>0</v>
      </c>
      <c r="J96">
        <v>1</v>
      </c>
      <c r="K96">
        <v>1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0.452397944183905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0.49691123629694001</v>
      </c>
      <c r="U96">
        <f>IF((ContinuousStatsTable[[#This Row],[RepsRequested]]&gt;1),ContinuousStatsTable[[#This Row],[HalfWidth]],ContinuousStatsTable[[#This Row],[BatchMeansHalfWidth]])</f>
        <v>2.7457743728226142E-3</v>
      </c>
    </row>
    <row r="97" spans="1:21" x14ac:dyDescent="0.25">
      <c r="A97" t="s">
        <v>68</v>
      </c>
      <c r="B97" t="s">
        <v>131</v>
      </c>
      <c r="C97">
        <v>8</v>
      </c>
      <c r="D97" t="s">
        <v>103</v>
      </c>
      <c r="E97" t="s">
        <v>101</v>
      </c>
      <c r="F97" t="s">
        <v>99</v>
      </c>
      <c r="G97">
        <v>1</v>
      </c>
      <c r="H97">
        <v>2E+20</v>
      </c>
      <c r="I97">
        <v>1</v>
      </c>
      <c r="J97">
        <v>1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1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</v>
      </c>
      <c r="U97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68</v>
      </c>
      <c r="B98" t="s">
        <v>131</v>
      </c>
      <c r="C98">
        <v>9</v>
      </c>
      <c r="D98" t="s">
        <v>70</v>
      </c>
      <c r="E98" t="s">
        <v>95</v>
      </c>
      <c r="F98" t="s">
        <v>72</v>
      </c>
      <c r="G98">
        <v>6.4384277664377398</v>
      </c>
      <c r="H98">
        <v>1.79979578914806</v>
      </c>
      <c r="I98">
        <v>0</v>
      </c>
      <c r="J98">
        <v>33</v>
      </c>
      <c r="K98">
        <v>2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PacientesEntity 1WIPEntity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3.9757448048151298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6.9386840633215803</v>
      </c>
      <c r="U98">
        <f>IF((ContinuousStatsTable[[#This Row],[RepsRequested]]&gt;1),ContinuousStatsTable[[#This Row],[HalfWidth]],ContinuousStatsTable[[#This Row],[BatchMeansHalfWidth]])</f>
        <v>0.22030607219171747</v>
      </c>
    </row>
    <row r="99" spans="1:21" x14ac:dyDescent="0.25">
      <c r="A99" t="s">
        <v>68</v>
      </c>
      <c r="B99" t="s">
        <v>131</v>
      </c>
      <c r="C99">
        <v>9</v>
      </c>
      <c r="D99" t="s">
        <v>83</v>
      </c>
      <c r="E99" t="s">
        <v>96</v>
      </c>
      <c r="F99" t="s">
        <v>85</v>
      </c>
      <c r="G99">
        <v>4.0591162449544997</v>
      </c>
      <c r="H99">
        <v>1.7307152455607699</v>
      </c>
      <c r="I99">
        <v>0</v>
      </c>
      <c r="J99">
        <v>31</v>
      </c>
      <c r="K99">
        <v>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1.7200278735122601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4.5543512780988502</v>
      </c>
      <c r="U99">
        <f>IF((ContinuousStatsTable[[#This Row],[RepsRequested]]&gt;1),ContinuousStatsTable[[#This Row],[HalfWidth]],ContinuousStatsTable[[#This Row],[BatchMeansHalfWidth]])</f>
        <v>0.21041231434540877</v>
      </c>
    </row>
    <row r="100" spans="1:21" x14ac:dyDescent="0.25">
      <c r="A100" t="s">
        <v>68</v>
      </c>
      <c r="B100" t="s">
        <v>131</v>
      </c>
      <c r="C100">
        <v>9</v>
      </c>
      <c r="D100" t="s">
        <v>87</v>
      </c>
      <c r="E100" t="s">
        <v>96</v>
      </c>
      <c r="F100" t="s">
        <v>85</v>
      </c>
      <c r="G100">
        <v>0.219184933726462</v>
      </c>
      <c r="H100">
        <v>3.7534585551623902E-2</v>
      </c>
      <c r="I100">
        <v>0</v>
      </c>
      <c r="J100">
        <v>5</v>
      </c>
      <c r="K100">
        <v>0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0.172815232766103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0.24783514900621301</v>
      </c>
      <c r="U100">
        <f>IF((ContinuousStatsTable[[#This Row],[RepsRequested]]&gt;1),ContinuousStatsTable[[#This Row],[HalfWidth]],ContinuousStatsTable[[#This Row],[BatchMeansHalfWidth]])</f>
        <v>4.7768909384897544E-3</v>
      </c>
    </row>
    <row r="101" spans="1:21" x14ac:dyDescent="0.25">
      <c r="A101" t="s">
        <v>68</v>
      </c>
      <c r="B101" t="s">
        <v>131</v>
      </c>
      <c r="C101">
        <v>9</v>
      </c>
      <c r="D101" t="s">
        <v>97</v>
      </c>
      <c r="E101" t="s">
        <v>98</v>
      </c>
      <c r="F101" t="s">
        <v>99</v>
      </c>
      <c r="G101">
        <v>0.56439564516810503</v>
      </c>
      <c r="H101">
        <v>2.7168891547419999E-2</v>
      </c>
      <c r="I101">
        <v>0</v>
      </c>
      <c r="J101">
        <v>0.66666666666666696</v>
      </c>
      <c r="K101">
        <v>0.33333333333333298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0.52470641844357602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0.57005812966092095</v>
      </c>
      <c r="U101">
        <f>IF((ContinuousStatsTable[[#This Row],[RepsRequested]]&gt;1),ContinuousStatsTable[[#This Row],[HalfWidth]],ContinuousStatsTable[[#This Row],[BatchMeansHalfWidth]])</f>
        <v>2.9048243757695521E-3</v>
      </c>
    </row>
    <row r="102" spans="1:21" x14ac:dyDescent="0.25">
      <c r="A102" t="s">
        <v>68</v>
      </c>
      <c r="B102" t="s">
        <v>131</v>
      </c>
      <c r="C102">
        <v>9</v>
      </c>
      <c r="D102" t="s">
        <v>97</v>
      </c>
      <c r="E102" t="s">
        <v>100</v>
      </c>
      <c r="F102" t="s">
        <v>99</v>
      </c>
      <c r="G102">
        <v>1.6931869355043101</v>
      </c>
      <c r="H102">
        <v>8.1506674642259996E-2</v>
      </c>
      <c r="I102">
        <v>0</v>
      </c>
      <c r="J102">
        <v>2</v>
      </c>
      <c r="K102">
        <v>1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1.5741192553307399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1.7101743889827701</v>
      </c>
      <c r="U102">
        <f>IF((ContinuousStatsTable[[#This Row],[RepsRequested]]&gt;1),ContinuousStatsTable[[#This Row],[HalfWidth]],ContinuousStatsTable[[#This Row],[BatchMeansHalfWidth]])</f>
        <v>8.7144731273084922E-3</v>
      </c>
    </row>
    <row r="103" spans="1:21" x14ac:dyDescent="0.25">
      <c r="A103" t="s">
        <v>68</v>
      </c>
      <c r="B103" t="s">
        <v>131</v>
      </c>
      <c r="C103">
        <v>9</v>
      </c>
      <c r="D103" t="s">
        <v>97</v>
      </c>
      <c r="E103" t="s">
        <v>101</v>
      </c>
      <c r="F103" t="s">
        <v>99</v>
      </c>
      <c r="G103">
        <v>3</v>
      </c>
      <c r="H103">
        <v>2E+20</v>
      </c>
      <c r="I103">
        <v>3</v>
      </c>
      <c r="J103">
        <v>3</v>
      </c>
      <c r="K103">
        <v>3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3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3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3</v>
      </c>
      <c r="U103">
        <f>IF((ContinuousStatsTable[[#This Row],[RepsRequested]]&gt;1),ContinuousStatsTable[[#This Row],[HalfWidth]],ContinuousStatsTable[[#This Row],[BatchMeansHalfWidth]])</f>
        <v>0</v>
      </c>
    </row>
    <row r="104" spans="1:21" x14ac:dyDescent="0.25">
      <c r="A104" t="s">
        <v>68</v>
      </c>
      <c r="B104" t="s">
        <v>131</v>
      </c>
      <c r="C104">
        <v>9</v>
      </c>
      <c r="D104" t="s">
        <v>102</v>
      </c>
      <c r="E104" t="s">
        <v>98</v>
      </c>
      <c r="F104" t="s">
        <v>99</v>
      </c>
      <c r="G104">
        <v>0.84659346775215705</v>
      </c>
      <c r="H104">
        <v>4.0753337321129998E-2</v>
      </c>
      <c r="I104">
        <v>0</v>
      </c>
      <c r="J104">
        <v>1</v>
      </c>
      <c r="K104">
        <v>0.5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0.78705962766536897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0.85508719449138504</v>
      </c>
      <c r="U104">
        <f>IF((ContinuousStatsTable[[#This Row],[RepsRequested]]&gt;1),ContinuousStatsTable[[#This Row],[HalfWidth]],ContinuousStatsTable[[#This Row],[BatchMeansHalfWidth]])</f>
        <v>4.3572365636542886E-3</v>
      </c>
    </row>
    <row r="105" spans="1:21" x14ac:dyDescent="0.25">
      <c r="A105" t="s">
        <v>68</v>
      </c>
      <c r="B105" t="s">
        <v>131</v>
      </c>
      <c r="C105">
        <v>9</v>
      </c>
      <c r="D105" t="s">
        <v>102</v>
      </c>
      <c r="E105" t="s">
        <v>100</v>
      </c>
      <c r="F105" t="s">
        <v>99</v>
      </c>
      <c r="G105">
        <v>1.6931869355043101</v>
      </c>
      <c r="H105">
        <v>8.1506674642259996E-2</v>
      </c>
      <c r="I105">
        <v>0</v>
      </c>
      <c r="J105">
        <v>2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1.5741192553307399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1.7101743889827701</v>
      </c>
      <c r="U105">
        <f>IF((ContinuousStatsTable[[#This Row],[RepsRequested]]&gt;1),ContinuousStatsTable[[#This Row],[HalfWidth]],ContinuousStatsTable[[#This Row],[BatchMeansHalfWidth]])</f>
        <v>8.7144731273084922E-3</v>
      </c>
    </row>
    <row r="106" spans="1:21" x14ac:dyDescent="0.25">
      <c r="A106" t="s">
        <v>68</v>
      </c>
      <c r="B106" t="s">
        <v>131</v>
      </c>
      <c r="C106">
        <v>9</v>
      </c>
      <c r="D106" t="s">
        <v>102</v>
      </c>
      <c r="E106" t="s">
        <v>101</v>
      </c>
      <c r="F106" t="s">
        <v>99</v>
      </c>
      <c r="G106">
        <v>2</v>
      </c>
      <c r="H106">
        <v>2E+20</v>
      </c>
      <c r="I106">
        <v>2</v>
      </c>
      <c r="J106">
        <v>2</v>
      </c>
      <c r="K106">
        <v>2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2</v>
      </c>
      <c r="U106">
        <f>IF((ContinuousStatsTable[[#This Row],[RepsRequested]]&gt;1),ContinuousStatsTable[[#This Row],[HalfWidth]],ContinuousStatsTable[[#This Row],[BatchMeansHalfWidth]])</f>
        <v>0</v>
      </c>
    </row>
    <row r="107" spans="1:21" x14ac:dyDescent="0.25">
      <c r="A107" t="s">
        <v>68</v>
      </c>
      <c r="B107" t="s">
        <v>131</v>
      </c>
      <c r="C107">
        <v>9</v>
      </c>
      <c r="D107" t="s">
        <v>103</v>
      </c>
      <c r="E107" t="s">
        <v>98</v>
      </c>
      <c r="F107" t="s">
        <v>99</v>
      </c>
      <c r="G107">
        <v>0.46693965225248202</v>
      </c>
      <c r="H107">
        <v>3E+20</v>
      </c>
      <c r="I107">
        <v>0</v>
      </c>
      <c r="J107">
        <v>1</v>
      </c>
      <c r="K107">
        <v>1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0.452397944183905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0.49691123629694001</v>
      </c>
      <c r="U107">
        <f>IF((ContinuousStatsTable[[#This Row],[RepsRequested]]&gt;1),ContinuousStatsTable[[#This Row],[HalfWidth]],ContinuousStatsTable[[#This Row],[BatchMeansHalfWidth]])</f>
        <v>2.7457743728226142E-3</v>
      </c>
    </row>
    <row r="108" spans="1:21" x14ac:dyDescent="0.25">
      <c r="A108" t="s">
        <v>68</v>
      </c>
      <c r="B108" t="s">
        <v>131</v>
      </c>
      <c r="C108">
        <v>9</v>
      </c>
      <c r="D108" t="s">
        <v>103</v>
      </c>
      <c r="E108" t="s">
        <v>100</v>
      </c>
      <c r="F108" t="s">
        <v>99</v>
      </c>
      <c r="G108">
        <v>0.46693965225248202</v>
      </c>
      <c r="H108">
        <v>3E+20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0.452397944183905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0.49691123629694001</v>
      </c>
      <c r="U108">
        <f>IF((ContinuousStatsTable[[#This Row],[RepsRequested]]&gt;1),ContinuousStatsTable[[#This Row],[HalfWidth]],ContinuousStatsTable[[#This Row],[BatchMeansHalfWidth]])</f>
        <v>2.7457743728226142E-3</v>
      </c>
    </row>
    <row r="109" spans="1:21" x14ac:dyDescent="0.25">
      <c r="A109" t="s">
        <v>68</v>
      </c>
      <c r="B109" t="s">
        <v>131</v>
      </c>
      <c r="C109">
        <v>9</v>
      </c>
      <c r="D109" t="s">
        <v>103</v>
      </c>
      <c r="E109" t="s">
        <v>101</v>
      </c>
      <c r="F109" t="s">
        <v>99</v>
      </c>
      <c r="G109">
        <v>1</v>
      </c>
      <c r="H109">
        <v>2E+20</v>
      </c>
      <c r="I109">
        <v>1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1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25">
      <c r="A110" t="s">
        <v>68</v>
      </c>
      <c r="B110" t="s">
        <v>131</v>
      </c>
      <c r="C110">
        <v>10</v>
      </c>
      <c r="D110" t="s">
        <v>70</v>
      </c>
      <c r="E110" t="s">
        <v>95</v>
      </c>
      <c r="F110" t="s">
        <v>72</v>
      </c>
      <c r="G110">
        <v>5.8624488409022097</v>
      </c>
      <c r="H110">
        <v>1.2927697102446001</v>
      </c>
      <c r="I110">
        <v>0</v>
      </c>
      <c r="J110">
        <v>25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PacientesEntity 1WIPEntity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3.9757448048151298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6.9386840633215803</v>
      </c>
      <c r="U110">
        <f>IF((ContinuousStatsTable[[#This Row],[RepsRequested]]&gt;1),ContinuousStatsTable[[#This Row],[HalfWidth]],ContinuousStatsTable[[#This Row],[BatchMeansHalfWidth]])</f>
        <v>0.22030607219171747</v>
      </c>
    </row>
    <row r="111" spans="1:21" x14ac:dyDescent="0.25">
      <c r="A111" t="s">
        <v>68</v>
      </c>
      <c r="B111" t="s">
        <v>131</v>
      </c>
      <c r="C111">
        <v>10</v>
      </c>
      <c r="D111" t="s">
        <v>83</v>
      </c>
      <c r="E111" t="s">
        <v>96</v>
      </c>
      <c r="F111" t="s">
        <v>85</v>
      </c>
      <c r="G111">
        <v>3.43793305784894</v>
      </c>
      <c r="H111">
        <v>1.21679454327805</v>
      </c>
      <c r="I111">
        <v>0</v>
      </c>
      <c r="J111">
        <v>22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1.7200278735122601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4.5543512780988502</v>
      </c>
      <c r="U111">
        <f>IF((ContinuousStatsTable[[#This Row],[RepsRequested]]&gt;1),ContinuousStatsTable[[#This Row],[HalfWidth]],ContinuousStatsTable[[#This Row],[BatchMeansHalfWidth]])</f>
        <v>0.21041231434540877</v>
      </c>
    </row>
    <row r="112" spans="1:21" x14ac:dyDescent="0.25">
      <c r="A112" t="s">
        <v>68</v>
      </c>
      <c r="B112" t="s">
        <v>131</v>
      </c>
      <c r="C112">
        <v>10</v>
      </c>
      <c r="D112" t="s">
        <v>87</v>
      </c>
      <c r="E112" t="s">
        <v>96</v>
      </c>
      <c r="F112" t="s">
        <v>85</v>
      </c>
      <c r="G112">
        <v>0.23287765115130701</v>
      </c>
      <c r="H112">
        <v>3.7915202232852198E-2</v>
      </c>
      <c r="I112">
        <v>0</v>
      </c>
      <c r="J112">
        <v>4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0.172815232766103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0.24783514900621301</v>
      </c>
      <c r="U112">
        <f>IF((ContinuousStatsTable[[#This Row],[RepsRequested]]&gt;1),ContinuousStatsTable[[#This Row],[HalfWidth]],ContinuousStatsTable[[#This Row],[BatchMeansHalfWidth]])</f>
        <v>4.7768909384897544E-3</v>
      </c>
    </row>
    <row r="113" spans="1:21" x14ac:dyDescent="0.25">
      <c r="A113" t="s">
        <v>68</v>
      </c>
      <c r="B113" t="s">
        <v>131</v>
      </c>
      <c r="C113">
        <v>10</v>
      </c>
      <c r="D113" t="s">
        <v>97</v>
      </c>
      <c r="E113" t="s">
        <v>98</v>
      </c>
      <c r="F113" t="s">
        <v>99</v>
      </c>
      <c r="G113">
        <v>0.56584322880080595</v>
      </c>
      <c r="H113">
        <v>2.28557639437472E-2</v>
      </c>
      <c r="I113">
        <v>0</v>
      </c>
      <c r="J113">
        <v>0.66666666666666696</v>
      </c>
      <c r="K113">
        <v>0.33333333333333298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0.52470641844357602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0.57005812966092095</v>
      </c>
      <c r="U113">
        <f>IF((ContinuousStatsTable[[#This Row],[RepsRequested]]&gt;1),ContinuousStatsTable[[#This Row],[HalfWidth]],ContinuousStatsTable[[#This Row],[BatchMeansHalfWidth]])</f>
        <v>2.9048243757695521E-3</v>
      </c>
    </row>
    <row r="114" spans="1:21" x14ac:dyDescent="0.25">
      <c r="A114" t="s">
        <v>68</v>
      </c>
      <c r="B114" t="s">
        <v>131</v>
      </c>
      <c r="C114">
        <v>10</v>
      </c>
      <c r="D114" t="s">
        <v>97</v>
      </c>
      <c r="E114" t="s">
        <v>100</v>
      </c>
      <c r="F114" t="s">
        <v>99</v>
      </c>
      <c r="G114">
        <v>1.6975296864024201</v>
      </c>
      <c r="H114">
        <v>6.8567291831241606E-2</v>
      </c>
      <c r="I114">
        <v>0</v>
      </c>
      <c r="J114">
        <v>2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1.5741192553307399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1.7101743889827701</v>
      </c>
      <c r="U114">
        <f>IF((ContinuousStatsTable[[#This Row],[RepsRequested]]&gt;1),ContinuousStatsTable[[#This Row],[HalfWidth]],ContinuousStatsTable[[#This Row],[BatchMeansHalfWidth]])</f>
        <v>8.7144731273084922E-3</v>
      </c>
    </row>
    <row r="115" spans="1:21" x14ac:dyDescent="0.25">
      <c r="A115" t="s">
        <v>68</v>
      </c>
      <c r="B115" t="s">
        <v>131</v>
      </c>
      <c r="C115">
        <v>10</v>
      </c>
      <c r="D115" t="s">
        <v>97</v>
      </c>
      <c r="E115" t="s">
        <v>101</v>
      </c>
      <c r="F115" t="s">
        <v>99</v>
      </c>
      <c r="G115">
        <v>3</v>
      </c>
      <c r="H115">
        <v>2E+20</v>
      </c>
      <c r="I115">
        <v>3</v>
      </c>
      <c r="J115">
        <v>3</v>
      </c>
      <c r="K115">
        <v>3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25">
      <c r="A116" t="s">
        <v>68</v>
      </c>
      <c r="B116" t="s">
        <v>131</v>
      </c>
      <c r="C116">
        <v>10</v>
      </c>
      <c r="D116" t="s">
        <v>102</v>
      </c>
      <c r="E116" t="s">
        <v>98</v>
      </c>
      <c r="F116" t="s">
        <v>99</v>
      </c>
      <c r="G116">
        <v>0.84876484320121104</v>
      </c>
      <c r="H116">
        <v>3.4283645915620803E-2</v>
      </c>
      <c r="I116">
        <v>0</v>
      </c>
      <c r="J116">
        <v>1</v>
      </c>
      <c r="K116">
        <v>0.5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0.78705962766536897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0.85508719449138504</v>
      </c>
      <c r="U116">
        <f>IF((ContinuousStatsTable[[#This Row],[RepsRequested]]&gt;1),ContinuousStatsTable[[#This Row],[HalfWidth]],ContinuousStatsTable[[#This Row],[BatchMeansHalfWidth]])</f>
        <v>4.3572365636542886E-3</v>
      </c>
    </row>
    <row r="117" spans="1:21" x14ac:dyDescent="0.25">
      <c r="A117" t="s">
        <v>68</v>
      </c>
      <c r="B117" t="s">
        <v>131</v>
      </c>
      <c r="C117">
        <v>10</v>
      </c>
      <c r="D117" t="s">
        <v>102</v>
      </c>
      <c r="E117" t="s">
        <v>100</v>
      </c>
      <c r="F117" t="s">
        <v>99</v>
      </c>
      <c r="G117">
        <v>1.6975296864024201</v>
      </c>
      <c r="H117">
        <v>6.8567291831241606E-2</v>
      </c>
      <c r="I117">
        <v>0</v>
      </c>
      <c r="J117">
        <v>2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1.5741192553307399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1.7101743889827701</v>
      </c>
      <c r="U117">
        <f>IF((ContinuousStatsTable[[#This Row],[RepsRequested]]&gt;1),ContinuousStatsTable[[#This Row],[HalfWidth]],ContinuousStatsTable[[#This Row],[BatchMeansHalfWidth]])</f>
        <v>8.7144731273084922E-3</v>
      </c>
    </row>
    <row r="118" spans="1:21" x14ac:dyDescent="0.25">
      <c r="A118" t="s">
        <v>68</v>
      </c>
      <c r="B118" t="s">
        <v>131</v>
      </c>
      <c r="C118">
        <v>10</v>
      </c>
      <c r="D118" t="s">
        <v>102</v>
      </c>
      <c r="E118" t="s">
        <v>101</v>
      </c>
      <c r="F118" t="s">
        <v>99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68</v>
      </c>
      <c r="B119" t="s">
        <v>131</v>
      </c>
      <c r="C119">
        <v>10</v>
      </c>
      <c r="D119" t="s">
        <v>103</v>
      </c>
      <c r="E119" t="s">
        <v>98</v>
      </c>
      <c r="F119" t="s">
        <v>99</v>
      </c>
      <c r="G119">
        <v>0.49410844549952299</v>
      </c>
      <c r="H119">
        <v>1.91314352770025E-2</v>
      </c>
      <c r="I119">
        <v>0</v>
      </c>
      <c r="J119">
        <v>1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0.452397944183905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0.49691123629694001</v>
      </c>
      <c r="U119">
        <f>IF((ContinuousStatsTable[[#This Row],[RepsRequested]]&gt;1),ContinuousStatsTable[[#This Row],[HalfWidth]],ContinuousStatsTable[[#This Row],[BatchMeansHalfWidth]])</f>
        <v>2.7457743728226142E-3</v>
      </c>
    </row>
    <row r="120" spans="1:21" x14ac:dyDescent="0.25">
      <c r="A120" t="s">
        <v>68</v>
      </c>
      <c r="B120" t="s">
        <v>131</v>
      </c>
      <c r="C120">
        <v>10</v>
      </c>
      <c r="D120" t="s">
        <v>103</v>
      </c>
      <c r="E120" t="s">
        <v>100</v>
      </c>
      <c r="F120" t="s">
        <v>99</v>
      </c>
      <c r="G120">
        <v>0.49410844549952299</v>
      </c>
      <c r="H120">
        <v>1.91314352770025E-2</v>
      </c>
      <c r="I120">
        <v>0</v>
      </c>
      <c r="J120">
        <v>1</v>
      </c>
      <c r="K120">
        <v>1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0.452397944183905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0.49691123629694001</v>
      </c>
      <c r="U120">
        <f>IF((ContinuousStatsTable[[#This Row],[RepsRequested]]&gt;1),ContinuousStatsTable[[#This Row],[HalfWidth]],ContinuousStatsTable[[#This Row],[BatchMeansHalfWidth]])</f>
        <v>2.7457743728226142E-3</v>
      </c>
    </row>
    <row r="121" spans="1:21" x14ac:dyDescent="0.25">
      <c r="A121" t="s">
        <v>68</v>
      </c>
      <c r="B121" t="s">
        <v>131</v>
      </c>
      <c r="C121">
        <v>10</v>
      </c>
      <c r="D121" t="s">
        <v>103</v>
      </c>
      <c r="E121" t="s">
        <v>101</v>
      </c>
      <c r="F121" t="s">
        <v>99</v>
      </c>
      <c r="G121">
        <v>1</v>
      </c>
      <c r="H121">
        <v>2E+20</v>
      </c>
      <c r="I121">
        <v>1</v>
      </c>
      <c r="J121">
        <v>1</v>
      </c>
      <c r="K121">
        <v>1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1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1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1</v>
      </c>
      <c r="U121">
        <f>IF((ContinuousStatsTable[[#This Row],[RepsRequested]]&gt;1),ContinuousStatsTable[[#This Row],[HalfWidth]],ContinuousStatsTable[[#This Row],[BatchMeansHalfWidth]])</f>
        <v>0</v>
      </c>
    </row>
    <row r="122" spans="1:21" x14ac:dyDescent="0.25">
      <c r="A122" t="s">
        <v>68</v>
      </c>
      <c r="B122" t="s">
        <v>131</v>
      </c>
      <c r="C122">
        <v>11</v>
      </c>
      <c r="D122" t="s">
        <v>70</v>
      </c>
      <c r="E122" t="s">
        <v>95</v>
      </c>
      <c r="F122" t="s">
        <v>72</v>
      </c>
      <c r="G122">
        <v>5.2534202498105902</v>
      </c>
      <c r="H122">
        <v>1.23092746198013</v>
      </c>
      <c r="I122">
        <v>0</v>
      </c>
      <c r="J122">
        <v>36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PacientesEntity 1WIPEntity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3.9757448048151298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6.9386840633215803</v>
      </c>
      <c r="U122">
        <f>IF((ContinuousStatsTable[[#This Row],[RepsRequested]]&gt;1),ContinuousStatsTable[[#This Row],[HalfWidth]],ContinuousStatsTable[[#This Row],[BatchMeansHalfWidth]])</f>
        <v>0.22030607219171747</v>
      </c>
    </row>
    <row r="123" spans="1:21" x14ac:dyDescent="0.25">
      <c r="A123" t="s">
        <v>68</v>
      </c>
      <c r="B123" t="s">
        <v>131</v>
      </c>
      <c r="C123">
        <v>11</v>
      </c>
      <c r="D123" t="s">
        <v>83</v>
      </c>
      <c r="E123" t="s">
        <v>96</v>
      </c>
      <c r="F123" t="s">
        <v>85</v>
      </c>
      <c r="G123">
        <v>2.9022922375882598</v>
      </c>
      <c r="H123">
        <v>1.1485029528347599</v>
      </c>
      <c r="I123">
        <v>0</v>
      </c>
      <c r="J123">
        <v>34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1.7200278735122601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4.5543512780988502</v>
      </c>
      <c r="U123">
        <f>IF((ContinuousStatsTable[[#This Row],[RepsRequested]]&gt;1),ContinuousStatsTable[[#This Row],[HalfWidth]],ContinuousStatsTable[[#This Row],[BatchMeansHalfWidth]])</f>
        <v>0.21041231434540877</v>
      </c>
    </row>
    <row r="124" spans="1:21" x14ac:dyDescent="0.25">
      <c r="A124" t="s">
        <v>68</v>
      </c>
      <c r="B124" t="s">
        <v>131</v>
      </c>
      <c r="C124">
        <v>11</v>
      </c>
      <c r="D124" t="s">
        <v>87</v>
      </c>
      <c r="E124" t="s">
        <v>96</v>
      </c>
      <c r="F124" t="s">
        <v>85</v>
      </c>
      <c r="G124">
        <v>0.213912841037392</v>
      </c>
      <c r="H124">
        <v>4.1083623567929002E-2</v>
      </c>
      <c r="I124">
        <v>0</v>
      </c>
      <c r="J124">
        <v>6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0.172815232766103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0.24783514900621301</v>
      </c>
      <c r="U124">
        <f>IF((ContinuousStatsTable[[#This Row],[RepsRequested]]&gt;1),ContinuousStatsTable[[#This Row],[HalfWidth]],ContinuousStatsTable[[#This Row],[BatchMeansHalfWidth]])</f>
        <v>4.7768909384897544E-3</v>
      </c>
    </row>
    <row r="125" spans="1:21" x14ac:dyDescent="0.25">
      <c r="A125" t="s">
        <v>68</v>
      </c>
      <c r="B125" t="s">
        <v>131</v>
      </c>
      <c r="C125">
        <v>11</v>
      </c>
      <c r="D125" t="s">
        <v>97</v>
      </c>
      <c r="E125" t="s">
        <v>98</v>
      </c>
      <c r="F125" t="s">
        <v>99</v>
      </c>
      <c r="G125">
        <v>0.55194103502505998</v>
      </c>
      <c r="H125">
        <v>2.7499318737751001E-2</v>
      </c>
      <c r="I125">
        <v>0</v>
      </c>
      <c r="J125">
        <v>0.66666666666666696</v>
      </c>
      <c r="K125">
        <v>0.33333333333333298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0.52470641844357602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0.57005812966092095</v>
      </c>
      <c r="U125">
        <f>IF((ContinuousStatsTable[[#This Row],[RepsRequested]]&gt;1),ContinuousStatsTable[[#This Row],[HalfWidth]],ContinuousStatsTable[[#This Row],[BatchMeansHalfWidth]])</f>
        <v>2.9048243757695521E-3</v>
      </c>
    </row>
    <row r="126" spans="1:21" x14ac:dyDescent="0.25">
      <c r="A126" t="s">
        <v>68</v>
      </c>
      <c r="B126" t="s">
        <v>131</v>
      </c>
      <c r="C126">
        <v>11</v>
      </c>
      <c r="D126" t="s">
        <v>97</v>
      </c>
      <c r="E126" t="s">
        <v>100</v>
      </c>
      <c r="F126" t="s">
        <v>99</v>
      </c>
      <c r="G126">
        <v>1.6558231050751799</v>
      </c>
      <c r="H126">
        <v>8.2497956213253107E-2</v>
      </c>
      <c r="I126">
        <v>0</v>
      </c>
      <c r="J126">
        <v>2</v>
      </c>
      <c r="K126">
        <v>1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1.5741192553307399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1.7101743889827701</v>
      </c>
      <c r="U126">
        <f>IF((ContinuousStatsTable[[#This Row],[RepsRequested]]&gt;1),ContinuousStatsTable[[#This Row],[HalfWidth]],ContinuousStatsTable[[#This Row],[BatchMeansHalfWidth]])</f>
        <v>8.7144731273084922E-3</v>
      </c>
    </row>
    <row r="127" spans="1:21" x14ac:dyDescent="0.25">
      <c r="A127" t="s">
        <v>68</v>
      </c>
      <c r="B127" t="s">
        <v>131</v>
      </c>
      <c r="C127">
        <v>11</v>
      </c>
      <c r="D127" t="s">
        <v>97</v>
      </c>
      <c r="E127" t="s">
        <v>101</v>
      </c>
      <c r="F127" t="s">
        <v>99</v>
      </c>
      <c r="G127">
        <v>3</v>
      </c>
      <c r="H127">
        <v>2E+20</v>
      </c>
      <c r="I127">
        <v>3</v>
      </c>
      <c r="J127">
        <v>3</v>
      </c>
      <c r="K127">
        <v>3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3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3</v>
      </c>
      <c r="U127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131</v>
      </c>
      <c r="C128">
        <v>11</v>
      </c>
      <c r="D128" t="s">
        <v>102</v>
      </c>
      <c r="E128" t="s">
        <v>98</v>
      </c>
      <c r="F128" t="s">
        <v>99</v>
      </c>
      <c r="G128">
        <v>0.82791155253758997</v>
      </c>
      <c r="H128">
        <v>4.1248978106626498E-2</v>
      </c>
      <c r="I128">
        <v>0</v>
      </c>
      <c r="J128">
        <v>1</v>
      </c>
      <c r="K128">
        <v>0.5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0.78705962766536897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0.85508719449138504</v>
      </c>
      <c r="U128">
        <f>IF((ContinuousStatsTable[[#This Row],[RepsRequested]]&gt;1),ContinuousStatsTable[[#This Row],[HalfWidth]],ContinuousStatsTable[[#This Row],[BatchMeansHalfWidth]])</f>
        <v>4.3572365636542886E-3</v>
      </c>
    </row>
    <row r="129" spans="1:21" x14ac:dyDescent="0.25">
      <c r="A129" t="s">
        <v>68</v>
      </c>
      <c r="B129" t="s">
        <v>131</v>
      </c>
      <c r="C129">
        <v>11</v>
      </c>
      <c r="D129" t="s">
        <v>102</v>
      </c>
      <c r="E129" t="s">
        <v>100</v>
      </c>
      <c r="F129" t="s">
        <v>99</v>
      </c>
      <c r="G129">
        <v>1.6558231050751799</v>
      </c>
      <c r="H129">
        <v>8.2497956213253107E-2</v>
      </c>
      <c r="I129">
        <v>0</v>
      </c>
      <c r="J129">
        <v>2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1.5741192553307399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1.7101743889827701</v>
      </c>
      <c r="U129">
        <f>IF((ContinuousStatsTable[[#This Row],[RepsRequested]]&gt;1),ContinuousStatsTable[[#This Row],[HalfWidth]],ContinuousStatsTable[[#This Row],[BatchMeansHalfWidth]])</f>
        <v>8.7144731273084922E-3</v>
      </c>
    </row>
    <row r="130" spans="1:21" x14ac:dyDescent="0.25">
      <c r="A130" t="s">
        <v>68</v>
      </c>
      <c r="B130" t="s">
        <v>131</v>
      </c>
      <c r="C130">
        <v>11</v>
      </c>
      <c r="D130" t="s">
        <v>102</v>
      </c>
      <c r="E130" t="s">
        <v>101</v>
      </c>
      <c r="F130" t="s">
        <v>99</v>
      </c>
      <c r="G130">
        <v>2</v>
      </c>
      <c r="H130">
        <v>2E+20</v>
      </c>
      <c r="I130">
        <v>2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2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25">
      <c r="A131" t="s">
        <v>68</v>
      </c>
      <c r="B131" t="s">
        <v>131</v>
      </c>
      <c r="C131">
        <v>11</v>
      </c>
      <c r="D131" t="s">
        <v>103</v>
      </c>
      <c r="E131" t="s">
        <v>98</v>
      </c>
      <c r="F131" t="s">
        <v>99</v>
      </c>
      <c r="G131">
        <v>0.48139206610975199</v>
      </c>
      <c r="H131">
        <v>1.9898872393942901E-2</v>
      </c>
      <c r="I131">
        <v>0</v>
      </c>
      <c r="J131">
        <v>1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0.452397944183905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0.49691123629694001</v>
      </c>
      <c r="U131">
        <f>IF((ContinuousStatsTable[[#This Row],[RepsRequested]]&gt;1),ContinuousStatsTable[[#This Row],[HalfWidth]],ContinuousStatsTable[[#This Row],[BatchMeansHalfWidth]])</f>
        <v>2.7457743728226142E-3</v>
      </c>
    </row>
    <row r="132" spans="1:21" x14ac:dyDescent="0.25">
      <c r="A132" t="s">
        <v>68</v>
      </c>
      <c r="B132" t="s">
        <v>131</v>
      </c>
      <c r="C132">
        <v>11</v>
      </c>
      <c r="D132" t="s">
        <v>103</v>
      </c>
      <c r="E132" t="s">
        <v>100</v>
      </c>
      <c r="F132" t="s">
        <v>99</v>
      </c>
      <c r="G132">
        <v>0.48139206610975199</v>
      </c>
      <c r="H132">
        <v>1.9898872393942901E-2</v>
      </c>
      <c r="I132">
        <v>0</v>
      </c>
      <c r="J132">
        <v>1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0.452397944183905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0.49691123629694001</v>
      </c>
      <c r="U132">
        <f>IF((ContinuousStatsTable[[#This Row],[RepsRequested]]&gt;1),ContinuousStatsTable[[#This Row],[HalfWidth]],ContinuousStatsTable[[#This Row],[BatchMeansHalfWidth]])</f>
        <v>2.7457743728226142E-3</v>
      </c>
    </row>
    <row r="133" spans="1:21" x14ac:dyDescent="0.25">
      <c r="A133" t="s">
        <v>68</v>
      </c>
      <c r="B133" t="s">
        <v>131</v>
      </c>
      <c r="C133">
        <v>11</v>
      </c>
      <c r="D133" t="s">
        <v>103</v>
      </c>
      <c r="E133" t="s">
        <v>101</v>
      </c>
      <c r="F133" t="s">
        <v>99</v>
      </c>
      <c r="G133">
        <v>1</v>
      </c>
      <c r="H133">
        <v>2E+20</v>
      </c>
      <c r="I133">
        <v>1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1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1</v>
      </c>
      <c r="U133">
        <f>IF((ContinuousStatsTable[[#This Row],[RepsRequested]]&gt;1),ContinuousStatsTable[[#This Row],[HalfWidth]],ContinuousStatsTable[[#This Row],[BatchMeansHalfWidth]])</f>
        <v>0</v>
      </c>
    </row>
    <row r="134" spans="1:21" x14ac:dyDescent="0.25">
      <c r="A134" t="s">
        <v>68</v>
      </c>
      <c r="B134" t="s">
        <v>131</v>
      </c>
      <c r="C134">
        <v>12</v>
      </c>
      <c r="D134" t="s">
        <v>70</v>
      </c>
      <c r="E134" t="s">
        <v>95</v>
      </c>
      <c r="F134" t="s">
        <v>72</v>
      </c>
      <c r="G134">
        <v>5.7613424960204496</v>
      </c>
      <c r="H134">
        <v>1.0762806828865501</v>
      </c>
      <c r="I134">
        <v>0</v>
      </c>
      <c r="J134">
        <v>24</v>
      </c>
      <c r="K134">
        <v>11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PacientesEntity 1WIPEntity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3.9757448048151298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6.9386840633215803</v>
      </c>
      <c r="U134">
        <f>IF((ContinuousStatsTable[[#This Row],[RepsRequested]]&gt;1),ContinuousStatsTable[[#This Row],[HalfWidth]],ContinuousStatsTable[[#This Row],[BatchMeansHalfWidth]])</f>
        <v>0.22030607219171747</v>
      </c>
    </row>
    <row r="135" spans="1:21" x14ac:dyDescent="0.25">
      <c r="A135" t="s">
        <v>68</v>
      </c>
      <c r="B135" t="s">
        <v>131</v>
      </c>
      <c r="C135">
        <v>12</v>
      </c>
      <c r="D135" t="s">
        <v>83</v>
      </c>
      <c r="E135" t="s">
        <v>96</v>
      </c>
      <c r="F135" t="s">
        <v>85</v>
      </c>
      <c r="G135">
        <v>3.3892463098761798</v>
      </c>
      <c r="H135">
        <v>0.97733020745044596</v>
      </c>
      <c r="I135">
        <v>0</v>
      </c>
      <c r="J135">
        <v>21</v>
      </c>
      <c r="K135">
        <v>9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1.7200278735122601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4.5543512780988502</v>
      </c>
      <c r="U135">
        <f>IF((ContinuousStatsTable[[#This Row],[RepsRequested]]&gt;1),ContinuousStatsTable[[#This Row],[HalfWidth]],ContinuousStatsTable[[#This Row],[BatchMeansHalfWidth]])</f>
        <v>0.21041231434540877</v>
      </c>
    </row>
    <row r="136" spans="1:21" x14ac:dyDescent="0.25">
      <c r="A136" t="s">
        <v>68</v>
      </c>
      <c r="B136" t="s">
        <v>131</v>
      </c>
      <c r="C136">
        <v>12</v>
      </c>
      <c r="D136" t="s">
        <v>87</v>
      </c>
      <c r="E136" t="s">
        <v>96</v>
      </c>
      <c r="F136" t="s">
        <v>85</v>
      </c>
      <c r="G136">
        <v>0.22714079684833699</v>
      </c>
      <c r="H136">
        <v>4.3117804926938598E-2</v>
      </c>
      <c r="I136">
        <v>0</v>
      </c>
      <c r="J136">
        <v>6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0.172815232766103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0.24783514900621301</v>
      </c>
      <c r="U136">
        <f>IF((ContinuousStatsTable[[#This Row],[RepsRequested]]&gt;1),ContinuousStatsTable[[#This Row],[HalfWidth]],ContinuousStatsTable[[#This Row],[BatchMeansHalfWidth]])</f>
        <v>4.7768909384897544E-3</v>
      </c>
    </row>
    <row r="137" spans="1:21" x14ac:dyDescent="0.25">
      <c r="A137" t="s">
        <v>68</v>
      </c>
      <c r="B137" t="s">
        <v>131</v>
      </c>
      <c r="C137">
        <v>12</v>
      </c>
      <c r="D137" t="s">
        <v>97</v>
      </c>
      <c r="E137" t="s">
        <v>98</v>
      </c>
      <c r="F137" t="s">
        <v>99</v>
      </c>
      <c r="G137">
        <v>0.55822409183268296</v>
      </c>
      <c r="H137">
        <v>2.2140506725890199E-2</v>
      </c>
      <c r="I137">
        <v>0</v>
      </c>
      <c r="J137">
        <v>0.66666666666666696</v>
      </c>
      <c r="K137">
        <v>0.66666666666666696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0.52470641844357602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0.57005812966092095</v>
      </c>
      <c r="U137">
        <f>IF((ContinuousStatsTable[[#This Row],[RepsRequested]]&gt;1),ContinuousStatsTable[[#This Row],[HalfWidth]],ContinuousStatsTable[[#This Row],[BatchMeansHalfWidth]])</f>
        <v>2.9048243757695521E-3</v>
      </c>
    </row>
    <row r="138" spans="1:21" x14ac:dyDescent="0.25">
      <c r="A138" t="s">
        <v>68</v>
      </c>
      <c r="B138" t="s">
        <v>131</v>
      </c>
      <c r="C138">
        <v>12</v>
      </c>
      <c r="D138" t="s">
        <v>97</v>
      </c>
      <c r="E138" t="s">
        <v>100</v>
      </c>
      <c r="F138" t="s">
        <v>99</v>
      </c>
      <c r="G138">
        <v>1.6746722754980501</v>
      </c>
      <c r="H138">
        <v>6.6421520177670501E-2</v>
      </c>
      <c r="I138">
        <v>0</v>
      </c>
      <c r="J138">
        <v>2</v>
      </c>
      <c r="K138">
        <v>2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1.5741192553307399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1.7101743889827701</v>
      </c>
      <c r="U138">
        <f>IF((ContinuousStatsTable[[#This Row],[RepsRequested]]&gt;1),ContinuousStatsTable[[#This Row],[HalfWidth]],ContinuousStatsTable[[#This Row],[BatchMeansHalfWidth]])</f>
        <v>8.7144731273084922E-3</v>
      </c>
    </row>
    <row r="139" spans="1:21" x14ac:dyDescent="0.25">
      <c r="A139" t="s">
        <v>68</v>
      </c>
      <c r="B139" t="s">
        <v>131</v>
      </c>
      <c r="C139">
        <v>12</v>
      </c>
      <c r="D139" t="s">
        <v>97</v>
      </c>
      <c r="E139" t="s">
        <v>101</v>
      </c>
      <c r="F139" t="s">
        <v>99</v>
      </c>
      <c r="G139">
        <v>3</v>
      </c>
      <c r="H139">
        <v>2E+20</v>
      </c>
      <c r="I139">
        <v>3</v>
      </c>
      <c r="J139">
        <v>3</v>
      </c>
      <c r="K139">
        <v>3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3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3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3</v>
      </c>
      <c r="U139">
        <f>IF((ContinuousStatsTable[[#This Row],[RepsRequested]]&gt;1),ContinuousStatsTable[[#This Row],[HalfWidth]],ContinuousStatsTable[[#This Row],[BatchMeansHalfWidth]])</f>
        <v>0</v>
      </c>
    </row>
    <row r="140" spans="1:21" x14ac:dyDescent="0.25">
      <c r="A140" t="s">
        <v>68</v>
      </c>
      <c r="B140" t="s">
        <v>131</v>
      </c>
      <c r="C140">
        <v>12</v>
      </c>
      <c r="D140" t="s">
        <v>102</v>
      </c>
      <c r="E140" t="s">
        <v>98</v>
      </c>
      <c r="F140" t="s">
        <v>99</v>
      </c>
      <c r="G140">
        <v>0.83733613774902305</v>
      </c>
      <c r="H140">
        <v>3.3210760088835202E-2</v>
      </c>
      <c r="I140">
        <v>0</v>
      </c>
      <c r="J140">
        <v>1</v>
      </c>
      <c r="K140">
        <v>1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0.78705962766536897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0.85508719449138504</v>
      </c>
      <c r="U140">
        <f>IF((ContinuousStatsTable[[#This Row],[RepsRequested]]&gt;1),ContinuousStatsTable[[#This Row],[HalfWidth]],ContinuousStatsTable[[#This Row],[BatchMeansHalfWidth]])</f>
        <v>4.3572365636542886E-3</v>
      </c>
    </row>
    <row r="141" spans="1:21" x14ac:dyDescent="0.25">
      <c r="A141" t="s">
        <v>68</v>
      </c>
      <c r="B141" t="s">
        <v>131</v>
      </c>
      <c r="C141">
        <v>12</v>
      </c>
      <c r="D141" t="s">
        <v>102</v>
      </c>
      <c r="E141" t="s">
        <v>100</v>
      </c>
      <c r="F141" t="s">
        <v>99</v>
      </c>
      <c r="G141">
        <v>1.6746722754980501</v>
      </c>
      <c r="H141">
        <v>6.6421520177670501E-2</v>
      </c>
      <c r="I141">
        <v>0</v>
      </c>
      <c r="J141">
        <v>2</v>
      </c>
      <c r="K141">
        <v>2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1.5741192553307399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1.7101743889827701</v>
      </c>
      <c r="U141">
        <f>IF((ContinuousStatsTable[[#This Row],[RepsRequested]]&gt;1),ContinuousStatsTable[[#This Row],[HalfWidth]],ContinuousStatsTable[[#This Row],[BatchMeansHalfWidth]])</f>
        <v>8.7144731273084922E-3</v>
      </c>
    </row>
    <row r="142" spans="1:21" x14ac:dyDescent="0.25">
      <c r="A142" t="s">
        <v>68</v>
      </c>
      <c r="B142" t="s">
        <v>131</v>
      </c>
      <c r="C142">
        <v>12</v>
      </c>
      <c r="D142" t="s">
        <v>102</v>
      </c>
      <c r="E142" t="s">
        <v>101</v>
      </c>
      <c r="F142" t="s">
        <v>99</v>
      </c>
      <c r="G142">
        <v>2</v>
      </c>
      <c r="H142">
        <v>2E+20</v>
      </c>
      <c r="I142">
        <v>2</v>
      </c>
      <c r="J142">
        <v>2</v>
      </c>
      <c r="K142">
        <v>2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2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2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2</v>
      </c>
      <c r="U142">
        <f>IF((ContinuousStatsTable[[#This Row],[RepsRequested]]&gt;1),ContinuousStatsTable[[#This Row],[HalfWidth]],ContinuousStatsTable[[#This Row],[BatchMeansHalfWidth]])</f>
        <v>0</v>
      </c>
    </row>
    <row r="143" spans="1:21" x14ac:dyDescent="0.25">
      <c r="A143" t="s">
        <v>68</v>
      </c>
      <c r="B143" t="s">
        <v>131</v>
      </c>
      <c r="C143">
        <v>12</v>
      </c>
      <c r="D143" t="s">
        <v>103</v>
      </c>
      <c r="E143" t="s">
        <v>98</v>
      </c>
      <c r="F143" t="s">
        <v>99</v>
      </c>
      <c r="G143">
        <v>0.47028311379787702</v>
      </c>
      <c r="H143">
        <v>2.15011755005203E-2</v>
      </c>
      <c r="I143">
        <v>0</v>
      </c>
      <c r="J143">
        <v>1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0.452397944183905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0.49691123629694001</v>
      </c>
      <c r="U143">
        <f>IF((ContinuousStatsTable[[#This Row],[RepsRequested]]&gt;1),ContinuousStatsTable[[#This Row],[HalfWidth]],ContinuousStatsTable[[#This Row],[BatchMeansHalfWidth]])</f>
        <v>2.7457743728226142E-3</v>
      </c>
    </row>
    <row r="144" spans="1:21" x14ac:dyDescent="0.25">
      <c r="A144" t="s">
        <v>68</v>
      </c>
      <c r="B144" t="s">
        <v>131</v>
      </c>
      <c r="C144">
        <v>12</v>
      </c>
      <c r="D144" t="s">
        <v>103</v>
      </c>
      <c r="E144" t="s">
        <v>100</v>
      </c>
      <c r="F144" t="s">
        <v>99</v>
      </c>
      <c r="G144">
        <v>0.47028311379787702</v>
      </c>
      <c r="H144">
        <v>2.15011755005203E-2</v>
      </c>
      <c r="I144">
        <v>0</v>
      </c>
      <c r="J144">
        <v>1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0.452397944183905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0.49691123629694001</v>
      </c>
      <c r="U144">
        <f>IF((ContinuousStatsTable[[#This Row],[RepsRequested]]&gt;1),ContinuousStatsTable[[#This Row],[HalfWidth]],ContinuousStatsTable[[#This Row],[BatchMeansHalfWidth]])</f>
        <v>2.7457743728226142E-3</v>
      </c>
    </row>
    <row r="145" spans="1:21" x14ac:dyDescent="0.25">
      <c r="A145" t="s">
        <v>68</v>
      </c>
      <c r="B145" t="s">
        <v>131</v>
      </c>
      <c r="C145">
        <v>12</v>
      </c>
      <c r="D145" t="s">
        <v>103</v>
      </c>
      <c r="E145" t="s">
        <v>101</v>
      </c>
      <c r="F145" t="s">
        <v>99</v>
      </c>
      <c r="G145">
        <v>1</v>
      </c>
      <c r="H145">
        <v>2E+20</v>
      </c>
      <c r="I145">
        <v>1</v>
      </c>
      <c r="J145">
        <v>1</v>
      </c>
      <c r="K145">
        <v>1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1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1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1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25">
      <c r="A146" t="s">
        <v>68</v>
      </c>
      <c r="B146" t="s">
        <v>131</v>
      </c>
      <c r="C146">
        <v>13</v>
      </c>
      <c r="D146" t="s">
        <v>70</v>
      </c>
      <c r="E146" t="s">
        <v>95</v>
      </c>
      <c r="F146" t="s">
        <v>72</v>
      </c>
      <c r="G146">
        <v>4.7720214880398704</v>
      </c>
      <c r="H146">
        <v>0.763231510896895</v>
      </c>
      <c r="I146">
        <v>0</v>
      </c>
      <c r="J146">
        <v>26</v>
      </c>
      <c r="K146">
        <v>6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PacientesEntity 1WIPEntity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3.9757448048151298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6.9386840633215803</v>
      </c>
      <c r="U146">
        <f>IF((ContinuousStatsTable[[#This Row],[RepsRequested]]&gt;1),ContinuousStatsTable[[#This Row],[HalfWidth]],ContinuousStatsTable[[#This Row],[BatchMeansHalfWidth]])</f>
        <v>0.22030607219171747</v>
      </c>
    </row>
    <row r="147" spans="1:21" x14ac:dyDescent="0.25">
      <c r="A147" t="s">
        <v>68</v>
      </c>
      <c r="B147" t="s">
        <v>131</v>
      </c>
      <c r="C147">
        <v>13</v>
      </c>
      <c r="D147" t="s">
        <v>83</v>
      </c>
      <c r="E147" t="s">
        <v>96</v>
      </c>
      <c r="F147" t="s">
        <v>85</v>
      </c>
      <c r="G147">
        <v>2.4239545308550698</v>
      </c>
      <c r="H147">
        <v>0.69749092601068197</v>
      </c>
      <c r="I147">
        <v>0</v>
      </c>
      <c r="J147">
        <v>22</v>
      </c>
      <c r="K147">
        <v>3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1.7200278735122601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4.5543512780988502</v>
      </c>
      <c r="U147">
        <f>IF((ContinuousStatsTable[[#This Row],[RepsRequested]]&gt;1),ContinuousStatsTable[[#This Row],[HalfWidth]],ContinuousStatsTable[[#This Row],[BatchMeansHalfWidth]])</f>
        <v>0.21041231434540877</v>
      </c>
    </row>
    <row r="148" spans="1:21" x14ac:dyDescent="0.25">
      <c r="A148" t="s">
        <v>68</v>
      </c>
      <c r="B148" t="s">
        <v>131</v>
      </c>
      <c r="C148">
        <v>13</v>
      </c>
      <c r="D148" t="s">
        <v>87</v>
      </c>
      <c r="E148" t="s">
        <v>96</v>
      </c>
      <c r="F148" t="s">
        <v>85</v>
      </c>
      <c r="G148">
        <v>0.236161777764858</v>
      </c>
      <c r="H148">
        <v>4.0897383252940102E-2</v>
      </c>
      <c r="I148">
        <v>0</v>
      </c>
      <c r="J148">
        <v>7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0.172815232766103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0.24783514900621301</v>
      </c>
      <c r="U148">
        <f>IF((ContinuousStatsTable[[#This Row],[RepsRequested]]&gt;1),ContinuousStatsTable[[#This Row],[HalfWidth]],ContinuousStatsTable[[#This Row],[BatchMeansHalfWidth]])</f>
        <v>4.7768909384897544E-3</v>
      </c>
    </row>
    <row r="149" spans="1:21" x14ac:dyDescent="0.25">
      <c r="A149" t="s">
        <v>68</v>
      </c>
      <c r="B149" t="s">
        <v>131</v>
      </c>
      <c r="C149">
        <v>13</v>
      </c>
      <c r="D149" t="s">
        <v>97</v>
      </c>
      <c r="E149" t="s">
        <v>98</v>
      </c>
      <c r="F149" t="s">
        <v>99</v>
      </c>
      <c r="G149">
        <v>0.54648401929514101</v>
      </c>
      <c r="H149">
        <v>2.5171012135751999E-2</v>
      </c>
      <c r="I149">
        <v>0</v>
      </c>
      <c r="J149">
        <v>0.66666666666666696</v>
      </c>
      <c r="K149">
        <v>0.66666666666666696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0.52470641844357602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0.57005812966092095</v>
      </c>
      <c r="U149">
        <f>IF((ContinuousStatsTable[[#This Row],[RepsRequested]]&gt;1),ContinuousStatsTable[[#This Row],[HalfWidth]],ContinuousStatsTable[[#This Row],[BatchMeansHalfWidth]])</f>
        <v>2.9048243757695521E-3</v>
      </c>
    </row>
    <row r="150" spans="1:21" x14ac:dyDescent="0.25">
      <c r="A150" t="s">
        <v>68</v>
      </c>
      <c r="B150" t="s">
        <v>131</v>
      </c>
      <c r="C150">
        <v>13</v>
      </c>
      <c r="D150" t="s">
        <v>97</v>
      </c>
      <c r="E150" t="s">
        <v>100</v>
      </c>
      <c r="F150" t="s">
        <v>99</v>
      </c>
      <c r="G150">
        <v>1.6394520578854199</v>
      </c>
      <c r="H150">
        <v>7.5513036407255901E-2</v>
      </c>
      <c r="I150">
        <v>0</v>
      </c>
      <c r="J150">
        <v>2</v>
      </c>
      <c r="K150">
        <v>2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1.5741192553307399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1.7101743889827701</v>
      </c>
      <c r="U150">
        <f>IF((ContinuousStatsTable[[#This Row],[RepsRequested]]&gt;1),ContinuousStatsTable[[#This Row],[HalfWidth]],ContinuousStatsTable[[#This Row],[BatchMeansHalfWidth]])</f>
        <v>8.7144731273084922E-3</v>
      </c>
    </row>
    <row r="151" spans="1:21" x14ac:dyDescent="0.25">
      <c r="A151" t="s">
        <v>68</v>
      </c>
      <c r="B151" t="s">
        <v>131</v>
      </c>
      <c r="C151">
        <v>13</v>
      </c>
      <c r="D151" t="s">
        <v>97</v>
      </c>
      <c r="E151" t="s">
        <v>101</v>
      </c>
      <c r="F151" t="s">
        <v>99</v>
      </c>
      <c r="G151">
        <v>3</v>
      </c>
      <c r="H151">
        <v>2E+20</v>
      </c>
      <c r="I151">
        <v>3</v>
      </c>
      <c r="J151">
        <v>3</v>
      </c>
      <c r="K151">
        <v>3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3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3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3</v>
      </c>
      <c r="U151">
        <f>IF((ContinuousStatsTable[[#This Row],[RepsRequested]]&gt;1),ContinuousStatsTable[[#This Row],[HalfWidth]],ContinuousStatsTable[[#This Row],[BatchMeansHalfWidth]])</f>
        <v>0</v>
      </c>
    </row>
    <row r="152" spans="1:21" x14ac:dyDescent="0.25">
      <c r="A152" t="s">
        <v>68</v>
      </c>
      <c r="B152" t="s">
        <v>131</v>
      </c>
      <c r="C152">
        <v>13</v>
      </c>
      <c r="D152" t="s">
        <v>102</v>
      </c>
      <c r="E152" t="s">
        <v>98</v>
      </c>
      <c r="F152" t="s">
        <v>99</v>
      </c>
      <c r="G152">
        <v>0.81972602894270996</v>
      </c>
      <c r="H152">
        <v>3.7756518203627902E-2</v>
      </c>
      <c r="I152">
        <v>0</v>
      </c>
      <c r="J152">
        <v>1</v>
      </c>
      <c r="K152">
        <v>1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0.78705962766536897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0.85508719449138504</v>
      </c>
      <c r="U152">
        <f>IF((ContinuousStatsTable[[#This Row],[RepsRequested]]&gt;1),ContinuousStatsTable[[#This Row],[HalfWidth]],ContinuousStatsTable[[#This Row],[BatchMeansHalfWidth]])</f>
        <v>4.3572365636542886E-3</v>
      </c>
    </row>
    <row r="153" spans="1:21" x14ac:dyDescent="0.25">
      <c r="A153" t="s">
        <v>68</v>
      </c>
      <c r="B153" t="s">
        <v>131</v>
      </c>
      <c r="C153">
        <v>13</v>
      </c>
      <c r="D153" t="s">
        <v>102</v>
      </c>
      <c r="E153" t="s">
        <v>100</v>
      </c>
      <c r="F153" t="s">
        <v>99</v>
      </c>
      <c r="G153">
        <v>1.6394520578854199</v>
      </c>
      <c r="H153">
        <v>7.5513036407255901E-2</v>
      </c>
      <c r="I153">
        <v>0</v>
      </c>
      <c r="J153">
        <v>2</v>
      </c>
      <c r="K153">
        <v>2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1.5741192553307399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1.7101743889827701</v>
      </c>
      <c r="U153">
        <f>IF((ContinuousStatsTable[[#This Row],[RepsRequested]]&gt;1),ContinuousStatsTable[[#This Row],[HalfWidth]],ContinuousStatsTable[[#This Row],[BatchMeansHalfWidth]])</f>
        <v>8.7144731273084922E-3</v>
      </c>
    </row>
    <row r="154" spans="1:21" x14ac:dyDescent="0.25">
      <c r="A154" t="s">
        <v>68</v>
      </c>
      <c r="B154" t="s">
        <v>131</v>
      </c>
      <c r="C154">
        <v>13</v>
      </c>
      <c r="D154" t="s">
        <v>102</v>
      </c>
      <c r="E154" t="s">
        <v>101</v>
      </c>
      <c r="F154" t="s">
        <v>99</v>
      </c>
      <c r="G154">
        <v>2</v>
      </c>
      <c r="H154">
        <v>2E+20</v>
      </c>
      <c r="I154">
        <v>2</v>
      </c>
      <c r="J154">
        <v>2</v>
      </c>
      <c r="K154">
        <v>2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2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2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2</v>
      </c>
      <c r="U154">
        <f>IF((ContinuousStatsTable[[#This Row],[RepsRequested]]&gt;1),ContinuousStatsTable[[#This Row],[HalfWidth]],ContinuousStatsTable[[#This Row],[BatchMeansHalfWidth]])</f>
        <v>0</v>
      </c>
    </row>
    <row r="155" spans="1:21" x14ac:dyDescent="0.25">
      <c r="A155" t="s">
        <v>68</v>
      </c>
      <c r="B155" t="s">
        <v>131</v>
      </c>
      <c r="C155">
        <v>13</v>
      </c>
      <c r="D155" t="s">
        <v>103</v>
      </c>
      <c r="E155" t="s">
        <v>98</v>
      </c>
      <c r="F155" t="s">
        <v>99</v>
      </c>
      <c r="G155">
        <v>0.47245312153450197</v>
      </c>
      <c r="H155">
        <v>2.1639482609308199E-2</v>
      </c>
      <c r="I155">
        <v>0</v>
      </c>
      <c r="J155">
        <v>1</v>
      </c>
      <c r="K155">
        <v>1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0.452397944183905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0.49691123629694001</v>
      </c>
      <c r="U155">
        <f>IF((ContinuousStatsTable[[#This Row],[RepsRequested]]&gt;1),ContinuousStatsTable[[#This Row],[HalfWidth]],ContinuousStatsTable[[#This Row],[BatchMeansHalfWidth]])</f>
        <v>2.7457743728226142E-3</v>
      </c>
    </row>
    <row r="156" spans="1:21" x14ac:dyDescent="0.25">
      <c r="A156" t="s">
        <v>68</v>
      </c>
      <c r="B156" t="s">
        <v>131</v>
      </c>
      <c r="C156">
        <v>13</v>
      </c>
      <c r="D156" t="s">
        <v>103</v>
      </c>
      <c r="E156" t="s">
        <v>100</v>
      </c>
      <c r="F156" t="s">
        <v>99</v>
      </c>
      <c r="G156">
        <v>0.47245312153450197</v>
      </c>
      <c r="H156">
        <v>2.1639482609308199E-2</v>
      </c>
      <c r="I156">
        <v>0</v>
      </c>
      <c r="J156">
        <v>1</v>
      </c>
      <c r="K156">
        <v>1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0.452397944183905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0.49691123629694001</v>
      </c>
      <c r="U156">
        <f>IF((ContinuousStatsTable[[#This Row],[RepsRequested]]&gt;1),ContinuousStatsTable[[#This Row],[HalfWidth]],ContinuousStatsTable[[#This Row],[BatchMeansHalfWidth]])</f>
        <v>2.7457743728226142E-3</v>
      </c>
    </row>
    <row r="157" spans="1:21" x14ac:dyDescent="0.25">
      <c r="A157" t="s">
        <v>68</v>
      </c>
      <c r="B157" t="s">
        <v>131</v>
      </c>
      <c r="C157">
        <v>13</v>
      </c>
      <c r="D157" t="s">
        <v>103</v>
      </c>
      <c r="E157" t="s">
        <v>101</v>
      </c>
      <c r="F157" t="s">
        <v>99</v>
      </c>
      <c r="G157">
        <v>1</v>
      </c>
      <c r="H157">
        <v>2E+20</v>
      </c>
      <c r="I157">
        <v>1</v>
      </c>
      <c r="J157">
        <v>1</v>
      </c>
      <c r="K157">
        <v>1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1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1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1</v>
      </c>
      <c r="U157">
        <f>IF((ContinuousStatsTable[[#This Row],[RepsRequested]]&gt;1),ContinuousStatsTable[[#This Row],[HalfWidth]],ContinuousStatsTable[[#This Row],[BatchMeansHalfWidth]])</f>
        <v>0</v>
      </c>
    </row>
    <row r="158" spans="1:21" x14ac:dyDescent="0.25">
      <c r="A158" t="s">
        <v>68</v>
      </c>
      <c r="B158" t="s">
        <v>131</v>
      </c>
      <c r="C158">
        <v>14</v>
      </c>
      <c r="D158" t="s">
        <v>70</v>
      </c>
      <c r="E158" t="s">
        <v>95</v>
      </c>
      <c r="F158" t="s">
        <v>72</v>
      </c>
      <c r="G158">
        <v>4.7258537445708297</v>
      </c>
      <c r="H158">
        <v>1.03322565027095</v>
      </c>
      <c r="I158">
        <v>0</v>
      </c>
      <c r="J158">
        <v>22</v>
      </c>
      <c r="K158">
        <v>13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PacientesEntity 1WIPEntity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3.9757448048151298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6.9386840633215803</v>
      </c>
      <c r="U158">
        <f>IF((ContinuousStatsTable[[#This Row],[RepsRequested]]&gt;1),ContinuousStatsTable[[#This Row],[HalfWidth]],ContinuousStatsTable[[#This Row],[BatchMeansHalfWidth]])</f>
        <v>0.22030607219171747</v>
      </c>
    </row>
    <row r="159" spans="1:21" x14ac:dyDescent="0.25">
      <c r="A159" t="s">
        <v>68</v>
      </c>
      <c r="B159" t="s">
        <v>131</v>
      </c>
      <c r="C159">
        <v>14</v>
      </c>
      <c r="D159" t="s">
        <v>83</v>
      </c>
      <c r="E159" t="s">
        <v>96</v>
      </c>
      <c r="F159" t="s">
        <v>85</v>
      </c>
      <c r="G159">
        <v>2.3904987763364201</v>
      </c>
      <c r="H159">
        <v>0.93592948127258102</v>
      </c>
      <c r="I159">
        <v>0</v>
      </c>
      <c r="J159">
        <v>19</v>
      </c>
      <c r="K159">
        <v>11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1.7200278735122601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4.5543512780988502</v>
      </c>
      <c r="U159">
        <f>IF((ContinuousStatsTable[[#This Row],[RepsRequested]]&gt;1),ContinuousStatsTable[[#This Row],[HalfWidth]],ContinuousStatsTable[[#This Row],[BatchMeansHalfWidth]])</f>
        <v>0.21041231434540877</v>
      </c>
    </row>
    <row r="160" spans="1:21" x14ac:dyDescent="0.25">
      <c r="A160" t="s">
        <v>68</v>
      </c>
      <c r="B160" t="s">
        <v>131</v>
      </c>
      <c r="C160">
        <v>14</v>
      </c>
      <c r="D160" t="s">
        <v>87</v>
      </c>
      <c r="E160" t="s">
        <v>96</v>
      </c>
      <c r="F160" t="s">
        <v>85</v>
      </c>
      <c r="G160">
        <v>0.23749694237135799</v>
      </c>
      <c r="H160">
        <v>5.0668652429914897E-2</v>
      </c>
      <c r="I160">
        <v>0</v>
      </c>
      <c r="J160">
        <v>8</v>
      </c>
      <c r="K160">
        <v>0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0.172815232766103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0.24783514900621301</v>
      </c>
      <c r="U160">
        <f>IF((ContinuousStatsTable[[#This Row],[RepsRequested]]&gt;1),ContinuousStatsTable[[#This Row],[HalfWidth]],ContinuousStatsTable[[#This Row],[BatchMeansHalfWidth]])</f>
        <v>4.7768909384897544E-3</v>
      </c>
    </row>
    <row r="161" spans="1:21" x14ac:dyDescent="0.25">
      <c r="A161" t="s">
        <v>68</v>
      </c>
      <c r="B161" t="s">
        <v>131</v>
      </c>
      <c r="C161">
        <v>14</v>
      </c>
      <c r="D161" t="s">
        <v>97</v>
      </c>
      <c r="E161" t="s">
        <v>98</v>
      </c>
      <c r="F161" t="s">
        <v>99</v>
      </c>
      <c r="G161">
        <v>0.54171372881238</v>
      </c>
      <c r="H161">
        <v>2.84503655974589E-2</v>
      </c>
      <c r="I161">
        <v>0</v>
      </c>
      <c r="J161">
        <v>0.66666666666666696</v>
      </c>
      <c r="K161">
        <v>0.66666666666666696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0.52470641844357602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0.57005812966092095</v>
      </c>
      <c r="U161">
        <f>IF((ContinuousStatsTable[[#This Row],[RepsRequested]]&gt;1),ContinuousStatsTable[[#This Row],[HalfWidth]],ContinuousStatsTable[[#This Row],[BatchMeansHalfWidth]])</f>
        <v>2.9048243757695521E-3</v>
      </c>
    </row>
    <row r="162" spans="1:21" x14ac:dyDescent="0.25">
      <c r="A162" t="s">
        <v>68</v>
      </c>
      <c r="B162" t="s">
        <v>131</v>
      </c>
      <c r="C162">
        <v>14</v>
      </c>
      <c r="D162" t="s">
        <v>97</v>
      </c>
      <c r="E162" t="s">
        <v>100</v>
      </c>
      <c r="F162" t="s">
        <v>99</v>
      </c>
      <c r="G162">
        <v>1.6251411864371399</v>
      </c>
      <c r="H162">
        <v>8.5351096792376596E-2</v>
      </c>
      <c r="I162">
        <v>0</v>
      </c>
      <c r="J162">
        <v>2</v>
      </c>
      <c r="K162">
        <v>2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1.5741192553307399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1.7101743889827701</v>
      </c>
      <c r="U162">
        <f>IF((ContinuousStatsTable[[#This Row],[RepsRequested]]&gt;1),ContinuousStatsTable[[#This Row],[HalfWidth]],ContinuousStatsTable[[#This Row],[BatchMeansHalfWidth]])</f>
        <v>8.7144731273084922E-3</v>
      </c>
    </row>
    <row r="163" spans="1:21" x14ac:dyDescent="0.25">
      <c r="A163" t="s">
        <v>68</v>
      </c>
      <c r="B163" t="s">
        <v>131</v>
      </c>
      <c r="C163">
        <v>14</v>
      </c>
      <c r="D163" t="s">
        <v>97</v>
      </c>
      <c r="E163" t="s">
        <v>101</v>
      </c>
      <c r="F163" t="s">
        <v>99</v>
      </c>
      <c r="G163">
        <v>3</v>
      </c>
      <c r="H163">
        <v>2E+20</v>
      </c>
      <c r="I163">
        <v>3</v>
      </c>
      <c r="J163">
        <v>3</v>
      </c>
      <c r="K163">
        <v>3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3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3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3</v>
      </c>
      <c r="U163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131</v>
      </c>
      <c r="C164">
        <v>14</v>
      </c>
      <c r="D164" t="s">
        <v>102</v>
      </c>
      <c r="E164" t="s">
        <v>98</v>
      </c>
      <c r="F164" t="s">
        <v>99</v>
      </c>
      <c r="G164">
        <v>0.81257059321857195</v>
      </c>
      <c r="H164">
        <v>4.2675548396188298E-2</v>
      </c>
      <c r="I164">
        <v>0</v>
      </c>
      <c r="J164">
        <v>1</v>
      </c>
      <c r="K164">
        <v>1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0.78705962766536897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0.85508719449138504</v>
      </c>
      <c r="U164">
        <f>IF((ContinuousStatsTable[[#This Row],[RepsRequested]]&gt;1),ContinuousStatsTable[[#This Row],[HalfWidth]],ContinuousStatsTable[[#This Row],[BatchMeansHalfWidth]])</f>
        <v>4.3572365636542886E-3</v>
      </c>
    </row>
    <row r="165" spans="1:21" x14ac:dyDescent="0.25">
      <c r="A165" t="s">
        <v>68</v>
      </c>
      <c r="B165" t="s">
        <v>131</v>
      </c>
      <c r="C165">
        <v>14</v>
      </c>
      <c r="D165" t="s">
        <v>102</v>
      </c>
      <c r="E165" t="s">
        <v>100</v>
      </c>
      <c r="F165" t="s">
        <v>99</v>
      </c>
      <c r="G165">
        <v>1.6251411864371399</v>
      </c>
      <c r="H165">
        <v>8.5351096792376596E-2</v>
      </c>
      <c r="I165">
        <v>0</v>
      </c>
      <c r="J165">
        <v>2</v>
      </c>
      <c r="K165">
        <v>2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1.5741192553307399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1.7101743889827701</v>
      </c>
      <c r="U165">
        <f>IF((ContinuousStatsTable[[#This Row],[RepsRequested]]&gt;1),ContinuousStatsTable[[#This Row],[HalfWidth]],ContinuousStatsTable[[#This Row],[BatchMeansHalfWidth]])</f>
        <v>8.7144731273084922E-3</v>
      </c>
    </row>
    <row r="166" spans="1:21" x14ac:dyDescent="0.25">
      <c r="A166" t="s">
        <v>68</v>
      </c>
      <c r="B166" t="s">
        <v>131</v>
      </c>
      <c r="C166">
        <v>14</v>
      </c>
      <c r="D166" t="s">
        <v>102</v>
      </c>
      <c r="E166" t="s">
        <v>101</v>
      </c>
      <c r="F166" t="s">
        <v>99</v>
      </c>
      <c r="G166">
        <v>2</v>
      </c>
      <c r="H166">
        <v>2E+20</v>
      </c>
      <c r="I166">
        <v>2</v>
      </c>
      <c r="J166">
        <v>2</v>
      </c>
      <c r="K166">
        <v>2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2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2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2</v>
      </c>
      <c r="U166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131</v>
      </c>
      <c r="C167">
        <v>14</v>
      </c>
      <c r="D167" t="s">
        <v>103</v>
      </c>
      <c r="E167" t="s">
        <v>98</v>
      </c>
      <c r="F167" t="s">
        <v>99</v>
      </c>
      <c r="G167">
        <v>0.47271683942592402</v>
      </c>
      <c r="H167">
        <v>1.93362693933967E-2</v>
      </c>
      <c r="I167">
        <v>0</v>
      </c>
      <c r="J167">
        <v>1</v>
      </c>
      <c r="K167">
        <v>0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0.452397944183905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0.49691123629694001</v>
      </c>
      <c r="U167">
        <f>IF((ContinuousStatsTable[[#This Row],[RepsRequested]]&gt;1),ContinuousStatsTable[[#This Row],[HalfWidth]],ContinuousStatsTable[[#This Row],[BatchMeansHalfWidth]])</f>
        <v>2.7457743728226142E-3</v>
      </c>
    </row>
    <row r="168" spans="1:21" x14ac:dyDescent="0.25">
      <c r="A168" t="s">
        <v>68</v>
      </c>
      <c r="B168" t="s">
        <v>131</v>
      </c>
      <c r="C168">
        <v>14</v>
      </c>
      <c r="D168" t="s">
        <v>103</v>
      </c>
      <c r="E168" t="s">
        <v>100</v>
      </c>
      <c r="F168" t="s">
        <v>99</v>
      </c>
      <c r="G168">
        <v>0.47271683942592402</v>
      </c>
      <c r="H168">
        <v>1.93362693933967E-2</v>
      </c>
      <c r="I168">
        <v>0</v>
      </c>
      <c r="J168">
        <v>1</v>
      </c>
      <c r="K168">
        <v>0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0.452397944183905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0.49691123629694001</v>
      </c>
      <c r="U168">
        <f>IF((ContinuousStatsTable[[#This Row],[RepsRequested]]&gt;1),ContinuousStatsTable[[#This Row],[HalfWidth]],ContinuousStatsTable[[#This Row],[BatchMeansHalfWidth]])</f>
        <v>2.7457743728226142E-3</v>
      </c>
    </row>
    <row r="169" spans="1:21" x14ac:dyDescent="0.25">
      <c r="A169" t="s">
        <v>68</v>
      </c>
      <c r="B169" t="s">
        <v>131</v>
      </c>
      <c r="C169">
        <v>14</v>
      </c>
      <c r="D169" t="s">
        <v>103</v>
      </c>
      <c r="E169" t="s">
        <v>101</v>
      </c>
      <c r="F169" t="s">
        <v>99</v>
      </c>
      <c r="G169">
        <v>1</v>
      </c>
      <c r="H169">
        <v>2E+20</v>
      </c>
      <c r="I169">
        <v>1</v>
      </c>
      <c r="J169">
        <v>1</v>
      </c>
      <c r="K169">
        <v>1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1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1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1</v>
      </c>
      <c r="U169">
        <f>IF((ContinuousStatsTable[[#This Row],[RepsRequested]]&gt;1),ContinuousStatsTable[[#This Row],[HalfWidth]],ContinuousStatsTable[[#This Row],[BatchMeansHalfWidth]])</f>
        <v>0</v>
      </c>
    </row>
    <row r="170" spans="1:21" x14ac:dyDescent="0.25">
      <c r="A170" t="s">
        <v>68</v>
      </c>
      <c r="B170" t="s">
        <v>131</v>
      </c>
      <c r="C170">
        <v>15</v>
      </c>
      <c r="D170" t="s">
        <v>70</v>
      </c>
      <c r="E170" t="s">
        <v>95</v>
      </c>
      <c r="F170" t="s">
        <v>72</v>
      </c>
      <c r="G170">
        <v>6.4224285369499503</v>
      </c>
      <c r="H170">
        <v>1.4583617154936399</v>
      </c>
      <c r="I170">
        <v>0</v>
      </c>
      <c r="J170">
        <v>27</v>
      </c>
      <c r="K170">
        <v>5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PacientesEntity 1WIPEntity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3.9757448048151298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6.9386840633215803</v>
      </c>
      <c r="U170">
        <f>IF((ContinuousStatsTable[[#This Row],[RepsRequested]]&gt;1),ContinuousStatsTable[[#This Row],[HalfWidth]],ContinuousStatsTable[[#This Row],[BatchMeansHalfWidth]])</f>
        <v>0.22030607219171747</v>
      </c>
    </row>
    <row r="171" spans="1:21" x14ac:dyDescent="0.25">
      <c r="A171" t="s">
        <v>68</v>
      </c>
      <c r="B171" t="s">
        <v>131</v>
      </c>
      <c r="C171">
        <v>15</v>
      </c>
      <c r="D171" t="s">
        <v>83</v>
      </c>
      <c r="E171" t="s">
        <v>96</v>
      </c>
      <c r="F171" t="s">
        <v>85</v>
      </c>
      <c r="G171">
        <v>4.0078527743618899</v>
      </c>
      <c r="H171">
        <v>1.3630383279829399</v>
      </c>
      <c r="I171">
        <v>0</v>
      </c>
      <c r="J171">
        <v>24</v>
      </c>
      <c r="K171">
        <v>3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1.7200278735122601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4.5543512780988502</v>
      </c>
      <c r="U171">
        <f>IF((ContinuousStatsTable[[#This Row],[RepsRequested]]&gt;1),ContinuousStatsTable[[#This Row],[HalfWidth]],ContinuousStatsTable[[#This Row],[BatchMeansHalfWidth]])</f>
        <v>0.21041231434540877</v>
      </c>
    </row>
    <row r="172" spans="1:21" x14ac:dyDescent="0.25">
      <c r="A172" t="s">
        <v>68</v>
      </c>
      <c r="B172" t="s">
        <v>131</v>
      </c>
      <c r="C172">
        <v>15</v>
      </c>
      <c r="D172" t="s">
        <v>87</v>
      </c>
      <c r="E172" t="s">
        <v>96</v>
      </c>
      <c r="F172" t="s">
        <v>85</v>
      </c>
      <c r="G172">
        <v>0.218783417767517</v>
      </c>
      <c r="H172">
        <v>3.89731656645863E-2</v>
      </c>
      <c r="I172">
        <v>0</v>
      </c>
      <c r="J172">
        <v>5</v>
      </c>
      <c r="K172">
        <v>0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0.172815232766103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0.24783514900621301</v>
      </c>
      <c r="U172">
        <f>IF((ContinuousStatsTable[[#This Row],[RepsRequested]]&gt;1),ContinuousStatsTable[[#This Row],[HalfWidth]],ContinuousStatsTable[[#This Row],[BatchMeansHalfWidth]])</f>
        <v>4.7768909384897544E-3</v>
      </c>
    </row>
    <row r="173" spans="1:21" x14ac:dyDescent="0.25">
      <c r="A173" t="s">
        <v>68</v>
      </c>
      <c r="B173" t="s">
        <v>131</v>
      </c>
      <c r="C173">
        <v>15</v>
      </c>
      <c r="D173" t="s">
        <v>97</v>
      </c>
      <c r="E173" t="s">
        <v>98</v>
      </c>
      <c r="F173" t="s">
        <v>99</v>
      </c>
      <c r="G173">
        <v>0.56747047867564104</v>
      </c>
      <c r="H173">
        <v>2.6440354387734299E-2</v>
      </c>
      <c r="I173">
        <v>0</v>
      </c>
      <c r="J173">
        <v>0.66666666666666696</v>
      </c>
      <c r="K173">
        <v>0.66666666666666696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0.52470641844357602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0.57005812966092095</v>
      </c>
      <c r="U173">
        <f>IF((ContinuousStatsTable[[#This Row],[RepsRequested]]&gt;1),ContinuousStatsTable[[#This Row],[HalfWidth]],ContinuousStatsTable[[#This Row],[BatchMeansHalfWidth]])</f>
        <v>2.9048243757695521E-3</v>
      </c>
    </row>
    <row r="174" spans="1:21" x14ac:dyDescent="0.25">
      <c r="A174" t="s">
        <v>68</v>
      </c>
      <c r="B174" t="s">
        <v>131</v>
      </c>
      <c r="C174">
        <v>15</v>
      </c>
      <c r="D174" t="s">
        <v>97</v>
      </c>
      <c r="E174" t="s">
        <v>100</v>
      </c>
      <c r="F174" t="s">
        <v>99</v>
      </c>
      <c r="G174">
        <v>1.70241143602692</v>
      </c>
      <c r="H174">
        <v>7.9321063163202907E-2</v>
      </c>
      <c r="I174">
        <v>0</v>
      </c>
      <c r="J174">
        <v>2</v>
      </c>
      <c r="K174">
        <v>2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1.5741192553307399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1.7101743889827701</v>
      </c>
      <c r="U174">
        <f>IF((ContinuousStatsTable[[#This Row],[RepsRequested]]&gt;1),ContinuousStatsTable[[#This Row],[HalfWidth]],ContinuousStatsTable[[#This Row],[BatchMeansHalfWidth]])</f>
        <v>8.7144731273084922E-3</v>
      </c>
    </row>
    <row r="175" spans="1:21" x14ac:dyDescent="0.25">
      <c r="A175" t="s">
        <v>68</v>
      </c>
      <c r="B175" t="s">
        <v>131</v>
      </c>
      <c r="C175">
        <v>15</v>
      </c>
      <c r="D175" t="s">
        <v>97</v>
      </c>
      <c r="E175" t="s">
        <v>101</v>
      </c>
      <c r="F175" t="s">
        <v>99</v>
      </c>
      <c r="G175">
        <v>3</v>
      </c>
      <c r="H175">
        <v>2E+20</v>
      </c>
      <c r="I175">
        <v>3</v>
      </c>
      <c r="J175">
        <v>3</v>
      </c>
      <c r="K175">
        <v>3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3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3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3</v>
      </c>
      <c r="U175">
        <f>IF((ContinuousStatsTable[[#This Row],[RepsRequested]]&gt;1),ContinuousStatsTable[[#This Row],[HalfWidth]],ContinuousStatsTable[[#This Row],[BatchMeansHalfWidth]])</f>
        <v>0</v>
      </c>
    </row>
    <row r="176" spans="1:21" x14ac:dyDescent="0.25">
      <c r="A176" t="s">
        <v>68</v>
      </c>
      <c r="B176" t="s">
        <v>131</v>
      </c>
      <c r="C176">
        <v>15</v>
      </c>
      <c r="D176" t="s">
        <v>102</v>
      </c>
      <c r="E176" t="s">
        <v>98</v>
      </c>
      <c r="F176" t="s">
        <v>99</v>
      </c>
      <c r="G176">
        <v>0.85120571801346201</v>
      </c>
      <c r="H176">
        <v>3.9660531581601398E-2</v>
      </c>
      <c r="I176">
        <v>0</v>
      </c>
      <c r="J176">
        <v>1</v>
      </c>
      <c r="K176">
        <v>1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0.78705962766536897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0.85508719449138504</v>
      </c>
      <c r="U176">
        <f>IF((ContinuousStatsTable[[#This Row],[RepsRequested]]&gt;1),ContinuousStatsTable[[#This Row],[HalfWidth]],ContinuousStatsTable[[#This Row],[BatchMeansHalfWidth]])</f>
        <v>4.3572365636542886E-3</v>
      </c>
    </row>
    <row r="177" spans="1:21" x14ac:dyDescent="0.25">
      <c r="A177" t="s">
        <v>68</v>
      </c>
      <c r="B177" t="s">
        <v>131</v>
      </c>
      <c r="C177">
        <v>15</v>
      </c>
      <c r="D177" t="s">
        <v>102</v>
      </c>
      <c r="E177" t="s">
        <v>100</v>
      </c>
      <c r="F177" t="s">
        <v>99</v>
      </c>
      <c r="G177">
        <v>1.70241143602692</v>
      </c>
      <c r="H177">
        <v>7.9321063163202907E-2</v>
      </c>
      <c r="I177">
        <v>0</v>
      </c>
      <c r="J177">
        <v>2</v>
      </c>
      <c r="K177">
        <v>2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1.5741192553307399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1.7101743889827701</v>
      </c>
      <c r="U177">
        <f>IF((ContinuousStatsTable[[#This Row],[RepsRequested]]&gt;1),ContinuousStatsTable[[#This Row],[HalfWidth]],ContinuousStatsTable[[#This Row],[BatchMeansHalfWidth]])</f>
        <v>8.7144731273084922E-3</v>
      </c>
    </row>
    <row r="178" spans="1:21" x14ac:dyDescent="0.25">
      <c r="A178" t="s">
        <v>68</v>
      </c>
      <c r="B178" t="s">
        <v>131</v>
      </c>
      <c r="C178">
        <v>15</v>
      </c>
      <c r="D178" t="s">
        <v>102</v>
      </c>
      <c r="E178" t="s">
        <v>101</v>
      </c>
      <c r="F178" t="s">
        <v>99</v>
      </c>
      <c r="G178">
        <v>2</v>
      </c>
      <c r="H178">
        <v>2E+20</v>
      </c>
      <c r="I178">
        <v>2</v>
      </c>
      <c r="J178">
        <v>2</v>
      </c>
      <c r="K178">
        <v>2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2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2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2</v>
      </c>
      <c r="U178">
        <f>IF((ContinuousStatsTable[[#This Row],[RepsRequested]]&gt;1),ContinuousStatsTable[[#This Row],[HalfWidth]],ContinuousStatsTable[[#This Row],[BatchMeansHalfWidth]])</f>
        <v>0</v>
      </c>
    </row>
    <row r="179" spans="1:21" x14ac:dyDescent="0.25">
      <c r="A179" t="s">
        <v>68</v>
      </c>
      <c r="B179" t="s">
        <v>131</v>
      </c>
      <c r="C179">
        <v>15</v>
      </c>
      <c r="D179" t="s">
        <v>103</v>
      </c>
      <c r="E179" t="s">
        <v>98</v>
      </c>
      <c r="F179" t="s">
        <v>99</v>
      </c>
      <c r="G179">
        <v>0.49338090879359398</v>
      </c>
      <c r="H179">
        <v>2.3576586810140899E-2</v>
      </c>
      <c r="I179">
        <v>0</v>
      </c>
      <c r="J179">
        <v>1</v>
      </c>
      <c r="K179">
        <v>0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0.452397944183905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0.49691123629694001</v>
      </c>
      <c r="U179">
        <f>IF((ContinuousStatsTable[[#This Row],[RepsRequested]]&gt;1),ContinuousStatsTable[[#This Row],[HalfWidth]],ContinuousStatsTable[[#This Row],[BatchMeansHalfWidth]])</f>
        <v>2.7457743728226142E-3</v>
      </c>
    </row>
    <row r="180" spans="1:21" x14ac:dyDescent="0.25">
      <c r="A180" t="s">
        <v>68</v>
      </c>
      <c r="B180" t="s">
        <v>131</v>
      </c>
      <c r="C180">
        <v>15</v>
      </c>
      <c r="D180" t="s">
        <v>103</v>
      </c>
      <c r="E180" t="s">
        <v>100</v>
      </c>
      <c r="F180" t="s">
        <v>99</v>
      </c>
      <c r="G180">
        <v>0.49338090879359398</v>
      </c>
      <c r="H180">
        <v>2.3576586810140899E-2</v>
      </c>
      <c r="I180">
        <v>0</v>
      </c>
      <c r="J180">
        <v>1</v>
      </c>
      <c r="K180">
        <v>0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0.452397944183905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0.49691123629694001</v>
      </c>
      <c r="U180">
        <f>IF((ContinuousStatsTable[[#This Row],[RepsRequested]]&gt;1),ContinuousStatsTable[[#This Row],[HalfWidth]],ContinuousStatsTable[[#This Row],[BatchMeansHalfWidth]])</f>
        <v>2.7457743728226142E-3</v>
      </c>
    </row>
    <row r="181" spans="1:21" x14ac:dyDescent="0.25">
      <c r="A181" t="s">
        <v>68</v>
      </c>
      <c r="B181" t="s">
        <v>131</v>
      </c>
      <c r="C181">
        <v>15</v>
      </c>
      <c r="D181" t="s">
        <v>103</v>
      </c>
      <c r="E181" t="s">
        <v>101</v>
      </c>
      <c r="F181" t="s">
        <v>99</v>
      </c>
      <c r="G181">
        <v>1</v>
      </c>
      <c r="H181">
        <v>2E+20</v>
      </c>
      <c r="I181">
        <v>1</v>
      </c>
      <c r="J181">
        <v>1</v>
      </c>
      <c r="K181">
        <v>1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1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0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1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1</v>
      </c>
      <c r="U181">
        <f>IF((ContinuousStatsTable[[#This Row],[RepsRequested]]&gt;1),ContinuousStatsTable[[#This Row],[HalfWidth]],ContinuousStatsTable[[#This Row],[BatchMeansHalfWidth]])</f>
        <v>0</v>
      </c>
    </row>
    <row r="182" spans="1:21" x14ac:dyDescent="0.25">
      <c r="A182" t="s">
        <v>68</v>
      </c>
      <c r="B182" t="s">
        <v>131</v>
      </c>
      <c r="C182">
        <v>16</v>
      </c>
      <c r="D182" t="s">
        <v>70</v>
      </c>
      <c r="E182" t="s">
        <v>95</v>
      </c>
      <c r="F182" t="s">
        <v>72</v>
      </c>
      <c r="G182">
        <v>5.9639495941831999</v>
      </c>
      <c r="H182">
        <v>3E+20</v>
      </c>
      <c r="I182">
        <v>0</v>
      </c>
      <c r="J182">
        <v>38</v>
      </c>
      <c r="K182">
        <v>2</v>
      </c>
      <c r="L182">
        <v>0</v>
      </c>
      <c r="M182" t="str">
        <f>ContinuousStatsTable[[#This Row],[ProjectName]]&amp;ContinuousStatsTable[[#This Row],[Name]]&amp;ContinuousStatsTable[[#This Row],[Type]]&amp;ContinuousStatsTable[[#This Row],[Source]]</f>
        <v>PacientesEntity 1WIPEntity</v>
      </c>
      <c r="N182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cm="1">
        <f t="array" ref="O182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182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182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182" cm="1">
        <f t="array" ref="S182">MIN(IF((ContinuousStatsTable[GroupByKey]=ContinuousStatsTable[[#This Row],[GroupByKey]]),(ContinuousStatsTable[GroupByKey]=ContinuousStatsTable[[#This Row],[GroupByKey]])*ContinuousStatsTable[Average]))</f>
        <v>3.9757448048151298</v>
      </c>
      <c r="T182" cm="1">
        <f t="array" ref="T182">MAX(IF((ContinuousStatsTable[GroupByKey]=ContinuousStatsTable[[#This Row],[GroupByKey]]),(ContinuousStatsTable[GroupByKey]=ContinuousStatsTable[[#This Row],[GroupByKey]])*ContinuousStatsTable[Average]))</f>
        <v>6.9386840633215803</v>
      </c>
      <c r="U182">
        <f>IF((ContinuousStatsTable[[#This Row],[RepsRequested]]&gt;1),ContinuousStatsTable[[#This Row],[HalfWidth]],ContinuousStatsTable[[#This Row],[BatchMeansHalfWidth]])</f>
        <v>0.22030607219171747</v>
      </c>
    </row>
    <row r="183" spans="1:21" x14ac:dyDescent="0.25">
      <c r="A183" t="s">
        <v>68</v>
      </c>
      <c r="B183" t="s">
        <v>131</v>
      </c>
      <c r="C183">
        <v>16</v>
      </c>
      <c r="D183" t="s">
        <v>83</v>
      </c>
      <c r="E183" t="s">
        <v>96</v>
      </c>
      <c r="F183" t="s">
        <v>85</v>
      </c>
      <c r="G183">
        <v>3.68462672133216</v>
      </c>
      <c r="H183">
        <v>3E+20</v>
      </c>
      <c r="I183">
        <v>0</v>
      </c>
      <c r="J183">
        <v>35</v>
      </c>
      <c r="K183">
        <v>0</v>
      </c>
      <c r="L183">
        <v>0</v>
      </c>
      <c r="M183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183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cm="1">
        <f t="array" ref="O183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183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183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183" cm="1">
        <f t="array" ref="S183">MIN(IF((ContinuousStatsTable[GroupByKey]=ContinuousStatsTable[[#This Row],[GroupByKey]]),(ContinuousStatsTable[GroupByKey]=ContinuousStatsTable[[#This Row],[GroupByKey]])*ContinuousStatsTable[Average]))</f>
        <v>1.7200278735122601</v>
      </c>
      <c r="T183" cm="1">
        <f t="array" ref="T183">MAX(IF((ContinuousStatsTable[GroupByKey]=ContinuousStatsTable[[#This Row],[GroupByKey]]),(ContinuousStatsTable[GroupByKey]=ContinuousStatsTable[[#This Row],[GroupByKey]])*ContinuousStatsTable[Average]))</f>
        <v>4.5543512780988502</v>
      </c>
      <c r="U183">
        <f>IF((ContinuousStatsTable[[#This Row],[RepsRequested]]&gt;1),ContinuousStatsTable[[#This Row],[HalfWidth]],ContinuousStatsTable[[#This Row],[BatchMeansHalfWidth]])</f>
        <v>0.21041231434540877</v>
      </c>
    </row>
    <row r="184" spans="1:21" x14ac:dyDescent="0.25">
      <c r="A184" t="s">
        <v>68</v>
      </c>
      <c r="B184" t="s">
        <v>131</v>
      </c>
      <c r="C184">
        <v>16</v>
      </c>
      <c r="D184" t="s">
        <v>87</v>
      </c>
      <c r="E184" t="s">
        <v>96</v>
      </c>
      <c r="F184" t="s">
        <v>85</v>
      </c>
      <c r="G184">
        <v>0.211001900239393</v>
      </c>
      <c r="H184">
        <v>3.4717980981171501E-2</v>
      </c>
      <c r="I184">
        <v>0</v>
      </c>
      <c r="J184">
        <v>6</v>
      </c>
      <c r="K184">
        <v>0</v>
      </c>
      <c r="L184">
        <v>0</v>
      </c>
      <c r="M184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184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cm="1">
        <f t="array" ref="O184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184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184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184" cm="1">
        <f t="array" ref="S184">MIN(IF((ContinuousStatsTable[GroupByKey]=ContinuousStatsTable[[#This Row],[GroupByKey]]),(ContinuousStatsTable[GroupByKey]=ContinuousStatsTable[[#This Row],[GroupByKey]])*ContinuousStatsTable[Average]))</f>
        <v>0.172815232766103</v>
      </c>
      <c r="T184" cm="1">
        <f t="array" ref="T184">MAX(IF((ContinuousStatsTable[GroupByKey]=ContinuousStatsTable[[#This Row],[GroupByKey]]),(ContinuousStatsTable[GroupByKey]=ContinuousStatsTable[[#This Row],[GroupByKey]])*ContinuousStatsTable[Average]))</f>
        <v>0.24783514900621301</v>
      </c>
      <c r="U184">
        <f>IF((ContinuousStatsTable[[#This Row],[RepsRequested]]&gt;1),ContinuousStatsTable[[#This Row],[HalfWidth]],ContinuousStatsTable[[#This Row],[BatchMeansHalfWidth]])</f>
        <v>4.7768909384897544E-3</v>
      </c>
    </row>
    <row r="185" spans="1:21" x14ac:dyDescent="0.25">
      <c r="A185" t="s">
        <v>68</v>
      </c>
      <c r="B185" t="s">
        <v>131</v>
      </c>
      <c r="C185">
        <v>16</v>
      </c>
      <c r="D185" t="s">
        <v>97</v>
      </c>
      <c r="E185" t="s">
        <v>98</v>
      </c>
      <c r="F185" t="s">
        <v>99</v>
      </c>
      <c r="G185">
        <v>0.53652139538430299</v>
      </c>
      <c r="H185">
        <v>2.5979146262739901E-2</v>
      </c>
      <c r="I185">
        <v>0</v>
      </c>
      <c r="J185">
        <v>0.66666666666666696</v>
      </c>
      <c r="K185">
        <v>0.33333333333333298</v>
      </c>
      <c r="L185">
        <v>0</v>
      </c>
      <c r="M185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18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cm="1">
        <f t="array" ref="O185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18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18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185" cm="1">
        <f t="array" ref="S185">MIN(IF((ContinuousStatsTable[GroupByKey]=ContinuousStatsTable[[#This Row],[GroupByKey]]),(ContinuousStatsTable[GroupByKey]=ContinuousStatsTable[[#This Row],[GroupByKey]])*ContinuousStatsTable[Average]))</f>
        <v>0.52470641844357602</v>
      </c>
      <c r="T185" cm="1">
        <f t="array" ref="T185">MAX(IF((ContinuousStatsTable[GroupByKey]=ContinuousStatsTable[[#This Row],[GroupByKey]]),(ContinuousStatsTable[GroupByKey]=ContinuousStatsTable[[#This Row],[GroupByKey]])*ContinuousStatsTable[Average]))</f>
        <v>0.57005812966092095</v>
      </c>
      <c r="U185">
        <f>IF((ContinuousStatsTable[[#This Row],[RepsRequested]]&gt;1),ContinuousStatsTable[[#This Row],[HalfWidth]],ContinuousStatsTable[[#This Row],[BatchMeansHalfWidth]])</f>
        <v>2.9048243757695521E-3</v>
      </c>
    </row>
    <row r="186" spans="1:21" x14ac:dyDescent="0.25">
      <c r="A186" t="s">
        <v>68</v>
      </c>
      <c r="B186" t="s">
        <v>131</v>
      </c>
      <c r="C186">
        <v>16</v>
      </c>
      <c r="D186" t="s">
        <v>97</v>
      </c>
      <c r="E186" t="s">
        <v>100</v>
      </c>
      <c r="F186" t="s">
        <v>99</v>
      </c>
      <c r="G186">
        <v>1.6095641861529</v>
      </c>
      <c r="H186">
        <v>7.7937438788219598E-2</v>
      </c>
      <c r="I186">
        <v>0</v>
      </c>
      <c r="J186">
        <v>2</v>
      </c>
      <c r="K186">
        <v>1</v>
      </c>
      <c r="L186">
        <v>0</v>
      </c>
      <c r="M186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186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cm="1">
        <f t="array" ref="O186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86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86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86" cm="1">
        <f t="array" ref="S186">MIN(IF((ContinuousStatsTable[GroupByKey]=ContinuousStatsTable[[#This Row],[GroupByKey]]),(ContinuousStatsTable[GroupByKey]=ContinuousStatsTable[[#This Row],[GroupByKey]])*ContinuousStatsTable[Average]))</f>
        <v>1.5741192553307399</v>
      </c>
      <c r="T186" cm="1">
        <f t="array" ref="T186">MAX(IF((ContinuousStatsTable[GroupByKey]=ContinuousStatsTable[[#This Row],[GroupByKey]]),(ContinuousStatsTable[GroupByKey]=ContinuousStatsTable[[#This Row],[GroupByKey]])*ContinuousStatsTable[Average]))</f>
        <v>1.7101743889827701</v>
      </c>
      <c r="U186">
        <f>IF((ContinuousStatsTable[[#This Row],[RepsRequested]]&gt;1),ContinuousStatsTable[[#This Row],[HalfWidth]],ContinuousStatsTable[[#This Row],[BatchMeansHalfWidth]])</f>
        <v>8.7144731273084922E-3</v>
      </c>
    </row>
    <row r="187" spans="1:21" x14ac:dyDescent="0.25">
      <c r="A187" t="s">
        <v>68</v>
      </c>
      <c r="B187" t="s">
        <v>131</v>
      </c>
      <c r="C187">
        <v>16</v>
      </c>
      <c r="D187" t="s">
        <v>97</v>
      </c>
      <c r="E187" t="s">
        <v>101</v>
      </c>
      <c r="F187" t="s">
        <v>99</v>
      </c>
      <c r="G187">
        <v>3</v>
      </c>
      <c r="H187">
        <v>2E+20</v>
      </c>
      <c r="I187">
        <v>3</v>
      </c>
      <c r="J187">
        <v>3</v>
      </c>
      <c r="K187">
        <v>3</v>
      </c>
      <c r="L187">
        <v>0</v>
      </c>
      <c r="M187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187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cm="1">
        <f t="array" ref="O187">IFERROR(AVERAGE(IF((ContinuousStatsTable[GroupByKey]=ContinuousStatsTable[[#This Row],[GroupByKey]]),(ContinuousStatsTable[GroupByKey]=ContinuousStatsTable[[#This Row],[GroupByKey]])*ContinuousStatsTable[Average])),0)</f>
        <v>3</v>
      </c>
      <c r="P187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cm="1">
        <f t="array" ref="S187">MIN(IF((ContinuousStatsTable[GroupByKey]=ContinuousStatsTable[[#This Row],[GroupByKey]]),(ContinuousStatsTable[GroupByKey]=ContinuousStatsTable[[#This Row],[GroupByKey]])*ContinuousStatsTable[Average]))</f>
        <v>3</v>
      </c>
      <c r="T187" cm="1">
        <f t="array" ref="T187">MAX(IF((ContinuousStatsTable[GroupByKey]=ContinuousStatsTable[[#This Row],[GroupByKey]]),(ContinuousStatsTable[GroupByKey]=ContinuousStatsTable[[#This Row],[GroupByKey]])*ContinuousStatsTable[Average]))</f>
        <v>3</v>
      </c>
      <c r="U187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68</v>
      </c>
      <c r="B188" t="s">
        <v>131</v>
      </c>
      <c r="C188">
        <v>16</v>
      </c>
      <c r="D188" t="s">
        <v>102</v>
      </c>
      <c r="E188" t="s">
        <v>98</v>
      </c>
      <c r="F188" t="s">
        <v>99</v>
      </c>
      <c r="G188">
        <v>0.80478209307645199</v>
      </c>
      <c r="H188">
        <v>3.8968719394109799E-2</v>
      </c>
      <c r="I188">
        <v>0</v>
      </c>
      <c r="J188">
        <v>1</v>
      </c>
      <c r="K188">
        <v>0.5</v>
      </c>
      <c r="L188">
        <v>0</v>
      </c>
      <c r="M188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188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cm="1">
        <f t="array" ref="O188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188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188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188" cm="1">
        <f t="array" ref="S188">MIN(IF((ContinuousStatsTable[GroupByKey]=ContinuousStatsTable[[#This Row],[GroupByKey]]),(ContinuousStatsTable[GroupByKey]=ContinuousStatsTable[[#This Row],[GroupByKey]])*ContinuousStatsTable[Average]))</f>
        <v>0.78705962766536897</v>
      </c>
      <c r="T188" cm="1">
        <f t="array" ref="T188">MAX(IF((ContinuousStatsTable[GroupByKey]=ContinuousStatsTable[[#This Row],[GroupByKey]]),(ContinuousStatsTable[GroupByKey]=ContinuousStatsTable[[#This Row],[GroupByKey]])*ContinuousStatsTable[Average]))</f>
        <v>0.85508719449138504</v>
      </c>
      <c r="U188">
        <f>IF((ContinuousStatsTable[[#This Row],[RepsRequested]]&gt;1),ContinuousStatsTable[[#This Row],[HalfWidth]],ContinuousStatsTable[[#This Row],[BatchMeansHalfWidth]])</f>
        <v>4.3572365636542886E-3</v>
      </c>
    </row>
    <row r="189" spans="1:21" x14ac:dyDescent="0.25">
      <c r="A189" t="s">
        <v>68</v>
      </c>
      <c r="B189" t="s">
        <v>131</v>
      </c>
      <c r="C189">
        <v>16</v>
      </c>
      <c r="D189" t="s">
        <v>102</v>
      </c>
      <c r="E189" t="s">
        <v>100</v>
      </c>
      <c r="F189" t="s">
        <v>99</v>
      </c>
      <c r="G189">
        <v>1.6095641861529</v>
      </c>
      <c r="H189">
        <v>7.7937438788219598E-2</v>
      </c>
      <c r="I189">
        <v>0</v>
      </c>
      <c r="J189">
        <v>2</v>
      </c>
      <c r="K189">
        <v>1</v>
      </c>
      <c r="L189">
        <v>0</v>
      </c>
      <c r="M189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189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cm="1">
        <f t="array" ref="O189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89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89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89" cm="1">
        <f t="array" ref="S189">MIN(IF((ContinuousStatsTable[GroupByKey]=ContinuousStatsTable[[#This Row],[GroupByKey]]),(ContinuousStatsTable[GroupByKey]=ContinuousStatsTable[[#This Row],[GroupByKey]])*ContinuousStatsTable[Average]))</f>
        <v>1.5741192553307399</v>
      </c>
      <c r="T189" cm="1">
        <f t="array" ref="T189">MAX(IF((ContinuousStatsTable[GroupByKey]=ContinuousStatsTable[[#This Row],[GroupByKey]]),(ContinuousStatsTable[GroupByKey]=ContinuousStatsTable[[#This Row],[GroupByKey]])*ContinuousStatsTable[Average]))</f>
        <v>1.7101743889827701</v>
      </c>
      <c r="U189">
        <f>IF((ContinuousStatsTable[[#This Row],[RepsRequested]]&gt;1),ContinuousStatsTable[[#This Row],[HalfWidth]],ContinuousStatsTable[[#This Row],[BatchMeansHalfWidth]])</f>
        <v>8.7144731273084922E-3</v>
      </c>
    </row>
    <row r="190" spans="1:21" x14ac:dyDescent="0.25">
      <c r="A190" t="s">
        <v>68</v>
      </c>
      <c r="B190" t="s">
        <v>131</v>
      </c>
      <c r="C190">
        <v>16</v>
      </c>
      <c r="D190" t="s">
        <v>102</v>
      </c>
      <c r="E190" t="s">
        <v>101</v>
      </c>
      <c r="F190" t="s">
        <v>99</v>
      </c>
      <c r="G190">
        <v>2</v>
      </c>
      <c r="H190">
        <v>2E+20</v>
      </c>
      <c r="I190">
        <v>2</v>
      </c>
      <c r="J190">
        <v>2</v>
      </c>
      <c r="K190">
        <v>2</v>
      </c>
      <c r="L190">
        <v>0</v>
      </c>
      <c r="M190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190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cm="1">
        <f t="array" ref="O190">IFERROR(AVERAGE(IF((ContinuousStatsTable[GroupByKey]=ContinuousStatsTable[[#This Row],[GroupByKey]]),(ContinuousStatsTable[GroupByKey]=ContinuousStatsTable[[#This Row],[GroupByKey]])*ContinuousStatsTable[Average])),0)</f>
        <v>2</v>
      </c>
      <c r="P190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cm="1">
        <f t="array" ref="S190">MIN(IF((ContinuousStatsTable[GroupByKey]=ContinuousStatsTable[[#This Row],[GroupByKey]]),(ContinuousStatsTable[GroupByKey]=ContinuousStatsTable[[#This Row],[GroupByKey]])*ContinuousStatsTable[Average]))</f>
        <v>2</v>
      </c>
      <c r="T190" cm="1">
        <f t="array" ref="T190">MAX(IF((ContinuousStatsTable[GroupByKey]=ContinuousStatsTable[[#This Row],[GroupByKey]]),(ContinuousStatsTable[GroupByKey]=ContinuousStatsTable[[#This Row],[GroupByKey]])*ContinuousStatsTable[Average]))</f>
        <v>2</v>
      </c>
      <c r="U190">
        <f>IF((ContinuousStatsTable[[#This Row],[RepsRequested]]&gt;1),ContinuousStatsTable[[#This Row],[HalfWidth]],ContinuousStatsTable[[#This Row],[BatchMeansHalfWidth]])</f>
        <v>0</v>
      </c>
    </row>
    <row r="191" spans="1:21" x14ac:dyDescent="0.25">
      <c r="A191" t="s">
        <v>68</v>
      </c>
      <c r="B191" t="s">
        <v>131</v>
      </c>
      <c r="C191">
        <v>16</v>
      </c>
      <c r="D191" t="s">
        <v>103</v>
      </c>
      <c r="E191" t="s">
        <v>98</v>
      </c>
      <c r="F191" t="s">
        <v>99</v>
      </c>
      <c r="G191">
        <v>0.45875678645874901</v>
      </c>
      <c r="H191">
        <v>2.14061666069774E-2</v>
      </c>
      <c r="I191">
        <v>0</v>
      </c>
      <c r="J191">
        <v>1</v>
      </c>
      <c r="K191">
        <v>1</v>
      </c>
      <c r="L191">
        <v>0</v>
      </c>
      <c r="M191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191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cm="1">
        <f t="array" ref="O191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91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91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91" cm="1">
        <f t="array" ref="S191">MIN(IF((ContinuousStatsTable[GroupByKey]=ContinuousStatsTable[[#This Row],[GroupByKey]]),(ContinuousStatsTable[GroupByKey]=ContinuousStatsTable[[#This Row],[GroupByKey]])*ContinuousStatsTable[Average]))</f>
        <v>0.452397944183905</v>
      </c>
      <c r="T191" cm="1">
        <f t="array" ref="T191">MAX(IF((ContinuousStatsTable[GroupByKey]=ContinuousStatsTable[[#This Row],[GroupByKey]]),(ContinuousStatsTable[GroupByKey]=ContinuousStatsTable[[#This Row],[GroupByKey]])*ContinuousStatsTable[Average]))</f>
        <v>0.49691123629694001</v>
      </c>
      <c r="U191">
        <f>IF((ContinuousStatsTable[[#This Row],[RepsRequested]]&gt;1),ContinuousStatsTable[[#This Row],[HalfWidth]],ContinuousStatsTable[[#This Row],[BatchMeansHalfWidth]])</f>
        <v>2.7457743728226142E-3</v>
      </c>
    </row>
    <row r="192" spans="1:21" x14ac:dyDescent="0.25">
      <c r="A192" t="s">
        <v>68</v>
      </c>
      <c r="B192" t="s">
        <v>131</v>
      </c>
      <c r="C192">
        <v>16</v>
      </c>
      <c r="D192" t="s">
        <v>103</v>
      </c>
      <c r="E192" t="s">
        <v>100</v>
      </c>
      <c r="F192" t="s">
        <v>99</v>
      </c>
      <c r="G192">
        <v>0.45875678645874901</v>
      </c>
      <c r="H192">
        <v>2.14061666069774E-2</v>
      </c>
      <c r="I192">
        <v>0</v>
      </c>
      <c r="J192">
        <v>1</v>
      </c>
      <c r="K192">
        <v>1</v>
      </c>
      <c r="L192">
        <v>0</v>
      </c>
      <c r="M192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192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cm="1">
        <f t="array" ref="O192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192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192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192" cm="1">
        <f t="array" ref="S192">MIN(IF((ContinuousStatsTable[GroupByKey]=ContinuousStatsTable[[#This Row],[GroupByKey]]),(ContinuousStatsTable[GroupByKey]=ContinuousStatsTable[[#This Row],[GroupByKey]])*ContinuousStatsTable[Average]))</f>
        <v>0.452397944183905</v>
      </c>
      <c r="T192" cm="1">
        <f t="array" ref="T192">MAX(IF((ContinuousStatsTable[GroupByKey]=ContinuousStatsTable[[#This Row],[GroupByKey]]),(ContinuousStatsTable[GroupByKey]=ContinuousStatsTable[[#This Row],[GroupByKey]])*ContinuousStatsTable[Average]))</f>
        <v>0.49691123629694001</v>
      </c>
      <c r="U192">
        <f>IF((ContinuousStatsTable[[#This Row],[RepsRequested]]&gt;1),ContinuousStatsTable[[#This Row],[HalfWidth]],ContinuousStatsTable[[#This Row],[BatchMeansHalfWidth]])</f>
        <v>2.7457743728226142E-3</v>
      </c>
    </row>
    <row r="193" spans="1:21" x14ac:dyDescent="0.25">
      <c r="A193" t="s">
        <v>68</v>
      </c>
      <c r="B193" t="s">
        <v>131</v>
      </c>
      <c r="C193">
        <v>16</v>
      </c>
      <c r="D193" t="s">
        <v>103</v>
      </c>
      <c r="E193" t="s">
        <v>101</v>
      </c>
      <c r="F193" t="s">
        <v>99</v>
      </c>
      <c r="G193">
        <v>1</v>
      </c>
      <c r="H193">
        <v>2E+20</v>
      </c>
      <c r="I193">
        <v>1</v>
      </c>
      <c r="J193">
        <v>1</v>
      </c>
      <c r="K193">
        <v>1</v>
      </c>
      <c r="L193">
        <v>0</v>
      </c>
      <c r="M193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193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cm="1">
        <f t="array" ref="O193">IFERROR(AVERAGE(IF((ContinuousStatsTable[GroupByKey]=ContinuousStatsTable[[#This Row],[GroupByKey]]),(ContinuousStatsTable[GroupByKey]=ContinuousStatsTable[[#This Row],[GroupByKey]])*ContinuousStatsTable[Average])),0)</f>
        <v>1</v>
      </c>
      <c r="P193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cm="1">
        <f t="array" ref="S193">MIN(IF((ContinuousStatsTable[GroupByKey]=ContinuousStatsTable[[#This Row],[GroupByKey]]),(ContinuousStatsTable[GroupByKey]=ContinuousStatsTable[[#This Row],[GroupByKey]])*ContinuousStatsTable[Average]))</f>
        <v>1</v>
      </c>
      <c r="T193" cm="1">
        <f t="array" ref="T193">MAX(IF((ContinuousStatsTable[GroupByKey]=ContinuousStatsTable[[#This Row],[GroupByKey]]),(ContinuousStatsTable[GroupByKey]=ContinuousStatsTable[[#This Row],[GroupByKey]])*ContinuousStatsTable[Average]))</f>
        <v>1</v>
      </c>
      <c r="U193">
        <f>IF((ContinuousStatsTable[[#This Row],[RepsRequested]]&gt;1),ContinuousStatsTable[[#This Row],[HalfWidth]],ContinuousStatsTable[[#This Row],[BatchMeansHalfWidth]])</f>
        <v>0</v>
      </c>
    </row>
    <row r="194" spans="1:21" x14ac:dyDescent="0.25">
      <c r="A194" t="s">
        <v>68</v>
      </c>
      <c r="B194" t="s">
        <v>131</v>
      </c>
      <c r="C194">
        <v>17</v>
      </c>
      <c r="D194" t="s">
        <v>70</v>
      </c>
      <c r="E194" t="s">
        <v>95</v>
      </c>
      <c r="F194" t="s">
        <v>72</v>
      </c>
      <c r="G194">
        <v>4.5311400811908902</v>
      </c>
      <c r="H194">
        <v>0.9156596411472</v>
      </c>
      <c r="I194">
        <v>0</v>
      </c>
      <c r="J194">
        <v>21</v>
      </c>
      <c r="K194">
        <v>3</v>
      </c>
      <c r="L194">
        <v>0</v>
      </c>
      <c r="M194" t="str">
        <f>ContinuousStatsTable[[#This Row],[ProjectName]]&amp;ContinuousStatsTable[[#This Row],[Name]]&amp;ContinuousStatsTable[[#This Row],[Type]]&amp;ContinuousStatsTable[[#This Row],[Source]]</f>
        <v>PacientesEntity 1WIPEntity</v>
      </c>
      <c r="N194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cm="1">
        <f t="array" ref="O194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194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194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194" cm="1">
        <f t="array" ref="S194">MIN(IF((ContinuousStatsTable[GroupByKey]=ContinuousStatsTable[[#This Row],[GroupByKey]]),(ContinuousStatsTable[GroupByKey]=ContinuousStatsTable[[#This Row],[GroupByKey]])*ContinuousStatsTable[Average]))</f>
        <v>3.9757448048151298</v>
      </c>
      <c r="T194" cm="1">
        <f t="array" ref="T194">MAX(IF((ContinuousStatsTable[GroupByKey]=ContinuousStatsTable[[#This Row],[GroupByKey]]),(ContinuousStatsTable[GroupByKey]=ContinuousStatsTable[[#This Row],[GroupByKey]])*ContinuousStatsTable[Average]))</f>
        <v>6.9386840633215803</v>
      </c>
      <c r="U194">
        <f>IF((ContinuousStatsTable[[#This Row],[RepsRequested]]&gt;1),ContinuousStatsTable[[#This Row],[HalfWidth]],ContinuousStatsTable[[#This Row],[BatchMeansHalfWidth]])</f>
        <v>0.22030607219171747</v>
      </c>
    </row>
    <row r="195" spans="1:21" x14ac:dyDescent="0.25">
      <c r="A195" t="s">
        <v>68</v>
      </c>
      <c r="B195" t="s">
        <v>131</v>
      </c>
      <c r="C195">
        <v>17</v>
      </c>
      <c r="D195" t="s">
        <v>83</v>
      </c>
      <c r="E195" t="s">
        <v>96</v>
      </c>
      <c r="F195" t="s">
        <v>85</v>
      </c>
      <c r="G195">
        <v>2.2167046468439899</v>
      </c>
      <c r="H195">
        <v>0.80651614303161001</v>
      </c>
      <c r="I195">
        <v>0</v>
      </c>
      <c r="J195">
        <v>18</v>
      </c>
      <c r="K195">
        <v>1</v>
      </c>
      <c r="L195">
        <v>0</v>
      </c>
      <c r="M195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19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cm="1">
        <f t="array" ref="O195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19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19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195" cm="1">
        <f t="array" ref="S195">MIN(IF((ContinuousStatsTable[GroupByKey]=ContinuousStatsTable[[#This Row],[GroupByKey]]),(ContinuousStatsTable[GroupByKey]=ContinuousStatsTable[[#This Row],[GroupByKey]])*ContinuousStatsTable[Average]))</f>
        <v>1.7200278735122601</v>
      </c>
      <c r="T195" cm="1">
        <f t="array" ref="T195">MAX(IF((ContinuousStatsTable[GroupByKey]=ContinuousStatsTable[[#This Row],[GroupByKey]]),(ContinuousStatsTable[GroupByKey]=ContinuousStatsTable[[#This Row],[GroupByKey]])*ContinuousStatsTable[Average]))</f>
        <v>4.5543512780988502</v>
      </c>
      <c r="U195">
        <f>IF((ContinuousStatsTable[[#This Row],[RepsRequested]]&gt;1),ContinuousStatsTable[[#This Row],[HalfWidth]],ContinuousStatsTable[[#This Row],[BatchMeansHalfWidth]])</f>
        <v>0.21041231434540877</v>
      </c>
    </row>
    <row r="196" spans="1:21" x14ac:dyDescent="0.25">
      <c r="A196" t="s">
        <v>68</v>
      </c>
      <c r="B196" t="s">
        <v>131</v>
      </c>
      <c r="C196">
        <v>17</v>
      </c>
      <c r="D196" t="s">
        <v>87</v>
      </c>
      <c r="E196" t="s">
        <v>96</v>
      </c>
      <c r="F196" t="s">
        <v>85</v>
      </c>
      <c r="G196">
        <v>0.213640767084985</v>
      </c>
      <c r="H196">
        <v>4.1865038571756302E-2</v>
      </c>
      <c r="I196">
        <v>0</v>
      </c>
      <c r="J196">
        <v>7</v>
      </c>
      <c r="K196">
        <v>0</v>
      </c>
      <c r="L196">
        <v>0</v>
      </c>
      <c r="M196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196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cm="1">
        <f t="array" ref="O196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196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196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196" cm="1">
        <f t="array" ref="S196">MIN(IF((ContinuousStatsTable[GroupByKey]=ContinuousStatsTable[[#This Row],[GroupByKey]]),(ContinuousStatsTable[GroupByKey]=ContinuousStatsTable[[#This Row],[GroupByKey]])*ContinuousStatsTable[Average]))</f>
        <v>0.172815232766103</v>
      </c>
      <c r="T196" cm="1">
        <f t="array" ref="T196">MAX(IF((ContinuousStatsTable[GroupByKey]=ContinuousStatsTable[[#This Row],[GroupByKey]]),(ContinuousStatsTable[GroupByKey]=ContinuousStatsTable[[#This Row],[GroupByKey]])*ContinuousStatsTable[Average]))</f>
        <v>0.24783514900621301</v>
      </c>
      <c r="U196">
        <f>IF((ContinuousStatsTable[[#This Row],[RepsRequested]]&gt;1),ContinuousStatsTable[[#This Row],[HalfWidth]],ContinuousStatsTable[[#This Row],[BatchMeansHalfWidth]])</f>
        <v>4.7768909384897544E-3</v>
      </c>
    </row>
    <row r="197" spans="1:21" x14ac:dyDescent="0.25">
      <c r="A197" t="s">
        <v>68</v>
      </c>
      <c r="B197" t="s">
        <v>131</v>
      </c>
      <c r="C197">
        <v>17</v>
      </c>
      <c r="D197" t="s">
        <v>97</v>
      </c>
      <c r="E197" t="s">
        <v>98</v>
      </c>
      <c r="F197" t="s">
        <v>99</v>
      </c>
      <c r="G197">
        <v>0.54389099707331301</v>
      </c>
      <c r="H197">
        <v>2.3293303346996901E-2</v>
      </c>
      <c r="I197">
        <v>0</v>
      </c>
      <c r="J197">
        <v>0.66666666666666696</v>
      </c>
      <c r="K197">
        <v>0.66666666666666696</v>
      </c>
      <c r="L197">
        <v>0</v>
      </c>
      <c r="M197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197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cm="1">
        <f t="array" ref="O197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197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197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197" cm="1">
        <f t="array" ref="S197">MIN(IF((ContinuousStatsTable[GroupByKey]=ContinuousStatsTable[[#This Row],[GroupByKey]]),(ContinuousStatsTable[GroupByKey]=ContinuousStatsTable[[#This Row],[GroupByKey]])*ContinuousStatsTable[Average]))</f>
        <v>0.52470641844357602</v>
      </c>
      <c r="T197" cm="1">
        <f t="array" ref="T197">MAX(IF((ContinuousStatsTable[GroupByKey]=ContinuousStatsTable[[#This Row],[GroupByKey]]),(ContinuousStatsTable[GroupByKey]=ContinuousStatsTable[[#This Row],[GroupByKey]])*ContinuousStatsTable[Average]))</f>
        <v>0.57005812966092095</v>
      </c>
      <c r="U197">
        <f>IF((ContinuousStatsTable[[#This Row],[RepsRequested]]&gt;1),ContinuousStatsTable[[#This Row],[HalfWidth]],ContinuousStatsTable[[#This Row],[BatchMeansHalfWidth]])</f>
        <v>2.9048243757695521E-3</v>
      </c>
    </row>
    <row r="198" spans="1:21" x14ac:dyDescent="0.25">
      <c r="A198" t="s">
        <v>68</v>
      </c>
      <c r="B198" t="s">
        <v>131</v>
      </c>
      <c r="C198">
        <v>17</v>
      </c>
      <c r="D198" t="s">
        <v>97</v>
      </c>
      <c r="E198" t="s">
        <v>100</v>
      </c>
      <c r="F198" t="s">
        <v>99</v>
      </c>
      <c r="G198">
        <v>1.6316729912199399</v>
      </c>
      <c r="H198">
        <v>6.9879910040990798E-2</v>
      </c>
      <c r="I198">
        <v>0</v>
      </c>
      <c r="J198">
        <v>2</v>
      </c>
      <c r="K198">
        <v>2</v>
      </c>
      <c r="L198">
        <v>0</v>
      </c>
      <c r="M198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198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cm="1">
        <f t="array" ref="O198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198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198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198" cm="1">
        <f t="array" ref="S198">MIN(IF((ContinuousStatsTable[GroupByKey]=ContinuousStatsTable[[#This Row],[GroupByKey]]),(ContinuousStatsTable[GroupByKey]=ContinuousStatsTable[[#This Row],[GroupByKey]])*ContinuousStatsTable[Average]))</f>
        <v>1.5741192553307399</v>
      </c>
      <c r="T198" cm="1">
        <f t="array" ref="T198">MAX(IF((ContinuousStatsTable[GroupByKey]=ContinuousStatsTable[[#This Row],[GroupByKey]]),(ContinuousStatsTable[GroupByKey]=ContinuousStatsTable[[#This Row],[GroupByKey]])*ContinuousStatsTable[Average]))</f>
        <v>1.7101743889827701</v>
      </c>
      <c r="U198">
        <f>IF((ContinuousStatsTable[[#This Row],[RepsRequested]]&gt;1),ContinuousStatsTable[[#This Row],[HalfWidth]],ContinuousStatsTable[[#This Row],[BatchMeansHalfWidth]])</f>
        <v>8.7144731273084922E-3</v>
      </c>
    </row>
    <row r="199" spans="1:21" x14ac:dyDescent="0.25">
      <c r="A199" t="s">
        <v>68</v>
      </c>
      <c r="B199" t="s">
        <v>131</v>
      </c>
      <c r="C199">
        <v>17</v>
      </c>
      <c r="D199" t="s">
        <v>97</v>
      </c>
      <c r="E199" t="s">
        <v>101</v>
      </c>
      <c r="F199" t="s">
        <v>99</v>
      </c>
      <c r="G199">
        <v>3</v>
      </c>
      <c r="H199">
        <v>2E+20</v>
      </c>
      <c r="I199">
        <v>3</v>
      </c>
      <c r="J199">
        <v>3</v>
      </c>
      <c r="K199">
        <v>3</v>
      </c>
      <c r="L199">
        <v>0</v>
      </c>
      <c r="M199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199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cm="1">
        <f t="array" ref="O199">IFERROR(AVERAGE(IF((ContinuousStatsTable[GroupByKey]=ContinuousStatsTable[[#This Row],[GroupByKey]]),(ContinuousStatsTable[GroupByKey]=ContinuousStatsTable[[#This Row],[GroupByKey]])*ContinuousStatsTable[Average])),0)</f>
        <v>3</v>
      </c>
      <c r="P199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</v>
      </c>
      <c r="Q199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9" cm="1">
        <f t="array" ref="S199">MIN(IF((ContinuousStatsTable[GroupByKey]=ContinuousStatsTable[[#This Row],[GroupByKey]]),(ContinuousStatsTable[GroupByKey]=ContinuousStatsTable[[#This Row],[GroupByKey]])*ContinuousStatsTable[Average]))</f>
        <v>3</v>
      </c>
      <c r="T199" cm="1">
        <f t="array" ref="T199">MAX(IF((ContinuousStatsTable[GroupByKey]=ContinuousStatsTable[[#This Row],[GroupByKey]]),(ContinuousStatsTable[GroupByKey]=ContinuousStatsTable[[#This Row],[GroupByKey]])*ContinuousStatsTable[Average]))</f>
        <v>3</v>
      </c>
      <c r="U199">
        <f>IF((ContinuousStatsTable[[#This Row],[RepsRequested]]&gt;1),ContinuousStatsTable[[#This Row],[HalfWidth]],ContinuousStatsTable[[#This Row],[BatchMeansHalfWidth]])</f>
        <v>0</v>
      </c>
    </row>
    <row r="200" spans="1:21" x14ac:dyDescent="0.25">
      <c r="A200" t="s">
        <v>68</v>
      </c>
      <c r="B200" t="s">
        <v>131</v>
      </c>
      <c r="C200">
        <v>17</v>
      </c>
      <c r="D200" t="s">
        <v>102</v>
      </c>
      <c r="E200" t="s">
        <v>98</v>
      </c>
      <c r="F200" t="s">
        <v>99</v>
      </c>
      <c r="G200">
        <v>0.81583649560997096</v>
      </c>
      <c r="H200">
        <v>3.4939955020495399E-2</v>
      </c>
      <c r="I200">
        <v>0</v>
      </c>
      <c r="J200">
        <v>1</v>
      </c>
      <c r="K200">
        <v>1</v>
      </c>
      <c r="L200">
        <v>0</v>
      </c>
      <c r="M200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200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cm="1">
        <f t="array" ref="O200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200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200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200" cm="1">
        <f t="array" ref="S200">MIN(IF((ContinuousStatsTable[GroupByKey]=ContinuousStatsTable[[#This Row],[GroupByKey]]),(ContinuousStatsTable[GroupByKey]=ContinuousStatsTable[[#This Row],[GroupByKey]])*ContinuousStatsTable[Average]))</f>
        <v>0.78705962766536897</v>
      </c>
      <c r="T200" cm="1">
        <f t="array" ref="T200">MAX(IF((ContinuousStatsTable[GroupByKey]=ContinuousStatsTable[[#This Row],[GroupByKey]]),(ContinuousStatsTable[GroupByKey]=ContinuousStatsTable[[#This Row],[GroupByKey]])*ContinuousStatsTable[Average]))</f>
        <v>0.85508719449138504</v>
      </c>
      <c r="U200">
        <f>IF((ContinuousStatsTable[[#This Row],[RepsRequested]]&gt;1),ContinuousStatsTable[[#This Row],[HalfWidth]],ContinuousStatsTable[[#This Row],[BatchMeansHalfWidth]])</f>
        <v>4.3572365636542886E-3</v>
      </c>
    </row>
    <row r="201" spans="1:21" x14ac:dyDescent="0.25">
      <c r="A201" t="s">
        <v>68</v>
      </c>
      <c r="B201" t="s">
        <v>131</v>
      </c>
      <c r="C201">
        <v>17</v>
      </c>
      <c r="D201" t="s">
        <v>102</v>
      </c>
      <c r="E201" t="s">
        <v>100</v>
      </c>
      <c r="F201" t="s">
        <v>99</v>
      </c>
      <c r="G201">
        <v>1.6316729912199399</v>
      </c>
      <c r="H201">
        <v>6.9879910040990798E-2</v>
      </c>
      <c r="I201">
        <v>0</v>
      </c>
      <c r="J201">
        <v>2</v>
      </c>
      <c r="K201">
        <v>2</v>
      </c>
      <c r="L201">
        <v>0</v>
      </c>
      <c r="M201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201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cm="1">
        <f t="array" ref="O201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01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01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01" cm="1">
        <f t="array" ref="S201">MIN(IF((ContinuousStatsTable[GroupByKey]=ContinuousStatsTable[[#This Row],[GroupByKey]]),(ContinuousStatsTable[GroupByKey]=ContinuousStatsTable[[#This Row],[GroupByKey]])*ContinuousStatsTable[Average]))</f>
        <v>1.5741192553307399</v>
      </c>
      <c r="T201" cm="1">
        <f t="array" ref="T201">MAX(IF((ContinuousStatsTable[GroupByKey]=ContinuousStatsTable[[#This Row],[GroupByKey]]),(ContinuousStatsTable[GroupByKey]=ContinuousStatsTable[[#This Row],[GroupByKey]])*ContinuousStatsTable[Average]))</f>
        <v>1.7101743889827701</v>
      </c>
      <c r="U201">
        <f>IF((ContinuousStatsTable[[#This Row],[RepsRequested]]&gt;1),ContinuousStatsTable[[#This Row],[HalfWidth]],ContinuousStatsTable[[#This Row],[BatchMeansHalfWidth]])</f>
        <v>8.7144731273084922E-3</v>
      </c>
    </row>
    <row r="202" spans="1:21" x14ac:dyDescent="0.25">
      <c r="A202" t="s">
        <v>68</v>
      </c>
      <c r="B202" t="s">
        <v>131</v>
      </c>
      <c r="C202">
        <v>17</v>
      </c>
      <c r="D202" t="s">
        <v>102</v>
      </c>
      <c r="E202" t="s">
        <v>101</v>
      </c>
      <c r="F202" t="s">
        <v>99</v>
      </c>
      <c r="G202">
        <v>2</v>
      </c>
      <c r="H202">
        <v>2E+20</v>
      </c>
      <c r="I202">
        <v>2</v>
      </c>
      <c r="J202">
        <v>2</v>
      </c>
      <c r="K202">
        <v>2</v>
      </c>
      <c r="L202">
        <v>0</v>
      </c>
      <c r="M202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202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cm="1">
        <f t="array" ref="O202">IFERROR(AVERAGE(IF((ContinuousStatsTable[GroupByKey]=ContinuousStatsTable[[#This Row],[GroupByKey]]),(ContinuousStatsTable[GroupByKey]=ContinuousStatsTable[[#This Row],[GroupByKey]])*ContinuousStatsTable[Average])),0)</f>
        <v>2</v>
      </c>
      <c r="P202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cm="1">
        <f t="array" ref="S202">MIN(IF((ContinuousStatsTable[GroupByKey]=ContinuousStatsTable[[#This Row],[GroupByKey]]),(ContinuousStatsTable[GroupByKey]=ContinuousStatsTable[[#This Row],[GroupByKey]])*ContinuousStatsTable[Average]))</f>
        <v>2</v>
      </c>
      <c r="T202" cm="1">
        <f t="array" ref="T202">MAX(IF((ContinuousStatsTable[GroupByKey]=ContinuousStatsTable[[#This Row],[GroupByKey]]),(ContinuousStatsTable[GroupByKey]=ContinuousStatsTable[[#This Row],[GroupByKey]])*ContinuousStatsTable[Average]))</f>
        <v>2</v>
      </c>
      <c r="U202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68</v>
      </c>
      <c r="B203" t="s">
        <v>131</v>
      </c>
      <c r="C203">
        <v>17</v>
      </c>
      <c r="D203" t="s">
        <v>103</v>
      </c>
      <c r="E203" t="s">
        <v>98</v>
      </c>
      <c r="F203" t="s">
        <v>99</v>
      </c>
      <c r="G203">
        <v>0.46912167604198701</v>
      </c>
      <c r="H203">
        <v>2.3088891078323799E-2</v>
      </c>
      <c r="I203">
        <v>0</v>
      </c>
      <c r="J203">
        <v>1</v>
      </c>
      <c r="K203">
        <v>0</v>
      </c>
      <c r="L203">
        <v>0</v>
      </c>
      <c r="M203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203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cm="1">
        <f t="array" ref="O203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03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03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03" cm="1">
        <f t="array" ref="S203">MIN(IF((ContinuousStatsTable[GroupByKey]=ContinuousStatsTable[[#This Row],[GroupByKey]]),(ContinuousStatsTable[GroupByKey]=ContinuousStatsTable[[#This Row],[GroupByKey]])*ContinuousStatsTable[Average]))</f>
        <v>0.452397944183905</v>
      </c>
      <c r="T203" cm="1">
        <f t="array" ref="T203">MAX(IF((ContinuousStatsTable[GroupByKey]=ContinuousStatsTable[[#This Row],[GroupByKey]]),(ContinuousStatsTable[GroupByKey]=ContinuousStatsTable[[#This Row],[GroupByKey]])*ContinuousStatsTable[Average]))</f>
        <v>0.49691123629694001</v>
      </c>
      <c r="U203">
        <f>IF((ContinuousStatsTable[[#This Row],[RepsRequested]]&gt;1),ContinuousStatsTable[[#This Row],[HalfWidth]],ContinuousStatsTable[[#This Row],[BatchMeansHalfWidth]])</f>
        <v>2.7457743728226142E-3</v>
      </c>
    </row>
    <row r="204" spans="1:21" x14ac:dyDescent="0.25">
      <c r="A204" t="s">
        <v>68</v>
      </c>
      <c r="B204" t="s">
        <v>131</v>
      </c>
      <c r="C204">
        <v>17</v>
      </c>
      <c r="D204" t="s">
        <v>103</v>
      </c>
      <c r="E204" t="s">
        <v>100</v>
      </c>
      <c r="F204" t="s">
        <v>99</v>
      </c>
      <c r="G204">
        <v>0.46912167604198701</v>
      </c>
      <c r="H204">
        <v>2.3088891078323799E-2</v>
      </c>
      <c r="I204">
        <v>0</v>
      </c>
      <c r="J204">
        <v>1</v>
      </c>
      <c r="K204">
        <v>0</v>
      </c>
      <c r="L204">
        <v>0</v>
      </c>
      <c r="M204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204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cm="1">
        <f t="array" ref="O204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04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04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04" cm="1">
        <f t="array" ref="S204">MIN(IF((ContinuousStatsTable[GroupByKey]=ContinuousStatsTable[[#This Row],[GroupByKey]]),(ContinuousStatsTable[GroupByKey]=ContinuousStatsTable[[#This Row],[GroupByKey]])*ContinuousStatsTable[Average]))</f>
        <v>0.452397944183905</v>
      </c>
      <c r="T204" cm="1">
        <f t="array" ref="T204">MAX(IF((ContinuousStatsTable[GroupByKey]=ContinuousStatsTable[[#This Row],[GroupByKey]]),(ContinuousStatsTable[GroupByKey]=ContinuousStatsTable[[#This Row],[GroupByKey]])*ContinuousStatsTable[Average]))</f>
        <v>0.49691123629694001</v>
      </c>
      <c r="U204">
        <f>IF((ContinuousStatsTable[[#This Row],[RepsRequested]]&gt;1),ContinuousStatsTable[[#This Row],[HalfWidth]],ContinuousStatsTable[[#This Row],[BatchMeansHalfWidth]])</f>
        <v>2.7457743728226142E-3</v>
      </c>
    </row>
    <row r="205" spans="1:21" x14ac:dyDescent="0.25">
      <c r="A205" t="s">
        <v>68</v>
      </c>
      <c r="B205" t="s">
        <v>131</v>
      </c>
      <c r="C205">
        <v>17</v>
      </c>
      <c r="D205" t="s">
        <v>103</v>
      </c>
      <c r="E205" t="s">
        <v>101</v>
      </c>
      <c r="F205" t="s">
        <v>99</v>
      </c>
      <c r="G205">
        <v>1</v>
      </c>
      <c r="H205">
        <v>2E+20</v>
      </c>
      <c r="I205">
        <v>1</v>
      </c>
      <c r="J205">
        <v>1</v>
      </c>
      <c r="K205">
        <v>1</v>
      </c>
      <c r="L205">
        <v>0</v>
      </c>
      <c r="M205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20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cm="1">
        <f t="array" ref="O205">IFERROR(AVERAGE(IF((ContinuousStatsTable[GroupByKey]=ContinuousStatsTable[[#This Row],[GroupByKey]]),(ContinuousStatsTable[GroupByKey]=ContinuousStatsTable[[#This Row],[GroupByKey]])*ContinuousStatsTable[Average])),0)</f>
        <v>1</v>
      </c>
      <c r="P20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cm="1">
        <f t="array" ref="S205">MIN(IF((ContinuousStatsTable[GroupByKey]=ContinuousStatsTable[[#This Row],[GroupByKey]]),(ContinuousStatsTable[GroupByKey]=ContinuousStatsTable[[#This Row],[GroupByKey]])*ContinuousStatsTable[Average]))</f>
        <v>1</v>
      </c>
      <c r="T205" cm="1">
        <f t="array" ref="T205">MAX(IF((ContinuousStatsTable[GroupByKey]=ContinuousStatsTable[[#This Row],[GroupByKey]]),(ContinuousStatsTable[GroupByKey]=ContinuousStatsTable[[#This Row],[GroupByKey]])*ContinuousStatsTable[Average]))</f>
        <v>1</v>
      </c>
      <c r="U20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68</v>
      </c>
      <c r="B206" t="s">
        <v>131</v>
      </c>
      <c r="C206">
        <v>18</v>
      </c>
      <c r="D206" t="s">
        <v>70</v>
      </c>
      <c r="E206" t="s">
        <v>95</v>
      </c>
      <c r="F206" t="s">
        <v>72</v>
      </c>
      <c r="G206">
        <v>4.1776686430409198</v>
      </c>
      <c r="H206">
        <v>0.70587009815280799</v>
      </c>
      <c r="I206">
        <v>0</v>
      </c>
      <c r="J206">
        <v>21</v>
      </c>
      <c r="K206">
        <v>2</v>
      </c>
      <c r="L206">
        <v>0</v>
      </c>
      <c r="M206" t="str">
        <f>ContinuousStatsTable[[#This Row],[ProjectName]]&amp;ContinuousStatsTable[[#This Row],[Name]]&amp;ContinuousStatsTable[[#This Row],[Type]]&amp;ContinuousStatsTable[[#This Row],[Source]]</f>
        <v>PacientesEntity 1WIPEntity</v>
      </c>
      <c r="N206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cm="1">
        <f t="array" ref="O206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206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206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206" cm="1">
        <f t="array" ref="S206">MIN(IF((ContinuousStatsTable[GroupByKey]=ContinuousStatsTable[[#This Row],[GroupByKey]]),(ContinuousStatsTable[GroupByKey]=ContinuousStatsTable[[#This Row],[GroupByKey]])*ContinuousStatsTable[Average]))</f>
        <v>3.9757448048151298</v>
      </c>
      <c r="T206" cm="1">
        <f t="array" ref="T206">MAX(IF((ContinuousStatsTable[GroupByKey]=ContinuousStatsTable[[#This Row],[GroupByKey]]),(ContinuousStatsTable[GroupByKey]=ContinuousStatsTable[[#This Row],[GroupByKey]])*ContinuousStatsTable[Average]))</f>
        <v>6.9386840633215803</v>
      </c>
      <c r="U206">
        <f>IF((ContinuousStatsTable[[#This Row],[RepsRequested]]&gt;1),ContinuousStatsTable[[#This Row],[HalfWidth]],ContinuousStatsTable[[#This Row],[BatchMeansHalfWidth]])</f>
        <v>0.22030607219171747</v>
      </c>
    </row>
    <row r="207" spans="1:21" x14ac:dyDescent="0.25">
      <c r="A207" t="s">
        <v>68</v>
      </c>
      <c r="B207" t="s">
        <v>131</v>
      </c>
      <c r="C207">
        <v>18</v>
      </c>
      <c r="D207" t="s">
        <v>83</v>
      </c>
      <c r="E207" t="s">
        <v>96</v>
      </c>
      <c r="F207" t="s">
        <v>85</v>
      </c>
      <c r="G207">
        <v>1.90187988951856</v>
      </c>
      <c r="H207">
        <v>0.63115807183654304</v>
      </c>
      <c r="I207">
        <v>0</v>
      </c>
      <c r="J207">
        <v>16</v>
      </c>
      <c r="K207">
        <v>0</v>
      </c>
      <c r="L207">
        <v>0</v>
      </c>
      <c r="M207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207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cm="1">
        <f t="array" ref="O207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207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207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207" cm="1">
        <f t="array" ref="S207">MIN(IF((ContinuousStatsTable[GroupByKey]=ContinuousStatsTable[[#This Row],[GroupByKey]]),(ContinuousStatsTable[GroupByKey]=ContinuousStatsTable[[#This Row],[GroupByKey]])*ContinuousStatsTable[Average]))</f>
        <v>1.7200278735122601</v>
      </c>
      <c r="T207" cm="1">
        <f t="array" ref="T207">MAX(IF((ContinuousStatsTable[GroupByKey]=ContinuousStatsTable[[#This Row],[GroupByKey]]),(ContinuousStatsTable[GroupByKey]=ContinuousStatsTable[[#This Row],[GroupByKey]])*ContinuousStatsTable[Average]))</f>
        <v>4.5543512780988502</v>
      </c>
      <c r="U207">
        <f>IF((ContinuousStatsTable[[#This Row],[RepsRequested]]&gt;1),ContinuousStatsTable[[#This Row],[HalfWidth]],ContinuousStatsTable[[#This Row],[BatchMeansHalfWidth]])</f>
        <v>0.21041231434540877</v>
      </c>
    </row>
    <row r="208" spans="1:21" x14ac:dyDescent="0.25">
      <c r="A208" t="s">
        <v>68</v>
      </c>
      <c r="B208" t="s">
        <v>131</v>
      </c>
      <c r="C208">
        <v>18</v>
      </c>
      <c r="D208" t="s">
        <v>87</v>
      </c>
      <c r="E208" t="s">
        <v>96</v>
      </c>
      <c r="F208" t="s">
        <v>85</v>
      </c>
      <c r="G208">
        <v>0.205274475495695</v>
      </c>
      <c r="H208">
        <v>2.9676494447635999E-2</v>
      </c>
      <c r="I208">
        <v>0</v>
      </c>
      <c r="J208">
        <v>5</v>
      </c>
      <c r="K208">
        <v>0</v>
      </c>
      <c r="L208">
        <v>0</v>
      </c>
      <c r="M208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208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cm="1">
        <f t="array" ref="O208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208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208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208" cm="1">
        <f t="array" ref="S208">MIN(IF((ContinuousStatsTable[GroupByKey]=ContinuousStatsTable[[#This Row],[GroupByKey]]),(ContinuousStatsTable[GroupByKey]=ContinuousStatsTable[[#This Row],[GroupByKey]])*ContinuousStatsTable[Average]))</f>
        <v>0.172815232766103</v>
      </c>
      <c r="T208" cm="1">
        <f t="array" ref="T208">MAX(IF((ContinuousStatsTable[GroupByKey]=ContinuousStatsTable[[#This Row],[GroupByKey]]),(ContinuousStatsTable[GroupByKey]=ContinuousStatsTable[[#This Row],[GroupByKey]])*ContinuousStatsTable[Average]))</f>
        <v>0.24783514900621301</v>
      </c>
      <c r="U208">
        <f>IF((ContinuousStatsTable[[#This Row],[RepsRequested]]&gt;1),ContinuousStatsTable[[#This Row],[HalfWidth]],ContinuousStatsTable[[#This Row],[BatchMeansHalfWidth]])</f>
        <v>4.7768909384897544E-3</v>
      </c>
    </row>
    <row r="209" spans="1:21" x14ac:dyDescent="0.25">
      <c r="A209" t="s">
        <v>68</v>
      </c>
      <c r="B209" t="s">
        <v>131</v>
      </c>
      <c r="C209">
        <v>18</v>
      </c>
      <c r="D209" t="s">
        <v>97</v>
      </c>
      <c r="E209" t="s">
        <v>98</v>
      </c>
      <c r="F209" t="s">
        <v>99</v>
      </c>
      <c r="G209">
        <v>0.53613999991366101</v>
      </c>
      <c r="H209">
        <v>1.9512015490650701E-2</v>
      </c>
      <c r="I209">
        <v>0</v>
      </c>
      <c r="J209">
        <v>0.66666666666666696</v>
      </c>
      <c r="K209">
        <v>0.66666666666666696</v>
      </c>
      <c r="L209">
        <v>0</v>
      </c>
      <c r="M209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209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cm="1">
        <f t="array" ref="O209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209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209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209" cm="1">
        <f t="array" ref="S209">MIN(IF((ContinuousStatsTable[GroupByKey]=ContinuousStatsTable[[#This Row],[GroupByKey]]),(ContinuousStatsTable[GroupByKey]=ContinuousStatsTable[[#This Row],[GroupByKey]])*ContinuousStatsTable[Average]))</f>
        <v>0.52470641844357602</v>
      </c>
      <c r="T209" cm="1">
        <f t="array" ref="T209">MAX(IF((ContinuousStatsTable[GroupByKey]=ContinuousStatsTable[[#This Row],[GroupByKey]]),(ContinuousStatsTable[GroupByKey]=ContinuousStatsTable[[#This Row],[GroupByKey]])*ContinuousStatsTable[Average]))</f>
        <v>0.57005812966092095</v>
      </c>
      <c r="U209">
        <f>IF((ContinuousStatsTable[[#This Row],[RepsRequested]]&gt;1),ContinuousStatsTable[[#This Row],[HalfWidth]],ContinuousStatsTable[[#This Row],[BatchMeansHalfWidth]])</f>
        <v>2.9048243757695521E-3</v>
      </c>
    </row>
    <row r="210" spans="1:21" x14ac:dyDescent="0.25">
      <c r="A210" t="s">
        <v>68</v>
      </c>
      <c r="B210" t="s">
        <v>131</v>
      </c>
      <c r="C210">
        <v>18</v>
      </c>
      <c r="D210" t="s">
        <v>97</v>
      </c>
      <c r="E210" t="s">
        <v>100</v>
      </c>
      <c r="F210" t="s">
        <v>99</v>
      </c>
      <c r="G210">
        <v>1.60841999974099</v>
      </c>
      <c r="H210">
        <v>5.8536046471952097E-2</v>
      </c>
      <c r="I210">
        <v>0</v>
      </c>
      <c r="J210">
        <v>2</v>
      </c>
      <c r="K210">
        <v>2</v>
      </c>
      <c r="L210">
        <v>0</v>
      </c>
      <c r="M210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210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cm="1">
        <f t="array" ref="O210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10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10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10" cm="1">
        <f t="array" ref="S210">MIN(IF((ContinuousStatsTable[GroupByKey]=ContinuousStatsTable[[#This Row],[GroupByKey]]),(ContinuousStatsTable[GroupByKey]=ContinuousStatsTable[[#This Row],[GroupByKey]])*ContinuousStatsTable[Average]))</f>
        <v>1.5741192553307399</v>
      </c>
      <c r="T210" cm="1">
        <f t="array" ref="T210">MAX(IF((ContinuousStatsTable[GroupByKey]=ContinuousStatsTable[[#This Row],[GroupByKey]]),(ContinuousStatsTable[GroupByKey]=ContinuousStatsTable[[#This Row],[GroupByKey]])*ContinuousStatsTable[Average]))</f>
        <v>1.7101743889827701</v>
      </c>
      <c r="U210">
        <f>IF((ContinuousStatsTable[[#This Row],[RepsRequested]]&gt;1),ContinuousStatsTable[[#This Row],[HalfWidth]],ContinuousStatsTable[[#This Row],[BatchMeansHalfWidth]])</f>
        <v>8.7144731273084922E-3</v>
      </c>
    </row>
    <row r="211" spans="1:21" x14ac:dyDescent="0.25">
      <c r="A211" t="s">
        <v>68</v>
      </c>
      <c r="B211" t="s">
        <v>131</v>
      </c>
      <c r="C211">
        <v>18</v>
      </c>
      <c r="D211" t="s">
        <v>97</v>
      </c>
      <c r="E211" t="s">
        <v>101</v>
      </c>
      <c r="F211" t="s">
        <v>99</v>
      </c>
      <c r="G211">
        <v>3</v>
      </c>
      <c r="H211">
        <v>2E+20</v>
      </c>
      <c r="I211">
        <v>3</v>
      </c>
      <c r="J211">
        <v>3</v>
      </c>
      <c r="K211">
        <v>3</v>
      </c>
      <c r="L211">
        <v>0</v>
      </c>
      <c r="M211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211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cm="1">
        <f t="array" ref="O211">IFERROR(AVERAGE(IF((ContinuousStatsTable[GroupByKey]=ContinuousStatsTable[[#This Row],[GroupByKey]]),(ContinuousStatsTable[GroupByKey]=ContinuousStatsTable[[#This Row],[GroupByKey]])*ContinuousStatsTable[Average])),0)</f>
        <v>3</v>
      </c>
      <c r="P211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cm="1">
        <f t="array" ref="S211">MIN(IF((ContinuousStatsTable[GroupByKey]=ContinuousStatsTable[[#This Row],[GroupByKey]]),(ContinuousStatsTable[GroupByKey]=ContinuousStatsTable[[#This Row],[GroupByKey]])*ContinuousStatsTable[Average]))</f>
        <v>3</v>
      </c>
      <c r="T211" cm="1">
        <f t="array" ref="T211">MAX(IF((ContinuousStatsTable[GroupByKey]=ContinuousStatsTable[[#This Row],[GroupByKey]]),(ContinuousStatsTable[GroupByKey]=ContinuousStatsTable[[#This Row],[GroupByKey]])*ContinuousStatsTable[Average]))</f>
        <v>3</v>
      </c>
      <c r="U211">
        <f>IF((ContinuousStatsTable[[#This Row],[RepsRequested]]&gt;1),ContinuousStatsTable[[#This Row],[HalfWidth]],ContinuousStatsTable[[#This Row],[BatchMeansHalfWidth]])</f>
        <v>0</v>
      </c>
    </row>
    <row r="212" spans="1:21" x14ac:dyDescent="0.25">
      <c r="A212" t="s">
        <v>68</v>
      </c>
      <c r="B212" t="s">
        <v>131</v>
      </c>
      <c r="C212">
        <v>18</v>
      </c>
      <c r="D212" t="s">
        <v>102</v>
      </c>
      <c r="E212" t="s">
        <v>98</v>
      </c>
      <c r="F212" t="s">
        <v>99</v>
      </c>
      <c r="G212">
        <v>0.80420999987049302</v>
      </c>
      <c r="H212">
        <v>2.9268023235976E-2</v>
      </c>
      <c r="I212">
        <v>0</v>
      </c>
      <c r="J212">
        <v>1</v>
      </c>
      <c r="K212">
        <v>1</v>
      </c>
      <c r="L212">
        <v>0</v>
      </c>
      <c r="M212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212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cm="1">
        <f t="array" ref="O212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212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212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212" cm="1">
        <f t="array" ref="S212">MIN(IF((ContinuousStatsTable[GroupByKey]=ContinuousStatsTable[[#This Row],[GroupByKey]]),(ContinuousStatsTable[GroupByKey]=ContinuousStatsTable[[#This Row],[GroupByKey]])*ContinuousStatsTable[Average]))</f>
        <v>0.78705962766536897</v>
      </c>
      <c r="T212" cm="1">
        <f t="array" ref="T212">MAX(IF((ContinuousStatsTable[GroupByKey]=ContinuousStatsTable[[#This Row],[GroupByKey]]),(ContinuousStatsTable[GroupByKey]=ContinuousStatsTable[[#This Row],[GroupByKey]])*ContinuousStatsTable[Average]))</f>
        <v>0.85508719449138504</v>
      </c>
      <c r="U212">
        <f>IF((ContinuousStatsTable[[#This Row],[RepsRequested]]&gt;1),ContinuousStatsTable[[#This Row],[HalfWidth]],ContinuousStatsTable[[#This Row],[BatchMeansHalfWidth]])</f>
        <v>4.3572365636542886E-3</v>
      </c>
    </row>
    <row r="213" spans="1:21" x14ac:dyDescent="0.25">
      <c r="A213" t="s">
        <v>68</v>
      </c>
      <c r="B213" t="s">
        <v>131</v>
      </c>
      <c r="C213">
        <v>18</v>
      </c>
      <c r="D213" t="s">
        <v>102</v>
      </c>
      <c r="E213" t="s">
        <v>100</v>
      </c>
      <c r="F213" t="s">
        <v>99</v>
      </c>
      <c r="G213">
        <v>1.60841999974099</v>
      </c>
      <c r="H213">
        <v>5.8536046471952097E-2</v>
      </c>
      <c r="I213">
        <v>0</v>
      </c>
      <c r="J213">
        <v>2</v>
      </c>
      <c r="K213">
        <v>2</v>
      </c>
      <c r="L213">
        <v>0</v>
      </c>
      <c r="M213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213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cm="1">
        <f t="array" ref="O213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13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13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13" cm="1">
        <f t="array" ref="S213">MIN(IF((ContinuousStatsTable[GroupByKey]=ContinuousStatsTable[[#This Row],[GroupByKey]]),(ContinuousStatsTable[GroupByKey]=ContinuousStatsTable[[#This Row],[GroupByKey]])*ContinuousStatsTable[Average]))</f>
        <v>1.5741192553307399</v>
      </c>
      <c r="T213" cm="1">
        <f t="array" ref="T213">MAX(IF((ContinuousStatsTable[GroupByKey]=ContinuousStatsTable[[#This Row],[GroupByKey]]),(ContinuousStatsTable[GroupByKey]=ContinuousStatsTable[[#This Row],[GroupByKey]])*ContinuousStatsTable[Average]))</f>
        <v>1.7101743889827701</v>
      </c>
      <c r="U213">
        <f>IF((ContinuousStatsTable[[#This Row],[RepsRequested]]&gt;1),ContinuousStatsTable[[#This Row],[HalfWidth]],ContinuousStatsTable[[#This Row],[BatchMeansHalfWidth]])</f>
        <v>8.7144731273084922E-3</v>
      </c>
    </row>
    <row r="214" spans="1:21" x14ac:dyDescent="0.25">
      <c r="A214" t="s">
        <v>68</v>
      </c>
      <c r="B214" t="s">
        <v>131</v>
      </c>
      <c r="C214">
        <v>18</v>
      </c>
      <c r="D214" t="s">
        <v>102</v>
      </c>
      <c r="E214" t="s">
        <v>101</v>
      </c>
      <c r="F214" t="s">
        <v>99</v>
      </c>
      <c r="G214">
        <v>2</v>
      </c>
      <c r="H214">
        <v>2E+20</v>
      </c>
      <c r="I214">
        <v>2</v>
      </c>
      <c r="J214">
        <v>2</v>
      </c>
      <c r="K214">
        <v>2</v>
      </c>
      <c r="L214">
        <v>0</v>
      </c>
      <c r="M214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214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cm="1">
        <f t="array" ref="O214">IFERROR(AVERAGE(IF((ContinuousStatsTable[GroupByKey]=ContinuousStatsTable[[#This Row],[GroupByKey]]),(ContinuousStatsTable[GroupByKey]=ContinuousStatsTable[[#This Row],[GroupByKey]])*ContinuousStatsTable[Average])),0)</f>
        <v>2</v>
      </c>
      <c r="P214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cm="1">
        <f t="array" ref="S214">MIN(IF((ContinuousStatsTable[GroupByKey]=ContinuousStatsTable[[#This Row],[GroupByKey]]),(ContinuousStatsTable[GroupByKey]=ContinuousStatsTable[[#This Row],[GroupByKey]])*ContinuousStatsTable[Average]))</f>
        <v>2</v>
      </c>
      <c r="T214" cm="1">
        <f t="array" ref="T214">MAX(IF((ContinuousStatsTable[GroupByKey]=ContinuousStatsTable[[#This Row],[GroupByKey]]),(ContinuousStatsTable[GroupByKey]=ContinuousStatsTable[[#This Row],[GroupByKey]])*ContinuousStatsTable[Average]))</f>
        <v>2</v>
      </c>
      <c r="U214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68</v>
      </c>
      <c r="B215" t="s">
        <v>131</v>
      </c>
      <c r="C215">
        <v>18</v>
      </c>
      <c r="D215" t="s">
        <v>103</v>
      </c>
      <c r="E215" t="s">
        <v>98</v>
      </c>
      <c r="F215" t="s">
        <v>99</v>
      </c>
      <c r="G215">
        <v>0.462094278285689</v>
      </c>
      <c r="H215">
        <v>1.5878024215699699E-2</v>
      </c>
      <c r="I215">
        <v>0</v>
      </c>
      <c r="J215">
        <v>1</v>
      </c>
      <c r="K215">
        <v>0</v>
      </c>
      <c r="L215">
        <v>0</v>
      </c>
      <c r="M215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21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cm="1">
        <f t="array" ref="O215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1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1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15" cm="1">
        <f t="array" ref="S215">MIN(IF((ContinuousStatsTable[GroupByKey]=ContinuousStatsTable[[#This Row],[GroupByKey]]),(ContinuousStatsTable[GroupByKey]=ContinuousStatsTable[[#This Row],[GroupByKey]])*ContinuousStatsTable[Average]))</f>
        <v>0.452397944183905</v>
      </c>
      <c r="T215" cm="1">
        <f t="array" ref="T215">MAX(IF((ContinuousStatsTable[GroupByKey]=ContinuousStatsTable[[#This Row],[GroupByKey]]),(ContinuousStatsTable[GroupByKey]=ContinuousStatsTable[[#This Row],[GroupByKey]])*ContinuousStatsTable[Average]))</f>
        <v>0.49691123629694001</v>
      </c>
      <c r="U215">
        <f>IF((ContinuousStatsTable[[#This Row],[RepsRequested]]&gt;1),ContinuousStatsTable[[#This Row],[HalfWidth]],ContinuousStatsTable[[#This Row],[BatchMeansHalfWidth]])</f>
        <v>2.7457743728226142E-3</v>
      </c>
    </row>
    <row r="216" spans="1:21" x14ac:dyDescent="0.25">
      <c r="A216" t="s">
        <v>68</v>
      </c>
      <c r="B216" t="s">
        <v>131</v>
      </c>
      <c r="C216">
        <v>18</v>
      </c>
      <c r="D216" t="s">
        <v>103</v>
      </c>
      <c r="E216" t="s">
        <v>100</v>
      </c>
      <c r="F216" t="s">
        <v>99</v>
      </c>
      <c r="G216">
        <v>0.462094278285689</v>
      </c>
      <c r="H216">
        <v>1.5878024215699699E-2</v>
      </c>
      <c r="I216">
        <v>0</v>
      </c>
      <c r="J216">
        <v>1</v>
      </c>
      <c r="K216">
        <v>0</v>
      </c>
      <c r="L216">
        <v>0</v>
      </c>
      <c r="M216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216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cm="1">
        <f t="array" ref="O216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16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16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16" cm="1">
        <f t="array" ref="S216">MIN(IF((ContinuousStatsTable[GroupByKey]=ContinuousStatsTable[[#This Row],[GroupByKey]]),(ContinuousStatsTable[GroupByKey]=ContinuousStatsTable[[#This Row],[GroupByKey]])*ContinuousStatsTable[Average]))</f>
        <v>0.452397944183905</v>
      </c>
      <c r="T216" cm="1">
        <f t="array" ref="T216">MAX(IF((ContinuousStatsTable[GroupByKey]=ContinuousStatsTable[[#This Row],[GroupByKey]]),(ContinuousStatsTable[GroupByKey]=ContinuousStatsTable[[#This Row],[GroupByKey]])*ContinuousStatsTable[Average]))</f>
        <v>0.49691123629694001</v>
      </c>
      <c r="U216">
        <f>IF((ContinuousStatsTable[[#This Row],[RepsRequested]]&gt;1),ContinuousStatsTable[[#This Row],[HalfWidth]],ContinuousStatsTable[[#This Row],[BatchMeansHalfWidth]])</f>
        <v>2.7457743728226142E-3</v>
      </c>
    </row>
    <row r="217" spans="1:21" x14ac:dyDescent="0.25">
      <c r="A217" t="s">
        <v>68</v>
      </c>
      <c r="B217" t="s">
        <v>131</v>
      </c>
      <c r="C217">
        <v>18</v>
      </c>
      <c r="D217" t="s">
        <v>103</v>
      </c>
      <c r="E217" t="s">
        <v>101</v>
      </c>
      <c r="F217" t="s">
        <v>99</v>
      </c>
      <c r="G217">
        <v>1</v>
      </c>
      <c r="H217">
        <v>2E+20</v>
      </c>
      <c r="I217">
        <v>1</v>
      </c>
      <c r="J217">
        <v>1</v>
      </c>
      <c r="K217">
        <v>1</v>
      </c>
      <c r="L217">
        <v>0</v>
      </c>
      <c r="M217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217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cm="1">
        <f t="array" ref="O217">IFERROR(AVERAGE(IF((ContinuousStatsTable[GroupByKey]=ContinuousStatsTable[[#This Row],[GroupByKey]]),(ContinuousStatsTable[GroupByKey]=ContinuousStatsTable[[#This Row],[GroupByKey]])*ContinuousStatsTable[Average])),0)</f>
        <v>1</v>
      </c>
      <c r="P217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</v>
      </c>
      <c r="Q217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7" cm="1">
        <f t="array" ref="S217">MIN(IF((ContinuousStatsTable[GroupByKey]=ContinuousStatsTable[[#This Row],[GroupByKey]]),(ContinuousStatsTable[GroupByKey]=ContinuousStatsTable[[#This Row],[GroupByKey]])*ContinuousStatsTable[Average]))</f>
        <v>1</v>
      </c>
      <c r="T217" cm="1">
        <f t="array" ref="T217">MAX(IF((ContinuousStatsTable[GroupByKey]=ContinuousStatsTable[[#This Row],[GroupByKey]]),(ContinuousStatsTable[GroupByKey]=ContinuousStatsTable[[#This Row],[GroupByKey]])*ContinuousStatsTable[Average]))</f>
        <v>1</v>
      </c>
      <c r="U217">
        <f>IF((ContinuousStatsTable[[#This Row],[RepsRequested]]&gt;1),ContinuousStatsTable[[#This Row],[HalfWidth]],ContinuousStatsTable[[#This Row],[BatchMeansHalfWidth]])</f>
        <v>0</v>
      </c>
    </row>
    <row r="218" spans="1:21" x14ac:dyDescent="0.25">
      <c r="A218" t="s">
        <v>68</v>
      </c>
      <c r="B218" t="s">
        <v>131</v>
      </c>
      <c r="C218">
        <v>19</v>
      </c>
      <c r="D218" t="s">
        <v>70</v>
      </c>
      <c r="E218" t="s">
        <v>95</v>
      </c>
      <c r="F218" t="s">
        <v>72</v>
      </c>
      <c r="G218">
        <v>4.5681480882452803</v>
      </c>
      <c r="H218">
        <v>0.65153780897243496</v>
      </c>
      <c r="I218">
        <v>0</v>
      </c>
      <c r="J218">
        <v>24</v>
      </c>
      <c r="K218">
        <v>12</v>
      </c>
      <c r="L218">
        <v>0</v>
      </c>
      <c r="M218" t="str">
        <f>ContinuousStatsTable[[#This Row],[ProjectName]]&amp;ContinuousStatsTable[[#This Row],[Name]]&amp;ContinuousStatsTable[[#This Row],[Type]]&amp;ContinuousStatsTable[[#This Row],[Source]]</f>
        <v>PacientesEntity 1WIPEntity</v>
      </c>
      <c r="N218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cm="1">
        <f t="array" ref="O218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218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218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218" cm="1">
        <f t="array" ref="S218">MIN(IF((ContinuousStatsTable[GroupByKey]=ContinuousStatsTable[[#This Row],[GroupByKey]]),(ContinuousStatsTable[GroupByKey]=ContinuousStatsTable[[#This Row],[GroupByKey]])*ContinuousStatsTable[Average]))</f>
        <v>3.9757448048151298</v>
      </c>
      <c r="T218" cm="1">
        <f t="array" ref="T218">MAX(IF((ContinuousStatsTable[GroupByKey]=ContinuousStatsTable[[#This Row],[GroupByKey]]),(ContinuousStatsTable[GroupByKey]=ContinuousStatsTable[[#This Row],[GroupByKey]])*ContinuousStatsTable[Average]))</f>
        <v>6.9386840633215803</v>
      </c>
      <c r="U218">
        <f>IF((ContinuousStatsTable[[#This Row],[RepsRequested]]&gt;1),ContinuousStatsTable[[#This Row],[HalfWidth]],ContinuousStatsTable[[#This Row],[BatchMeansHalfWidth]])</f>
        <v>0.22030607219171747</v>
      </c>
    </row>
    <row r="219" spans="1:21" x14ac:dyDescent="0.25">
      <c r="A219" t="s">
        <v>68</v>
      </c>
      <c r="B219" t="s">
        <v>131</v>
      </c>
      <c r="C219">
        <v>19</v>
      </c>
      <c r="D219" t="s">
        <v>83</v>
      </c>
      <c r="E219" t="s">
        <v>96</v>
      </c>
      <c r="F219" t="s">
        <v>85</v>
      </c>
      <c r="G219">
        <v>2.2849013801727001</v>
      </c>
      <c r="H219">
        <v>0.591789784602616</v>
      </c>
      <c r="I219">
        <v>0</v>
      </c>
      <c r="J219">
        <v>21</v>
      </c>
      <c r="K219">
        <v>10</v>
      </c>
      <c r="L219">
        <v>0</v>
      </c>
      <c r="M219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219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cm="1">
        <f t="array" ref="O219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219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219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219" cm="1">
        <f t="array" ref="S219">MIN(IF((ContinuousStatsTable[GroupByKey]=ContinuousStatsTable[[#This Row],[GroupByKey]]),(ContinuousStatsTable[GroupByKey]=ContinuousStatsTable[[#This Row],[GroupByKey]])*ContinuousStatsTable[Average]))</f>
        <v>1.7200278735122601</v>
      </c>
      <c r="T219" cm="1">
        <f t="array" ref="T219">MAX(IF((ContinuousStatsTable[GroupByKey]=ContinuousStatsTable[[#This Row],[GroupByKey]]),(ContinuousStatsTable[GroupByKey]=ContinuousStatsTable[[#This Row],[GroupByKey]])*ContinuousStatsTable[Average]))</f>
        <v>4.5543512780988502</v>
      </c>
      <c r="U219">
        <f>IF((ContinuousStatsTable[[#This Row],[RepsRequested]]&gt;1),ContinuousStatsTable[[#This Row],[HalfWidth]],ContinuousStatsTable[[#This Row],[BatchMeansHalfWidth]])</f>
        <v>0.21041231434540877</v>
      </c>
    </row>
    <row r="220" spans="1:21" x14ac:dyDescent="0.25">
      <c r="A220" t="s">
        <v>68</v>
      </c>
      <c r="B220" t="s">
        <v>131</v>
      </c>
      <c r="C220">
        <v>19</v>
      </c>
      <c r="D220" t="s">
        <v>87</v>
      </c>
      <c r="E220" t="s">
        <v>96</v>
      </c>
      <c r="F220" t="s">
        <v>85</v>
      </c>
      <c r="G220">
        <v>0.20769313745130999</v>
      </c>
      <c r="H220">
        <v>3.3025380156973698E-2</v>
      </c>
      <c r="I220">
        <v>0</v>
      </c>
      <c r="J220">
        <v>7</v>
      </c>
      <c r="K220">
        <v>0</v>
      </c>
      <c r="L220">
        <v>0</v>
      </c>
      <c r="M220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220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cm="1">
        <f t="array" ref="O220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220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220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220" cm="1">
        <f t="array" ref="S220">MIN(IF((ContinuousStatsTable[GroupByKey]=ContinuousStatsTable[[#This Row],[GroupByKey]]),(ContinuousStatsTable[GroupByKey]=ContinuousStatsTable[[#This Row],[GroupByKey]])*ContinuousStatsTable[Average]))</f>
        <v>0.172815232766103</v>
      </c>
      <c r="T220" cm="1">
        <f t="array" ref="T220">MAX(IF((ContinuousStatsTable[GroupByKey]=ContinuousStatsTable[[#This Row],[GroupByKey]]),(ContinuousStatsTable[GroupByKey]=ContinuousStatsTable[[#This Row],[GroupByKey]])*ContinuousStatsTable[Average]))</f>
        <v>0.24783514900621301</v>
      </c>
      <c r="U220">
        <f>IF((ContinuousStatsTable[[#This Row],[RepsRequested]]&gt;1),ContinuousStatsTable[[#This Row],[HalfWidth]],ContinuousStatsTable[[#This Row],[BatchMeansHalfWidth]])</f>
        <v>4.7768909384897544E-3</v>
      </c>
    </row>
    <row r="221" spans="1:21" x14ac:dyDescent="0.25">
      <c r="A221" t="s">
        <v>68</v>
      </c>
      <c r="B221" t="s">
        <v>131</v>
      </c>
      <c r="C221">
        <v>19</v>
      </c>
      <c r="D221" t="s">
        <v>97</v>
      </c>
      <c r="E221" t="s">
        <v>98</v>
      </c>
      <c r="F221" t="s">
        <v>99</v>
      </c>
      <c r="G221">
        <v>0.53656337843661195</v>
      </c>
      <c r="H221">
        <v>1.91248309741468E-2</v>
      </c>
      <c r="I221">
        <v>0</v>
      </c>
      <c r="J221">
        <v>0.66666666666666696</v>
      </c>
      <c r="K221">
        <v>0.66666666666666696</v>
      </c>
      <c r="L221">
        <v>0</v>
      </c>
      <c r="M221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221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cm="1">
        <f t="array" ref="O221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221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221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221" cm="1">
        <f t="array" ref="S221">MIN(IF((ContinuousStatsTable[GroupByKey]=ContinuousStatsTable[[#This Row],[GroupByKey]]),(ContinuousStatsTable[GroupByKey]=ContinuousStatsTable[[#This Row],[GroupByKey]])*ContinuousStatsTable[Average]))</f>
        <v>0.52470641844357602</v>
      </c>
      <c r="T221" cm="1">
        <f t="array" ref="T221">MAX(IF((ContinuousStatsTable[GroupByKey]=ContinuousStatsTable[[#This Row],[GroupByKey]]),(ContinuousStatsTable[GroupByKey]=ContinuousStatsTable[[#This Row],[GroupByKey]])*ContinuousStatsTable[Average]))</f>
        <v>0.57005812966092095</v>
      </c>
      <c r="U221">
        <f>IF((ContinuousStatsTable[[#This Row],[RepsRequested]]&gt;1),ContinuousStatsTable[[#This Row],[HalfWidth]],ContinuousStatsTable[[#This Row],[BatchMeansHalfWidth]])</f>
        <v>2.9048243757695521E-3</v>
      </c>
    </row>
    <row r="222" spans="1:21" x14ac:dyDescent="0.25">
      <c r="A222" t="s">
        <v>68</v>
      </c>
      <c r="B222" t="s">
        <v>131</v>
      </c>
      <c r="C222">
        <v>19</v>
      </c>
      <c r="D222" t="s">
        <v>97</v>
      </c>
      <c r="E222" t="s">
        <v>100</v>
      </c>
      <c r="F222" t="s">
        <v>99</v>
      </c>
      <c r="G222">
        <v>1.6096901353098401</v>
      </c>
      <c r="H222">
        <v>5.7374492922440498E-2</v>
      </c>
      <c r="I222">
        <v>0</v>
      </c>
      <c r="J222">
        <v>2</v>
      </c>
      <c r="K222">
        <v>2</v>
      </c>
      <c r="L222">
        <v>0</v>
      </c>
      <c r="M222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222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cm="1">
        <f t="array" ref="O222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22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22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22" cm="1">
        <f t="array" ref="S222">MIN(IF((ContinuousStatsTable[GroupByKey]=ContinuousStatsTable[[#This Row],[GroupByKey]]),(ContinuousStatsTable[GroupByKey]=ContinuousStatsTable[[#This Row],[GroupByKey]])*ContinuousStatsTable[Average]))</f>
        <v>1.5741192553307399</v>
      </c>
      <c r="T222" cm="1">
        <f t="array" ref="T222">MAX(IF((ContinuousStatsTable[GroupByKey]=ContinuousStatsTable[[#This Row],[GroupByKey]]),(ContinuousStatsTable[GroupByKey]=ContinuousStatsTable[[#This Row],[GroupByKey]])*ContinuousStatsTable[Average]))</f>
        <v>1.7101743889827701</v>
      </c>
      <c r="U222">
        <f>IF((ContinuousStatsTable[[#This Row],[RepsRequested]]&gt;1),ContinuousStatsTable[[#This Row],[HalfWidth]],ContinuousStatsTable[[#This Row],[BatchMeansHalfWidth]])</f>
        <v>8.7144731273084922E-3</v>
      </c>
    </row>
    <row r="223" spans="1:21" x14ac:dyDescent="0.25">
      <c r="A223" t="s">
        <v>68</v>
      </c>
      <c r="B223" t="s">
        <v>131</v>
      </c>
      <c r="C223">
        <v>19</v>
      </c>
      <c r="D223" t="s">
        <v>97</v>
      </c>
      <c r="E223" t="s">
        <v>101</v>
      </c>
      <c r="F223" t="s">
        <v>99</v>
      </c>
      <c r="G223">
        <v>3</v>
      </c>
      <c r="H223">
        <v>2E+20</v>
      </c>
      <c r="I223">
        <v>3</v>
      </c>
      <c r="J223">
        <v>3</v>
      </c>
      <c r="K223">
        <v>3</v>
      </c>
      <c r="L223">
        <v>0</v>
      </c>
      <c r="M223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223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cm="1">
        <f t="array" ref="O223">IFERROR(AVERAGE(IF((ContinuousStatsTable[GroupByKey]=ContinuousStatsTable[[#This Row],[GroupByKey]]),(ContinuousStatsTable[GroupByKey]=ContinuousStatsTable[[#This Row],[GroupByKey]])*ContinuousStatsTable[Average])),0)</f>
        <v>3</v>
      </c>
      <c r="P223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0</v>
      </c>
      <c r="Q223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3" cm="1">
        <f t="array" ref="S223">MIN(IF((ContinuousStatsTable[GroupByKey]=ContinuousStatsTable[[#This Row],[GroupByKey]]),(ContinuousStatsTable[GroupByKey]=ContinuousStatsTable[[#This Row],[GroupByKey]])*ContinuousStatsTable[Average]))</f>
        <v>3</v>
      </c>
      <c r="T223" cm="1">
        <f t="array" ref="T223">MAX(IF((ContinuousStatsTable[GroupByKey]=ContinuousStatsTable[[#This Row],[GroupByKey]]),(ContinuousStatsTable[GroupByKey]=ContinuousStatsTable[[#This Row],[GroupByKey]])*ContinuousStatsTable[Average]))</f>
        <v>3</v>
      </c>
      <c r="U223">
        <f>IF((ContinuousStatsTable[[#This Row],[RepsRequested]]&gt;1),ContinuousStatsTable[[#This Row],[HalfWidth]],ContinuousStatsTable[[#This Row],[BatchMeansHalfWidth]])</f>
        <v>0</v>
      </c>
    </row>
    <row r="224" spans="1:21" x14ac:dyDescent="0.25">
      <c r="A224" t="s">
        <v>68</v>
      </c>
      <c r="B224" t="s">
        <v>131</v>
      </c>
      <c r="C224">
        <v>19</v>
      </c>
      <c r="D224" t="s">
        <v>102</v>
      </c>
      <c r="E224" t="s">
        <v>98</v>
      </c>
      <c r="F224" t="s">
        <v>99</v>
      </c>
      <c r="G224">
        <v>0.80484506765492003</v>
      </c>
      <c r="H224">
        <v>2.8687246461220301E-2</v>
      </c>
      <c r="I224">
        <v>0</v>
      </c>
      <c r="J224">
        <v>1</v>
      </c>
      <c r="K224">
        <v>1</v>
      </c>
      <c r="L224">
        <v>0</v>
      </c>
      <c r="M224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224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cm="1">
        <f t="array" ref="O224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224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224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224" cm="1">
        <f t="array" ref="S224">MIN(IF((ContinuousStatsTable[GroupByKey]=ContinuousStatsTable[[#This Row],[GroupByKey]]),(ContinuousStatsTable[GroupByKey]=ContinuousStatsTable[[#This Row],[GroupByKey]])*ContinuousStatsTable[Average]))</f>
        <v>0.78705962766536897</v>
      </c>
      <c r="T224" cm="1">
        <f t="array" ref="T224">MAX(IF((ContinuousStatsTable[GroupByKey]=ContinuousStatsTable[[#This Row],[GroupByKey]]),(ContinuousStatsTable[GroupByKey]=ContinuousStatsTable[[#This Row],[GroupByKey]])*ContinuousStatsTable[Average]))</f>
        <v>0.85508719449138504</v>
      </c>
      <c r="U224">
        <f>IF((ContinuousStatsTable[[#This Row],[RepsRequested]]&gt;1),ContinuousStatsTable[[#This Row],[HalfWidth]],ContinuousStatsTable[[#This Row],[BatchMeansHalfWidth]])</f>
        <v>4.3572365636542886E-3</v>
      </c>
    </row>
    <row r="225" spans="1:21" x14ac:dyDescent="0.25">
      <c r="A225" t="s">
        <v>68</v>
      </c>
      <c r="B225" t="s">
        <v>131</v>
      </c>
      <c r="C225">
        <v>19</v>
      </c>
      <c r="D225" t="s">
        <v>102</v>
      </c>
      <c r="E225" t="s">
        <v>100</v>
      </c>
      <c r="F225" t="s">
        <v>99</v>
      </c>
      <c r="G225">
        <v>1.6096901353098401</v>
      </c>
      <c r="H225">
        <v>5.7374492922440498E-2</v>
      </c>
      <c r="I225">
        <v>0</v>
      </c>
      <c r="J225">
        <v>2</v>
      </c>
      <c r="K225">
        <v>2</v>
      </c>
      <c r="L225">
        <v>0</v>
      </c>
      <c r="M225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22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cm="1">
        <f t="array" ref="O225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2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2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25" cm="1">
        <f t="array" ref="S225">MIN(IF((ContinuousStatsTable[GroupByKey]=ContinuousStatsTable[[#This Row],[GroupByKey]]),(ContinuousStatsTable[GroupByKey]=ContinuousStatsTable[[#This Row],[GroupByKey]])*ContinuousStatsTable[Average]))</f>
        <v>1.5741192553307399</v>
      </c>
      <c r="T225" cm="1">
        <f t="array" ref="T225">MAX(IF((ContinuousStatsTable[GroupByKey]=ContinuousStatsTable[[#This Row],[GroupByKey]]),(ContinuousStatsTable[GroupByKey]=ContinuousStatsTable[[#This Row],[GroupByKey]])*ContinuousStatsTable[Average]))</f>
        <v>1.7101743889827701</v>
      </c>
      <c r="U225">
        <f>IF((ContinuousStatsTable[[#This Row],[RepsRequested]]&gt;1),ContinuousStatsTable[[#This Row],[HalfWidth]],ContinuousStatsTable[[#This Row],[BatchMeansHalfWidth]])</f>
        <v>8.7144731273084922E-3</v>
      </c>
    </row>
    <row r="226" spans="1:21" x14ac:dyDescent="0.25">
      <c r="A226" t="s">
        <v>68</v>
      </c>
      <c r="B226" t="s">
        <v>131</v>
      </c>
      <c r="C226">
        <v>19</v>
      </c>
      <c r="D226" t="s">
        <v>102</v>
      </c>
      <c r="E226" t="s">
        <v>101</v>
      </c>
      <c r="F226" t="s">
        <v>99</v>
      </c>
      <c r="G226">
        <v>2</v>
      </c>
      <c r="H226">
        <v>2E+20</v>
      </c>
      <c r="I226">
        <v>2</v>
      </c>
      <c r="J226">
        <v>2</v>
      </c>
      <c r="K226">
        <v>2</v>
      </c>
      <c r="L226">
        <v>0</v>
      </c>
      <c r="M226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226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cm="1">
        <f t="array" ref="O226">IFERROR(AVERAGE(IF((ContinuousStatsTable[GroupByKey]=ContinuousStatsTable[[#This Row],[GroupByKey]]),(ContinuousStatsTable[GroupByKey]=ContinuousStatsTable[[#This Row],[GroupByKey]])*ContinuousStatsTable[Average])),0)</f>
        <v>2</v>
      </c>
      <c r="P226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cm="1">
        <f t="array" ref="S226">MIN(IF((ContinuousStatsTable[GroupByKey]=ContinuousStatsTable[[#This Row],[GroupByKey]]),(ContinuousStatsTable[GroupByKey]=ContinuousStatsTable[[#This Row],[GroupByKey]])*ContinuousStatsTable[Average]))</f>
        <v>2</v>
      </c>
      <c r="T226" cm="1">
        <f t="array" ref="T226">MAX(IF((ContinuousStatsTable[GroupByKey]=ContinuousStatsTable[[#This Row],[GroupByKey]]),(ContinuousStatsTable[GroupByKey]=ContinuousStatsTable[[#This Row],[GroupByKey]])*ContinuousStatsTable[Average]))</f>
        <v>2</v>
      </c>
      <c r="U226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68</v>
      </c>
      <c r="B227" t="s">
        <v>131</v>
      </c>
      <c r="C227">
        <v>19</v>
      </c>
      <c r="D227" t="s">
        <v>103</v>
      </c>
      <c r="E227" t="s">
        <v>98</v>
      </c>
      <c r="F227" t="s">
        <v>99</v>
      </c>
      <c r="G227">
        <v>0.46586343531142199</v>
      </c>
      <c r="H227">
        <v>1.96056779113341E-2</v>
      </c>
      <c r="I227">
        <v>0</v>
      </c>
      <c r="J227">
        <v>1</v>
      </c>
      <c r="K227">
        <v>0</v>
      </c>
      <c r="L227">
        <v>0</v>
      </c>
      <c r="M227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227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cm="1">
        <f t="array" ref="O227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27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27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27" cm="1">
        <f t="array" ref="S227">MIN(IF((ContinuousStatsTable[GroupByKey]=ContinuousStatsTable[[#This Row],[GroupByKey]]),(ContinuousStatsTable[GroupByKey]=ContinuousStatsTable[[#This Row],[GroupByKey]])*ContinuousStatsTable[Average]))</f>
        <v>0.452397944183905</v>
      </c>
      <c r="T227" cm="1">
        <f t="array" ref="T227">MAX(IF((ContinuousStatsTable[GroupByKey]=ContinuousStatsTable[[#This Row],[GroupByKey]]),(ContinuousStatsTable[GroupByKey]=ContinuousStatsTable[[#This Row],[GroupByKey]])*ContinuousStatsTable[Average]))</f>
        <v>0.49691123629694001</v>
      </c>
      <c r="U227">
        <f>IF((ContinuousStatsTable[[#This Row],[RepsRequested]]&gt;1),ContinuousStatsTable[[#This Row],[HalfWidth]],ContinuousStatsTable[[#This Row],[BatchMeansHalfWidth]])</f>
        <v>2.7457743728226142E-3</v>
      </c>
    </row>
    <row r="228" spans="1:21" x14ac:dyDescent="0.25">
      <c r="A228" t="s">
        <v>68</v>
      </c>
      <c r="B228" t="s">
        <v>131</v>
      </c>
      <c r="C228">
        <v>19</v>
      </c>
      <c r="D228" t="s">
        <v>103</v>
      </c>
      <c r="E228" t="s">
        <v>100</v>
      </c>
      <c r="F228" t="s">
        <v>99</v>
      </c>
      <c r="G228">
        <v>0.46586343531142199</v>
      </c>
      <c r="H228">
        <v>1.96056779113341E-2</v>
      </c>
      <c r="I228">
        <v>0</v>
      </c>
      <c r="J228">
        <v>1</v>
      </c>
      <c r="K228">
        <v>0</v>
      </c>
      <c r="L228">
        <v>0</v>
      </c>
      <c r="M228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228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cm="1">
        <f t="array" ref="O228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28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28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28" cm="1">
        <f t="array" ref="S228">MIN(IF((ContinuousStatsTable[GroupByKey]=ContinuousStatsTable[[#This Row],[GroupByKey]]),(ContinuousStatsTable[GroupByKey]=ContinuousStatsTable[[#This Row],[GroupByKey]])*ContinuousStatsTable[Average]))</f>
        <v>0.452397944183905</v>
      </c>
      <c r="T228" cm="1">
        <f t="array" ref="T228">MAX(IF((ContinuousStatsTable[GroupByKey]=ContinuousStatsTable[[#This Row],[GroupByKey]]),(ContinuousStatsTable[GroupByKey]=ContinuousStatsTable[[#This Row],[GroupByKey]])*ContinuousStatsTable[Average]))</f>
        <v>0.49691123629694001</v>
      </c>
      <c r="U228">
        <f>IF((ContinuousStatsTable[[#This Row],[RepsRequested]]&gt;1),ContinuousStatsTable[[#This Row],[HalfWidth]],ContinuousStatsTable[[#This Row],[BatchMeansHalfWidth]])</f>
        <v>2.7457743728226142E-3</v>
      </c>
    </row>
    <row r="229" spans="1:21" x14ac:dyDescent="0.25">
      <c r="A229" t="s">
        <v>68</v>
      </c>
      <c r="B229" t="s">
        <v>131</v>
      </c>
      <c r="C229">
        <v>19</v>
      </c>
      <c r="D229" t="s">
        <v>103</v>
      </c>
      <c r="E229" t="s">
        <v>101</v>
      </c>
      <c r="F229" t="s">
        <v>99</v>
      </c>
      <c r="G229">
        <v>1</v>
      </c>
      <c r="H229">
        <v>2E+20</v>
      </c>
      <c r="I229">
        <v>1</v>
      </c>
      <c r="J229">
        <v>1</v>
      </c>
      <c r="K229">
        <v>1</v>
      </c>
      <c r="L229">
        <v>0</v>
      </c>
      <c r="M229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229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cm="1">
        <f t="array" ref="O229">IFERROR(AVERAGE(IF((ContinuousStatsTable[GroupByKey]=ContinuousStatsTable[[#This Row],[GroupByKey]]),(ContinuousStatsTable[GroupByKey]=ContinuousStatsTable[[#This Row],[GroupByKey]])*ContinuousStatsTable[Average])),0)</f>
        <v>1</v>
      </c>
      <c r="P229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</v>
      </c>
      <c r="Q229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9" cm="1">
        <f t="array" ref="S229">MIN(IF((ContinuousStatsTable[GroupByKey]=ContinuousStatsTable[[#This Row],[GroupByKey]]),(ContinuousStatsTable[GroupByKey]=ContinuousStatsTable[[#This Row],[GroupByKey]])*ContinuousStatsTable[Average]))</f>
        <v>1</v>
      </c>
      <c r="T229" cm="1">
        <f t="array" ref="T229">MAX(IF((ContinuousStatsTable[GroupByKey]=ContinuousStatsTable[[#This Row],[GroupByKey]]),(ContinuousStatsTable[GroupByKey]=ContinuousStatsTable[[#This Row],[GroupByKey]])*ContinuousStatsTable[Average]))</f>
        <v>1</v>
      </c>
      <c r="U229">
        <f>IF((ContinuousStatsTable[[#This Row],[RepsRequested]]&gt;1),ContinuousStatsTable[[#This Row],[HalfWidth]],ContinuousStatsTable[[#This Row],[BatchMeansHalfWidth]])</f>
        <v>0</v>
      </c>
    </row>
    <row r="230" spans="1:21" x14ac:dyDescent="0.25">
      <c r="A230" t="s">
        <v>68</v>
      </c>
      <c r="B230" t="s">
        <v>131</v>
      </c>
      <c r="C230">
        <v>20</v>
      </c>
      <c r="D230" t="s">
        <v>70</v>
      </c>
      <c r="E230" t="s">
        <v>95</v>
      </c>
      <c r="F230" t="s">
        <v>72</v>
      </c>
      <c r="G230">
        <v>4.2913384614969896</v>
      </c>
      <c r="H230">
        <v>0.72376329669328499</v>
      </c>
      <c r="I230">
        <v>0</v>
      </c>
      <c r="J230">
        <v>25</v>
      </c>
      <c r="K230">
        <v>9</v>
      </c>
      <c r="L230">
        <v>0</v>
      </c>
      <c r="M230" t="str">
        <f>ContinuousStatsTable[[#This Row],[ProjectName]]&amp;ContinuousStatsTable[[#This Row],[Name]]&amp;ContinuousStatsTable[[#This Row],[Type]]&amp;ContinuousStatsTable[[#This Row],[Source]]</f>
        <v>PacientesEntity 1WIPEntity</v>
      </c>
      <c r="N230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cm="1">
        <f t="array" ref="O230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230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230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230" cm="1">
        <f t="array" ref="S230">MIN(IF((ContinuousStatsTable[GroupByKey]=ContinuousStatsTable[[#This Row],[GroupByKey]]),(ContinuousStatsTable[GroupByKey]=ContinuousStatsTable[[#This Row],[GroupByKey]])*ContinuousStatsTable[Average]))</f>
        <v>3.9757448048151298</v>
      </c>
      <c r="T230" cm="1">
        <f t="array" ref="T230">MAX(IF((ContinuousStatsTable[GroupByKey]=ContinuousStatsTable[[#This Row],[GroupByKey]]),(ContinuousStatsTable[GroupByKey]=ContinuousStatsTable[[#This Row],[GroupByKey]])*ContinuousStatsTable[Average]))</f>
        <v>6.9386840633215803</v>
      </c>
      <c r="U230">
        <f>IF((ContinuousStatsTable[[#This Row],[RepsRequested]]&gt;1),ContinuousStatsTable[[#This Row],[HalfWidth]],ContinuousStatsTable[[#This Row],[BatchMeansHalfWidth]])</f>
        <v>0.22030607219171747</v>
      </c>
    </row>
    <row r="231" spans="1:21" x14ac:dyDescent="0.25">
      <c r="A231" t="s">
        <v>68</v>
      </c>
      <c r="B231" t="s">
        <v>131</v>
      </c>
      <c r="C231">
        <v>20</v>
      </c>
      <c r="D231" t="s">
        <v>83</v>
      </c>
      <c r="E231" t="s">
        <v>96</v>
      </c>
      <c r="F231" t="s">
        <v>85</v>
      </c>
      <c r="G231">
        <v>1.98021527496129</v>
      </c>
      <c r="H231">
        <v>0.65349358013535297</v>
      </c>
      <c r="I231">
        <v>0</v>
      </c>
      <c r="J231">
        <v>21</v>
      </c>
      <c r="K231">
        <v>6</v>
      </c>
      <c r="L231">
        <v>0</v>
      </c>
      <c r="M231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231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cm="1">
        <f t="array" ref="O231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231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231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231" cm="1">
        <f t="array" ref="S231">MIN(IF((ContinuousStatsTable[GroupByKey]=ContinuousStatsTable[[#This Row],[GroupByKey]]),(ContinuousStatsTable[GroupByKey]=ContinuousStatsTable[[#This Row],[GroupByKey]])*ContinuousStatsTable[Average]))</f>
        <v>1.7200278735122601</v>
      </c>
      <c r="T231" cm="1">
        <f t="array" ref="T231">MAX(IF((ContinuousStatsTable[GroupByKey]=ContinuousStatsTable[[#This Row],[GroupByKey]]),(ContinuousStatsTable[GroupByKey]=ContinuousStatsTable[[#This Row],[GroupByKey]])*ContinuousStatsTable[Average]))</f>
        <v>4.5543512780988502</v>
      </c>
      <c r="U231">
        <f>IF((ContinuousStatsTable[[#This Row],[RepsRequested]]&gt;1),ContinuousStatsTable[[#This Row],[HalfWidth]],ContinuousStatsTable[[#This Row],[BatchMeansHalfWidth]])</f>
        <v>0.21041231434540877</v>
      </c>
    </row>
    <row r="232" spans="1:21" x14ac:dyDescent="0.25">
      <c r="A232" t="s">
        <v>68</v>
      </c>
      <c r="B232" t="s">
        <v>131</v>
      </c>
      <c r="C232">
        <v>20</v>
      </c>
      <c r="D232" t="s">
        <v>87</v>
      </c>
      <c r="E232" t="s">
        <v>96</v>
      </c>
      <c r="F232" t="s">
        <v>85</v>
      </c>
      <c r="G232">
        <v>0.196204550655182</v>
      </c>
      <c r="H232">
        <v>3.4035342050721999E-2</v>
      </c>
      <c r="I232">
        <v>0</v>
      </c>
      <c r="J232">
        <v>5</v>
      </c>
      <c r="K232">
        <v>0</v>
      </c>
      <c r="L232">
        <v>0</v>
      </c>
      <c r="M232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232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cm="1">
        <f t="array" ref="O232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232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232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232" cm="1">
        <f t="array" ref="S232">MIN(IF((ContinuousStatsTable[GroupByKey]=ContinuousStatsTable[[#This Row],[GroupByKey]]),(ContinuousStatsTable[GroupByKey]=ContinuousStatsTable[[#This Row],[GroupByKey]])*ContinuousStatsTable[Average]))</f>
        <v>0.172815232766103</v>
      </c>
      <c r="T232" cm="1">
        <f t="array" ref="T232">MAX(IF((ContinuousStatsTable[GroupByKey]=ContinuousStatsTable[[#This Row],[GroupByKey]]),(ContinuousStatsTable[GroupByKey]=ContinuousStatsTable[[#This Row],[GroupByKey]])*ContinuousStatsTable[Average]))</f>
        <v>0.24783514900621301</v>
      </c>
      <c r="U232">
        <f>IF((ContinuousStatsTable[[#This Row],[RepsRequested]]&gt;1),ContinuousStatsTable[[#This Row],[HalfWidth]],ContinuousStatsTable[[#This Row],[BatchMeansHalfWidth]])</f>
        <v>4.7768909384897544E-3</v>
      </c>
    </row>
    <row r="233" spans="1:21" x14ac:dyDescent="0.25">
      <c r="A233" t="s">
        <v>68</v>
      </c>
      <c r="B233" t="s">
        <v>131</v>
      </c>
      <c r="C233">
        <v>20</v>
      </c>
      <c r="D233" t="s">
        <v>97</v>
      </c>
      <c r="E233" t="s">
        <v>98</v>
      </c>
      <c r="F233" t="s">
        <v>99</v>
      </c>
      <c r="G233">
        <v>0.54789093462021599</v>
      </c>
      <c r="H233">
        <v>2.4134686620376E-2</v>
      </c>
      <c r="I233">
        <v>0</v>
      </c>
      <c r="J233">
        <v>0.66666666666666696</v>
      </c>
      <c r="K233">
        <v>0.66666666666666696</v>
      </c>
      <c r="L233">
        <v>0</v>
      </c>
      <c r="M233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233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cm="1">
        <f t="array" ref="O233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233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233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233" cm="1">
        <f t="array" ref="S233">MIN(IF((ContinuousStatsTable[GroupByKey]=ContinuousStatsTable[[#This Row],[GroupByKey]]),(ContinuousStatsTable[GroupByKey]=ContinuousStatsTable[[#This Row],[GroupByKey]])*ContinuousStatsTable[Average]))</f>
        <v>0.52470641844357602</v>
      </c>
      <c r="T233" cm="1">
        <f t="array" ref="T233">MAX(IF((ContinuousStatsTable[GroupByKey]=ContinuousStatsTable[[#This Row],[GroupByKey]]),(ContinuousStatsTable[GroupByKey]=ContinuousStatsTable[[#This Row],[GroupByKey]])*ContinuousStatsTable[Average]))</f>
        <v>0.57005812966092095</v>
      </c>
      <c r="U233">
        <f>IF((ContinuousStatsTable[[#This Row],[RepsRequested]]&gt;1),ContinuousStatsTable[[#This Row],[HalfWidth]],ContinuousStatsTable[[#This Row],[BatchMeansHalfWidth]])</f>
        <v>2.9048243757695521E-3</v>
      </c>
    </row>
    <row r="234" spans="1:21" x14ac:dyDescent="0.25">
      <c r="A234" t="s">
        <v>68</v>
      </c>
      <c r="B234" t="s">
        <v>131</v>
      </c>
      <c r="C234">
        <v>20</v>
      </c>
      <c r="D234" t="s">
        <v>97</v>
      </c>
      <c r="E234" t="s">
        <v>100</v>
      </c>
      <c r="F234" t="s">
        <v>99</v>
      </c>
      <c r="G234">
        <v>1.6436728038606601</v>
      </c>
      <c r="H234">
        <v>7.2404059861127898E-2</v>
      </c>
      <c r="I234">
        <v>0</v>
      </c>
      <c r="J234">
        <v>2</v>
      </c>
      <c r="K234">
        <v>2</v>
      </c>
      <c r="L234">
        <v>0</v>
      </c>
      <c r="M234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234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cm="1">
        <f t="array" ref="O234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34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34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34" cm="1">
        <f t="array" ref="S234">MIN(IF((ContinuousStatsTable[GroupByKey]=ContinuousStatsTable[[#This Row],[GroupByKey]]),(ContinuousStatsTable[GroupByKey]=ContinuousStatsTable[[#This Row],[GroupByKey]])*ContinuousStatsTable[Average]))</f>
        <v>1.5741192553307399</v>
      </c>
      <c r="T234" cm="1">
        <f t="array" ref="T234">MAX(IF((ContinuousStatsTable[GroupByKey]=ContinuousStatsTable[[#This Row],[GroupByKey]]),(ContinuousStatsTable[GroupByKey]=ContinuousStatsTable[[#This Row],[GroupByKey]])*ContinuousStatsTable[Average]))</f>
        <v>1.7101743889827701</v>
      </c>
      <c r="U234">
        <f>IF((ContinuousStatsTable[[#This Row],[RepsRequested]]&gt;1),ContinuousStatsTable[[#This Row],[HalfWidth]],ContinuousStatsTable[[#This Row],[BatchMeansHalfWidth]])</f>
        <v>8.7144731273084922E-3</v>
      </c>
    </row>
    <row r="235" spans="1:21" x14ac:dyDescent="0.25">
      <c r="A235" t="s">
        <v>68</v>
      </c>
      <c r="B235" t="s">
        <v>131</v>
      </c>
      <c r="C235">
        <v>20</v>
      </c>
      <c r="D235" t="s">
        <v>97</v>
      </c>
      <c r="E235" t="s">
        <v>101</v>
      </c>
      <c r="F235" t="s">
        <v>99</v>
      </c>
      <c r="G235">
        <v>3</v>
      </c>
      <c r="H235">
        <v>2E+20</v>
      </c>
      <c r="I235">
        <v>3</v>
      </c>
      <c r="J235">
        <v>3</v>
      </c>
      <c r="K235">
        <v>3</v>
      </c>
      <c r="L235">
        <v>0</v>
      </c>
      <c r="M235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23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cm="1">
        <f t="array" ref="O235">IFERROR(AVERAGE(IF((ContinuousStatsTable[GroupByKey]=ContinuousStatsTable[[#This Row],[GroupByKey]]),(ContinuousStatsTable[GroupByKey]=ContinuousStatsTable[[#This Row],[GroupByKey]])*ContinuousStatsTable[Average])),0)</f>
        <v>3</v>
      </c>
      <c r="P23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cm="1">
        <f t="array" ref="S235">MIN(IF((ContinuousStatsTable[GroupByKey]=ContinuousStatsTable[[#This Row],[GroupByKey]]),(ContinuousStatsTable[GroupByKey]=ContinuousStatsTable[[#This Row],[GroupByKey]])*ContinuousStatsTable[Average]))</f>
        <v>3</v>
      </c>
      <c r="T235" cm="1">
        <f t="array" ref="T235">MAX(IF((ContinuousStatsTable[GroupByKey]=ContinuousStatsTable[[#This Row],[GroupByKey]]),(ContinuousStatsTable[GroupByKey]=ContinuousStatsTable[[#This Row],[GroupByKey]])*ContinuousStatsTable[Average]))</f>
        <v>3</v>
      </c>
      <c r="U23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131</v>
      </c>
      <c r="C236">
        <v>20</v>
      </c>
      <c r="D236" t="s">
        <v>102</v>
      </c>
      <c r="E236" t="s">
        <v>98</v>
      </c>
      <c r="F236" t="s">
        <v>99</v>
      </c>
      <c r="G236">
        <v>0.82183640193032803</v>
      </c>
      <c r="H236">
        <v>3.62020299305639E-2</v>
      </c>
      <c r="I236">
        <v>0</v>
      </c>
      <c r="J236">
        <v>1</v>
      </c>
      <c r="K236">
        <v>1</v>
      </c>
      <c r="L236">
        <v>0</v>
      </c>
      <c r="M236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236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cm="1">
        <f t="array" ref="O236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236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236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236" cm="1">
        <f t="array" ref="S236">MIN(IF((ContinuousStatsTable[GroupByKey]=ContinuousStatsTable[[#This Row],[GroupByKey]]),(ContinuousStatsTable[GroupByKey]=ContinuousStatsTable[[#This Row],[GroupByKey]])*ContinuousStatsTable[Average]))</f>
        <v>0.78705962766536897</v>
      </c>
      <c r="T236" cm="1">
        <f t="array" ref="T236">MAX(IF((ContinuousStatsTable[GroupByKey]=ContinuousStatsTable[[#This Row],[GroupByKey]]),(ContinuousStatsTable[GroupByKey]=ContinuousStatsTable[[#This Row],[GroupByKey]])*ContinuousStatsTable[Average]))</f>
        <v>0.85508719449138504</v>
      </c>
      <c r="U236">
        <f>IF((ContinuousStatsTable[[#This Row],[RepsRequested]]&gt;1),ContinuousStatsTable[[#This Row],[HalfWidth]],ContinuousStatsTable[[#This Row],[BatchMeansHalfWidth]])</f>
        <v>4.3572365636542886E-3</v>
      </c>
    </row>
    <row r="237" spans="1:21" x14ac:dyDescent="0.25">
      <c r="A237" t="s">
        <v>68</v>
      </c>
      <c r="B237" t="s">
        <v>131</v>
      </c>
      <c r="C237">
        <v>20</v>
      </c>
      <c r="D237" t="s">
        <v>102</v>
      </c>
      <c r="E237" t="s">
        <v>100</v>
      </c>
      <c r="F237" t="s">
        <v>99</v>
      </c>
      <c r="G237">
        <v>1.6436728038606601</v>
      </c>
      <c r="H237">
        <v>7.2404059861127898E-2</v>
      </c>
      <c r="I237">
        <v>0</v>
      </c>
      <c r="J237">
        <v>2</v>
      </c>
      <c r="K237">
        <v>2</v>
      </c>
      <c r="L237">
        <v>0</v>
      </c>
      <c r="M237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237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cm="1">
        <f t="array" ref="O237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37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37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37" cm="1">
        <f t="array" ref="S237">MIN(IF((ContinuousStatsTable[GroupByKey]=ContinuousStatsTable[[#This Row],[GroupByKey]]),(ContinuousStatsTable[GroupByKey]=ContinuousStatsTable[[#This Row],[GroupByKey]])*ContinuousStatsTable[Average]))</f>
        <v>1.5741192553307399</v>
      </c>
      <c r="T237" cm="1">
        <f t="array" ref="T237">MAX(IF((ContinuousStatsTable[GroupByKey]=ContinuousStatsTable[[#This Row],[GroupByKey]]),(ContinuousStatsTable[GroupByKey]=ContinuousStatsTable[[#This Row],[GroupByKey]])*ContinuousStatsTable[Average]))</f>
        <v>1.7101743889827701</v>
      </c>
      <c r="U237">
        <f>IF((ContinuousStatsTable[[#This Row],[RepsRequested]]&gt;1),ContinuousStatsTable[[#This Row],[HalfWidth]],ContinuousStatsTable[[#This Row],[BatchMeansHalfWidth]])</f>
        <v>8.7144731273084922E-3</v>
      </c>
    </row>
    <row r="238" spans="1:21" x14ac:dyDescent="0.25">
      <c r="A238" t="s">
        <v>68</v>
      </c>
      <c r="B238" t="s">
        <v>131</v>
      </c>
      <c r="C238">
        <v>20</v>
      </c>
      <c r="D238" t="s">
        <v>102</v>
      </c>
      <c r="E238" t="s">
        <v>101</v>
      </c>
      <c r="F238" t="s">
        <v>99</v>
      </c>
      <c r="G238">
        <v>2</v>
      </c>
      <c r="H238">
        <v>2E+20</v>
      </c>
      <c r="I238">
        <v>2</v>
      </c>
      <c r="J238">
        <v>2</v>
      </c>
      <c r="K238">
        <v>2</v>
      </c>
      <c r="L238">
        <v>0</v>
      </c>
      <c r="M238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238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cm="1">
        <f t="array" ref="O238">IFERROR(AVERAGE(IF((ContinuousStatsTable[GroupByKey]=ContinuousStatsTable[[#This Row],[GroupByKey]]),(ContinuousStatsTable[GroupByKey]=ContinuousStatsTable[[#This Row],[GroupByKey]])*ContinuousStatsTable[Average])),0)</f>
        <v>2</v>
      </c>
      <c r="P238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cm="1">
        <f t="array" ref="S238">MIN(IF((ContinuousStatsTable[GroupByKey]=ContinuousStatsTable[[#This Row],[GroupByKey]]),(ContinuousStatsTable[GroupByKey]=ContinuousStatsTable[[#This Row],[GroupByKey]])*ContinuousStatsTable[Average]))</f>
        <v>2</v>
      </c>
      <c r="T238" cm="1">
        <f t="array" ref="T238">MAX(IF((ContinuousStatsTable[GroupByKey]=ContinuousStatsTable[[#This Row],[GroupByKey]]),(ContinuousStatsTable[GroupByKey]=ContinuousStatsTable[[#This Row],[GroupByKey]])*ContinuousStatsTable[Average]))</f>
        <v>2</v>
      </c>
      <c r="U238">
        <f>IF((ContinuousStatsTable[[#This Row],[RepsRequested]]&gt;1),ContinuousStatsTable[[#This Row],[HalfWidth]],ContinuousStatsTable[[#This Row],[BatchMeansHalfWidth]])</f>
        <v>0</v>
      </c>
    </row>
    <row r="239" spans="1:21" x14ac:dyDescent="0.25">
      <c r="A239" t="s">
        <v>68</v>
      </c>
      <c r="B239" t="s">
        <v>131</v>
      </c>
      <c r="C239">
        <v>20</v>
      </c>
      <c r="D239" t="s">
        <v>103</v>
      </c>
      <c r="E239" t="s">
        <v>98</v>
      </c>
      <c r="F239" t="s">
        <v>99</v>
      </c>
      <c r="G239">
        <v>0.47124583201987402</v>
      </c>
      <c r="H239">
        <v>2.54296892352457E-2</v>
      </c>
      <c r="I239">
        <v>0</v>
      </c>
      <c r="J239">
        <v>1</v>
      </c>
      <c r="K239">
        <v>1</v>
      </c>
      <c r="L239">
        <v>0</v>
      </c>
      <c r="M239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239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cm="1">
        <f t="array" ref="O239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39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39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39" cm="1">
        <f t="array" ref="S239">MIN(IF((ContinuousStatsTable[GroupByKey]=ContinuousStatsTable[[#This Row],[GroupByKey]]),(ContinuousStatsTable[GroupByKey]=ContinuousStatsTable[[#This Row],[GroupByKey]])*ContinuousStatsTable[Average]))</f>
        <v>0.452397944183905</v>
      </c>
      <c r="T239" cm="1">
        <f t="array" ref="T239">MAX(IF((ContinuousStatsTable[GroupByKey]=ContinuousStatsTable[[#This Row],[GroupByKey]]),(ContinuousStatsTable[GroupByKey]=ContinuousStatsTable[[#This Row],[GroupByKey]])*ContinuousStatsTable[Average]))</f>
        <v>0.49691123629694001</v>
      </c>
      <c r="U239">
        <f>IF((ContinuousStatsTable[[#This Row],[RepsRequested]]&gt;1),ContinuousStatsTable[[#This Row],[HalfWidth]],ContinuousStatsTable[[#This Row],[BatchMeansHalfWidth]])</f>
        <v>2.7457743728226142E-3</v>
      </c>
    </row>
    <row r="240" spans="1:21" x14ac:dyDescent="0.25">
      <c r="A240" t="s">
        <v>68</v>
      </c>
      <c r="B240" t="s">
        <v>131</v>
      </c>
      <c r="C240">
        <v>20</v>
      </c>
      <c r="D240" t="s">
        <v>103</v>
      </c>
      <c r="E240" t="s">
        <v>100</v>
      </c>
      <c r="F240" t="s">
        <v>99</v>
      </c>
      <c r="G240">
        <v>0.47124583201987402</v>
      </c>
      <c r="H240">
        <v>2.54296892352457E-2</v>
      </c>
      <c r="I240">
        <v>0</v>
      </c>
      <c r="J240">
        <v>1</v>
      </c>
      <c r="K240">
        <v>1</v>
      </c>
      <c r="L240">
        <v>0</v>
      </c>
      <c r="M240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240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cm="1">
        <f t="array" ref="O240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40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40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40" cm="1">
        <f t="array" ref="S240">MIN(IF((ContinuousStatsTable[GroupByKey]=ContinuousStatsTable[[#This Row],[GroupByKey]]),(ContinuousStatsTable[GroupByKey]=ContinuousStatsTable[[#This Row],[GroupByKey]])*ContinuousStatsTable[Average]))</f>
        <v>0.452397944183905</v>
      </c>
      <c r="T240" cm="1">
        <f t="array" ref="T240">MAX(IF((ContinuousStatsTable[GroupByKey]=ContinuousStatsTable[[#This Row],[GroupByKey]]),(ContinuousStatsTable[GroupByKey]=ContinuousStatsTable[[#This Row],[GroupByKey]])*ContinuousStatsTable[Average]))</f>
        <v>0.49691123629694001</v>
      </c>
      <c r="U240">
        <f>IF((ContinuousStatsTable[[#This Row],[RepsRequested]]&gt;1),ContinuousStatsTable[[#This Row],[HalfWidth]],ContinuousStatsTable[[#This Row],[BatchMeansHalfWidth]])</f>
        <v>2.7457743728226142E-3</v>
      </c>
    </row>
    <row r="241" spans="1:21" x14ac:dyDescent="0.25">
      <c r="A241" t="s">
        <v>68</v>
      </c>
      <c r="B241" t="s">
        <v>131</v>
      </c>
      <c r="C241">
        <v>20</v>
      </c>
      <c r="D241" t="s">
        <v>103</v>
      </c>
      <c r="E241" t="s">
        <v>101</v>
      </c>
      <c r="F241" t="s">
        <v>99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241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131</v>
      </c>
      <c r="C242">
        <v>21</v>
      </c>
      <c r="D242" t="s">
        <v>70</v>
      </c>
      <c r="E242" t="s">
        <v>95</v>
      </c>
      <c r="F242" t="s">
        <v>72</v>
      </c>
      <c r="G242">
        <v>4.1960787841634799</v>
      </c>
      <c r="H242">
        <v>0.95463512291074204</v>
      </c>
      <c r="I242">
        <v>0</v>
      </c>
      <c r="J242">
        <v>25</v>
      </c>
      <c r="K242">
        <v>2</v>
      </c>
      <c r="L242">
        <v>0</v>
      </c>
      <c r="M242" t="str">
        <f>ContinuousStatsTable[[#This Row],[ProjectName]]&amp;ContinuousStatsTable[[#This Row],[Name]]&amp;ContinuousStatsTable[[#This Row],[Type]]&amp;ContinuousStatsTable[[#This Row],[Source]]</f>
        <v>PacientesEntity 1WIPEntity</v>
      </c>
      <c r="N242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cm="1">
        <f t="array" ref="O242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242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242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242" cm="1">
        <f t="array" ref="S242">MIN(IF((ContinuousStatsTable[GroupByKey]=ContinuousStatsTable[[#This Row],[GroupByKey]]),(ContinuousStatsTable[GroupByKey]=ContinuousStatsTable[[#This Row],[GroupByKey]])*ContinuousStatsTable[Average]))</f>
        <v>3.9757448048151298</v>
      </c>
      <c r="T242" cm="1">
        <f t="array" ref="T242">MAX(IF((ContinuousStatsTable[GroupByKey]=ContinuousStatsTable[[#This Row],[GroupByKey]]),(ContinuousStatsTable[GroupByKey]=ContinuousStatsTable[[#This Row],[GroupByKey]])*ContinuousStatsTable[Average]))</f>
        <v>6.9386840633215803</v>
      </c>
      <c r="U242">
        <f>IF((ContinuousStatsTable[[#This Row],[RepsRequested]]&gt;1),ContinuousStatsTable[[#This Row],[HalfWidth]],ContinuousStatsTable[[#This Row],[BatchMeansHalfWidth]])</f>
        <v>0.22030607219171747</v>
      </c>
    </row>
    <row r="243" spans="1:21" x14ac:dyDescent="0.25">
      <c r="A243" t="s">
        <v>68</v>
      </c>
      <c r="B243" t="s">
        <v>131</v>
      </c>
      <c r="C243">
        <v>21</v>
      </c>
      <c r="D243" t="s">
        <v>83</v>
      </c>
      <c r="E243" t="s">
        <v>96</v>
      </c>
      <c r="F243" t="s">
        <v>85</v>
      </c>
      <c r="G243">
        <v>1.9719778989162799</v>
      </c>
      <c r="H243">
        <v>0.87036116815945996</v>
      </c>
      <c r="I243">
        <v>0</v>
      </c>
      <c r="J243">
        <v>22</v>
      </c>
      <c r="K243">
        <v>0</v>
      </c>
      <c r="L243">
        <v>0</v>
      </c>
      <c r="M243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243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cm="1">
        <f t="array" ref="O243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243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243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243" cm="1">
        <f t="array" ref="S243">MIN(IF((ContinuousStatsTable[GroupByKey]=ContinuousStatsTable[[#This Row],[GroupByKey]]),(ContinuousStatsTable[GroupByKey]=ContinuousStatsTable[[#This Row],[GroupByKey]])*ContinuousStatsTable[Average]))</f>
        <v>1.7200278735122601</v>
      </c>
      <c r="T243" cm="1">
        <f t="array" ref="T243">MAX(IF((ContinuousStatsTable[GroupByKey]=ContinuousStatsTable[[#This Row],[GroupByKey]]),(ContinuousStatsTable[GroupByKey]=ContinuousStatsTable[[#This Row],[GroupByKey]])*ContinuousStatsTable[Average]))</f>
        <v>4.5543512780988502</v>
      </c>
      <c r="U243">
        <f>IF((ContinuousStatsTable[[#This Row],[RepsRequested]]&gt;1),ContinuousStatsTable[[#This Row],[HalfWidth]],ContinuousStatsTable[[#This Row],[BatchMeansHalfWidth]])</f>
        <v>0.21041231434540877</v>
      </c>
    </row>
    <row r="244" spans="1:21" x14ac:dyDescent="0.25">
      <c r="A244" t="s">
        <v>68</v>
      </c>
      <c r="B244" t="s">
        <v>131</v>
      </c>
      <c r="C244">
        <v>21</v>
      </c>
      <c r="D244" t="s">
        <v>87</v>
      </c>
      <c r="E244" t="s">
        <v>96</v>
      </c>
      <c r="F244" t="s">
        <v>85</v>
      </c>
      <c r="G244">
        <v>0.19758368573255999</v>
      </c>
      <c r="H244">
        <v>3.0394373053990401E-2</v>
      </c>
      <c r="I244">
        <v>0</v>
      </c>
      <c r="J244">
        <v>5</v>
      </c>
      <c r="K244">
        <v>0</v>
      </c>
      <c r="L244">
        <v>0</v>
      </c>
      <c r="M244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244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cm="1">
        <f t="array" ref="O244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244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244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244" cm="1">
        <f t="array" ref="S244">MIN(IF((ContinuousStatsTable[GroupByKey]=ContinuousStatsTable[[#This Row],[GroupByKey]]),(ContinuousStatsTable[GroupByKey]=ContinuousStatsTable[[#This Row],[GroupByKey]])*ContinuousStatsTable[Average]))</f>
        <v>0.172815232766103</v>
      </c>
      <c r="T244" cm="1">
        <f t="array" ref="T244">MAX(IF((ContinuousStatsTable[GroupByKey]=ContinuousStatsTable[[#This Row],[GroupByKey]]),(ContinuousStatsTable[GroupByKey]=ContinuousStatsTable[[#This Row],[GroupByKey]])*ContinuousStatsTable[Average]))</f>
        <v>0.24783514900621301</v>
      </c>
      <c r="U244">
        <f>IF((ContinuousStatsTable[[#This Row],[RepsRequested]]&gt;1),ContinuousStatsTable[[#This Row],[HalfWidth]],ContinuousStatsTable[[#This Row],[BatchMeansHalfWidth]])</f>
        <v>4.7768909384897544E-3</v>
      </c>
    </row>
    <row r="245" spans="1:21" x14ac:dyDescent="0.25">
      <c r="A245" t="s">
        <v>68</v>
      </c>
      <c r="B245" t="s">
        <v>131</v>
      </c>
      <c r="C245">
        <v>21</v>
      </c>
      <c r="D245" t="s">
        <v>97</v>
      </c>
      <c r="E245" t="s">
        <v>98</v>
      </c>
      <c r="F245" t="s">
        <v>99</v>
      </c>
      <c r="G245">
        <v>0.52470641844357602</v>
      </c>
      <c r="H245">
        <v>2.5964098719697001E-2</v>
      </c>
      <c r="I245">
        <v>0</v>
      </c>
      <c r="J245">
        <v>0.66666666666666696</v>
      </c>
      <c r="K245">
        <v>0.33333333333333298</v>
      </c>
      <c r="L245">
        <v>0</v>
      </c>
      <c r="M245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24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cm="1">
        <f t="array" ref="O245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24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24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245" cm="1">
        <f t="array" ref="S245">MIN(IF((ContinuousStatsTable[GroupByKey]=ContinuousStatsTable[[#This Row],[GroupByKey]]),(ContinuousStatsTable[GroupByKey]=ContinuousStatsTable[[#This Row],[GroupByKey]])*ContinuousStatsTable[Average]))</f>
        <v>0.52470641844357602</v>
      </c>
      <c r="T245" cm="1">
        <f t="array" ref="T245">MAX(IF((ContinuousStatsTable[GroupByKey]=ContinuousStatsTable[[#This Row],[GroupByKey]]),(ContinuousStatsTable[GroupByKey]=ContinuousStatsTable[[#This Row],[GroupByKey]])*ContinuousStatsTable[Average]))</f>
        <v>0.57005812966092095</v>
      </c>
      <c r="U245">
        <f>IF((ContinuousStatsTable[[#This Row],[RepsRequested]]&gt;1),ContinuousStatsTable[[#This Row],[HalfWidth]],ContinuousStatsTable[[#This Row],[BatchMeansHalfWidth]])</f>
        <v>2.9048243757695521E-3</v>
      </c>
    </row>
    <row r="246" spans="1:21" x14ac:dyDescent="0.25">
      <c r="A246" t="s">
        <v>68</v>
      </c>
      <c r="B246" t="s">
        <v>131</v>
      </c>
      <c r="C246">
        <v>21</v>
      </c>
      <c r="D246" t="s">
        <v>97</v>
      </c>
      <c r="E246" t="s">
        <v>100</v>
      </c>
      <c r="F246" t="s">
        <v>99</v>
      </c>
      <c r="G246">
        <v>1.5741192553307399</v>
      </c>
      <c r="H246">
        <v>7.7892296159091101E-2</v>
      </c>
      <c r="I246">
        <v>0</v>
      </c>
      <c r="J246">
        <v>2</v>
      </c>
      <c r="K246">
        <v>1</v>
      </c>
      <c r="L246">
        <v>0</v>
      </c>
      <c r="M246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246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cm="1">
        <f t="array" ref="O246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46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46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46" cm="1">
        <f t="array" ref="S246">MIN(IF((ContinuousStatsTable[GroupByKey]=ContinuousStatsTable[[#This Row],[GroupByKey]]),(ContinuousStatsTable[GroupByKey]=ContinuousStatsTable[[#This Row],[GroupByKey]])*ContinuousStatsTable[Average]))</f>
        <v>1.5741192553307399</v>
      </c>
      <c r="T246" cm="1">
        <f t="array" ref="T246">MAX(IF((ContinuousStatsTable[GroupByKey]=ContinuousStatsTable[[#This Row],[GroupByKey]]),(ContinuousStatsTable[GroupByKey]=ContinuousStatsTable[[#This Row],[GroupByKey]])*ContinuousStatsTable[Average]))</f>
        <v>1.7101743889827701</v>
      </c>
      <c r="U246">
        <f>IF((ContinuousStatsTable[[#This Row],[RepsRequested]]&gt;1),ContinuousStatsTable[[#This Row],[HalfWidth]],ContinuousStatsTable[[#This Row],[BatchMeansHalfWidth]])</f>
        <v>8.7144731273084922E-3</v>
      </c>
    </row>
    <row r="247" spans="1:21" x14ac:dyDescent="0.25">
      <c r="A247" t="s">
        <v>68</v>
      </c>
      <c r="B247" t="s">
        <v>131</v>
      </c>
      <c r="C247">
        <v>21</v>
      </c>
      <c r="D247" t="s">
        <v>97</v>
      </c>
      <c r="E247" t="s">
        <v>101</v>
      </c>
      <c r="F247" t="s">
        <v>99</v>
      </c>
      <c r="G247">
        <v>3</v>
      </c>
      <c r="H247">
        <v>2E+20</v>
      </c>
      <c r="I247">
        <v>3</v>
      </c>
      <c r="J247">
        <v>3</v>
      </c>
      <c r="K247">
        <v>3</v>
      </c>
      <c r="L247">
        <v>0</v>
      </c>
      <c r="M247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247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cm="1">
        <f t="array" ref="O247">IFERROR(AVERAGE(IF((ContinuousStatsTable[GroupByKey]=ContinuousStatsTable[[#This Row],[GroupByKey]]),(ContinuousStatsTable[GroupByKey]=ContinuousStatsTable[[#This Row],[GroupByKey]])*ContinuousStatsTable[Average])),0)</f>
        <v>3</v>
      </c>
      <c r="P247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0</v>
      </c>
      <c r="Q247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7" cm="1">
        <f t="array" ref="S247">MIN(IF((ContinuousStatsTable[GroupByKey]=ContinuousStatsTable[[#This Row],[GroupByKey]]),(ContinuousStatsTable[GroupByKey]=ContinuousStatsTable[[#This Row],[GroupByKey]])*ContinuousStatsTable[Average]))</f>
        <v>3</v>
      </c>
      <c r="T247" cm="1">
        <f t="array" ref="T247">MAX(IF((ContinuousStatsTable[GroupByKey]=ContinuousStatsTable[[#This Row],[GroupByKey]]),(ContinuousStatsTable[GroupByKey]=ContinuousStatsTable[[#This Row],[GroupByKey]])*ContinuousStatsTable[Average]))</f>
        <v>3</v>
      </c>
      <c r="U247">
        <f>IF((ContinuousStatsTable[[#This Row],[RepsRequested]]&gt;1),ContinuousStatsTable[[#This Row],[HalfWidth]],ContinuousStatsTable[[#This Row],[BatchMeansHalfWidth]])</f>
        <v>0</v>
      </c>
    </row>
    <row r="248" spans="1:21" x14ac:dyDescent="0.25">
      <c r="A248" t="s">
        <v>68</v>
      </c>
      <c r="B248" t="s">
        <v>131</v>
      </c>
      <c r="C248">
        <v>21</v>
      </c>
      <c r="D248" t="s">
        <v>102</v>
      </c>
      <c r="E248" t="s">
        <v>98</v>
      </c>
      <c r="F248" t="s">
        <v>99</v>
      </c>
      <c r="G248">
        <v>0.78705962766536897</v>
      </c>
      <c r="H248">
        <v>3.8946148079545502E-2</v>
      </c>
      <c r="I248">
        <v>0</v>
      </c>
      <c r="J248">
        <v>1</v>
      </c>
      <c r="K248">
        <v>0.5</v>
      </c>
      <c r="L248">
        <v>0</v>
      </c>
      <c r="M248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248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cm="1">
        <f t="array" ref="O248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248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248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248" cm="1">
        <f t="array" ref="S248">MIN(IF((ContinuousStatsTable[GroupByKey]=ContinuousStatsTable[[#This Row],[GroupByKey]]),(ContinuousStatsTable[GroupByKey]=ContinuousStatsTable[[#This Row],[GroupByKey]])*ContinuousStatsTable[Average]))</f>
        <v>0.78705962766536897</v>
      </c>
      <c r="T248" cm="1">
        <f t="array" ref="T248">MAX(IF((ContinuousStatsTable[GroupByKey]=ContinuousStatsTable[[#This Row],[GroupByKey]]),(ContinuousStatsTable[GroupByKey]=ContinuousStatsTable[[#This Row],[GroupByKey]])*ContinuousStatsTable[Average]))</f>
        <v>0.85508719449138504</v>
      </c>
      <c r="U248">
        <f>IF((ContinuousStatsTable[[#This Row],[RepsRequested]]&gt;1),ContinuousStatsTable[[#This Row],[HalfWidth]],ContinuousStatsTable[[#This Row],[BatchMeansHalfWidth]])</f>
        <v>4.3572365636542886E-3</v>
      </c>
    </row>
    <row r="249" spans="1:21" x14ac:dyDescent="0.25">
      <c r="A249" t="s">
        <v>68</v>
      </c>
      <c r="B249" t="s">
        <v>131</v>
      </c>
      <c r="C249">
        <v>21</v>
      </c>
      <c r="D249" t="s">
        <v>102</v>
      </c>
      <c r="E249" t="s">
        <v>100</v>
      </c>
      <c r="F249" t="s">
        <v>99</v>
      </c>
      <c r="G249">
        <v>1.5741192553307399</v>
      </c>
      <c r="H249">
        <v>7.7892296159091101E-2</v>
      </c>
      <c r="I249">
        <v>0</v>
      </c>
      <c r="J249">
        <v>2</v>
      </c>
      <c r="K249">
        <v>1</v>
      </c>
      <c r="L249">
        <v>0</v>
      </c>
      <c r="M249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249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cm="1">
        <f t="array" ref="O249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49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49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49" cm="1">
        <f t="array" ref="S249">MIN(IF((ContinuousStatsTable[GroupByKey]=ContinuousStatsTable[[#This Row],[GroupByKey]]),(ContinuousStatsTable[GroupByKey]=ContinuousStatsTable[[#This Row],[GroupByKey]])*ContinuousStatsTable[Average]))</f>
        <v>1.5741192553307399</v>
      </c>
      <c r="T249" cm="1">
        <f t="array" ref="T249">MAX(IF((ContinuousStatsTable[GroupByKey]=ContinuousStatsTable[[#This Row],[GroupByKey]]),(ContinuousStatsTable[GroupByKey]=ContinuousStatsTable[[#This Row],[GroupByKey]])*ContinuousStatsTable[Average]))</f>
        <v>1.7101743889827701</v>
      </c>
      <c r="U249">
        <f>IF((ContinuousStatsTable[[#This Row],[RepsRequested]]&gt;1),ContinuousStatsTable[[#This Row],[HalfWidth]],ContinuousStatsTable[[#This Row],[BatchMeansHalfWidth]])</f>
        <v>8.7144731273084922E-3</v>
      </c>
    </row>
    <row r="250" spans="1:21" x14ac:dyDescent="0.25">
      <c r="A250" t="s">
        <v>68</v>
      </c>
      <c r="B250" t="s">
        <v>131</v>
      </c>
      <c r="C250">
        <v>21</v>
      </c>
      <c r="D250" t="s">
        <v>102</v>
      </c>
      <c r="E250" t="s">
        <v>101</v>
      </c>
      <c r="F250" t="s">
        <v>99</v>
      </c>
      <c r="G250">
        <v>2</v>
      </c>
      <c r="H250">
        <v>2E+20</v>
      </c>
      <c r="I250">
        <v>2</v>
      </c>
      <c r="J250">
        <v>2</v>
      </c>
      <c r="K250">
        <v>2</v>
      </c>
      <c r="L250">
        <v>0</v>
      </c>
      <c r="M250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250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cm="1">
        <f t="array" ref="O250">IFERROR(AVERAGE(IF((ContinuousStatsTable[GroupByKey]=ContinuousStatsTable[[#This Row],[GroupByKey]]),(ContinuousStatsTable[GroupByKey]=ContinuousStatsTable[[#This Row],[GroupByKey]])*ContinuousStatsTable[Average])),0)</f>
        <v>2</v>
      </c>
      <c r="P250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</v>
      </c>
      <c r="Q250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0" cm="1">
        <f t="array" ref="S250">MIN(IF((ContinuousStatsTable[GroupByKey]=ContinuousStatsTable[[#This Row],[GroupByKey]]),(ContinuousStatsTable[GroupByKey]=ContinuousStatsTable[[#This Row],[GroupByKey]])*ContinuousStatsTable[Average]))</f>
        <v>2</v>
      </c>
      <c r="T250" cm="1">
        <f t="array" ref="T250">MAX(IF((ContinuousStatsTable[GroupByKey]=ContinuousStatsTable[[#This Row],[GroupByKey]]),(ContinuousStatsTable[GroupByKey]=ContinuousStatsTable[[#This Row],[GroupByKey]])*ContinuousStatsTable[Average]))</f>
        <v>2</v>
      </c>
      <c r="U250">
        <f>IF((ContinuousStatsTable[[#This Row],[RepsRequested]]&gt;1),ContinuousStatsTable[[#This Row],[HalfWidth]],ContinuousStatsTable[[#This Row],[BatchMeansHalfWidth]])</f>
        <v>0</v>
      </c>
    </row>
    <row r="251" spans="1:21" x14ac:dyDescent="0.25">
      <c r="A251" t="s">
        <v>68</v>
      </c>
      <c r="B251" t="s">
        <v>131</v>
      </c>
      <c r="C251">
        <v>21</v>
      </c>
      <c r="D251" t="s">
        <v>103</v>
      </c>
      <c r="E251" t="s">
        <v>98</v>
      </c>
      <c r="F251" t="s">
        <v>99</v>
      </c>
      <c r="G251">
        <v>0.452397944183905</v>
      </c>
      <c r="H251">
        <v>1.7532749928888799E-2</v>
      </c>
      <c r="I251">
        <v>0</v>
      </c>
      <c r="J251">
        <v>1</v>
      </c>
      <c r="K251">
        <v>1</v>
      </c>
      <c r="L251">
        <v>0</v>
      </c>
      <c r="M251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251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cm="1">
        <f t="array" ref="O251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51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51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51" cm="1">
        <f t="array" ref="S251">MIN(IF((ContinuousStatsTable[GroupByKey]=ContinuousStatsTable[[#This Row],[GroupByKey]]),(ContinuousStatsTable[GroupByKey]=ContinuousStatsTable[[#This Row],[GroupByKey]])*ContinuousStatsTable[Average]))</f>
        <v>0.452397944183905</v>
      </c>
      <c r="T251" cm="1">
        <f t="array" ref="T251">MAX(IF((ContinuousStatsTable[GroupByKey]=ContinuousStatsTable[[#This Row],[GroupByKey]]),(ContinuousStatsTable[GroupByKey]=ContinuousStatsTable[[#This Row],[GroupByKey]])*ContinuousStatsTable[Average]))</f>
        <v>0.49691123629694001</v>
      </c>
      <c r="U251">
        <f>IF((ContinuousStatsTable[[#This Row],[RepsRequested]]&gt;1),ContinuousStatsTable[[#This Row],[HalfWidth]],ContinuousStatsTable[[#This Row],[BatchMeansHalfWidth]])</f>
        <v>2.7457743728226142E-3</v>
      </c>
    </row>
    <row r="252" spans="1:21" x14ac:dyDescent="0.25">
      <c r="A252" t="s">
        <v>68</v>
      </c>
      <c r="B252" t="s">
        <v>131</v>
      </c>
      <c r="C252">
        <v>21</v>
      </c>
      <c r="D252" t="s">
        <v>103</v>
      </c>
      <c r="E252" t="s">
        <v>100</v>
      </c>
      <c r="F252" t="s">
        <v>99</v>
      </c>
      <c r="G252">
        <v>0.452397944183905</v>
      </c>
      <c r="H252">
        <v>1.7532749928888799E-2</v>
      </c>
      <c r="I252">
        <v>0</v>
      </c>
      <c r="J252">
        <v>1</v>
      </c>
      <c r="K252">
        <v>1</v>
      </c>
      <c r="L252">
        <v>0</v>
      </c>
      <c r="M252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252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cm="1">
        <f t="array" ref="O252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52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52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52" cm="1">
        <f t="array" ref="S252">MIN(IF((ContinuousStatsTable[GroupByKey]=ContinuousStatsTable[[#This Row],[GroupByKey]]),(ContinuousStatsTable[GroupByKey]=ContinuousStatsTable[[#This Row],[GroupByKey]])*ContinuousStatsTable[Average]))</f>
        <v>0.452397944183905</v>
      </c>
      <c r="T252" cm="1">
        <f t="array" ref="T252">MAX(IF((ContinuousStatsTable[GroupByKey]=ContinuousStatsTable[[#This Row],[GroupByKey]]),(ContinuousStatsTable[GroupByKey]=ContinuousStatsTable[[#This Row],[GroupByKey]])*ContinuousStatsTable[Average]))</f>
        <v>0.49691123629694001</v>
      </c>
      <c r="U252">
        <f>IF((ContinuousStatsTable[[#This Row],[RepsRequested]]&gt;1),ContinuousStatsTable[[#This Row],[HalfWidth]],ContinuousStatsTable[[#This Row],[BatchMeansHalfWidth]])</f>
        <v>2.7457743728226142E-3</v>
      </c>
    </row>
    <row r="253" spans="1:21" x14ac:dyDescent="0.25">
      <c r="A253" t="s">
        <v>68</v>
      </c>
      <c r="B253" t="s">
        <v>131</v>
      </c>
      <c r="C253">
        <v>21</v>
      </c>
      <c r="D253" t="s">
        <v>103</v>
      </c>
      <c r="E253" t="s">
        <v>101</v>
      </c>
      <c r="F253" t="s">
        <v>99</v>
      </c>
      <c r="G253">
        <v>1</v>
      </c>
      <c r="H253">
        <v>2E+20</v>
      </c>
      <c r="I253">
        <v>1</v>
      </c>
      <c r="J253">
        <v>1</v>
      </c>
      <c r="K253">
        <v>1</v>
      </c>
      <c r="L253">
        <v>0</v>
      </c>
      <c r="M253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253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cm="1">
        <f t="array" ref="O253">IFERROR(AVERAGE(IF((ContinuousStatsTable[GroupByKey]=ContinuousStatsTable[[#This Row],[GroupByKey]]),(ContinuousStatsTable[GroupByKey]=ContinuousStatsTable[[#This Row],[GroupByKey]])*ContinuousStatsTable[Average])),0)</f>
        <v>1</v>
      </c>
      <c r="P253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cm="1">
        <f t="array" ref="S253">MIN(IF((ContinuousStatsTable[GroupByKey]=ContinuousStatsTable[[#This Row],[GroupByKey]]),(ContinuousStatsTable[GroupByKey]=ContinuousStatsTable[[#This Row],[GroupByKey]])*ContinuousStatsTable[Average]))</f>
        <v>1</v>
      </c>
      <c r="T253" cm="1">
        <f t="array" ref="T253">MAX(IF((ContinuousStatsTable[GroupByKey]=ContinuousStatsTable[[#This Row],[GroupByKey]]),(ContinuousStatsTable[GroupByKey]=ContinuousStatsTable[[#This Row],[GroupByKey]])*ContinuousStatsTable[Average]))</f>
        <v>1</v>
      </c>
      <c r="U253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68</v>
      </c>
      <c r="B254" t="s">
        <v>131</v>
      </c>
      <c r="C254">
        <v>22</v>
      </c>
      <c r="D254" t="s">
        <v>70</v>
      </c>
      <c r="E254" t="s">
        <v>95</v>
      </c>
      <c r="F254" t="s">
        <v>72</v>
      </c>
      <c r="G254">
        <v>5.8157090796215503</v>
      </c>
      <c r="H254">
        <v>1.12922599383277</v>
      </c>
      <c r="I254">
        <v>0</v>
      </c>
      <c r="J254">
        <v>28</v>
      </c>
      <c r="K254">
        <v>3</v>
      </c>
      <c r="L254">
        <v>0</v>
      </c>
      <c r="M254" t="str">
        <f>ContinuousStatsTable[[#This Row],[ProjectName]]&amp;ContinuousStatsTable[[#This Row],[Name]]&amp;ContinuousStatsTable[[#This Row],[Type]]&amp;ContinuousStatsTable[[#This Row],[Source]]</f>
        <v>PacientesEntity 1WIPEntity</v>
      </c>
      <c r="N254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cm="1">
        <f t="array" ref="O254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254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254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254" cm="1">
        <f t="array" ref="S254">MIN(IF((ContinuousStatsTable[GroupByKey]=ContinuousStatsTable[[#This Row],[GroupByKey]]),(ContinuousStatsTable[GroupByKey]=ContinuousStatsTable[[#This Row],[GroupByKey]])*ContinuousStatsTable[Average]))</f>
        <v>3.9757448048151298</v>
      </c>
      <c r="T254" cm="1">
        <f t="array" ref="T254">MAX(IF((ContinuousStatsTable[GroupByKey]=ContinuousStatsTable[[#This Row],[GroupByKey]]),(ContinuousStatsTable[GroupByKey]=ContinuousStatsTable[[#This Row],[GroupByKey]])*ContinuousStatsTable[Average]))</f>
        <v>6.9386840633215803</v>
      </c>
      <c r="U254">
        <f>IF((ContinuousStatsTable[[#This Row],[RepsRequested]]&gt;1),ContinuousStatsTable[[#This Row],[HalfWidth]],ContinuousStatsTable[[#This Row],[BatchMeansHalfWidth]])</f>
        <v>0.22030607219171747</v>
      </c>
    </row>
    <row r="255" spans="1:21" x14ac:dyDescent="0.25">
      <c r="A255" t="s">
        <v>68</v>
      </c>
      <c r="B255" t="s">
        <v>131</v>
      </c>
      <c r="C255">
        <v>22</v>
      </c>
      <c r="D255" t="s">
        <v>83</v>
      </c>
      <c r="E255" t="s">
        <v>96</v>
      </c>
      <c r="F255" t="s">
        <v>85</v>
      </c>
      <c r="G255">
        <v>3.44811746825749</v>
      </c>
      <c r="H255">
        <v>1.0134450558843999</v>
      </c>
      <c r="I255">
        <v>0</v>
      </c>
      <c r="J255">
        <v>26</v>
      </c>
      <c r="K255">
        <v>1</v>
      </c>
      <c r="L255">
        <v>0</v>
      </c>
      <c r="M255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25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cm="1">
        <f t="array" ref="O255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25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25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255" cm="1">
        <f t="array" ref="S255">MIN(IF((ContinuousStatsTable[GroupByKey]=ContinuousStatsTable[[#This Row],[GroupByKey]]),(ContinuousStatsTable[GroupByKey]=ContinuousStatsTable[[#This Row],[GroupByKey]])*ContinuousStatsTable[Average]))</f>
        <v>1.7200278735122601</v>
      </c>
      <c r="T255" cm="1">
        <f t="array" ref="T255">MAX(IF((ContinuousStatsTable[GroupByKey]=ContinuousStatsTable[[#This Row],[GroupByKey]]),(ContinuousStatsTable[GroupByKey]=ContinuousStatsTable[[#This Row],[GroupByKey]])*ContinuousStatsTable[Average]))</f>
        <v>4.5543512780988502</v>
      </c>
      <c r="U255">
        <f>IF((ContinuousStatsTable[[#This Row],[RepsRequested]]&gt;1),ContinuousStatsTable[[#This Row],[HalfWidth]],ContinuousStatsTable[[#This Row],[BatchMeansHalfWidth]])</f>
        <v>0.21041231434540877</v>
      </c>
    </row>
    <row r="256" spans="1:21" x14ac:dyDescent="0.25">
      <c r="A256" t="s">
        <v>68</v>
      </c>
      <c r="B256" t="s">
        <v>131</v>
      </c>
      <c r="C256">
        <v>22</v>
      </c>
      <c r="D256" t="s">
        <v>87</v>
      </c>
      <c r="E256" t="s">
        <v>96</v>
      </c>
      <c r="F256" t="s">
        <v>85</v>
      </c>
      <c r="G256">
        <v>0.215491186941596</v>
      </c>
      <c r="H256">
        <v>4.6372292983794201E-2</v>
      </c>
      <c r="I256">
        <v>0</v>
      </c>
      <c r="J256">
        <v>8</v>
      </c>
      <c r="K256">
        <v>0</v>
      </c>
      <c r="L256">
        <v>0</v>
      </c>
      <c r="M256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256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cm="1">
        <f t="array" ref="O256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256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256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256" cm="1">
        <f t="array" ref="S256">MIN(IF((ContinuousStatsTable[GroupByKey]=ContinuousStatsTable[[#This Row],[GroupByKey]]),(ContinuousStatsTable[GroupByKey]=ContinuousStatsTable[[#This Row],[GroupByKey]])*ContinuousStatsTable[Average]))</f>
        <v>0.172815232766103</v>
      </c>
      <c r="T256" cm="1">
        <f t="array" ref="T256">MAX(IF((ContinuousStatsTable[GroupByKey]=ContinuousStatsTable[[#This Row],[GroupByKey]]),(ContinuousStatsTable[GroupByKey]=ContinuousStatsTable[[#This Row],[GroupByKey]])*ContinuousStatsTable[Average]))</f>
        <v>0.24783514900621301</v>
      </c>
      <c r="U256">
        <f>IF((ContinuousStatsTable[[#This Row],[RepsRequested]]&gt;1),ContinuousStatsTable[[#This Row],[HalfWidth]],ContinuousStatsTable[[#This Row],[BatchMeansHalfWidth]])</f>
        <v>4.7768909384897544E-3</v>
      </c>
    </row>
    <row r="257" spans="1:21" x14ac:dyDescent="0.25">
      <c r="A257" t="s">
        <v>68</v>
      </c>
      <c r="B257" t="s">
        <v>131</v>
      </c>
      <c r="C257">
        <v>22</v>
      </c>
      <c r="D257" t="s">
        <v>97</v>
      </c>
      <c r="E257" t="s">
        <v>98</v>
      </c>
      <c r="F257" t="s">
        <v>99</v>
      </c>
      <c r="G257">
        <v>0.55953771135449504</v>
      </c>
      <c r="H257">
        <v>2.9930826218411401E-2</v>
      </c>
      <c r="I257">
        <v>0</v>
      </c>
      <c r="J257">
        <v>0.66666666666666696</v>
      </c>
      <c r="K257">
        <v>0.66666666666666696</v>
      </c>
      <c r="L257">
        <v>0</v>
      </c>
      <c r="M257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257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cm="1">
        <f t="array" ref="O257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257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257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257" cm="1">
        <f t="array" ref="S257">MIN(IF((ContinuousStatsTable[GroupByKey]=ContinuousStatsTable[[#This Row],[GroupByKey]]),(ContinuousStatsTable[GroupByKey]=ContinuousStatsTable[[#This Row],[GroupByKey]])*ContinuousStatsTable[Average]))</f>
        <v>0.52470641844357602</v>
      </c>
      <c r="T257" cm="1">
        <f t="array" ref="T257">MAX(IF((ContinuousStatsTable[GroupByKey]=ContinuousStatsTable[[#This Row],[GroupByKey]]),(ContinuousStatsTable[GroupByKey]=ContinuousStatsTable[[#This Row],[GroupByKey]])*ContinuousStatsTable[Average]))</f>
        <v>0.57005812966092095</v>
      </c>
      <c r="U257">
        <f>IF((ContinuousStatsTable[[#This Row],[RepsRequested]]&gt;1),ContinuousStatsTable[[#This Row],[HalfWidth]],ContinuousStatsTable[[#This Row],[BatchMeansHalfWidth]])</f>
        <v>2.9048243757695521E-3</v>
      </c>
    </row>
    <row r="258" spans="1:21" x14ac:dyDescent="0.25">
      <c r="A258" t="s">
        <v>68</v>
      </c>
      <c r="B258" t="s">
        <v>131</v>
      </c>
      <c r="C258">
        <v>22</v>
      </c>
      <c r="D258" t="s">
        <v>97</v>
      </c>
      <c r="E258" t="s">
        <v>100</v>
      </c>
      <c r="F258" t="s">
        <v>99</v>
      </c>
      <c r="G258">
        <v>1.67861313406349</v>
      </c>
      <c r="H258">
        <v>8.9792478655234098E-2</v>
      </c>
      <c r="I258">
        <v>0</v>
      </c>
      <c r="J258">
        <v>2</v>
      </c>
      <c r="K258">
        <v>2</v>
      </c>
      <c r="L258">
        <v>0</v>
      </c>
      <c r="M258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258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cm="1">
        <f t="array" ref="O258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58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58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58" cm="1">
        <f t="array" ref="S258">MIN(IF((ContinuousStatsTable[GroupByKey]=ContinuousStatsTable[[#This Row],[GroupByKey]]),(ContinuousStatsTable[GroupByKey]=ContinuousStatsTable[[#This Row],[GroupByKey]])*ContinuousStatsTable[Average]))</f>
        <v>1.5741192553307399</v>
      </c>
      <c r="T258" cm="1">
        <f t="array" ref="T258">MAX(IF((ContinuousStatsTable[GroupByKey]=ContinuousStatsTable[[#This Row],[GroupByKey]]),(ContinuousStatsTable[GroupByKey]=ContinuousStatsTable[[#This Row],[GroupByKey]])*ContinuousStatsTable[Average]))</f>
        <v>1.7101743889827701</v>
      </c>
      <c r="U258">
        <f>IF((ContinuousStatsTable[[#This Row],[RepsRequested]]&gt;1),ContinuousStatsTable[[#This Row],[HalfWidth]],ContinuousStatsTable[[#This Row],[BatchMeansHalfWidth]])</f>
        <v>8.7144731273084922E-3</v>
      </c>
    </row>
    <row r="259" spans="1:21" x14ac:dyDescent="0.25">
      <c r="A259" t="s">
        <v>68</v>
      </c>
      <c r="B259" t="s">
        <v>131</v>
      </c>
      <c r="C259">
        <v>22</v>
      </c>
      <c r="D259" t="s">
        <v>97</v>
      </c>
      <c r="E259" t="s">
        <v>101</v>
      </c>
      <c r="F259" t="s">
        <v>99</v>
      </c>
      <c r="G259">
        <v>3</v>
      </c>
      <c r="H259">
        <v>2E+20</v>
      </c>
      <c r="I259">
        <v>3</v>
      </c>
      <c r="J259">
        <v>3</v>
      </c>
      <c r="K259">
        <v>3</v>
      </c>
      <c r="L259">
        <v>0</v>
      </c>
      <c r="M259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259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cm="1">
        <f t="array" ref="O259">IFERROR(AVERAGE(IF((ContinuousStatsTable[GroupByKey]=ContinuousStatsTable[[#This Row],[GroupByKey]]),(ContinuousStatsTable[GroupByKey]=ContinuousStatsTable[[#This Row],[GroupByKey]])*ContinuousStatsTable[Average])),0)</f>
        <v>3</v>
      </c>
      <c r="P259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</v>
      </c>
      <c r="Q259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9" cm="1">
        <f t="array" ref="S259">MIN(IF((ContinuousStatsTable[GroupByKey]=ContinuousStatsTable[[#This Row],[GroupByKey]]),(ContinuousStatsTable[GroupByKey]=ContinuousStatsTable[[#This Row],[GroupByKey]])*ContinuousStatsTable[Average]))</f>
        <v>3</v>
      </c>
      <c r="T259" cm="1">
        <f t="array" ref="T259">MAX(IF((ContinuousStatsTable[GroupByKey]=ContinuousStatsTable[[#This Row],[GroupByKey]]),(ContinuousStatsTable[GroupByKey]=ContinuousStatsTable[[#This Row],[GroupByKey]])*ContinuousStatsTable[Average]))</f>
        <v>3</v>
      </c>
      <c r="U259">
        <f>IF((ContinuousStatsTable[[#This Row],[RepsRequested]]&gt;1),ContinuousStatsTable[[#This Row],[HalfWidth]],ContinuousStatsTable[[#This Row],[BatchMeansHalfWidth]])</f>
        <v>0</v>
      </c>
    </row>
    <row r="260" spans="1:21" x14ac:dyDescent="0.25">
      <c r="A260" t="s">
        <v>68</v>
      </c>
      <c r="B260" t="s">
        <v>131</v>
      </c>
      <c r="C260">
        <v>22</v>
      </c>
      <c r="D260" t="s">
        <v>102</v>
      </c>
      <c r="E260" t="s">
        <v>98</v>
      </c>
      <c r="F260" t="s">
        <v>99</v>
      </c>
      <c r="G260">
        <v>0.839306567031743</v>
      </c>
      <c r="H260">
        <v>4.4896239327617E-2</v>
      </c>
      <c r="I260">
        <v>0</v>
      </c>
      <c r="J260">
        <v>1</v>
      </c>
      <c r="K260">
        <v>1</v>
      </c>
      <c r="L260">
        <v>0</v>
      </c>
      <c r="M260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260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cm="1">
        <f t="array" ref="O260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260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260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260" cm="1">
        <f t="array" ref="S260">MIN(IF((ContinuousStatsTable[GroupByKey]=ContinuousStatsTable[[#This Row],[GroupByKey]]),(ContinuousStatsTable[GroupByKey]=ContinuousStatsTable[[#This Row],[GroupByKey]])*ContinuousStatsTable[Average]))</f>
        <v>0.78705962766536897</v>
      </c>
      <c r="T260" cm="1">
        <f t="array" ref="T260">MAX(IF((ContinuousStatsTable[GroupByKey]=ContinuousStatsTable[[#This Row],[GroupByKey]]),(ContinuousStatsTable[GroupByKey]=ContinuousStatsTable[[#This Row],[GroupByKey]])*ContinuousStatsTable[Average]))</f>
        <v>0.85508719449138504</v>
      </c>
      <c r="U260">
        <f>IF((ContinuousStatsTable[[#This Row],[RepsRequested]]&gt;1),ContinuousStatsTable[[#This Row],[HalfWidth]],ContinuousStatsTable[[#This Row],[BatchMeansHalfWidth]])</f>
        <v>4.3572365636542886E-3</v>
      </c>
    </row>
    <row r="261" spans="1:21" x14ac:dyDescent="0.25">
      <c r="A261" t="s">
        <v>68</v>
      </c>
      <c r="B261" t="s">
        <v>131</v>
      </c>
      <c r="C261">
        <v>22</v>
      </c>
      <c r="D261" t="s">
        <v>102</v>
      </c>
      <c r="E261" t="s">
        <v>100</v>
      </c>
      <c r="F261" t="s">
        <v>99</v>
      </c>
      <c r="G261">
        <v>1.67861313406349</v>
      </c>
      <c r="H261">
        <v>8.9792478655234098E-2</v>
      </c>
      <c r="I261">
        <v>0</v>
      </c>
      <c r="J261">
        <v>2</v>
      </c>
      <c r="K261">
        <v>2</v>
      </c>
      <c r="L261">
        <v>0</v>
      </c>
      <c r="M261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261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cm="1">
        <f t="array" ref="O261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61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61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61" cm="1">
        <f t="array" ref="S261">MIN(IF((ContinuousStatsTable[GroupByKey]=ContinuousStatsTable[[#This Row],[GroupByKey]]),(ContinuousStatsTable[GroupByKey]=ContinuousStatsTable[[#This Row],[GroupByKey]])*ContinuousStatsTable[Average]))</f>
        <v>1.5741192553307399</v>
      </c>
      <c r="T261" cm="1">
        <f t="array" ref="T261">MAX(IF((ContinuousStatsTable[GroupByKey]=ContinuousStatsTable[[#This Row],[GroupByKey]]),(ContinuousStatsTable[GroupByKey]=ContinuousStatsTable[[#This Row],[GroupByKey]])*ContinuousStatsTable[Average]))</f>
        <v>1.7101743889827701</v>
      </c>
      <c r="U261">
        <f>IF((ContinuousStatsTable[[#This Row],[RepsRequested]]&gt;1),ContinuousStatsTable[[#This Row],[HalfWidth]],ContinuousStatsTable[[#This Row],[BatchMeansHalfWidth]])</f>
        <v>8.7144731273084922E-3</v>
      </c>
    </row>
    <row r="262" spans="1:21" x14ac:dyDescent="0.25">
      <c r="A262" t="s">
        <v>68</v>
      </c>
      <c r="B262" t="s">
        <v>131</v>
      </c>
      <c r="C262">
        <v>22</v>
      </c>
      <c r="D262" t="s">
        <v>102</v>
      </c>
      <c r="E262" t="s">
        <v>101</v>
      </c>
      <c r="F262" t="s">
        <v>99</v>
      </c>
      <c r="G262">
        <v>2</v>
      </c>
      <c r="H262">
        <v>2E+20</v>
      </c>
      <c r="I262">
        <v>2</v>
      </c>
      <c r="J262">
        <v>2</v>
      </c>
      <c r="K262">
        <v>2</v>
      </c>
      <c r="L262">
        <v>0</v>
      </c>
      <c r="M262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262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cm="1">
        <f t="array" ref="O262">IFERROR(AVERAGE(IF((ContinuousStatsTable[GroupByKey]=ContinuousStatsTable[[#This Row],[GroupByKey]]),(ContinuousStatsTable[GroupByKey]=ContinuousStatsTable[[#This Row],[GroupByKey]])*ContinuousStatsTable[Average])),0)</f>
        <v>2</v>
      </c>
      <c r="P262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0</v>
      </c>
      <c r="Q262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2" cm="1">
        <f t="array" ref="S262">MIN(IF((ContinuousStatsTable[GroupByKey]=ContinuousStatsTable[[#This Row],[GroupByKey]]),(ContinuousStatsTable[GroupByKey]=ContinuousStatsTable[[#This Row],[GroupByKey]])*ContinuousStatsTable[Average]))</f>
        <v>2</v>
      </c>
      <c r="T262" cm="1">
        <f t="array" ref="T262">MAX(IF((ContinuousStatsTable[GroupByKey]=ContinuousStatsTable[[#This Row],[GroupByKey]]),(ContinuousStatsTable[GroupByKey]=ContinuousStatsTable[[#This Row],[GroupByKey]])*ContinuousStatsTable[Average]))</f>
        <v>2</v>
      </c>
      <c r="U262">
        <f>IF((ContinuousStatsTable[[#This Row],[RepsRequested]]&gt;1),ContinuousStatsTable[[#This Row],[HalfWidth]],ContinuousStatsTable[[#This Row],[BatchMeansHalfWidth]])</f>
        <v>0</v>
      </c>
    </row>
    <row r="263" spans="1:21" x14ac:dyDescent="0.25">
      <c r="A263" t="s">
        <v>68</v>
      </c>
      <c r="B263" t="s">
        <v>131</v>
      </c>
      <c r="C263">
        <v>22</v>
      </c>
      <c r="D263" t="s">
        <v>103</v>
      </c>
      <c r="E263" t="s">
        <v>98</v>
      </c>
      <c r="F263" t="s">
        <v>99</v>
      </c>
      <c r="G263">
        <v>0.47348729035896903</v>
      </c>
      <c r="H263">
        <v>1.8100470845672199E-2</v>
      </c>
      <c r="I263">
        <v>0</v>
      </c>
      <c r="J263">
        <v>1</v>
      </c>
      <c r="K263">
        <v>0</v>
      </c>
      <c r="L263">
        <v>0</v>
      </c>
      <c r="M263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263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cm="1">
        <f t="array" ref="O263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63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63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63" cm="1">
        <f t="array" ref="S263">MIN(IF((ContinuousStatsTable[GroupByKey]=ContinuousStatsTable[[#This Row],[GroupByKey]]),(ContinuousStatsTable[GroupByKey]=ContinuousStatsTable[[#This Row],[GroupByKey]])*ContinuousStatsTable[Average]))</f>
        <v>0.452397944183905</v>
      </c>
      <c r="T263" cm="1">
        <f t="array" ref="T263">MAX(IF((ContinuousStatsTable[GroupByKey]=ContinuousStatsTable[[#This Row],[GroupByKey]]),(ContinuousStatsTable[GroupByKey]=ContinuousStatsTable[[#This Row],[GroupByKey]])*ContinuousStatsTable[Average]))</f>
        <v>0.49691123629694001</v>
      </c>
      <c r="U263">
        <f>IF((ContinuousStatsTable[[#This Row],[RepsRequested]]&gt;1),ContinuousStatsTable[[#This Row],[HalfWidth]],ContinuousStatsTable[[#This Row],[BatchMeansHalfWidth]])</f>
        <v>2.7457743728226142E-3</v>
      </c>
    </row>
    <row r="264" spans="1:21" x14ac:dyDescent="0.25">
      <c r="A264" t="s">
        <v>68</v>
      </c>
      <c r="B264" t="s">
        <v>131</v>
      </c>
      <c r="C264">
        <v>22</v>
      </c>
      <c r="D264" t="s">
        <v>103</v>
      </c>
      <c r="E264" t="s">
        <v>100</v>
      </c>
      <c r="F264" t="s">
        <v>99</v>
      </c>
      <c r="G264">
        <v>0.47348729035896903</v>
      </c>
      <c r="H264">
        <v>1.8100470845672199E-2</v>
      </c>
      <c r="I264">
        <v>0</v>
      </c>
      <c r="J264">
        <v>1</v>
      </c>
      <c r="K264">
        <v>0</v>
      </c>
      <c r="L264">
        <v>0</v>
      </c>
      <c r="M264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264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cm="1">
        <f t="array" ref="O264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64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64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64" cm="1">
        <f t="array" ref="S264">MIN(IF((ContinuousStatsTable[GroupByKey]=ContinuousStatsTable[[#This Row],[GroupByKey]]),(ContinuousStatsTable[GroupByKey]=ContinuousStatsTable[[#This Row],[GroupByKey]])*ContinuousStatsTable[Average]))</f>
        <v>0.452397944183905</v>
      </c>
      <c r="T264" cm="1">
        <f t="array" ref="T264">MAX(IF((ContinuousStatsTable[GroupByKey]=ContinuousStatsTable[[#This Row],[GroupByKey]]),(ContinuousStatsTable[GroupByKey]=ContinuousStatsTable[[#This Row],[GroupByKey]])*ContinuousStatsTable[Average]))</f>
        <v>0.49691123629694001</v>
      </c>
      <c r="U264">
        <f>IF((ContinuousStatsTable[[#This Row],[RepsRequested]]&gt;1),ContinuousStatsTable[[#This Row],[HalfWidth]],ContinuousStatsTable[[#This Row],[BatchMeansHalfWidth]])</f>
        <v>2.7457743728226142E-3</v>
      </c>
    </row>
    <row r="265" spans="1:21" x14ac:dyDescent="0.25">
      <c r="A265" t="s">
        <v>68</v>
      </c>
      <c r="B265" t="s">
        <v>131</v>
      </c>
      <c r="C265">
        <v>22</v>
      </c>
      <c r="D265" t="s">
        <v>103</v>
      </c>
      <c r="E265" t="s">
        <v>101</v>
      </c>
      <c r="F265" t="s">
        <v>99</v>
      </c>
      <c r="G265">
        <v>1</v>
      </c>
      <c r="H265">
        <v>2E+20</v>
      </c>
      <c r="I265">
        <v>1</v>
      </c>
      <c r="J265">
        <v>1</v>
      </c>
      <c r="K265">
        <v>1</v>
      </c>
      <c r="L265">
        <v>0</v>
      </c>
      <c r="M265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26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cm="1">
        <f t="array" ref="O265">IFERROR(AVERAGE(IF((ContinuousStatsTable[GroupByKey]=ContinuousStatsTable[[#This Row],[GroupByKey]]),(ContinuousStatsTable[GroupByKey]=ContinuousStatsTable[[#This Row],[GroupByKey]])*ContinuousStatsTable[Average])),0)</f>
        <v>1</v>
      </c>
      <c r="P26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cm="1">
        <f t="array" ref="S265">MIN(IF((ContinuousStatsTable[GroupByKey]=ContinuousStatsTable[[#This Row],[GroupByKey]]),(ContinuousStatsTable[GroupByKey]=ContinuousStatsTable[[#This Row],[GroupByKey]])*ContinuousStatsTable[Average]))</f>
        <v>1</v>
      </c>
      <c r="T265" cm="1">
        <f t="array" ref="T265">MAX(IF((ContinuousStatsTable[GroupByKey]=ContinuousStatsTable[[#This Row],[GroupByKey]]),(ContinuousStatsTable[GroupByKey]=ContinuousStatsTable[[#This Row],[GroupByKey]])*ContinuousStatsTable[Average]))</f>
        <v>1</v>
      </c>
      <c r="U26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68</v>
      </c>
      <c r="B266" t="s">
        <v>131</v>
      </c>
      <c r="C266">
        <v>23</v>
      </c>
      <c r="D266" t="s">
        <v>70</v>
      </c>
      <c r="E266" t="s">
        <v>95</v>
      </c>
      <c r="F266" t="s">
        <v>72</v>
      </c>
      <c r="G266">
        <v>5.0369203349705396</v>
      </c>
      <c r="H266">
        <v>1.0900035105708801</v>
      </c>
      <c r="I266">
        <v>0</v>
      </c>
      <c r="J266">
        <v>21</v>
      </c>
      <c r="K266">
        <v>5</v>
      </c>
      <c r="L266">
        <v>0</v>
      </c>
      <c r="M266" t="str">
        <f>ContinuousStatsTable[[#This Row],[ProjectName]]&amp;ContinuousStatsTable[[#This Row],[Name]]&amp;ContinuousStatsTable[[#This Row],[Type]]&amp;ContinuousStatsTable[[#This Row],[Source]]</f>
        <v>PacientesEntity 1WIPEntity</v>
      </c>
      <c r="N266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cm="1">
        <f t="array" ref="O266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266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266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266" cm="1">
        <f t="array" ref="S266">MIN(IF((ContinuousStatsTable[GroupByKey]=ContinuousStatsTable[[#This Row],[GroupByKey]]),(ContinuousStatsTable[GroupByKey]=ContinuousStatsTable[[#This Row],[GroupByKey]])*ContinuousStatsTable[Average]))</f>
        <v>3.9757448048151298</v>
      </c>
      <c r="T266" cm="1">
        <f t="array" ref="T266">MAX(IF((ContinuousStatsTable[GroupByKey]=ContinuousStatsTable[[#This Row],[GroupByKey]]),(ContinuousStatsTable[GroupByKey]=ContinuousStatsTable[[#This Row],[GroupByKey]])*ContinuousStatsTable[Average]))</f>
        <v>6.9386840633215803</v>
      </c>
      <c r="U266">
        <f>IF((ContinuousStatsTable[[#This Row],[RepsRequested]]&gt;1),ContinuousStatsTable[[#This Row],[HalfWidth]],ContinuousStatsTable[[#This Row],[BatchMeansHalfWidth]])</f>
        <v>0.22030607219171747</v>
      </c>
    </row>
    <row r="267" spans="1:21" x14ac:dyDescent="0.25">
      <c r="A267" t="s">
        <v>68</v>
      </c>
      <c r="B267" t="s">
        <v>131</v>
      </c>
      <c r="C267">
        <v>23</v>
      </c>
      <c r="D267" t="s">
        <v>83</v>
      </c>
      <c r="E267" t="s">
        <v>96</v>
      </c>
      <c r="F267" t="s">
        <v>85</v>
      </c>
      <c r="G267">
        <v>2.72154876586576</v>
      </c>
      <c r="H267">
        <v>0.99510240321153598</v>
      </c>
      <c r="I267">
        <v>0</v>
      </c>
      <c r="J267">
        <v>17</v>
      </c>
      <c r="K267">
        <v>2</v>
      </c>
      <c r="L267">
        <v>0</v>
      </c>
      <c r="M267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267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cm="1">
        <f t="array" ref="O267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267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267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267" cm="1">
        <f t="array" ref="S267">MIN(IF((ContinuousStatsTable[GroupByKey]=ContinuousStatsTable[[#This Row],[GroupByKey]]),(ContinuousStatsTable[GroupByKey]=ContinuousStatsTable[[#This Row],[GroupByKey]])*ContinuousStatsTable[Average]))</f>
        <v>1.7200278735122601</v>
      </c>
      <c r="T267" cm="1">
        <f t="array" ref="T267">MAX(IF((ContinuousStatsTable[GroupByKey]=ContinuousStatsTable[[#This Row],[GroupByKey]]),(ContinuousStatsTable[GroupByKey]=ContinuousStatsTable[[#This Row],[GroupByKey]])*ContinuousStatsTable[Average]))</f>
        <v>4.5543512780988502</v>
      </c>
      <c r="U267">
        <f>IF((ContinuousStatsTable[[#This Row],[RepsRequested]]&gt;1),ContinuousStatsTable[[#This Row],[HalfWidth]],ContinuousStatsTable[[#This Row],[BatchMeansHalfWidth]])</f>
        <v>0.21041231434540877</v>
      </c>
    </row>
    <row r="268" spans="1:21" x14ac:dyDescent="0.25">
      <c r="A268" t="s">
        <v>68</v>
      </c>
      <c r="B268" t="s">
        <v>131</v>
      </c>
      <c r="C268">
        <v>23</v>
      </c>
      <c r="D268" t="s">
        <v>87</v>
      </c>
      <c r="E268" t="s">
        <v>96</v>
      </c>
      <c r="F268" t="s">
        <v>85</v>
      </c>
      <c r="G268">
        <v>0.20749445113936399</v>
      </c>
      <c r="H268">
        <v>3.5494613804842999E-2</v>
      </c>
      <c r="I268">
        <v>0</v>
      </c>
      <c r="J268">
        <v>5</v>
      </c>
      <c r="K268">
        <v>0</v>
      </c>
      <c r="L268">
        <v>0</v>
      </c>
      <c r="M268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268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cm="1">
        <f t="array" ref="O268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268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268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268" cm="1">
        <f t="array" ref="S268">MIN(IF((ContinuousStatsTable[GroupByKey]=ContinuousStatsTable[[#This Row],[GroupByKey]]),(ContinuousStatsTable[GroupByKey]=ContinuousStatsTable[[#This Row],[GroupByKey]])*ContinuousStatsTable[Average]))</f>
        <v>0.172815232766103</v>
      </c>
      <c r="T268" cm="1">
        <f t="array" ref="T268">MAX(IF((ContinuousStatsTable[GroupByKey]=ContinuousStatsTable[[#This Row],[GroupByKey]]),(ContinuousStatsTable[GroupByKey]=ContinuousStatsTable[[#This Row],[GroupByKey]])*ContinuousStatsTable[Average]))</f>
        <v>0.24783514900621301</v>
      </c>
      <c r="U268">
        <f>IF((ContinuousStatsTable[[#This Row],[RepsRequested]]&gt;1),ContinuousStatsTable[[#This Row],[HalfWidth]],ContinuousStatsTable[[#This Row],[BatchMeansHalfWidth]])</f>
        <v>4.7768909384897544E-3</v>
      </c>
    </row>
    <row r="269" spans="1:21" x14ac:dyDescent="0.25">
      <c r="A269" t="s">
        <v>68</v>
      </c>
      <c r="B269" t="s">
        <v>131</v>
      </c>
      <c r="C269">
        <v>23</v>
      </c>
      <c r="D269" t="s">
        <v>97</v>
      </c>
      <c r="E269" t="s">
        <v>98</v>
      </c>
      <c r="F269" t="s">
        <v>99</v>
      </c>
      <c r="G269">
        <v>0.547173311687843</v>
      </c>
      <c r="H269">
        <v>2.77989783617443E-2</v>
      </c>
      <c r="I269">
        <v>0</v>
      </c>
      <c r="J269">
        <v>0.66666666666666696</v>
      </c>
      <c r="K269">
        <v>0.66666666666666696</v>
      </c>
      <c r="L269">
        <v>0</v>
      </c>
      <c r="M269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269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cm="1">
        <f t="array" ref="O269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269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269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269" cm="1">
        <f t="array" ref="S269">MIN(IF((ContinuousStatsTable[GroupByKey]=ContinuousStatsTable[[#This Row],[GroupByKey]]),(ContinuousStatsTable[GroupByKey]=ContinuousStatsTable[[#This Row],[GroupByKey]])*ContinuousStatsTable[Average]))</f>
        <v>0.52470641844357602</v>
      </c>
      <c r="T269" cm="1">
        <f t="array" ref="T269">MAX(IF((ContinuousStatsTable[GroupByKey]=ContinuousStatsTable[[#This Row],[GroupByKey]]),(ContinuousStatsTable[GroupByKey]=ContinuousStatsTable[[#This Row],[GroupByKey]])*ContinuousStatsTable[Average]))</f>
        <v>0.57005812966092095</v>
      </c>
      <c r="U269">
        <f>IF((ContinuousStatsTable[[#This Row],[RepsRequested]]&gt;1),ContinuousStatsTable[[#This Row],[HalfWidth]],ContinuousStatsTable[[#This Row],[BatchMeansHalfWidth]])</f>
        <v>2.9048243757695521E-3</v>
      </c>
    </row>
    <row r="270" spans="1:21" x14ac:dyDescent="0.25">
      <c r="A270" t="s">
        <v>68</v>
      </c>
      <c r="B270" t="s">
        <v>131</v>
      </c>
      <c r="C270">
        <v>23</v>
      </c>
      <c r="D270" t="s">
        <v>97</v>
      </c>
      <c r="E270" t="s">
        <v>100</v>
      </c>
      <c r="F270" t="s">
        <v>99</v>
      </c>
      <c r="G270">
        <v>1.6415199350635401</v>
      </c>
      <c r="H270">
        <v>8.3396935085232896E-2</v>
      </c>
      <c r="I270">
        <v>0</v>
      </c>
      <c r="J270">
        <v>2</v>
      </c>
      <c r="K270">
        <v>2</v>
      </c>
      <c r="L270">
        <v>0</v>
      </c>
      <c r="M270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270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cm="1">
        <f t="array" ref="O270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70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70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70" cm="1">
        <f t="array" ref="S270">MIN(IF((ContinuousStatsTable[GroupByKey]=ContinuousStatsTable[[#This Row],[GroupByKey]]),(ContinuousStatsTable[GroupByKey]=ContinuousStatsTable[[#This Row],[GroupByKey]])*ContinuousStatsTable[Average]))</f>
        <v>1.5741192553307399</v>
      </c>
      <c r="T270" cm="1">
        <f t="array" ref="T270">MAX(IF((ContinuousStatsTable[GroupByKey]=ContinuousStatsTable[[#This Row],[GroupByKey]]),(ContinuousStatsTable[GroupByKey]=ContinuousStatsTable[[#This Row],[GroupByKey]])*ContinuousStatsTable[Average]))</f>
        <v>1.7101743889827701</v>
      </c>
      <c r="U270">
        <f>IF((ContinuousStatsTable[[#This Row],[RepsRequested]]&gt;1),ContinuousStatsTable[[#This Row],[HalfWidth]],ContinuousStatsTable[[#This Row],[BatchMeansHalfWidth]])</f>
        <v>8.7144731273084922E-3</v>
      </c>
    </row>
    <row r="271" spans="1:21" x14ac:dyDescent="0.25">
      <c r="A271" t="s">
        <v>68</v>
      </c>
      <c r="B271" t="s">
        <v>131</v>
      </c>
      <c r="C271">
        <v>23</v>
      </c>
      <c r="D271" t="s">
        <v>97</v>
      </c>
      <c r="E271" t="s">
        <v>101</v>
      </c>
      <c r="F271" t="s">
        <v>99</v>
      </c>
      <c r="G271">
        <v>3</v>
      </c>
      <c r="H271">
        <v>2E+20</v>
      </c>
      <c r="I271">
        <v>3</v>
      </c>
      <c r="J271">
        <v>3</v>
      </c>
      <c r="K271">
        <v>3</v>
      </c>
      <c r="L271">
        <v>0</v>
      </c>
      <c r="M271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271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cm="1">
        <f t="array" ref="O271">IFERROR(AVERAGE(IF((ContinuousStatsTable[GroupByKey]=ContinuousStatsTable[[#This Row],[GroupByKey]]),(ContinuousStatsTable[GroupByKey]=ContinuousStatsTable[[#This Row],[GroupByKey]])*ContinuousStatsTable[Average])),0)</f>
        <v>3</v>
      </c>
      <c r="P271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cm="1">
        <f t="array" ref="S271">MIN(IF((ContinuousStatsTable[GroupByKey]=ContinuousStatsTable[[#This Row],[GroupByKey]]),(ContinuousStatsTable[GroupByKey]=ContinuousStatsTable[[#This Row],[GroupByKey]])*ContinuousStatsTable[Average]))</f>
        <v>3</v>
      </c>
      <c r="T271" cm="1">
        <f t="array" ref="T271">MAX(IF((ContinuousStatsTable[GroupByKey]=ContinuousStatsTable[[#This Row],[GroupByKey]]),(ContinuousStatsTable[GroupByKey]=ContinuousStatsTable[[#This Row],[GroupByKey]])*ContinuousStatsTable[Average]))</f>
        <v>3</v>
      </c>
      <c r="U271">
        <f>IF((ContinuousStatsTable[[#This Row],[RepsRequested]]&gt;1),ContinuousStatsTable[[#This Row],[HalfWidth]],ContinuousStatsTable[[#This Row],[BatchMeansHalfWidth]])</f>
        <v>0</v>
      </c>
    </row>
    <row r="272" spans="1:21" x14ac:dyDescent="0.25">
      <c r="A272" t="s">
        <v>68</v>
      </c>
      <c r="B272" t="s">
        <v>131</v>
      </c>
      <c r="C272">
        <v>23</v>
      </c>
      <c r="D272" t="s">
        <v>102</v>
      </c>
      <c r="E272" t="s">
        <v>98</v>
      </c>
      <c r="F272" t="s">
        <v>99</v>
      </c>
      <c r="G272">
        <v>0.82075996753176805</v>
      </c>
      <c r="H272">
        <v>4.1698467542616399E-2</v>
      </c>
      <c r="I272">
        <v>0</v>
      </c>
      <c r="J272">
        <v>1</v>
      </c>
      <c r="K272">
        <v>1</v>
      </c>
      <c r="L272">
        <v>0</v>
      </c>
      <c r="M272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272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cm="1">
        <f t="array" ref="O272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272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272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272" cm="1">
        <f t="array" ref="S272">MIN(IF((ContinuousStatsTable[GroupByKey]=ContinuousStatsTable[[#This Row],[GroupByKey]]),(ContinuousStatsTable[GroupByKey]=ContinuousStatsTable[[#This Row],[GroupByKey]])*ContinuousStatsTable[Average]))</f>
        <v>0.78705962766536897</v>
      </c>
      <c r="T272" cm="1">
        <f t="array" ref="T272">MAX(IF((ContinuousStatsTable[GroupByKey]=ContinuousStatsTable[[#This Row],[GroupByKey]]),(ContinuousStatsTable[GroupByKey]=ContinuousStatsTable[[#This Row],[GroupByKey]])*ContinuousStatsTable[Average]))</f>
        <v>0.85508719449138504</v>
      </c>
      <c r="U272">
        <f>IF((ContinuousStatsTable[[#This Row],[RepsRequested]]&gt;1),ContinuousStatsTable[[#This Row],[HalfWidth]],ContinuousStatsTable[[#This Row],[BatchMeansHalfWidth]])</f>
        <v>4.3572365636542886E-3</v>
      </c>
    </row>
    <row r="273" spans="1:21" x14ac:dyDescent="0.25">
      <c r="A273" t="s">
        <v>68</v>
      </c>
      <c r="B273" t="s">
        <v>131</v>
      </c>
      <c r="C273">
        <v>23</v>
      </c>
      <c r="D273" t="s">
        <v>102</v>
      </c>
      <c r="E273" t="s">
        <v>100</v>
      </c>
      <c r="F273" t="s">
        <v>99</v>
      </c>
      <c r="G273">
        <v>1.6415199350635401</v>
      </c>
      <c r="H273">
        <v>8.3396935085232896E-2</v>
      </c>
      <c r="I273">
        <v>0</v>
      </c>
      <c r="J273">
        <v>2</v>
      </c>
      <c r="K273">
        <v>2</v>
      </c>
      <c r="L273">
        <v>0</v>
      </c>
      <c r="M273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273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cm="1">
        <f t="array" ref="O273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73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73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73" cm="1">
        <f t="array" ref="S273">MIN(IF((ContinuousStatsTable[GroupByKey]=ContinuousStatsTable[[#This Row],[GroupByKey]]),(ContinuousStatsTable[GroupByKey]=ContinuousStatsTable[[#This Row],[GroupByKey]])*ContinuousStatsTable[Average]))</f>
        <v>1.5741192553307399</v>
      </c>
      <c r="T273" cm="1">
        <f t="array" ref="T273">MAX(IF((ContinuousStatsTable[GroupByKey]=ContinuousStatsTable[[#This Row],[GroupByKey]]),(ContinuousStatsTable[GroupByKey]=ContinuousStatsTable[[#This Row],[GroupByKey]])*ContinuousStatsTable[Average]))</f>
        <v>1.7101743889827701</v>
      </c>
      <c r="U273">
        <f>IF((ContinuousStatsTable[[#This Row],[RepsRequested]]&gt;1),ContinuousStatsTable[[#This Row],[HalfWidth]],ContinuousStatsTable[[#This Row],[BatchMeansHalfWidth]])</f>
        <v>8.7144731273084922E-3</v>
      </c>
    </row>
    <row r="274" spans="1:21" x14ac:dyDescent="0.25">
      <c r="A274" t="s">
        <v>68</v>
      </c>
      <c r="B274" t="s">
        <v>131</v>
      </c>
      <c r="C274">
        <v>23</v>
      </c>
      <c r="D274" t="s">
        <v>102</v>
      </c>
      <c r="E274" t="s">
        <v>101</v>
      </c>
      <c r="F274" t="s">
        <v>99</v>
      </c>
      <c r="G274">
        <v>2</v>
      </c>
      <c r="H274">
        <v>2E+20</v>
      </c>
      <c r="I274">
        <v>2</v>
      </c>
      <c r="J274">
        <v>2</v>
      </c>
      <c r="K274">
        <v>2</v>
      </c>
      <c r="L274">
        <v>0</v>
      </c>
      <c r="M274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274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cm="1">
        <f t="array" ref="O274">IFERROR(AVERAGE(IF((ContinuousStatsTable[GroupByKey]=ContinuousStatsTable[[#This Row],[GroupByKey]]),(ContinuousStatsTable[GroupByKey]=ContinuousStatsTable[[#This Row],[GroupByKey]])*ContinuousStatsTable[Average])),0)</f>
        <v>2</v>
      </c>
      <c r="P274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cm="1">
        <f t="array" ref="S274">MIN(IF((ContinuousStatsTable[GroupByKey]=ContinuousStatsTable[[#This Row],[GroupByKey]]),(ContinuousStatsTable[GroupByKey]=ContinuousStatsTable[[#This Row],[GroupByKey]])*ContinuousStatsTable[Average]))</f>
        <v>2</v>
      </c>
      <c r="T274" cm="1">
        <f t="array" ref="T274">MAX(IF((ContinuousStatsTable[GroupByKey]=ContinuousStatsTable[[#This Row],[GroupByKey]]),(ContinuousStatsTable[GroupByKey]=ContinuousStatsTable[[#This Row],[GroupByKey]])*ContinuousStatsTable[Average]))</f>
        <v>2</v>
      </c>
      <c r="U274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68</v>
      </c>
      <c r="B275" t="s">
        <v>131</v>
      </c>
      <c r="C275">
        <v>23</v>
      </c>
      <c r="D275" t="s">
        <v>103</v>
      </c>
      <c r="E275" t="s">
        <v>98</v>
      </c>
      <c r="F275" t="s">
        <v>99</v>
      </c>
      <c r="G275">
        <v>0.46635718290189099</v>
      </c>
      <c r="H275">
        <v>2.1756786479295302E-2</v>
      </c>
      <c r="I275">
        <v>0</v>
      </c>
      <c r="J275">
        <v>1</v>
      </c>
      <c r="K275">
        <v>1</v>
      </c>
      <c r="L275">
        <v>0</v>
      </c>
      <c r="M275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27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cm="1">
        <f t="array" ref="O275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7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7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75" cm="1">
        <f t="array" ref="S275">MIN(IF((ContinuousStatsTable[GroupByKey]=ContinuousStatsTable[[#This Row],[GroupByKey]]),(ContinuousStatsTable[GroupByKey]=ContinuousStatsTable[[#This Row],[GroupByKey]])*ContinuousStatsTable[Average]))</f>
        <v>0.452397944183905</v>
      </c>
      <c r="T275" cm="1">
        <f t="array" ref="T275">MAX(IF((ContinuousStatsTable[GroupByKey]=ContinuousStatsTable[[#This Row],[GroupByKey]]),(ContinuousStatsTable[GroupByKey]=ContinuousStatsTable[[#This Row],[GroupByKey]])*ContinuousStatsTable[Average]))</f>
        <v>0.49691123629694001</v>
      </c>
      <c r="U275">
        <f>IF((ContinuousStatsTable[[#This Row],[RepsRequested]]&gt;1),ContinuousStatsTable[[#This Row],[HalfWidth]],ContinuousStatsTable[[#This Row],[BatchMeansHalfWidth]])</f>
        <v>2.7457743728226142E-3</v>
      </c>
    </row>
    <row r="276" spans="1:21" x14ac:dyDescent="0.25">
      <c r="A276" t="s">
        <v>68</v>
      </c>
      <c r="B276" t="s">
        <v>131</v>
      </c>
      <c r="C276">
        <v>23</v>
      </c>
      <c r="D276" t="s">
        <v>103</v>
      </c>
      <c r="E276" t="s">
        <v>100</v>
      </c>
      <c r="F276" t="s">
        <v>99</v>
      </c>
      <c r="G276">
        <v>0.46635718290189099</v>
      </c>
      <c r="H276">
        <v>2.1756786479295302E-2</v>
      </c>
      <c r="I276">
        <v>0</v>
      </c>
      <c r="J276">
        <v>1</v>
      </c>
      <c r="K276">
        <v>1</v>
      </c>
      <c r="L276">
        <v>0</v>
      </c>
      <c r="M276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276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cm="1">
        <f t="array" ref="O276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76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76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76" cm="1">
        <f t="array" ref="S276">MIN(IF((ContinuousStatsTable[GroupByKey]=ContinuousStatsTable[[#This Row],[GroupByKey]]),(ContinuousStatsTable[GroupByKey]=ContinuousStatsTable[[#This Row],[GroupByKey]])*ContinuousStatsTable[Average]))</f>
        <v>0.452397944183905</v>
      </c>
      <c r="T276" cm="1">
        <f t="array" ref="T276">MAX(IF((ContinuousStatsTable[GroupByKey]=ContinuousStatsTable[[#This Row],[GroupByKey]]),(ContinuousStatsTable[GroupByKey]=ContinuousStatsTable[[#This Row],[GroupByKey]])*ContinuousStatsTable[Average]))</f>
        <v>0.49691123629694001</v>
      </c>
      <c r="U276">
        <f>IF((ContinuousStatsTable[[#This Row],[RepsRequested]]&gt;1),ContinuousStatsTable[[#This Row],[HalfWidth]],ContinuousStatsTable[[#This Row],[BatchMeansHalfWidth]])</f>
        <v>2.7457743728226142E-3</v>
      </c>
    </row>
    <row r="277" spans="1:21" x14ac:dyDescent="0.25">
      <c r="A277" t="s">
        <v>68</v>
      </c>
      <c r="B277" t="s">
        <v>131</v>
      </c>
      <c r="C277">
        <v>23</v>
      </c>
      <c r="D277" t="s">
        <v>103</v>
      </c>
      <c r="E277" t="s">
        <v>101</v>
      </c>
      <c r="F277" t="s">
        <v>99</v>
      </c>
      <c r="G277">
        <v>1</v>
      </c>
      <c r="H277">
        <v>2E+20</v>
      </c>
      <c r="I277">
        <v>1</v>
      </c>
      <c r="J277">
        <v>1</v>
      </c>
      <c r="K277">
        <v>1</v>
      </c>
      <c r="L277">
        <v>0</v>
      </c>
      <c r="M277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277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cm="1">
        <f t="array" ref="O277">IFERROR(AVERAGE(IF((ContinuousStatsTable[GroupByKey]=ContinuousStatsTable[[#This Row],[GroupByKey]]),(ContinuousStatsTable[GroupByKey]=ContinuousStatsTable[[#This Row],[GroupByKey]])*ContinuousStatsTable[Average])),0)</f>
        <v>1</v>
      </c>
      <c r="P277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cm="1">
        <f t="array" ref="S277">MIN(IF((ContinuousStatsTable[GroupByKey]=ContinuousStatsTable[[#This Row],[GroupByKey]]),(ContinuousStatsTable[GroupByKey]=ContinuousStatsTable[[#This Row],[GroupByKey]])*ContinuousStatsTable[Average]))</f>
        <v>1</v>
      </c>
      <c r="T277" cm="1">
        <f t="array" ref="T277">MAX(IF((ContinuousStatsTable[GroupByKey]=ContinuousStatsTable[[#This Row],[GroupByKey]]),(ContinuousStatsTable[GroupByKey]=ContinuousStatsTable[[#This Row],[GroupByKey]])*ContinuousStatsTable[Average]))</f>
        <v>1</v>
      </c>
      <c r="U277">
        <f>IF((ContinuousStatsTable[[#This Row],[RepsRequested]]&gt;1),ContinuousStatsTable[[#This Row],[HalfWidth]],ContinuousStatsTable[[#This Row],[BatchMeansHalfWidth]])</f>
        <v>0</v>
      </c>
    </row>
    <row r="278" spans="1:21" x14ac:dyDescent="0.25">
      <c r="A278" t="s">
        <v>68</v>
      </c>
      <c r="B278" t="s">
        <v>131</v>
      </c>
      <c r="C278">
        <v>24</v>
      </c>
      <c r="D278" t="s">
        <v>70</v>
      </c>
      <c r="E278" t="s">
        <v>95</v>
      </c>
      <c r="F278" t="s">
        <v>72</v>
      </c>
      <c r="G278">
        <v>6.6888493336744599</v>
      </c>
      <c r="H278">
        <v>3E+20</v>
      </c>
      <c r="I278">
        <v>0</v>
      </c>
      <c r="J278">
        <v>43</v>
      </c>
      <c r="K278">
        <v>3</v>
      </c>
      <c r="L278">
        <v>0</v>
      </c>
      <c r="M278" t="str">
        <f>ContinuousStatsTable[[#This Row],[ProjectName]]&amp;ContinuousStatsTable[[#This Row],[Name]]&amp;ContinuousStatsTable[[#This Row],[Type]]&amp;ContinuousStatsTable[[#This Row],[Source]]</f>
        <v>PacientesEntity 1WIPEntity</v>
      </c>
      <c r="N278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cm="1">
        <f t="array" ref="O278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278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278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278" cm="1">
        <f t="array" ref="S278">MIN(IF((ContinuousStatsTable[GroupByKey]=ContinuousStatsTable[[#This Row],[GroupByKey]]),(ContinuousStatsTable[GroupByKey]=ContinuousStatsTable[[#This Row],[GroupByKey]])*ContinuousStatsTable[Average]))</f>
        <v>3.9757448048151298</v>
      </c>
      <c r="T278" cm="1">
        <f t="array" ref="T278">MAX(IF((ContinuousStatsTable[GroupByKey]=ContinuousStatsTable[[#This Row],[GroupByKey]]),(ContinuousStatsTable[GroupByKey]=ContinuousStatsTable[[#This Row],[GroupByKey]])*ContinuousStatsTable[Average]))</f>
        <v>6.9386840633215803</v>
      </c>
      <c r="U278">
        <f>IF((ContinuousStatsTable[[#This Row],[RepsRequested]]&gt;1),ContinuousStatsTable[[#This Row],[HalfWidth]],ContinuousStatsTable[[#This Row],[BatchMeansHalfWidth]])</f>
        <v>0.22030607219171747</v>
      </c>
    </row>
    <row r="279" spans="1:21" x14ac:dyDescent="0.25">
      <c r="A279" t="s">
        <v>68</v>
      </c>
      <c r="B279" t="s">
        <v>131</v>
      </c>
      <c r="C279">
        <v>24</v>
      </c>
      <c r="D279" t="s">
        <v>83</v>
      </c>
      <c r="E279" t="s">
        <v>96</v>
      </c>
      <c r="F279" t="s">
        <v>85</v>
      </c>
      <c r="G279">
        <v>4.3326810163181797</v>
      </c>
      <c r="H279">
        <v>3E+20</v>
      </c>
      <c r="I279">
        <v>0</v>
      </c>
      <c r="J279">
        <v>40</v>
      </c>
      <c r="K279">
        <v>0</v>
      </c>
      <c r="L279">
        <v>0</v>
      </c>
      <c r="M279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279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cm="1">
        <f t="array" ref="O279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279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279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279" cm="1">
        <f t="array" ref="S279">MIN(IF((ContinuousStatsTable[GroupByKey]=ContinuousStatsTable[[#This Row],[GroupByKey]]),(ContinuousStatsTable[GroupByKey]=ContinuousStatsTable[[#This Row],[GroupByKey]])*ContinuousStatsTable[Average]))</f>
        <v>1.7200278735122601</v>
      </c>
      <c r="T279" cm="1">
        <f t="array" ref="T279">MAX(IF((ContinuousStatsTable[GroupByKey]=ContinuousStatsTable[[#This Row],[GroupByKey]]),(ContinuousStatsTable[GroupByKey]=ContinuousStatsTable[[#This Row],[GroupByKey]])*ContinuousStatsTable[Average]))</f>
        <v>4.5543512780988502</v>
      </c>
      <c r="U279">
        <f>IF((ContinuousStatsTable[[#This Row],[RepsRequested]]&gt;1),ContinuousStatsTable[[#This Row],[HalfWidth]],ContinuousStatsTable[[#This Row],[BatchMeansHalfWidth]])</f>
        <v>0.21041231434540877</v>
      </c>
    </row>
    <row r="280" spans="1:21" x14ac:dyDescent="0.25">
      <c r="A280" t="s">
        <v>68</v>
      </c>
      <c r="B280" t="s">
        <v>131</v>
      </c>
      <c r="C280">
        <v>24</v>
      </c>
      <c r="D280" t="s">
        <v>87</v>
      </c>
      <c r="E280" t="s">
        <v>96</v>
      </c>
      <c r="F280" t="s">
        <v>85</v>
      </c>
      <c r="G280">
        <v>0.22541893074615099</v>
      </c>
      <c r="H280">
        <v>4.3722116273557099E-2</v>
      </c>
      <c r="I280">
        <v>0</v>
      </c>
      <c r="J280">
        <v>5</v>
      </c>
      <c r="K280">
        <v>0</v>
      </c>
      <c r="L280">
        <v>0</v>
      </c>
      <c r="M280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280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cm="1">
        <f t="array" ref="O280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280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280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280" cm="1">
        <f t="array" ref="S280">MIN(IF((ContinuousStatsTable[GroupByKey]=ContinuousStatsTable[[#This Row],[GroupByKey]]),(ContinuousStatsTable[GroupByKey]=ContinuousStatsTable[[#This Row],[GroupByKey]])*ContinuousStatsTable[Average]))</f>
        <v>0.172815232766103</v>
      </c>
      <c r="T280" cm="1">
        <f t="array" ref="T280">MAX(IF((ContinuousStatsTable[GroupByKey]=ContinuousStatsTable[[#This Row],[GroupByKey]]),(ContinuousStatsTable[GroupByKey]=ContinuousStatsTable[[#This Row],[GroupByKey]])*ContinuousStatsTable[Average]))</f>
        <v>0.24783514900621301</v>
      </c>
      <c r="U280">
        <f>IF((ContinuousStatsTable[[#This Row],[RepsRequested]]&gt;1),ContinuousStatsTable[[#This Row],[HalfWidth]],ContinuousStatsTable[[#This Row],[BatchMeansHalfWidth]])</f>
        <v>4.7768909384897544E-3</v>
      </c>
    </row>
    <row r="281" spans="1:21" x14ac:dyDescent="0.25">
      <c r="A281" t="s">
        <v>68</v>
      </c>
      <c r="B281" t="s">
        <v>131</v>
      </c>
      <c r="C281">
        <v>24</v>
      </c>
      <c r="D281" t="s">
        <v>97</v>
      </c>
      <c r="E281" t="s">
        <v>98</v>
      </c>
      <c r="F281" t="s">
        <v>99</v>
      </c>
      <c r="G281">
        <v>0.55149324326832105</v>
      </c>
      <c r="H281">
        <v>2.96913200696113E-2</v>
      </c>
      <c r="I281">
        <v>0</v>
      </c>
      <c r="J281">
        <v>0.66666666666666696</v>
      </c>
      <c r="K281">
        <v>0.66666666666666696</v>
      </c>
      <c r="L281">
        <v>0</v>
      </c>
      <c r="M281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281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cm="1">
        <f t="array" ref="O281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281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281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281" cm="1">
        <f t="array" ref="S281">MIN(IF((ContinuousStatsTable[GroupByKey]=ContinuousStatsTable[[#This Row],[GroupByKey]]),(ContinuousStatsTable[GroupByKey]=ContinuousStatsTable[[#This Row],[GroupByKey]])*ContinuousStatsTable[Average]))</f>
        <v>0.52470641844357602</v>
      </c>
      <c r="T281" cm="1">
        <f t="array" ref="T281">MAX(IF((ContinuousStatsTable[GroupByKey]=ContinuousStatsTable[[#This Row],[GroupByKey]]),(ContinuousStatsTable[GroupByKey]=ContinuousStatsTable[[#This Row],[GroupByKey]])*ContinuousStatsTable[Average]))</f>
        <v>0.57005812966092095</v>
      </c>
      <c r="U281">
        <f>IF((ContinuousStatsTable[[#This Row],[RepsRequested]]&gt;1),ContinuousStatsTable[[#This Row],[HalfWidth]],ContinuousStatsTable[[#This Row],[BatchMeansHalfWidth]])</f>
        <v>2.9048243757695521E-3</v>
      </c>
    </row>
    <row r="282" spans="1:21" x14ac:dyDescent="0.25">
      <c r="A282" t="s">
        <v>68</v>
      </c>
      <c r="B282" t="s">
        <v>131</v>
      </c>
      <c r="C282">
        <v>24</v>
      </c>
      <c r="D282" t="s">
        <v>97</v>
      </c>
      <c r="E282" t="s">
        <v>100</v>
      </c>
      <c r="F282" t="s">
        <v>99</v>
      </c>
      <c r="G282">
        <v>1.6544797298049601</v>
      </c>
      <c r="H282">
        <v>8.9073960208833694E-2</v>
      </c>
      <c r="I282">
        <v>0</v>
      </c>
      <c r="J282">
        <v>2</v>
      </c>
      <c r="K282">
        <v>2</v>
      </c>
      <c r="L282">
        <v>0</v>
      </c>
      <c r="M282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282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cm="1">
        <f t="array" ref="O282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82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82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82" cm="1">
        <f t="array" ref="S282">MIN(IF((ContinuousStatsTable[GroupByKey]=ContinuousStatsTable[[#This Row],[GroupByKey]]),(ContinuousStatsTable[GroupByKey]=ContinuousStatsTable[[#This Row],[GroupByKey]])*ContinuousStatsTable[Average]))</f>
        <v>1.5741192553307399</v>
      </c>
      <c r="T282" cm="1">
        <f t="array" ref="T282">MAX(IF((ContinuousStatsTable[GroupByKey]=ContinuousStatsTable[[#This Row],[GroupByKey]]),(ContinuousStatsTable[GroupByKey]=ContinuousStatsTable[[#This Row],[GroupByKey]])*ContinuousStatsTable[Average]))</f>
        <v>1.7101743889827701</v>
      </c>
      <c r="U282">
        <f>IF((ContinuousStatsTable[[#This Row],[RepsRequested]]&gt;1),ContinuousStatsTable[[#This Row],[HalfWidth]],ContinuousStatsTable[[#This Row],[BatchMeansHalfWidth]])</f>
        <v>8.7144731273084922E-3</v>
      </c>
    </row>
    <row r="283" spans="1:21" x14ac:dyDescent="0.25">
      <c r="A283" t="s">
        <v>68</v>
      </c>
      <c r="B283" t="s">
        <v>131</v>
      </c>
      <c r="C283">
        <v>24</v>
      </c>
      <c r="D283" t="s">
        <v>97</v>
      </c>
      <c r="E283" t="s">
        <v>101</v>
      </c>
      <c r="F283" t="s">
        <v>99</v>
      </c>
      <c r="G283">
        <v>3</v>
      </c>
      <c r="H283">
        <v>2E+20</v>
      </c>
      <c r="I283">
        <v>3</v>
      </c>
      <c r="J283">
        <v>3</v>
      </c>
      <c r="K283">
        <v>3</v>
      </c>
      <c r="L283">
        <v>0</v>
      </c>
      <c r="M283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283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cm="1">
        <f t="array" ref="O283">IFERROR(AVERAGE(IF((ContinuousStatsTable[GroupByKey]=ContinuousStatsTable[[#This Row],[GroupByKey]]),(ContinuousStatsTable[GroupByKey]=ContinuousStatsTable[[#This Row],[GroupByKey]])*ContinuousStatsTable[Average])),0)</f>
        <v>3</v>
      </c>
      <c r="P283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cm="1">
        <f t="array" ref="S283">MIN(IF((ContinuousStatsTable[GroupByKey]=ContinuousStatsTable[[#This Row],[GroupByKey]]),(ContinuousStatsTable[GroupByKey]=ContinuousStatsTable[[#This Row],[GroupByKey]])*ContinuousStatsTable[Average]))</f>
        <v>3</v>
      </c>
      <c r="T283" cm="1">
        <f t="array" ref="T283">MAX(IF((ContinuousStatsTable[GroupByKey]=ContinuousStatsTable[[#This Row],[GroupByKey]]),(ContinuousStatsTable[GroupByKey]=ContinuousStatsTable[[#This Row],[GroupByKey]])*ContinuousStatsTable[Average]))</f>
        <v>3</v>
      </c>
      <c r="U283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68</v>
      </c>
      <c r="B284" t="s">
        <v>131</v>
      </c>
      <c r="C284">
        <v>24</v>
      </c>
      <c r="D284" t="s">
        <v>102</v>
      </c>
      <c r="E284" t="s">
        <v>98</v>
      </c>
      <c r="F284" t="s">
        <v>99</v>
      </c>
      <c r="G284">
        <v>0.82723986490247903</v>
      </c>
      <c r="H284">
        <v>4.4536980104416903E-2</v>
      </c>
      <c r="I284">
        <v>0</v>
      </c>
      <c r="J284">
        <v>1</v>
      </c>
      <c r="K284">
        <v>1</v>
      </c>
      <c r="L284">
        <v>0</v>
      </c>
      <c r="M284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284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cm="1">
        <f t="array" ref="O284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284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284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284" cm="1">
        <f t="array" ref="S284">MIN(IF((ContinuousStatsTable[GroupByKey]=ContinuousStatsTable[[#This Row],[GroupByKey]]),(ContinuousStatsTable[GroupByKey]=ContinuousStatsTable[[#This Row],[GroupByKey]])*ContinuousStatsTable[Average]))</f>
        <v>0.78705962766536897</v>
      </c>
      <c r="T284" cm="1">
        <f t="array" ref="T284">MAX(IF((ContinuousStatsTable[GroupByKey]=ContinuousStatsTable[[#This Row],[GroupByKey]]),(ContinuousStatsTable[GroupByKey]=ContinuousStatsTable[[#This Row],[GroupByKey]])*ContinuousStatsTable[Average]))</f>
        <v>0.85508719449138504</v>
      </c>
      <c r="U284">
        <f>IF((ContinuousStatsTable[[#This Row],[RepsRequested]]&gt;1),ContinuousStatsTable[[#This Row],[HalfWidth]],ContinuousStatsTable[[#This Row],[BatchMeansHalfWidth]])</f>
        <v>4.3572365636542886E-3</v>
      </c>
    </row>
    <row r="285" spans="1:21" x14ac:dyDescent="0.25">
      <c r="A285" t="s">
        <v>68</v>
      </c>
      <c r="B285" t="s">
        <v>131</v>
      </c>
      <c r="C285">
        <v>24</v>
      </c>
      <c r="D285" t="s">
        <v>102</v>
      </c>
      <c r="E285" t="s">
        <v>100</v>
      </c>
      <c r="F285" t="s">
        <v>99</v>
      </c>
      <c r="G285">
        <v>1.6544797298049601</v>
      </c>
      <c r="H285">
        <v>8.9073960208833694E-2</v>
      </c>
      <c r="I285">
        <v>0</v>
      </c>
      <c r="J285">
        <v>2</v>
      </c>
      <c r="K285">
        <v>2</v>
      </c>
      <c r="L285">
        <v>0</v>
      </c>
      <c r="M285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28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cm="1">
        <f t="array" ref="O285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8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8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85" cm="1">
        <f t="array" ref="S285">MIN(IF((ContinuousStatsTable[GroupByKey]=ContinuousStatsTable[[#This Row],[GroupByKey]]),(ContinuousStatsTable[GroupByKey]=ContinuousStatsTable[[#This Row],[GroupByKey]])*ContinuousStatsTable[Average]))</f>
        <v>1.5741192553307399</v>
      </c>
      <c r="T285" cm="1">
        <f t="array" ref="T285">MAX(IF((ContinuousStatsTable[GroupByKey]=ContinuousStatsTable[[#This Row],[GroupByKey]]),(ContinuousStatsTable[GroupByKey]=ContinuousStatsTable[[#This Row],[GroupByKey]])*ContinuousStatsTable[Average]))</f>
        <v>1.7101743889827701</v>
      </c>
      <c r="U285">
        <f>IF((ContinuousStatsTable[[#This Row],[RepsRequested]]&gt;1),ContinuousStatsTable[[#This Row],[HalfWidth]],ContinuousStatsTable[[#This Row],[BatchMeansHalfWidth]])</f>
        <v>8.7144731273084922E-3</v>
      </c>
    </row>
    <row r="286" spans="1:21" x14ac:dyDescent="0.25">
      <c r="A286" t="s">
        <v>68</v>
      </c>
      <c r="B286" t="s">
        <v>131</v>
      </c>
      <c r="C286">
        <v>24</v>
      </c>
      <c r="D286" t="s">
        <v>102</v>
      </c>
      <c r="E286" t="s">
        <v>101</v>
      </c>
      <c r="F286" t="s">
        <v>99</v>
      </c>
      <c r="G286">
        <v>2</v>
      </c>
      <c r="H286">
        <v>2E+20</v>
      </c>
      <c r="I286">
        <v>2</v>
      </c>
      <c r="J286">
        <v>2</v>
      </c>
      <c r="K286">
        <v>2</v>
      </c>
      <c r="L286">
        <v>0</v>
      </c>
      <c r="M286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286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cm="1">
        <f t="array" ref="O286">IFERROR(AVERAGE(IF((ContinuousStatsTable[GroupByKey]=ContinuousStatsTable[[#This Row],[GroupByKey]]),(ContinuousStatsTable[GroupByKey]=ContinuousStatsTable[[#This Row],[GroupByKey]])*ContinuousStatsTable[Average])),0)</f>
        <v>2</v>
      </c>
      <c r="P286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cm="1">
        <f t="array" ref="S286">MIN(IF((ContinuousStatsTable[GroupByKey]=ContinuousStatsTable[[#This Row],[GroupByKey]]),(ContinuousStatsTable[GroupByKey]=ContinuousStatsTable[[#This Row],[GroupByKey]])*ContinuousStatsTable[Average]))</f>
        <v>2</v>
      </c>
      <c r="T286" cm="1">
        <f t="array" ref="T286">MAX(IF((ContinuousStatsTable[GroupByKey]=ContinuousStatsTable[[#This Row],[GroupByKey]]),(ContinuousStatsTable[GroupByKey]=ContinuousStatsTable[[#This Row],[GroupByKey]])*ContinuousStatsTable[Average]))</f>
        <v>2</v>
      </c>
      <c r="U286">
        <f>IF((ContinuousStatsTable[[#This Row],[RepsRequested]]&gt;1),ContinuousStatsTable[[#This Row],[HalfWidth]],ContinuousStatsTable[[#This Row],[BatchMeansHalfWidth]])</f>
        <v>0</v>
      </c>
    </row>
    <row r="287" spans="1:21" x14ac:dyDescent="0.25">
      <c r="A287" t="s">
        <v>68</v>
      </c>
      <c r="B287" t="s">
        <v>131</v>
      </c>
      <c r="C287">
        <v>24</v>
      </c>
      <c r="D287" t="s">
        <v>103</v>
      </c>
      <c r="E287" t="s">
        <v>98</v>
      </c>
      <c r="F287" t="s">
        <v>99</v>
      </c>
      <c r="G287">
        <v>0.47626965680515199</v>
      </c>
      <c r="H287">
        <v>2.5748341031930699E-2</v>
      </c>
      <c r="I287">
        <v>0</v>
      </c>
      <c r="J287">
        <v>1</v>
      </c>
      <c r="K287">
        <v>1</v>
      </c>
      <c r="L287">
        <v>0</v>
      </c>
      <c r="M287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287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cm="1">
        <f t="array" ref="O287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87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87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87" cm="1">
        <f t="array" ref="S287">MIN(IF((ContinuousStatsTable[GroupByKey]=ContinuousStatsTable[[#This Row],[GroupByKey]]),(ContinuousStatsTable[GroupByKey]=ContinuousStatsTable[[#This Row],[GroupByKey]])*ContinuousStatsTable[Average]))</f>
        <v>0.452397944183905</v>
      </c>
      <c r="T287" cm="1">
        <f t="array" ref="T287">MAX(IF((ContinuousStatsTable[GroupByKey]=ContinuousStatsTable[[#This Row],[GroupByKey]]),(ContinuousStatsTable[GroupByKey]=ContinuousStatsTable[[#This Row],[GroupByKey]])*ContinuousStatsTable[Average]))</f>
        <v>0.49691123629694001</v>
      </c>
      <c r="U287">
        <f>IF((ContinuousStatsTable[[#This Row],[RepsRequested]]&gt;1),ContinuousStatsTable[[#This Row],[HalfWidth]],ContinuousStatsTable[[#This Row],[BatchMeansHalfWidth]])</f>
        <v>2.7457743728226142E-3</v>
      </c>
    </row>
    <row r="288" spans="1:21" x14ac:dyDescent="0.25">
      <c r="A288" t="s">
        <v>68</v>
      </c>
      <c r="B288" t="s">
        <v>131</v>
      </c>
      <c r="C288">
        <v>24</v>
      </c>
      <c r="D288" t="s">
        <v>103</v>
      </c>
      <c r="E288" t="s">
        <v>100</v>
      </c>
      <c r="F288" t="s">
        <v>99</v>
      </c>
      <c r="G288">
        <v>0.47626965680515199</v>
      </c>
      <c r="H288">
        <v>2.5748341031930699E-2</v>
      </c>
      <c r="I288">
        <v>0</v>
      </c>
      <c r="J288">
        <v>1</v>
      </c>
      <c r="K288">
        <v>1</v>
      </c>
      <c r="L288">
        <v>0</v>
      </c>
      <c r="M288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288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cm="1">
        <f t="array" ref="O288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88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88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88" cm="1">
        <f t="array" ref="S288">MIN(IF((ContinuousStatsTable[GroupByKey]=ContinuousStatsTable[[#This Row],[GroupByKey]]),(ContinuousStatsTable[GroupByKey]=ContinuousStatsTable[[#This Row],[GroupByKey]])*ContinuousStatsTable[Average]))</f>
        <v>0.452397944183905</v>
      </c>
      <c r="T288" cm="1">
        <f t="array" ref="T288">MAX(IF((ContinuousStatsTable[GroupByKey]=ContinuousStatsTable[[#This Row],[GroupByKey]]),(ContinuousStatsTable[GroupByKey]=ContinuousStatsTable[[#This Row],[GroupByKey]])*ContinuousStatsTable[Average]))</f>
        <v>0.49691123629694001</v>
      </c>
      <c r="U288">
        <f>IF((ContinuousStatsTable[[#This Row],[RepsRequested]]&gt;1),ContinuousStatsTable[[#This Row],[HalfWidth]],ContinuousStatsTable[[#This Row],[BatchMeansHalfWidth]])</f>
        <v>2.7457743728226142E-3</v>
      </c>
    </row>
    <row r="289" spans="1:21" x14ac:dyDescent="0.25">
      <c r="A289" t="s">
        <v>68</v>
      </c>
      <c r="B289" t="s">
        <v>131</v>
      </c>
      <c r="C289">
        <v>24</v>
      </c>
      <c r="D289" t="s">
        <v>103</v>
      </c>
      <c r="E289" t="s">
        <v>101</v>
      </c>
      <c r="F289" t="s">
        <v>99</v>
      </c>
      <c r="G289">
        <v>1</v>
      </c>
      <c r="H289">
        <v>2E+20</v>
      </c>
      <c r="I289">
        <v>1</v>
      </c>
      <c r="J289">
        <v>1</v>
      </c>
      <c r="K289">
        <v>1</v>
      </c>
      <c r="L289">
        <v>0</v>
      </c>
      <c r="M289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289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cm="1">
        <f t="array" ref="O289">IFERROR(AVERAGE(IF((ContinuousStatsTable[GroupByKey]=ContinuousStatsTable[[#This Row],[GroupByKey]]),(ContinuousStatsTable[GroupByKey]=ContinuousStatsTable[[#This Row],[GroupByKey]])*ContinuousStatsTable[Average])),0)</f>
        <v>1</v>
      </c>
      <c r="P289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0</v>
      </c>
      <c r="Q289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9" cm="1">
        <f t="array" ref="S289">MIN(IF((ContinuousStatsTable[GroupByKey]=ContinuousStatsTable[[#This Row],[GroupByKey]]),(ContinuousStatsTable[GroupByKey]=ContinuousStatsTable[[#This Row],[GroupByKey]])*ContinuousStatsTable[Average]))</f>
        <v>1</v>
      </c>
      <c r="T289" cm="1">
        <f t="array" ref="T289">MAX(IF((ContinuousStatsTable[GroupByKey]=ContinuousStatsTable[[#This Row],[GroupByKey]]),(ContinuousStatsTable[GroupByKey]=ContinuousStatsTable[[#This Row],[GroupByKey]])*ContinuousStatsTable[Average]))</f>
        <v>1</v>
      </c>
      <c r="U289">
        <f>IF((ContinuousStatsTable[[#This Row],[RepsRequested]]&gt;1),ContinuousStatsTable[[#This Row],[HalfWidth]],ContinuousStatsTable[[#This Row],[BatchMeansHalfWidth]])</f>
        <v>0</v>
      </c>
    </row>
    <row r="290" spans="1:21" x14ac:dyDescent="0.25">
      <c r="A290" t="s">
        <v>68</v>
      </c>
      <c r="B290" t="s">
        <v>131</v>
      </c>
      <c r="C290">
        <v>25</v>
      </c>
      <c r="D290" t="s">
        <v>70</v>
      </c>
      <c r="E290" t="s">
        <v>95</v>
      </c>
      <c r="F290" t="s">
        <v>72</v>
      </c>
      <c r="G290">
        <v>6.4987958570390099</v>
      </c>
      <c r="H290">
        <v>1.2676523524568</v>
      </c>
      <c r="I290">
        <v>0</v>
      </c>
      <c r="J290">
        <v>28</v>
      </c>
      <c r="K290">
        <v>5</v>
      </c>
      <c r="L290">
        <v>0</v>
      </c>
      <c r="M290" t="str">
        <f>ContinuousStatsTable[[#This Row],[ProjectName]]&amp;ContinuousStatsTable[[#This Row],[Name]]&amp;ContinuousStatsTable[[#This Row],[Type]]&amp;ContinuousStatsTable[[#This Row],[Source]]</f>
        <v>PacientesEntity 1WIPEntity</v>
      </c>
      <c r="N290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cm="1">
        <f t="array" ref="O290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290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290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290" cm="1">
        <f t="array" ref="S290">MIN(IF((ContinuousStatsTable[GroupByKey]=ContinuousStatsTable[[#This Row],[GroupByKey]]),(ContinuousStatsTable[GroupByKey]=ContinuousStatsTable[[#This Row],[GroupByKey]])*ContinuousStatsTable[Average]))</f>
        <v>3.9757448048151298</v>
      </c>
      <c r="T290" cm="1">
        <f t="array" ref="T290">MAX(IF((ContinuousStatsTable[GroupByKey]=ContinuousStatsTable[[#This Row],[GroupByKey]]),(ContinuousStatsTable[GroupByKey]=ContinuousStatsTable[[#This Row],[GroupByKey]])*ContinuousStatsTable[Average]))</f>
        <v>6.9386840633215803</v>
      </c>
      <c r="U290">
        <f>IF((ContinuousStatsTable[[#This Row],[RepsRequested]]&gt;1),ContinuousStatsTable[[#This Row],[HalfWidth]],ContinuousStatsTable[[#This Row],[BatchMeansHalfWidth]])</f>
        <v>0.22030607219171747</v>
      </c>
    </row>
    <row r="291" spans="1:21" x14ac:dyDescent="0.25">
      <c r="A291" t="s">
        <v>68</v>
      </c>
      <c r="B291" t="s">
        <v>131</v>
      </c>
      <c r="C291">
        <v>25</v>
      </c>
      <c r="D291" t="s">
        <v>83</v>
      </c>
      <c r="E291" t="s">
        <v>96</v>
      </c>
      <c r="F291" t="s">
        <v>85</v>
      </c>
      <c r="G291">
        <v>4.0523180077033603</v>
      </c>
      <c r="H291">
        <v>1.1906810713398499</v>
      </c>
      <c r="I291">
        <v>0</v>
      </c>
      <c r="J291">
        <v>26</v>
      </c>
      <c r="K291">
        <v>3</v>
      </c>
      <c r="L291">
        <v>0</v>
      </c>
      <c r="M291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291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cm="1">
        <f t="array" ref="O291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291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291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291" cm="1">
        <f t="array" ref="S291">MIN(IF((ContinuousStatsTable[GroupByKey]=ContinuousStatsTable[[#This Row],[GroupByKey]]),(ContinuousStatsTable[GroupByKey]=ContinuousStatsTable[[#This Row],[GroupByKey]])*ContinuousStatsTable[Average]))</f>
        <v>1.7200278735122601</v>
      </c>
      <c r="T291" cm="1">
        <f t="array" ref="T291">MAX(IF((ContinuousStatsTable[GroupByKey]=ContinuousStatsTable[[#This Row],[GroupByKey]]),(ContinuousStatsTable[GroupByKey]=ContinuousStatsTable[[#This Row],[GroupByKey]])*ContinuousStatsTable[Average]))</f>
        <v>4.5543512780988502</v>
      </c>
      <c r="U291">
        <f>IF((ContinuousStatsTable[[#This Row],[RepsRequested]]&gt;1),ContinuousStatsTable[[#This Row],[HalfWidth]],ContinuousStatsTable[[#This Row],[BatchMeansHalfWidth]])</f>
        <v>0.21041231434540877</v>
      </c>
    </row>
    <row r="292" spans="1:21" x14ac:dyDescent="0.25">
      <c r="A292" t="s">
        <v>68</v>
      </c>
      <c r="B292" t="s">
        <v>131</v>
      </c>
      <c r="C292">
        <v>25</v>
      </c>
      <c r="D292" t="s">
        <v>87</v>
      </c>
      <c r="E292" t="s">
        <v>96</v>
      </c>
      <c r="F292" t="s">
        <v>85</v>
      </c>
      <c r="G292">
        <v>0.245168261049964</v>
      </c>
      <c r="H292">
        <v>3.6759291280501503E-2</v>
      </c>
      <c r="I292">
        <v>0</v>
      </c>
      <c r="J292">
        <v>6</v>
      </c>
      <c r="K292">
        <v>0</v>
      </c>
      <c r="L292">
        <v>0</v>
      </c>
      <c r="M292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292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cm="1">
        <f t="array" ref="O292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292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292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292" cm="1">
        <f t="array" ref="S292">MIN(IF((ContinuousStatsTable[GroupByKey]=ContinuousStatsTable[[#This Row],[GroupByKey]]),(ContinuousStatsTable[GroupByKey]=ContinuousStatsTable[[#This Row],[GroupByKey]])*ContinuousStatsTable[Average]))</f>
        <v>0.172815232766103</v>
      </c>
      <c r="T292" cm="1">
        <f t="array" ref="T292">MAX(IF((ContinuousStatsTable[GroupByKey]=ContinuousStatsTable[[#This Row],[GroupByKey]]),(ContinuousStatsTable[GroupByKey]=ContinuousStatsTable[[#This Row],[GroupByKey]])*ContinuousStatsTable[Average]))</f>
        <v>0.24783514900621301</v>
      </c>
      <c r="U292">
        <f>IF((ContinuousStatsTable[[#This Row],[RepsRequested]]&gt;1),ContinuousStatsTable[[#This Row],[HalfWidth]],ContinuousStatsTable[[#This Row],[BatchMeansHalfWidth]])</f>
        <v>4.7768909384897544E-3</v>
      </c>
    </row>
    <row r="293" spans="1:21" x14ac:dyDescent="0.25">
      <c r="A293" t="s">
        <v>68</v>
      </c>
      <c r="B293" t="s">
        <v>131</v>
      </c>
      <c r="C293">
        <v>25</v>
      </c>
      <c r="D293" t="s">
        <v>97</v>
      </c>
      <c r="E293" t="s">
        <v>98</v>
      </c>
      <c r="F293" t="s">
        <v>99</v>
      </c>
      <c r="G293">
        <v>0.57005812966092095</v>
      </c>
      <c r="H293">
        <v>2.1157812931760701E-2</v>
      </c>
      <c r="I293">
        <v>0</v>
      </c>
      <c r="J293">
        <v>0.66666666666666696</v>
      </c>
      <c r="K293">
        <v>0.66666666666666696</v>
      </c>
      <c r="L293">
        <v>0</v>
      </c>
      <c r="M293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293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cm="1">
        <f t="array" ref="O293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293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293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293" cm="1">
        <f t="array" ref="S293">MIN(IF((ContinuousStatsTable[GroupByKey]=ContinuousStatsTable[[#This Row],[GroupByKey]]),(ContinuousStatsTable[GroupByKey]=ContinuousStatsTable[[#This Row],[GroupByKey]])*ContinuousStatsTable[Average]))</f>
        <v>0.52470641844357602</v>
      </c>
      <c r="T293" cm="1">
        <f t="array" ref="T293">MAX(IF((ContinuousStatsTable[GroupByKey]=ContinuousStatsTable[[#This Row],[GroupByKey]]),(ContinuousStatsTable[GroupByKey]=ContinuousStatsTable[[#This Row],[GroupByKey]])*ContinuousStatsTable[Average]))</f>
        <v>0.57005812966092095</v>
      </c>
      <c r="U293">
        <f>IF((ContinuousStatsTable[[#This Row],[RepsRequested]]&gt;1),ContinuousStatsTable[[#This Row],[HalfWidth]],ContinuousStatsTable[[#This Row],[BatchMeansHalfWidth]])</f>
        <v>2.9048243757695521E-3</v>
      </c>
    </row>
    <row r="294" spans="1:21" x14ac:dyDescent="0.25">
      <c r="A294" t="s">
        <v>68</v>
      </c>
      <c r="B294" t="s">
        <v>131</v>
      </c>
      <c r="C294">
        <v>25</v>
      </c>
      <c r="D294" t="s">
        <v>97</v>
      </c>
      <c r="E294" t="s">
        <v>100</v>
      </c>
      <c r="F294" t="s">
        <v>99</v>
      </c>
      <c r="G294">
        <v>1.7101743889827701</v>
      </c>
      <c r="H294">
        <v>6.3473438795282097E-2</v>
      </c>
      <c r="I294">
        <v>0</v>
      </c>
      <c r="J294">
        <v>2</v>
      </c>
      <c r="K294">
        <v>2</v>
      </c>
      <c r="L294">
        <v>0</v>
      </c>
      <c r="M294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294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cm="1">
        <f t="array" ref="O294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94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94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94" cm="1">
        <f t="array" ref="S294">MIN(IF((ContinuousStatsTable[GroupByKey]=ContinuousStatsTable[[#This Row],[GroupByKey]]),(ContinuousStatsTable[GroupByKey]=ContinuousStatsTable[[#This Row],[GroupByKey]])*ContinuousStatsTable[Average]))</f>
        <v>1.5741192553307399</v>
      </c>
      <c r="T294" cm="1">
        <f t="array" ref="T294">MAX(IF((ContinuousStatsTable[GroupByKey]=ContinuousStatsTable[[#This Row],[GroupByKey]]),(ContinuousStatsTable[GroupByKey]=ContinuousStatsTable[[#This Row],[GroupByKey]])*ContinuousStatsTable[Average]))</f>
        <v>1.7101743889827701</v>
      </c>
      <c r="U294">
        <f>IF((ContinuousStatsTable[[#This Row],[RepsRequested]]&gt;1),ContinuousStatsTable[[#This Row],[HalfWidth]],ContinuousStatsTable[[#This Row],[BatchMeansHalfWidth]])</f>
        <v>8.7144731273084922E-3</v>
      </c>
    </row>
    <row r="295" spans="1:21" x14ac:dyDescent="0.25">
      <c r="A295" t="s">
        <v>68</v>
      </c>
      <c r="B295" t="s">
        <v>131</v>
      </c>
      <c r="C295">
        <v>25</v>
      </c>
      <c r="D295" t="s">
        <v>97</v>
      </c>
      <c r="E295" t="s">
        <v>101</v>
      </c>
      <c r="F295" t="s">
        <v>99</v>
      </c>
      <c r="G295">
        <v>3</v>
      </c>
      <c r="H295">
        <v>2E+20</v>
      </c>
      <c r="I295">
        <v>3</v>
      </c>
      <c r="J295">
        <v>3</v>
      </c>
      <c r="K295">
        <v>3</v>
      </c>
      <c r="L295">
        <v>0</v>
      </c>
      <c r="M295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29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cm="1">
        <f t="array" ref="O295">IFERROR(AVERAGE(IF((ContinuousStatsTable[GroupByKey]=ContinuousStatsTable[[#This Row],[GroupByKey]]),(ContinuousStatsTable[GroupByKey]=ContinuousStatsTable[[#This Row],[GroupByKey]])*ContinuousStatsTable[Average])),0)</f>
        <v>3</v>
      </c>
      <c r="P29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0</v>
      </c>
      <c r="Q29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5" cm="1">
        <f t="array" ref="S295">MIN(IF((ContinuousStatsTable[GroupByKey]=ContinuousStatsTable[[#This Row],[GroupByKey]]),(ContinuousStatsTable[GroupByKey]=ContinuousStatsTable[[#This Row],[GroupByKey]])*ContinuousStatsTable[Average]))</f>
        <v>3</v>
      </c>
      <c r="T295" cm="1">
        <f t="array" ref="T295">MAX(IF((ContinuousStatsTable[GroupByKey]=ContinuousStatsTable[[#This Row],[GroupByKey]]),(ContinuousStatsTable[GroupByKey]=ContinuousStatsTable[[#This Row],[GroupByKey]])*ContinuousStatsTable[Average]))</f>
        <v>3</v>
      </c>
      <c r="U295">
        <f>IF((ContinuousStatsTable[[#This Row],[RepsRequested]]&gt;1),ContinuousStatsTable[[#This Row],[HalfWidth]],ContinuousStatsTable[[#This Row],[BatchMeansHalfWidth]])</f>
        <v>0</v>
      </c>
    </row>
    <row r="296" spans="1:21" x14ac:dyDescent="0.25">
      <c r="A296" t="s">
        <v>68</v>
      </c>
      <c r="B296" t="s">
        <v>131</v>
      </c>
      <c r="C296">
        <v>25</v>
      </c>
      <c r="D296" t="s">
        <v>102</v>
      </c>
      <c r="E296" t="s">
        <v>98</v>
      </c>
      <c r="F296" t="s">
        <v>99</v>
      </c>
      <c r="G296">
        <v>0.85508719449138504</v>
      </c>
      <c r="H296">
        <v>3.1736719397641097E-2</v>
      </c>
      <c r="I296">
        <v>0</v>
      </c>
      <c r="J296">
        <v>1</v>
      </c>
      <c r="K296">
        <v>1</v>
      </c>
      <c r="L296">
        <v>0</v>
      </c>
      <c r="M296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296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cm="1">
        <f t="array" ref="O296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296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296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296" cm="1">
        <f t="array" ref="S296">MIN(IF((ContinuousStatsTable[GroupByKey]=ContinuousStatsTable[[#This Row],[GroupByKey]]),(ContinuousStatsTable[GroupByKey]=ContinuousStatsTable[[#This Row],[GroupByKey]])*ContinuousStatsTable[Average]))</f>
        <v>0.78705962766536897</v>
      </c>
      <c r="T296" cm="1">
        <f t="array" ref="T296">MAX(IF((ContinuousStatsTable[GroupByKey]=ContinuousStatsTable[[#This Row],[GroupByKey]]),(ContinuousStatsTable[GroupByKey]=ContinuousStatsTable[[#This Row],[GroupByKey]])*ContinuousStatsTable[Average]))</f>
        <v>0.85508719449138504</v>
      </c>
      <c r="U296">
        <f>IF((ContinuousStatsTable[[#This Row],[RepsRequested]]&gt;1),ContinuousStatsTable[[#This Row],[HalfWidth]],ContinuousStatsTable[[#This Row],[BatchMeansHalfWidth]])</f>
        <v>4.3572365636542886E-3</v>
      </c>
    </row>
    <row r="297" spans="1:21" x14ac:dyDescent="0.25">
      <c r="A297" t="s">
        <v>68</v>
      </c>
      <c r="B297" t="s">
        <v>131</v>
      </c>
      <c r="C297">
        <v>25</v>
      </c>
      <c r="D297" t="s">
        <v>102</v>
      </c>
      <c r="E297" t="s">
        <v>100</v>
      </c>
      <c r="F297" t="s">
        <v>99</v>
      </c>
      <c r="G297">
        <v>1.7101743889827701</v>
      </c>
      <c r="H297">
        <v>6.3473438795282097E-2</v>
      </c>
      <c r="I297">
        <v>0</v>
      </c>
      <c r="J297">
        <v>2</v>
      </c>
      <c r="K297">
        <v>2</v>
      </c>
      <c r="L297">
        <v>0</v>
      </c>
      <c r="M297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297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cm="1">
        <f t="array" ref="O297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297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297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297" cm="1">
        <f t="array" ref="S297">MIN(IF((ContinuousStatsTable[GroupByKey]=ContinuousStatsTable[[#This Row],[GroupByKey]]),(ContinuousStatsTable[GroupByKey]=ContinuousStatsTable[[#This Row],[GroupByKey]])*ContinuousStatsTable[Average]))</f>
        <v>1.5741192553307399</v>
      </c>
      <c r="T297" cm="1">
        <f t="array" ref="T297">MAX(IF((ContinuousStatsTable[GroupByKey]=ContinuousStatsTable[[#This Row],[GroupByKey]]),(ContinuousStatsTable[GroupByKey]=ContinuousStatsTable[[#This Row],[GroupByKey]])*ContinuousStatsTable[Average]))</f>
        <v>1.7101743889827701</v>
      </c>
      <c r="U297">
        <f>IF((ContinuousStatsTable[[#This Row],[RepsRequested]]&gt;1),ContinuousStatsTable[[#This Row],[HalfWidth]],ContinuousStatsTable[[#This Row],[BatchMeansHalfWidth]])</f>
        <v>8.7144731273084922E-3</v>
      </c>
    </row>
    <row r="298" spans="1:21" x14ac:dyDescent="0.25">
      <c r="A298" t="s">
        <v>68</v>
      </c>
      <c r="B298" t="s">
        <v>131</v>
      </c>
      <c r="C298">
        <v>25</v>
      </c>
      <c r="D298" t="s">
        <v>102</v>
      </c>
      <c r="E298" t="s">
        <v>101</v>
      </c>
      <c r="F298" t="s">
        <v>99</v>
      </c>
      <c r="G298">
        <v>2</v>
      </c>
      <c r="H298">
        <v>2E+20</v>
      </c>
      <c r="I298">
        <v>2</v>
      </c>
      <c r="J298">
        <v>2</v>
      </c>
      <c r="K298">
        <v>2</v>
      </c>
      <c r="L298">
        <v>0</v>
      </c>
      <c r="M298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298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cm="1">
        <f t="array" ref="O298">IFERROR(AVERAGE(IF((ContinuousStatsTable[GroupByKey]=ContinuousStatsTable[[#This Row],[GroupByKey]]),(ContinuousStatsTable[GroupByKey]=ContinuousStatsTable[[#This Row],[GroupByKey]])*ContinuousStatsTable[Average])),0)</f>
        <v>2</v>
      </c>
      <c r="P298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0</v>
      </c>
      <c r="Q298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8" cm="1">
        <f t="array" ref="S298">MIN(IF((ContinuousStatsTable[GroupByKey]=ContinuousStatsTable[[#This Row],[GroupByKey]]),(ContinuousStatsTable[GroupByKey]=ContinuousStatsTable[[#This Row],[GroupByKey]])*ContinuousStatsTable[Average]))</f>
        <v>2</v>
      </c>
      <c r="T298" cm="1">
        <f t="array" ref="T298">MAX(IF((ContinuousStatsTable[GroupByKey]=ContinuousStatsTable[[#This Row],[GroupByKey]]),(ContinuousStatsTable[GroupByKey]=ContinuousStatsTable[[#This Row],[GroupByKey]])*ContinuousStatsTable[Average]))</f>
        <v>2</v>
      </c>
      <c r="U298">
        <f>IF((ContinuousStatsTable[[#This Row],[RepsRequested]]&gt;1),ContinuousStatsTable[[#This Row],[HalfWidth]],ContinuousStatsTable[[#This Row],[BatchMeansHalfWidth]])</f>
        <v>0</v>
      </c>
    </row>
    <row r="299" spans="1:21" x14ac:dyDescent="0.25">
      <c r="A299" t="s">
        <v>68</v>
      </c>
      <c r="B299" t="s">
        <v>131</v>
      </c>
      <c r="C299">
        <v>25</v>
      </c>
      <c r="D299" t="s">
        <v>103</v>
      </c>
      <c r="E299" t="s">
        <v>98</v>
      </c>
      <c r="F299" t="s">
        <v>99</v>
      </c>
      <c r="G299">
        <v>0.49113519930291</v>
      </c>
      <c r="H299">
        <v>3E+20</v>
      </c>
      <c r="I299">
        <v>0</v>
      </c>
      <c r="J299">
        <v>1</v>
      </c>
      <c r="K299">
        <v>0</v>
      </c>
      <c r="L299">
        <v>0</v>
      </c>
      <c r="M299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299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cm="1">
        <f t="array" ref="O299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299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299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299" cm="1">
        <f t="array" ref="S299">MIN(IF((ContinuousStatsTable[GroupByKey]=ContinuousStatsTable[[#This Row],[GroupByKey]]),(ContinuousStatsTable[GroupByKey]=ContinuousStatsTable[[#This Row],[GroupByKey]])*ContinuousStatsTable[Average]))</f>
        <v>0.452397944183905</v>
      </c>
      <c r="T299" cm="1">
        <f t="array" ref="T299">MAX(IF((ContinuousStatsTable[GroupByKey]=ContinuousStatsTable[[#This Row],[GroupByKey]]),(ContinuousStatsTable[GroupByKey]=ContinuousStatsTable[[#This Row],[GroupByKey]])*ContinuousStatsTable[Average]))</f>
        <v>0.49691123629694001</v>
      </c>
      <c r="U299">
        <f>IF((ContinuousStatsTable[[#This Row],[RepsRequested]]&gt;1),ContinuousStatsTable[[#This Row],[HalfWidth]],ContinuousStatsTable[[#This Row],[BatchMeansHalfWidth]])</f>
        <v>2.7457743728226142E-3</v>
      </c>
    </row>
    <row r="300" spans="1:21" x14ac:dyDescent="0.25">
      <c r="A300" t="s">
        <v>68</v>
      </c>
      <c r="B300" t="s">
        <v>131</v>
      </c>
      <c r="C300">
        <v>25</v>
      </c>
      <c r="D300" t="s">
        <v>103</v>
      </c>
      <c r="E300" t="s">
        <v>100</v>
      </c>
      <c r="F300" t="s">
        <v>99</v>
      </c>
      <c r="G300">
        <v>0.49113519930291</v>
      </c>
      <c r="H300">
        <v>3E+20</v>
      </c>
      <c r="I300">
        <v>0</v>
      </c>
      <c r="J300">
        <v>1</v>
      </c>
      <c r="K300">
        <v>0</v>
      </c>
      <c r="L300">
        <v>0</v>
      </c>
      <c r="M300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300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cm="1">
        <f t="array" ref="O300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00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00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00" cm="1">
        <f t="array" ref="S300">MIN(IF((ContinuousStatsTable[GroupByKey]=ContinuousStatsTable[[#This Row],[GroupByKey]]),(ContinuousStatsTable[GroupByKey]=ContinuousStatsTable[[#This Row],[GroupByKey]])*ContinuousStatsTable[Average]))</f>
        <v>0.452397944183905</v>
      </c>
      <c r="T300" cm="1">
        <f t="array" ref="T300">MAX(IF((ContinuousStatsTable[GroupByKey]=ContinuousStatsTable[[#This Row],[GroupByKey]]),(ContinuousStatsTable[GroupByKey]=ContinuousStatsTable[[#This Row],[GroupByKey]])*ContinuousStatsTable[Average]))</f>
        <v>0.49691123629694001</v>
      </c>
      <c r="U300">
        <f>IF((ContinuousStatsTable[[#This Row],[RepsRequested]]&gt;1),ContinuousStatsTable[[#This Row],[HalfWidth]],ContinuousStatsTable[[#This Row],[BatchMeansHalfWidth]])</f>
        <v>2.7457743728226142E-3</v>
      </c>
    </row>
    <row r="301" spans="1:21" x14ac:dyDescent="0.25">
      <c r="A301" t="s">
        <v>68</v>
      </c>
      <c r="B301" t="s">
        <v>131</v>
      </c>
      <c r="C301">
        <v>25</v>
      </c>
      <c r="D301" t="s">
        <v>103</v>
      </c>
      <c r="E301" t="s">
        <v>101</v>
      </c>
      <c r="F301" t="s">
        <v>99</v>
      </c>
      <c r="G301">
        <v>1</v>
      </c>
      <c r="H301">
        <v>2E+20</v>
      </c>
      <c r="I301">
        <v>1</v>
      </c>
      <c r="J301">
        <v>1</v>
      </c>
      <c r="K301">
        <v>1</v>
      </c>
      <c r="L301">
        <v>0</v>
      </c>
      <c r="M301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301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cm="1">
        <f t="array" ref="O301">IFERROR(AVERAGE(IF((ContinuousStatsTable[GroupByKey]=ContinuousStatsTable[[#This Row],[GroupByKey]]),(ContinuousStatsTable[GroupByKey]=ContinuousStatsTable[[#This Row],[GroupByKey]])*ContinuousStatsTable[Average])),0)</f>
        <v>1</v>
      </c>
      <c r="P301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0</v>
      </c>
      <c r="Q301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1" cm="1">
        <f t="array" ref="S301">MIN(IF((ContinuousStatsTable[GroupByKey]=ContinuousStatsTable[[#This Row],[GroupByKey]]),(ContinuousStatsTable[GroupByKey]=ContinuousStatsTable[[#This Row],[GroupByKey]])*ContinuousStatsTable[Average]))</f>
        <v>1</v>
      </c>
      <c r="T301" cm="1">
        <f t="array" ref="T301">MAX(IF((ContinuousStatsTable[GroupByKey]=ContinuousStatsTable[[#This Row],[GroupByKey]]),(ContinuousStatsTable[GroupByKey]=ContinuousStatsTable[[#This Row],[GroupByKey]])*ContinuousStatsTable[Average]))</f>
        <v>1</v>
      </c>
      <c r="U301">
        <f>IF((ContinuousStatsTable[[#This Row],[RepsRequested]]&gt;1),ContinuousStatsTable[[#This Row],[HalfWidth]],ContinuousStatsTable[[#This Row],[BatchMeansHalfWidth]])</f>
        <v>0</v>
      </c>
    </row>
    <row r="302" spans="1:21" x14ac:dyDescent="0.25">
      <c r="A302" t="s">
        <v>68</v>
      </c>
      <c r="B302" t="s">
        <v>131</v>
      </c>
      <c r="C302">
        <v>26</v>
      </c>
      <c r="D302" t="s">
        <v>70</v>
      </c>
      <c r="E302" t="s">
        <v>95</v>
      </c>
      <c r="F302" t="s">
        <v>72</v>
      </c>
      <c r="G302">
        <v>4.5980091936834402</v>
      </c>
      <c r="H302">
        <v>0.85780082621397002</v>
      </c>
      <c r="I302">
        <v>0</v>
      </c>
      <c r="J302">
        <v>22</v>
      </c>
      <c r="K302">
        <v>16</v>
      </c>
      <c r="L302">
        <v>0</v>
      </c>
      <c r="M302" t="str">
        <f>ContinuousStatsTable[[#This Row],[ProjectName]]&amp;ContinuousStatsTable[[#This Row],[Name]]&amp;ContinuousStatsTable[[#This Row],[Type]]&amp;ContinuousStatsTable[[#This Row],[Source]]</f>
        <v>PacientesEntity 1WIPEntity</v>
      </c>
      <c r="N302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cm="1">
        <f t="array" ref="O302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302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302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302" cm="1">
        <f t="array" ref="S302">MIN(IF((ContinuousStatsTable[GroupByKey]=ContinuousStatsTable[[#This Row],[GroupByKey]]),(ContinuousStatsTable[GroupByKey]=ContinuousStatsTable[[#This Row],[GroupByKey]])*ContinuousStatsTable[Average]))</f>
        <v>3.9757448048151298</v>
      </c>
      <c r="T302" cm="1">
        <f t="array" ref="T302">MAX(IF((ContinuousStatsTable[GroupByKey]=ContinuousStatsTable[[#This Row],[GroupByKey]]),(ContinuousStatsTable[GroupByKey]=ContinuousStatsTable[[#This Row],[GroupByKey]])*ContinuousStatsTable[Average]))</f>
        <v>6.9386840633215803</v>
      </c>
      <c r="U302">
        <f>IF((ContinuousStatsTable[[#This Row],[RepsRequested]]&gt;1),ContinuousStatsTable[[#This Row],[HalfWidth]],ContinuousStatsTable[[#This Row],[BatchMeansHalfWidth]])</f>
        <v>0.22030607219171747</v>
      </c>
    </row>
    <row r="303" spans="1:21" x14ac:dyDescent="0.25">
      <c r="A303" t="s">
        <v>68</v>
      </c>
      <c r="B303" t="s">
        <v>131</v>
      </c>
      <c r="C303">
        <v>26</v>
      </c>
      <c r="D303" t="s">
        <v>83</v>
      </c>
      <c r="E303" t="s">
        <v>96</v>
      </c>
      <c r="F303" t="s">
        <v>85</v>
      </c>
      <c r="G303">
        <v>2.3091315440795399</v>
      </c>
      <c r="H303">
        <v>0.78978522244086102</v>
      </c>
      <c r="I303">
        <v>0</v>
      </c>
      <c r="J303">
        <v>20</v>
      </c>
      <c r="K303">
        <v>13</v>
      </c>
      <c r="L303">
        <v>0</v>
      </c>
      <c r="M303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03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cm="1">
        <f t="array" ref="O303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03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03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03" cm="1">
        <f t="array" ref="S303">MIN(IF((ContinuousStatsTable[GroupByKey]=ContinuousStatsTable[[#This Row],[GroupByKey]]),(ContinuousStatsTable[GroupByKey]=ContinuousStatsTable[[#This Row],[GroupByKey]])*ContinuousStatsTable[Average]))</f>
        <v>1.7200278735122601</v>
      </c>
      <c r="T303" cm="1">
        <f t="array" ref="T303">MAX(IF((ContinuousStatsTable[GroupByKey]=ContinuousStatsTable[[#This Row],[GroupByKey]]),(ContinuousStatsTable[GroupByKey]=ContinuousStatsTable[[#This Row],[GroupByKey]])*ContinuousStatsTable[Average]))</f>
        <v>4.5543512780988502</v>
      </c>
      <c r="U303">
        <f>IF((ContinuousStatsTable[[#This Row],[RepsRequested]]&gt;1),ContinuousStatsTable[[#This Row],[HalfWidth]],ContinuousStatsTable[[#This Row],[BatchMeansHalfWidth]])</f>
        <v>0.21041231434540877</v>
      </c>
    </row>
    <row r="304" spans="1:21" x14ac:dyDescent="0.25">
      <c r="A304" t="s">
        <v>68</v>
      </c>
      <c r="B304" t="s">
        <v>131</v>
      </c>
      <c r="C304">
        <v>26</v>
      </c>
      <c r="D304" t="s">
        <v>87</v>
      </c>
      <c r="E304" t="s">
        <v>96</v>
      </c>
      <c r="F304" t="s">
        <v>85</v>
      </c>
      <c r="G304">
        <v>0.20310923202134501</v>
      </c>
      <c r="H304">
        <v>2.7005353855131701E-2</v>
      </c>
      <c r="I304">
        <v>0</v>
      </c>
      <c r="J304">
        <v>6</v>
      </c>
      <c r="K304">
        <v>0</v>
      </c>
      <c r="L304">
        <v>0</v>
      </c>
      <c r="M304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304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cm="1">
        <f t="array" ref="O304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304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304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304" cm="1">
        <f t="array" ref="S304">MIN(IF((ContinuousStatsTable[GroupByKey]=ContinuousStatsTable[[#This Row],[GroupByKey]]),(ContinuousStatsTable[GroupByKey]=ContinuousStatsTable[[#This Row],[GroupByKey]])*ContinuousStatsTable[Average]))</f>
        <v>0.172815232766103</v>
      </c>
      <c r="T304" cm="1">
        <f t="array" ref="T304">MAX(IF((ContinuousStatsTable[GroupByKey]=ContinuousStatsTable[[#This Row],[GroupByKey]]),(ContinuousStatsTable[GroupByKey]=ContinuousStatsTable[[#This Row],[GroupByKey]])*ContinuousStatsTable[Average]))</f>
        <v>0.24783514900621301</v>
      </c>
      <c r="U304">
        <f>IF((ContinuousStatsTable[[#This Row],[RepsRequested]]&gt;1),ContinuousStatsTable[[#This Row],[HalfWidth]],ContinuousStatsTable[[#This Row],[BatchMeansHalfWidth]])</f>
        <v>4.7768909384897544E-3</v>
      </c>
    </row>
    <row r="305" spans="1:21" x14ac:dyDescent="0.25">
      <c r="A305" t="s">
        <v>68</v>
      </c>
      <c r="B305" t="s">
        <v>131</v>
      </c>
      <c r="C305">
        <v>26</v>
      </c>
      <c r="D305" t="s">
        <v>97</v>
      </c>
      <c r="E305" t="s">
        <v>98</v>
      </c>
      <c r="F305" t="s">
        <v>99</v>
      </c>
      <c r="G305">
        <v>0.53968806803205205</v>
      </c>
      <c r="H305">
        <v>2.26520147500371E-2</v>
      </c>
      <c r="I305">
        <v>0</v>
      </c>
      <c r="J305">
        <v>0.66666666666666696</v>
      </c>
      <c r="K305">
        <v>0.66666666666666696</v>
      </c>
      <c r="L305">
        <v>0</v>
      </c>
      <c r="M305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30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cm="1">
        <f t="array" ref="O305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30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30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305" cm="1">
        <f t="array" ref="S305">MIN(IF((ContinuousStatsTable[GroupByKey]=ContinuousStatsTable[[#This Row],[GroupByKey]]),(ContinuousStatsTable[GroupByKey]=ContinuousStatsTable[[#This Row],[GroupByKey]])*ContinuousStatsTable[Average]))</f>
        <v>0.52470641844357602</v>
      </c>
      <c r="T305" cm="1">
        <f t="array" ref="T305">MAX(IF((ContinuousStatsTable[GroupByKey]=ContinuousStatsTable[[#This Row],[GroupByKey]]),(ContinuousStatsTable[GroupByKey]=ContinuousStatsTable[[#This Row],[GroupByKey]])*ContinuousStatsTable[Average]))</f>
        <v>0.57005812966092095</v>
      </c>
      <c r="U305">
        <f>IF((ContinuousStatsTable[[#This Row],[RepsRequested]]&gt;1),ContinuousStatsTable[[#This Row],[HalfWidth]],ContinuousStatsTable[[#This Row],[BatchMeansHalfWidth]])</f>
        <v>2.9048243757695521E-3</v>
      </c>
    </row>
    <row r="306" spans="1:21" x14ac:dyDescent="0.25">
      <c r="A306" t="s">
        <v>68</v>
      </c>
      <c r="B306" t="s">
        <v>131</v>
      </c>
      <c r="C306">
        <v>26</v>
      </c>
      <c r="D306" t="s">
        <v>97</v>
      </c>
      <c r="E306" t="s">
        <v>100</v>
      </c>
      <c r="F306" t="s">
        <v>99</v>
      </c>
      <c r="G306">
        <v>1.61906420409615</v>
      </c>
      <c r="H306">
        <v>6.7956044250111397E-2</v>
      </c>
      <c r="I306">
        <v>0</v>
      </c>
      <c r="J306">
        <v>2</v>
      </c>
      <c r="K306">
        <v>2</v>
      </c>
      <c r="L306">
        <v>0</v>
      </c>
      <c r="M306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306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cm="1">
        <f t="array" ref="O306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06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06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06" cm="1">
        <f t="array" ref="S306">MIN(IF((ContinuousStatsTable[GroupByKey]=ContinuousStatsTable[[#This Row],[GroupByKey]]),(ContinuousStatsTable[GroupByKey]=ContinuousStatsTable[[#This Row],[GroupByKey]])*ContinuousStatsTable[Average]))</f>
        <v>1.5741192553307399</v>
      </c>
      <c r="T306" cm="1">
        <f t="array" ref="T306">MAX(IF((ContinuousStatsTable[GroupByKey]=ContinuousStatsTable[[#This Row],[GroupByKey]]),(ContinuousStatsTable[GroupByKey]=ContinuousStatsTable[[#This Row],[GroupByKey]])*ContinuousStatsTable[Average]))</f>
        <v>1.7101743889827701</v>
      </c>
      <c r="U306">
        <f>IF((ContinuousStatsTable[[#This Row],[RepsRequested]]&gt;1),ContinuousStatsTable[[#This Row],[HalfWidth]],ContinuousStatsTable[[#This Row],[BatchMeansHalfWidth]])</f>
        <v>8.7144731273084922E-3</v>
      </c>
    </row>
    <row r="307" spans="1:21" x14ac:dyDescent="0.25">
      <c r="A307" t="s">
        <v>68</v>
      </c>
      <c r="B307" t="s">
        <v>131</v>
      </c>
      <c r="C307">
        <v>26</v>
      </c>
      <c r="D307" t="s">
        <v>97</v>
      </c>
      <c r="E307" t="s">
        <v>101</v>
      </c>
      <c r="F307" t="s">
        <v>99</v>
      </c>
      <c r="G307">
        <v>3</v>
      </c>
      <c r="H307">
        <v>2E+20</v>
      </c>
      <c r="I307">
        <v>3</v>
      </c>
      <c r="J307">
        <v>3</v>
      </c>
      <c r="K307">
        <v>3</v>
      </c>
      <c r="L307">
        <v>0</v>
      </c>
      <c r="M307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307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cm="1">
        <f t="array" ref="O307">IFERROR(AVERAGE(IF((ContinuousStatsTable[GroupByKey]=ContinuousStatsTable[[#This Row],[GroupByKey]]),(ContinuousStatsTable[GroupByKey]=ContinuousStatsTable[[#This Row],[GroupByKey]])*ContinuousStatsTable[Average])),0)</f>
        <v>3</v>
      </c>
      <c r="P307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</v>
      </c>
      <c r="Q307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7" cm="1">
        <f t="array" ref="S307">MIN(IF((ContinuousStatsTable[GroupByKey]=ContinuousStatsTable[[#This Row],[GroupByKey]]),(ContinuousStatsTable[GroupByKey]=ContinuousStatsTable[[#This Row],[GroupByKey]])*ContinuousStatsTable[Average]))</f>
        <v>3</v>
      </c>
      <c r="T307" cm="1">
        <f t="array" ref="T307">MAX(IF((ContinuousStatsTable[GroupByKey]=ContinuousStatsTable[[#This Row],[GroupByKey]]),(ContinuousStatsTable[GroupByKey]=ContinuousStatsTable[[#This Row],[GroupByKey]])*ContinuousStatsTable[Average]))</f>
        <v>3</v>
      </c>
      <c r="U307">
        <f>IF((ContinuousStatsTable[[#This Row],[RepsRequested]]&gt;1),ContinuousStatsTable[[#This Row],[HalfWidth]],ContinuousStatsTable[[#This Row],[BatchMeansHalfWidth]])</f>
        <v>0</v>
      </c>
    </row>
    <row r="308" spans="1:21" x14ac:dyDescent="0.25">
      <c r="A308" t="s">
        <v>68</v>
      </c>
      <c r="B308" t="s">
        <v>131</v>
      </c>
      <c r="C308">
        <v>26</v>
      </c>
      <c r="D308" t="s">
        <v>102</v>
      </c>
      <c r="E308" t="s">
        <v>98</v>
      </c>
      <c r="F308" t="s">
        <v>99</v>
      </c>
      <c r="G308">
        <v>0.80953210204807702</v>
      </c>
      <c r="H308">
        <v>3.3978022125055699E-2</v>
      </c>
      <c r="I308">
        <v>0</v>
      </c>
      <c r="J308">
        <v>1</v>
      </c>
      <c r="K308">
        <v>1</v>
      </c>
      <c r="L308">
        <v>0</v>
      </c>
      <c r="M308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308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cm="1">
        <f t="array" ref="O308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308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308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308" cm="1">
        <f t="array" ref="S308">MIN(IF((ContinuousStatsTable[GroupByKey]=ContinuousStatsTable[[#This Row],[GroupByKey]]),(ContinuousStatsTable[GroupByKey]=ContinuousStatsTable[[#This Row],[GroupByKey]])*ContinuousStatsTable[Average]))</f>
        <v>0.78705962766536897</v>
      </c>
      <c r="T308" cm="1">
        <f t="array" ref="T308">MAX(IF((ContinuousStatsTable[GroupByKey]=ContinuousStatsTable[[#This Row],[GroupByKey]]),(ContinuousStatsTable[GroupByKey]=ContinuousStatsTable[[#This Row],[GroupByKey]])*ContinuousStatsTable[Average]))</f>
        <v>0.85508719449138504</v>
      </c>
      <c r="U308">
        <f>IF((ContinuousStatsTable[[#This Row],[RepsRequested]]&gt;1),ContinuousStatsTable[[#This Row],[HalfWidth]],ContinuousStatsTable[[#This Row],[BatchMeansHalfWidth]])</f>
        <v>4.3572365636542886E-3</v>
      </c>
    </row>
    <row r="309" spans="1:21" x14ac:dyDescent="0.25">
      <c r="A309" t="s">
        <v>68</v>
      </c>
      <c r="B309" t="s">
        <v>131</v>
      </c>
      <c r="C309">
        <v>26</v>
      </c>
      <c r="D309" t="s">
        <v>102</v>
      </c>
      <c r="E309" t="s">
        <v>100</v>
      </c>
      <c r="F309" t="s">
        <v>99</v>
      </c>
      <c r="G309">
        <v>1.61906420409615</v>
      </c>
      <c r="H309">
        <v>6.7956044250111397E-2</v>
      </c>
      <c r="I309">
        <v>0</v>
      </c>
      <c r="J309">
        <v>2</v>
      </c>
      <c r="K309">
        <v>2</v>
      </c>
      <c r="L309">
        <v>0</v>
      </c>
      <c r="M309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309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cm="1">
        <f t="array" ref="O309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09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09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09" cm="1">
        <f t="array" ref="S309">MIN(IF((ContinuousStatsTable[GroupByKey]=ContinuousStatsTable[[#This Row],[GroupByKey]]),(ContinuousStatsTable[GroupByKey]=ContinuousStatsTable[[#This Row],[GroupByKey]])*ContinuousStatsTable[Average]))</f>
        <v>1.5741192553307399</v>
      </c>
      <c r="T309" cm="1">
        <f t="array" ref="T309">MAX(IF((ContinuousStatsTable[GroupByKey]=ContinuousStatsTable[[#This Row],[GroupByKey]]),(ContinuousStatsTable[GroupByKey]=ContinuousStatsTable[[#This Row],[GroupByKey]])*ContinuousStatsTable[Average]))</f>
        <v>1.7101743889827701</v>
      </c>
      <c r="U309">
        <f>IF((ContinuousStatsTable[[#This Row],[RepsRequested]]&gt;1),ContinuousStatsTable[[#This Row],[HalfWidth]],ContinuousStatsTable[[#This Row],[BatchMeansHalfWidth]])</f>
        <v>8.7144731273084922E-3</v>
      </c>
    </row>
    <row r="310" spans="1:21" x14ac:dyDescent="0.25">
      <c r="A310" t="s">
        <v>68</v>
      </c>
      <c r="B310" t="s">
        <v>131</v>
      </c>
      <c r="C310">
        <v>26</v>
      </c>
      <c r="D310" t="s">
        <v>102</v>
      </c>
      <c r="E310" t="s">
        <v>101</v>
      </c>
      <c r="F310" t="s">
        <v>99</v>
      </c>
      <c r="G310">
        <v>2</v>
      </c>
      <c r="H310">
        <v>2E+20</v>
      </c>
      <c r="I310">
        <v>2</v>
      </c>
      <c r="J310">
        <v>2</v>
      </c>
      <c r="K310">
        <v>2</v>
      </c>
      <c r="L310">
        <v>0</v>
      </c>
      <c r="M310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310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cm="1">
        <f t="array" ref="O310">IFERROR(AVERAGE(IF((ContinuousStatsTable[GroupByKey]=ContinuousStatsTable[[#This Row],[GroupByKey]]),(ContinuousStatsTable[GroupByKey]=ContinuousStatsTable[[#This Row],[GroupByKey]])*ContinuousStatsTable[Average])),0)</f>
        <v>2</v>
      </c>
      <c r="P310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cm="1">
        <f t="array" ref="S310">MIN(IF((ContinuousStatsTable[GroupByKey]=ContinuousStatsTable[[#This Row],[GroupByKey]]),(ContinuousStatsTable[GroupByKey]=ContinuousStatsTable[[#This Row],[GroupByKey]])*ContinuousStatsTable[Average]))</f>
        <v>2</v>
      </c>
      <c r="T310" cm="1">
        <f t="array" ref="T310">MAX(IF((ContinuousStatsTable[GroupByKey]=ContinuousStatsTable[[#This Row],[GroupByKey]]),(ContinuousStatsTable[GroupByKey]=ContinuousStatsTable[[#This Row],[GroupByKey]])*ContinuousStatsTable[Average]))</f>
        <v>2</v>
      </c>
      <c r="U310">
        <f>IF((ContinuousStatsTable[[#This Row],[RepsRequested]]&gt;1),ContinuousStatsTable[[#This Row],[HalfWidth]],ContinuousStatsTable[[#This Row],[BatchMeansHalfWidth]])</f>
        <v>0</v>
      </c>
    </row>
    <row r="311" spans="1:21" x14ac:dyDescent="0.25">
      <c r="A311" t="s">
        <v>68</v>
      </c>
      <c r="B311" t="s">
        <v>131</v>
      </c>
      <c r="C311">
        <v>26</v>
      </c>
      <c r="D311" t="s">
        <v>103</v>
      </c>
      <c r="E311" t="s">
        <v>98</v>
      </c>
      <c r="F311" t="s">
        <v>99</v>
      </c>
      <c r="G311">
        <v>0.46670421348638402</v>
      </c>
      <c r="H311">
        <v>1.55768549532812E-2</v>
      </c>
      <c r="I311">
        <v>0</v>
      </c>
      <c r="J311">
        <v>1</v>
      </c>
      <c r="K311">
        <v>1</v>
      </c>
      <c r="L311">
        <v>0</v>
      </c>
      <c r="M311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311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cm="1">
        <f t="array" ref="O311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11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11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11" cm="1">
        <f t="array" ref="S311">MIN(IF((ContinuousStatsTable[GroupByKey]=ContinuousStatsTable[[#This Row],[GroupByKey]]),(ContinuousStatsTable[GroupByKey]=ContinuousStatsTable[[#This Row],[GroupByKey]])*ContinuousStatsTable[Average]))</f>
        <v>0.452397944183905</v>
      </c>
      <c r="T311" cm="1">
        <f t="array" ref="T311">MAX(IF((ContinuousStatsTable[GroupByKey]=ContinuousStatsTable[[#This Row],[GroupByKey]]),(ContinuousStatsTable[GroupByKey]=ContinuousStatsTable[[#This Row],[GroupByKey]])*ContinuousStatsTable[Average]))</f>
        <v>0.49691123629694001</v>
      </c>
      <c r="U311">
        <f>IF((ContinuousStatsTable[[#This Row],[RepsRequested]]&gt;1),ContinuousStatsTable[[#This Row],[HalfWidth]],ContinuousStatsTable[[#This Row],[BatchMeansHalfWidth]])</f>
        <v>2.7457743728226142E-3</v>
      </c>
    </row>
    <row r="312" spans="1:21" x14ac:dyDescent="0.25">
      <c r="A312" t="s">
        <v>68</v>
      </c>
      <c r="B312" t="s">
        <v>131</v>
      </c>
      <c r="C312">
        <v>26</v>
      </c>
      <c r="D312" t="s">
        <v>103</v>
      </c>
      <c r="E312" t="s">
        <v>100</v>
      </c>
      <c r="F312" t="s">
        <v>99</v>
      </c>
      <c r="G312">
        <v>0.46670421348638402</v>
      </c>
      <c r="H312">
        <v>1.55768549532812E-2</v>
      </c>
      <c r="I312">
        <v>0</v>
      </c>
      <c r="J312">
        <v>1</v>
      </c>
      <c r="K312">
        <v>1</v>
      </c>
      <c r="L312">
        <v>0</v>
      </c>
      <c r="M312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312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cm="1">
        <f t="array" ref="O312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12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12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12" cm="1">
        <f t="array" ref="S312">MIN(IF((ContinuousStatsTable[GroupByKey]=ContinuousStatsTable[[#This Row],[GroupByKey]]),(ContinuousStatsTable[GroupByKey]=ContinuousStatsTable[[#This Row],[GroupByKey]])*ContinuousStatsTable[Average]))</f>
        <v>0.452397944183905</v>
      </c>
      <c r="T312" cm="1">
        <f t="array" ref="T312">MAX(IF((ContinuousStatsTable[GroupByKey]=ContinuousStatsTable[[#This Row],[GroupByKey]]),(ContinuousStatsTable[GroupByKey]=ContinuousStatsTable[[#This Row],[GroupByKey]])*ContinuousStatsTable[Average]))</f>
        <v>0.49691123629694001</v>
      </c>
      <c r="U312">
        <f>IF((ContinuousStatsTable[[#This Row],[RepsRequested]]&gt;1),ContinuousStatsTable[[#This Row],[HalfWidth]],ContinuousStatsTable[[#This Row],[BatchMeansHalfWidth]])</f>
        <v>2.7457743728226142E-3</v>
      </c>
    </row>
    <row r="313" spans="1:21" x14ac:dyDescent="0.25">
      <c r="A313" t="s">
        <v>68</v>
      </c>
      <c r="B313" t="s">
        <v>131</v>
      </c>
      <c r="C313">
        <v>26</v>
      </c>
      <c r="D313" t="s">
        <v>103</v>
      </c>
      <c r="E313" t="s">
        <v>101</v>
      </c>
      <c r="F313" t="s">
        <v>99</v>
      </c>
      <c r="G313">
        <v>1</v>
      </c>
      <c r="H313">
        <v>2E+20</v>
      </c>
      <c r="I313">
        <v>1</v>
      </c>
      <c r="J313">
        <v>1</v>
      </c>
      <c r="K313">
        <v>1</v>
      </c>
      <c r="L313">
        <v>0</v>
      </c>
      <c r="M313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313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cm="1">
        <f t="array" ref="O313">IFERROR(AVERAGE(IF((ContinuousStatsTable[GroupByKey]=ContinuousStatsTable[[#This Row],[GroupByKey]]),(ContinuousStatsTable[GroupByKey]=ContinuousStatsTable[[#This Row],[GroupByKey]])*ContinuousStatsTable[Average])),0)</f>
        <v>1</v>
      </c>
      <c r="P313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cm="1">
        <f t="array" ref="S313">MIN(IF((ContinuousStatsTable[GroupByKey]=ContinuousStatsTable[[#This Row],[GroupByKey]]),(ContinuousStatsTable[GroupByKey]=ContinuousStatsTable[[#This Row],[GroupByKey]])*ContinuousStatsTable[Average]))</f>
        <v>1</v>
      </c>
      <c r="T313" cm="1">
        <f t="array" ref="T313">MAX(IF((ContinuousStatsTable[GroupByKey]=ContinuousStatsTable[[#This Row],[GroupByKey]]),(ContinuousStatsTable[GroupByKey]=ContinuousStatsTable[[#This Row],[GroupByKey]])*ContinuousStatsTable[Average]))</f>
        <v>1</v>
      </c>
      <c r="U313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68</v>
      </c>
      <c r="B314" t="s">
        <v>131</v>
      </c>
      <c r="C314">
        <v>27</v>
      </c>
      <c r="D314" t="s">
        <v>70</v>
      </c>
      <c r="E314" t="s">
        <v>95</v>
      </c>
      <c r="F314" t="s">
        <v>72</v>
      </c>
      <c r="G314">
        <v>6.9386840633215803</v>
      </c>
      <c r="H314">
        <v>2.1053974675537499</v>
      </c>
      <c r="I314">
        <v>0</v>
      </c>
      <c r="J314">
        <v>33</v>
      </c>
      <c r="K314">
        <v>10</v>
      </c>
      <c r="L314">
        <v>0</v>
      </c>
      <c r="M314" t="str">
        <f>ContinuousStatsTable[[#This Row],[ProjectName]]&amp;ContinuousStatsTable[[#This Row],[Name]]&amp;ContinuousStatsTable[[#This Row],[Type]]&amp;ContinuousStatsTable[[#This Row],[Source]]</f>
        <v>PacientesEntity 1WIPEntity</v>
      </c>
      <c r="N314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cm="1">
        <f t="array" ref="O314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314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314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314" cm="1">
        <f t="array" ref="S314">MIN(IF((ContinuousStatsTable[GroupByKey]=ContinuousStatsTable[[#This Row],[GroupByKey]]),(ContinuousStatsTable[GroupByKey]=ContinuousStatsTable[[#This Row],[GroupByKey]])*ContinuousStatsTable[Average]))</f>
        <v>3.9757448048151298</v>
      </c>
      <c r="T314" cm="1">
        <f t="array" ref="T314">MAX(IF((ContinuousStatsTable[GroupByKey]=ContinuousStatsTable[[#This Row],[GroupByKey]]),(ContinuousStatsTable[GroupByKey]=ContinuousStatsTable[[#This Row],[GroupByKey]])*ContinuousStatsTable[Average]))</f>
        <v>6.9386840633215803</v>
      </c>
      <c r="U314">
        <f>IF((ContinuousStatsTable[[#This Row],[RepsRequested]]&gt;1),ContinuousStatsTable[[#This Row],[HalfWidth]],ContinuousStatsTable[[#This Row],[BatchMeansHalfWidth]])</f>
        <v>0.22030607219171747</v>
      </c>
    </row>
    <row r="315" spans="1:21" x14ac:dyDescent="0.25">
      <c r="A315" t="s">
        <v>68</v>
      </c>
      <c r="B315" t="s">
        <v>131</v>
      </c>
      <c r="C315">
        <v>27</v>
      </c>
      <c r="D315" t="s">
        <v>83</v>
      </c>
      <c r="E315" t="s">
        <v>96</v>
      </c>
      <c r="F315" t="s">
        <v>85</v>
      </c>
      <c r="G315">
        <v>4.5543512780988502</v>
      </c>
      <c r="H315">
        <v>2.0044095716635701</v>
      </c>
      <c r="I315">
        <v>0</v>
      </c>
      <c r="J315">
        <v>30</v>
      </c>
      <c r="K315">
        <v>7</v>
      </c>
      <c r="L315">
        <v>0</v>
      </c>
      <c r="M315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1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cm="1">
        <f t="array" ref="O315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1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1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15" cm="1">
        <f t="array" ref="S315">MIN(IF((ContinuousStatsTable[GroupByKey]=ContinuousStatsTable[[#This Row],[GroupByKey]]),(ContinuousStatsTable[GroupByKey]=ContinuousStatsTable[[#This Row],[GroupByKey]])*ContinuousStatsTable[Average]))</f>
        <v>1.7200278735122601</v>
      </c>
      <c r="T315" cm="1">
        <f t="array" ref="T315">MAX(IF((ContinuousStatsTable[GroupByKey]=ContinuousStatsTable[[#This Row],[GroupByKey]]),(ContinuousStatsTable[GroupByKey]=ContinuousStatsTable[[#This Row],[GroupByKey]])*ContinuousStatsTable[Average]))</f>
        <v>4.5543512780988502</v>
      </c>
      <c r="U315">
        <f>IF((ContinuousStatsTable[[#This Row],[RepsRequested]]&gt;1),ContinuousStatsTable[[#This Row],[HalfWidth]],ContinuousStatsTable[[#This Row],[BatchMeansHalfWidth]])</f>
        <v>0.21041231434540877</v>
      </c>
    </row>
    <row r="316" spans="1:21" x14ac:dyDescent="0.25">
      <c r="A316" t="s">
        <v>68</v>
      </c>
      <c r="B316" t="s">
        <v>131</v>
      </c>
      <c r="C316">
        <v>27</v>
      </c>
      <c r="D316" t="s">
        <v>87</v>
      </c>
      <c r="E316" t="s">
        <v>96</v>
      </c>
      <c r="F316" t="s">
        <v>85</v>
      </c>
      <c r="G316">
        <v>0.227480699376367</v>
      </c>
      <c r="H316">
        <v>4.4626317679695097E-2</v>
      </c>
      <c r="I316">
        <v>0</v>
      </c>
      <c r="J316">
        <v>5</v>
      </c>
      <c r="K316">
        <v>0</v>
      </c>
      <c r="L316">
        <v>0</v>
      </c>
      <c r="M316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316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cm="1">
        <f t="array" ref="O316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316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316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316" cm="1">
        <f t="array" ref="S316">MIN(IF((ContinuousStatsTable[GroupByKey]=ContinuousStatsTable[[#This Row],[GroupByKey]]),(ContinuousStatsTable[GroupByKey]=ContinuousStatsTable[[#This Row],[GroupByKey]])*ContinuousStatsTable[Average]))</f>
        <v>0.172815232766103</v>
      </c>
      <c r="T316" cm="1">
        <f t="array" ref="T316">MAX(IF((ContinuousStatsTable[GroupByKey]=ContinuousStatsTable[[#This Row],[GroupByKey]]),(ContinuousStatsTable[GroupByKey]=ContinuousStatsTable[[#This Row],[GroupByKey]])*ContinuousStatsTable[Average]))</f>
        <v>0.24783514900621301</v>
      </c>
      <c r="U316">
        <f>IF((ContinuousStatsTable[[#This Row],[RepsRequested]]&gt;1),ContinuousStatsTable[[#This Row],[HalfWidth]],ContinuousStatsTable[[#This Row],[BatchMeansHalfWidth]])</f>
        <v>4.7768909384897544E-3</v>
      </c>
    </row>
    <row r="317" spans="1:21" x14ac:dyDescent="0.25">
      <c r="A317" t="s">
        <v>68</v>
      </c>
      <c r="B317" t="s">
        <v>131</v>
      </c>
      <c r="C317">
        <v>27</v>
      </c>
      <c r="D317" t="s">
        <v>97</v>
      </c>
      <c r="E317" t="s">
        <v>98</v>
      </c>
      <c r="F317" t="s">
        <v>99</v>
      </c>
      <c r="G317">
        <v>0.56090856573397396</v>
      </c>
      <c r="H317">
        <v>3E+20</v>
      </c>
      <c r="I317">
        <v>0</v>
      </c>
      <c r="J317">
        <v>0.66666666666666696</v>
      </c>
      <c r="K317">
        <v>0.66666666666666696</v>
      </c>
      <c r="L317">
        <v>0</v>
      </c>
      <c r="M317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317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cm="1">
        <f t="array" ref="O317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317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317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317" cm="1">
        <f t="array" ref="S317">MIN(IF((ContinuousStatsTable[GroupByKey]=ContinuousStatsTable[[#This Row],[GroupByKey]]),(ContinuousStatsTable[GroupByKey]=ContinuousStatsTable[[#This Row],[GroupByKey]])*ContinuousStatsTable[Average]))</f>
        <v>0.52470641844357602</v>
      </c>
      <c r="T317" cm="1">
        <f t="array" ref="T317">MAX(IF((ContinuousStatsTable[GroupByKey]=ContinuousStatsTable[[#This Row],[GroupByKey]]),(ContinuousStatsTable[GroupByKey]=ContinuousStatsTable[[#This Row],[GroupByKey]])*ContinuousStatsTable[Average]))</f>
        <v>0.57005812966092095</v>
      </c>
      <c r="U317">
        <f>IF((ContinuousStatsTable[[#This Row],[RepsRequested]]&gt;1),ContinuousStatsTable[[#This Row],[HalfWidth]],ContinuousStatsTable[[#This Row],[BatchMeansHalfWidth]])</f>
        <v>2.9048243757695521E-3</v>
      </c>
    </row>
    <row r="318" spans="1:21" x14ac:dyDescent="0.25">
      <c r="A318" t="s">
        <v>68</v>
      </c>
      <c r="B318" t="s">
        <v>131</v>
      </c>
      <c r="C318">
        <v>27</v>
      </c>
      <c r="D318" t="s">
        <v>97</v>
      </c>
      <c r="E318" t="s">
        <v>100</v>
      </c>
      <c r="F318" t="s">
        <v>99</v>
      </c>
      <c r="G318">
        <v>1.68272569720192</v>
      </c>
      <c r="H318">
        <v>3E+20</v>
      </c>
      <c r="I318">
        <v>0</v>
      </c>
      <c r="J318">
        <v>2</v>
      </c>
      <c r="K318">
        <v>2</v>
      </c>
      <c r="L318">
        <v>0</v>
      </c>
      <c r="M318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318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cm="1">
        <f t="array" ref="O318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18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18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18" cm="1">
        <f t="array" ref="S318">MIN(IF((ContinuousStatsTable[GroupByKey]=ContinuousStatsTable[[#This Row],[GroupByKey]]),(ContinuousStatsTable[GroupByKey]=ContinuousStatsTable[[#This Row],[GroupByKey]])*ContinuousStatsTable[Average]))</f>
        <v>1.5741192553307399</v>
      </c>
      <c r="T318" cm="1">
        <f t="array" ref="T318">MAX(IF((ContinuousStatsTable[GroupByKey]=ContinuousStatsTable[[#This Row],[GroupByKey]]),(ContinuousStatsTable[GroupByKey]=ContinuousStatsTable[[#This Row],[GroupByKey]])*ContinuousStatsTable[Average]))</f>
        <v>1.7101743889827701</v>
      </c>
      <c r="U318">
        <f>IF((ContinuousStatsTable[[#This Row],[RepsRequested]]&gt;1),ContinuousStatsTable[[#This Row],[HalfWidth]],ContinuousStatsTable[[#This Row],[BatchMeansHalfWidth]])</f>
        <v>8.7144731273084922E-3</v>
      </c>
    </row>
    <row r="319" spans="1:21" x14ac:dyDescent="0.25">
      <c r="A319" t="s">
        <v>68</v>
      </c>
      <c r="B319" t="s">
        <v>131</v>
      </c>
      <c r="C319">
        <v>27</v>
      </c>
      <c r="D319" t="s">
        <v>97</v>
      </c>
      <c r="E319" t="s">
        <v>101</v>
      </c>
      <c r="F319" t="s">
        <v>99</v>
      </c>
      <c r="G319">
        <v>3</v>
      </c>
      <c r="H319">
        <v>2E+20</v>
      </c>
      <c r="I319">
        <v>3</v>
      </c>
      <c r="J319">
        <v>3</v>
      </c>
      <c r="K319">
        <v>3</v>
      </c>
      <c r="L319">
        <v>0</v>
      </c>
      <c r="M319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319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cm="1">
        <f t="array" ref="O319">IFERROR(AVERAGE(IF((ContinuousStatsTable[GroupByKey]=ContinuousStatsTable[[#This Row],[GroupByKey]]),(ContinuousStatsTable[GroupByKey]=ContinuousStatsTable[[#This Row],[GroupByKey]])*ContinuousStatsTable[Average])),0)</f>
        <v>3</v>
      </c>
      <c r="P319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cm="1">
        <f t="array" ref="S319">MIN(IF((ContinuousStatsTable[GroupByKey]=ContinuousStatsTable[[#This Row],[GroupByKey]]),(ContinuousStatsTable[GroupByKey]=ContinuousStatsTable[[#This Row],[GroupByKey]])*ContinuousStatsTable[Average]))</f>
        <v>3</v>
      </c>
      <c r="T319" cm="1">
        <f t="array" ref="T319">MAX(IF((ContinuousStatsTable[GroupByKey]=ContinuousStatsTable[[#This Row],[GroupByKey]]),(ContinuousStatsTable[GroupByKey]=ContinuousStatsTable[[#This Row],[GroupByKey]])*ContinuousStatsTable[Average]))</f>
        <v>3</v>
      </c>
      <c r="U319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68</v>
      </c>
      <c r="B320" t="s">
        <v>131</v>
      </c>
      <c r="C320">
        <v>27</v>
      </c>
      <c r="D320" t="s">
        <v>102</v>
      </c>
      <c r="E320" t="s">
        <v>98</v>
      </c>
      <c r="F320" t="s">
        <v>99</v>
      </c>
      <c r="G320">
        <v>0.841362848600961</v>
      </c>
      <c r="H320">
        <v>3E+20</v>
      </c>
      <c r="I320">
        <v>0</v>
      </c>
      <c r="J320">
        <v>1</v>
      </c>
      <c r="K320">
        <v>1</v>
      </c>
      <c r="L320">
        <v>0</v>
      </c>
      <c r="M320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320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cm="1">
        <f t="array" ref="O320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320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320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320" cm="1">
        <f t="array" ref="S320">MIN(IF((ContinuousStatsTable[GroupByKey]=ContinuousStatsTable[[#This Row],[GroupByKey]]),(ContinuousStatsTable[GroupByKey]=ContinuousStatsTable[[#This Row],[GroupByKey]])*ContinuousStatsTable[Average]))</f>
        <v>0.78705962766536897</v>
      </c>
      <c r="T320" cm="1">
        <f t="array" ref="T320">MAX(IF((ContinuousStatsTable[GroupByKey]=ContinuousStatsTable[[#This Row],[GroupByKey]]),(ContinuousStatsTable[GroupByKey]=ContinuousStatsTable[[#This Row],[GroupByKey]])*ContinuousStatsTable[Average]))</f>
        <v>0.85508719449138504</v>
      </c>
      <c r="U320">
        <f>IF((ContinuousStatsTable[[#This Row],[RepsRequested]]&gt;1),ContinuousStatsTable[[#This Row],[HalfWidth]],ContinuousStatsTable[[#This Row],[BatchMeansHalfWidth]])</f>
        <v>4.3572365636542886E-3</v>
      </c>
    </row>
    <row r="321" spans="1:21" x14ac:dyDescent="0.25">
      <c r="A321" t="s">
        <v>68</v>
      </c>
      <c r="B321" t="s">
        <v>131</v>
      </c>
      <c r="C321">
        <v>27</v>
      </c>
      <c r="D321" t="s">
        <v>102</v>
      </c>
      <c r="E321" t="s">
        <v>100</v>
      </c>
      <c r="F321" t="s">
        <v>99</v>
      </c>
      <c r="G321">
        <v>1.68272569720192</v>
      </c>
      <c r="H321">
        <v>3E+20</v>
      </c>
      <c r="I321">
        <v>0</v>
      </c>
      <c r="J321">
        <v>2</v>
      </c>
      <c r="K321">
        <v>2</v>
      </c>
      <c r="L321">
        <v>0</v>
      </c>
      <c r="M321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321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cm="1">
        <f t="array" ref="O321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21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21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21" cm="1">
        <f t="array" ref="S321">MIN(IF((ContinuousStatsTable[GroupByKey]=ContinuousStatsTable[[#This Row],[GroupByKey]]),(ContinuousStatsTable[GroupByKey]=ContinuousStatsTable[[#This Row],[GroupByKey]])*ContinuousStatsTable[Average]))</f>
        <v>1.5741192553307399</v>
      </c>
      <c r="T321" cm="1">
        <f t="array" ref="T321">MAX(IF((ContinuousStatsTable[GroupByKey]=ContinuousStatsTable[[#This Row],[GroupByKey]]),(ContinuousStatsTable[GroupByKey]=ContinuousStatsTable[[#This Row],[GroupByKey]])*ContinuousStatsTable[Average]))</f>
        <v>1.7101743889827701</v>
      </c>
      <c r="U321">
        <f>IF((ContinuousStatsTable[[#This Row],[RepsRequested]]&gt;1),ContinuousStatsTable[[#This Row],[HalfWidth]],ContinuousStatsTable[[#This Row],[BatchMeansHalfWidth]])</f>
        <v>8.7144731273084922E-3</v>
      </c>
    </row>
    <row r="322" spans="1:21" x14ac:dyDescent="0.25">
      <c r="A322" t="s">
        <v>68</v>
      </c>
      <c r="B322" t="s">
        <v>131</v>
      </c>
      <c r="C322">
        <v>27</v>
      </c>
      <c r="D322" t="s">
        <v>102</v>
      </c>
      <c r="E322" t="s">
        <v>101</v>
      </c>
      <c r="F322" t="s">
        <v>99</v>
      </c>
      <c r="G322">
        <v>2</v>
      </c>
      <c r="H322">
        <v>2E+20</v>
      </c>
      <c r="I322">
        <v>2</v>
      </c>
      <c r="J322">
        <v>2</v>
      </c>
      <c r="K322">
        <v>2</v>
      </c>
      <c r="L322">
        <v>0</v>
      </c>
      <c r="M322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322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cm="1">
        <f t="array" ref="O322">IFERROR(AVERAGE(IF((ContinuousStatsTable[GroupByKey]=ContinuousStatsTable[[#This Row],[GroupByKey]]),(ContinuousStatsTable[GroupByKey]=ContinuousStatsTable[[#This Row],[GroupByKey]])*ContinuousStatsTable[Average])),0)</f>
        <v>2</v>
      </c>
      <c r="P322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cm="1">
        <f t="array" ref="S322">MIN(IF((ContinuousStatsTable[GroupByKey]=ContinuousStatsTable[[#This Row],[GroupByKey]]),(ContinuousStatsTable[GroupByKey]=ContinuousStatsTable[[#This Row],[GroupByKey]])*ContinuousStatsTable[Average]))</f>
        <v>2</v>
      </c>
      <c r="T322" cm="1">
        <f t="array" ref="T322">MAX(IF((ContinuousStatsTable[GroupByKey]=ContinuousStatsTable[[#This Row],[GroupByKey]]),(ContinuousStatsTable[GroupByKey]=ContinuousStatsTable[[#This Row],[GroupByKey]])*ContinuousStatsTable[Average]))</f>
        <v>2</v>
      </c>
      <c r="U322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68</v>
      </c>
      <c r="B323" t="s">
        <v>131</v>
      </c>
      <c r="C323">
        <v>27</v>
      </c>
      <c r="D323" t="s">
        <v>103</v>
      </c>
      <c r="E323" t="s">
        <v>98</v>
      </c>
      <c r="F323" t="s">
        <v>99</v>
      </c>
      <c r="G323">
        <v>0.47412638864444301</v>
      </c>
      <c r="H323">
        <v>2.0630455197794901E-2</v>
      </c>
      <c r="I323">
        <v>0</v>
      </c>
      <c r="J323">
        <v>1</v>
      </c>
      <c r="K323">
        <v>1</v>
      </c>
      <c r="L323">
        <v>0</v>
      </c>
      <c r="M323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323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cm="1">
        <f t="array" ref="O323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23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23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23" cm="1">
        <f t="array" ref="S323">MIN(IF((ContinuousStatsTable[GroupByKey]=ContinuousStatsTable[[#This Row],[GroupByKey]]),(ContinuousStatsTable[GroupByKey]=ContinuousStatsTable[[#This Row],[GroupByKey]])*ContinuousStatsTable[Average]))</f>
        <v>0.452397944183905</v>
      </c>
      <c r="T323" cm="1">
        <f t="array" ref="T323">MAX(IF((ContinuousStatsTable[GroupByKey]=ContinuousStatsTable[[#This Row],[GroupByKey]]),(ContinuousStatsTable[GroupByKey]=ContinuousStatsTable[[#This Row],[GroupByKey]])*ContinuousStatsTable[Average]))</f>
        <v>0.49691123629694001</v>
      </c>
      <c r="U323">
        <f>IF((ContinuousStatsTable[[#This Row],[RepsRequested]]&gt;1),ContinuousStatsTable[[#This Row],[HalfWidth]],ContinuousStatsTable[[#This Row],[BatchMeansHalfWidth]])</f>
        <v>2.7457743728226142E-3</v>
      </c>
    </row>
    <row r="324" spans="1:21" x14ac:dyDescent="0.25">
      <c r="A324" t="s">
        <v>68</v>
      </c>
      <c r="B324" t="s">
        <v>131</v>
      </c>
      <c r="C324">
        <v>27</v>
      </c>
      <c r="D324" t="s">
        <v>103</v>
      </c>
      <c r="E324" t="s">
        <v>100</v>
      </c>
      <c r="F324" t="s">
        <v>99</v>
      </c>
      <c r="G324">
        <v>0.47412638864444301</v>
      </c>
      <c r="H324">
        <v>2.0630455197794901E-2</v>
      </c>
      <c r="I324">
        <v>0</v>
      </c>
      <c r="J324">
        <v>1</v>
      </c>
      <c r="K324">
        <v>1</v>
      </c>
      <c r="L324">
        <v>0</v>
      </c>
      <c r="M324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324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cm="1">
        <f t="array" ref="O324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24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24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24" cm="1">
        <f t="array" ref="S324">MIN(IF((ContinuousStatsTable[GroupByKey]=ContinuousStatsTable[[#This Row],[GroupByKey]]),(ContinuousStatsTable[GroupByKey]=ContinuousStatsTable[[#This Row],[GroupByKey]])*ContinuousStatsTable[Average]))</f>
        <v>0.452397944183905</v>
      </c>
      <c r="T324" cm="1">
        <f t="array" ref="T324">MAX(IF((ContinuousStatsTable[GroupByKey]=ContinuousStatsTable[[#This Row],[GroupByKey]]),(ContinuousStatsTable[GroupByKey]=ContinuousStatsTable[[#This Row],[GroupByKey]])*ContinuousStatsTable[Average]))</f>
        <v>0.49691123629694001</v>
      </c>
      <c r="U324">
        <f>IF((ContinuousStatsTable[[#This Row],[RepsRequested]]&gt;1),ContinuousStatsTable[[#This Row],[HalfWidth]],ContinuousStatsTable[[#This Row],[BatchMeansHalfWidth]])</f>
        <v>2.7457743728226142E-3</v>
      </c>
    </row>
    <row r="325" spans="1:21" x14ac:dyDescent="0.25">
      <c r="A325" t="s">
        <v>68</v>
      </c>
      <c r="B325" t="s">
        <v>131</v>
      </c>
      <c r="C325">
        <v>27</v>
      </c>
      <c r="D325" t="s">
        <v>103</v>
      </c>
      <c r="E325" t="s">
        <v>101</v>
      </c>
      <c r="F325" t="s">
        <v>99</v>
      </c>
      <c r="G325">
        <v>1</v>
      </c>
      <c r="H325">
        <v>2E+20</v>
      </c>
      <c r="I325">
        <v>1</v>
      </c>
      <c r="J325">
        <v>1</v>
      </c>
      <c r="K325">
        <v>1</v>
      </c>
      <c r="L325">
        <v>0</v>
      </c>
      <c r="M325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32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cm="1">
        <f t="array" ref="O325">IFERROR(AVERAGE(IF((ContinuousStatsTable[GroupByKey]=ContinuousStatsTable[[#This Row],[GroupByKey]]),(ContinuousStatsTable[GroupByKey]=ContinuousStatsTable[[#This Row],[GroupByKey]])*ContinuousStatsTable[Average])),0)</f>
        <v>1</v>
      </c>
      <c r="P32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</v>
      </c>
      <c r="Q32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5" cm="1">
        <f t="array" ref="S325">MIN(IF((ContinuousStatsTable[GroupByKey]=ContinuousStatsTable[[#This Row],[GroupByKey]]),(ContinuousStatsTable[GroupByKey]=ContinuousStatsTable[[#This Row],[GroupByKey]])*ContinuousStatsTable[Average]))</f>
        <v>1</v>
      </c>
      <c r="T325" cm="1">
        <f t="array" ref="T325">MAX(IF((ContinuousStatsTable[GroupByKey]=ContinuousStatsTable[[#This Row],[GroupByKey]]),(ContinuousStatsTable[GroupByKey]=ContinuousStatsTable[[#This Row],[GroupByKey]])*ContinuousStatsTable[Average]))</f>
        <v>1</v>
      </c>
      <c r="U325">
        <f>IF((ContinuousStatsTable[[#This Row],[RepsRequested]]&gt;1),ContinuousStatsTable[[#This Row],[HalfWidth]],ContinuousStatsTable[[#This Row],[BatchMeansHalfWidth]])</f>
        <v>0</v>
      </c>
    </row>
    <row r="326" spans="1:21" x14ac:dyDescent="0.25">
      <c r="A326" t="s">
        <v>68</v>
      </c>
      <c r="B326" t="s">
        <v>131</v>
      </c>
      <c r="C326">
        <v>28</v>
      </c>
      <c r="D326" t="s">
        <v>70</v>
      </c>
      <c r="E326" t="s">
        <v>95</v>
      </c>
      <c r="F326" t="s">
        <v>72</v>
      </c>
      <c r="G326">
        <v>5.2250737526786102</v>
      </c>
      <c r="H326">
        <v>1.0698400029805799</v>
      </c>
      <c r="I326">
        <v>0</v>
      </c>
      <c r="J326">
        <v>24</v>
      </c>
      <c r="K326">
        <v>1</v>
      </c>
      <c r="L326">
        <v>0</v>
      </c>
      <c r="M326" t="str">
        <f>ContinuousStatsTable[[#This Row],[ProjectName]]&amp;ContinuousStatsTable[[#This Row],[Name]]&amp;ContinuousStatsTable[[#This Row],[Type]]&amp;ContinuousStatsTable[[#This Row],[Source]]</f>
        <v>PacientesEntity 1WIPEntity</v>
      </c>
      <c r="N326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cm="1">
        <f t="array" ref="O326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326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326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326" cm="1">
        <f t="array" ref="S326">MIN(IF((ContinuousStatsTable[GroupByKey]=ContinuousStatsTable[[#This Row],[GroupByKey]]),(ContinuousStatsTable[GroupByKey]=ContinuousStatsTable[[#This Row],[GroupByKey]])*ContinuousStatsTable[Average]))</f>
        <v>3.9757448048151298</v>
      </c>
      <c r="T326" cm="1">
        <f t="array" ref="T326">MAX(IF((ContinuousStatsTable[GroupByKey]=ContinuousStatsTable[[#This Row],[GroupByKey]]),(ContinuousStatsTable[GroupByKey]=ContinuousStatsTable[[#This Row],[GroupByKey]])*ContinuousStatsTable[Average]))</f>
        <v>6.9386840633215803</v>
      </c>
      <c r="U326">
        <f>IF((ContinuousStatsTable[[#This Row],[RepsRequested]]&gt;1),ContinuousStatsTable[[#This Row],[HalfWidth]],ContinuousStatsTable[[#This Row],[BatchMeansHalfWidth]])</f>
        <v>0.22030607219171747</v>
      </c>
    </row>
    <row r="327" spans="1:21" x14ac:dyDescent="0.25">
      <c r="A327" t="s">
        <v>68</v>
      </c>
      <c r="B327" t="s">
        <v>131</v>
      </c>
      <c r="C327">
        <v>28</v>
      </c>
      <c r="D327" t="s">
        <v>83</v>
      </c>
      <c r="E327" t="s">
        <v>96</v>
      </c>
      <c r="F327" t="s">
        <v>85</v>
      </c>
      <c r="G327">
        <v>2.9267580635819801</v>
      </c>
      <c r="H327">
        <v>1.00099295533235</v>
      </c>
      <c r="I327">
        <v>0</v>
      </c>
      <c r="J327">
        <v>21</v>
      </c>
      <c r="K327">
        <v>0</v>
      </c>
      <c r="L327">
        <v>0</v>
      </c>
      <c r="M327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27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cm="1">
        <f t="array" ref="O327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27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27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27" cm="1">
        <f t="array" ref="S327">MIN(IF((ContinuousStatsTable[GroupByKey]=ContinuousStatsTable[[#This Row],[GroupByKey]]),(ContinuousStatsTable[GroupByKey]=ContinuousStatsTable[[#This Row],[GroupByKey]])*ContinuousStatsTable[Average]))</f>
        <v>1.7200278735122601</v>
      </c>
      <c r="T327" cm="1">
        <f t="array" ref="T327">MAX(IF((ContinuousStatsTable[GroupByKey]=ContinuousStatsTable[[#This Row],[GroupByKey]]),(ContinuousStatsTable[GroupByKey]=ContinuousStatsTable[[#This Row],[GroupByKey]])*ContinuousStatsTable[Average]))</f>
        <v>4.5543512780988502</v>
      </c>
      <c r="U327">
        <f>IF((ContinuousStatsTable[[#This Row],[RepsRequested]]&gt;1),ContinuousStatsTable[[#This Row],[HalfWidth]],ContinuousStatsTable[[#This Row],[BatchMeansHalfWidth]])</f>
        <v>0.21041231434540877</v>
      </c>
    </row>
    <row r="328" spans="1:21" x14ac:dyDescent="0.25">
      <c r="A328" t="s">
        <v>68</v>
      </c>
      <c r="B328" t="s">
        <v>131</v>
      </c>
      <c r="C328">
        <v>28</v>
      </c>
      <c r="D328" t="s">
        <v>87</v>
      </c>
      <c r="E328" t="s">
        <v>96</v>
      </c>
      <c r="F328" t="s">
        <v>85</v>
      </c>
      <c r="G328">
        <v>0.21552916012370801</v>
      </c>
      <c r="H328">
        <v>3.3650844264438103E-2</v>
      </c>
      <c r="I328">
        <v>0</v>
      </c>
      <c r="J328">
        <v>6</v>
      </c>
      <c r="K328">
        <v>0</v>
      </c>
      <c r="L328">
        <v>0</v>
      </c>
      <c r="M328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328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cm="1">
        <f t="array" ref="O328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328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328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328" cm="1">
        <f t="array" ref="S328">MIN(IF((ContinuousStatsTable[GroupByKey]=ContinuousStatsTable[[#This Row],[GroupByKey]]),(ContinuousStatsTable[GroupByKey]=ContinuousStatsTable[[#This Row],[GroupByKey]])*ContinuousStatsTable[Average]))</f>
        <v>0.172815232766103</v>
      </c>
      <c r="T328" cm="1">
        <f t="array" ref="T328">MAX(IF((ContinuousStatsTable[GroupByKey]=ContinuousStatsTable[[#This Row],[GroupByKey]]),(ContinuousStatsTable[GroupByKey]=ContinuousStatsTable[[#This Row],[GroupByKey]])*ContinuousStatsTable[Average]))</f>
        <v>0.24783514900621301</v>
      </c>
      <c r="U328">
        <f>IF((ContinuousStatsTable[[#This Row],[RepsRequested]]&gt;1),ContinuousStatsTable[[#This Row],[HalfWidth]],ContinuousStatsTable[[#This Row],[BatchMeansHalfWidth]])</f>
        <v>4.7768909384897544E-3</v>
      </c>
    </row>
    <row r="329" spans="1:21" x14ac:dyDescent="0.25">
      <c r="A329" t="s">
        <v>68</v>
      </c>
      <c r="B329" t="s">
        <v>131</v>
      </c>
      <c r="C329">
        <v>28</v>
      </c>
      <c r="D329" t="s">
        <v>97</v>
      </c>
      <c r="E329" t="s">
        <v>98</v>
      </c>
      <c r="F329" t="s">
        <v>99</v>
      </c>
      <c r="G329">
        <v>0.54166771731551699</v>
      </c>
      <c r="H329">
        <v>2.1544117312407199E-2</v>
      </c>
      <c r="I329">
        <v>0</v>
      </c>
      <c r="J329">
        <v>0.66666666666666696</v>
      </c>
      <c r="K329">
        <v>0.33333333333333298</v>
      </c>
      <c r="L329">
        <v>0</v>
      </c>
      <c r="M329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329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cm="1">
        <f t="array" ref="O329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329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329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329" cm="1">
        <f t="array" ref="S329">MIN(IF((ContinuousStatsTable[GroupByKey]=ContinuousStatsTable[[#This Row],[GroupByKey]]),(ContinuousStatsTable[GroupByKey]=ContinuousStatsTable[[#This Row],[GroupByKey]])*ContinuousStatsTable[Average]))</f>
        <v>0.52470641844357602</v>
      </c>
      <c r="T329" cm="1">
        <f t="array" ref="T329">MAX(IF((ContinuousStatsTable[GroupByKey]=ContinuousStatsTable[[#This Row],[GroupByKey]]),(ContinuousStatsTable[GroupByKey]=ContinuousStatsTable[[#This Row],[GroupByKey]])*ContinuousStatsTable[Average]))</f>
        <v>0.57005812966092095</v>
      </c>
      <c r="U329">
        <f>IF((ContinuousStatsTable[[#This Row],[RepsRequested]]&gt;1),ContinuousStatsTable[[#This Row],[HalfWidth]],ContinuousStatsTable[[#This Row],[BatchMeansHalfWidth]])</f>
        <v>2.9048243757695521E-3</v>
      </c>
    </row>
    <row r="330" spans="1:21" x14ac:dyDescent="0.25">
      <c r="A330" t="s">
        <v>68</v>
      </c>
      <c r="B330" t="s">
        <v>131</v>
      </c>
      <c r="C330">
        <v>28</v>
      </c>
      <c r="D330" t="s">
        <v>97</v>
      </c>
      <c r="E330" t="s">
        <v>100</v>
      </c>
      <c r="F330" t="s">
        <v>99</v>
      </c>
      <c r="G330">
        <v>1.62500315194655</v>
      </c>
      <c r="H330">
        <v>6.4632351937221597E-2</v>
      </c>
      <c r="I330">
        <v>0</v>
      </c>
      <c r="J330">
        <v>2</v>
      </c>
      <c r="K330">
        <v>1</v>
      </c>
      <c r="L330">
        <v>0</v>
      </c>
      <c r="M330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330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cm="1">
        <f t="array" ref="O330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30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30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30" cm="1">
        <f t="array" ref="S330">MIN(IF((ContinuousStatsTable[GroupByKey]=ContinuousStatsTable[[#This Row],[GroupByKey]]),(ContinuousStatsTable[GroupByKey]=ContinuousStatsTable[[#This Row],[GroupByKey]])*ContinuousStatsTable[Average]))</f>
        <v>1.5741192553307399</v>
      </c>
      <c r="T330" cm="1">
        <f t="array" ref="T330">MAX(IF((ContinuousStatsTable[GroupByKey]=ContinuousStatsTable[[#This Row],[GroupByKey]]),(ContinuousStatsTable[GroupByKey]=ContinuousStatsTable[[#This Row],[GroupByKey]])*ContinuousStatsTable[Average]))</f>
        <v>1.7101743889827701</v>
      </c>
      <c r="U330">
        <f>IF((ContinuousStatsTable[[#This Row],[RepsRequested]]&gt;1),ContinuousStatsTable[[#This Row],[HalfWidth]],ContinuousStatsTable[[#This Row],[BatchMeansHalfWidth]])</f>
        <v>8.7144731273084922E-3</v>
      </c>
    </row>
    <row r="331" spans="1:21" x14ac:dyDescent="0.25">
      <c r="A331" t="s">
        <v>68</v>
      </c>
      <c r="B331" t="s">
        <v>131</v>
      </c>
      <c r="C331">
        <v>28</v>
      </c>
      <c r="D331" t="s">
        <v>97</v>
      </c>
      <c r="E331" t="s">
        <v>101</v>
      </c>
      <c r="F331" t="s">
        <v>99</v>
      </c>
      <c r="G331">
        <v>3</v>
      </c>
      <c r="H331">
        <v>2E+20</v>
      </c>
      <c r="I331">
        <v>3</v>
      </c>
      <c r="J331">
        <v>3</v>
      </c>
      <c r="K331">
        <v>3</v>
      </c>
      <c r="L331">
        <v>0</v>
      </c>
      <c r="M331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331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cm="1">
        <f t="array" ref="O331">IFERROR(AVERAGE(IF((ContinuousStatsTable[GroupByKey]=ContinuousStatsTable[[#This Row],[GroupByKey]]),(ContinuousStatsTable[GroupByKey]=ContinuousStatsTable[[#This Row],[GroupByKey]])*ContinuousStatsTable[Average])),0)</f>
        <v>3</v>
      </c>
      <c r="P331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cm="1">
        <f t="array" ref="S331">MIN(IF((ContinuousStatsTable[GroupByKey]=ContinuousStatsTable[[#This Row],[GroupByKey]]),(ContinuousStatsTable[GroupByKey]=ContinuousStatsTable[[#This Row],[GroupByKey]])*ContinuousStatsTable[Average]))</f>
        <v>3</v>
      </c>
      <c r="T331" cm="1">
        <f t="array" ref="T331">MAX(IF((ContinuousStatsTable[GroupByKey]=ContinuousStatsTable[[#This Row],[GroupByKey]]),(ContinuousStatsTable[GroupByKey]=ContinuousStatsTable[[#This Row],[GroupByKey]])*ContinuousStatsTable[Average]))</f>
        <v>3</v>
      </c>
      <c r="U331">
        <f>IF((ContinuousStatsTable[[#This Row],[RepsRequested]]&gt;1),ContinuousStatsTable[[#This Row],[HalfWidth]],ContinuousStatsTable[[#This Row],[BatchMeansHalfWidth]])</f>
        <v>0</v>
      </c>
    </row>
    <row r="332" spans="1:21" x14ac:dyDescent="0.25">
      <c r="A332" t="s">
        <v>68</v>
      </c>
      <c r="B332" t="s">
        <v>131</v>
      </c>
      <c r="C332">
        <v>28</v>
      </c>
      <c r="D332" t="s">
        <v>102</v>
      </c>
      <c r="E332" t="s">
        <v>98</v>
      </c>
      <c r="F332" t="s">
        <v>99</v>
      </c>
      <c r="G332">
        <v>0.81250157597327599</v>
      </c>
      <c r="H332">
        <v>3.2316175968610798E-2</v>
      </c>
      <c r="I332">
        <v>0</v>
      </c>
      <c r="J332">
        <v>1</v>
      </c>
      <c r="K332">
        <v>0.5</v>
      </c>
      <c r="L332">
        <v>0</v>
      </c>
      <c r="M332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332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cm="1">
        <f t="array" ref="O332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332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332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332" cm="1">
        <f t="array" ref="S332">MIN(IF((ContinuousStatsTable[GroupByKey]=ContinuousStatsTable[[#This Row],[GroupByKey]]),(ContinuousStatsTable[GroupByKey]=ContinuousStatsTable[[#This Row],[GroupByKey]])*ContinuousStatsTable[Average]))</f>
        <v>0.78705962766536897</v>
      </c>
      <c r="T332" cm="1">
        <f t="array" ref="T332">MAX(IF((ContinuousStatsTable[GroupByKey]=ContinuousStatsTable[[#This Row],[GroupByKey]]),(ContinuousStatsTable[GroupByKey]=ContinuousStatsTable[[#This Row],[GroupByKey]])*ContinuousStatsTable[Average]))</f>
        <v>0.85508719449138504</v>
      </c>
      <c r="U332">
        <f>IF((ContinuousStatsTable[[#This Row],[RepsRequested]]&gt;1),ContinuousStatsTable[[#This Row],[HalfWidth]],ContinuousStatsTable[[#This Row],[BatchMeansHalfWidth]])</f>
        <v>4.3572365636542886E-3</v>
      </c>
    </row>
    <row r="333" spans="1:21" x14ac:dyDescent="0.25">
      <c r="A333" t="s">
        <v>68</v>
      </c>
      <c r="B333" t="s">
        <v>131</v>
      </c>
      <c r="C333">
        <v>28</v>
      </c>
      <c r="D333" t="s">
        <v>102</v>
      </c>
      <c r="E333" t="s">
        <v>100</v>
      </c>
      <c r="F333" t="s">
        <v>99</v>
      </c>
      <c r="G333">
        <v>1.62500315194655</v>
      </c>
      <c r="H333">
        <v>6.4632351937221597E-2</v>
      </c>
      <c r="I333">
        <v>0</v>
      </c>
      <c r="J333">
        <v>2</v>
      </c>
      <c r="K333">
        <v>1</v>
      </c>
      <c r="L333">
        <v>0</v>
      </c>
      <c r="M333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333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cm="1">
        <f t="array" ref="O333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33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33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33" cm="1">
        <f t="array" ref="S333">MIN(IF((ContinuousStatsTable[GroupByKey]=ContinuousStatsTable[[#This Row],[GroupByKey]]),(ContinuousStatsTable[GroupByKey]=ContinuousStatsTable[[#This Row],[GroupByKey]])*ContinuousStatsTable[Average]))</f>
        <v>1.5741192553307399</v>
      </c>
      <c r="T333" cm="1">
        <f t="array" ref="T333">MAX(IF((ContinuousStatsTable[GroupByKey]=ContinuousStatsTable[[#This Row],[GroupByKey]]),(ContinuousStatsTable[GroupByKey]=ContinuousStatsTable[[#This Row],[GroupByKey]])*ContinuousStatsTable[Average]))</f>
        <v>1.7101743889827701</v>
      </c>
      <c r="U333">
        <f>IF((ContinuousStatsTable[[#This Row],[RepsRequested]]&gt;1),ContinuousStatsTable[[#This Row],[HalfWidth]],ContinuousStatsTable[[#This Row],[BatchMeansHalfWidth]])</f>
        <v>8.7144731273084922E-3</v>
      </c>
    </row>
    <row r="334" spans="1:21" x14ac:dyDescent="0.25">
      <c r="A334" t="s">
        <v>68</v>
      </c>
      <c r="B334" t="s">
        <v>131</v>
      </c>
      <c r="C334">
        <v>28</v>
      </c>
      <c r="D334" t="s">
        <v>102</v>
      </c>
      <c r="E334" t="s">
        <v>101</v>
      </c>
      <c r="F334" t="s">
        <v>99</v>
      </c>
      <c r="G334">
        <v>2</v>
      </c>
      <c r="H334">
        <v>2E+20</v>
      </c>
      <c r="I334">
        <v>2</v>
      </c>
      <c r="J334">
        <v>2</v>
      </c>
      <c r="K334">
        <v>2</v>
      </c>
      <c r="L334">
        <v>0</v>
      </c>
      <c r="M334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334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cm="1">
        <f t="array" ref="O334">IFERROR(AVERAGE(IF((ContinuousStatsTable[GroupByKey]=ContinuousStatsTable[[#This Row],[GroupByKey]]),(ContinuousStatsTable[GroupByKey]=ContinuousStatsTable[[#This Row],[GroupByKey]])*ContinuousStatsTable[Average])),0)</f>
        <v>2</v>
      </c>
      <c r="P334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0</v>
      </c>
      <c r="Q334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4" cm="1">
        <f t="array" ref="S334">MIN(IF((ContinuousStatsTable[GroupByKey]=ContinuousStatsTable[[#This Row],[GroupByKey]]),(ContinuousStatsTable[GroupByKey]=ContinuousStatsTable[[#This Row],[GroupByKey]])*ContinuousStatsTable[Average]))</f>
        <v>2</v>
      </c>
      <c r="T334" cm="1">
        <f t="array" ref="T334">MAX(IF((ContinuousStatsTable[GroupByKey]=ContinuousStatsTable[[#This Row],[GroupByKey]]),(ContinuousStatsTable[GroupByKey]=ContinuousStatsTable[[#This Row],[GroupByKey]])*ContinuousStatsTable[Average]))</f>
        <v>2</v>
      </c>
      <c r="U334">
        <f>IF((ContinuousStatsTable[[#This Row],[RepsRequested]]&gt;1),ContinuousStatsTable[[#This Row],[HalfWidth]],ContinuousStatsTable[[#This Row],[BatchMeansHalfWidth]])</f>
        <v>0</v>
      </c>
    </row>
    <row r="335" spans="1:21" x14ac:dyDescent="0.25">
      <c r="A335" t="s">
        <v>68</v>
      </c>
      <c r="B335" t="s">
        <v>131</v>
      </c>
      <c r="C335">
        <v>28</v>
      </c>
      <c r="D335" t="s">
        <v>103</v>
      </c>
      <c r="E335" t="s">
        <v>98</v>
      </c>
      <c r="F335" t="s">
        <v>99</v>
      </c>
      <c r="G335">
        <v>0.457783377026382</v>
      </c>
      <c r="H335">
        <v>2.52085135711929E-2</v>
      </c>
      <c r="I335">
        <v>0</v>
      </c>
      <c r="J335">
        <v>1</v>
      </c>
      <c r="K335">
        <v>0</v>
      </c>
      <c r="L335">
        <v>0</v>
      </c>
      <c r="M335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33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cm="1">
        <f t="array" ref="O335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3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3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35" cm="1">
        <f t="array" ref="S335">MIN(IF((ContinuousStatsTable[GroupByKey]=ContinuousStatsTable[[#This Row],[GroupByKey]]),(ContinuousStatsTable[GroupByKey]=ContinuousStatsTable[[#This Row],[GroupByKey]])*ContinuousStatsTable[Average]))</f>
        <v>0.452397944183905</v>
      </c>
      <c r="T335" cm="1">
        <f t="array" ref="T335">MAX(IF((ContinuousStatsTable[GroupByKey]=ContinuousStatsTable[[#This Row],[GroupByKey]]),(ContinuousStatsTable[GroupByKey]=ContinuousStatsTable[[#This Row],[GroupByKey]])*ContinuousStatsTable[Average]))</f>
        <v>0.49691123629694001</v>
      </c>
      <c r="U335">
        <f>IF((ContinuousStatsTable[[#This Row],[RepsRequested]]&gt;1),ContinuousStatsTable[[#This Row],[HalfWidth]],ContinuousStatsTable[[#This Row],[BatchMeansHalfWidth]])</f>
        <v>2.7457743728226142E-3</v>
      </c>
    </row>
    <row r="336" spans="1:21" x14ac:dyDescent="0.25">
      <c r="A336" t="s">
        <v>68</v>
      </c>
      <c r="B336" t="s">
        <v>131</v>
      </c>
      <c r="C336">
        <v>28</v>
      </c>
      <c r="D336" t="s">
        <v>103</v>
      </c>
      <c r="E336" t="s">
        <v>100</v>
      </c>
      <c r="F336" t="s">
        <v>99</v>
      </c>
      <c r="G336">
        <v>0.457783377026382</v>
      </c>
      <c r="H336">
        <v>2.52085135711929E-2</v>
      </c>
      <c r="I336">
        <v>0</v>
      </c>
      <c r="J336">
        <v>1</v>
      </c>
      <c r="K336">
        <v>0</v>
      </c>
      <c r="L336">
        <v>0</v>
      </c>
      <c r="M336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336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cm="1">
        <f t="array" ref="O336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36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36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36" cm="1">
        <f t="array" ref="S336">MIN(IF((ContinuousStatsTable[GroupByKey]=ContinuousStatsTable[[#This Row],[GroupByKey]]),(ContinuousStatsTable[GroupByKey]=ContinuousStatsTable[[#This Row],[GroupByKey]])*ContinuousStatsTable[Average]))</f>
        <v>0.452397944183905</v>
      </c>
      <c r="T336" cm="1">
        <f t="array" ref="T336">MAX(IF((ContinuousStatsTable[GroupByKey]=ContinuousStatsTable[[#This Row],[GroupByKey]]),(ContinuousStatsTable[GroupByKey]=ContinuousStatsTable[[#This Row],[GroupByKey]])*ContinuousStatsTable[Average]))</f>
        <v>0.49691123629694001</v>
      </c>
      <c r="U336">
        <f>IF((ContinuousStatsTable[[#This Row],[RepsRequested]]&gt;1),ContinuousStatsTable[[#This Row],[HalfWidth]],ContinuousStatsTable[[#This Row],[BatchMeansHalfWidth]])</f>
        <v>2.7457743728226142E-3</v>
      </c>
    </row>
    <row r="337" spans="1:21" x14ac:dyDescent="0.25">
      <c r="A337" t="s">
        <v>68</v>
      </c>
      <c r="B337" t="s">
        <v>131</v>
      </c>
      <c r="C337">
        <v>28</v>
      </c>
      <c r="D337" t="s">
        <v>103</v>
      </c>
      <c r="E337" t="s">
        <v>101</v>
      </c>
      <c r="F337" t="s">
        <v>99</v>
      </c>
      <c r="G337">
        <v>1</v>
      </c>
      <c r="H337">
        <v>2E+20</v>
      </c>
      <c r="I337">
        <v>1</v>
      </c>
      <c r="J337">
        <v>1</v>
      </c>
      <c r="K337">
        <v>1</v>
      </c>
      <c r="L337">
        <v>0</v>
      </c>
      <c r="M337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337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cm="1">
        <f t="array" ref="O337">IFERROR(AVERAGE(IF((ContinuousStatsTable[GroupByKey]=ContinuousStatsTable[[#This Row],[GroupByKey]]),(ContinuousStatsTable[GroupByKey]=ContinuousStatsTable[[#This Row],[GroupByKey]])*ContinuousStatsTable[Average])),0)</f>
        <v>1</v>
      </c>
      <c r="P337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cm="1">
        <f t="array" ref="S337">MIN(IF((ContinuousStatsTable[GroupByKey]=ContinuousStatsTable[[#This Row],[GroupByKey]]),(ContinuousStatsTable[GroupByKey]=ContinuousStatsTable[[#This Row],[GroupByKey]])*ContinuousStatsTable[Average]))</f>
        <v>1</v>
      </c>
      <c r="T337" cm="1">
        <f t="array" ref="T337">MAX(IF((ContinuousStatsTable[GroupByKey]=ContinuousStatsTable[[#This Row],[GroupByKey]]),(ContinuousStatsTable[GroupByKey]=ContinuousStatsTable[[#This Row],[GroupByKey]])*ContinuousStatsTable[Average]))</f>
        <v>1</v>
      </c>
      <c r="U337">
        <f>IF((ContinuousStatsTable[[#This Row],[RepsRequested]]&gt;1),ContinuousStatsTable[[#This Row],[HalfWidth]],ContinuousStatsTable[[#This Row],[BatchMeansHalfWidth]])</f>
        <v>0</v>
      </c>
    </row>
    <row r="338" spans="1:21" x14ac:dyDescent="0.25">
      <c r="A338" t="s">
        <v>68</v>
      </c>
      <c r="B338" t="s">
        <v>131</v>
      </c>
      <c r="C338">
        <v>29</v>
      </c>
      <c r="D338" t="s">
        <v>70</v>
      </c>
      <c r="E338" t="s">
        <v>95</v>
      </c>
      <c r="F338" t="s">
        <v>72</v>
      </c>
      <c r="G338">
        <v>5.5079998720866197</v>
      </c>
      <c r="H338">
        <v>2.0296657181862798</v>
      </c>
      <c r="I338">
        <v>0</v>
      </c>
      <c r="J338">
        <v>33</v>
      </c>
      <c r="K338">
        <v>7</v>
      </c>
      <c r="L338">
        <v>0</v>
      </c>
      <c r="M338" t="str">
        <f>ContinuousStatsTable[[#This Row],[ProjectName]]&amp;ContinuousStatsTable[[#This Row],[Name]]&amp;ContinuousStatsTable[[#This Row],[Type]]&amp;ContinuousStatsTable[[#This Row],[Source]]</f>
        <v>PacientesEntity 1WIPEntity</v>
      </c>
      <c r="N338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cm="1">
        <f t="array" ref="O338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338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338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338" cm="1">
        <f t="array" ref="S338">MIN(IF((ContinuousStatsTable[GroupByKey]=ContinuousStatsTable[[#This Row],[GroupByKey]]),(ContinuousStatsTable[GroupByKey]=ContinuousStatsTable[[#This Row],[GroupByKey]])*ContinuousStatsTable[Average]))</f>
        <v>3.9757448048151298</v>
      </c>
      <c r="T338" cm="1">
        <f t="array" ref="T338">MAX(IF((ContinuousStatsTable[GroupByKey]=ContinuousStatsTable[[#This Row],[GroupByKey]]),(ContinuousStatsTable[GroupByKey]=ContinuousStatsTable[[#This Row],[GroupByKey]])*ContinuousStatsTable[Average]))</f>
        <v>6.9386840633215803</v>
      </c>
      <c r="U338">
        <f>IF((ContinuousStatsTable[[#This Row],[RepsRequested]]&gt;1),ContinuousStatsTable[[#This Row],[HalfWidth]],ContinuousStatsTable[[#This Row],[BatchMeansHalfWidth]])</f>
        <v>0.22030607219171747</v>
      </c>
    </row>
    <row r="339" spans="1:21" x14ac:dyDescent="0.25">
      <c r="A339" t="s">
        <v>68</v>
      </c>
      <c r="B339" t="s">
        <v>131</v>
      </c>
      <c r="C339">
        <v>29</v>
      </c>
      <c r="D339" t="s">
        <v>83</v>
      </c>
      <c r="E339" t="s">
        <v>96</v>
      </c>
      <c r="F339" t="s">
        <v>85</v>
      </c>
      <c r="G339">
        <v>3.1519352156101399</v>
      </c>
      <c r="H339">
        <v>1.93403401349861</v>
      </c>
      <c r="I339">
        <v>0</v>
      </c>
      <c r="J339">
        <v>29</v>
      </c>
      <c r="K339">
        <v>4</v>
      </c>
      <c r="L339">
        <v>0</v>
      </c>
      <c r="M339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39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cm="1">
        <f t="array" ref="O339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39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39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39" cm="1">
        <f t="array" ref="S339">MIN(IF((ContinuousStatsTable[GroupByKey]=ContinuousStatsTable[[#This Row],[GroupByKey]]),(ContinuousStatsTable[GroupByKey]=ContinuousStatsTable[[#This Row],[GroupByKey]])*ContinuousStatsTable[Average]))</f>
        <v>1.7200278735122601</v>
      </c>
      <c r="T339" cm="1">
        <f t="array" ref="T339">MAX(IF((ContinuousStatsTable[GroupByKey]=ContinuousStatsTable[[#This Row],[GroupByKey]]),(ContinuousStatsTable[GroupByKey]=ContinuousStatsTable[[#This Row],[GroupByKey]])*ContinuousStatsTable[Average]))</f>
        <v>4.5543512780988502</v>
      </c>
      <c r="U339">
        <f>IF((ContinuousStatsTable[[#This Row],[RepsRequested]]&gt;1),ContinuousStatsTable[[#This Row],[HalfWidth]],ContinuousStatsTable[[#This Row],[BatchMeansHalfWidth]])</f>
        <v>0.21041231434540877</v>
      </c>
    </row>
    <row r="340" spans="1:21" x14ac:dyDescent="0.25">
      <c r="A340" t="s">
        <v>68</v>
      </c>
      <c r="B340" t="s">
        <v>131</v>
      </c>
      <c r="C340">
        <v>29</v>
      </c>
      <c r="D340" t="s">
        <v>87</v>
      </c>
      <c r="E340" t="s">
        <v>96</v>
      </c>
      <c r="F340" t="s">
        <v>85</v>
      </c>
      <c r="G340">
        <v>0.22663873822644701</v>
      </c>
      <c r="H340">
        <v>4.8097569659209798E-2</v>
      </c>
      <c r="I340">
        <v>0</v>
      </c>
      <c r="J340">
        <v>5</v>
      </c>
      <c r="K340">
        <v>0</v>
      </c>
      <c r="L340">
        <v>0</v>
      </c>
      <c r="M340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340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cm="1">
        <f t="array" ref="O340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340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340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340" cm="1">
        <f t="array" ref="S340">MIN(IF((ContinuousStatsTable[GroupByKey]=ContinuousStatsTable[[#This Row],[GroupByKey]]),(ContinuousStatsTable[GroupByKey]=ContinuousStatsTable[[#This Row],[GroupByKey]])*ContinuousStatsTable[Average]))</f>
        <v>0.172815232766103</v>
      </c>
      <c r="T340" cm="1">
        <f t="array" ref="T340">MAX(IF((ContinuousStatsTable[GroupByKey]=ContinuousStatsTable[[#This Row],[GroupByKey]]),(ContinuousStatsTable[GroupByKey]=ContinuousStatsTable[[#This Row],[GroupByKey]])*ContinuousStatsTable[Average]))</f>
        <v>0.24783514900621301</v>
      </c>
      <c r="U340">
        <f>IF((ContinuousStatsTable[[#This Row],[RepsRequested]]&gt;1),ContinuousStatsTable[[#This Row],[HalfWidth]],ContinuousStatsTable[[#This Row],[BatchMeansHalfWidth]])</f>
        <v>4.7768909384897544E-3</v>
      </c>
    </row>
    <row r="341" spans="1:21" x14ac:dyDescent="0.25">
      <c r="A341" t="s">
        <v>68</v>
      </c>
      <c r="B341" t="s">
        <v>131</v>
      </c>
      <c r="C341">
        <v>29</v>
      </c>
      <c r="D341" t="s">
        <v>97</v>
      </c>
      <c r="E341" t="s">
        <v>98</v>
      </c>
      <c r="F341" t="s">
        <v>99</v>
      </c>
      <c r="G341">
        <v>0.54841394856834202</v>
      </c>
      <c r="H341">
        <v>2.7750075597149901E-2</v>
      </c>
      <c r="I341">
        <v>0</v>
      </c>
      <c r="J341">
        <v>0.66666666666666696</v>
      </c>
      <c r="K341">
        <v>0.66666666666666696</v>
      </c>
      <c r="L341">
        <v>0</v>
      </c>
      <c r="M341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341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cm="1">
        <f t="array" ref="O341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341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341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341" cm="1">
        <f t="array" ref="S341">MIN(IF((ContinuousStatsTable[GroupByKey]=ContinuousStatsTable[[#This Row],[GroupByKey]]),(ContinuousStatsTable[GroupByKey]=ContinuousStatsTable[[#This Row],[GroupByKey]])*ContinuousStatsTable[Average]))</f>
        <v>0.52470641844357602</v>
      </c>
      <c r="T341" cm="1">
        <f t="array" ref="T341">MAX(IF((ContinuousStatsTable[GroupByKey]=ContinuousStatsTable[[#This Row],[GroupByKey]]),(ContinuousStatsTable[GroupByKey]=ContinuousStatsTable[[#This Row],[GroupByKey]])*ContinuousStatsTable[Average]))</f>
        <v>0.57005812966092095</v>
      </c>
      <c r="U341">
        <f>IF((ContinuousStatsTable[[#This Row],[RepsRequested]]&gt;1),ContinuousStatsTable[[#This Row],[HalfWidth]],ContinuousStatsTable[[#This Row],[BatchMeansHalfWidth]])</f>
        <v>2.9048243757695521E-3</v>
      </c>
    </row>
    <row r="342" spans="1:21" x14ac:dyDescent="0.25">
      <c r="A342" t="s">
        <v>68</v>
      </c>
      <c r="B342" t="s">
        <v>131</v>
      </c>
      <c r="C342">
        <v>29</v>
      </c>
      <c r="D342" t="s">
        <v>97</v>
      </c>
      <c r="E342" t="s">
        <v>100</v>
      </c>
      <c r="F342" t="s">
        <v>99</v>
      </c>
      <c r="G342">
        <v>1.64524184570502</v>
      </c>
      <c r="H342">
        <v>8.3250226791449694E-2</v>
      </c>
      <c r="I342">
        <v>0</v>
      </c>
      <c r="J342">
        <v>2</v>
      </c>
      <c r="K342">
        <v>2</v>
      </c>
      <c r="L342">
        <v>0</v>
      </c>
      <c r="M342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342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cm="1">
        <f t="array" ref="O342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42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42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42" cm="1">
        <f t="array" ref="S342">MIN(IF((ContinuousStatsTable[GroupByKey]=ContinuousStatsTable[[#This Row],[GroupByKey]]),(ContinuousStatsTable[GroupByKey]=ContinuousStatsTable[[#This Row],[GroupByKey]])*ContinuousStatsTable[Average]))</f>
        <v>1.5741192553307399</v>
      </c>
      <c r="T342" cm="1">
        <f t="array" ref="T342">MAX(IF((ContinuousStatsTable[GroupByKey]=ContinuousStatsTable[[#This Row],[GroupByKey]]),(ContinuousStatsTable[GroupByKey]=ContinuousStatsTable[[#This Row],[GroupByKey]])*ContinuousStatsTable[Average]))</f>
        <v>1.7101743889827701</v>
      </c>
      <c r="U342">
        <f>IF((ContinuousStatsTable[[#This Row],[RepsRequested]]&gt;1),ContinuousStatsTable[[#This Row],[HalfWidth]],ContinuousStatsTable[[#This Row],[BatchMeansHalfWidth]])</f>
        <v>8.7144731273084922E-3</v>
      </c>
    </row>
    <row r="343" spans="1:21" x14ac:dyDescent="0.25">
      <c r="A343" t="s">
        <v>68</v>
      </c>
      <c r="B343" t="s">
        <v>131</v>
      </c>
      <c r="C343">
        <v>29</v>
      </c>
      <c r="D343" t="s">
        <v>97</v>
      </c>
      <c r="E343" t="s">
        <v>101</v>
      </c>
      <c r="F343" t="s">
        <v>99</v>
      </c>
      <c r="G343">
        <v>3</v>
      </c>
      <c r="H343">
        <v>2E+20</v>
      </c>
      <c r="I343">
        <v>3</v>
      </c>
      <c r="J343">
        <v>3</v>
      </c>
      <c r="K343">
        <v>3</v>
      </c>
      <c r="L343">
        <v>0</v>
      </c>
      <c r="M343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343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cm="1">
        <f t="array" ref="O343">IFERROR(AVERAGE(IF((ContinuousStatsTable[GroupByKey]=ContinuousStatsTable[[#This Row],[GroupByKey]]),(ContinuousStatsTable[GroupByKey]=ContinuousStatsTable[[#This Row],[GroupByKey]])*ContinuousStatsTable[Average])),0)</f>
        <v>3</v>
      </c>
      <c r="P343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cm="1">
        <f t="array" ref="S343">MIN(IF((ContinuousStatsTable[GroupByKey]=ContinuousStatsTable[[#This Row],[GroupByKey]]),(ContinuousStatsTable[GroupByKey]=ContinuousStatsTable[[#This Row],[GroupByKey]])*ContinuousStatsTable[Average]))</f>
        <v>3</v>
      </c>
      <c r="T343" cm="1">
        <f t="array" ref="T343">MAX(IF((ContinuousStatsTable[GroupByKey]=ContinuousStatsTable[[#This Row],[GroupByKey]]),(ContinuousStatsTable[GroupByKey]=ContinuousStatsTable[[#This Row],[GroupByKey]])*ContinuousStatsTable[Average]))</f>
        <v>3</v>
      </c>
      <c r="U343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68</v>
      </c>
      <c r="B344" t="s">
        <v>131</v>
      </c>
      <c r="C344">
        <v>29</v>
      </c>
      <c r="D344" t="s">
        <v>102</v>
      </c>
      <c r="E344" t="s">
        <v>98</v>
      </c>
      <c r="F344" t="s">
        <v>99</v>
      </c>
      <c r="G344">
        <v>0.82262092285251198</v>
      </c>
      <c r="H344">
        <v>4.1625113395724798E-2</v>
      </c>
      <c r="I344">
        <v>0</v>
      </c>
      <c r="J344">
        <v>1</v>
      </c>
      <c r="K344">
        <v>1</v>
      </c>
      <c r="L344">
        <v>0</v>
      </c>
      <c r="M344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344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cm="1">
        <f t="array" ref="O344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344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344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344" cm="1">
        <f t="array" ref="S344">MIN(IF((ContinuousStatsTable[GroupByKey]=ContinuousStatsTable[[#This Row],[GroupByKey]]),(ContinuousStatsTable[GroupByKey]=ContinuousStatsTable[[#This Row],[GroupByKey]])*ContinuousStatsTable[Average]))</f>
        <v>0.78705962766536897</v>
      </c>
      <c r="T344" cm="1">
        <f t="array" ref="T344">MAX(IF((ContinuousStatsTable[GroupByKey]=ContinuousStatsTable[[#This Row],[GroupByKey]]),(ContinuousStatsTable[GroupByKey]=ContinuousStatsTable[[#This Row],[GroupByKey]])*ContinuousStatsTable[Average]))</f>
        <v>0.85508719449138504</v>
      </c>
      <c r="U344">
        <f>IF((ContinuousStatsTable[[#This Row],[RepsRequested]]&gt;1),ContinuousStatsTable[[#This Row],[HalfWidth]],ContinuousStatsTable[[#This Row],[BatchMeansHalfWidth]])</f>
        <v>4.3572365636542886E-3</v>
      </c>
    </row>
    <row r="345" spans="1:21" x14ac:dyDescent="0.25">
      <c r="A345" t="s">
        <v>68</v>
      </c>
      <c r="B345" t="s">
        <v>131</v>
      </c>
      <c r="C345">
        <v>29</v>
      </c>
      <c r="D345" t="s">
        <v>102</v>
      </c>
      <c r="E345" t="s">
        <v>100</v>
      </c>
      <c r="F345" t="s">
        <v>99</v>
      </c>
      <c r="G345">
        <v>1.64524184570502</v>
      </c>
      <c r="H345">
        <v>8.3250226791449694E-2</v>
      </c>
      <c r="I345">
        <v>0</v>
      </c>
      <c r="J345">
        <v>2</v>
      </c>
      <c r="K345">
        <v>2</v>
      </c>
      <c r="L345">
        <v>0</v>
      </c>
      <c r="M345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34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cm="1">
        <f t="array" ref="O345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4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4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45" cm="1">
        <f t="array" ref="S345">MIN(IF((ContinuousStatsTable[GroupByKey]=ContinuousStatsTable[[#This Row],[GroupByKey]]),(ContinuousStatsTable[GroupByKey]=ContinuousStatsTable[[#This Row],[GroupByKey]])*ContinuousStatsTable[Average]))</f>
        <v>1.5741192553307399</v>
      </c>
      <c r="T345" cm="1">
        <f t="array" ref="T345">MAX(IF((ContinuousStatsTable[GroupByKey]=ContinuousStatsTable[[#This Row],[GroupByKey]]),(ContinuousStatsTable[GroupByKey]=ContinuousStatsTable[[#This Row],[GroupByKey]])*ContinuousStatsTable[Average]))</f>
        <v>1.7101743889827701</v>
      </c>
      <c r="U345">
        <f>IF((ContinuousStatsTable[[#This Row],[RepsRequested]]&gt;1),ContinuousStatsTable[[#This Row],[HalfWidth]],ContinuousStatsTable[[#This Row],[BatchMeansHalfWidth]])</f>
        <v>8.7144731273084922E-3</v>
      </c>
    </row>
    <row r="346" spans="1:21" x14ac:dyDescent="0.25">
      <c r="A346" t="s">
        <v>68</v>
      </c>
      <c r="B346" t="s">
        <v>131</v>
      </c>
      <c r="C346">
        <v>29</v>
      </c>
      <c r="D346" t="s">
        <v>102</v>
      </c>
      <c r="E346" t="s">
        <v>101</v>
      </c>
      <c r="F346" t="s">
        <v>99</v>
      </c>
      <c r="G346">
        <v>2</v>
      </c>
      <c r="H346">
        <v>2E+20</v>
      </c>
      <c r="I346">
        <v>2</v>
      </c>
      <c r="J346">
        <v>2</v>
      </c>
      <c r="K346">
        <v>2</v>
      </c>
      <c r="L346">
        <v>0</v>
      </c>
      <c r="M346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346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cm="1">
        <f t="array" ref="O346">IFERROR(AVERAGE(IF((ContinuousStatsTable[GroupByKey]=ContinuousStatsTable[[#This Row],[GroupByKey]]),(ContinuousStatsTable[GroupByKey]=ContinuousStatsTable[[#This Row],[GroupByKey]])*ContinuousStatsTable[Average])),0)</f>
        <v>2</v>
      </c>
      <c r="P346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</v>
      </c>
      <c r="Q346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6" cm="1">
        <f t="array" ref="S346">MIN(IF((ContinuousStatsTable[GroupByKey]=ContinuousStatsTable[[#This Row],[GroupByKey]]),(ContinuousStatsTable[GroupByKey]=ContinuousStatsTable[[#This Row],[GroupByKey]])*ContinuousStatsTable[Average]))</f>
        <v>2</v>
      </c>
      <c r="T346" cm="1">
        <f t="array" ref="T346">MAX(IF((ContinuousStatsTable[GroupByKey]=ContinuousStatsTable[[#This Row],[GroupByKey]]),(ContinuousStatsTable[GroupByKey]=ContinuousStatsTable[[#This Row],[GroupByKey]])*ContinuousStatsTable[Average]))</f>
        <v>2</v>
      </c>
      <c r="U346">
        <f>IF((ContinuousStatsTable[[#This Row],[RepsRequested]]&gt;1),ContinuousStatsTable[[#This Row],[HalfWidth]],ContinuousStatsTable[[#This Row],[BatchMeansHalfWidth]])</f>
        <v>0</v>
      </c>
    </row>
    <row r="347" spans="1:21" x14ac:dyDescent="0.25">
      <c r="A347" t="s">
        <v>68</v>
      </c>
      <c r="B347" t="s">
        <v>131</v>
      </c>
      <c r="C347">
        <v>29</v>
      </c>
      <c r="D347" t="s">
        <v>103</v>
      </c>
      <c r="E347" t="s">
        <v>98</v>
      </c>
      <c r="F347" t="s">
        <v>99</v>
      </c>
      <c r="G347">
        <v>0.484184072545007</v>
      </c>
      <c r="H347">
        <v>2.54487864928131E-2</v>
      </c>
      <c r="I347">
        <v>0</v>
      </c>
      <c r="J347">
        <v>1</v>
      </c>
      <c r="K347">
        <v>1</v>
      </c>
      <c r="L347">
        <v>0</v>
      </c>
      <c r="M347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347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cm="1">
        <f t="array" ref="O347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47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47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47" cm="1">
        <f t="array" ref="S347">MIN(IF((ContinuousStatsTable[GroupByKey]=ContinuousStatsTable[[#This Row],[GroupByKey]]),(ContinuousStatsTable[GroupByKey]=ContinuousStatsTable[[#This Row],[GroupByKey]])*ContinuousStatsTable[Average]))</f>
        <v>0.452397944183905</v>
      </c>
      <c r="T347" cm="1">
        <f t="array" ref="T347">MAX(IF((ContinuousStatsTable[GroupByKey]=ContinuousStatsTable[[#This Row],[GroupByKey]]),(ContinuousStatsTable[GroupByKey]=ContinuousStatsTable[[#This Row],[GroupByKey]])*ContinuousStatsTable[Average]))</f>
        <v>0.49691123629694001</v>
      </c>
      <c r="U347">
        <f>IF((ContinuousStatsTable[[#This Row],[RepsRequested]]&gt;1),ContinuousStatsTable[[#This Row],[HalfWidth]],ContinuousStatsTable[[#This Row],[BatchMeansHalfWidth]])</f>
        <v>2.7457743728226142E-3</v>
      </c>
    </row>
    <row r="348" spans="1:21" x14ac:dyDescent="0.25">
      <c r="A348" t="s">
        <v>68</v>
      </c>
      <c r="B348" t="s">
        <v>131</v>
      </c>
      <c r="C348">
        <v>29</v>
      </c>
      <c r="D348" t="s">
        <v>103</v>
      </c>
      <c r="E348" t="s">
        <v>100</v>
      </c>
      <c r="F348" t="s">
        <v>99</v>
      </c>
      <c r="G348">
        <v>0.484184072545007</v>
      </c>
      <c r="H348">
        <v>2.54487864928131E-2</v>
      </c>
      <c r="I348">
        <v>0</v>
      </c>
      <c r="J348">
        <v>1</v>
      </c>
      <c r="K348">
        <v>1</v>
      </c>
      <c r="L348">
        <v>0</v>
      </c>
      <c r="M348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348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cm="1">
        <f t="array" ref="O348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48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48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48" cm="1">
        <f t="array" ref="S348">MIN(IF((ContinuousStatsTable[GroupByKey]=ContinuousStatsTable[[#This Row],[GroupByKey]]),(ContinuousStatsTable[GroupByKey]=ContinuousStatsTable[[#This Row],[GroupByKey]])*ContinuousStatsTable[Average]))</f>
        <v>0.452397944183905</v>
      </c>
      <c r="T348" cm="1">
        <f t="array" ref="T348">MAX(IF((ContinuousStatsTable[GroupByKey]=ContinuousStatsTable[[#This Row],[GroupByKey]]),(ContinuousStatsTable[GroupByKey]=ContinuousStatsTable[[#This Row],[GroupByKey]])*ContinuousStatsTable[Average]))</f>
        <v>0.49691123629694001</v>
      </c>
      <c r="U348">
        <f>IF((ContinuousStatsTable[[#This Row],[RepsRequested]]&gt;1),ContinuousStatsTable[[#This Row],[HalfWidth]],ContinuousStatsTable[[#This Row],[BatchMeansHalfWidth]])</f>
        <v>2.7457743728226142E-3</v>
      </c>
    </row>
    <row r="349" spans="1:21" x14ac:dyDescent="0.25">
      <c r="A349" t="s">
        <v>68</v>
      </c>
      <c r="B349" t="s">
        <v>131</v>
      </c>
      <c r="C349">
        <v>29</v>
      </c>
      <c r="D349" t="s">
        <v>103</v>
      </c>
      <c r="E349" t="s">
        <v>101</v>
      </c>
      <c r="F349" t="s">
        <v>99</v>
      </c>
      <c r="G349">
        <v>1</v>
      </c>
      <c r="H349">
        <v>2E+20</v>
      </c>
      <c r="I349">
        <v>1</v>
      </c>
      <c r="J349">
        <v>1</v>
      </c>
      <c r="K349">
        <v>1</v>
      </c>
      <c r="L349">
        <v>0</v>
      </c>
      <c r="M349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349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cm="1">
        <f t="array" ref="O349">IFERROR(AVERAGE(IF((ContinuousStatsTable[GroupByKey]=ContinuousStatsTable[[#This Row],[GroupByKey]]),(ContinuousStatsTable[GroupByKey]=ContinuousStatsTable[[#This Row],[GroupByKey]])*ContinuousStatsTable[Average])),0)</f>
        <v>1</v>
      </c>
      <c r="P349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</v>
      </c>
      <c r="Q349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9" cm="1">
        <f t="array" ref="S349">MIN(IF((ContinuousStatsTable[GroupByKey]=ContinuousStatsTable[[#This Row],[GroupByKey]]),(ContinuousStatsTable[GroupByKey]=ContinuousStatsTable[[#This Row],[GroupByKey]])*ContinuousStatsTable[Average]))</f>
        <v>1</v>
      </c>
      <c r="T349" cm="1">
        <f t="array" ref="T349">MAX(IF((ContinuousStatsTable[GroupByKey]=ContinuousStatsTable[[#This Row],[GroupByKey]]),(ContinuousStatsTable[GroupByKey]=ContinuousStatsTable[[#This Row],[GroupByKey]])*ContinuousStatsTable[Average]))</f>
        <v>1</v>
      </c>
      <c r="U349">
        <f>IF((ContinuousStatsTable[[#This Row],[RepsRequested]]&gt;1),ContinuousStatsTable[[#This Row],[HalfWidth]],ContinuousStatsTable[[#This Row],[BatchMeansHalfWidth]])</f>
        <v>0</v>
      </c>
    </row>
    <row r="350" spans="1:21" x14ac:dyDescent="0.25">
      <c r="A350" t="s">
        <v>68</v>
      </c>
      <c r="B350" t="s">
        <v>131</v>
      </c>
      <c r="C350">
        <v>30</v>
      </c>
      <c r="D350" t="s">
        <v>70</v>
      </c>
      <c r="E350" t="s">
        <v>95</v>
      </c>
      <c r="F350" t="s">
        <v>72</v>
      </c>
      <c r="G350">
        <v>5.8429689462675096</v>
      </c>
      <c r="H350">
        <v>1.65703600162117</v>
      </c>
      <c r="I350">
        <v>0</v>
      </c>
      <c r="J350">
        <v>30</v>
      </c>
      <c r="K350">
        <v>1</v>
      </c>
      <c r="L350">
        <v>0</v>
      </c>
      <c r="M350" t="str">
        <f>ContinuousStatsTable[[#This Row],[ProjectName]]&amp;ContinuousStatsTable[[#This Row],[Name]]&amp;ContinuousStatsTable[[#This Row],[Type]]&amp;ContinuousStatsTable[[#This Row],[Source]]</f>
        <v>PacientesEntity 1WIPEntity</v>
      </c>
      <c r="N350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cm="1">
        <f t="array" ref="O350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350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350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350" cm="1">
        <f t="array" ref="S350">MIN(IF((ContinuousStatsTable[GroupByKey]=ContinuousStatsTable[[#This Row],[GroupByKey]]),(ContinuousStatsTable[GroupByKey]=ContinuousStatsTable[[#This Row],[GroupByKey]])*ContinuousStatsTable[Average]))</f>
        <v>3.9757448048151298</v>
      </c>
      <c r="T350" cm="1">
        <f t="array" ref="T350">MAX(IF((ContinuousStatsTable[GroupByKey]=ContinuousStatsTable[[#This Row],[GroupByKey]]),(ContinuousStatsTable[GroupByKey]=ContinuousStatsTable[[#This Row],[GroupByKey]])*ContinuousStatsTable[Average]))</f>
        <v>6.9386840633215803</v>
      </c>
      <c r="U350">
        <f>IF((ContinuousStatsTable[[#This Row],[RepsRequested]]&gt;1),ContinuousStatsTable[[#This Row],[HalfWidth]],ContinuousStatsTable[[#This Row],[BatchMeansHalfWidth]])</f>
        <v>0.22030607219171747</v>
      </c>
    </row>
    <row r="351" spans="1:21" x14ac:dyDescent="0.25">
      <c r="A351" t="s">
        <v>68</v>
      </c>
      <c r="B351" t="s">
        <v>131</v>
      </c>
      <c r="C351">
        <v>30</v>
      </c>
      <c r="D351" t="s">
        <v>83</v>
      </c>
      <c r="E351" t="s">
        <v>96</v>
      </c>
      <c r="F351" t="s">
        <v>85</v>
      </c>
      <c r="G351">
        <v>3.49792067295208</v>
      </c>
      <c r="H351">
        <v>1.58525151539524</v>
      </c>
      <c r="I351">
        <v>0</v>
      </c>
      <c r="J351">
        <v>28</v>
      </c>
      <c r="K351">
        <v>0</v>
      </c>
      <c r="L351">
        <v>0</v>
      </c>
      <c r="M351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51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cm="1">
        <f t="array" ref="O351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51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51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51" cm="1">
        <f t="array" ref="S351">MIN(IF((ContinuousStatsTable[GroupByKey]=ContinuousStatsTable[[#This Row],[GroupByKey]]),(ContinuousStatsTable[GroupByKey]=ContinuousStatsTable[[#This Row],[GroupByKey]])*ContinuousStatsTable[Average]))</f>
        <v>1.7200278735122601</v>
      </c>
      <c r="T351" cm="1">
        <f t="array" ref="T351">MAX(IF((ContinuousStatsTable[GroupByKey]=ContinuousStatsTable[[#This Row],[GroupByKey]]),(ContinuousStatsTable[GroupByKey]=ContinuousStatsTable[[#This Row],[GroupByKey]])*ContinuousStatsTable[Average]))</f>
        <v>4.5543512780988502</v>
      </c>
      <c r="U351">
        <f>IF((ContinuousStatsTable[[#This Row],[RepsRequested]]&gt;1),ContinuousStatsTable[[#This Row],[HalfWidth]],ContinuousStatsTable[[#This Row],[BatchMeansHalfWidth]])</f>
        <v>0.21041231434540877</v>
      </c>
    </row>
    <row r="352" spans="1:21" x14ac:dyDescent="0.25">
      <c r="A352" t="s">
        <v>68</v>
      </c>
      <c r="B352" t="s">
        <v>131</v>
      </c>
      <c r="C352">
        <v>30</v>
      </c>
      <c r="D352" t="s">
        <v>87</v>
      </c>
      <c r="E352" t="s">
        <v>96</v>
      </c>
      <c r="F352" t="s">
        <v>85</v>
      </c>
      <c r="G352">
        <v>0.208625371368683</v>
      </c>
      <c r="H352">
        <v>4.6939485076096701E-2</v>
      </c>
      <c r="I352">
        <v>0</v>
      </c>
      <c r="J352">
        <v>7</v>
      </c>
      <c r="K352">
        <v>0</v>
      </c>
      <c r="L352">
        <v>0</v>
      </c>
      <c r="M352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352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cm="1">
        <f t="array" ref="O352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352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352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352" cm="1">
        <f t="array" ref="S352">MIN(IF((ContinuousStatsTable[GroupByKey]=ContinuousStatsTable[[#This Row],[GroupByKey]]),(ContinuousStatsTable[GroupByKey]=ContinuousStatsTable[[#This Row],[GroupByKey]])*ContinuousStatsTable[Average]))</f>
        <v>0.172815232766103</v>
      </c>
      <c r="T352" cm="1">
        <f t="array" ref="T352">MAX(IF((ContinuousStatsTable[GroupByKey]=ContinuousStatsTable[[#This Row],[GroupByKey]]),(ContinuousStatsTable[GroupByKey]=ContinuousStatsTable[[#This Row],[GroupByKey]])*ContinuousStatsTable[Average]))</f>
        <v>0.24783514900621301</v>
      </c>
      <c r="U352">
        <f>IF((ContinuousStatsTable[[#This Row],[RepsRequested]]&gt;1),ContinuousStatsTable[[#This Row],[HalfWidth]],ContinuousStatsTable[[#This Row],[BatchMeansHalfWidth]])</f>
        <v>4.7768909384897544E-3</v>
      </c>
    </row>
    <row r="353" spans="1:21" x14ac:dyDescent="0.25">
      <c r="A353" t="s">
        <v>68</v>
      </c>
      <c r="B353" t="s">
        <v>131</v>
      </c>
      <c r="C353">
        <v>30</v>
      </c>
      <c r="D353" t="s">
        <v>97</v>
      </c>
      <c r="E353" t="s">
        <v>98</v>
      </c>
      <c r="F353" t="s">
        <v>99</v>
      </c>
      <c r="G353">
        <v>0.55485137541002705</v>
      </c>
      <c r="H353">
        <v>2.5604756810942798E-2</v>
      </c>
      <c r="I353">
        <v>0</v>
      </c>
      <c r="J353">
        <v>0.66666666666666696</v>
      </c>
      <c r="K353">
        <v>0.33333333333333298</v>
      </c>
      <c r="L353">
        <v>0</v>
      </c>
      <c r="M353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353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cm="1">
        <f t="array" ref="O353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353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353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353" cm="1">
        <f t="array" ref="S353">MIN(IF((ContinuousStatsTable[GroupByKey]=ContinuousStatsTable[[#This Row],[GroupByKey]]),(ContinuousStatsTable[GroupByKey]=ContinuousStatsTable[[#This Row],[GroupByKey]])*ContinuousStatsTable[Average]))</f>
        <v>0.52470641844357602</v>
      </c>
      <c r="T353" cm="1">
        <f t="array" ref="T353">MAX(IF((ContinuousStatsTable[GroupByKey]=ContinuousStatsTable[[#This Row],[GroupByKey]]),(ContinuousStatsTable[GroupByKey]=ContinuousStatsTable[[#This Row],[GroupByKey]])*ContinuousStatsTable[Average]))</f>
        <v>0.57005812966092095</v>
      </c>
      <c r="U353">
        <f>IF((ContinuousStatsTable[[#This Row],[RepsRequested]]&gt;1),ContinuousStatsTable[[#This Row],[HalfWidth]],ContinuousStatsTable[[#This Row],[BatchMeansHalfWidth]])</f>
        <v>2.9048243757695521E-3</v>
      </c>
    </row>
    <row r="354" spans="1:21" x14ac:dyDescent="0.25">
      <c r="A354" t="s">
        <v>68</v>
      </c>
      <c r="B354" t="s">
        <v>131</v>
      </c>
      <c r="C354">
        <v>30</v>
      </c>
      <c r="D354" t="s">
        <v>97</v>
      </c>
      <c r="E354" t="s">
        <v>100</v>
      </c>
      <c r="F354" t="s">
        <v>99</v>
      </c>
      <c r="G354">
        <v>1.66455412623008</v>
      </c>
      <c r="H354">
        <v>7.6814270432828402E-2</v>
      </c>
      <c r="I354">
        <v>0</v>
      </c>
      <c r="J354">
        <v>2</v>
      </c>
      <c r="K354">
        <v>1</v>
      </c>
      <c r="L354">
        <v>0</v>
      </c>
      <c r="M354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354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cm="1">
        <f t="array" ref="O354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54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54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54" cm="1">
        <f t="array" ref="S354">MIN(IF((ContinuousStatsTable[GroupByKey]=ContinuousStatsTable[[#This Row],[GroupByKey]]),(ContinuousStatsTable[GroupByKey]=ContinuousStatsTable[[#This Row],[GroupByKey]])*ContinuousStatsTable[Average]))</f>
        <v>1.5741192553307399</v>
      </c>
      <c r="T354" cm="1">
        <f t="array" ref="T354">MAX(IF((ContinuousStatsTable[GroupByKey]=ContinuousStatsTable[[#This Row],[GroupByKey]]),(ContinuousStatsTable[GroupByKey]=ContinuousStatsTable[[#This Row],[GroupByKey]])*ContinuousStatsTable[Average]))</f>
        <v>1.7101743889827701</v>
      </c>
      <c r="U354">
        <f>IF((ContinuousStatsTable[[#This Row],[RepsRequested]]&gt;1),ContinuousStatsTable[[#This Row],[HalfWidth]],ContinuousStatsTable[[#This Row],[BatchMeansHalfWidth]])</f>
        <v>8.7144731273084922E-3</v>
      </c>
    </row>
    <row r="355" spans="1:21" x14ac:dyDescent="0.25">
      <c r="A355" t="s">
        <v>68</v>
      </c>
      <c r="B355" t="s">
        <v>131</v>
      </c>
      <c r="C355">
        <v>30</v>
      </c>
      <c r="D355" t="s">
        <v>97</v>
      </c>
      <c r="E355" t="s">
        <v>101</v>
      </c>
      <c r="F355" t="s">
        <v>99</v>
      </c>
      <c r="G355">
        <v>3</v>
      </c>
      <c r="H355">
        <v>2E+20</v>
      </c>
      <c r="I355">
        <v>3</v>
      </c>
      <c r="J355">
        <v>3</v>
      </c>
      <c r="K355">
        <v>3</v>
      </c>
      <c r="L355">
        <v>0</v>
      </c>
      <c r="M355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35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cm="1">
        <f t="array" ref="O355">IFERROR(AVERAGE(IF((ContinuousStatsTable[GroupByKey]=ContinuousStatsTable[[#This Row],[GroupByKey]]),(ContinuousStatsTable[GroupByKey]=ContinuousStatsTable[[#This Row],[GroupByKey]])*ContinuousStatsTable[Average])),0)</f>
        <v>3</v>
      </c>
      <c r="P35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</v>
      </c>
      <c r="Q35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5" cm="1">
        <f t="array" ref="S355">MIN(IF((ContinuousStatsTable[GroupByKey]=ContinuousStatsTable[[#This Row],[GroupByKey]]),(ContinuousStatsTable[GroupByKey]=ContinuousStatsTable[[#This Row],[GroupByKey]])*ContinuousStatsTable[Average]))</f>
        <v>3</v>
      </c>
      <c r="T355" cm="1">
        <f t="array" ref="T355">MAX(IF((ContinuousStatsTable[GroupByKey]=ContinuousStatsTable[[#This Row],[GroupByKey]]),(ContinuousStatsTable[GroupByKey]=ContinuousStatsTable[[#This Row],[GroupByKey]])*ContinuousStatsTable[Average]))</f>
        <v>3</v>
      </c>
      <c r="U355">
        <f>IF((ContinuousStatsTable[[#This Row],[RepsRequested]]&gt;1),ContinuousStatsTable[[#This Row],[HalfWidth]],ContinuousStatsTable[[#This Row],[BatchMeansHalfWidth]])</f>
        <v>0</v>
      </c>
    </row>
    <row r="356" spans="1:21" x14ac:dyDescent="0.25">
      <c r="A356" t="s">
        <v>68</v>
      </c>
      <c r="B356" t="s">
        <v>131</v>
      </c>
      <c r="C356">
        <v>30</v>
      </c>
      <c r="D356" t="s">
        <v>102</v>
      </c>
      <c r="E356" t="s">
        <v>98</v>
      </c>
      <c r="F356" t="s">
        <v>99</v>
      </c>
      <c r="G356">
        <v>0.83227706311503802</v>
      </c>
      <c r="H356">
        <v>3.8407135216414201E-2</v>
      </c>
      <c r="I356">
        <v>0</v>
      </c>
      <c r="J356">
        <v>1</v>
      </c>
      <c r="K356">
        <v>0.5</v>
      </c>
      <c r="L356">
        <v>0</v>
      </c>
      <c r="M356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356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cm="1">
        <f t="array" ref="O356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356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356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356" cm="1">
        <f t="array" ref="S356">MIN(IF((ContinuousStatsTable[GroupByKey]=ContinuousStatsTable[[#This Row],[GroupByKey]]),(ContinuousStatsTable[GroupByKey]=ContinuousStatsTable[[#This Row],[GroupByKey]])*ContinuousStatsTable[Average]))</f>
        <v>0.78705962766536897</v>
      </c>
      <c r="T356" cm="1">
        <f t="array" ref="T356">MAX(IF((ContinuousStatsTable[GroupByKey]=ContinuousStatsTable[[#This Row],[GroupByKey]]),(ContinuousStatsTable[GroupByKey]=ContinuousStatsTable[[#This Row],[GroupByKey]])*ContinuousStatsTable[Average]))</f>
        <v>0.85508719449138504</v>
      </c>
      <c r="U356">
        <f>IF((ContinuousStatsTable[[#This Row],[RepsRequested]]&gt;1),ContinuousStatsTable[[#This Row],[HalfWidth]],ContinuousStatsTable[[#This Row],[BatchMeansHalfWidth]])</f>
        <v>4.3572365636542886E-3</v>
      </c>
    </row>
    <row r="357" spans="1:21" x14ac:dyDescent="0.25">
      <c r="A357" t="s">
        <v>68</v>
      </c>
      <c r="B357" t="s">
        <v>131</v>
      </c>
      <c r="C357">
        <v>30</v>
      </c>
      <c r="D357" t="s">
        <v>102</v>
      </c>
      <c r="E357" t="s">
        <v>100</v>
      </c>
      <c r="F357" t="s">
        <v>99</v>
      </c>
      <c r="G357">
        <v>1.66455412623008</v>
      </c>
      <c r="H357">
        <v>7.6814270432828402E-2</v>
      </c>
      <c r="I357">
        <v>0</v>
      </c>
      <c r="J357">
        <v>2</v>
      </c>
      <c r="K357">
        <v>1</v>
      </c>
      <c r="L357">
        <v>0</v>
      </c>
      <c r="M357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357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cm="1">
        <f t="array" ref="O357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57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57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57" cm="1">
        <f t="array" ref="S357">MIN(IF((ContinuousStatsTable[GroupByKey]=ContinuousStatsTable[[#This Row],[GroupByKey]]),(ContinuousStatsTable[GroupByKey]=ContinuousStatsTable[[#This Row],[GroupByKey]])*ContinuousStatsTable[Average]))</f>
        <v>1.5741192553307399</v>
      </c>
      <c r="T357" cm="1">
        <f t="array" ref="T357">MAX(IF((ContinuousStatsTable[GroupByKey]=ContinuousStatsTable[[#This Row],[GroupByKey]]),(ContinuousStatsTable[GroupByKey]=ContinuousStatsTable[[#This Row],[GroupByKey]])*ContinuousStatsTable[Average]))</f>
        <v>1.7101743889827701</v>
      </c>
      <c r="U357">
        <f>IF((ContinuousStatsTable[[#This Row],[RepsRequested]]&gt;1),ContinuousStatsTable[[#This Row],[HalfWidth]],ContinuousStatsTable[[#This Row],[BatchMeansHalfWidth]])</f>
        <v>8.7144731273084922E-3</v>
      </c>
    </row>
    <row r="358" spans="1:21" x14ac:dyDescent="0.25">
      <c r="A358" t="s">
        <v>68</v>
      </c>
      <c r="B358" t="s">
        <v>131</v>
      </c>
      <c r="C358">
        <v>30</v>
      </c>
      <c r="D358" t="s">
        <v>102</v>
      </c>
      <c r="E358" t="s">
        <v>101</v>
      </c>
      <c r="F358" t="s">
        <v>99</v>
      </c>
      <c r="G358">
        <v>2</v>
      </c>
      <c r="H358">
        <v>2E+20</v>
      </c>
      <c r="I358">
        <v>2</v>
      </c>
      <c r="J358">
        <v>2</v>
      </c>
      <c r="K358">
        <v>2</v>
      </c>
      <c r="L358">
        <v>0</v>
      </c>
      <c r="M358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358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cm="1">
        <f t="array" ref="O358">IFERROR(AVERAGE(IF((ContinuousStatsTable[GroupByKey]=ContinuousStatsTable[[#This Row],[GroupByKey]]),(ContinuousStatsTable[GroupByKey]=ContinuousStatsTable[[#This Row],[GroupByKey]])*ContinuousStatsTable[Average])),0)</f>
        <v>2</v>
      </c>
      <c r="P358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cm="1">
        <f t="array" ref="S358">MIN(IF((ContinuousStatsTable[GroupByKey]=ContinuousStatsTable[[#This Row],[GroupByKey]]),(ContinuousStatsTable[GroupByKey]=ContinuousStatsTable[[#This Row],[GroupByKey]])*ContinuousStatsTable[Average]))</f>
        <v>2</v>
      </c>
      <c r="T358" cm="1">
        <f t="array" ref="T358">MAX(IF((ContinuousStatsTable[GroupByKey]=ContinuousStatsTable[[#This Row],[GroupByKey]]),(ContinuousStatsTable[GroupByKey]=ContinuousStatsTable[[#This Row],[GroupByKey]])*ContinuousStatsTable[Average]))</f>
        <v>2</v>
      </c>
      <c r="U358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68</v>
      </c>
      <c r="B359" t="s">
        <v>131</v>
      </c>
      <c r="C359">
        <v>30</v>
      </c>
      <c r="D359" t="s">
        <v>103</v>
      </c>
      <c r="E359" t="s">
        <v>98</v>
      </c>
      <c r="F359" t="s">
        <v>99</v>
      </c>
      <c r="G359">
        <v>0.47186877571667701</v>
      </c>
      <c r="H359">
        <v>2.1459809764335799E-2</v>
      </c>
      <c r="I359">
        <v>0</v>
      </c>
      <c r="J359">
        <v>1</v>
      </c>
      <c r="K359">
        <v>0</v>
      </c>
      <c r="L359">
        <v>0</v>
      </c>
      <c r="M359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359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cm="1">
        <f t="array" ref="O359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59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59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59" cm="1">
        <f t="array" ref="S359">MIN(IF((ContinuousStatsTable[GroupByKey]=ContinuousStatsTable[[#This Row],[GroupByKey]]),(ContinuousStatsTable[GroupByKey]=ContinuousStatsTable[[#This Row],[GroupByKey]])*ContinuousStatsTable[Average]))</f>
        <v>0.452397944183905</v>
      </c>
      <c r="T359" cm="1">
        <f t="array" ref="T359">MAX(IF((ContinuousStatsTable[GroupByKey]=ContinuousStatsTable[[#This Row],[GroupByKey]]),(ContinuousStatsTable[GroupByKey]=ContinuousStatsTable[[#This Row],[GroupByKey]])*ContinuousStatsTable[Average]))</f>
        <v>0.49691123629694001</v>
      </c>
      <c r="U359">
        <f>IF((ContinuousStatsTable[[#This Row],[RepsRequested]]&gt;1),ContinuousStatsTable[[#This Row],[HalfWidth]],ContinuousStatsTable[[#This Row],[BatchMeansHalfWidth]])</f>
        <v>2.7457743728226142E-3</v>
      </c>
    </row>
    <row r="360" spans="1:21" x14ac:dyDescent="0.25">
      <c r="A360" t="s">
        <v>68</v>
      </c>
      <c r="B360" t="s">
        <v>131</v>
      </c>
      <c r="C360">
        <v>30</v>
      </c>
      <c r="D360" t="s">
        <v>103</v>
      </c>
      <c r="E360" t="s">
        <v>100</v>
      </c>
      <c r="F360" t="s">
        <v>99</v>
      </c>
      <c r="G360">
        <v>0.47186877571667701</v>
      </c>
      <c r="H360">
        <v>2.1459809764335799E-2</v>
      </c>
      <c r="I360">
        <v>0</v>
      </c>
      <c r="J360">
        <v>1</v>
      </c>
      <c r="K360">
        <v>0</v>
      </c>
      <c r="L360">
        <v>0</v>
      </c>
      <c r="M360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360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cm="1">
        <f t="array" ref="O360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60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60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60" cm="1">
        <f t="array" ref="S360">MIN(IF((ContinuousStatsTable[GroupByKey]=ContinuousStatsTable[[#This Row],[GroupByKey]]),(ContinuousStatsTable[GroupByKey]=ContinuousStatsTable[[#This Row],[GroupByKey]])*ContinuousStatsTable[Average]))</f>
        <v>0.452397944183905</v>
      </c>
      <c r="T360" cm="1">
        <f t="array" ref="T360">MAX(IF((ContinuousStatsTable[GroupByKey]=ContinuousStatsTable[[#This Row],[GroupByKey]]),(ContinuousStatsTable[GroupByKey]=ContinuousStatsTable[[#This Row],[GroupByKey]])*ContinuousStatsTable[Average]))</f>
        <v>0.49691123629694001</v>
      </c>
      <c r="U360">
        <f>IF((ContinuousStatsTable[[#This Row],[RepsRequested]]&gt;1),ContinuousStatsTable[[#This Row],[HalfWidth]],ContinuousStatsTable[[#This Row],[BatchMeansHalfWidth]])</f>
        <v>2.7457743728226142E-3</v>
      </c>
    </row>
    <row r="361" spans="1:21" x14ac:dyDescent="0.25">
      <c r="A361" t="s">
        <v>68</v>
      </c>
      <c r="B361" t="s">
        <v>131</v>
      </c>
      <c r="C361">
        <v>30</v>
      </c>
      <c r="D361" t="s">
        <v>103</v>
      </c>
      <c r="E361" t="s">
        <v>101</v>
      </c>
      <c r="F361" t="s">
        <v>99</v>
      </c>
      <c r="G361">
        <v>1</v>
      </c>
      <c r="H361">
        <v>2E+20</v>
      </c>
      <c r="I361">
        <v>1</v>
      </c>
      <c r="J361">
        <v>1</v>
      </c>
      <c r="K361">
        <v>1</v>
      </c>
      <c r="L361">
        <v>0</v>
      </c>
      <c r="M361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361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cm="1">
        <f t="array" ref="O361">IFERROR(AVERAGE(IF((ContinuousStatsTable[GroupByKey]=ContinuousStatsTable[[#This Row],[GroupByKey]]),(ContinuousStatsTable[GroupByKey]=ContinuousStatsTable[[#This Row],[GroupByKey]])*ContinuousStatsTable[Average])),0)</f>
        <v>1</v>
      </c>
      <c r="P361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cm="1">
        <f t="array" ref="S361">MIN(IF((ContinuousStatsTable[GroupByKey]=ContinuousStatsTable[[#This Row],[GroupByKey]]),(ContinuousStatsTable[GroupByKey]=ContinuousStatsTable[[#This Row],[GroupByKey]])*ContinuousStatsTable[Average]))</f>
        <v>1</v>
      </c>
      <c r="T361" cm="1">
        <f t="array" ref="T361">MAX(IF((ContinuousStatsTable[GroupByKey]=ContinuousStatsTable[[#This Row],[GroupByKey]]),(ContinuousStatsTable[GroupByKey]=ContinuousStatsTable[[#This Row],[GroupByKey]])*ContinuousStatsTable[Average]))</f>
        <v>1</v>
      </c>
      <c r="U361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68</v>
      </c>
      <c r="B362" t="s">
        <v>131</v>
      </c>
      <c r="C362">
        <v>31</v>
      </c>
      <c r="D362" t="s">
        <v>70</v>
      </c>
      <c r="E362" t="s">
        <v>95</v>
      </c>
      <c r="F362" t="s">
        <v>72</v>
      </c>
      <c r="G362">
        <v>3.9757448048151298</v>
      </c>
      <c r="H362">
        <v>0.52094597332121295</v>
      </c>
      <c r="I362">
        <v>0</v>
      </c>
      <c r="J362">
        <v>17</v>
      </c>
      <c r="K362">
        <v>5</v>
      </c>
      <c r="L362">
        <v>0</v>
      </c>
      <c r="M362" t="str">
        <f>ContinuousStatsTable[[#This Row],[ProjectName]]&amp;ContinuousStatsTable[[#This Row],[Name]]&amp;ContinuousStatsTable[[#This Row],[Type]]&amp;ContinuousStatsTable[[#This Row],[Source]]</f>
        <v>PacientesEntity 1WIPEntity</v>
      </c>
      <c r="N362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cm="1">
        <f t="array" ref="O362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362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362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362" cm="1">
        <f t="array" ref="S362">MIN(IF((ContinuousStatsTable[GroupByKey]=ContinuousStatsTable[[#This Row],[GroupByKey]]),(ContinuousStatsTable[GroupByKey]=ContinuousStatsTable[[#This Row],[GroupByKey]])*ContinuousStatsTable[Average]))</f>
        <v>3.9757448048151298</v>
      </c>
      <c r="T362" cm="1">
        <f t="array" ref="T362">MAX(IF((ContinuousStatsTable[GroupByKey]=ContinuousStatsTable[[#This Row],[GroupByKey]]),(ContinuousStatsTable[GroupByKey]=ContinuousStatsTable[[#This Row],[GroupByKey]])*ContinuousStatsTable[Average]))</f>
        <v>6.9386840633215803</v>
      </c>
      <c r="U362">
        <f>IF((ContinuousStatsTable[[#This Row],[RepsRequested]]&gt;1),ContinuousStatsTable[[#This Row],[HalfWidth]],ContinuousStatsTable[[#This Row],[BatchMeansHalfWidth]])</f>
        <v>0.22030607219171747</v>
      </c>
    </row>
    <row r="363" spans="1:21" x14ac:dyDescent="0.25">
      <c r="A363" t="s">
        <v>68</v>
      </c>
      <c r="B363" t="s">
        <v>131</v>
      </c>
      <c r="C363">
        <v>31</v>
      </c>
      <c r="D363" t="s">
        <v>83</v>
      </c>
      <c r="E363" t="s">
        <v>96</v>
      </c>
      <c r="F363" t="s">
        <v>85</v>
      </c>
      <c r="G363">
        <v>1.72570567489848</v>
      </c>
      <c r="H363">
        <v>0.45182205859359698</v>
      </c>
      <c r="I363">
        <v>0</v>
      </c>
      <c r="J363">
        <v>14</v>
      </c>
      <c r="K363">
        <v>3</v>
      </c>
      <c r="L363">
        <v>0</v>
      </c>
      <c r="M363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63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cm="1">
        <f t="array" ref="O363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63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63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63" cm="1">
        <f t="array" ref="S363">MIN(IF((ContinuousStatsTable[GroupByKey]=ContinuousStatsTable[[#This Row],[GroupByKey]]),(ContinuousStatsTable[GroupByKey]=ContinuousStatsTable[[#This Row],[GroupByKey]])*ContinuousStatsTable[Average]))</f>
        <v>1.7200278735122601</v>
      </c>
      <c r="T363" cm="1">
        <f t="array" ref="T363">MAX(IF((ContinuousStatsTable[GroupByKey]=ContinuousStatsTable[[#This Row],[GroupByKey]]),(ContinuousStatsTable[GroupByKey]=ContinuousStatsTable[[#This Row],[GroupByKey]])*ContinuousStatsTable[Average]))</f>
        <v>4.5543512780988502</v>
      </c>
      <c r="U363">
        <f>IF((ContinuousStatsTable[[#This Row],[RepsRequested]]&gt;1),ContinuousStatsTable[[#This Row],[HalfWidth]],ContinuousStatsTable[[#This Row],[BatchMeansHalfWidth]])</f>
        <v>0.21041231434540877</v>
      </c>
    </row>
    <row r="364" spans="1:21" x14ac:dyDescent="0.25">
      <c r="A364" t="s">
        <v>68</v>
      </c>
      <c r="B364" t="s">
        <v>131</v>
      </c>
      <c r="C364">
        <v>31</v>
      </c>
      <c r="D364" t="s">
        <v>87</v>
      </c>
      <c r="E364" t="s">
        <v>96</v>
      </c>
      <c r="F364" t="s">
        <v>85</v>
      </c>
      <c r="G364">
        <v>0.194191569314453</v>
      </c>
      <c r="H364">
        <v>2.8198831924723899E-2</v>
      </c>
      <c r="I364">
        <v>0</v>
      </c>
      <c r="J364">
        <v>5</v>
      </c>
      <c r="K364">
        <v>0</v>
      </c>
      <c r="L364">
        <v>0</v>
      </c>
      <c r="M364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364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cm="1">
        <f t="array" ref="O364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364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364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364" cm="1">
        <f t="array" ref="S364">MIN(IF((ContinuousStatsTable[GroupByKey]=ContinuousStatsTable[[#This Row],[GroupByKey]]),(ContinuousStatsTable[GroupByKey]=ContinuousStatsTable[[#This Row],[GroupByKey]])*ContinuousStatsTable[Average]))</f>
        <v>0.172815232766103</v>
      </c>
      <c r="T364" cm="1">
        <f t="array" ref="T364">MAX(IF((ContinuousStatsTable[GroupByKey]=ContinuousStatsTable[[#This Row],[GroupByKey]]),(ContinuousStatsTable[GroupByKey]=ContinuousStatsTable[[#This Row],[GroupByKey]])*ContinuousStatsTable[Average]))</f>
        <v>0.24783514900621301</v>
      </c>
      <c r="U364">
        <f>IF((ContinuousStatsTable[[#This Row],[RepsRequested]]&gt;1),ContinuousStatsTable[[#This Row],[HalfWidth]],ContinuousStatsTable[[#This Row],[BatchMeansHalfWidth]])</f>
        <v>4.7768909384897544E-3</v>
      </c>
    </row>
    <row r="365" spans="1:21" x14ac:dyDescent="0.25">
      <c r="A365" t="s">
        <v>68</v>
      </c>
      <c r="B365" t="s">
        <v>131</v>
      </c>
      <c r="C365">
        <v>31</v>
      </c>
      <c r="D365" t="s">
        <v>97</v>
      </c>
      <c r="E365" t="s">
        <v>98</v>
      </c>
      <c r="F365" t="s">
        <v>99</v>
      </c>
      <c r="G365">
        <v>0.53082203310107601</v>
      </c>
      <c r="H365">
        <v>2.14264452244801E-2</v>
      </c>
      <c r="I365">
        <v>0</v>
      </c>
      <c r="J365">
        <v>0.66666666666666696</v>
      </c>
      <c r="K365">
        <v>0.66666666666666696</v>
      </c>
      <c r="L365">
        <v>0</v>
      </c>
      <c r="M365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36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cm="1">
        <f t="array" ref="O365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36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36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365" cm="1">
        <f t="array" ref="S365">MIN(IF((ContinuousStatsTable[GroupByKey]=ContinuousStatsTable[[#This Row],[GroupByKey]]),(ContinuousStatsTable[GroupByKey]=ContinuousStatsTable[[#This Row],[GroupByKey]])*ContinuousStatsTable[Average]))</f>
        <v>0.52470641844357602</v>
      </c>
      <c r="T365" cm="1">
        <f t="array" ref="T365">MAX(IF((ContinuousStatsTable[GroupByKey]=ContinuousStatsTable[[#This Row],[GroupByKey]]),(ContinuousStatsTable[GroupByKey]=ContinuousStatsTable[[#This Row],[GroupByKey]])*ContinuousStatsTable[Average]))</f>
        <v>0.57005812966092095</v>
      </c>
      <c r="U365">
        <f>IF((ContinuousStatsTable[[#This Row],[RepsRequested]]&gt;1),ContinuousStatsTable[[#This Row],[HalfWidth]],ContinuousStatsTable[[#This Row],[BatchMeansHalfWidth]])</f>
        <v>2.9048243757695521E-3</v>
      </c>
    </row>
    <row r="366" spans="1:21" x14ac:dyDescent="0.25">
      <c r="A366" t="s">
        <v>68</v>
      </c>
      <c r="B366" t="s">
        <v>131</v>
      </c>
      <c r="C366">
        <v>31</v>
      </c>
      <c r="D366" t="s">
        <v>97</v>
      </c>
      <c r="E366" t="s">
        <v>100</v>
      </c>
      <c r="F366" t="s">
        <v>99</v>
      </c>
      <c r="G366">
        <v>1.59246609930323</v>
      </c>
      <c r="H366">
        <v>6.4279335673440199E-2</v>
      </c>
      <c r="I366">
        <v>0</v>
      </c>
      <c r="J366">
        <v>2</v>
      </c>
      <c r="K366">
        <v>2</v>
      </c>
      <c r="L366">
        <v>0</v>
      </c>
      <c r="M366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366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cm="1">
        <f t="array" ref="O366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66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66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66" cm="1">
        <f t="array" ref="S366">MIN(IF((ContinuousStatsTable[GroupByKey]=ContinuousStatsTable[[#This Row],[GroupByKey]]),(ContinuousStatsTable[GroupByKey]=ContinuousStatsTable[[#This Row],[GroupByKey]])*ContinuousStatsTable[Average]))</f>
        <v>1.5741192553307399</v>
      </c>
      <c r="T366" cm="1">
        <f t="array" ref="T366">MAX(IF((ContinuousStatsTable[GroupByKey]=ContinuousStatsTable[[#This Row],[GroupByKey]]),(ContinuousStatsTable[GroupByKey]=ContinuousStatsTable[[#This Row],[GroupByKey]])*ContinuousStatsTable[Average]))</f>
        <v>1.7101743889827701</v>
      </c>
      <c r="U366">
        <f>IF((ContinuousStatsTable[[#This Row],[RepsRequested]]&gt;1),ContinuousStatsTable[[#This Row],[HalfWidth]],ContinuousStatsTable[[#This Row],[BatchMeansHalfWidth]])</f>
        <v>8.7144731273084922E-3</v>
      </c>
    </row>
    <row r="367" spans="1:21" x14ac:dyDescent="0.25">
      <c r="A367" t="s">
        <v>68</v>
      </c>
      <c r="B367" t="s">
        <v>131</v>
      </c>
      <c r="C367">
        <v>31</v>
      </c>
      <c r="D367" t="s">
        <v>97</v>
      </c>
      <c r="E367" t="s">
        <v>101</v>
      </c>
      <c r="F367" t="s">
        <v>99</v>
      </c>
      <c r="G367">
        <v>3</v>
      </c>
      <c r="H367">
        <v>2E+20</v>
      </c>
      <c r="I367">
        <v>3</v>
      </c>
      <c r="J367">
        <v>3</v>
      </c>
      <c r="K367">
        <v>3</v>
      </c>
      <c r="L367">
        <v>0</v>
      </c>
      <c r="M367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367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cm="1">
        <f t="array" ref="O367">IFERROR(AVERAGE(IF((ContinuousStatsTable[GroupByKey]=ContinuousStatsTable[[#This Row],[GroupByKey]]),(ContinuousStatsTable[GroupByKey]=ContinuousStatsTable[[#This Row],[GroupByKey]])*ContinuousStatsTable[Average])),0)</f>
        <v>3</v>
      </c>
      <c r="P367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0</v>
      </c>
      <c r="Q367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7" cm="1">
        <f t="array" ref="S367">MIN(IF((ContinuousStatsTable[GroupByKey]=ContinuousStatsTable[[#This Row],[GroupByKey]]),(ContinuousStatsTable[GroupByKey]=ContinuousStatsTable[[#This Row],[GroupByKey]])*ContinuousStatsTable[Average]))</f>
        <v>3</v>
      </c>
      <c r="T367" cm="1">
        <f t="array" ref="T367">MAX(IF((ContinuousStatsTable[GroupByKey]=ContinuousStatsTable[[#This Row],[GroupByKey]]),(ContinuousStatsTable[GroupByKey]=ContinuousStatsTable[[#This Row],[GroupByKey]])*ContinuousStatsTable[Average]))</f>
        <v>3</v>
      </c>
      <c r="U367">
        <f>IF((ContinuousStatsTable[[#This Row],[RepsRequested]]&gt;1),ContinuousStatsTable[[#This Row],[HalfWidth]],ContinuousStatsTable[[#This Row],[BatchMeansHalfWidth]])</f>
        <v>0</v>
      </c>
    </row>
    <row r="368" spans="1:21" x14ac:dyDescent="0.25">
      <c r="A368" t="s">
        <v>68</v>
      </c>
      <c r="B368" t="s">
        <v>131</v>
      </c>
      <c r="C368">
        <v>31</v>
      </c>
      <c r="D368" t="s">
        <v>102</v>
      </c>
      <c r="E368" t="s">
        <v>98</v>
      </c>
      <c r="F368" t="s">
        <v>99</v>
      </c>
      <c r="G368">
        <v>0.79623304965161501</v>
      </c>
      <c r="H368">
        <v>3.21396678367201E-2</v>
      </c>
      <c r="I368">
        <v>0</v>
      </c>
      <c r="J368">
        <v>1</v>
      </c>
      <c r="K368">
        <v>1</v>
      </c>
      <c r="L368">
        <v>0</v>
      </c>
      <c r="M368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368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cm="1">
        <f t="array" ref="O368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368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368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368" cm="1">
        <f t="array" ref="S368">MIN(IF((ContinuousStatsTable[GroupByKey]=ContinuousStatsTable[[#This Row],[GroupByKey]]),(ContinuousStatsTable[GroupByKey]=ContinuousStatsTable[[#This Row],[GroupByKey]])*ContinuousStatsTable[Average]))</f>
        <v>0.78705962766536897</v>
      </c>
      <c r="T368" cm="1">
        <f t="array" ref="T368">MAX(IF((ContinuousStatsTable[GroupByKey]=ContinuousStatsTable[[#This Row],[GroupByKey]]),(ContinuousStatsTable[GroupByKey]=ContinuousStatsTable[[#This Row],[GroupByKey]])*ContinuousStatsTable[Average]))</f>
        <v>0.85508719449138504</v>
      </c>
      <c r="U368">
        <f>IF((ContinuousStatsTable[[#This Row],[RepsRequested]]&gt;1),ContinuousStatsTable[[#This Row],[HalfWidth]],ContinuousStatsTable[[#This Row],[BatchMeansHalfWidth]])</f>
        <v>4.3572365636542886E-3</v>
      </c>
    </row>
    <row r="369" spans="1:21" x14ac:dyDescent="0.25">
      <c r="A369" t="s">
        <v>68</v>
      </c>
      <c r="B369" t="s">
        <v>131</v>
      </c>
      <c r="C369">
        <v>31</v>
      </c>
      <c r="D369" t="s">
        <v>102</v>
      </c>
      <c r="E369" t="s">
        <v>100</v>
      </c>
      <c r="F369" t="s">
        <v>99</v>
      </c>
      <c r="G369">
        <v>1.59246609930323</v>
      </c>
      <c r="H369">
        <v>6.4279335673440199E-2</v>
      </c>
      <c r="I369">
        <v>0</v>
      </c>
      <c r="J369">
        <v>2</v>
      </c>
      <c r="K369">
        <v>2</v>
      </c>
      <c r="L369">
        <v>0</v>
      </c>
      <c r="M369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369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cm="1">
        <f t="array" ref="O369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69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69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69" cm="1">
        <f t="array" ref="S369">MIN(IF((ContinuousStatsTable[GroupByKey]=ContinuousStatsTable[[#This Row],[GroupByKey]]),(ContinuousStatsTable[GroupByKey]=ContinuousStatsTable[[#This Row],[GroupByKey]])*ContinuousStatsTable[Average]))</f>
        <v>1.5741192553307399</v>
      </c>
      <c r="T369" cm="1">
        <f t="array" ref="T369">MAX(IF((ContinuousStatsTable[GroupByKey]=ContinuousStatsTable[[#This Row],[GroupByKey]]),(ContinuousStatsTable[GroupByKey]=ContinuousStatsTable[[#This Row],[GroupByKey]])*ContinuousStatsTable[Average]))</f>
        <v>1.7101743889827701</v>
      </c>
      <c r="U369">
        <f>IF((ContinuousStatsTable[[#This Row],[RepsRequested]]&gt;1),ContinuousStatsTable[[#This Row],[HalfWidth]],ContinuousStatsTable[[#This Row],[BatchMeansHalfWidth]])</f>
        <v>8.7144731273084922E-3</v>
      </c>
    </row>
    <row r="370" spans="1:21" x14ac:dyDescent="0.25">
      <c r="A370" t="s">
        <v>68</v>
      </c>
      <c r="B370" t="s">
        <v>131</v>
      </c>
      <c r="C370">
        <v>31</v>
      </c>
      <c r="D370" t="s">
        <v>102</v>
      </c>
      <c r="E370" t="s">
        <v>101</v>
      </c>
      <c r="F370" t="s">
        <v>99</v>
      </c>
      <c r="G370">
        <v>2</v>
      </c>
      <c r="H370">
        <v>2E+20</v>
      </c>
      <c r="I370">
        <v>2</v>
      </c>
      <c r="J370">
        <v>2</v>
      </c>
      <c r="K370">
        <v>2</v>
      </c>
      <c r="L370">
        <v>0</v>
      </c>
      <c r="M370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370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cm="1">
        <f t="array" ref="O370">IFERROR(AVERAGE(IF((ContinuousStatsTable[GroupByKey]=ContinuousStatsTable[[#This Row],[GroupByKey]]),(ContinuousStatsTable[GroupByKey]=ContinuousStatsTable[[#This Row],[GroupByKey]])*ContinuousStatsTable[Average])),0)</f>
        <v>2</v>
      </c>
      <c r="P370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cm="1">
        <f t="array" ref="S370">MIN(IF((ContinuousStatsTable[GroupByKey]=ContinuousStatsTable[[#This Row],[GroupByKey]]),(ContinuousStatsTable[GroupByKey]=ContinuousStatsTable[[#This Row],[GroupByKey]])*ContinuousStatsTable[Average]))</f>
        <v>2</v>
      </c>
      <c r="T370" cm="1">
        <f t="array" ref="T370">MAX(IF((ContinuousStatsTable[GroupByKey]=ContinuousStatsTable[[#This Row],[GroupByKey]]),(ContinuousStatsTable[GroupByKey]=ContinuousStatsTable[[#This Row],[GroupByKey]])*ContinuousStatsTable[Average]))</f>
        <v>2</v>
      </c>
      <c r="U370">
        <f>IF((ContinuousStatsTable[[#This Row],[RepsRequested]]&gt;1),ContinuousStatsTable[[#This Row],[HalfWidth]],ContinuousStatsTable[[#This Row],[BatchMeansHalfWidth]])</f>
        <v>0</v>
      </c>
    </row>
    <row r="371" spans="1:21" x14ac:dyDescent="0.25">
      <c r="A371" t="s">
        <v>68</v>
      </c>
      <c r="B371" t="s">
        <v>131</v>
      </c>
      <c r="C371">
        <v>31</v>
      </c>
      <c r="D371" t="s">
        <v>103</v>
      </c>
      <c r="E371" t="s">
        <v>98</v>
      </c>
      <c r="F371" t="s">
        <v>99</v>
      </c>
      <c r="G371">
        <v>0.46338146129896401</v>
      </c>
      <c r="H371">
        <v>1.91233706360073E-2</v>
      </c>
      <c r="I371">
        <v>0</v>
      </c>
      <c r="J371">
        <v>1</v>
      </c>
      <c r="K371">
        <v>0</v>
      </c>
      <c r="L371">
        <v>0</v>
      </c>
      <c r="M371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371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cm="1">
        <f t="array" ref="O371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71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71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71" cm="1">
        <f t="array" ref="S371">MIN(IF((ContinuousStatsTable[GroupByKey]=ContinuousStatsTable[[#This Row],[GroupByKey]]),(ContinuousStatsTable[GroupByKey]=ContinuousStatsTable[[#This Row],[GroupByKey]])*ContinuousStatsTable[Average]))</f>
        <v>0.452397944183905</v>
      </c>
      <c r="T371" cm="1">
        <f t="array" ref="T371">MAX(IF((ContinuousStatsTable[GroupByKey]=ContinuousStatsTable[[#This Row],[GroupByKey]]),(ContinuousStatsTable[GroupByKey]=ContinuousStatsTable[[#This Row],[GroupByKey]])*ContinuousStatsTable[Average]))</f>
        <v>0.49691123629694001</v>
      </c>
      <c r="U371">
        <f>IF((ContinuousStatsTable[[#This Row],[RepsRequested]]&gt;1),ContinuousStatsTable[[#This Row],[HalfWidth]],ContinuousStatsTable[[#This Row],[BatchMeansHalfWidth]])</f>
        <v>2.7457743728226142E-3</v>
      </c>
    </row>
    <row r="372" spans="1:21" x14ac:dyDescent="0.25">
      <c r="A372" t="s">
        <v>68</v>
      </c>
      <c r="B372" t="s">
        <v>131</v>
      </c>
      <c r="C372">
        <v>31</v>
      </c>
      <c r="D372" t="s">
        <v>103</v>
      </c>
      <c r="E372" t="s">
        <v>100</v>
      </c>
      <c r="F372" t="s">
        <v>99</v>
      </c>
      <c r="G372">
        <v>0.46338146129896401</v>
      </c>
      <c r="H372">
        <v>1.91233706360073E-2</v>
      </c>
      <c r="I372">
        <v>0</v>
      </c>
      <c r="J372">
        <v>1</v>
      </c>
      <c r="K372">
        <v>0</v>
      </c>
      <c r="L372">
        <v>0</v>
      </c>
      <c r="M372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372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cm="1">
        <f t="array" ref="O372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72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72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72" cm="1">
        <f t="array" ref="S372">MIN(IF((ContinuousStatsTable[GroupByKey]=ContinuousStatsTable[[#This Row],[GroupByKey]]),(ContinuousStatsTable[GroupByKey]=ContinuousStatsTable[[#This Row],[GroupByKey]])*ContinuousStatsTable[Average]))</f>
        <v>0.452397944183905</v>
      </c>
      <c r="T372" cm="1">
        <f t="array" ref="T372">MAX(IF((ContinuousStatsTable[GroupByKey]=ContinuousStatsTable[[#This Row],[GroupByKey]]),(ContinuousStatsTable[GroupByKey]=ContinuousStatsTable[[#This Row],[GroupByKey]])*ContinuousStatsTable[Average]))</f>
        <v>0.49691123629694001</v>
      </c>
      <c r="U372">
        <f>IF((ContinuousStatsTable[[#This Row],[RepsRequested]]&gt;1),ContinuousStatsTable[[#This Row],[HalfWidth]],ContinuousStatsTable[[#This Row],[BatchMeansHalfWidth]])</f>
        <v>2.7457743728226142E-3</v>
      </c>
    </row>
    <row r="373" spans="1:21" x14ac:dyDescent="0.25">
      <c r="A373" t="s">
        <v>68</v>
      </c>
      <c r="B373" t="s">
        <v>131</v>
      </c>
      <c r="C373">
        <v>31</v>
      </c>
      <c r="D373" t="s">
        <v>103</v>
      </c>
      <c r="E373" t="s">
        <v>101</v>
      </c>
      <c r="F373" t="s">
        <v>99</v>
      </c>
      <c r="G373">
        <v>1</v>
      </c>
      <c r="H373">
        <v>2E+20</v>
      </c>
      <c r="I373">
        <v>1</v>
      </c>
      <c r="J373">
        <v>1</v>
      </c>
      <c r="K373">
        <v>1</v>
      </c>
      <c r="L373">
        <v>0</v>
      </c>
      <c r="M373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373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cm="1">
        <f t="array" ref="O373">IFERROR(AVERAGE(IF((ContinuousStatsTable[GroupByKey]=ContinuousStatsTable[[#This Row],[GroupByKey]]),(ContinuousStatsTable[GroupByKey]=ContinuousStatsTable[[#This Row],[GroupByKey]])*ContinuousStatsTable[Average])),0)</f>
        <v>1</v>
      </c>
      <c r="P373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</v>
      </c>
      <c r="Q373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3" cm="1">
        <f t="array" ref="S373">MIN(IF((ContinuousStatsTable[GroupByKey]=ContinuousStatsTable[[#This Row],[GroupByKey]]),(ContinuousStatsTable[GroupByKey]=ContinuousStatsTable[[#This Row],[GroupByKey]])*ContinuousStatsTable[Average]))</f>
        <v>1</v>
      </c>
      <c r="T373" cm="1">
        <f t="array" ref="T373">MAX(IF((ContinuousStatsTable[GroupByKey]=ContinuousStatsTable[[#This Row],[GroupByKey]]),(ContinuousStatsTable[GroupByKey]=ContinuousStatsTable[[#This Row],[GroupByKey]])*ContinuousStatsTable[Average]))</f>
        <v>1</v>
      </c>
      <c r="U373">
        <f>IF((ContinuousStatsTable[[#This Row],[RepsRequested]]&gt;1),ContinuousStatsTable[[#This Row],[HalfWidth]],ContinuousStatsTable[[#This Row],[BatchMeansHalfWidth]])</f>
        <v>0</v>
      </c>
    </row>
    <row r="374" spans="1:21" x14ac:dyDescent="0.25">
      <c r="A374" t="s">
        <v>68</v>
      </c>
      <c r="B374" t="s">
        <v>131</v>
      </c>
      <c r="C374">
        <v>32</v>
      </c>
      <c r="D374" t="s">
        <v>70</v>
      </c>
      <c r="E374" t="s">
        <v>95</v>
      </c>
      <c r="F374" t="s">
        <v>72</v>
      </c>
      <c r="G374">
        <v>4.1690578846990904</v>
      </c>
      <c r="H374">
        <v>0.57104474121860804</v>
      </c>
      <c r="I374">
        <v>0</v>
      </c>
      <c r="J374">
        <v>17</v>
      </c>
      <c r="K374">
        <v>7</v>
      </c>
      <c r="L374">
        <v>0</v>
      </c>
      <c r="M374" t="str">
        <f>ContinuousStatsTable[[#This Row],[ProjectName]]&amp;ContinuousStatsTable[[#This Row],[Name]]&amp;ContinuousStatsTable[[#This Row],[Type]]&amp;ContinuousStatsTable[[#This Row],[Source]]</f>
        <v>PacientesEntity 1WIPEntity</v>
      </c>
      <c r="N374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cm="1">
        <f t="array" ref="O374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374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374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374" cm="1">
        <f t="array" ref="S374">MIN(IF((ContinuousStatsTable[GroupByKey]=ContinuousStatsTable[[#This Row],[GroupByKey]]),(ContinuousStatsTable[GroupByKey]=ContinuousStatsTable[[#This Row],[GroupByKey]])*ContinuousStatsTable[Average]))</f>
        <v>3.9757448048151298</v>
      </c>
      <c r="T374" cm="1">
        <f t="array" ref="T374">MAX(IF((ContinuousStatsTable[GroupByKey]=ContinuousStatsTable[[#This Row],[GroupByKey]]),(ContinuousStatsTable[GroupByKey]=ContinuousStatsTable[[#This Row],[GroupByKey]])*ContinuousStatsTable[Average]))</f>
        <v>6.9386840633215803</v>
      </c>
      <c r="U374">
        <f>IF((ContinuousStatsTable[[#This Row],[RepsRequested]]&gt;1),ContinuousStatsTable[[#This Row],[HalfWidth]],ContinuousStatsTable[[#This Row],[BatchMeansHalfWidth]])</f>
        <v>0.22030607219171747</v>
      </c>
    </row>
    <row r="375" spans="1:21" x14ac:dyDescent="0.25">
      <c r="A375" t="s">
        <v>68</v>
      </c>
      <c r="B375" t="s">
        <v>131</v>
      </c>
      <c r="C375">
        <v>32</v>
      </c>
      <c r="D375" t="s">
        <v>83</v>
      </c>
      <c r="E375" t="s">
        <v>96</v>
      </c>
      <c r="F375" t="s">
        <v>85</v>
      </c>
      <c r="G375">
        <v>1.87364646672215</v>
      </c>
      <c r="H375">
        <v>0.52767464068008896</v>
      </c>
      <c r="I375">
        <v>0</v>
      </c>
      <c r="J375">
        <v>13</v>
      </c>
      <c r="K375">
        <v>2</v>
      </c>
      <c r="L375">
        <v>0</v>
      </c>
      <c r="M375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7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cm="1">
        <f t="array" ref="O375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7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7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75" cm="1">
        <f t="array" ref="S375">MIN(IF((ContinuousStatsTable[GroupByKey]=ContinuousStatsTable[[#This Row],[GroupByKey]]),(ContinuousStatsTable[GroupByKey]=ContinuousStatsTable[[#This Row],[GroupByKey]])*ContinuousStatsTable[Average]))</f>
        <v>1.7200278735122601</v>
      </c>
      <c r="T375" cm="1">
        <f t="array" ref="T375">MAX(IF((ContinuousStatsTable[GroupByKey]=ContinuousStatsTable[[#This Row],[GroupByKey]]),(ContinuousStatsTable[GroupByKey]=ContinuousStatsTable[[#This Row],[GroupByKey]])*ContinuousStatsTable[Average]))</f>
        <v>4.5543512780988502</v>
      </c>
      <c r="U375">
        <f>IF((ContinuousStatsTable[[#This Row],[RepsRequested]]&gt;1),ContinuousStatsTable[[#This Row],[HalfWidth]],ContinuousStatsTable[[#This Row],[BatchMeansHalfWidth]])</f>
        <v>0.21041231434540877</v>
      </c>
    </row>
    <row r="376" spans="1:21" x14ac:dyDescent="0.25">
      <c r="A376" t="s">
        <v>68</v>
      </c>
      <c r="B376" t="s">
        <v>131</v>
      </c>
      <c r="C376">
        <v>32</v>
      </c>
      <c r="D376" t="s">
        <v>87</v>
      </c>
      <c r="E376" t="s">
        <v>96</v>
      </c>
      <c r="F376" t="s">
        <v>85</v>
      </c>
      <c r="G376">
        <v>0.20707372708980001</v>
      </c>
      <c r="H376">
        <v>2.58853587593934E-2</v>
      </c>
      <c r="I376">
        <v>0</v>
      </c>
      <c r="J376">
        <v>6</v>
      </c>
      <c r="K376">
        <v>2</v>
      </c>
      <c r="L376">
        <v>0</v>
      </c>
      <c r="M376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376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cm="1">
        <f t="array" ref="O376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376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376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376" cm="1">
        <f t="array" ref="S376">MIN(IF((ContinuousStatsTable[GroupByKey]=ContinuousStatsTable[[#This Row],[GroupByKey]]),(ContinuousStatsTable[GroupByKey]=ContinuousStatsTable[[#This Row],[GroupByKey]])*ContinuousStatsTable[Average]))</f>
        <v>0.172815232766103</v>
      </c>
      <c r="T376" cm="1">
        <f t="array" ref="T376">MAX(IF((ContinuousStatsTable[GroupByKey]=ContinuousStatsTable[[#This Row],[GroupByKey]]),(ContinuousStatsTable[GroupByKey]=ContinuousStatsTable[[#This Row],[GroupByKey]])*ContinuousStatsTable[Average]))</f>
        <v>0.24783514900621301</v>
      </c>
      <c r="U376">
        <f>IF((ContinuousStatsTable[[#This Row],[RepsRequested]]&gt;1),ContinuousStatsTable[[#This Row],[HalfWidth]],ContinuousStatsTable[[#This Row],[BatchMeansHalfWidth]])</f>
        <v>4.7768909384897544E-3</v>
      </c>
    </row>
    <row r="377" spans="1:21" x14ac:dyDescent="0.25">
      <c r="A377" t="s">
        <v>68</v>
      </c>
      <c r="B377" t="s">
        <v>131</v>
      </c>
      <c r="C377">
        <v>32</v>
      </c>
      <c r="D377" t="s">
        <v>97</v>
      </c>
      <c r="E377" t="s">
        <v>98</v>
      </c>
      <c r="F377" t="s">
        <v>99</v>
      </c>
      <c r="G377">
        <v>0.54334923049978101</v>
      </c>
      <c r="H377">
        <v>1.8504045067504801E-2</v>
      </c>
      <c r="I377">
        <v>0</v>
      </c>
      <c r="J377">
        <v>0.66666666666666696</v>
      </c>
      <c r="K377">
        <v>0.66666666666666696</v>
      </c>
      <c r="L377">
        <v>0</v>
      </c>
      <c r="M377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377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cm="1">
        <f t="array" ref="O377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377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377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377" cm="1">
        <f t="array" ref="S377">MIN(IF((ContinuousStatsTable[GroupByKey]=ContinuousStatsTable[[#This Row],[GroupByKey]]),(ContinuousStatsTable[GroupByKey]=ContinuousStatsTable[[#This Row],[GroupByKey]])*ContinuousStatsTable[Average]))</f>
        <v>0.52470641844357602</v>
      </c>
      <c r="T377" cm="1">
        <f t="array" ref="T377">MAX(IF((ContinuousStatsTable[GroupByKey]=ContinuousStatsTable[[#This Row],[GroupByKey]]),(ContinuousStatsTable[GroupByKey]=ContinuousStatsTable[[#This Row],[GroupByKey]])*ContinuousStatsTable[Average]))</f>
        <v>0.57005812966092095</v>
      </c>
      <c r="U377">
        <f>IF((ContinuousStatsTable[[#This Row],[RepsRequested]]&gt;1),ContinuousStatsTable[[#This Row],[HalfWidth]],ContinuousStatsTable[[#This Row],[BatchMeansHalfWidth]])</f>
        <v>2.9048243757695521E-3</v>
      </c>
    </row>
    <row r="378" spans="1:21" x14ac:dyDescent="0.25">
      <c r="A378" t="s">
        <v>68</v>
      </c>
      <c r="B378" t="s">
        <v>131</v>
      </c>
      <c r="C378">
        <v>32</v>
      </c>
      <c r="D378" t="s">
        <v>97</v>
      </c>
      <c r="E378" t="s">
        <v>100</v>
      </c>
      <c r="F378" t="s">
        <v>99</v>
      </c>
      <c r="G378">
        <v>1.63004769149935</v>
      </c>
      <c r="H378">
        <v>5.5512135202514301E-2</v>
      </c>
      <c r="I378">
        <v>0</v>
      </c>
      <c r="J378">
        <v>2</v>
      </c>
      <c r="K378">
        <v>2</v>
      </c>
      <c r="L378">
        <v>0</v>
      </c>
      <c r="M378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378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cm="1">
        <f t="array" ref="O378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78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78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78" cm="1">
        <f t="array" ref="S378">MIN(IF((ContinuousStatsTable[GroupByKey]=ContinuousStatsTable[[#This Row],[GroupByKey]]),(ContinuousStatsTable[GroupByKey]=ContinuousStatsTable[[#This Row],[GroupByKey]])*ContinuousStatsTable[Average]))</f>
        <v>1.5741192553307399</v>
      </c>
      <c r="T378" cm="1">
        <f t="array" ref="T378">MAX(IF((ContinuousStatsTable[GroupByKey]=ContinuousStatsTable[[#This Row],[GroupByKey]]),(ContinuousStatsTable[GroupByKey]=ContinuousStatsTable[[#This Row],[GroupByKey]])*ContinuousStatsTable[Average]))</f>
        <v>1.7101743889827701</v>
      </c>
      <c r="U378">
        <f>IF((ContinuousStatsTable[[#This Row],[RepsRequested]]&gt;1),ContinuousStatsTable[[#This Row],[HalfWidth]],ContinuousStatsTable[[#This Row],[BatchMeansHalfWidth]])</f>
        <v>8.7144731273084922E-3</v>
      </c>
    </row>
    <row r="379" spans="1:21" x14ac:dyDescent="0.25">
      <c r="A379" t="s">
        <v>68</v>
      </c>
      <c r="B379" t="s">
        <v>131</v>
      </c>
      <c r="C379">
        <v>32</v>
      </c>
      <c r="D379" t="s">
        <v>97</v>
      </c>
      <c r="E379" t="s">
        <v>101</v>
      </c>
      <c r="F379" t="s">
        <v>99</v>
      </c>
      <c r="G379">
        <v>3</v>
      </c>
      <c r="H379">
        <v>2E+20</v>
      </c>
      <c r="I379">
        <v>3</v>
      </c>
      <c r="J379">
        <v>3</v>
      </c>
      <c r="K379">
        <v>3</v>
      </c>
      <c r="L379">
        <v>0</v>
      </c>
      <c r="M379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379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cm="1">
        <f t="array" ref="O379">IFERROR(AVERAGE(IF((ContinuousStatsTable[GroupByKey]=ContinuousStatsTable[[#This Row],[GroupByKey]]),(ContinuousStatsTable[GroupByKey]=ContinuousStatsTable[[#This Row],[GroupByKey]])*ContinuousStatsTable[Average])),0)</f>
        <v>3</v>
      </c>
      <c r="P379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0</v>
      </c>
      <c r="Q379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9" cm="1">
        <f t="array" ref="S379">MIN(IF((ContinuousStatsTable[GroupByKey]=ContinuousStatsTable[[#This Row],[GroupByKey]]),(ContinuousStatsTable[GroupByKey]=ContinuousStatsTable[[#This Row],[GroupByKey]])*ContinuousStatsTable[Average]))</f>
        <v>3</v>
      </c>
      <c r="T379" cm="1">
        <f t="array" ref="T379">MAX(IF((ContinuousStatsTable[GroupByKey]=ContinuousStatsTable[[#This Row],[GroupByKey]]),(ContinuousStatsTable[GroupByKey]=ContinuousStatsTable[[#This Row],[GroupByKey]])*ContinuousStatsTable[Average]))</f>
        <v>3</v>
      </c>
      <c r="U379">
        <f>IF((ContinuousStatsTable[[#This Row],[RepsRequested]]&gt;1),ContinuousStatsTable[[#This Row],[HalfWidth]],ContinuousStatsTable[[#This Row],[BatchMeansHalfWidth]])</f>
        <v>0</v>
      </c>
    </row>
    <row r="380" spans="1:21" x14ac:dyDescent="0.25">
      <c r="A380" t="s">
        <v>68</v>
      </c>
      <c r="B380" t="s">
        <v>131</v>
      </c>
      <c r="C380">
        <v>32</v>
      </c>
      <c r="D380" t="s">
        <v>102</v>
      </c>
      <c r="E380" t="s">
        <v>98</v>
      </c>
      <c r="F380" t="s">
        <v>99</v>
      </c>
      <c r="G380">
        <v>0.81502384574967301</v>
      </c>
      <c r="H380">
        <v>2.7756067601257199E-2</v>
      </c>
      <c r="I380">
        <v>0</v>
      </c>
      <c r="J380">
        <v>1</v>
      </c>
      <c r="K380">
        <v>1</v>
      </c>
      <c r="L380">
        <v>0</v>
      </c>
      <c r="M380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380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cm="1">
        <f t="array" ref="O380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380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380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380" cm="1">
        <f t="array" ref="S380">MIN(IF((ContinuousStatsTable[GroupByKey]=ContinuousStatsTable[[#This Row],[GroupByKey]]),(ContinuousStatsTable[GroupByKey]=ContinuousStatsTable[[#This Row],[GroupByKey]])*ContinuousStatsTable[Average]))</f>
        <v>0.78705962766536897</v>
      </c>
      <c r="T380" cm="1">
        <f t="array" ref="T380">MAX(IF((ContinuousStatsTable[GroupByKey]=ContinuousStatsTable[[#This Row],[GroupByKey]]),(ContinuousStatsTable[GroupByKey]=ContinuousStatsTable[[#This Row],[GroupByKey]])*ContinuousStatsTable[Average]))</f>
        <v>0.85508719449138504</v>
      </c>
      <c r="U380">
        <f>IF((ContinuousStatsTable[[#This Row],[RepsRequested]]&gt;1),ContinuousStatsTable[[#This Row],[HalfWidth]],ContinuousStatsTable[[#This Row],[BatchMeansHalfWidth]])</f>
        <v>4.3572365636542886E-3</v>
      </c>
    </row>
    <row r="381" spans="1:21" x14ac:dyDescent="0.25">
      <c r="A381" t="s">
        <v>68</v>
      </c>
      <c r="B381" t="s">
        <v>131</v>
      </c>
      <c r="C381">
        <v>32</v>
      </c>
      <c r="D381" t="s">
        <v>102</v>
      </c>
      <c r="E381" t="s">
        <v>100</v>
      </c>
      <c r="F381" t="s">
        <v>99</v>
      </c>
      <c r="G381">
        <v>1.63004769149935</v>
      </c>
      <c r="H381">
        <v>5.5512135202514301E-2</v>
      </c>
      <c r="I381">
        <v>0</v>
      </c>
      <c r="J381">
        <v>2</v>
      </c>
      <c r="K381">
        <v>2</v>
      </c>
      <c r="L381">
        <v>0</v>
      </c>
      <c r="M381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381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cm="1">
        <f t="array" ref="O381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81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81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81" cm="1">
        <f t="array" ref="S381">MIN(IF((ContinuousStatsTable[GroupByKey]=ContinuousStatsTable[[#This Row],[GroupByKey]]),(ContinuousStatsTable[GroupByKey]=ContinuousStatsTable[[#This Row],[GroupByKey]])*ContinuousStatsTable[Average]))</f>
        <v>1.5741192553307399</v>
      </c>
      <c r="T381" cm="1">
        <f t="array" ref="T381">MAX(IF((ContinuousStatsTable[GroupByKey]=ContinuousStatsTable[[#This Row],[GroupByKey]]),(ContinuousStatsTable[GroupByKey]=ContinuousStatsTable[[#This Row],[GroupByKey]])*ContinuousStatsTable[Average]))</f>
        <v>1.7101743889827701</v>
      </c>
      <c r="U381">
        <f>IF((ContinuousStatsTable[[#This Row],[RepsRequested]]&gt;1),ContinuousStatsTable[[#This Row],[HalfWidth]],ContinuousStatsTable[[#This Row],[BatchMeansHalfWidth]])</f>
        <v>8.7144731273084922E-3</v>
      </c>
    </row>
    <row r="382" spans="1:21" x14ac:dyDescent="0.25">
      <c r="A382" t="s">
        <v>68</v>
      </c>
      <c r="B382" t="s">
        <v>131</v>
      </c>
      <c r="C382">
        <v>32</v>
      </c>
      <c r="D382" t="s">
        <v>102</v>
      </c>
      <c r="E382" t="s">
        <v>101</v>
      </c>
      <c r="F382" t="s">
        <v>99</v>
      </c>
      <c r="G382">
        <v>2</v>
      </c>
      <c r="H382">
        <v>2E+20</v>
      </c>
      <c r="I382">
        <v>2</v>
      </c>
      <c r="J382">
        <v>2</v>
      </c>
      <c r="K382">
        <v>2</v>
      </c>
      <c r="L382">
        <v>0</v>
      </c>
      <c r="M382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382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cm="1">
        <f t="array" ref="O382">IFERROR(AVERAGE(IF((ContinuousStatsTable[GroupByKey]=ContinuousStatsTable[[#This Row],[GroupByKey]]),(ContinuousStatsTable[GroupByKey]=ContinuousStatsTable[[#This Row],[GroupByKey]])*ContinuousStatsTable[Average])),0)</f>
        <v>2</v>
      </c>
      <c r="P382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cm="1">
        <f t="array" ref="S382">MIN(IF((ContinuousStatsTable[GroupByKey]=ContinuousStatsTable[[#This Row],[GroupByKey]]),(ContinuousStatsTable[GroupByKey]=ContinuousStatsTable[[#This Row],[GroupByKey]])*ContinuousStatsTable[Average]))</f>
        <v>2</v>
      </c>
      <c r="T382" cm="1">
        <f t="array" ref="T382">MAX(IF((ContinuousStatsTable[GroupByKey]=ContinuousStatsTable[[#This Row],[GroupByKey]]),(ContinuousStatsTable[GroupByKey]=ContinuousStatsTable[[#This Row],[GroupByKey]])*ContinuousStatsTable[Average]))</f>
        <v>2</v>
      </c>
      <c r="U382">
        <f>IF((ContinuousStatsTable[[#This Row],[RepsRequested]]&gt;1),ContinuousStatsTable[[#This Row],[HalfWidth]],ContinuousStatsTable[[#This Row],[BatchMeansHalfWidth]])</f>
        <v>0</v>
      </c>
    </row>
    <row r="383" spans="1:21" x14ac:dyDescent="0.25">
      <c r="A383" t="s">
        <v>68</v>
      </c>
      <c r="B383" t="s">
        <v>131</v>
      </c>
      <c r="C383">
        <v>32</v>
      </c>
      <c r="D383" t="s">
        <v>103</v>
      </c>
      <c r="E383" t="s">
        <v>98</v>
      </c>
      <c r="F383" t="s">
        <v>99</v>
      </c>
      <c r="G383">
        <v>0.45828999938777898</v>
      </c>
      <c r="H383">
        <v>1.21273623038579E-2</v>
      </c>
      <c r="I383">
        <v>0</v>
      </c>
      <c r="J383">
        <v>1</v>
      </c>
      <c r="K383">
        <v>1</v>
      </c>
      <c r="L383">
        <v>0</v>
      </c>
      <c r="M383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383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cm="1">
        <f t="array" ref="O383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83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83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83" cm="1">
        <f t="array" ref="S383">MIN(IF((ContinuousStatsTable[GroupByKey]=ContinuousStatsTable[[#This Row],[GroupByKey]]),(ContinuousStatsTable[GroupByKey]=ContinuousStatsTable[[#This Row],[GroupByKey]])*ContinuousStatsTable[Average]))</f>
        <v>0.452397944183905</v>
      </c>
      <c r="T383" cm="1">
        <f t="array" ref="T383">MAX(IF((ContinuousStatsTable[GroupByKey]=ContinuousStatsTable[[#This Row],[GroupByKey]]),(ContinuousStatsTable[GroupByKey]=ContinuousStatsTable[[#This Row],[GroupByKey]])*ContinuousStatsTable[Average]))</f>
        <v>0.49691123629694001</v>
      </c>
      <c r="U383">
        <f>IF((ContinuousStatsTable[[#This Row],[RepsRequested]]&gt;1),ContinuousStatsTable[[#This Row],[HalfWidth]],ContinuousStatsTable[[#This Row],[BatchMeansHalfWidth]])</f>
        <v>2.7457743728226142E-3</v>
      </c>
    </row>
    <row r="384" spans="1:21" x14ac:dyDescent="0.25">
      <c r="A384" t="s">
        <v>68</v>
      </c>
      <c r="B384" t="s">
        <v>131</v>
      </c>
      <c r="C384">
        <v>32</v>
      </c>
      <c r="D384" t="s">
        <v>103</v>
      </c>
      <c r="E384" t="s">
        <v>100</v>
      </c>
      <c r="F384" t="s">
        <v>99</v>
      </c>
      <c r="G384">
        <v>0.45828999938777898</v>
      </c>
      <c r="H384">
        <v>1.21273623038579E-2</v>
      </c>
      <c r="I384">
        <v>0</v>
      </c>
      <c r="J384">
        <v>1</v>
      </c>
      <c r="K384">
        <v>1</v>
      </c>
      <c r="L384">
        <v>0</v>
      </c>
      <c r="M384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384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cm="1">
        <f t="array" ref="O384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84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84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84" cm="1">
        <f t="array" ref="S384">MIN(IF((ContinuousStatsTable[GroupByKey]=ContinuousStatsTable[[#This Row],[GroupByKey]]),(ContinuousStatsTable[GroupByKey]=ContinuousStatsTable[[#This Row],[GroupByKey]])*ContinuousStatsTable[Average]))</f>
        <v>0.452397944183905</v>
      </c>
      <c r="T384" cm="1">
        <f t="array" ref="T384">MAX(IF((ContinuousStatsTable[GroupByKey]=ContinuousStatsTable[[#This Row],[GroupByKey]]),(ContinuousStatsTable[GroupByKey]=ContinuousStatsTable[[#This Row],[GroupByKey]])*ContinuousStatsTable[Average]))</f>
        <v>0.49691123629694001</v>
      </c>
      <c r="U384">
        <f>IF((ContinuousStatsTable[[#This Row],[RepsRequested]]&gt;1),ContinuousStatsTable[[#This Row],[HalfWidth]],ContinuousStatsTable[[#This Row],[BatchMeansHalfWidth]])</f>
        <v>2.7457743728226142E-3</v>
      </c>
    </row>
    <row r="385" spans="1:21" x14ac:dyDescent="0.25">
      <c r="A385" t="s">
        <v>68</v>
      </c>
      <c r="B385" t="s">
        <v>131</v>
      </c>
      <c r="C385">
        <v>32</v>
      </c>
      <c r="D385" t="s">
        <v>103</v>
      </c>
      <c r="E385" t="s">
        <v>101</v>
      </c>
      <c r="F385" t="s">
        <v>99</v>
      </c>
      <c r="G385">
        <v>1</v>
      </c>
      <c r="H385">
        <v>2E+20</v>
      </c>
      <c r="I385">
        <v>1</v>
      </c>
      <c r="J385">
        <v>1</v>
      </c>
      <c r="K385">
        <v>1</v>
      </c>
      <c r="L385">
        <v>0</v>
      </c>
      <c r="M385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38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cm="1">
        <f t="array" ref="O385">IFERROR(AVERAGE(IF((ContinuousStatsTable[GroupByKey]=ContinuousStatsTable[[#This Row],[GroupByKey]]),(ContinuousStatsTable[GroupByKey]=ContinuousStatsTable[[#This Row],[GroupByKey]])*ContinuousStatsTable[Average])),0)</f>
        <v>1</v>
      </c>
      <c r="P38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cm="1">
        <f t="array" ref="S385">MIN(IF((ContinuousStatsTable[GroupByKey]=ContinuousStatsTable[[#This Row],[GroupByKey]]),(ContinuousStatsTable[GroupByKey]=ContinuousStatsTable[[#This Row],[GroupByKey]])*ContinuousStatsTable[Average]))</f>
        <v>1</v>
      </c>
      <c r="T385" cm="1">
        <f t="array" ref="T385">MAX(IF((ContinuousStatsTable[GroupByKey]=ContinuousStatsTable[[#This Row],[GroupByKey]]),(ContinuousStatsTable[GroupByKey]=ContinuousStatsTable[[#This Row],[GroupByKey]])*ContinuousStatsTable[Average]))</f>
        <v>1</v>
      </c>
      <c r="U385">
        <f>IF((ContinuousStatsTable[[#This Row],[RepsRequested]]&gt;1),ContinuousStatsTable[[#This Row],[HalfWidth]],ContinuousStatsTable[[#This Row],[BatchMeansHalfWidth]])</f>
        <v>0</v>
      </c>
    </row>
    <row r="386" spans="1:21" x14ac:dyDescent="0.25">
      <c r="A386" t="s">
        <v>68</v>
      </c>
      <c r="B386" t="s">
        <v>131</v>
      </c>
      <c r="C386">
        <v>33</v>
      </c>
      <c r="D386" t="s">
        <v>70</v>
      </c>
      <c r="E386" t="s">
        <v>95</v>
      </c>
      <c r="F386" t="s">
        <v>72</v>
      </c>
      <c r="G386">
        <v>4.6810442992559604</v>
      </c>
      <c r="H386">
        <v>0.79599109413255198</v>
      </c>
      <c r="I386">
        <v>0</v>
      </c>
      <c r="J386">
        <v>19</v>
      </c>
      <c r="K386">
        <v>2</v>
      </c>
      <c r="L386">
        <v>0</v>
      </c>
      <c r="M386" t="str">
        <f>ContinuousStatsTable[[#This Row],[ProjectName]]&amp;ContinuousStatsTable[[#This Row],[Name]]&amp;ContinuousStatsTable[[#This Row],[Type]]&amp;ContinuousStatsTable[[#This Row],[Source]]</f>
        <v>PacientesEntity 1WIPEntity</v>
      </c>
      <c r="N386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cm="1">
        <f t="array" ref="O386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386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386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386" cm="1">
        <f t="array" ref="S386">MIN(IF((ContinuousStatsTable[GroupByKey]=ContinuousStatsTable[[#This Row],[GroupByKey]]),(ContinuousStatsTable[GroupByKey]=ContinuousStatsTable[[#This Row],[GroupByKey]])*ContinuousStatsTable[Average]))</f>
        <v>3.9757448048151298</v>
      </c>
      <c r="T386" cm="1">
        <f t="array" ref="T386">MAX(IF((ContinuousStatsTable[GroupByKey]=ContinuousStatsTable[[#This Row],[GroupByKey]]),(ContinuousStatsTable[GroupByKey]=ContinuousStatsTable[[#This Row],[GroupByKey]])*ContinuousStatsTable[Average]))</f>
        <v>6.9386840633215803</v>
      </c>
      <c r="U386">
        <f>IF((ContinuousStatsTable[[#This Row],[RepsRequested]]&gt;1),ContinuousStatsTable[[#This Row],[HalfWidth]],ContinuousStatsTable[[#This Row],[BatchMeansHalfWidth]])</f>
        <v>0.22030607219171747</v>
      </c>
    </row>
    <row r="387" spans="1:21" x14ac:dyDescent="0.25">
      <c r="A387" t="s">
        <v>68</v>
      </c>
      <c r="B387" t="s">
        <v>131</v>
      </c>
      <c r="C387">
        <v>33</v>
      </c>
      <c r="D387" t="s">
        <v>83</v>
      </c>
      <c r="E387" t="s">
        <v>96</v>
      </c>
      <c r="F387" t="s">
        <v>85</v>
      </c>
      <c r="G387">
        <v>2.3468698688050602</v>
      </c>
      <c r="H387">
        <v>0.70592687134325904</v>
      </c>
      <c r="I387">
        <v>0</v>
      </c>
      <c r="J387">
        <v>16</v>
      </c>
      <c r="K387">
        <v>0</v>
      </c>
      <c r="L387">
        <v>0</v>
      </c>
      <c r="M387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87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cm="1">
        <f t="array" ref="O387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87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87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87" cm="1">
        <f t="array" ref="S387">MIN(IF((ContinuousStatsTable[GroupByKey]=ContinuousStatsTable[[#This Row],[GroupByKey]]),(ContinuousStatsTable[GroupByKey]=ContinuousStatsTable[[#This Row],[GroupByKey]])*ContinuousStatsTable[Average]))</f>
        <v>1.7200278735122601</v>
      </c>
      <c r="T387" cm="1">
        <f t="array" ref="T387">MAX(IF((ContinuousStatsTable[GroupByKey]=ContinuousStatsTable[[#This Row],[GroupByKey]]),(ContinuousStatsTable[GroupByKey]=ContinuousStatsTable[[#This Row],[GroupByKey]])*ContinuousStatsTable[Average]))</f>
        <v>4.5543512780988502</v>
      </c>
      <c r="U387">
        <f>IF((ContinuousStatsTable[[#This Row],[RepsRequested]]&gt;1),ContinuousStatsTable[[#This Row],[HalfWidth]],ContinuousStatsTable[[#This Row],[BatchMeansHalfWidth]])</f>
        <v>0.21041231434540877</v>
      </c>
    </row>
    <row r="388" spans="1:21" x14ac:dyDescent="0.25">
      <c r="A388" t="s">
        <v>68</v>
      </c>
      <c r="B388" t="s">
        <v>131</v>
      </c>
      <c r="C388">
        <v>33</v>
      </c>
      <c r="D388" t="s">
        <v>87</v>
      </c>
      <c r="E388" t="s">
        <v>96</v>
      </c>
      <c r="F388" t="s">
        <v>85</v>
      </c>
      <c r="G388">
        <v>0.206923684528805</v>
      </c>
      <c r="H388">
        <v>3.1671999406637702E-2</v>
      </c>
      <c r="I388">
        <v>0</v>
      </c>
      <c r="J388">
        <v>4</v>
      </c>
      <c r="K388">
        <v>0</v>
      </c>
      <c r="L388">
        <v>0</v>
      </c>
      <c r="M388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388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cm="1">
        <f t="array" ref="O388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388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388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388" cm="1">
        <f t="array" ref="S388">MIN(IF((ContinuousStatsTable[GroupByKey]=ContinuousStatsTable[[#This Row],[GroupByKey]]),(ContinuousStatsTable[GroupByKey]=ContinuousStatsTable[[#This Row],[GroupByKey]])*ContinuousStatsTable[Average]))</f>
        <v>0.172815232766103</v>
      </c>
      <c r="T388" cm="1">
        <f t="array" ref="T388">MAX(IF((ContinuousStatsTable[GroupByKey]=ContinuousStatsTable[[#This Row],[GroupByKey]]),(ContinuousStatsTable[GroupByKey]=ContinuousStatsTable[[#This Row],[GroupByKey]])*ContinuousStatsTable[Average]))</f>
        <v>0.24783514900621301</v>
      </c>
      <c r="U388">
        <f>IF((ContinuousStatsTable[[#This Row],[RepsRequested]]&gt;1),ContinuousStatsTable[[#This Row],[HalfWidth]],ContinuousStatsTable[[#This Row],[BatchMeansHalfWidth]])</f>
        <v>4.7768909384897544E-3</v>
      </c>
    </row>
    <row r="389" spans="1:21" x14ac:dyDescent="0.25">
      <c r="A389" t="s">
        <v>68</v>
      </c>
      <c r="B389" t="s">
        <v>131</v>
      </c>
      <c r="C389">
        <v>33</v>
      </c>
      <c r="D389" t="s">
        <v>97</v>
      </c>
      <c r="E389" t="s">
        <v>98</v>
      </c>
      <c r="F389" t="s">
        <v>99</v>
      </c>
      <c r="G389">
        <v>0.55132248861278299</v>
      </c>
      <c r="H389">
        <v>2.1456809339754801E-2</v>
      </c>
      <c r="I389">
        <v>0</v>
      </c>
      <c r="J389">
        <v>0.66666666666666696</v>
      </c>
      <c r="K389">
        <v>0.33333333333333298</v>
      </c>
      <c r="L389">
        <v>0</v>
      </c>
      <c r="M389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389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cm="1">
        <f t="array" ref="O389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389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389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389" cm="1">
        <f t="array" ref="S389">MIN(IF((ContinuousStatsTable[GroupByKey]=ContinuousStatsTable[[#This Row],[GroupByKey]]),(ContinuousStatsTable[GroupByKey]=ContinuousStatsTable[[#This Row],[GroupByKey]])*ContinuousStatsTable[Average]))</f>
        <v>0.52470641844357602</v>
      </c>
      <c r="T389" cm="1">
        <f t="array" ref="T389">MAX(IF((ContinuousStatsTable[GroupByKey]=ContinuousStatsTable[[#This Row],[GroupByKey]]),(ContinuousStatsTable[GroupByKey]=ContinuousStatsTable[[#This Row],[GroupByKey]])*ContinuousStatsTable[Average]))</f>
        <v>0.57005812966092095</v>
      </c>
      <c r="U389">
        <f>IF((ContinuousStatsTable[[#This Row],[RepsRequested]]&gt;1),ContinuousStatsTable[[#This Row],[HalfWidth]],ContinuousStatsTable[[#This Row],[BatchMeansHalfWidth]])</f>
        <v>2.9048243757695521E-3</v>
      </c>
    </row>
    <row r="390" spans="1:21" x14ac:dyDescent="0.25">
      <c r="A390" t="s">
        <v>68</v>
      </c>
      <c r="B390" t="s">
        <v>131</v>
      </c>
      <c r="C390">
        <v>33</v>
      </c>
      <c r="D390" t="s">
        <v>97</v>
      </c>
      <c r="E390" t="s">
        <v>100</v>
      </c>
      <c r="F390" t="s">
        <v>99</v>
      </c>
      <c r="G390">
        <v>1.6539674658383401</v>
      </c>
      <c r="H390">
        <v>6.4370428019264403E-2</v>
      </c>
      <c r="I390">
        <v>0</v>
      </c>
      <c r="J390">
        <v>2</v>
      </c>
      <c r="K390">
        <v>1</v>
      </c>
      <c r="L390">
        <v>0</v>
      </c>
      <c r="M390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390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cm="1">
        <f t="array" ref="O390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90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90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90" cm="1">
        <f t="array" ref="S390">MIN(IF((ContinuousStatsTable[GroupByKey]=ContinuousStatsTable[[#This Row],[GroupByKey]]),(ContinuousStatsTable[GroupByKey]=ContinuousStatsTable[[#This Row],[GroupByKey]])*ContinuousStatsTable[Average]))</f>
        <v>1.5741192553307399</v>
      </c>
      <c r="T390" cm="1">
        <f t="array" ref="T390">MAX(IF((ContinuousStatsTable[GroupByKey]=ContinuousStatsTable[[#This Row],[GroupByKey]]),(ContinuousStatsTable[GroupByKey]=ContinuousStatsTable[[#This Row],[GroupByKey]])*ContinuousStatsTable[Average]))</f>
        <v>1.7101743889827701</v>
      </c>
      <c r="U390">
        <f>IF((ContinuousStatsTable[[#This Row],[RepsRequested]]&gt;1),ContinuousStatsTable[[#This Row],[HalfWidth]],ContinuousStatsTable[[#This Row],[BatchMeansHalfWidth]])</f>
        <v>8.7144731273084922E-3</v>
      </c>
    </row>
    <row r="391" spans="1:21" x14ac:dyDescent="0.25">
      <c r="A391" t="s">
        <v>68</v>
      </c>
      <c r="B391" t="s">
        <v>131</v>
      </c>
      <c r="C391">
        <v>33</v>
      </c>
      <c r="D391" t="s">
        <v>97</v>
      </c>
      <c r="E391" t="s">
        <v>101</v>
      </c>
      <c r="F391" t="s">
        <v>99</v>
      </c>
      <c r="G391">
        <v>3</v>
      </c>
      <c r="H391">
        <v>2E+20</v>
      </c>
      <c r="I391">
        <v>3</v>
      </c>
      <c r="J391">
        <v>3</v>
      </c>
      <c r="K391">
        <v>3</v>
      </c>
      <c r="L391">
        <v>0</v>
      </c>
      <c r="M391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391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cm="1">
        <f t="array" ref="O391">IFERROR(AVERAGE(IF((ContinuousStatsTable[GroupByKey]=ContinuousStatsTable[[#This Row],[GroupByKey]]),(ContinuousStatsTable[GroupByKey]=ContinuousStatsTable[[#This Row],[GroupByKey]])*ContinuousStatsTable[Average])),0)</f>
        <v>3</v>
      </c>
      <c r="P391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cm="1">
        <f t="array" ref="S391">MIN(IF((ContinuousStatsTable[GroupByKey]=ContinuousStatsTable[[#This Row],[GroupByKey]]),(ContinuousStatsTable[GroupByKey]=ContinuousStatsTable[[#This Row],[GroupByKey]])*ContinuousStatsTable[Average]))</f>
        <v>3</v>
      </c>
      <c r="T391" cm="1">
        <f t="array" ref="T391">MAX(IF((ContinuousStatsTable[GroupByKey]=ContinuousStatsTable[[#This Row],[GroupByKey]]),(ContinuousStatsTable[GroupByKey]=ContinuousStatsTable[[#This Row],[GroupByKey]])*ContinuousStatsTable[Average]))</f>
        <v>3</v>
      </c>
      <c r="U391">
        <f>IF((ContinuousStatsTable[[#This Row],[RepsRequested]]&gt;1),ContinuousStatsTable[[#This Row],[HalfWidth]],ContinuousStatsTable[[#This Row],[BatchMeansHalfWidth]])</f>
        <v>0</v>
      </c>
    </row>
    <row r="392" spans="1:21" x14ac:dyDescent="0.25">
      <c r="A392" t="s">
        <v>68</v>
      </c>
      <c r="B392" t="s">
        <v>131</v>
      </c>
      <c r="C392">
        <v>33</v>
      </c>
      <c r="D392" t="s">
        <v>102</v>
      </c>
      <c r="E392" t="s">
        <v>98</v>
      </c>
      <c r="F392" t="s">
        <v>99</v>
      </c>
      <c r="G392">
        <v>0.82698373291917204</v>
      </c>
      <c r="H392">
        <v>3.2185214009632201E-2</v>
      </c>
      <c r="I392">
        <v>0</v>
      </c>
      <c r="J392">
        <v>1</v>
      </c>
      <c r="K392">
        <v>0.5</v>
      </c>
      <c r="L392">
        <v>0</v>
      </c>
      <c r="M392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392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cm="1">
        <f t="array" ref="O392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392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392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392" cm="1">
        <f t="array" ref="S392">MIN(IF((ContinuousStatsTable[GroupByKey]=ContinuousStatsTable[[#This Row],[GroupByKey]]),(ContinuousStatsTable[GroupByKey]=ContinuousStatsTable[[#This Row],[GroupByKey]])*ContinuousStatsTable[Average]))</f>
        <v>0.78705962766536897</v>
      </c>
      <c r="T392" cm="1">
        <f t="array" ref="T392">MAX(IF((ContinuousStatsTable[GroupByKey]=ContinuousStatsTable[[#This Row],[GroupByKey]]),(ContinuousStatsTable[GroupByKey]=ContinuousStatsTable[[#This Row],[GroupByKey]])*ContinuousStatsTable[Average]))</f>
        <v>0.85508719449138504</v>
      </c>
      <c r="U392">
        <f>IF((ContinuousStatsTable[[#This Row],[RepsRequested]]&gt;1),ContinuousStatsTable[[#This Row],[HalfWidth]],ContinuousStatsTable[[#This Row],[BatchMeansHalfWidth]])</f>
        <v>4.3572365636542886E-3</v>
      </c>
    </row>
    <row r="393" spans="1:21" x14ac:dyDescent="0.25">
      <c r="A393" t="s">
        <v>68</v>
      </c>
      <c r="B393" t="s">
        <v>131</v>
      </c>
      <c r="C393">
        <v>33</v>
      </c>
      <c r="D393" t="s">
        <v>102</v>
      </c>
      <c r="E393" t="s">
        <v>100</v>
      </c>
      <c r="F393" t="s">
        <v>99</v>
      </c>
      <c r="G393">
        <v>1.6539674658383401</v>
      </c>
      <c r="H393">
        <v>6.4370428019264403E-2</v>
      </c>
      <c r="I393">
        <v>0</v>
      </c>
      <c r="J393">
        <v>2</v>
      </c>
      <c r="K393">
        <v>1</v>
      </c>
      <c r="L393">
        <v>0</v>
      </c>
      <c r="M393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393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cm="1">
        <f t="array" ref="O393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393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393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393" cm="1">
        <f t="array" ref="S393">MIN(IF((ContinuousStatsTable[GroupByKey]=ContinuousStatsTable[[#This Row],[GroupByKey]]),(ContinuousStatsTable[GroupByKey]=ContinuousStatsTable[[#This Row],[GroupByKey]])*ContinuousStatsTable[Average]))</f>
        <v>1.5741192553307399</v>
      </c>
      <c r="T393" cm="1">
        <f t="array" ref="T393">MAX(IF((ContinuousStatsTable[GroupByKey]=ContinuousStatsTable[[#This Row],[GroupByKey]]),(ContinuousStatsTable[GroupByKey]=ContinuousStatsTable[[#This Row],[GroupByKey]])*ContinuousStatsTable[Average]))</f>
        <v>1.7101743889827701</v>
      </c>
      <c r="U393">
        <f>IF((ContinuousStatsTable[[#This Row],[RepsRequested]]&gt;1),ContinuousStatsTable[[#This Row],[HalfWidth]],ContinuousStatsTable[[#This Row],[BatchMeansHalfWidth]])</f>
        <v>8.7144731273084922E-3</v>
      </c>
    </row>
    <row r="394" spans="1:21" x14ac:dyDescent="0.25">
      <c r="A394" t="s">
        <v>68</v>
      </c>
      <c r="B394" t="s">
        <v>131</v>
      </c>
      <c r="C394">
        <v>33</v>
      </c>
      <c r="D394" t="s">
        <v>102</v>
      </c>
      <c r="E394" t="s">
        <v>101</v>
      </c>
      <c r="F394" t="s">
        <v>99</v>
      </c>
      <c r="G394">
        <v>2</v>
      </c>
      <c r="H394">
        <v>2E+20</v>
      </c>
      <c r="I394">
        <v>2</v>
      </c>
      <c r="J394">
        <v>2</v>
      </c>
      <c r="K394">
        <v>2</v>
      </c>
      <c r="L394">
        <v>0</v>
      </c>
      <c r="M394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394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cm="1">
        <f t="array" ref="O394">IFERROR(AVERAGE(IF((ContinuousStatsTable[GroupByKey]=ContinuousStatsTable[[#This Row],[GroupByKey]]),(ContinuousStatsTable[GroupByKey]=ContinuousStatsTable[[#This Row],[GroupByKey]])*ContinuousStatsTable[Average])),0)</f>
        <v>2</v>
      </c>
      <c r="P394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</v>
      </c>
      <c r="Q394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4" cm="1">
        <f t="array" ref="S394">MIN(IF((ContinuousStatsTable[GroupByKey]=ContinuousStatsTable[[#This Row],[GroupByKey]]),(ContinuousStatsTable[GroupByKey]=ContinuousStatsTable[[#This Row],[GroupByKey]])*ContinuousStatsTable[Average]))</f>
        <v>2</v>
      </c>
      <c r="T394" cm="1">
        <f t="array" ref="T394">MAX(IF((ContinuousStatsTable[GroupByKey]=ContinuousStatsTable[[#This Row],[GroupByKey]]),(ContinuousStatsTable[GroupByKey]=ContinuousStatsTable[[#This Row],[GroupByKey]])*ContinuousStatsTable[Average]))</f>
        <v>2</v>
      </c>
      <c r="U394">
        <f>IF((ContinuousStatsTable[[#This Row],[RepsRequested]]&gt;1),ContinuousStatsTable[[#This Row],[HalfWidth]],ContinuousStatsTable[[#This Row],[BatchMeansHalfWidth]])</f>
        <v>0</v>
      </c>
    </row>
    <row r="395" spans="1:21" x14ac:dyDescent="0.25">
      <c r="A395" t="s">
        <v>68</v>
      </c>
      <c r="B395" t="s">
        <v>131</v>
      </c>
      <c r="C395">
        <v>33</v>
      </c>
      <c r="D395" t="s">
        <v>103</v>
      </c>
      <c r="E395" t="s">
        <v>98</v>
      </c>
      <c r="F395" t="s">
        <v>99</v>
      </c>
      <c r="G395">
        <v>0.47328328008376203</v>
      </c>
      <c r="H395">
        <v>1.6962270053101001E-2</v>
      </c>
      <c r="I395">
        <v>0</v>
      </c>
      <c r="J395">
        <v>1</v>
      </c>
      <c r="K395">
        <v>1</v>
      </c>
      <c r="L395">
        <v>0</v>
      </c>
      <c r="M395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39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cm="1">
        <f t="array" ref="O395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9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9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95" cm="1">
        <f t="array" ref="S395">MIN(IF((ContinuousStatsTable[GroupByKey]=ContinuousStatsTable[[#This Row],[GroupByKey]]),(ContinuousStatsTable[GroupByKey]=ContinuousStatsTable[[#This Row],[GroupByKey]])*ContinuousStatsTable[Average]))</f>
        <v>0.452397944183905</v>
      </c>
      <c r="T395" cm="1">
        <f t="array" ref="T395">MAX(IF((ContinuousStatsTable[GroupByKey]=ContinuousStatsTable[[#This Row],[GroupByKey]]),(ContinuousStatsTable[GroupByKey]=ContinuousStatsTable[[#This Row],[GroupByKey]])*ContinuousStatsTable[Average]))</f>
        <v>0.49691123629694001</v>
      </c>
      <c r="U395">
        <f>IF((ContinuousStatsTable[[#This Row],[RepsRequested]]&gt;1),ContinuousStatsTable[[#This Row],[HalfWidth]],ContinuousStatsTable[[#This Row],[BatchMeansHalfWidth]])</f>
        <v>2.7457743728226142E-3</v>
      </c>
    </row>
    <row r="396" spans="1:21" x14ac:dyDescent="0.25">
      <c r="A396" t="s">
        <v>68</v>
      </c>
      <c r="B396" t="s">
        <v>131</v>
      </c>
      <c r="C396">
        <v>33</v>
      </c>
      <c r="D396" t="s">
        <v>103</v>
      </c>
      <c r="E396" t="s">
        <v>100</v>
      </c>
      <c r="F396" t="s">
        <v>99</v>
      </c>
      <c r="G396">
        <v>0.47328328008376203</v>
      </c>
      <c r="H396">
        <v>1.6962270053101001E-2</v>
      </c>
      <c r="I396">
        <v>0</v>
      </c>
      <c r="J396">
        <v>1</v>
      </c>
      <c r="K396">
        <v>1</v>
      </c>
      <c r="L396">
        <v>0</v>
      </c>
      <c r="M396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396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cm="1">
        <f t="array" ref="O396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396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396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396" cm="1">
        <f t="array" ref="S396">MIN(IF((ContinuousStatsTable[GroupByKey]=ContinuousStatsTable[[#This Row],[GroupByKey]]),(ContinuousStatsTable[GroupByKey]=ContinuousStatsTable[[#This Row],[GroupByKey]])*ContinuousStatsTable[Average]))</f>
        <v>0.452397944183905</v>
      </c>
      <c r="T396" cm="1">
        <f t="array" ref="T396">MAX(IF((ContinuousStatsTable[GroupByKey]=ContinuousStatsTable[[#This Row],[GroupByKey]]),(ContinuousStatsTable[GroupByKey]=ContinuousStatsTable[[#This Row],[GroupByKey]])*ContinuousStatsTable[Average]))</f>
        <v>0.49691123629694001</v>
      </c>
      <c r="U396">
        <f>IF((ContinuousStatsTable[[#This Row],[RepsRequested]]&gt;1),ContinuousStatsTable[[#This Row],[HalfWidth]],ContinuousStatsTable[[#This Row],[BatchMeansHalfWidth]])</f>
        <v>2.7457743728226142E-3</v>
      </c>
    </row>
    <row r="397" spans="1:21" x14ac:dyDescent="0.25">
      <c r="A397" t="s">
        <v>68</v>
      </c>
      <c r="B397" t="s">
        <v>131</v>
      </c>
      <c r="C397">
        <v>33</v>
      </c>
      <c r="D397" t="s">
        <v>103</v>
      </c>
      <c r="E397" t="s">
        <v>101</v>
      </c>
      <c r="F397" t="s">
        <v>99</v>
      </c>
      <c r="G397">
        <v>1</v>
      </c>
      <c r="H397">
        <v>2E+20</v>
      </c>
      <c r="I397">
        <v>1</v>
      </c>
      <c r="J397">
        <v>1</v>
      </c>
      <c r="K397">
        <v>1</v>
      </c>
      <c r="L397">
        <v>0</v>
      </c>
      <c r="M397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397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cm="1">
        <f t="array" ref="O397">IFERROR(AVERAGE(IF((ContinuousStatsTable[GroupByKey]=ContinuousStatsTable[[#This Row],[GroupByKey]]),(ContinuousStatsTable[GroupByKey]=ContinuousStatsTable[[#This Row],[GroupByKey]])*ContinuousStatsTable[Average])),0)</f>
        <v>1</v>
      </c>
      <c r="P397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cm="1">
        <f t="array" ref="S397">MIN(IF((ContinuousStatsTable[GroupByKey]=ContinuousStatsTable[[#This Row],[GroupByKey]]),(ContinuousStatsTable[GroupByKey]=ContinuousStatsTable[[#This Row],[GroupByKey]])*ContinuousStatsTable[Average]))</f>
        <v>1</v>
      </c>
      <c r="T397" cm="1">
        <f t="array" ref="T397">MAX(IF((ContinuousStatsTable[GroupByKey]=ContinuousStatsTable[[#This Row],[GroupByKey]]),(ContinuousStatsTable[GroupByKey]=ContinuousStatsTable[[#This Row],[GroupByKey]])*ContinuousStatsTable[Average]))</f>
        <v>1</v>
      </c>
      <c r="U397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68</v>
      </c>
      <c r="B398" t="s">
        <v>131</v>
      </c>
      <c r="C398">
        <v>34</v>
      </c>
      <c r="D398" t="s">
        <v>70</v>
      </c>
      <c r="E398" t="s">
        <v>95</v>
      </c>
      <c r="F398" t="s">
        <v>72</v>
      </c>
      <c r="G398">
        <v>4.9122794771054998</v>
      </c>
      <c r="H398">
        <v>1.28158264360636</v>
      </c>
      <c r="I398">
        <v>0</v>
      </c>
      <c r="J398">
        <v>24</v>
      </c>
      <c r="K398">
        <v>6</v>
      </c>
      <c r="L398">
        <v>0</v>
      </c>
      <c r="M398" t="str">
        <f>ContinuousStatsTable[[#This Row],[ProjectName]]&amp;ContinuousStatsTable[[#This Row],[Name]]&amp;ContinuousStatsTable[[#This Row],[Type]]&amp;ContinuousStatsTable[[#This Row],[Source]]</f>
        <v>PacientesEntity 1WIPEntity</v>
      </c>
      <c r="N398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cm="1">
        <f t="array" ref="O398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398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398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398" cm="1">
        <f t="array" ref="S398">MIN(IF((ContinuousStatsTable[GroupByKey]=ContinuousStatsTable[[#This Row],[GroupByKey]]),(ContinuousStatsTable[GroupByKey]=ContinuousStatsTable[[#This Row],[GroupByKey]])*ContinuousStatsTable[Average]))</f>
        <v>3.9757448048151298</v>
      </c>
      <c r="T398" cm="1">
        <f t="array" ref="T398">MAX(IF((ContinuousStatsTable[GroupByKey]=ContinuousStatsTable[[#This Row],[GroupByKey]]),(ContinuousStatsTable[GroupByKey]=ContinuousStatsTable[[#This Row],[GroupByKey]])*ContinuousStatsTable[Average]))</f>
        <v>6.9386840633215803</v>
      </c>
      <c r="U398">
        <f>IF((ContinuousStatsTable[[#This Row],[RepsRequested]]&gt;1),ContinuousStatsTable[[#This Row],[HalfWidth]],ContinuousStatsTable[[#This Row],[BatchMeansHalfWidth]])</f>
        <v>0.22030607219171747</v>
      </c>
    </row>
    <row r="399" spans="1:21" x14ac:dyDescent="0.25">
      <c r="A399" t="s">
        <v>68</v>
      </c>
      <c r="B399" t="s">
        <v>131</v>
      </c>
      <c r="C399">
        <v>34</v>
      </c>
      <c r="D399" t="s">
        <v>83</v>
      </c>
      <c r="E399" t="s">
        <v>96</v>
      </c>
      <c r="F399" t="s">
        <v>85</v>
      </c>
      <c r="G399">
        <v>2.5893612633920098</v>
      </c>
      <c r="H399">
        <v>1.20761802845725</v>
      </c>
      <c r="I399">
        <v>0</v>
      </c>
      <c r="J399">
        <v>21</v>
      </c>
      <c r="K399">
        <v>3</v>
      </c>
      <c r="L399">
        <v>0</v>
      </c>
      <c r="M399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399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cm="1">
        <f t="array" ref="O399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399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399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399" cm="1">
        <f t="array" ref="S399">MIN(IF((ContinuousStatsTable[GroupByKey]=ContinuousStatsTable[[#This Row],[GroupByKey]]),(ContinuousStatsTable[GroupByKey]=ContinuousStatsTable[[#This Row],[GroupByKey]])*ContinuousStatsTable[Average]))</f>
        <v>1.7200278735122601</v>
      </c>
      <c r="T399" cm="1">
        <f t="array" ref="T399">MAX(IF((ContinuousStatsTable[GroupByKey]=ContinuousStatsTable[[#This Row],[GroupByKey]]),(ContinuousStatsTable[GroupByKey]=ContinuousStatsTable[[#This Row],[GroupByKey]])*ContinuousStatsTable[Average]))</f>
        <v>4.5543512780988502</v>
      </c>
      <c r="U399">
        <f>IF((ContinuousStatsTable[[#This Row],[RepsRequested]]&gt;1),ContinuousStatsTable[[#This Row],[HalfWidth]],ContinuousStatsTable[[#This Row],[BatchMeansHalfWidth]])</f>
        <v>0.21041231434540877</v>
      </c>
    </row>
    <row r="400" spans="1:21" x14ac:dyDescent="0.25">
      <c r="A400" t="s">
        <v>68</v>
      </c>
      <c r="B400" t="s">
        <v>131</v>
      </c>
      <c r="C400">
        <v>34</v>
      </c>
      <c r="D400" t="s">
        <v>87</v>
      </c>
      <c r="E400" t="s">
        <v>96</v>
      </c>
      <c r="F400" t="s">
        <v>85</v>
      </c>
      <c r="G400">
        <v>0.20709202413563599</v>
      </c>
      <c r="H400">
        <v>3.5365915104645602E-2</v>
      </c>
      <c r="I400">
        <v>0</v>
      </c>
      <c r="J400">
        <v>7</v>
      </c>
      <c r="K400">
        <v>0</v>
      </c>
      <c r="L400">
        <v>0</v>
      </c>
      <c r="M400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00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cm="1">
        <f t="array" ref="O400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00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00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00" cm="1">
        <f t="array" ref="S400">MIN(IF((ContinuousStatsTable[GroupByKey]=ContinuousStatsTable[[#This Row],[GroupByKey]]),(ContinuousStatsTable[GroupByKey]=ContinuousStatsTable[[#This Row],[GroupByKey]])*ContinuousStatsTable[Average]))</f>
        <v>0.172815232766103</v>
      </c>
      <c r="T400" cm="1">
        <f t="array" ref="T400">MAX(IF((ContinuousStatsTable[GroupByKey]=ContinuousStatsTable[[#This Row],[GroupByKey]]),(ContinuousStatsTable[GroupByKey]=ContinuousStatsTable[[#This Row],[GroupByKey]])*ContinuousStatsTable[Average]))</f>
        <v>0.24783514900621301</v>
      </c>
      <c r="U400">
        <f>IF((ContinuousStatsTable[[#This Row],[RepsRequested]]&gt;1),ContinuousStatsTable[[#This Row],[HalfWidth]],ContinuousStatsTable[[#This Row],[BatchMeansHalfWidth]])</f>
        <v>4.7768909384897544E-3</v>
      </c>
    </row>
    <row r="401" spans="1:21" x14ac:dyDescent="0.25">
      <c r="A401" t="s">
        <v>68</v>
      </c>
      <c r="B401" t="s">
        <v>131</v>
      </c>
      <c r="C401">
        <v>34</v>
      </c>
      <c r="D401" t="s">
        <v>97</v>
      </c>
      <c r="E401" t="s">
        <v>98</v>
      </c>
      <c r="F401" t="s">
        <v>99</v>
      </c>
      <c r="G401">
        <v>0.54743260742877298</v>
      </c>
      <c r="H401">
        <v>2.5577123073283501E-2</v>
      </c>
      <c r="I401">
        <v>0</v>
      </c>
      <c r="J401">
        <v>0.66666666666666696</v>
      </c>
      <c r="K401">
        <v>0.66666666666666696</v>
      </c>
      <c r="L401">
        <v>0</v>
      </c>
      <c r="M401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401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cm="1">
        <f t="array" ref="O401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401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401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401" cm="1">
        <f t="array" ref="S401">MIN(IF((ContinuousStatsTable[GroupByKey]=ContinuousStatsTable[[#This Row],[GroupByKey]]),(ContinuousStatsTable[GroupByKey]=ContinuousStatsTable[[#This Row],[GroupByKey]])*ContinuousStatsTable[Average]))</f>
        <v>0.52470641844357602</v>
      </c>
      <c r="T401" cm="1">
        <f t="array" ref="T401">MAX(IF((ContinuousStatsTable[GroupByKey]=ContinuousStatsTable[[#This Row],[GroupByKey]]),(ContinuousStatsTable[GroupByKey]=ContinuousStatsTable[[#This Row],[GroupByKey]])*ContinuousStatsTable[Average]))</f>
        <v>0.57005812966092095</v>
      </c>
      <c r="U401">
        <f>IF((ContinuousStatsTable[[#This Row],[RepsRequested]]&gt;1),ContinuousStatsTable[[#This Row],[HalfWidth]],ContinuousStatsTable[[#This Row],[BatchMeansHalfWidth]])</f>
        <v>2.9048243757695521E-3</v>
      </c>
    </row>
    <row r="402" spans="1:21" x14ac:dyDescent="0.25">
      <c r="A402" t="s">
        <v>68</v>
      </c>
      <c r="B402" t="s">
        <v>131</v>
      </c>
      <c r="C402">
        <v>34</v>
      </c>
      <c r="D402" t="s">
        <v>97</v>
      </c>
      <c r="E402" t="s">
        <v>100</v>
      </c>
      <c r="F402" t="s">
        <v>99</v>
      </c>
      <c r="G402">
        <v>1.64229782228632</v>
      </c>
      <c r="H402">
        <v>7.6731369219850507E-2</v>
      </c>
      <c r="I402">
        <v>0</v>
      </c>
      <c r="J402">
        <v>2</v>
      </c>
      <c r="K402">
        <v>2</v>
      </c>
      <c r="L402">
        <v>0</v>
      </c>
      <c r="M402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402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cm="1">
        <f t="array" ref="O402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02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02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02" cm="1">
        <f t="array" ref="S402">MIN(IF((ContinuousStatsTable[GroupByKey]=ContinuousStatsTable[[#This Row],[GroupByKey]]),(ContinuousStatsTable[GroupByKey]=ContinuousStatsTable[[#This Row],[GroupByKey]])*ContinuousStatsTable[Average]))</f>
        <v>1.5741192553307399</v>
      </c>
      <c r="T402" cm="1">
        <f t="array" ref="T402">MAX(IF((ContinuousStatsTable[GroupByKey]=ContinuousStatsTable[[#This Row],[GroupByKey]]),(ContinuousStatsTable[GroupByKey]=ContinuousStatsTable[[#This Row],[GroupByKey]])*ContinuousStatsTable[Average]))</f>
        <v>1.7101743889827701</v>
      </c>
      <c r="U402">
        <f>IF((ContinuousStatsTable[[#This Row],[RepsRequested]]&gt;1),ContinuousStatsTable[[#This Row],[HalfWidth]],ContinuousStatsTable[[#This Row],[BatchMeansHalfWidth]])</f>
        <v>8.7144731273084922E-3</v>
      </c>
    </row>
    <row r="403" spans="1:21" x14ac:dyDescent="0.25">
      <c r="A403" t="s">
        <v>68</v>
      </c>
      <c r="B403" t="s">
        <v>131</v>
      </c>
      <c r="C403">
        <v>34</v>
      </c>
      <c r="D403" t="s">
        <v>97</v>
      </c>
      <c r="E403" t="s">
        <v>101</v>
      </c>
      <c r="F403" t="s">
        <v>99</v>
      </c>
      <c r="G403">
        <v>3</v>
      </c>
      <c r="H403">
        <v>2E+20</v>
      </c>
      <c r="I403">
        <v>3</v>
      </c>
      <c r="J403">
        <v>3</v>
      </c>
      <c r="K403">
        <v>3</v>
      </c>
      <c r="L403">
        <v>0</v>
      </c>
      <c r="M403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403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cm="1">
        <f t="array" ref="O403">IFERROR(AVERAGE(IF((ContinuousStatsTable[GroupByKey]=ContinuousStatsTable[[#This Row],[GroupByKey]]),(ContinuousStatsTable[GroupByKey]=ContinuousStatsTable[[#This Row],[GroupByKey]])*ContinuousStatsTable[Average])),0)</f>
        <v>3</v>
      </c>
      <c r="P403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cm="1">
        <f t="array" ref="S403">MIN(IF((ContinuousStatsTable[GroupByKey]=ContinuousStatsTable[[#This Row],[GroupByKey]]),(ContinuousStatsTable[GroupByKey]=ContinuousStatsTable[[#This Row],[GroupByKey]])*ContinuousStatsTable[Average]))</f>
        <v>3</v>
      </c>
      <c r="T403" cm="1">
        <f t="array" ref="T403">MAX(IF((ContinuousStatsTable[GroupByKey]=ContinuousStatsTable[[#This Row],[GroupByKey]]),(ContinuousStatsTable[GroupByKey]=ContinuousStatsTable[[#This Row],[GroupByKey]])*ContinuousStatsTable[Average]))</f>
        <v>3</v>
      </c>
      <c r="U403">
        <f>IF((ContinuousStatsTable[[#This Row],[RepsRequested]]&gt;1),ContinuousStatsTable[[#This Row],[HalfWidth]],ContinuousStatsTable[[#This Row],[BatchMeansHalfWidth]])</f>
        <v>0</v>
      </c>
    </row>
    <row r="404" spans="1:21" x14ac:dyDescent="0.25">
      <c r="A404" t="s">
        <v>68</v>
      </c>
      <c r="B404" t="s">
        <v>131</v>
      </c>
      <c r="C404">
        <v>34</v>
      </c>
      <c r="D404" t="s">
        <v>102</v>
      </c>
      <c r="E404" t="s">
        <v>98</v>
      </c>
      <c r="F404" t="s">
        <v>99</v>
      </c>
      <c r="G404">
        <v>0.82114891114316102</v>
      </c>
      <c r="H404">
        <v>3.8365684609925302E-2</v>
      </c>
      <c r="I404">
        <v>0</v>
      </c>
      <c r="J404">
        <v>1</v>
      </c>
      <c r="K404">
        <v>1</v>
      </c>
      <c r="L404">
        <v>0</v>
      </c>
      <c r="M404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404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cm="1">
        <f t="array" ref="O404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404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404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404" cm="1">
        <f t="array" ref="S404">MIN(IF((ContinuousStatsTable[GroupByKey]=ContinuousStatsTable[[#This Row],[GroupByKey]]),(ContinuousStatsTable[GroupByKey]=ContinuousStatsTable[[#This Row],[GroupByKey]])*ContinuousStatsTable[Average]))</f>
        <v>0.78705962766536897</v>
      </c>
      <c r="T404" cm="1">
        <f t="array" ref="T404">MAX(IF((ContinuousStatsTable[GroupByKey]=ContinuousStatsTable[[#This Row],[GroupByKey]]),(ContinuousStatsTable[GroupByKey]=ContinuousStatsTable[[#This Row],[GroupByKey]])*ContinuousStatsTable[Average]))</f>
        <v>0.85508719449138504</v>
      </c>
      <c r="U404">
        <f>IF((ContinuousStatsTable[[#This Row],[RepsRequested]]&gt;1),ContinuousStatsTable[[#This Row],[HalfWidth]],ContinuousStatsTable[[#This Row],[BatchMeansHalfWidth]])</f>
        <v>4.3572365636542886E-3</v>
      </c>
    </row>
    <row r="405" spans="1:21" x14ac:dyDescent="0.25">
      <c r="A405" t="s">
        <v>68</v>
      </c>
      <c r="B405" t="s">
        <v>131</v>
      </c>
      <c r="C405">
        <v>34</v>
      </c>
      <c r="D405" t="s">
        <v>102</v>
      </c>
      <c r="E405" t="s">
        <v>100</v>
      </c>
      <c r="F405" t="s">
        <v>99</v>
      </c>
      <c r="G405">
        <v>1.64229782228632</v>
      </c>
      <c r="H405">
        <v>7.6731369219850507E-2</v>
      </c>
      <c r="I405">
        <v>0</v>
      </c>
      <c r="J405">
        <v>2</v>
      </c>
      <c r="K405">
        <v>2</v>
      </c>
      <c r="L405">
        <v>0</v>
      </c>
      <c r="M405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40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cm="1">
        <f t="array" ref="O405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0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0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05" cm="1">
        <f t="array" ref="S405">MIN(IF((ContinuousStatsTable[GroupByKey]=ContinuousStatsTable[[#This Row],[GroupByKey]]),(ContinuousStatsTable[GroupByKey]=ContinuousStatsTable[[#This Row],[GroupByKey]])*ContinuousStatsTable[Average]))</f>
        <v>1.5741192553307399</v>
      </c>
      <c r="T405" cm="1">
        <f t="array" ref="T405">MAX(IF((ContinuousStatsTable[GroupByKey]=ContinuousStatsTable[[#This Row],[GroupByKey]]),(ContinuousStatsTable[GroupByKey]=ContinuousStatsTable[[#This Row],[GroupByKey]])*ContinuousStatsTable[Average]))</f>
        <v>1.7101743889827701</v>
      </c>
      <c r="U405">
        <f>IF((ContinuousStatsTable[[#This Row],[RepsRequested]]&gt;1),ContinuousStatsTable[[#This Row],[HalfWidth]],ContinuousStatsTable[[#This Row],[BatchMeansHalfWidth]])</f>
        <v>8.7144731273084922E-3</v>
      </c>
    </row>
    <row r="406" spans="1:21" x14ac:dyDescent="0.25">
      <c r="A406" t="s">
        <v>68</v>
      </c>
      <c r="B406" t="s">
        <v>131</v>
      </c>
      <c r="C406">
        <v>34</v>
      </c>
      <c r="D406" t="s">
        <v>102</v>
      </c>
      <c r="E406" t="s">
        <v>101</v>
      </c>
      <c r="F406" t="s">
        <v>99</v>
      </c>
      <c r="G406">
        <v>2</v>
      </c>
      <c r="H406">
        <v>2E+20</v>
      </c>
      <c r="I406">
        <v>2</v>
      </c>
      <c r="J406">
        <v>2</v>
      </c>
      <c r="K406">
        <v>2</v>
      </c>
      <c r="L406">
        <v>0</v>
      </c>
      <c r="M406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406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cm="1">
        <f t="array" ref="O406">IFERROR(AVERAGE(IF((ContinuousStatsTable[GroupByKey]=ContinuousStatsTable[[#This Row],[GroupByKey]]),(ContinuousStatsTable[GroupByKey]=ContinuousStatsTable[[#This Row],[GroupByKey]])*ContinuousStatsTable[Average])),0)</f>
        <v>2</v>
      </c>
      <c r="P406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0</v>
      </c>
      <c r="Q406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6" cm="1">
        <f t="array" ref="S406">MIN(IF((ContinuousStatsTable[GroupByKey]=ContinuousStatsTable[[#This Row],[GroupByKey]]),(ContinuousStatsTable[GroupByKey]=ContinuousStatsTable[[#This Row],[GroupByKey]])*ContinuousStatsTable[Average]))</f>
        <v>2</v>
      </c>
      <c r="T406" cm="1">
        <f t="array" ref="T406">MAX(IF((ContinuousStatsTable[GroupByKey]=ContinuousStatsTable[[#This Row],[GroupByKey]]),(ContinuousStatsTable[GroupByKey]=ContinuousStatsTable[[#This Row],[GroupByKey]])*ContinuousStatsTable[Average]))</f>
        <v>2</v>
      </c>
      <c r="U406">
        <f>IF((ContinuousStatsTable[[#This Row],[RepsRequested]]&gt;1),ContinuousStatsTable[[#This Row],[HalfWidth]],ContinuousStatsTable[[#This Row],[BatchMeansHalfWidth]])</f>
        <v>0</v>
      </c>
    </row>
    <row r="407" spans="1:21" x14ac:dyDescent="0.25">
      <c r="A407" t="s">
        <v>68</v>
      </c>
      <c r="B407" t="s">
        <v>131</v>
      </c>
      <c r="C407">
        <v>34</v>
      </c>
      <c r="D407" t="s">
        <v>103</v>
      </c>
      <c r="E407" t="s">
        <v>98</v>
      </c>
      <c r="F407" t="s">
        <v>99</v>
      </c>
      <c r="G407">
        <v>0.47352836729153203</v>
      </c>
      <c r="H407">
        <v>1.85778587692682E-2</v>
      </c>
      <c r="I407">
        <v>0</v>
      </c>
      <c r="J407">
        <v>1</v>
      </c>
      <c r="K407">
        <v>1</v>
      </c>
      <c r="L407">
        <v>0</v>
      </c>
      <c r="M407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407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cm="1">
        <f t="array" ref="O407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07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07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07" cm="1">
        <f t="array" ref="S407">MIN(IF((ContinuousStatsTable[GroupByKey]=ContinuousStatsTable[[#This Row],[GroupByKey]]),(ContinuousStatsTable[GroupByKey]=ContinuousStatsTable[[#This Row],[GroupByKey]])*ContinuousStatsTable[Average]))</f>
        <v>0.452397944183905</v>
      </c>
      <c r="T407" cm="1">
        <f t="array" ref="T407">MAX(IF((ContinuousStatsTable[GroupByKey]=ContinuousStatsTable[[#This Row],[GroupByKey]]),(ContinuousStatsTable[GroupByKey]=ContinuousStatsTable[[#This Row],[GroupByKey]])*ContinuousStatsTable[Average]))</f>
        <v>0.49691123629694001</v>
      </c>
      <c r="U407">
        <f>IF((ContinuousStatsTable[[#This Row],[RepsRequested]]&gt;1),ContinuousStatsTable[[#This Row],[HalfWidth]],ContinuousStatsTable[[#This Row],[BatchMeansHalfWidth]])</f>
        <v>2.7457743728226142E-3</v>
      </c>
    </row>
    <row r="408" spans="1:21" x14ac:dyDescent="0.25">
      <c r="A408" t="s">
        <v>68</v>
      </c>
      <c r="B408" t="s">
        <v>131</v>
      </c>
      <c r="C408">
        <v>34</v>
      </c>
      <c r="D408" t="s">
        <v>103</v>
      </c>
      <c r="E408" t="s">
        <v>100</v>
      </c>
      <c r="F408" t="s">
        <v>99</v>
      </c>
      <c r="G408">
        <v>0.47352836729153203</v>
      </c>
      <c r="H408">
        <v>1.85778587692682E-2</v>
      </c>
      <c r="I408">
        <v>0</v>
      </c>
      <c r="J408">
        <v>1</v>
      </c>
      <c r="K408">
        <v>1</v>
      </c>
      <c r="L408">
        <v>0</v>
      </c>
      <c r="M408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408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cm="1">
        <f t="array" ref="O408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08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08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08" cm="1">
        <f t="array" ref="S408">MIN(IF((ContinuousStatsTable[GroupByKey]=ContinuousStatsTable[[#This Row],[GroupByKey]]),(ContinuousStatsTable[GroupByKey]=ContinuousStatsTable[[#This Row],[GroupByKey]])*ContinuousStatsTable[Average]))</f>
        <v>0.452397944183905</v>
      </c>
      <c r="T408" cm="1">
        <f t="array" ref="T408">MAX(IF((ContinuousStatsTable[GroupByKey]=ContinuousStatsTable[[#This Row],[GroupByKey]]),(ContinuousStatsTable[GroupByKey]=ContinuousStatsTable[[#This Row],[GroupByKey]])*ContinuousStatsTable[Average]))</f>
        <v>0.49691123629694001</v>
      </c>
      <c r="U408">
        <f>IF((ContinuousStatsTable[[#This Row],[RepsRequested]]&gt;1),ContinuousStatsTable[[#This Row],[HalfWidth]],ContinuousStatsTable[[#This Row],[BatchMeansHalfWidth]])</f>
        <v>2.7457743728226142E-3</v>
      </c>
    </row>
    <row r="409" spans="1:21" x14ac:dyDescent="0.25">
      <c r="A409" t="s">
        <v>68</v>
      </c>
      <c r="B409" t="s">
        <v>131</v>
      </c>
      <c r="C409">
        <v>34</v>
      </c>
      <c r="D409" t="s">
        <v>103</v>
      </c>
      <c r="E409" t="s">
        <v>101</v>
      </c>
      <c r="F409" t="s">
        <v>99</v>
      </c>
      <c r="G409">
        <v>1</v>
      </c>
      <c r="H409">
        <v>2E+20</v>
      </c>
      <c r="I409">
        <v>1</v>
      </c>
      <c r="J409">
        <v>1</v>
      </c>
      <c r="K409">
        <v>1</v>
      </c>
      <c r="L409">
        <v>0</v>
      </c>
      <c r="M409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409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cm="1">
        <f t="array" ref="O409">IFERROR(AVERAGE(IF((ContinuousStatsTable[GroupByKey]=ContinuousStatsTable[[#This Row],[GroupByKey]]),(ContinuousStatsTable[GroupByKey]=ContinuousStatsTable[[#This Row],[GroupByKey]])*ContinuousStatsTable[Average])),0)</f>
        <v>1</v>
      </c>
      <c r="P409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cm="1">
        <f t="array" ref="S409">MIN(IF((ContinuousStatsTable[GroupByKey]=ContinuousStatsTable[[#This Row],[GroupByKey]]),(ContinuousStatsTable[GroupByKey]=ContinuousStatsTable[[#This Row],[GroupByKey]])*ContinuousStatsTable[Average]))</f>
        <v>1</v>
      </c>
      <c r="T409" cm="1">
        <f t="array" ref="T409">MAX(IF((ContinuousStatsTable[GroupByKey]=ContinuousStatsTable[[#This Row],[GroupByKey]]),(ContinuousStatsTable[GroupByKey]=ContinuousStatsTable[[#This Row],[GroupByKey]])*ContinuousStatsTable[Average]))</f>
        <v>1</v>
      </c>
      <c r="U409">
        <f>IF((ContinuousStatsTable[[#This Row],[RepsRequested]]&gt;1),ContinuousStatsTable[[#This Row],[HalfWidth]],ContinuousStatsTable[[#This Row],[BatchMeansHalfWidth]])</f>
        <v>0</v>
      </c>
    </row>
    <row r="410" spans="1:21" x14ac:dyDescent="0.25">
      <c r="A410" t="s">
        <v>68</v>
      </c>
      <c r="B410" t="s">
        <v>131</v>
      </c>
      <c r="C410">
        <v>35</v>
      </c>
      <c r="D410" t="s">
        <v>70</v>
      </c>
      <c r="E410" t="s">
        <v>95</v>
      </c>
      <c r="F410" t="s">
        <v>72</v>
      </c>
      <c r="G410">
        <v>4.6379154635196604</v>
      </c>
      <c r="H410">
        <v>0.58541149116556102</v>
      </c>
      <c r="I410">
        <v>0</v>
      </c>
      <c r="J410">
        <v>22</v>
      </c>
      <c r="K410">
        <v>4</v>
      </c>
      <c r="L410">
        <v>0</v>
      </c>
      <c r="M410" t="str">
        <f>ContinuousStatsTable[[#This Row],[ProjectName]]&amp;ContinuousStatsTable[[#This Row],[Name]]&amp;ContinuousStatsTable[[#This Row],[Type]]&amp;ContinuousStatsTable[[#This Row],[Source]]</f>
        <v>PacientesEntity 1WIPEntity</v>
      </c>
      <c r="N410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cm="1">
        <f t="array" ref="O410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410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410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410" cm="1">
        <f t="array" ref="S410">MIN(IF((ContinuousStatsTable[GroupByKey]=ContinuousStatsTable[[#This Row],[GroupByKey]]),(ContinuousStatsTable[GroupByKey]=ContinuousStatsTable[[#This Row],[GroupByKey]])*ContinuousStatsTable[Average]))</f>
        <v>3.9757448048151298</v>
      </c>
      <c r="T410" cm="1">
        <f t="array" ref="T410">MAX(IF((ContinuousStatsTable[GroupByKey]=ContinuousStatsTable[[#This Row],[GroupByKey]]),(ContinuousStatsTable[GroupByKey]=ContinuousStatsTable[[#This Row],[GroupByKey]])*ContinuousStatsTable[Average]))</f>
        <v>6.9386840633215803</v>
      </c>
      <c r="U410">
        <f>IF((ContinuousStatsTable[[#This Row],[RepsRequested]]&gt;1),ContinuousStatsTable[[#This Row],[HalfWidth]],ContinuousStatsTable[[#This Row],[BatchMeansHalfWidth]])</f>
        <v>0.22030607219171747</v>
      </c>
    </row>
    <row r="411" spans="1:21" x14ac:dyDescent="0.25">
      <c r="A411" t="s">
        <v>68</v>
      </c>
      <c r="B411" t="s">
        <v>131</v>
      </c>
      <c r="C411">
        <v>35</v>
      </c>
      <c r="D411" t="s">
        <v>83</v>
      </c>
      <c r="E411" t="s">
        <v>96</v>
      </c>
      <c r="F411" t="s">
        <v>85</v>
      </c>
      <c r="G411">
        <v>2.2859806707793902</v>
      </c>
      <c r="H411">
        <v>0.508668970289891</v>
      </c>
      <c r="I411">
        <v>0</v>
      </c>
      <c r="J411">
        <v>20</v>
      </c>
      <c r="K411">
        <v>0</v>
      </c>
      <c r="L411">
        <v>0</v>
      </c>
      <c r="M411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411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cm="1">
        <f t="array" ref="O411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411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411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411" cm="1">
        <f t="array" ref="S411">MIN(IF((ContinuousStatsTable[GroupByKey]=ContinuousStatsTable[[#This Row],[GroupByKey]]),(ContinuousStatsTable[GroupByKey]=ContinuousStatsTable[[#This Row],[GroupByKey]])*ContinuousStatsTable[Average]))</f>
        <v>1.7200278735122601</v>
      </c>
      <c r="T411" cm="1">
        <f t="array" ref="T411">MAX(IF((ContinuousStatsTable[GroupByKey]=ContinuousStatsTable[[#This Row],[GroupByKey]]),(ContinuousStatsTable[GroupByKey]=ContinuousStatsTable[[#This Row],[GroupByKey]])*ContinuousStatsTable[Average]))</f>
        <v>4.5543512780988502</v>
      </c>
      <c r="U411">
        <f>IF((ContinuousStatsTable[[#This Row],[RepsRequested]]&gt;1),ContinuousStatsTable[[#This Row],[HalfWidth]],ContinuousStatsTable[[#This Row],[BatchMeansHalfWidth]])</f>
        <v>0.21041231434540877</v>
      </c>
    </row>
    <row r="412" spans="1:21" x14ac:dyDescent="0.25">
      <c r="A412" t="s">
        <v>68</v>
      </c>
      <c r="B412" t="s">
        <v>131</v>
      </c>
      <c r="C412">
        <v>35</v>
      </c>
      <c r="D412" t="s">
        <v>87</v>
      </c>
      <c r="E412" t="s">
        <v>96</v>
      </c>
      <c r="F412" t="s">
        <v>85</v>
      </c>
      <c r="G412">
        <v>0.23495628087621201</v>
      </c>
      <c r="H412">
        <v>4.8041757233949198E-2</v>
      </c>
      <c r="I412">
        <v>0</v>
      </c>
      <c r="J412">
        <v>7</v>
      </c>
      <c r="K412">
        <v>1</v>
      </c>
      <c r="L412">
        <v>0</v>
      </c>
      <c r="M412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12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cm="1">
        <f t="array" ref="O412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12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12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12" cm="1">
        <f t="array" ref="S412">MIN(IF((ContinuousStatsTable[GroupByKey]=ContinuousStatsTable[[#This Row],[GroupByKey]]),(ContinuousStatsTable[GroupByKey]=ContinuousStatsTable[[#This Row],[GroupByKey]])*ContinuousStatsTable[Average]))</f>
        <v>0.172815232766103</v>
      </c>
      <c r="T412" cm="1">
        <f t="array" ref="T412">MAX(IF((ContinuousStatsTable[GroupByKey]=ContinuousStatsTable[[#This Row],[GroupByKey]]),(ContinuousStatsTable[GroupByKey]=ContinuousStatsTable[[#This Row],[GroupByKey]])*ContinuousStatsTable[Average]))</f>
        <v>0.24783514900621301</v>
      </c>
      <c r="U412">
        <f>IF((ContinuousStatsTable[[#This Row],[RepsRequested]]&gt;1),ContinuousStatsTable[[#This Row],[HalfWidth]],ContinuousStatsTable[[#This Row],[BatchMeansHalfWidth]])</f>
        <v>4.7768909384897544E-3</v>
      </c>
    </row>
    <row r="413" spans="1:21" x14ac:dyDescent="0.25">
      <c r="A413" t="s">
        <v>68</v>
      </c>
      <c r="B413" t="s">
        <v>131</v>
      </c>
      <c r="C413">
        <v>35</v>
      </c>
      <c r="D413" t="s">
        <v>97</v>
      </c>
      <c r="E413" t="s">
        <v>98</v>
      </c>
      <c r="F413" t="s">
        <v>99</v>
      </c>
      <c r="G413">
        <v>0.54564134375843798</v>
      </c>
      <c r="H413">
        <v>1.9358206588788701E-2</v>
      </c>
      <c r="I413">
        <v>0</v>
      </c>
      <c r="J413">
        <v>0.66666666666666696</v>
      </c>
      <c r="K413">
        <v>0.66666666666666696</v>
      </c>
      <c r="L413">
        <v>0</v>
      </c>
      <c r="M413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413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cm="1">
        <f t="array" ref="O413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413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413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413" cm="1">
        <f t="array" ref="S413">MIN(IF((ContinuousStatsTable[GroupByKey]=ContinuousStatsTable[[#This Row],[GroupByKey]]),(ContinuousStatsTable[GroupByKey]=ContinuousStatsTable[[#This Row],[GroupByKey]])*ContinuousStatsTable[Average]))</f>
        <v>0.52470641844357602</v>
      </c>
      <c r="T413" cm="1">
        <f t="array" ref="T413">MAX(IF((ContinuousStatsTable[GroupByKey]=ContinuousStatsTable[[#This Row],[GroupByKey]]),(ContinuousStatsTable[GroupByKey]=ContinuousStatsTable[[#This Row],[GroupByKey]])*ContinuousStatsTable[Average]))</f>
        <v>0.57005812966092095</v>
      </c>
      <c r="U413">
        <f>IF((ContinuousStatsTable[[#This Row],[RepsRequested]]&gt;1),ContinuousStatsTable[[#This Row],[HalfWidth]],ContinuousStatsTable[[#This Row],[BatchMeansHalfWidth]])</f>
        <v>2.9048243757695521E-3</v>
      </c>
    </row>
    <row r="414" spans="1:21" x14ac:dyDescent="0.25">
      <c r="A414" t="s">
        <v>68</v>
      </c>
      <c r="B414" t="s">
        <v>131</v>
      </c>
      <c r="C414">
        <v>35</v>
      </c>
      <c r="D414" t="s">
        <v>97</v>
      </c>
      <c r="E414" t="s">
        <v>100</v>
      </c>
      <c r="F414" t="s">
        <v>99</v>
      </c>
      <c r="G414">
        <v>1.6369240312753199</v>
      </c>
      <c r="H414">
        <v>5.8074619766365902E-2</v>
      </c>
      <c r="I414">
        <v>0</v>
      </c>
      <c r="J414">
        <v>2</v>
      </c>
      <c r="K414">
        <v>2</v>
      </c>
      <c r="L414">
        <v>0</v>
      </c>
      <c r="M414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414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cm="1">
        <f t="array" ref="O414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14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14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14" cm="1">
        <f t="array" ref="S414">MIN(IF((ContinuousStatsTable[GroupByKey]=ContinuousStatsTable[[#This Row],[GroupByKey]]),(ContinuousStatsTable[GroupByKey]=ContinuousStatsTable[[#This Row],[GroupByKey]])*ContinuousStatsTable[Average]))</f>
        <v>1.5741192553307399</v>
      </c>
      <c r="T414" cm="1">
        <f t="array" ref="T414">MAX(IF((ContinuousStatsTable[GroupByKey]=ContinuousStatsTable[[#This Row],[GroupByKey]]),(ContinuousStatsTable[GroupByKey]=ContinuousStatsTable[[#This Row],[GroupByKey]])*ContinuousStatsTable[Average]))</f>
        <v>1.7101743889827701</v>
      </c>
      <c r="U414">
        <f>IF((ContinuousStatsTable[[#This Row],[RepsRequested]]&gt;1),ContinuousStatsTable[[#This Row],[HalfWidth]],ContinuousStatsTable[[#This Row],[BatchMeansHalfWidth]])</f>
        <v>8.7144731273084922E-3</v>
      </c>
    </row>
    <row r="415" spans="1:21" x14ac:dyDescent="0.25">
      <c r="A415" t="s">
        <v>68</v>
      </c>
      <c r="B415" t="s">
        <v>131</v>
      </c>
      <c r="C415">
        <v>35</v>
      </c>
      <c r="D415" t="s">
        <v>97</v>
      </c>
      <c r="E415" t="s">
        <v>101</v>
      </c>
      <c r="F415" t="s">
        <v>99</v>
      </c>
      <c r="G415">
        <v>3</v>
      </c>
      <c r="H415">
        <v>2E+20</v>
      </c>
      <c r="I415">
        <v>3</v>
      </c>
      <c r="J415">
        <v>3</v>
      </c>
      <c r="K415">
        <v>3</v>
      </c>
      <c r="L415">
        <v>0</v>
      </c>
      <c r="M415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41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cm="1">
        <f t="array" ref="O415">IFERROR(AVERAGE(IF((ContinuousStatsTable[GroupByKey]=ContinuousStatsTable[[#This Row],[GroupByKey]]),(ContinuousStatsTable[GroupByKey]=ContinuousStatsTable[[#This Row],[GroupByKey]])*ContinuousStatsTable[Average])),0)</f>
        <v>3</v>
      </c>
      <c r="P41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0</v>
      </c>
      <c r="Q41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5" cm="1">
        <f t="array" ref="S415">MIN(IF((ContinuousStatsTable[GroupByKey]=ContinuousStatsTable[[#This Row],[GroupByKey]]),(ContinuousStatsTable[GroupByKey]=ContinuousStatsTable[[#This Row],[GroupByKey]])*ContinuousStatsTable[Average]))</f>
        <v>3</v>
      </c>
      <c r="T415" cm="1">
        <f t="array" ref="T415">MAX(IF((ContinuousStatsTable[GroupByKey]=ContinuousStatsTable[[#This Row],[GroupByKey]]),(ContinuousStatsTable[GroupByKey]=ContinuousStatsTable[[#This Row],[GroupByKey]])*ContinuousStatsTable[Average]))</f>
        <v>3</v>
      </c>
      <c r="U415">
        <f>IF((ContinuousStatsTable[[#This Row],[RepsRequested]]&gt;1),ContinuousStatsTable[[#This Row],[HalfWidth]],ContinuousStatsTable[[#This Row],[BatchMeansHalfWidth]])</f>
        <v>0</v>
      </c>
    </row>
    <row r="416" spans="1:21" x14ac:dyDescent="0.25">
      <c r="A416" t="s">
        <v>68</v>
      </c>
      <c r="B416" t="s">
        <v>131</v>
      </c>
      <c r="C416">
        <v>35</v>
      </c>
      <c r="D416" t="s">
        <v>102</v>
      </c>
      <c r="E416" t="s">
        <v>98</v>
      </c>
      <c r="F416" t="s">
        <v>99</v>
      </c>
      <c r="G416">
        <v>0.81846201563765797</v>
      </c>
      <c r="H416">
        <v>2.9037309883183E-2</v>
      </c>
      <c r="I416">
        <v>0</v>
      </c>
      <c r="J416">
        <v>1</v>
      </c>
      <c r="K416">
        <v>1</v>
      </c>
      <c r="L416">
        <v>0</v>
      </c>
      <c r="M416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416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cm="1">
        <f t="array" ref="O416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416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416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416" cm="1">
        <f t="array" ref="S416">MIN(IF((ContinuousStatsTable[GroupByKey]=ContinuousStatsTable[[#This Row],[GroupByKey]]),(ContinuousStatsTable[GroupByKey]=ContinuousStatsTable[[#This Row],[GroupByKey]])*ContinuousStatsTable[Average]))</f>
        <v>0.78705962766536897</v>
      </c>
      <c r="T416" cm="1">
        <f t="array" ref="T416">MAX(IF((ContinuousStatsTable[GroupByKey]=ContinuousStatsTable[[#This Row],[GroupByKey]]),(ContinuousStatsTable[GroupByKey]=ContinuousStatsTable[[#This Row],[GroupByKey]])*ContinuousStatsTable[Average]))</f>
        <v>0.85508719449138504</v>
      </c>
      <c r="U416">
        <f>IF((ContinuousStatsTable[[#This Row],[RepsRequested]]&gt;1),ContinuousStatsTable[[#This Row],[HalfWidth]],ContinuousStatsTable[[#This Row],[BatchMeansHalfWidth]])</f>
        <v>4.3572365636542886E-3</v>
      </c>
    </row>
    <row r="417" spans="1:21" x14ac:dyDescent="0.25">
      <c r="A417" t="s">
        <v>68</v>
      </c>
      <c r="B417" t="s">
        <v>131</v>
      </c>
      <c r="C417">
        <v>35</v>
      </c>
      <c r="D417" t="s">
        <v>102</v>
      </c>
      <c r="E417" t="s">
        <v>100</v>
      </c>
      <c r="F417" t="s">
        <v>99</v>
      </c>
      <c r="G417">
        <v>1.6369240312753199</v>
      </c>
      <c r="H417">
        <v>5.8074619766365902E-2</v>
      </c>
      <c r="I417">
        <v>0</v>
      </c>
      <c r="J417">
        <v>2</v>
      </c>
      <c r="K417">
        <v>2</v>
      </c>
      <c r="L417">
        <v>0</v>
      </c>
      <c r="M417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417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cm="1">
        <f t="array" ref="O417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17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17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17" cm="1">
        <f t="array" ref="S417">MIN(IF((ContinuousStatsTable[GroupByKey]=ContinuousStatsTable[[#This Row],[GroupByKey]]),(ContinuousStatsTable[GroupByKey]=ContinuousStatsTable[[#This Row],[GroupByKey]])*ContinuousStatsTable[Average]))</f>
        <v>1.5741192553307399</v>
      </c>
      <c r="T417" cm="1">
        <f t="array" ref="T417">MAX(IF((ContinuousStatsTable[GroupByKey]=ContinuousStatsTable[[#This Row],[GroupByKey]]),(ContinuousStatsTable[GroupByKey]=ContinuousStatsTable[[#This Row],[GroupByKey]])*ContinuousStatsTable[Average]))</f>
        <v>1.7101743889827701</v>
      </c>
      <c r="U417">
        <f>IF((ContinuousStatsTable[[#This Row],[RepsRequested]]&gt;1),ContinuousStatsTable[[#This Row],[HalfWidth]],ContinuousStatsTable[[#This Row],[BatchMeansHalfWidth]])</f>
        <v>8.7144731273084922E-3</v>
      </c>
    </row>
    <row r="418" spans="1:21" x14ac:dyDescent="0.25">
      <c r="A418" t="s">
        <v>68</v>
      </c>
      <c r="B418" t="s">
        <v>131</v>
      </c>
      <c r="C418">
        <v>35</v>
      </c>
      <c r="D418" t="s">
        <v>102</v>
      </c>
      <c r="E418" t="s">
        <v>101</v>
      </c>
      <c r="F418" t="s">
        <v>99</v>
      </c>
      <c r="G418">
        <v>2</v>
      </c>
      <c r="H418">
        <v>2E+20</v>
      </c>
      <c r="I418">
        <v>2</v>
      </c>
      <c r="J418">
        <v>2</v>
      </c>
      <c r="K418">
        <v>2</v>
      </c>
      <c r="L418">
        <v>0</v>
      </c>
      <c r="M418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418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cm="1">
        <f t="array" ref="O418">IFERROR(AVERAGE(IF((ContinuousStatsTable[GroupByKey]=ContinuousStatsTable[[#This Row],[GroupByKey]]),(ContinuousStatsTable[GroupByKey]=ContinuousStatsTable[[#This Row],[GroupByKey]])*ContinuousStatsTable[Average])),0)</f>
        <v>2</v>
      </c>
      <c r="P418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</v>
      </c>
      <c r="Q418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8" cm="1">
        <f t="array" ref="S418">MIN(IF((ContinuousStatsTable[GroupByKey]=ContinuousStatsTable[[#This Row],[GroupByKey]]),(ContinuousStatsTable[GroupByKey]=ContinuousStatsTable[[#This Row],[GroupByKey]])*ContinuousStatsTable[Average]))</f>
        <v>2</v>
      </c>
      <c r="T418" cm="1">
        <f t="array" ref="T418">MAX(IF((ContinuousStatsTable[GroupByKey]=ContinuousStatsTable[[#This Row],[GroupByKey]]),(ContinuousStatsTable[GroupByKey]=ContinuousStatsTable[[#This Row],[GroupByKey]])*ContinuousStatsTable[Average]))</f>
        <v>2</v>
      </c>
      <c r="U418">
        <f>IF((ContinuousStatsTable[[#This Row],[RepsRequested]]&gt;1),ContinuousStatsTable[[#This Row],[HalfWidth]],ContinuousStatsTable[[#This Row],[BatchMeansHalfWidth]])</f>
        <v>0</v>
      </c>
    </row>
    <row r="419" spans="1:21" x14ac:dyDescent="0.25">
      <c r="A419" t="s">
        <v>68</v>
      </c>
      <c r="B419" t="s">
        <v>131</v>
      </c>
      <c r="C419">
        <v>35</v>
      </c>
      <c r="D419" t="s">
        <v>103</v>
      </c>
      <c r="E419" t="s">
        <v>98</v>
      </c>
      <c r="F419" t="s">
        <v>99</v>
      </c>
      <c r="G419">
        <v>0.48005448058873701</v>
      </c>
      <c r="H419">
        <v>2.03422136785903E-2</v>
      </c>
      <c r="I419">
        <v>0</v>
      </c>
      <c r="J419">
        <v>1</v>
      </c>
      <c r="K419">
        <v>1</v>
      </c>
      <c r="L419">
        <v>0</v>
      </c>
      <c r="M419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419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cm="1">
        <f t="array" ref="O419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19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19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19" cm="1">
        <f t="array" ref="S419">MIN(IF((ContinuousStatsTable[GroupByKey]=ContinuousStatsTable[[#This Row],[GroupByKey]]),(ContinuousStatsTable[GroupByKey]=ContinuousStatsTable[[#This Row],[GroupByKey]])*ContinuousStatsTable[Average]))</f>
        <v>0.452397944183905</v>
      </c>
      <c r="T419" cm="1">
        <f t="array" ref="T419">MAX(IF((ContinuousStatsTable[GroupByKey]=ContinuousStatsTable[[#This Row],[GroupByKey]]),(ContinuousStatsTable[GroupByKey]=ContinuousStatsTable[[#This Row],[GroupByKey]])*ContinuousStatsTable[Average]))</f>
        <v>0.49691123629694001</v>
      </c>
      <c r="U419">
        <f>IF((ContinuousStatsTable[[#This Row],[RepsRequested]]&gt;1),ContinuousStatsTable[[#This Row],[HalfWidth]],ContinuousStatsTable[[#This Row],[BatchMeansHalfWidth]])</f>
        <v>2.7457743728226142E-3</v>
      </c>
    </row>
    <row r="420" spans="1:21" x14ac:dyDescent="0.25">
      <c r="A420" t="s">
        <v>68</v>
      </c>
      <c r="B420" t="s">
        <v>131</v>
      </c>
      <c r="C420">
        <v>35</v>
      </c>
      <c r="D420" t="s">
        <v>103</v>
      </c>
      <c r="E420" t="s">
        <v>100</v>
      </c>
      <c r="F420" t="s">
        <v>99</v>
      </c>
      <c r="G420">
        <v>0.48005448058873701</v>
      </c>
      <c r="H420">
        <v>2.03422136785903E-2</v>
      </c>
      <c r="I420">
        <v>0</v>
      </c>
      <c r="J420">
        <v>1</v>
      </c>
      <c r="K420">
        <v>1</v>
      </c>
      <c r="L420">
        <v>0</v>
      </c>
      <c r="M420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420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cm="1">
        <f t="array" ref="O420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20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20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20" cm="1">
        <f t="array" ref="S420">MIN(IF((ContinuousStatsTable[GroupByKey]=ContinuousStatsTable[[#This Row],[GroupByKey]]),(ContinuousStatsTable[GroupByKey]=ContinuousStatsTable[[#This Row],[GroupByKey]])*ContinuousStatsTable[Average]))</f>
        <v>0.452397944183905</v>
      </c>
      <c r="T420" cm="1">
        <f t="array" ref="T420">MAX(IF((ContinuousStatsTable[GroupByKey]=ContinuousStatsTable[[#This Row],[GroupByKey]]),(ContinuousStatsTable[GroupByKey]=ContinuousStatsTable[[#This Row],[GroupByKey]])*ContinuousStatsTable[Average]))</f>
        <v>0.49691123629694001</v>
      </c>
      <c r="U420">
        <f>IF((ContinuousStatsTable[[#This Row],[RepsRequested]]&gt;1),ContinuousStatsTable[[#This Row],[HalfWidth]],ContinuousStatsTable[[#This Row],[BatchMeansHalfWidth]])</f>
        <v>2.7457743728226142E-3</v>
      </c>
    </row>
    <row r="421" spans="1:21" x14ac:dyDescent="0.25">
      <c r="A421" t="s">
        <v>68</v>
      </c>
      <c r="B421" t="s">
        <v>131</v>
      </c>
      <c r="C421">
        <v>35</v>
      </c>
      <c r="D421" t="s">
        <v>103</v>
      </c>
      <c r="E421" t="s">
        <v>101</v>
      </c>
      <c r="F421" t="s">
        <v>99</v>
      </c>
      <c r="G421">
        <v>1</v>
      </c>
      <c r="H421">
        <v>2E+20</v>
      </c>
      <c r="I421">
        <v>1</v>
      </c>
      <c r="J421">
        <v>1</v>
      </c>
      <c r="K421">
        <v>1</v>
      </c>
      <c r="L421">
        <v>0</v>
      </c>
      <c r="M421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421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cm="1">
        <f t="array" ref="O421">IFERROR(AVERAGE(IF((ContinuousStatsTable[GroupByKey]=ContinuousStatsTable[[#This Row],[GroupByKey]]),(ContinuousStatsTable[GroupByKey]=ContinuousStatsTable[[#This Row],[GroupByKey]])*ContinuousStatsTable[Average])),0)</f>
        <v>1</v>
      </c>
      <c r="P421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cm="1">
        <f t="array" ref="S421">MIN(IF((ContinuousStatsTable[GroupByKey]=ContinuousStatsTable[[#This Row],[GroupByKey]]),(ContinuousStatsTable[GroupByKey]=ContinuousStatsTable[[#This Row],[GroupByKey]])*ContinuousStatsTable[Average]))</f>
        <v>1</v>
      </c>
      <c r="T421" cm="1">
        <f t="array" ref="T421">MAX(IF((ContinuousStatsTable[GroupByKey]=ContinuousStatsTable[[#This Row],[GroupByKey]]),(ContinuousStatsTable[GroupByKey]=ContinuousStatsTable[[#This Row],[GroupByKey]])*ContinuousStatsTable[Average]))</f>
        <v>1</v>
      </c>
      <c r="U421">
        <f>IF((ContinuousStatsTable[[#This Row],[RepsRequested]]&gt;1),ContinuousStatsTable[[#This Row],[HalfWidth]],ContinuousStatsTable[[#This Row],[BatchMeansHalfWidth]])</f>
        <v>0</v>
      </c>
    </row>
    <row r="422" spans="1:21" x14ac:dyDescent="0.25">
      <c r="A422" t="s">
        <v>68</v>
      </c>
      <c r="B422" t="s">
        <v>131</v>
      </c>
      <c r="C422">
        <v>36</v>
      </c>
      <c r="D422" t="s">
        <v>70</v>
      </c>
      <c r="E422" t="s">
        <v>95</v>
      </c>
      <c r="F422" t="s">
        <v>72</v>
      </c>
      <c r="G422">
        <v>4.0560686384473197</v>
      </c>
      <c r="H422">
        <v>0.53014391032307895</v>
      </c>
      <c r="I422">
        <v>0</v>
      </c>
      <c r="J422">
        <v>20</v>
      </c>
      <c r="K422">
        <v>7</v>
      </c>
      <c r="L422">
        <v>0</v>
      </c>
      <c r="M422" t="str">
        <f>ContinuousStatsTable[[#This Row],[ProjectName]]&amp;ContinuousStatsTable[[#This Row],[Name]]&amp;ContinuousStatsTable[[#This Row],[Type]]&amp;ContinuousStatsTable[[#This Row],[Source]]</f>
        <v>PacientesEntity 1WIPEntity</v>
      </c>
      <c r="N422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cm="1">
        <f t="array" ref="O422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422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422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422" cm="1">
        <f t="array" ref="S422">MIN(IF((ContinuousStatsTable[GroupByKey]=ContinuousStatsTable[[#This Row],[GroupByKey]]),(ContinuousStatsTable[GroupByKey]=ContinuousStatsTable[[#This Row],[GroupByKey]])*ContinuousStatsTable[Average]))</f>
        <v>3.9757448048151298</v>
      </c>
      <c r="T422" cm="1">
        <f t="array" ref="T422">MAX(IF((ContinuousStatsTable[GroupByKey]=ContinuousStatsTable[[#This Row],[GroupByKey]]),(ContinuousStatsTable[GroupByKey]=ContinuousStatsTable[[#This Row],[GroupByKey]])*ContinuousStatsTable[Average]))</f>
        <v>6.9386840633215803</v>
      </c>
      <c r="U422">
        <f>IF((ContinuousStatsTable[[#This Row],[RepsRequested]]&gt;1),ContinuousStatsTable[[#This Row],[HalfWidth]],ContinuousStatsTable[[#This Row],[BatchMeansHalfWidth]])</f>
        <v>0.22030607219171747</v>
      </c>
    </row>
    <row r="423" spans="1:21" x14ac:dyDescent="0.25">
      <c r="A423" t="s">
        <v>68</v>
      </c>
      <c r="B423" t="s">
        <v>131</v>
      </c>
      <c r="C423">
        <v>36</v>
      </c>
      <c r="D423" t="s">
        <v>83</v>
      </c>
      <c r="E423" t="s">
        <v>96</v>
      </c>
      <c r="F423" t="s">
        <v>85</v>
      </c>
      <c r="G423">
        <v>1.7200278735122601</v>
      </c>
      <c r="H423">
        <v>0.45015292356171499</v>
      </c>
      <c r="I423">
        <v>0</v>
      </c>
      <c r="J423">
        <v>17</v>
      </c>
      <c r="K423">
        <v>5</v>
      </c>
      <c r="L423">
        <v>0</v>
      </c>
      <c r="M423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423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cm="1">
        <f t="array" ref="O423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423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423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423" cm="1">
        <f t="array" ref="S423">MIN(IF((ContinuousStatsTable[GroupByKey]=ContinuousStatsTable[[#This Row],[GroupByKey]]),(ContinuousStatsTable[GroupByKey]=ContinuousStatsTable[[#This Row],[GroupByKey]])*ContinuousStatsTable[Average]))</f>
        <v>1.7200278735122601</v>
      </c>
      <c r="T423" cm="1">
        <f t="array" ref="T423">MAX(IF((ContinuousStatsTable[GroupByKey]=ContinuousStatsTable[[#This Row],[GroupByKey]]),(ContinuousStatsTable[GroupByKey]=ContinuousStatsTable[[#This Row],[GroupByKey]])*ContinuousStatsTable[Average]))</f>
        <v>4.5543512780988502</v>
      </c>
      <c r="U423">
        <f>IF((ContinuousStatsTable[[#This Row],[RepsRequested]]&gt;1),ContinuousStatsTable[[#This Row],[HalfWidth]],ContinuousStatsTable[[#This Row],[BatchMeansHalfWidth]])</f>
        <v>0.21041231434540877</v>
      </c>
    </row>
    <row r="424" spans="1:21" x14ac:dyDescent="0.25">
      <c r="A424" t="s">
        <v>68</v>
      </c>
      <c r="B424" t="s">
        <v>131</v>
      </c>
      <c r="C424">
        <v>36</v>
      </c>
      <c r="D424" t="s">
        <v>87</v>
      </c>
      <c r="E424" t="s">
        <v>96</v>
      </c>
      <c r="F424" t="s">
        <v>85</v>
      </c>
      <c r="G424">
        <v>0.22736428285982799</v>
      </c>
      <c r="H424">
        <v>4.2742887320794898E-2</v>
      </c>
      <c r="I424">
        <v>0</v>
      </c>
      <c r="J424">
        <v>8</v>
      </c>
      <c r="K424">
        <v>0</v>
      </c>
      <c r="L424">
        <v>0</v>
      </c>
      <c r="M424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24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cm="1">
        <f t="array" ref="O424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24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24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24" cm="1">
        <f t="array" ref="S424">MIN(IF((ContinuousStatsTable[GroupByKey]=ContinuousStatsTable[[#This Row],[GroupByKey]]),(ContinuousStatsTable[GroupByKey]=ContinuousStatsTable[[#This Row],[GroupByKey]])*ContinuousStatsTable[Average]))</f>
        <v>0.172815232766103</v>
      </c>
      <c r="T424" cm="1">
        <f t="array" ref="T424">MAX(IF((ContinuousStatsTable[GroupByKey]=ContinuousStatsTable[[#This Row],[GroupByKey]]),(ContinuousStatsTable[GroupByKey]=ContinuousStatsTable[[#This Row],[GroupByKey]])*ContinuousStatsTable[Average]))</f>
        <v>0.24783514900621301</v>
      </c>
      <c r="U424">
        <f>IF((ContinuousStatsTable[[#This Row],[RepsRequested]]&gt;1),ContinuousStatsTable[[#This Row],[HalfWidth]],ContinuousStatsTable[[#This Row],[BatchMeansHalfWidth]])</f>
        <v>4.7768909384897544E-3</v>
      </c>
    </row>
    <row r="425" spans="1:21" x14ac:dyDescent="0.25">
      <c r="A425" t="s">
        <v>68</v>
      </c>
      <c r="B425" t="s">
        <v>131</v>
      </c>
      <c r="C425">
        <v>36</v>
      </c>
      <c r="D425" t="s">
        <v>97</v>
      </c>
      <c r="E425" t="s">
        <v>98</v>
      </c>
      <c r="F425" t="s">
        <v>99</v>
      </c>
      <c r="G425">
        <v>0.54547665804661505</v>
      </c>
      <c r="H425">
        <v>2.1788190115544299E-2</v>
      </c>
      <c r="I425">
        <v>0</v>
      </c>
      <c r="J425">
        <v>0.66666666666666696</v>
      </c>
      <c r="K425">
        <v>0.66666666666666696</v>
      </c>
      <c r="L425">
        <v>0</v>
      </c>
      <c r="M425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42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cm="1">
        <f t="array" ref="O425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42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42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425" cm="1">
        <f t="array" ref="S425">MIN(IF((ContinuousStatsTable[GroupByKey]=ContinuousStatsTable[[#This Row],[GroupByKey]]),(ContinuousStatsTable[GroupByKey]=ContinuousStatsTable[[#This Row],[GroupByKey]])*ContinuousStatsTable[Average]))</f>
        <v>0.52470641844357602</v>
      </c>
      <c r="T425" cm="1">
        <f t="array" ref="T425">MAX(IF((ContinuousStatsTable[GroupByKey]=ContinuousStatsTable[[#This Row],[GroupByKey]]),(ContinuousStatsTable[GroupByKey]=ContinuousStatsTable[[#This Row],[GroupByKey]])*ContinuousStatsTable[Average]))</f>
        <v>0.57005812966092095</v>
      </c>
      <c r="U425">
        <f>IF((ContinuousStatsTable[[#This Row],[RepsRequested]]&gt;1),ContinuousStatsTable[[#This Row],[HalfWidth]],ContinuousStatsTable[[#This Row],[BatchMeansHalfWidth]])</f>
        <v>2.9048243757695521E-3</v>
      </c>
    </row>
    <row r="426" spans="1:21" x14ac:dyDescent="0.25">
      <c r="A426" t="s">
        <v>68</v>
      </c>
      <c r="B426" t="s">
        <v>131</v>
      </c>
      <c r="C426">
        <v>36</v>
      </c>
      <c r="D426" t="s">
        <v>97</v>
      </c>
      <c r="E426" t="s">
        <v>100</v>
      </c>
      <c r="F426" t="s">
        <v>99</v>
      </c>
      <c r="G426">
        <v>1.63642997413986</v>
      </c>
      <c r="H426">
        <v>6.5364570346632997E-2</v>
      </c>
      <c r="I426">
        <v>0</v>
      </c>
      <c r="J426">
        <v>2</v>
      </c>
      <c r="K426">
        <v>2</v>
      </c>
      <c r="L426">
        <v>0</v>
      </c>
      <c r="M426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426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cm="1">
        <f t="array" ref="O426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26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26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26" cm="1">
        <f t="array" ref="S426">MIN(IF((ContinuousStatsTable[GroupByKey]=ContinuousStatsTable[[#This Row],[GroupByKey]]),(ContinuousStatsTable[GroupByKey]=ContinuousStatsTable[[#This Row],[GroupByKey]])*ContinuousStatsTable[Average]))</f>
        <v>1.5741192553307399</v>
      </c>
      <c r="T426" cm="1">
        <f t="array" ref="T426">MAX(IF((ContinuousStatsTable[GroupByKey]=ContinuousStatsTable[[#This Row],[GroupByKey]]),(ContinuousStatsTable[GroupByKey]=ContinuousStatsTable[[#This Row],[GroupByKey]])*ContinuousStatsTable[Average]))</f>
        <v>1.7101743889827701</v>
      </c>
      <c r="U426">
        <f>IF((ContinuousStatsTable[[#This Row],[RepsRequested]]&gt;1),ContinuousStatsTable[[#This Row],[HalfWidth]],ContinuousStatsTable[[#This Row],[BatchMeansHalfWidth]])</f>
        <v>8.7144731273084922E-3</v>
      </c>
    </row>
    <row r="427" spans="1:21" x14ac:dyDescent="0.25">
      <c r="A427" t="s">
        <v>68</v>
      </c>
      <c r="B427" t="s">
        <v>131</v>
      </c>
      <c r="C427">
        <v>36</v>
      </c>
      <c r="D427" t="s">
        <v>97</v>
      </c>
      <c r="E427" t="s">
        <v>101</v>
      </c>
      <c r="F427" t="s">
        <v>99</v>
      </c>
      <c r="G427">
        <v>3</v>
      </c>
      <c r="H427">
        <v>2E+20</v>
      </c>
      <c r="I427">
        <v>3</v>
      </c>
      <c r="J427">
        <v>3</v>
      </c>
      <c r="K427">
        <v>3</v>
      </c>
      <c r="L427">
        <v>0</v>
      </c>
      <c r="M427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427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cm="1">
        <f t="array" ref="O427">IFERROR(AVERAGE(IF((ContinuousStatsTable[GroupByKey]=ContinuousStatsTable[[#This Row],[GroupByKey]]),(ContinuousStatsTable[GroupByKey]=ContinuousStatsTable[[#This Row],[GroupByKey]])*ContinuousStatsTable[Average])),0)</f>
        <v>3</v>
      </c>
      <c r="P427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</v>
      </c>
      <c r="Q427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7" cm="1">
        <f t="array" ref="S427">MIN(IF((ContinuousStatsTable[GroupByKey]=ContinuousStatsTable[[#This Row],[GroupByKey]]),(ContinuousStatsTable[GroupByKey]=ContinuousStatsTable[[#This Row],[GroupByKey]])*ContinuousStatsTable[Average]))</f>
        <v>3</v>
      </c>
      <c r="T427" cm="1">
        <f t="array" ref="T427">MAX(IF((ContinuousStatsTable[GroupByKey]=ContinuousStatsTable[[#This Row],[GroupByKey]]),(ContinuousStatsTable[GroupByKey]=ContinuousStatsTable[[#This Row],[GroupByKey]])*ContinuousStatsTable[Average]))</f>
        <v>3</v>
      </c>
      <c r="U427">
        <f>IF((ContinuousStatsTable[[#This Row],[RepsRequested]]&gt;1),ContinuousStatsTable[[#This Row],[HalfWidth]],ContinuousStatsTable[[#This Row],[BatchMeansHalfWidth]])</f>
        <v>0</v>
      </c>
    </row>
    <row r="428" spans="1:21" x14ac:dyDescent="0.25">
      <c r="A428" t="s">
        <v>68</v>
      </c>
      <c r="B428" t="s">
        <v>131</v>
      </c>
      <c r="C428">
        <v>36</v>
      </c>
      <c r="D428" t="s">
        <v>102</v>
      </c>
      <c r="E428" t="s">
        <v>98</v>
      </c>
      <c r="F428" t="s">
        <v>99</v>
      </c>
      <c r="G428">
        <v>0.81821498706992801</v>
      </c>
      <c r="H428">
        <v>3.2682285173316498E-2</v>
      </c>
      <c r="I428">
        <v>0</v>
      </c>
      <c r="J428">
        <v>1</v>
      </c>
      <c r="K428">
        <v>1</v>
      </c>
      <c r="L428">
        <v>0</v>
      </c>
      <c r="M428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428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cm="1">
        <f t="array" ref="O428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428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428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428" cm="1">
        <f t="array" ref="S428">MIN(IF((ContinuousStatsTable[GroupByKey]=ContinuousStatsTable[[#This Row],[GroupByKey]]),(ContinuousStatsTable[GroupByKey]=ContinuousStatsTable[[#This Row],[GroupByKey]])*ContinuousStatsTable[Average]))</f>
        <v>0.78705962766536897</v>
      </c>
      <c r="T428" cm="1">
        <f t="array" ref="T428">MAX(IF((ContinuousStatsTable[GroupByKey]=ContinuousStatsTable[[#This Row],[GroupByKey]]),(ContinuousStatsTable[GroupByKey]=ContinuousStatsTable[[#This Row],[GroupByKey]])*ContinuousStatsTable[Average]))</f>
        <v>0.85508719449138504</v>
      </c>
      <c r="U428">
        <f>IF((ContinuousStatsTable[[#This Row],[RepsRequested]]&gt;1),ContinuousStatsTable[[#This Row],[HalfWidth]],ContinuousStatsTable[[#This Row],[BatchMeansHalfWidth]])</f>
        <v>4.3572365636542886E-3</v>
      </c>
    </row>
    <row r="429" spans="1:21" x14ac:dyDescent="0.25">
      <c r="A429" t="s">
        <v>68</v>
      </c>
      <c r="B429" t="s">
        <v>131</v>
      </c>
      <c r="C429">
        <v>36</v>
      </c>
      <c r="D429" t="s">
        <v>102</v>
      </c>
      <c r="E429" t="s">
        <v>100</v>
      </c>
      <c r="F429" t="s">
        <v>99</v>
      </c>
      <c r="G429">
        <v>1.63642997413986</v>
      </c>
      <c r="H429">
        <v>6.5364570346632997E-2</v>
      </c>
      <c r="I429">
        <v>0</v>
      </c>
      <c r="J429">
        <v>2</v>
      </c>
      <c r="K429">
        <v>2</v>
      </c>
      <c r="L429">
        <v>0</v>
      </c>
      <c r="M429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429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cm="1">
        <f t="array" ref="O429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29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29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29" cm="1">
        <f t="array" ref="S429">MIN(IF((ContinuousStatsTable[GroupByKey]=ContinuousStatsTable[[#This Row],[GroupByKey]]),(ContinuousStatsTable[GroupByKey]=ContinuousStatsTable[[#This Row],[GroupByKey]])*ContinuousStatsTable[Average]))</f>
        <v>1.5741192553307399</v>
      </c>
      <c r="T429" cm="1">
        <f t="array" ref="T429">MAX(IF((ContinuousStatsTable[GroupByKey]=ContinuousStatsTable[[#This Row],[GroupByKey]]),(ContinuousStatsTable[GroupByKey]=ContinuousStatsTable[[#This Row],[GroupByKey]])*ContinuousStatsTable[Average]))</f>
        <v>1.7101743889827701</v>
      </c>
      <c r="U429">
        <f>IF((ContinuousStatsTable[[#This Row],[RepsRequested]]&gt;1),ContinuousStatsTable[[#This Row],[HalfWidth]],ContinuousStatsTable[[#This Row],[BatchMeansHalfWidth]])</f>
        <v>8.7144731273084922E-3</v>
      </c>
    </row>
    <row r="430" spans="1:21" x14ac:dyDescent="0.25">
      <c r="A430" t="s">
        <v>68</v>
      </c>
      <c r="B430" t="s">
        <v>131</v>
      </c>
      <c r="C430">
        <v>36</v>
      </c>
      <c r="D430" t="s">
        <v>102</v>
      </c>
      <c r="E430" t="s">
        <v>101</v>
      </c>
      <c r="F430" t="s">
        <v>99</v>
      </c>
      <c r="G430">
        <v>2</v>
      </c>
      <c r="H430">
        <v>2E+20</v>
      </c>
      <c r="I430">
        <v>2</v>
      </c>
      <c r="J430">
        <v>2</v>
      </c>
      <c r="K430">
        <v>2</v>
      </c>
      <c r="L430">
        <v>0</v>
      </c>
      <c r="M430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430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cm="1">
        <f t="array" ref="O430">IFERROR(AVERAGE(IF((ContinuousStatsTable[GroupByKey]=ContinuousStatsTable[[#This Row],[GroupByKey]]),(ContinuousStatsTable[GroupByKey]=ContinuousStatsTable[[#This Row],[GroupByKey]])*ContinuousStatsTable[Average])),0)</f>
        <v>2</v>
      </c>
      <c r="P430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cm="1">
        <f t="array" ref="S430">MIN(IF((ContinuousStatsTable[GroupByKey]=ContinuousStatsTable[[#This Row],[GroupByKey]]),(ContinuousStatsTable[GroupByKey]=ContinuousStatsTable[[#This Row],[GroupByKey]])*ContinuousStatsTable[Average]))</f>
        <v>2</v>
      </c>
      <c r="T430" cm="1">
        <f t="array" ref="T430">MAX(IF((ContinuousStatsTable[GroupByKey]=ContinuousStatsTable[[#This Row],[GroupByKey]]),(ContinuousStatsTable[GroupByKey]=ContinuousStatsTable[[#This Row],[GroupByKey]])*ContinuousStatsTable[Average]))</f>
        <v>2</v>
      </c>
      <c r="U430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68</v>
      </c>
      <c r="B431" t="s">
        <v>131</v>
      </c>
      <c r="C431">
        <v>36</v>
      </c>
      <c r="D431" t="s">
        <v>103</v>
      </c>
      <c r="E431" t="s">
        <v>98</v>
      </c>
      <c r="F431" t="s">
        <v>99</v>
      </c>
      <c r="G431">
        <v>0.472246507935358</v>
      </c>
      <c r="H431">
        <v>1.62032428081295E-2</v>
      </c>
      <c r="I431">
        <v>0</v>
      </c>
      <c r="J431">
        <v>1</v>
      </c>
      <c r="K431">
        <v>0</v>
      </c>
      <c r="L431">
        <v>0</v>
      </c>
      <c r="M431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431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cm="1">
        <f t="array" ref="O431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31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31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31" cm="1">
        <f t="array" ref="S431">MIN(IF((ContinuousStatsTable[GroupByKey]=ContinuousStatsTable[[#This Row],[GroupByKey]]),(ContinuousStatsTable[GroupByKey]=ContinuousStatsTable[[#This Row],[GroupByKey]])*ContinuousStatsTable[Average]))</f>
        <v>0.452397944183905</v>
      </c>
      <c r="T431" cm="1">
        <f t="array" ref="T431">MAX(IF((ContinuousStatsTable[GroupByKey]=ContinuousStatsTable[[#This Row],[GroupByKey]]),(ContinuousStatsTable[GroupByKey]=ContinuousStatsTable[[#This Row],[GroupByKey]])*ContinuousStatsTable[Average]))</f>
        <v>0.49691123629694001</v>
      </c>
      <c r="U431">
        <f>IF((ContinuousStatsTable[[#This Row],[RepsRequested]]&gt;1),ContinuousStatsTable[[#This Row],[HalfWidth]],ContinuousStatsTable[[#This Row],[BatchMeansHalfWidth]])</f>
        <v>2.7457743728226142E-3</v>
      </c>
    </row>
    <row r="432" spans="1:21" x14ac:dyDescent="0.25">
      <c r="A432" t="s">
        <v>68</v>
      </c>
      <c r="B432" t="s">
        <v>131</v>
      </c>
      <c r="C432">
        <v>36</v>
      </c>
      <c r="D432" t="s">
        <v>103</v>
      </c>
      <c r="E432" t="s">
        <v>100</v>
      </c>
      <c r="F432" t="s">
        <v>99</v>
      </c>
      <c r="G432">
        <v>0.472246507935358</v>
      </c>
      <c r="H432">
        <v>1.62032428081295E-2</v>
      </c>
      <c r="I432">
        <v>0</v>
      </c>
      <c r="J432">
        <v>1</v>
      </c>
      <c r="K432">
        <v>0</v>
      </c>
      <c r="L432">
        <v>0</v>
      </c>
      <c r="M432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432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cm="1">
        <f t="array" ref="O432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32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32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32" cm="1">
        <f t="array" ref="S432">MIN(IF((ContinuousStatsTable[GroupByKey]=ContinuousStatsTable[[#This Row],[GroupByKey]]),(ContinuousStatsTable[GroupByKey]=ContinuousStatsTable[[#This Row],[GroupByKey]])*ContinuousStatsTable[Average]))</f>
        <v>0.452397944183905</v>
      </c>
      <c r="T432" cm="1">
        <f t="array" ref="T432">MAX(IF((ContinuousStatsTable[GroupByKey]=ContinuousStatsTable[[#This Row],[GroupByKey]]),(ContinuousStatsTable[GroupByKey]=ContinuousStatsTable[[#This Row],[GroupByKey]])*ContinuousStatsTable[Average]))</f>
        <v>0.49691123629694001</v>
      </c>
      <c r="U432">
        <f>IF((ContinuousStatsTable[[#This Row],[RepsRequested]]&gt;1),ContinuousStatsTable[[#This Row],[HalfWidth]],ContinuousStatsTable[[#This Row],[BatchMeansHalfWidth]])</f>
        <v>2.7457743728226142E-3</v>
      </c>
    </row>
    <row r="433" spans="1:21" x14ac:dyDescent="0.25">
      <c r="A433" t="s">
        <v>68</v>
      </c>
      <c r="B433" t="s">
        <v>131</v>
      </c>
      <c r="C433">
        <v>36</v>
      </c>
      <c r="D433" t="s">
        <v>103</v>
      </c>
      <c r="E433" t="s">
        <v>101</v>
      </c>
      <c r="F433" t="s">
        <v>99</v>
      </c>
      <c r="G433">
        <v>1</v>
      </c>
      <c r="H433">
        <v>2E+20</v>
      </c>
      <c r="I433">
        <v>1</v>
      </c>
      <c r="J433">
        <v>1</v>
      </c>
      <c r="K433">
        <v>1</v>
      </c>
      <c r="L433">
        <v>0</v>
      </c>
      <c r="M433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433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cm="1">
        <f t="array" ref="O433">IFERROR(AVERAGE(IF((ContinuousStatsTable[GroupByKey]=ContinuousStatsTable[[#This Row],[GroupByKey]]),(ContinuousStatsTable[GroupByKey]=ContinuousStatsTable[[#This Row],[GroupByKey]])*ContinuousStatsTable[Average])),0)</f>
        <v>1</v>
      </c>
      <c r="P433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</v>
      </c>
      <c r="Q433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3" cm="1">
        <f t="array" ref="S433">MIN(IF((ContinuousStatsTable[GroupByKey]=ContinuousStatsTable[[#This Row],[GroupByKey]]),(ContinuousStatsTable[GroupByKey]=ContinuousStatsTable[[#This Row],[GroupByKey]])*ContinuousStatsTable[Average]))</f>
        <v>1</v>
      </c>
      <c r="T433" cm="1">
        <f t="array" ref="T433">MAX(IF((ContinuousStatsTable[GroupByKey]=ContinuousStatsTable[[#This Row],[GroupByKey]]),(ContinuousStatsTable[GroupByKey]=ContinuousStatsTable[[#This Row],[GroupByKey]])*ContinuousStatsTable[Average]))</f>
        <v>1</v>
      </c>
      <c r="U433">
        <f>IF((ContinuousStatsTable[[#This Row],[RepsRequested]]&gt;1),ContinuousStatsTable[[#This Row],[HalfWidth]],ContinuousStatsTable[[#This Row],[BatchMeansHalfWidth]])</f>
        <v>0</v>
      </c>
    </row>
    <row r="434" spans="1:21" x14ac:dyDescent="0.25">
      <c r="A434" t="s">
        <v>68</v>
      </c>
      <c r="B434" t="s">
        <v>131</v>
      </c>
      <c r="C434">
        <v>37</v>
      </c>
      <c r="D434" t="s">
        <v>70</v>
      </c>
      <c r="E434" t="s">
        <v>95</v>
      </c>
      <c r="F434" t="s">
        <v>72</v>
      </c>
      <c r="G434">
        <v>5.6280367747233102</v>
      </c>
      <c r="H434">
        <v>3E+20</v>
      </c>
      <c r="I434">
        <v>0</v>
      </c>
      <c r="J434">
        <v>35</v>
      </c>
      <c r="K434">
        <v>2</v>
      </c>
      <c r="L434">
        <v>0</v>
      </c>
      <c r="M434" t="str">
        <f>ContinuousStatsTable[[#This Row],[ProjectName]]&amp;ContinuousStatsTable[[#This Row],[Name]]&amp;ContinuousStatsTable[[#This Row],[Type]]&amp;ContinuousStatsTable[[#This Row],[Source]]</f>
        <v>PacientesEntity 1WIPEntity</v>
      </c>
      <c r="N434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cm="1">
        <f t="array" ref="O434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434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434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434" cm="1">
        <f t="array" ref="S434">MIN(IF((ContinuousStatsTable[GroupByKey]=ContinuousStatsTable[[#This Row],[GroupByKey]]),(ContinuousStatsTable[GroupByKey]=ContinuousStatsTable[[#This Row],[GroupByKey]])*ContinuousStatsTable[Average]))</f>
        <v>3.9757448048151298</v>
      </c>
      <c r="T434" cm="1">
        <f t="array" ref="T434">MAX(IF((ContinuousStatsTable[GroupByKey]=ContinuousStatsTable[[#This Row],[GroupByKey]]),(ContinuousStatsTable[GroupByKey]=ContinuousStatsTable[[#This Row],[GroupByKey]])*ContinuousStatsTable[Average]))</f>
        <v>6.9386840633215803</v>
      </c>
      <c r="U434">
        <f>IF((ContinuousStatsTable[[#This Row],[RepsRequested]]&gt;1),ContinuousStatsTable[[#This Row],[HalfWidth]],ContinuousStatsTable[[#This Row],[BatchMeansHalfWidth]])</f>
        <v>0.22030607219171747</v>
      </c>
    </row>
    <row r="435" spans="1:21" x14ac:dyDescent="0.25">
      <c r="A435" t="s">
        <v>68</v>
      </c>
      <c r="B435" t="s">
        <v>131</v>
      </c>
      <c r="C435">
        <v>37</v>
      </c>
      <c r="D435" t="s">
        <v>83</v>
      </c>
      <c r="E435" t="s">
        <v>96</v>
      </c>
      <c r="F435" t="s">
        <v>85</v>
      </c>
      <c r="G435">
        <v>3.2945728823343901</v>
      </c>
      <c r="H435">
        <v>3E+20</v>
      </c>
      <c r="I435">
        <v>0</v>
      </c>
      <c r="J435">
        <v>33</v>
      </c>
      <c r="K435">
        <v>0</v>
      </c>
      <c r="L435">
        <v>0</v>
      </c>
      <c r="M435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43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cm="1">
        <f t="array" ref="O435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43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43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435" cm="1">
        <f t="array" ref="S435">MIN(IF((ContinuousStatsTable[GroupByKey]=ContinuousStatsTable[[#This Row],[GroupByKey]]),(ContinuousStatsTable[GroupByKey]=ContinuousStatsTable[[#This Row],[GroupByKey]])*ContinuousStatsTable[Average]))</f>
        <v>1.7200278735122601</v>
      </c>
      <c r="T435" cm="1">
        <f t="array" ref="T435">MAX(IF((ContinuousStatsTable[GroupByKey]=ContinuousStatsTable[[#This Row],[GroupByKey]]),(ContinuousStatsTable[GroupByKey]=ContinuousStatsTable[[#This Row],[GroupByKey]])*ContinuousStatsTable[Average]))</f>
        <v>4.5543512780988502</v>
      </c>
      <c r="U435">
        <f>IF((ContinuousStatsTable[[#This Row],[RepsRequested]]&gt;1),ContinuousStatsTable[[#This Row],[HalfWidth]],ContinuousStatsTable[[#This Row],[BatchMeansHalfWidth]])</f>
        <v>0.21041231434540877</v>
      </c>
    </row>
    <row r="436" spans="1:21" x14ac:dyDescent="0.25">
      <c r="A436" t="s">
        <v>68</v>
      </c>
      <c r="B436" t="s">
        <v>131</v>
      </c>
      <c r="C436">
        <v>37</v>
      </c>
      <c r="D436" t="s">
        <v>87</v>
      </c>
      <c r="E436" t="s">
        <v>96</v>
      </c>
      <c r="F436" t="s">
        <v>85</v>
      </c>
      <c r="G436">
        <v>0.211544416384015</v>
      </c>
      <c r="H436">
        <v>3.5736214967948897E-2</v>
      </c>
      <c r="I436">
        <v>0</v>
      </c>
      <c r="J436">
        <v>7</v>
      </c>
      <c r="K436">
        <v>0</v>
      </c>
      <c r="L436">
        <v>0</v>
      </c>
      <c r="M436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36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cm="1">
        <f t="array" ref="O436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36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36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36" cm="1">
        <f t="array" ref="S436">MIN(IF((ContinuousStatsTable[GroupByKey]=ContinuousStatsTable[[#This Row],[GroupByKey]]),(ContinuousStatsTable[GroupByKey]=ContinuousStatsTable[[#This Row],[GroupByKey]])*ContinuousStatsTable[Average]))</f>
        <v>0.172815232766103</v>
      </c>
      <c r="T436" cm="1">
        <f t="array" ref="T436">MAX(IF((ContinuousStatsTable[GroupByKey]=ContinuousStatsTable[[#This Row],[GroupByKey]]),(ContinuousStatsTable[GroupByKey]=ContinuousStatsTable[[#This Row],[GroupByKey]])*ContinuousStatsTable[Average]))</f>
        <v>0.24783514900621301</v>
      </c>
      <c r="U436">
        <f>IF((ContinuousStatsTable[[#This Row],[RepsRequested]]&gt;1),ContinuousStatsTable[[#This Row],[HalfWidth]],ContinuousStatsTable[[#This Row],[BatchMeansHalfWidth]])</f>
        <v>4.7768909384897544E-3</v>
      </c>
    </row>
    <row r="437" spans="1:21" x14ac:dyDescent="0.25">
      <c r="A437" t="s">
        <v>68</v>
      </c>
      <c r="B437" t="s">
        <v>131</v>
      </c>
      <c r="C437">
        <v>37</v>
      </c>
      <c r="D437" t="s">
        <v>97</v>
      </c>
      <c r="E437" t="s">
        <v>98</v>
      </c>
      <c r="F437" t="s">
        <v>99</v>
      </c>
      <c r="G437">
        <v>0.54846216086076405</v>
      </c>
      <c r="H437">
        <v>2.5078705293482901E-2</v>
      </c>
      <c r="I437">
        <v>0</v>
      </c>
      <c r="J437">
        <v>0.66666666666666696</v>
      </c>
      <c r="K437">
        <v>0.66666666666666696</v>
      </c>
      <c r="L437">
        <v>0</v>
      </c>
      <c r="M437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437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cm="1">
        <f t="array" ref="O437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437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437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437" cm="1">
        <f t="array" ref="S437">MIN(IF((ContinuousStatsTable[GroupByKey]=ContinuousStatsTable[[#This Row],[GroupByKey]]),(ContinuousStatsTable[GroupByKey]=ContinuousStatsTable[[#This Row],[GroupByKey]])*ContinuousStatsTable[Average]))</f>
        <v>0.52470641844357602</v>
      </c>
      <c r="T437" cm="1">
        <f t="array" ref="T437">MAX(IF((ContinuousStatsTable[GroupByKey]=ContinuousStatsTable[[#This Row],[GroupByKey]]),(ContinuousStatsTable[GroupByKey]=ContinuousStatsTable[[#This Row],[GroupByKey]])*ContinuousStatsTable[Average]))</f>
        <v>0.57005812966092095</v>
      </c>
      <c r="U437">
        <f>IF((ContinuousStatsTable[[#This Row],[RepsRequested]]&gt;1),ContinuousStatsTable[[#This Row],[HalfWidth]],ContinuousStatsTable[[#This Row],[BatchMeansHalfWidth]])</f>
        <v>2.9048243757695521E-3</v>
      </c>
    </row>
    <row r="438" spans="1:21" x14ac:dyDescent="0.25">
      <c r="A438" t="s">
        <v>68</v>
      </c>
      <c r="B438" t="s">
        <v>131</v>
      </c>
      <c r="C438">
        <v>37</v>
      </c>
      <c r="D438" t="s">
        <v>97</v>
      </c>
      <c r="E438" t="s">
        <v>100</v>
      </c>
      <c r="F438" t="s">
        <v>99</v>
      </c>
      <c r="G438">
        <v>1.6453864825822899</v>
      </c>
      <c r="H438">
        <v>7.5236115880448706E-2</v>
      </c>
      <c r="I438">
        <v>0</v>
      </c>
      <c r="J438">
        <v>2</v>
      </c>
      <c r="K438">
        <v>2</v>
      </c>
      <c r="L438">
        <v>0</v>
      </c>
      <c r="M438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438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cm="1">
        <f t="array" ref="O438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38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38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38" cm="1">
        <f t="array" ref="S438">MIN(IF((ContinuousStatsTable[GroupByKey]=ContinuousStatsTable[[#This Row],[GroupByKey]]),(ContinuousStatsTable[GroupByKey]=ContinuousStatsTable[[#This Row],[GroupByKey]])*ContinuousStatsTable[Average]))</f>
        <v>1.5741192553307399</v>
      </c>
      <c r="T438" cm="1">
        <f t="array" ref="T438">MAX(IF((ContinuousStatsTable[GroupByKey]=ContinuousStatsTable[[#This Row],[GroupByKey]]),(ContinuousStatsTable[GroupByKey]=ContinuousStatsTable[[#This Row],[GroupByKey]])*ContinuousStatsTable[Average]))</f>
        <v>1.7101743889827701</v>
      </c>
      <c r="U438">
        <f>IF((ContinuousStatsTable[[#This Row],[RepsRequested]]&gt;1),ContinuousStatsTable[[#This Row],[HalfWidth]],ContinuousStatsTable[[#This Row],[BatchMeansHalfWidth]])</f>
        <v>8.7144731273084922E-3</v>
      </c>
    </row>
    <row r="439" spans="1:21" x14ac:dyDescent="0.25">
      <c r="A439" t="s">
        <v>68</v>
      </c>
      <c r="B439" t="s">
        <v>131</v>
      </c>
      <c r="C439">
        <v>37</v>
      </c>
      <c r="D439" t="s">
        <v>97</v>
      </c>
      <c r="E439" t="s">
        <v>101</v>
      </c>
      <c r="F439" t="s">
        <v>99</v>
      </c>
      <c r="G439">
        <v>3</v>
      </c>
      <c r="H439">
        <v>2E+20</v>
      </c>
      <c r="I439">
        <v>3</v>
      </c>
      <c r="J439">
        <v>3</v>
      </c>
      <c r="K439">
        <v>3</v>
      </c>
      <c r="L439">
        <v>0</v>
      </c>
      <c r="M439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439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cm="1">
        <f t="array" ref="O439">IFERROR(AVERAGE(IF((ContinuousStatsTable[GroupByKey]=ContinuousStatsTable[[#This Row],[GroupByKey]]),(ContinuousStatsTable[GroupByKey]=ContinuousStatsTable[[#This Row],[GroupByKey]])*ContinuousStatsTable[Average])),0)</f>
        <v>3</v>
      </c>
      <c r="P439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cm="1">
        <f t="array" ref="S439">MIN(IF((ContinuousStatsTable[GroupByKey]=ContinuousStatsTable[[#This Row],[GroupByKey]]),(ContinuousStatsTable[GroupByKey]=ContinuousStatsTable[[#This Row],[GroupByKey]])*ContinuousStatsTable[Average]))</f>
        <v>3</v>
      </c>
      <c r="T439" cm="1">
        <f t="array" ref="T439">MAX(IF((ContinuousStatsTable[GroupByKey]=ContinuousStatsTable[[#This Row],[GroupByKey]]),(ContinuousStatsTable[GroupByKey]=ContinuousStatsTable[[#This Row],[GroupByKey]])*ContinuousStatsTable[Average]))</f>
        <v>3</v>
      </c>
      <c r="U439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68</v>
      </c>
      <c r="B440" t="s">
        <v>131</v>
      </c>
      <c r="C440">
        <v>37</v>
      </c>
      <c r="D440" t="s">
        <v>102</v>
      </c>
      <c r="E440" t="s">
        <v>98</v>
      </c>
      <c r="F440" t="s">
        <v>99</v>
      </c>
      <c r="G440">
        <v>0.82269324129114596</v>
      </c>
      <c r="H440">
        <v>3.7618057940224402E-2</v>
      </c>
      <c r="I440">
        <v>0</v>
      </c>
      <c r="J440">
        <v>1</v>
      </c>
      <c r="K440">
        <v>1</v>
      </c>
      <c r="L440">
        <v>0</v>
      </c>
      <c r="M440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440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cm="1">
        <f t="array" ref="O440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440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440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440" cm="1">
        <f t="array" ref="S440">MIN(IF((ContinuousStatsTable[GroupByKey]=ContinuousStatsTable[[#This Row],[GroupByKey]]),(ContinuousStatsTable[GroupByKey]=ContinuousStatsTable[[#This Row],[GroupByKey]])*ContinuousStatsTable[Average]))</f>
        <v>0.78705962766536897</v>
      </c>
      <c r="T440" cm="1">
        <f t="array" ref="T440">MAX(IF((ContinuousStatsTable[GroupByKey]=ContinuousStatsTable[[#This Row],[GroupByKey]]),(ContinuousStatsTable[GroupByKey]=ContinuousStatsTable[[#This Row],[GroupByKey]])*ContinuousStatsTable[Average]))</f>
        <v>0.85508719449138504</v>
      </c>
      <c r="U440">
        <f>IF((ContinuousStatsTable[[#This Row],[RepsRequested]]&gt;1),ContinuousStatsTable[[#This Row],[HalfWidth]],ContinuousStatsTable[[#This Row],[BatchMeansHalfWidth]])</f>
        <v>4.3572365636542886E-3</v>
      </c>
    </row>
    <row r="441" spans="1:21" x14ac:dyDescent="0.25">
      <c r="A441" t="s">
        <v>68</v>
      </c>
      <c r="B441" t="s">
        <v>131</v>
      </c>
      <c r="C441">
        <v>37</v>
      </c>
      <c r="D441" t="s">
        <v>102</v>
      </c>
      <c r="E441" t="s">
        <v>100</v>
      </c>
      <c r="F441" t="s">
        <v>99</v>
      </c>
      <c r="G441">
        <v>1.6453864825822899</v>
      </c>
      <c r="H441">
        <v>7.5236115880448706E-2</v>
      </c>
      <c r="I441">
        <v>0</v>
      </c>
      <c r="J441">
        <v>2</v>
      </c>
      <c r="K441">
        <v>2</v>
      </c>
      <c r="L441">
        <v>0</v>
      </c>
      <c r="M441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441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cm="1">
        <f t="array" ref="O441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41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41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41" cm="1">
        <f t="array" ref="S441">MIN(IF((ContinuousStatsTable[GroupByKey]=ContinuousStatsTable[[#This Row],[GroupByKey]]),(ContinuousStatsTable[GroupByKey]=ContinuousStatsTable[[#This Row],[GroupByKey]])*ContinuousStatsTable[Average]))</f>
        <v>1.5741192553307399</v>
      </c>
      <c r="T441" cm="1">
        <f t="array" ref="T441">MAX(IF((ContinuousStatsTable[GroupByKey]=ContinuousStatsTable[[#This Row],[GroupByKey]]),(ContinuousStatsTable[GroupByKey]=ContinuousStatsTable[[#This Row],[GroupByKey]])*ContinuousStatsTable[Average]))</f>
        <v>1.7101743889827701</v>
      </c>
      <c r="U441">
        <f>IF((ContinuousStatsTable[[#This Row],[RepsRequested]]&gt;1),ContinuousStatsTable[[#This Row],[HalfWidth]],ContinuousStatsTable[[#This Row],[BatchMeansHalfWidth]])</f>
        <v>8.7144731273084922E-3</v>
      </c>
    </row>
    <row r="442" spans="1:21" x14ac:dyDescent="0.25">
      <c r="A442" t="s">
        <v>68</v>
      </c>
      <c r="B442" t="s">
        <v>131</v>
      </c>
      <c r="C442">
        <v>37</v>
      </c>
      <c r="D442" t="s">
        <v>102</v>
      </c>
      <c r="E442" t="s">
        <v>101</v>
      </c>
      <c r="F442" t="s">
        <v>99</v>
      </c>
      <c r="G442">
        <v>2</v>
      </c>
      <c r="H442">
        <v>2E+20</v>
      </c>
      <c r="I442">
        <v>2</v>
      </c>
      <c r="J442">
        <v>2</v>
      </c>
      <c r="K442">
        <v>2</v>
      </c>
      <c r="L442">
        <v>0</v>
      </c>
      <c r="M442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442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cm="1">
        <f t="array" ref="O442">IFERROR(AVERAGE(IF((ContinuousStatsTable[GroupByKey]=ContinuousStatsTable[[#This Row],[GroupByKey]]),(ContinuousStatsTable[GroupByKey]=ContinuousStatsTable[[#This Row],[GroupByKey]])*ContinuousStatsTable[Average])),0)</f>
        <v>2</v>
      </c>
      <c r="P442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0</v>
      </c>
      <c r="Q442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2" cm="1">
        <f t="array" ref="S442">MIN(IF((ContinuousStatsTable[GroupByKey]=ContinuousStatsTable[[#This Row],[GroupByKey]]),(ContinuousStatsTable[GroupByKey]=ContinuousStatsTable[[#This Row],[GroupByKey]])*ContinuousStatsTable[Average]))</f>
        <v>2</v>
      </c>
      <c r="T442" cm="1">
        <f t="array" ref="T442">MAX(IF((ContinuousStatsTable[GroupByKey]=ContinuousStatsTable[[#This Row],[GroupByKey]]),(ContinuousStatsTable[GroupByKey]=ContinuousStatsTable[[#This Row],[GroupByKey]])*ContinuousStatsTable[Average]))</f>
        <v>2</v>
      </c>
      <c r="U442">
        <f>IF((ContinuousStatsTable[[#This Row],[RepsRequested]]&gt;1),ContinuousStatsTable[[#This Row],[HalfWidth]],ContinuousStatsTable[[#This Row],[BatchMeansHalfWidth]])</f>
        <v>0</v>
      </c>
    </row>
    <row r="443" spans="1:21" x14ac:dyDescent="0.25">
      <c r="A443" t="s">
        <v>68</v>
      </c>
      <c r="B443" t="s">
        <v>131</v>
      </c>
      <c r="C443">
        <v>37</v>
      </c>
      <c r="D443" t="s">
        <v>103</v>
      </c>
      <c r="E443" t="s">
        <v>98</v>
      </c>
      <c r="F443" t="s">
        <v>99</v>
      </c>
      <c r="G443">
        <v>0.47653299342261601</v>
      </c>
      <c r="H443">
        <v>1.7395712008857402E-2</v>
      </c>
      <c r="I443">
        <v>0</v>
      </c>
      <c r="J443">
        <v>1</v>
      </c>
      <c r="K443">
        <v>0</v>
      </c>
      <c r="L443">
        <v>0</v>
      </c>
      <c r="M443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443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cm="1">
        <f t="array" ref="O443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43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43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43" cm="1">
        <f t="array" ref="S443">MIN(IF((ContinuousStatsTable[GroupByKey]=ContinuousStatsTable[[#This Row],[GroupByKey]]),(ContinuousStatsTable[GroupByKey]=ContinuousStatsTable[[#This Row],[GroupByKey]])*ContinuousStatsTable[Average]))</f>
        <v>0.452397944183905</v>
      </c>
      <c r="T443" cm="1">
        <f t="array" ref="T443">MAX(IF((ContinuousStatsTable[GroupByKey]=ContinuousStatsTable[[#This Row],[GroupByKey]]),(ContinuousStatsTable[GroupByKey]=ContinuousStatsTable[[#This Row],[GroupByKey]])*ContinuousStatsTable[Average]))</f>
        <v>0.49691123629694001</v>
      </c>
      <c r="U443">
        <f>IF((ContinuousStatsTable[[#This Row],[RepsRequested]]&gt;1),ContinuousStatsTable[[#This Row],[HalfWidth]],ContinuousStatsTable[[#This Row],[BatchMeansHalfWidth]])</f>
        <v>2.7457743728226142E-3</v>
      </c>
    </row>
    <row r="444" spans="1:21" x14ac:dyDescent="0.25">
      <c r="A444" t="s">
        <v>68</v>
      </c>
      <c r="B444" t="s">
        <v>131</v>
      </c>
      <c r="C444">
        <v>37</v>
      </c>
      <c r="D444" t="s">
        <v>103</v>
      </c>
      <c r="E444" t="s">
        <v>100</v>
      </c>
      <c r="F444" t="s">
        <v>99</v>
      </c>
      <c r="G444">
        <v>0.47653299342261601</v>
      </c>
      <c r="H444">
        <v>1.7395712008857402E-2</v>
      </c>
      <c r="I444">
        <v>0</v>
      </c>
      <c r="J444">
        <v>1</v>
      </c>
      <c r="K444">
        <v>0</v>
      </c>
      <c r="L444">
        <v>0</v>
      </c>
      <c r="M444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444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cm="1">
        <f t="array" ref="O444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44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44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44" cm="1">
        <f t="array" ref="S444">MIN(IF((ContinuousStatsTable[GroupByKey]=ContinuousStatsTable[[#This Row],[GroupByKey]]),(ContinuousStatsTable[GroupByKey]=ContinuousStatsTable[[#This Row],[GroupByKey]])*ContinuousStatsTable[Average]))</f>
        <v>0.452397944183905</v>
      </c>
      <c r="T444" cm="1">
        <f t="array" ref="T444">MAX(IF((ContinuousStatsTable[GroupByKey]=ContinuousStatsTable[[#This Row],[GroupByKey]]),(ContinuousStatsTable[GroupByKey]=ContinuousStatsTable[[#This Row],[GroupByKey]])*ContinuousStatsTable[Average]))</f>
        <v>0.49691123629694001</v>
      </c>
      <c r="U444">
        <f>IF((ContinuousStatsTable[[#This Row],[RepsRequested]]&gt;1),ContinuousStatsTable[[#This Row],[HalfWidth]],ContinuousStatsTable[[#This Row],[BatchMeansHalfWidth]])</f>
        <v>2.7457743728226142E-3</v>
      </c>
    </row>
    <row r="445" spans="1:21" x14ac:dyDescent="0.25">
      <c r="A445" t="s">
        <v>68</v>
      </c>
      <c r="B445" t="s">
        <v>131</v>
      </c>
      <c r="C445">
        <v>37</v>
      </c>
      <c r="D445" t="s">
        <v>103</v>
      </c>
      <c r="E445" t="s">
        <v>101</v>
      </c>
      <c r="F445" t="s">
        <v>99</v>
      </c>
      <c r="G445">
        <v>1</v>
      </c>
      <c r="H445">
        <v>2E+20</v>
      </c>
      <c r="I445">
        <v>1</v>
      </c>
      <c r="J445">
        <v>1</v>
      </c>
      <c r="K445">
        <v>1</v>
      </c>
      <c r="L445">
        <v>0</v>
      </c>
      <c r="M445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44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cm="1">
        <f t="array" ref="O445">IFERROR(AVERAGE(IF((ContinuousStatsTable[GroupByKey]=ContinuousStatsTable[[#This Row],[GroupByKey]]),(ContinuousStatsTable[GroupByKey]=ContinuousStatsTable[[#This Row],[GroupByKey]])*ContinuousStatsTable[Average])),0)</f>
        <v>1</v>
      </c>
      <c r="P44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0</v>
      </c>
      <c r="Q44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5" cm="1">
        <f t="array" ref="S445">MIN(IF((ContinuousStatsTable[GroupByKey]=ContinuousStatsTable[[#This Row],[GroupByKey]]),(ContinuousStatsTable[GroupByKey]=ContinuousStatsTable[[#This Row],[GroupByKey]])*ContinuousStatsTable[Average]))</f>
        <v>1</v>
      </c>
      <c r="T445" cm="1">
        <f t="array" ref="T445">MAX(IF((ContinuousStatsTable[GroupByKey]=ContinuousStatsTable[[#This Row],[GroupByKey]]),(ContinuousStatsTable[GroupByKey]=ContinuousStatsTable[[#This Row],[GroupByKey]])*ContinuousStatsTable[Average]))</f>
        <v>1</v>
      </c>
      <c r="U445">
        <f>IF((ContinuousStatsTable[[#This Row],[RepsRequested]]&gt;1),ContinuousStatsTable[[#This Row],[HalfWidth]],ContinuousStatsTable[[#This Row],[BatchMeansHalfWidth]])</f>
        <v>0</v>
      </c>
    </row>
    <row r="446" spans="1:21" x14ac:dyDescent="0.25">
      <c r="A446" t="s">
        <v>68</v>
      </c>
      <c r="B446" t="s">
        <v>131</v>
      </c>
      <c r="C446">
        <v>38</v>
      </c>
      <c r="D446" t="s">
        <v>70</v>
      </c>
      <c r="E446" t="s">
        <v>95</v>
      </c>
      <c r="F446" t="s">
        <v>72</v>
      </c>
      <c r="G446">
        <v>4.7224769913825497</v>
      </c>
      <c r="H446">
        <v>0.76834101698501001</v>
      </c>
      <c r="I446">
        <v>0</v>
      </c>
      <c r="J446">
        <v>23</v>
      </c>
      <c r="K446">
        <v>0</v>
      </c>
      <c r="L446">
        <v>0</v>
      </c>
      <c r="M446" t="str">
        <f>ContinuousStatsTable[[#This Row],[ProjectName]]&amp;ContinuousStatsTable[[#This Row],[Name]]&amp;ContinuousStatsTable[[#This Row],[Type]]&amp;ContinuousStatsTable[[#This Row],[Source]]</f>
        <v>PacientesEntity 1WIPEntity</v>
      </c>
      <c r="N446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cm="1">
        <f t="array" ref="O446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446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446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446" cm="1">
        <f t="array" ref="S446">MIN(IF((ContinuousStatsTable[GroupByKey]=ContinuousStatsTable[[#This Row],[GroupByKey]]),(ContinuousStatsTable[GroupByKey]=ContinuousStatsTable[[#This Row],[GroupByKey]])*ContinuousStatsTable[Average]))</f>
        <v>3.9757448048151298</v>
      </c>
      <c r="T446" cm="1">
        <f t="array" ref="T446">MAX(IF((ContinuousStatsTable[GroupByKey]=ContinuousStatsTable[[#This Row],[GroupByKey]]),(ContinuousStatsTable[GroupByKey]=ContinuousStatsTable[[#This Row],[GroupByKey]])*ContinuousStatsTable[Average]))</f>
        <v>6.9386840633215803</v>
      </c>
      <c r="U446">
        <f>IF((ContinuousStatsTable[[#This Row],[RepsRequested]]&gt;1),ContinuousStatsTable[[#This Row],[HalfWidth]],ContinuousStatsTable[[#This Row],[BatchMeansHalfWidth]])</f>
        <v>0.22030607219171747</v>
      </c>
    </row>
    <row r="447" spans="1:21" x14ac:dyDescent="0.25">
      <c r="A447" t="s">
        <v>68</v>
      </c>
      <c r="B447" t="s">
        <v>131</v>
      </c>
      <c r="C447">
        <v>38</v>
      </c>
      <c r="D447" t="s">
        <v>83</v>
      </c>
      <c r="E447" t="s">
        <v>96</v>
      </c>
      <c r="F447" t="s">
        <v>85</v>
      </c>
      <c r="G447">
        <v>2.3823749648444901</v>
      </c>
      <c r="H447">
        <v>0.70288084555701502</v>
      </c>
      <c r="I447">
        <v>0</v>
      </c>
      <c r="J447">
        <v>20</v>
      </c>
      <c r="K447">
        <v>0</v>
      </c>
      <c r="L447">
        <v>0</v>
      </c>
      <c r="M447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447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cm="1">
        <f t="array" ref="O447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447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447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447" cm="1">
        <f t="array" ref="S447">MIN(IF((ContinuousStatsTable[GroupByKey]=ContinuousStatsTable[[#This Row],[GroupByKey]]),(ContinuousStatsTable[GroupByKey]=ContinuousStatsTable[[#This Row],[GroupByKey]])*ContinuousStatsTable[Average]))</f>
        <v>1.7200278735122601</v>
      </c>
      <c r="T447" cm="1">
        <f t="array" ref="T447">MAX(IF((ContinuousStatsTable[GroupByKey]=ContinuousStatsTable[[#This Row],[GroupByKey]]),(ContinuousStatsTable[GroupByKey]=ContinuousStatsTable[[#This Row],[GroupByKey]])*ContinuousStatsTable[Average]))</f>
        <v>4.5543512780988502</v>
      </c>
      <c r="U447">
        <f>IF((ContinuousStatsTable[[#This Row],[RepsRequested]]&gt;1),ContinuousStatsTable[[#This Row],[HalfWidth]],ContinuousStatsTable[[#This Row],[BatchMeansHalfWidth]])</f>
        <v>0.21041231434540877</v>
      </c>
    </row>
    <row r="448" spans="1:21" x14ac:dyDescent="0.25">
      <c r="A448" t="s">
        <v>68</v>
      </c>
      <c r="B448" t="s">
        <v>131</v>
      </c>
      <c r="C448">
        <v>38</v>
      </c>
      <c r="D448" t="s">
        <v>87</v>
      </c>
      <c r="E448" t="s">
        <v>96</v>
      </c>
      <c r="F448" t="s">
        <v>85</v>
      </c>
      <c r="G448">
        <v>0.218930616162717</v>
      </c>
      <c r="H448">
        <v>4.3858007641466301E-2</v>
      </c>
      <c r="I448">
        <v>0</v>
      </c>
      <c r="J448">
        <v>6</v>
      </c>
      <c r="K448">
        <v>0</v>
      </c>
      <c r="L448">
        <v>0</v>
      </c>
      <c r="M448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48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cm="1">
        <f t="array" ref="O448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48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48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48" cm="1">
        <f t="array" ref="S448">MIN(IF((ContinuousStatsTable[GroupByKey]=ContinuousStatsTable[[#This Row],[GroupByKey]]),(ContinuousStatsTable[GroupByKey]=ContinuousStatsTable[[#This Row],[GroupByKey]])*ContinuousStatsTable[Average]))</f>
        <v>0.172815232766103</v>
      </c>
      <c r="T448" cm="1">
        <f t="array" ref="T448">MAX(IF((ContinuousStatsTable[GroupByKey]=ContinuousStatsTable[[#This Row],[GroupByKey]]),(ContinuousStatsTable[GroupByKey]=ContinuousStatsTable[[#This Row],[GroupByKey]])*ContinuousStatsTable[Average]))</f>
        <v>0.24783514900621301</v>
      </c>
      <c r="U448">
        <f>IF((ContinuousStatsTable[[#This Row],[RepsRequested]]&gt;1),ContinuousStatsTable[[#This Row],[HalfWidth]],ContinuousStatsTable[[#This Row],[BatchMeansHalfWidth]])</f>
        <v>4.7768909384897544E-3</v>
      </c>
    </row>
    <row r="449" spans="1:21" x14ac:dyDescent="0.25">
      <c r="A449" t="s">
        <v>68</v>
      </c>
      <c r="B449" t="s">
        <v>131</v>
      </c>
      <c r="C449">
        <v>38</v>
      </c>
      <c r="D449" t="s">
        <v>97</v>
      </c>
      <c r="E449" t="s">
        <v>98</v>
      </c>
      <c r="F449" t="s">
        <v>99</v>
      </c>
      <c r="G449">
        <v>0.54957336565632797</v>
      </c>
      <c r="H449">
        <v>1.9814428084992598E-2</v>
      </c>
      <c r="I449">
        <v>0</v>
      </c>
      <c r="J449">
        <v>0.66666666666666696</v>
      </c>
      <c r="K449">
        <v>0</v>
      </c>
      <c r="L449">
        <v>0</v>
      </c>
      <c r="M449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449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cm="1">
        <f t="array" ref="O449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449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449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449" cm="1">
        <f t="array" ref="S449">MIN(IF((ContinuousStatsTable[GroupByKey]=ContinuousStatsTable[[#This Row],[GroupByKey]]),(ContinuousStatsTable[GroupByKey]=ContinuousStatsTable[[#This Row],[GroupByKey]])*ContinuousStatsTable[Average]))</f>
        <v>0.52470641844357602</v>
      </c>
      <c r="T449" cm="1">
        <f t="array" ref="T449">MAX(IF((ContinuousStatsTable[GroupByKey]=ContinuousStatsTable[[#This Row],[GroupByKey]]),(ContinuousStatsTable[GroupByKey]=ContinuousStatsTable[[#This Row],[GroupByKey]])*ContinuousStatsTable[Average]))</f>
        <v>0.57005812966092095</v>
      </c>
      <c r="U449">
        <f>IF((ContinuousStatsTable[[#This Row],[RepsRequested]]&gt;1),ContinuousStatsTable[[#This Row],[HalfWidth]],ContinuousStatsTable[[#This Row],[BatchMeansHalfWidth]])</f>
        <v>2.9048243757695521E-3</v>
      </c>
    </row>
    <row r="450" spans="1:21" x14ac:dyDescent="0.25">
      <c r="A450" t="s">
        <v>68</v>
      </c>
      <c r="B450" t="s">
        <v>131</v>
      </c>
      <c r="C450">
        <v>38</v>
      </c>
      <c r="D450" t="s">
        <v>97</v>
      </c>
      <c r="E450" t="s">
        <v>100</v>
      </c>
      <c r="F450" t="s">
        <v>99</v>
      </c>
      <c r="G450">
        <v>1.6487200969689899</v>
      </c>
      <c r="H450">
        <v>5.9443284254977802E-2</v>
      </c>
      <c r="I450">
        <v>0</v>
      </c>
      <c r="J450">
        <v>2</v>
      </c>
      <c r="K450">
        <v>0</v>
      </c>
      <c r="L450">
        <v>0</v>
      </c>
      <c r="M450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450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cm="1">
        <f t="array" ref="O450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50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50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50" cm="1">
        <f t="array" ref="S450">MIN(IF((ContinuousStatsTable[GroupByKey]=ContinuousStatsTable[[#This Row],[GroupByKey]]),(ContinuousStatsTable[GroupByKey]=ContinuousStatsTable[[#This Row],[GroupByKey]])*ContinuousStatsTable[Average]))</f>
        <v>1.5741192553307399</v>
      </c>
      <c r="T450" cm="1">
        <f t="array" ref="T450">MAX(IF((ContinuousStatsTable[GroupByKey]=ContinuousStatsTable[[#This Row],[GroupByKey]]),(ContinuousStatsTable[GroupByKey]=ContinuousStatsTable[[#This Row],[GroupByKey]])*ContinuousStatsTable[Average]))</f>
        <v>1.7101743889827701</v>
      </c>
      <c r="U450">
        <f>IF((ContinuousStatsTable[[#This Row],[RepsRequested]]&gt;1),ContinuousStatsTable[[#This Row],[HalfWidth]],ContinuousStatsTable[[#This Row],[BatchMeansHalfWidth]])</f>
        <v>8.7144731273084922E-3</v>
      </c>
    </row>
    <row r="451" spans="1:21" x14ac:dyDescent="0.25">
      <c r="A451" t="s">
        <v>68</v>
      </c>
      <c r="B451" t="s">
        <v>131</v>
      </c>
      <c r="C451">
        <v>38</v>
      </c>
      <c r="D451" t="s">
        <v>97</v>
      </c>
      <c r="E451" t="s">
        <v>101</v>
      </c>
      <c r="F451" t="s">
        <v>99</v>
      </c>
      <c r="G451">
        <v>3</v>
      </c>
      <c r="H451">
        <v>2E+20</v>
      </c>
      <c r="I451">
        <v>3</v>
      </c>
      <c r="J451">
        <v>3</v>
      </c>
      <c r="K451">
        <v>3</v>
      </c>
      <c r="L451">
        <v>0</v>
      </c>
      <c r="M451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451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cm="1">
        <f t="array" ref="O451">IFERROR(AVERAGE(IF((ContinuousStatsTable[GroupByKey]=ContinuousStatsTable[[#This Row],[GroupByKey]]),(ContinuousStatsTable[GroupByKey]=ContinuousStatsTable[[#This Row],[GroupByKey]])*ContinuousStatsTable[Average])),0)</f>
        <v>3</v>
      </c>
      <c r="P451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</v>
      </c>
      <c r="Q451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1" cm="1">
        <f t="array" ref="S451">MIN(IF((ContinuousStatsTable[GroupByKey]=ContinuousStatsTable[[#This Row],[GroupByKey]]),(ContinuousStatsTable[GroupByKey]=ContinuousStatsTable[[#This Row],[GroupByKey]])*ContinuousStatsTable[Average]))</f>
        <v>3</v>
      </c>
      <c r="T451" cm="1">
        <f t="array" ref="T451">MAX(IF((ContinuousStatsTable[GroupByKey]=ContinuousStatsTable[[#This Row],[GroupByKey]]),(ContinuousStatsTable[GroupByKey]=ContinuousStatsTable[[#This Row],[GroupByKey]])*ContinuousStatsTable[Average]))</f>
        <v>3</v>
      </c>
      <c r="U451">
        <f>IF((ContinuousStatsTable[[#This Row],[RepsRequested]]&gt;1),ContinuousStatsTable[[#This Row],[HalfWidth]],ContinuousStatsTable[[#This Row],[BatchMeansHalfWidth]])</f>
        <v>0</v>
      </c>
    </row>
    <row r="452" spans="1:21" x14ac:dyDescent="0.25">
      <c r="A452" t="s">
        <v>68</v>
      </c>
      <c r="B452" t="s">
        <v>131</v>
      </c>
      <c r="C452">
        <v>38</v>
      </c>
      <c r="D452" t="s">
        <v>102</v>
      </c>
      <c r="E452" t="s">
        <v>98</v>
      </c>
      <c r="F452" t="s">
        <v>99</v>
      </c>
      <c r="G452">
        <v>0.82436004848449695</v>
      </c>
      <c r="H452">
        <v>2.9721642127488901E-2</v>
      </c>
      <c r="I452">
        <v>0</v>
      </c>
      <c r="J452">
        <v>1</v>
      </c>
      <c r="K452">
        <v>0</v>
      </c>
      <c r="L452">
        <v>0</v>
      </c>
      <c r="M452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452" cm="1">
        <f t="array" ref="N452">MAX(IF((ProjectInfoTable[ProjectName]=ContinuousStatsTable[[#This Row],[ProjectName]]),(ProjectInfoTable[ProjectName]=ContinuousStatsTable[[#This Row],[ProjectName]])*ProjectInfoTable[NumberOfReplications]))</f>
        <v>50</v>
      </c>
      <c r="O452" cm="1">
        <f t="array" ref="O452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452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452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452" cm="1">
        <f t="array" ref="S452">MIN(IF((ContinuousStatsTable[GroupByKey]=ContinuousStatsTable[[#This Row],[GroupByKey]]),(ContinuousStatsTable[GroupByKey]=ContinuousStatsTable[[#This Row],[GroupByKey]])*ContinuousStatsTable[Average]))</f>
        <v>0.78705962766536897</v>
      </c>
      <c r="T452" cm="1">
        <f t="array" ref="T452">MAX(IF((ContinuousStatsTable[GroupByKey]=ContinuousStatsTable[[#This Row],[GroupByKey]]),(ContinuousStatsTable[GroupByKey]=ContinuousStatsTable[[#This Row],[GroupByKey]])*ContinuousStatsTable[Average]))</f>
        <v>0.85508719449138504</v>
      </c>
      <c r="U452">
        <f>IF((ContinuousStatsTable[[#This Row],[RepsRequested]]&gt;1),ContinuousStatsTable[[#This Row],[HalfWidth]],ContinuousStatsTable[[#This Row],[BatchMeansHalfWidth]])</f>
        <v>4.3572365636542886E-3</v>
      </c>
    </row>
    <row r="453" spans="1:21" x14ac:dyDescent="0.25">
      <c r="A453" t="s">
        <v>68</v>
      </c>
      <c r="B453" t="s">
        <v>131</v>
      </c>
      <c r="C453">
        <v>38</v>
      </c>
      <c r="D453" t="s">
        <v>102</v>
      </c>
      <c r="E453" t="s">
        <v>100</v>
      </c>
      <c r="F453" t="s">
        <v>99</v>
      </c>
      <c r="G453">
        <v>1.6487200969689899</v>
      </c>
      <c r="H453">
        <v>5.9443284254977802E-2</v>
      </c>
      <c r="I453">
        <v>0</v>
      </c>
      <c r="J453">
        <v>2</v>
      </c>
      <c r="K453">
        <v>0</v>
      </c>
      <c r="L453">
        <v>0</v>
      </c>
      <c r="M453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453" cm="1">
        <f t="array" ref="N453">MAX(IF((ProjectInfoTable[ProjectName]=ContinuousStatsTable[[#This Row],[ProjectName]]),(ProjectInfoTable[ProjectName]=ContinuousStatsTable[[#This Row],[ProjectName]])*ProjectInfoTable[NumberOfReplications]))</f>
        <v>50</v>
      </c>
      <c r="O453" cm="1">
        <f t="array" ref="O453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53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53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53" cm="1">
        <f t="array" ref="S453">MIN(IF((ContinuousStatsTable[GroupByKey]=ContinuousStatsTable[[#This Row],[GroupByKey]]),(ContinuousStatsTable[GroupByKey]=ContinuousStatsTable[[#This Row],[GroupByKey]])*ContinuousStatsTable[Average]))</f>
        <v>1.5741192553307399</v>
      </c>
      <c r="T453" cm="1">
        <f t="array" ref="T453">MAX(IF((ContinuousStatsTable[GroupByKey]=ContinuousStatsTable[[#This Row],[GroupByKey]]),(ContinuousStatsTable[GroupByKey]=ContinuousStatsTable[[#This Row],[GroupByKey]])*ContinuousStatsTable[Average]))</f>
        <v>1.7101743889827701</v>
      </c>
      <c r="U453">
        <f>IF((ContinuousStatsTable[[#This Row],[RepsRequested]]&gt;1),ContinuousStatsTable[[#This Row],[HalfWidth]],ContinuousStatsTable[[#This Row],[BatchMeansHalfWidth]])</f>
        <v>8.7144731273084922E-3</v>
      </c>
    </row>
    <row r="454" spans="1:21" x14ac:dyDescent="0.25">
      <c r="A454" t="s">
        <v>68</v>
      </c>
      <c r="B454" t="s">
        <v>131</v>
      </c>
      <c r="C454">
        <v>38</v>
      </c>
      <c r="D454" t="s">
        <v>102</v>
      </c>
      <c r="E454" t="s">
        <v>101</v>
      </c>
      <c r="F454" t="s">
        <v>99</v>
      </c>
      <c r="G454">
        <v>2</v>
      </c>
      <c r="H454">
        <v>2E+20</v>
      </c>
      <c r="I454">
        <v>2</v>
      </c>
      <c r="J454">
        <v>2</v>
      </c>
      <c r="K454">
        <v>2</v>
      </c>
      <c r="L454">
        <v>0</v>
      </c>
      <c r="M454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454" cm="1">
        <f t="array" ref="N454">MAX(IF((ProjectInfoTable[ProjectName]=ContinuousStatsTable[[#This Row],[ProjectName]]),(ProjectInfoTable[ProjectName]=ContinuousStatsTable[[#This Row],[ProjectName]])*ProjectInfoTable[NumberOfReplications]))</f>
        <v>50</v>
      </c>
      <c r="O454" cm="1">
        <f t="array" ref="O454">IFERROR(AVERAGE(IF((ContinuousStatsTable[GroupByKey]=ContinuousStatsTable[[#This Row],[GroupByKey]]),(ContinuousStatsTable[GroupByKey]=ContinuousStatsTable[[#This Row],[GroupByKey]])*ContinuousStatsTable[Average])),0)</f>
        <v>2</v>
      </c>
      <c r="P454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0</v>
      </c>
      <c r="Q454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4" cm="1">
        <f t="array" ref="S454">MIN(IF((ContinuousStatsTable[GroupByKey]=ContinuousStatsTable[[#This Row],[GroupByKey]]),(ContinuousStatsTable[GroupByKey]=ContinuousStatsTable[[#This Row],[GroupByKey]])*ContinuousStatsTable[Average]))</f>
        <v>2</v>
      </c>
      <c r="T454" cm="1">
        <f t="array" ref="T454">MAX(IF((ContinuousStatsTable[GroupByKey]=ContinuousStatsTable[[#This Row],[GroupByKey]]),(ContinuousStatsTable[GroupByKey]=ContinuousStatsTable[[#This Row],[GroupByKey]])*ContinuousStatsTable[Average]))</f>
        <v>2</v>
      </c>
      <c r="U454">
        <f>IF((ContinuousStatsTable[[#This Row],[RepsRequested]]&gt;1),ContinuousStatsTable[[#This Row],[HalfWidth]],ContinuousStatsTable[[#This Row],[BatchMeansHalfWidth]])</f>
        <v>0</v>
      </c>
    </row>
    <row r="455" spans="1:21" x14ac:dyDescent="0.25">
      <c r="A455" t="s">
        <v>68</v>
      </c>
      <c r="B455" t="s">
        <v>131</v>
      </c>
      <c r="C455">
        <v>38</v>
      </c>
      <c r="D455" t="s">
        <v>103</v>
      </c>
      <c r="E455" t="s">
        <v>98</v>
      </c>
      <c r="F455" t="s">
        <v>99</v>
      </c>
      <c r="G455">
        <v>0.47245131340633401</v>
      </c>
      <c r="H455">
        <v>1.5461901261792799E-2</v>
      </c>
      <c r="I455">
        <v>0</v>
      </c>
      <c r="J455">
        <v>1</v>
      </c>
      <c r="K455">
        <v>0</v>
      </c>
      <c r="L455">
        <v>0</v>
      </c>
      <c r="M455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455" cm="1">
        <f t="array" ref="N455">MAX(IF((ProjectInfoTable[ProjectName]=ContinuousStatsTable[[#This Row],[ProjectName]]),(ProjectInfoTable[ProjectName]=ContinuousStatsTable[[#This Row],[ProjectName]])*ProjectInfoTable[NumberOfReplications]))</f>
        <v>50</v>
      </c>
      <c r="O455" cm="1">
        <f t="array" ref="O455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5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5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55" cm="1">
        <f t="array" ref="S455">MIN(IF((ContinuousStatsTable[GroupByKey]=ContinuousStatsTable[[#This Row],[GroupByKey]]),(ContinuousStatsTable[GroupByKey]=ContinuousStatsTable[[#This Row],[GroupByKey]])*ContinuousStatsTable[Average]))</f>
        <v>0.452397944183905</v>
      </c>
      <c r="T455" cm="1">
        <f t="array" ref="T455">MAX(IF((ContinuousStatsTable[GroupByKey]=ContinuousStatsTable[[#This Row],[GroupByKey]]),(ContinuousStatsTable[GroupByKey]=ContinuousStatsTable[[#This Row],[GroupByKey]])*ContinuousStatsTable[Average]))</f>
        <v>0.49691123629694001</v>
      </c>
      <c r="U455">
        <f>IF((ContinuousStatsTable[[#This Row],[RepsRequested]]&gt;1),ContinuousStatsTable[[#This Row],[HalfWidth]],ContinuousStatsTable[[#This Row],[BatchMeansHalfWidth]])</f>
        <v>2.7457743728226142E-3</v>
      </c>
    </row>
    <row r="456" spans="1:21" x14ac:dyDescent="0.25">
      <c r="A456" t="s">
        <v>68</v>
      </c>
      <c r="B456" t="s">
        <v>131</v>
      </c>
      <c r="C456">
        <v>38</v>
      </c>
      <c r="D456" t="s">
        <v>103</v>
      </c>
      <c r="E456" t="s">
        <v>100</v>
      </c>
      <c r="F456" t="s">
        <v>99</v>
      </c>
      <c r="G456">
        <v>0.47245131340633401</v>
      </c>
      <c r="H456">
        <v>1.5461901261792799E-2</v>
      </c>
      <c r="I456">
        <v>0</v>
      </c>
      <c r="J456">
        <v>1</v>
      </c>
      <c r="K456">
        <v>0</v>
      </c>
      <c r="L456">
        <v>0</v>
      </c>
      <c r="M456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456" cm="1">
        <f t="array" ref="N456">MAX(IF((ProjectInfoTable[ProjectName]=ContinuousStatsTable[[#This Row],[ProjectName]]),(ProjectInfoTable[ProjectName]=ContinuousStatsTable[[#This Row],[ProjectName]])*ProjectInfoTable[NumberOfReplications]))</f>
        <v>50</v>
      </c>
      <c r="O456" cm="1">
        <f t="array" ref="O456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56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56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56" cm="1">
        <f t="array" ref="S456">MIN(IF((ContinuousStatsTable[GroupByKey]=ContinuousStatsTable[[#This Row],[GroupByKey]]),(ContinuousStatsTable[GroupByKey]=ContinuousStatsTable[[#This Row],[GroupByKey]])*ContinuousStatsTable[Average]))</f>
        <v>0.452397944183905</v>
      </c>
      <c r="T456" cm="1">
        <f t="array" ref="T456">MAX(IF((ContinuousStatsTable[GroupByKey]=ContinuousStatsTable[[#This Row],[GroupByKey]]),(ContinuousStatsTable[GroupByKey]=ContinuousStatsTable[[#This Row],[GroupByKey]])*ContinuousStatsTable[Average]))</f>
        <v>0.49691123629694001</v>
      </c>
      <c r="U456">
        <f>IF((ContinuousStatsTable[[#This Row],[RepsRequested]]&gt;1),ContinuousStatsTable[[#This Row],[HalfWidth]],ContinuousStatsTable[[#This Row],[BatchMeansHalfWidth]])</f>
        <v>2.7457743728226142E-3</v>
      </c>
    </row>
    <row r="457" spans="1:21" x14ac:dyDescent="0.25">
      <c r="A457" t="s">
        <v>68</v>
      </c>
      <c r="B457" t="s">
        <v>131</v>
      </c>
      <c r="C457">
        <v>38</v>
      </c>
      <c r="D457" t="s">
        <v>103</v>
      </c>
      <c r="E457" t="s">
        <v>101</v>
      </c>
      <c r="F457" t="s">
        <v>99</v>
      </c>
      <c r="G457">
        <v>1</v>
      </c>
      <c r="H457">
        <v>2E+20</v>
      </c>
      <c r="I457">
        <v>1</v>
      </c>
      <c r="J457">
        <v>1</v>
      </c>
      <c r="K457">
        <v>1</v>
      </c>
      <c r="L457">
        <v>0</v>
      </c>
      <c r="M457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457" cm="1">
        <f t="array" ref="N457">MAX(IF((ProjectInfoTable[ProjectName]=ContinuousStatsTable[[#This Row],[ProjectName]]),(ProjectInfoTable[ProjectName]=ContinuousStatsTable[[#This Row],[ProjectName]])*ProjectInfoTable[NumberOfReplications]))</f>
        <v>50</v>
      </c>
      <c r="O457" cm="1">
        <f t="array" ref="O457">IFERROR(AVERAGE(IF((ContinuousStatsTable[GroupByKey]=ContinuousStatsTable[[#This Row],[GroupByKey]]),(ContinuousStatsTable[GroupByKey]=ContinuousStatsTable[[#This Row],[GroupByKey]])*ContinuousStatsTable[Average])),0)</f>
        <v>1</v>
      </c>
      <c r="P457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0</v>
      </c>
      <c r="Q457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7" cm="1">
        <f t="array" ref="S457">MIN(IF((ContinuousStatsTable[GroupByKey]=ContinuousStatsTable[[#This Row],[GroupByKey]]),(ContinuousStatsTable[GroupByKey]=ContinuousStatsTable[[#This Row],[GroupByKey]])*ContinuousStatsTable[Average]))</f>
        <v>1</v>
      </c>
      <c r="T457" cm="1">
        <f t="array" ref="T457">MAX(IF((ContinuousStatsTable[GroupByKey]=ContinuousStatsTable[[#This Row],[GroupByKey]]),(ContinuousStatsTable[GroupByKey]=ContinuousStatsTable[[#This Row],[GroupByKey]])*ContinuousStatsTable[Average]))</f>
        <v>1</v>
      </c>
      <c r="U457">
        <f>IF((ContinuousStatsTable[[#This Row],[RepsRequested]]&gt;1),ContinuousStatsTable[[#This Row],[HalfWidth]],ContinuousStatsTable[[#This Row],[BatchMeansHalfWidth]])</f>
        <v>0</v>
      </c>
    </row>
    <row r="458" spans="1:21" x14ac:dyDescent="0.25">
      <c r="A458" t="s">
        <v>68</v>
      </c>
      <c r="B458" t="s">
        <v>131</v>
      </c>
      <c r="C458">
        <v>39</v>
      </c>
      <c r="D458" t="s">
        <v>70</v>
      </c>
      <c r="E458" t="s">
        <v>95</v>
      </c>
      <c r="F458" t="s">
        <v>72</v>
      </c>
      <c r="G458">
        <v>4.1355368936425796</v>
      </c>
      <c r="H458">
        <v>3E+20</v>
      </c>
      <c r="I458">
        <v>0</v>
      </c>
      <c r="J458">
        <v>15</v>
      </c>
      <c r="K458">
        <v>3</v>
      </c>
      <c r="L458">
        <v>0</v>
      </c>
      <c r="M458" t="str">
        <f>ContinuousStatsTable[[#This Row],[ProjectName]]&amp;ContinuousStatsTable[[#This Row],[Name]]&amp;ContinuousStatsTable[[#This Row],[Type]]&amp;ContinuousStatsTable[[#This Row],[Source]]</f>
        <v>PacientesEntity 1WIPEntity</v>
      </c>
      <c r="N458" cm="1">
        <f t="array" ref="N458">MAX(IF((ProjectInfoTable[ProjectName]=ContinuousStatsTable[[#This Row],[ProjectName]]),(ProjectInfoTable[ProjectName]=ContinuousStatsTable[[#This Row],[ProjectName]])*ProjectInfoTable[NumberOfReplications]))</f>
        <v>50</v>
      </c>
      <c r="O458" cm="1">
        <f t="array" ref="O458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458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458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458" cm="1">
        <f t="array" ref="S458">MIN(IF((ContinuousStatsTable[GroupByKey]=ContinuousStatsTable[[#This Row],[GroupByKey]]),(ContinuousStatsTable[GroupByKey]=ContinuousStatsTable[[#This Row],[GroupByKey]])*ContinuousStatsTable[Average]))</f>
        <v>3.9757448048151298</v>
      </c>
      <c r="T458" cm="1">
        <f t="array" ref="T458">MAX(IF((ContinuousStatsTable[GroupByKey]=ContinuousStatsTable[[#This Row],[GroupByKey]]),(ContinuousStatsTable[GroupByKey]=ContinuousStatsTable[[#This Row],[GroupByKey]])*ContinuousStatsTable[Average]))</f>
        <v>6.9386840633215803</v>
      </c>
      <c r="U458">
        <f>IF((ContinuousStatsTable[[#This Row],[RepsRequested]]&gt;1),ContinuousStatsTable[[#This Row],[HalfWidth]],ContinuousStatsTable[[#This Row],[BatchMeansHalfWidth]])</f>
        <v>0.22030607219171747</v>
      </c>
    </row>
    <row r="459" spans="1:21" x14ac:dyDescent="0.25">
      <c r="A459" t="s">
        <v>68</v>
      </c>
      <c r="B459" t="s">
        <v>131</v>
      </c>
      <c r="C459">
        <v>39</v>
      </c>
      <c r="D459" t="s">
        <v>83</v>
      </c>
      <c r="E459" t="s">
        <v>96</v>
      </c>
      <c r="F459" t="s">
        <v>85</v>
      </c>
      <c r="G459">
        <v>1.8262269647343099</v>
      </c>
      <c r="H459">
        <v>0.40071427027219902</v>
      </c>
      <c r="I459">
        <v>0</v>
      </c>
      <c r="J459">
        <v>13</v>
      </c>
      <c r="K459">
        <v>1</v>
      </c>
      <c r="L459">
        <v>0</v>
      </c>
      <c r="M459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459" cm="1">
        <f t="array" ref="N459">MAX(IF((ProjectInfoTable[ProjectName]=ContinuousStatsTable[[#This Row],[ProjectName]]),(ProjectInfoTable[ProjectName]=ContinuousStatsTable[[#This Row],[ProjectName]])*ProjectInfoTable[NumberOfReplications]))</f>
        <v>50</v>
      </c>
      <c r="O459" cm="1">
        <f t="array" ref="O459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459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459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459" cm="1">
        <f t="array" ref="S459">MIN(IF((ContinuousStatsTable[GroupByKey]=ContinuousStatsTable[[#This Row],[GroupByKey]]),(ContinuousStatsTable[GroupByKey]=ContinuousStatsTable[[#This Row],[GroupByKey]])*ContinuousStatsTable[Average]))</f>
        <v>1.7200278735122601</v>
      </c>
      <c r="T459" cm="1">
        <f t="array" ref="T459">MAX(IF((ContinuousStatsTable[GroupByKey]=ContinuousStatsTable[[#This Row],[GroupByKey]]),(ContinuousStatsTable[GroupByKey]=ContinuousStatsTable[[#This Row],[GroupByKey]])*ContinuousStatsTable[Average]))</f>
        <v>4.5543512780988502</v>
      </c>
      <c r="U459">
        <f>IF((ContinuousStatsTable[[#This Row],[RepsRequested]]&gt;1),ContinuousStatsTable[[#This Row],[HalfWidth]],ContinuousStatsTable[[#This Row],[BatchMeansHalfWidth]])</f>
        <v>0.21041231434540877</v>
      </c>
    </row>
    <row r="460" spans="1:21" x14ac:dyDescent="0.25">
      <c r="A460" t="s">
        <v>68</v>
      </c>
      <c r="B460" t="s">
        <v>131</v>
      </c>
      <c r="C460">
        <v>39</v>
      </c>
      <c r="D460" t="s">
        <v>87</v>
      </c>
      <c r="E460" t="s">
        <v>96</v>
      </c>
      <c r="F460" t="s">
        <v>85</v>
      </c>
      <c r="G460">
        <v>0.19482045013837401</v>
      </c>
      <c r="H460">
        <v>2.7927324605248501E-2</v>
      </c>
      <c r="I460">
        <v>0</v>
      </c>
      <c r="J460">
        <v>4</v>
      </c>
      <c r="K460">
        <v>0</v>
      </c>
      <c r="L460">
        <v>0</v>
      </c>
      <c r="M460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60" cm="1">
        <f t="array" ref="N460">MAX(IF((ProjectInfoTable[ProjectName]=ContinuousStatsTable[[#This Row],[ProjectName]]),(ProjectInfoTable[ProjectName]=ContinuousStatsTable[[#This Row],[ProjectName]])*ProjectInfoTable[NumberOfReplications]))</f>
        <v>50</v>
      </c>
      <c r="O460" cm="1">
        <f t="array" ref="O460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60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60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60" cm="1">
        <f t="array" ref="S460">MIN(IF((ContinuousStatsTable[GroupByKey]=ContinuousStatsTable[[#This Row],[GroupByKey]]),(ContinuousStatsTable[GroupByKey]=ContinuousStatsTable[[#This Row],[GroupByKey]])*ContinuousStatsTable[Average]))</f>
        <v>0.172815232766103</v>
      </c>
      <c r="T460" cm="1">
        <f t="array" ref="T460">MAX(IF((ContinuousStatsTable[GroupByKey]=ContinuousStatsTable[[#This Row],[GroupByKey]]),(ContinuousStatsTable[GroupByKey]=ContinuousStatsTable[[#This Row],[GroupByKey]])*ContinuousStatsTable[Average]))</f>
        <v>0.24783514900621301</v>
      </c>
      <c r="U460">
        <f>IF((ContinuousStatsTable[[#This Row],[RepsRequested]]&gt;1),ContinuousStatsTable[[#This Row],[HalfWidth]],ContinuousStatsTable[[#This Row],[BatchMeansHalfWidth]])</f>
        <v>4.7768909384897544E-3</v>
      </c>
    </row>
    <row r="461" spans="1:21" x14ac:dyDescent="0.25">
      <c r="A461" t="s">
        <v>68</v>
      </c>
      <c r="B461" t="s">
        <v>131</v>
      </c>
      <c r="C461">
        <v>39</v>
      </c>
      <c r="D461" t="s">
        <v>97</v>
      </c>
      <c r="E461" t="s">
        <v>98</v>
      </c>
      <c r="F461" t="s">
        <v>99</v>
      </c>
      <c r="G461">
        <v>0.54802089990047698</v>
      </c>
      <c r="H461">
        <v>2.0258002322220602E-2</v>
      </c>
      <c r="I461">
        <v>0</v>
      </c>
      <c r="J461">
        <v>0.66666666666666696</v>
      </c>
      <c r="K461">
        <v>0.66666666666666696</v>
      </c>
      <c r="L461">
        <v>0</v>
      </c>
      <c r="M461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461" cm="1">
        <f t="array" ref="N461">MAX(IF((ProjectInfoTable[ProjectName]=ContinuousStatsTable[[#This Row],[ProjectName]]),(ProjectInfoTable[ProjectName]=ContinuousStatsTable[[#This Row],[ProjectName]])*ProjectInfoTable[NumberOfReplications]))</f>
        <v>50</v>
      </c>
      <c r="O461" cm="1">
        <f t="array" ref="O461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461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461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461" cm="1">
        <f t="array" ref="S461">MIN(IF((ContinuousStatsTable[GroupByKey]=ContinuousStatsTable[[#This Row],[GroupByKey]]),(ContinuousStatsTable[GroupByKey]=ContinuousStatsTable[[#This Row],[GroupByKey]])*ContinuousStatsTable[Average]))</f>
        <v>0.52470641844357602</v>
      </c>
      <c r="T461" cm="1">
        <f t="array" ref="T461">MAX(IF((ContinuousStatsTable[GroupByKey]=ContinuousStatsTable[[#This Row],[GroupByKey]]),(ContinuousStatsTable[GroupByKey]=ContinuousStatsTable[[#This Row],[GroupByKey]])*ContinuousStatsTable[Average]))</f>
        <v>0.57005812966092095</v>
      </c>
      <c r="U461">
        <f>IF((ContinuousStatsTable[[#This Row],[RepsRequested]]&gt;1),ContinuousStatsTable[[#This Row],[HalfWidth]],ContinuousStatsTable[[#This Row],[BatchMeansHalfWidth]])</f>
        <v>2.9048243757695521E-3</v>
      </c>
    </row>
    <row r="462" spans="1:21" x14ac:dyDescent="0.25">
      <c r="A462" t="s">
        <v>68</v>
      </c>
      <c r="B462" t="s">
        <v>131</v>
      </c>
      <c r="C462">
        <v>39</v>
      </c>
      <c r="D462" t="s">
        <v>97</v>
      </c>
      <c r="E462" t="s">
        <v>100</v>
      </c>
      <c r="F462" t="s">
        <v>99</v>
      </c>
      <c r="G462">
        <v>1.64406269970143</v>
      </c>
      <c r="H462">
        <v>6.0774006966661999E-2</v>
      </c>
      <c r="I462">
        <v>0</v>
      </c>
      <c r="J462">
        <v>2</v>
      </c>
      <c r="K462">
        <v>2</v>
      </c>
      <c r="L462">
        <v>0</v>
      </c>
      <c r="M462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462" cm="1">
        <f t="array" ref="N462">MAX(IF((ProjectInfoTable[ProjectName]=ContinuousStatsTable[[#This Row],[ProjectName]]),(ProjectInfoTable[ProjectName]=ContinuousStatsTable[[#This Row],[ProjectName]])*ProjectInfoTable[NumberOfReplications]))</f>
        <v>50</v>
      </c>
      <c r="O462" cm="1">
        <f t="array" ref="O462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62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62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62" cm="1">
        <f t="array" ref="S462">MIN(IF((ContinuousStatsTable[GroupByKey]=ContinuousStatsTable[[#This Row],[GroupByKey]]),(ContinuousStatsTable[GroupByKey]=ContinuousStatsTable[[#This Row],[GroupByKey]])*ContinuousStatsTable[Average]))</f>
        <v>1.5741192553307399</v>
      </c>
      <c r="T462" cm="1">
        <f t="array" ref="T462">MAX(IF((ContinuousStatsTable[GroupByKey]=ContinuousStatsTable[[#This Row],[GroupByKey]]),(ContinuousStatsTable[GroupByKey]=ContinuousStatsTable[[#This Row],[GroupByKey]])*ContinuousStatsTable[Average]))</f>
        <v>1.7101743889827701</v>
      </c>
      <c r="U462">
        <f>IF((ContinuousStatsTable[[#This Row],[RepsRequested]]&gt;1),ContinuousStatsTable[[#This Row],[HalfWidth]],ContinuousStatsTable[[#This Row],[BatchMeansHalfWidth]])</f>
        <v>8.7144731273084922E-3</v>
      </c>
    </row>
    <row r="463" spans="1:21" x14ac:dyDescent="0.25">
      <c r="A463" t="s">
        <v>68</v>
      </c>
      <c r="B463" t="s">
        <v>131</v>
      </c>
      <c r="C463">
        <v>39</v>
      </c>
      <c r="D463" t="s">
        <v>97</v>
      </c>
      <c r="E463" t="s">
        <v>101</v>
      </c>
      <c r="F463" t="s">
        <v>99</v>
      </c>
      <c r="G463">
        <v>3</v>
      </c>
      <c r="H463">
        <v>2E+20</v>
      </c>
      <c r="I463">
        <v>3</v>
      </c>
      <c r="J463">
        <v>3</v>
      </c>
      <c r="K463">
        <v>3</v>
      </c>
      <c r="L463">
        <v>0</v>
      </c>
      <c r="M463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463" cm="1">
        <f t="array" ref="N463">MAX(IF((ProjectInfoTable[ProjectName]=ContinuousStatsTable[[#This Row],[ProjectName]]),(ProjectInfoTable[ProjectName]=ContinuousStatsTable[[#This Row],[ProjectName]])*ProjectInfoTable[NumberOfReplications]))</f>
        <v>50</v>
      </c>
      <c r="O463" cm="1">
        <f t="array" ref="O463">IFERROR(AVERAGE(IF((ContinuousStatsTable[GroupByKey]=ContinuousStatsTable[[#This Row],[GroupByKey]]),(ContinuousStatsTable[GroupByKey]=ContinuousStatsTable[[#This Row],[GroupByKey]])*ContinuousStatsTable[Average])),0)</f>
        <v>3</v>
      </c>
      <c r="P463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0</v>
      </c>
      <c r="Q463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3" cm="1">
        <f t="array" ref="S463">MIN(IF((ContinuousStatsTable[GroupByKey]=ContinuousStatsTable[[#This Row],[GroupByKey]]),(ContinuousStatsTable[GroupByKey]=ContinuousStatsTable[[#This Row],[GroupByKey]])*ContinuousStatsTable[Average]))</f>
        <v>3</v>
      </c>
      <c r="T463" cm="1">
        <f t="array" ref="T463">MAX(IF((ContinuousStatsTable[GroupByKey]=ContinuousStatsTable[[#This Row],[GroupByKey]]),(ContinuousStatsTable[GroupByKey]=ContinuousStatsTable[[#This Row],[GroupByKey]])*ContinuousStatsTable[Average]))</f>
        <v>3</v>
      </c>
      <c r="U463">
        <f>IF((ContinuousStatsTable[[#This Row],[RepsRequested]]&gt;1),ContinuousStatsTable[[#This Row],[HalfWidth]],ContinuousStatsTable[[#This Row],[BatchMeansHalfWidth]])</f>
        <v>0</v>
      </c>
    </row>
    <row r="464" spans="1:21" x14ac:dyDescent="0.25">
      <c r="A464" t="s">
        <v>68</v>
      </c>
      <c r="B464" t="s">
        <v>131</v>
      </c>
      <c r="C464">
        <v>39</v>
      </c>
      <c r="D464" t="s">
        <v>102</v>
      </c>
      <c r="E464" t="s">
        <v>98</v>
      </c>
      <c r="F464" t="s">
        <v>99</v>
      </c>
      <c r="G464">
        <v>0.82203134985071702</v>
      </c>
      <c r="H464">
        <v>3.0387003483330999E-2</v>
      </c>
      <c r="I464">
        <v>0</v>
      </c>
      <c r="J464">
        <v>1</v>
      </c>
      <c r="K464">
        <v>1</v>
      </c>
      <c r="L464">
        <v>0</v>
      </c>
      <c r="M464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464" cm="1">
        <f t="array" ref="N464">MAX(IF((ProjectInfoTable[ProjectName]=ContinuousStatsTable[[#This Row],[ProjectName]]),(ProjectInfoTable[ProjectName]=ContinuousStatsTable[[#This Row],[ProjectName]])*ProjectInfoTable[NumberOfReplications]))</f>
        <v>50</v>
      </c>
      <c r="O464" cm="1">
        <f t="array" ref="O464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464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464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464" cm="1">
        <f t="array" ref="S464">MIN(IF((ContinuousStatsTable[GroupByKey]=ContinuousStatsTable[[#This Row],[GroupByKey]]),(ContinuousStatsTable[GroupByKey]=ContinuousStatsTable[[#This Row],[GroupByKey]])*ContinuousStatsTable[Average]))</f>
        <v>0.78705962766536897</v>
      </c>
      <c r="T464" cm="1">
        <f t="array" ref="T464">MAX(IF((ContinuousStatsTable[GroupByKey]=ContinuousStatsTable[[#This Row],[GroupByKey]]),(ContinuousStatsTable[GroupByKey]=ContinuousStatsTable[[#This Row],[GroupByKey]])*ContinuousStatsTable[Average]))</f>
        <v>0.85508719449138504</v>
      </c>
      <c r="U464">
        <f>IF((ContinuousStatsTable[[#This Row],[RepsRequested]]&gt;1),ContinuousStatsTable[[#This Row],[HalfWidth]],ContinuousStatsTable[[#This Row],[BatchMeansHalfWidth]])</f>
        <v>4.3572365636542886E-3</v>
      </c>
    </row>
    <row r="465" spans="1:21" x14ac:dyDescent="0.25">
      <c r="A465" t="s">
        <v>68</v>
      </c>
      <c r="B465" t="s">
        <v>131</v>
      </c>
      <c r="C465">
        <v>39</v>
      </c>
      <c r="D465" t="s">
        <v>102</v>
      </c>
      <c r="E465" t="s">
        <v>100</v>
      </c>
      <c r="F465" t="s">
        <v>99</v>
      </c>
      <c r="G465">
        <v>1.64406269970143</v>
      </c>
      <c r="H465">
        <v>6.0774006966661999E-2</v>
      </c>
      <c r="I465">
        <v>0</v>
      </c>
      <c r="J465">
        <v>2</v>
      </c>
      <c r="K465">
        <v>2</v>
      </c>
      <c r="L465">
        <v>0</v>
      </c>
      <c r="M465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465" cm="1">
        <f t="array" ref="N465">MAX(IF((ProjectInfoTable[ProjectName]=ContinuousStatsTable[[#This Row],[ProjectName]]),(ProjectInfoTable[ProjectName]=ContinuousStatsTable[[#This Row],[ProjectName]])*ProjectInfoTable[NumberOfReplications]))</f>
        <v>50</v>
      </c>
      <c r="O465" cm="1">
        <f t="array" ref="O465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6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6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65" cm="1">
        <f t="array" ref="S465">MIN(IF((ContinuousStatsTable[GroupByKey]=ContinuousStatsTable[[#This Row],[GroupByKey]]),(ContinuousStatsTable[GroupByKey]=ContinuousStatsTable[[#This Row],[GroupByKey]])*ContinuousStatsTable[Average]))</f>
        <v>1.5741192553307399</v>
      </c>
      <c r="T465" cm="1">
        <f t="array" ref="T465">MAX(IF((ContinuousStatsTable[GroupByKey]=ContinuousStatsTable[[#This Row],[GroupByKey]]),(ContinuousStatsTable[GroupByKey]=ContinuousStatsTable[[#This Row],[GroupByKey]])*ContinuousStatsTable[Average]))</f>
        <v>1.7101743889827701</v>
      </c>
      <c r="U465">
        <f>IF((ContinuousStatsTable[[#This Row],[RepsRequested]]&gt;1),ContinuousStatsTable[[#This Row],[HalfWidth]],ContinuousStatsTable[[#This Row],[BatchMeansHalfWidth]])</f>
        <v>8.7144731273084922E-3</v>
      </c>
    </row>
    <row r="466" spans="1:21" x14ac:dyDescent="0.25">
      <c r="A466" t="s">
        <v>68</v>
      </c>
      <c r="B466" t="s">
        <v>131</v>
      </c>
      <c r="C466">
        <v>39</v>
      </c>
      <c r="D466" t="s">
        <v>102</v>
      </c>
      <c r="E466" t="s">
        <v>101</v>
      </c>
      <c r="F466" t="s">
        <v>99</v>
      </c>
      <c r="G466">
        <v>2</v>
      </c>
      <c r="H466">
        <v>2E+20</v>
      </c>
      <c r="I466">
        <v>2</v>
      </c>
      <c r="J466">
        <v>2</v>
      </c>
      <c r="K466">
        <v>2</v>
      </c>
      <c r="L466">
        <v>0</v>
      </c>
      <c r="M466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466" cm="1">
        <f t="array" ref="N466">MAX(IF((ProjectInfoTable[ProjectName]=ContinuousStatsTable[[#This Row],[ProjectName]]),(ProjectInfoTable[ProjectName]=ContinuousStatsTable[[#This Row],[ProjectName]])*ProjectInfoTable[NumberOfReplications]))</f>
        <v>50</v>
      </c>
      <c r="O466" cm="1">
        <f t="array" ref="O466">IFERROR(AVERAGE(IF((ContinuousStatsTable[GroupByKey]=ContinuousStatsTable[[#This Row],[GroupByKey]]),(ContinuousStatsTable[GroupByKey]=ContinuousStatsTable[[#This Row],[GroupByKey]])*ContinuousStatsTable[Average])),0)</f>
        <v>2</v>
      </c>
      <c r="P466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</v>
      </c>
      <c r="Q466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6" cm="1">
        <f t="array" ref="S466">MIN(IF((ContinuousStatsTable[GroupByKey]=ContinuousStatsTable[[#This Row],[GroupByKey]]),(ContinuousStatsTable[GroupByKey]=ContinuousStatsTable[[#This Row],[GroupByKey]])*ContinuousStatsTable[Average]))</f>
        <v>2</v>
      </c>
      <c r="T466" cm="1">
        <f t="array" ref="T466">MAX(IF((ContinuousStatsTable[GroupByKey]=ContinuousStatsTable[[#This Row],[GroupByKey]]),(ContinuousStatsTable[GroupByKey]=ContinuousStatsTable[[#This Row],[GroupByKey]])*ContinuousStatsTable[Average]))</f>
        <v>2</v>
      </c>
      <c r="U466">
        <f>IF((ContinuousStatsTable[[#This Row],[RepsRequested]]&gt;1),ContinuousStatsTable[[#This Row],[HalfWidth]],ContinuousStatsTable[[#This Row],[BatchMeansHalfWidth]])</f>
        <v>0</v>
      </c>
    </row>
    <row r="467" spans="1:21" x14ac:dyDescent="0.25">
      <c r="A467" t="s">
        <v>68</v>
      </c>
      <c r="B467" t="s">
        <v>131</v>
      </c>
      <c r="C467">
        <v>39</v>
      </c>
      <c r="D467" t="s">
        <v>103</v>
      </c>
      <c r="E467" t="s">
        <v>98</v>
      </c>
      <c r="F467" t="s">
        <v>99</v>
      </c>
      <c r="G467">
        <v>0.47042677906846803</v>
      </c>
      <c r="H467">
        <v>3E+20</v>
      </c>
      <c r="I467">
        <v>0</v>
      </c>
      <c r="J467">
        <v>1</v>
      </c>
      <c r="K467">
        <v>0</v>
      </c>
      <c r="L467">
        <v>0</v>
      </c>
      <c r="M467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467" cm="1">
        <f t="array" ref="N467">MAX(IF((ProjectInfoTable[ProjectName]=ContinuousStatsTable[[#This Row],[ProjectName]]),(ProjectInfoTable[ProjectName]=ContinuousStatsTable[[#This Row],[ProjectName]])*ProjectInfoTable[NumberOfReplications]))</f>
        <v>50</v>
      </c>
      <c r="O467" cm="1">
        <f t="array" ref="O467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67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67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67" cm="1">
        <f t="array" ref="S467">MIN(IF((ContinuousStatsTable[GroupByKey]=ContinuousStatsTable[[#This Row],[GroupByKey]]),(ContinuousStatsTable[GroupByKey]=ContinuousStatsTable[[#This Row],[GroupByKey]])*ContinuousStatsTable[Average]))</f>
        <v>0.452397944183905</v>
      </c>
      <c r="T467" cm="1">
        <f t="array" ref="T467">MAX(IF((ContinuousStatsTable[GroupByKey]=ContinuousStatsTable[[#This Row],[GroupByKey]]),(ContinuousStatsTable[GroupByKey]=ContinuousStatsTable[[#This Row],[GroupByKey]])*ContinuousStatsTable[Average]))</f>
        <v>0.49691123629694001</v>
      </c>
      <c r="U467">
        <f>IF((ContinuousStatsTable[[#This Row],[RepsRequested]]&gt;1),ContinuousStatsTable[[#This Row],[HalfWidth]],ContinuousStatsTable[[#This Row],[BatchMeansHalfWidth]])</f>
        <v>2.7457743728226142E-3</v>
      </c>
    </row>
    <row r="468" spans="1:21" x14ac:dyDescent="0.25">
      <c r="A468" t="s">
        <v>68</v>
      </c>
      <c r="B468" t="s">
        <v>131</v>
      </c>
      <c r="C468">
        <v>39</v>
      </c>
      <c r="D468" t="s">
        <v>103</v>
      </c>
      <c r="E468" t="s">
        <v>100</v>
      </c>
      <c r="F468" t="s">
        <v>99</v>
      </c>
      <c r="G468">
        <v>0.47042677906846803</v>
      </c>
      <c r="H468">
        <v>3E+20</v>
      </c>
      <c r="I468">
        <v>0</v>
      </c>
      <c r="J468">
        <v>1</v>
      </c>
      <c r="K468">
        <v>0</v>
      </c>
      <c r="L468">
        <v>0</v>
      </c>
      <c r="M468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468" cm="1">
        <f t="array" ref="N468">MAX(IF((ProjectInfoTable[ProjectName]=ContinuousStatsTable[[#This Row],[ProjectName]]),(ProjectInfoTable[ProjectName]=ContinuousStatsTable[[#This Row],[ProjectName]])*ProjectInfoTable[NumberOfReplications]))</f>
        <v>50</v>
      </c>
      <c r="O468" cm="1">
        <f t="array" ref="O468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68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68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68" cm="1">
        <f t="array" ref="S468">MIN(IF((ContinuousStatsTable[GroupByKey]=ContinuousStatsTable[[#This Row],[GroupByKey]]),(ContinuousStatsTable[GroupByKey]=ContinuousStatsTable[[#This Row],[GroupByKey]])*ContinuousStatsTable[Average]))</f>
        <v>0.452397944183905</v>
      </c>
      <c r="T468" cm="1">
        <f t="array" ref="T468">MAX(IF((ContinuousStatsTable[GroupByKey]=ContinuousStatsTable[[#This Row],[GroupByKey]]),(ContinuousStatsTable[GroupByKey]=ContinuousStatsTable[[#This Row],[GroupByKey]])*ContinuousStatsTable[Average]))</f>
        <v>0.49691123629694001</v>
      </c>
      <c r="U468">
        <f>IF((ContinuousStatsTable[[#This Row],[RepsRequested]]&gt;1),ContinuousStatsTable[[#This Row],[HalfWidth]],ContinuousStatsTable[[#This Row],[BatchMeansHalfWidth]])</f>
        <v>2.7457743728226142E-3</v>
      </c>
    </row>
    <row r="469" spans="1:21" x14ac:dyDescent="0.25">
      <c r="A469" t="s">
        <v>68</v>
      </c>
      <c r="B469" t="s">
        <v>131</v>
      </c>
      <c r="C469">
        <v>39</v>
      </c>
      <c r="D469" t="s">
        <v>103</v>
      </c>
      <c r="E469" t="s">
        <v>101</v>
      </c>
      <c r="F469" t="s">
        <v>99</v>
      </c>
      <c r="G469">
        <v>1</v>
      </c>
      <c r="H469">
        <v>2E+20</v>
      </c>
      <c r="I469">
        <v>1</v>
      </c>
      <c r="J469">
        <v>1</v>
      </c>
      <c r="K469">
        <v>1</v>
      </c>
      <c r="L469">
        <v>0</v>
      </c>
      <c r="M469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469" cm="1">
        <f t="array" ref="N469">MAX(IF((ProjectInfoTable[ProjectName]=ContinuousStatsTable[[#This Row],[ProjectName]]),(ProjectInfoTable[ProjectName]=ContinuousStatsTable[[#This Row],[ProjectName]])*ProjectInfoTable[NumberOfReplications]))</f>
        <v>50</v>
      </c>
      <c r="O469" cm="1">
        <f t="array" ref="O469">IFERROR(AVERAGE(IF((ContinuousStatsTable[GroupByKey]=ContinuousStatsTable[[#This Row],[GroupByKey]]),(ContinuousStatsTable[GroupByKey]=ContinuousStatsTable[[#This Row],[GroupByKey]])*ContinuousStatsTable[Average])),0)</f>
        <v>1</v>
      </c>
      <c r="P469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cm="1">
        <f t="array" ref="S469">MIN(IF((ContinuousStatsTable[GroupByKey]=ContinuousStatsTable[[#This Row],[GroupByKey]]),(ContinuousStatsTable[GroupByKey]=ContinuousStatsTable[[#This Row],[GroupByKey]])*ContinuousStatsTable[Average]))</f>
        <v>1</v>
      </c>
      <c r="T469" cm="1">
        <f t="array" ref="T469">MAX(IF((ContinuousStatsTable[GroupByKey]=ContinuousStatsTable[[#This Row],[GroupByKey]]),(ContinuousStatsTable[GroupByKey]=ContinuousStatsTable[[#This Row],[GroupByKey]])*ContinuousStatsTable[Average]))</f>
        <v>1</v>
      </c>
      <c r="U469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68</v>
      </c>
      <c r="B470" t="s">
        <v>131</v>
      </c>
      <c r="C470">
        <v>40</v>
      </c>
      <c r="D470" t="s">
        <v>70</v>
      </c>
      <c r="E470" t="s">
        <v>95</v>
      </c>
      <c r="F470" t="s">
        <v>72</v>
      </c>
      <c r="G470">
        <v>4.4108157239998897</v>
      </c>
      <c r="H470">
        <v>3E+20</v>
      </c>
      <c r="I470">
        <v>0</v>
      </c>
      <c r="J470">
        <v>25</v>
      </c>
      <c r="K470">
        <v>8</v>
      </c>
      <c r="L470">
        <v>0</v>
      </c>
      <c r="M470" t="str">
        <f>ContinuousStatsTable[[#This Row],[ProjectName]]&amp;ContinuousStatsTable[[#This Row],[Name]]&amp;ContinuousStatsTable[[#This Row],[Type]]&amp;ContinuousStatsTable[[#This Row],[Source]]</f>
        <v>PacientesEntity 1WIPEntity</v>
      </c>
      <c r="N470" cm="1">
        <f t="array" ref="N470">MAX(IF((ProjectInfoTable[ProjectName]=ContinuousStatsTable[[#This Row],[ProjectName]]),(ProjectInfoTable[ProjectName]=ContinuousStatsTable[[#This Row],[ProjectName]])*ProjectInfoTable[NumberOfReplications]))</f>
        <v>50</v>
      </c>
      <c r="O470" cm="1">
        <f t="array" ref="O470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470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470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470" cm="1">
        <f t="array" ref="S470">MIN(IF((ContinuousStatsTable[GroupByKey]=ContinuousStatsTable[[#This Row],[GroupByKey]]),(ContinuousStatsTable[GroupByKey]=ContinuousStatsTable[[#This Row],[GroupByKey]])*ContinuousStatsTable[Average]))</f>
        <v>3.9757448048151298</v>
      </c>
      <c r="T470" cm="1">
        <f t="array" ref="T470">MAX(IF((ContinuousStatsTable[GroupByKey]=ContinuousStatsTable[[#This Row],[GroupByKey]]),(ContinuousStatsTable[GroupByKey]=ContinuousStatsTable[[#This Row],[GroupByKey]])*ContinuousStatsTable[Average]))</f>
        <v>6.9386840633215803</v>
      </c>
      <c r="U470">
        <f>IF((ContinuousStatsTable[[#This Row],[RepsRequested]]&gt;1),ContinuousStatsTable[[#This Row],[HalfWidth]],ContinuousStatsTable[[#This Row],[BatchMeansHalfWidth]])</f>
        <v>0.22030607219171747</v>
      </c>
    </row>
    <row r="471" spans="1:21" x14ac:dyDescent="0.25">
      <c r="A471" t="s">
        <v>68</v>
      </c>
      <c r="B471" t="s">
        <v>131</v>
      </c>
      <c r="C471">
        <v>40</v>
      </c>
      <c r="D471" t="s">
        <v>83</v>
      </c>
      <c r="E471" t="s">
        <v>96</v>
      </c>
      <c r="F471" t="s">
        <v>85</v>
      </c>
      <c r="G471">
        <v>2.1105564109806401</v>
      </c>
      <c r="H471">
        <v>3E+20</v>
      </c>
      <c r="I471">
        <v>0</v>
      </c>
      <c r="J471">
        <v>22</v>
      </c>
      <c r="K471">
        <v>6</v>
      </c>
      <c r="L471">
        <v>0</v>
      </c>
      <c r="M471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471" cm="1">
        <f t="array" ref="N471">MAX(IF((ProjectInfoTable[ProjectName]=ContinuousStatsTable[[#This Row],[ProjectName]]),(ProjectInfoTable[ProjectName]=ContinuousStatsTable[[#This Row],[ProjectName]])*ProjectInfoTable[NumberOfReplications]))</f>
        <v>50</v>
      </c>
      <c r="O471" cm="1">
        <f t="array" ref="O471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471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471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471" cm="1">
        <f t="array" ref="S471">MIN(IF((ContinuousStatsTable[GroupByKey]=ContinuousStatsTable[[#This Row],[GroupByKey]]),(ContinuousStatsTable[GroupByKey]=ContinuousStatsTable[[#This Row],[GroupByKey]])*ContinuousStatsTable[Average]))</f>
        <v>1.7200278735122601</v>
      </c>
      <c r="T471" cm="1">
        <f t="array" ref="T471">MAX(IF((ContinuousStatsTable[GroupByKey]=ContinuousStatsTable[[#This Row],[GroupByKey]]),(ContinuousStatsTable[GroupByKey]=ContinuousStatsTable[[#This Row],[GroupByKey]])*ContinuousStatsTable[Average]))</f>
        <v>4.5543512780988502</v>
      </c>
      <c r="U471">
        <f>IF((ContinuousStatsTable[[#This Row],[RepsRequested]]&gt;1),ContinuousStatsTable[[#This Row],[HalfWidth]],ContinuousStatsTable[[#This Row],[BatchMeansHalfWidth]])</f>
        <v>0.21041231434540877</v>
      </c>
    </row>
    <row r="472" spans="1:21" x14ac:dyDescent="0.25">
      <c r="A472" t="s">
        <v>68</v>
      </c>
      <c r="B472" t="s">
        <v>131</v>
      </c>
      <c r="C472">
        <v>40</v>
      </c>
      <c r="D472" t="s">
        <v>87</v>
      </c>
      <c r="E472" t="s">
        <v>96</v>
      </c>
      <c r="F472" t="s">
        <v>85</v>
      </c>
      <c r="G472">
        <v>0.212909064828506</v>
      </c>
      <c r="H472">
        <v>3.01327214380228E-2</v>
      </c>
      <c r="I472">
        <v>0</v>
      </c>
      <c r="J472">
        <v>6</v>
      </c>
      <c r="K472">
        <v>0</v>
      </c>
      <c r="L472">
        <v>0</v>
      </c>
      <c r="M472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72" cm="1">
        <f t="array" ref="N472">MAX(IF((ProjectInfoTable[ProjectName]=ContinuousStatsTable[[#This Row],[ProjectName]]),(ProjectInfoTable[ProjectName]=ContinuousStatsTable[[#This Row],[ProjectName]])*ProjectInfoTable[NumberOfReplications]))</f>
        <v>50</v>
      </c>
      <c r="O472" cm="1">
        <f t="array" ref="O472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72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72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72" cm="1">
        <f t="array" ref="S472">MIN(IF((ContinuousStatsTable[GroupByKey]=ContinuousStatsTable[[#This Row],[GroupByKey]]),(ContinuousStatsTable[GroupByKey]=ContinuousStatsTable[[#This Row],[GroupByKey]])*ContinuousStatsTable[Average]))</f>
        <v>0.172815232766103</v>
      </c>
      <c r="T472" cm="1">
        <f t="array" ref="T472">MAX(IF((ContinuousStatsTable[GroupByKey]=ContinuousStatsTable[[#This Row],[GroupByKey]]),(ContinuousStatsTable[GroupByKey]=ContinuousStatsTable[[#This Row],[GroupByKey]])*ContinuousStatsTable[Average]))</f>
        <v>0.24783514900621301</v>
      </c>
      <c r="U472">
        <f>IF((ContinuousStatsTable[[#This Row],[RepsRequested]]&gt;1),ContinuousStatsTable[[#This Row],[HalfWidth]],ContinuousStatsTable[[#This Row],[BatchMeansHalfWidth]])</f>
        <v>4.7768909384897544E-3</v>
      </c>
    </row>
    <row r="473" spans="1:21" x14ac:dyDescent="0.25">
      <c r="A473" t="s">
        <v>68</v>
      </c>
      <c r="B473" t="s">
        <v>131</v>
      </c>
      <c r="C473">
        <v>40</v>
      </c>
      <c r="D473" t="s">
        <v>97</v>
      </c>
      <c r="E473" t="s">
        <v>98</v>
      </c>
      <c r="F473" t="s">
        <v>99</v>
      </c>
      <c r="G473">
        <v>0.53840184739885599</v>
      </c>
      <c r="H473">
        <v>1.7952498369148001E-2</v>
      </c>
      <c r="I473">
        <v>0</v>
      </c>
      <c r="J473">
        <v>0.66666666666666696</v>
      </c>
      <c r="K473">
        <v>0.66666666666666696</v>
      </c>
      <c r="L473">
        <v>0</v>
      </c>
      <c r="M473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473" cm="1">
        <f t="array" ref="N473">MAX(IF((ProjectInfoTable[ProjectName]=ContinuousStatsTable[[#This Row],[ProjectName]]),(ProjectInfoTable[ProjectName]=ContinuousStatsTable[[#This Row],[ProjectName]])*ProjectInfoTable[NumberOfReplications]))</f>
        <v>50</v>
      </c>
      <c r="O473" cm="1">
        <f t="array" ref="O473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473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473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473" cm="1">
        <f t="array" ref="S473">MIN(IF((ContinuousStatsTable[GroupByKey]=ContinuousStatsTable[[#This Row],[GroupByKey]]),(ContinuousStatsTable[GroupByKey]=ContinuousStatsTable[[#This Row],[GroupByKey]])*ContinuousStatsTable[Average]))</f>
        <v>0.52470641844357602</v>
      </c>
      <c r="T473" cm="1">
        <f t="array" ref="T473">MAX(IF((ContinuousStatsTable[GroupByKey]=ContinuousStatsTable[[#This Row],[GroupByKey]]),(ContinuousStatsTable[GroupByKey]=ContinuousStatsTable[[#This Row],[GroupByKey]])*ContinuousStatsTable[Average]))</f>
        <v>0.57005812966092095</v>
      </c>
      <c r="U473">
        <f>IF((ContinuousStatsTable[[#This Row],[RepsRequested]]&gt;1),ContinuousStatsTable[[#This Row],[HalfWidth]],ContinuousStatsTable[[#This Row],[BatchMeansHalfWidth]])</f>
        <v>2.9048243757695521E-3</v>
      </c>
    </row>
    <row r="474" spans="1:21" x14ac:dyDescent="0.25">
      <c r="A474" t="s">
        <v>68</v>
      </c>
      <c r="B474" t="s">
        <v>131</v>
      </c>
      <c r="C474">
        <v>40</v>
      </c>
      <c r="D474" t="s">
        <v>97</v>
      </c>
      <c r="E474" t="s">
        <v>100</v>
      </c>
      <c r="F474" t="s">
        <v>99</v>
      </c>
      <c r="G474">
        <v>1.6152055421965601</v>
      </c>
      <c r="H474">
        <v>5.3857495107444198E-2</v>
      </c>
      <c r="I474">
        <v>0</v>
      </c>
      <c r="J474">
        <v>2</v>
      </c>
      <c r="K474">
        <v>2</v>
      </c>
      <c r="L474">
        <v>0</v>
      </c>
      <c r="M474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474" cm="1">
        <f t="array" ref="N474">MAX(IF((ProjectInfoTable[ProjectName]=ContinuousStatsTable[[#This Row],[ProjectName]]),(ProjectInfoTable[ProjectName]=ContinuousStatsTable[[#This Row],[ProjectName]])*ProjectInfoTable[NumberOfReplications]))</f>
        <v>50</v>
      </c>
      <c r="O474" cm="1">
        <f t="array" ref="O474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74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74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74" cm="1">
        <f t="array" ref="S474">MIN(IF((ContinuousStatsTable[GroupByKey]=ContinuousStatsTable[[#This Row],[GroupByKey]]),(ContinuousStatsTable[GroupByKey]=ContinuousStatsTable[[#This Row],[GroupByKey]])*ContinuousStatsTable[Average]))</f>
        <v>1.5741192553307399</v>
      </c>
      <c r="T474" cm="1">
        <f t="array" ref="T474">MAX(IF((ContinuousStatsTable[GroupByKey]=ContinuousStatsTable[[#This Row],[GroupByKey]]),(ContinuousStatsTable[GroupByKey]=ContinuousStatsTable[[#This Row],[GroupByKey]])*ContinuousStatsTable[Average]))</f>
        <v>1.7101743889827701</v>
      </c>
      <c r="U474">
        <f>IF((ContinuousStatsTable[[#This Row],[RepsRequested]]&gt;1),ContinuousStatsTable[[#This Row],[HalfWidth]],ContinuousStatsTable[[#This Row],[BatchMeansHalfWidth]])</f>
        <v>8.7144731273084922E-3</v>
      </c>
    </row>
    <row r="475" spans="1:21" x14ac:dyDescent="0.25">
      <c r="A475" t="s">
        <v>68</v>
      </c>
      <c r="B475" t="s">
        <v>131</v>
      </c>
      <c r="C475">
        <v>40</v>
      </c>
      <c r="D475" t="s">
        <v>97</v>
      </c>
      <c r="E475" t="s">
        <v>101</v>
      </c>
      <c r="F475" t="s">
        <v>99</v>
      </c>
      <c r="G475">
        <v>3</v>
      </c>
      <c r="H475">
        <v>2E+20</v>
      </c>
      <c r="I475">
        <v>3</v>
      </c>
      <c r="J475">
        <v>3</v>
      </c>
      <c r="K475">
        <v>3</v>
      </c>
      <c r="L475">
        <v>0</v>
      </c>
      <c r="M475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475" cm="1">
        <f t="array" ref="N475">MAX(IF((ProjectInfoTable[ProjectName]=ContinuousStatsTable[[#This Row],[ProjectName]]),(ProjectInfoTable[ProjectName]=ContinuousStatsTable[[#This Row],[ProjectName]])*ProjectInfoTable[NumberOfReplications]))</f>
        <v>50</v>
      </c>
      <c r="O475" cm="1">
        <f t="array" ref="O475">IFERROR(AVERAGE(IF((ContinuousStatsTable[GroupByKey]=ContinuousStatsTable[[#This Row],[GroupByKey]]),(ContinuousStatsTable[GroupByKey]=ContinuousStatsTable[[#This Row],[GroupByKey]])*ContinuousStatsTable[Average])),0)</f>
        <v>3</v>
      </c>
      <c r="P47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cm="1">
        <f t="array" ref="S475">MIN(IF((ContinuousStatsTable[GroupByKey]=ContinuousStatsTable[[#This Row],[GroupByKey]]),(ContinuousStatsTable[GroupByKey]=ContinuousStatsTable[[#This Row],[GroupByKey]])*ContinuousStatsTable[Average]))</f>
        <v>3</v>
      </c>
      <c r="T475" cm="1">
        <f t="array" ref="T475">MAX(IF((ContinuousStatsTable[GroupByKey]=ContinuousStatsTable[[#This Row],[GroupByKey]]),(ContinuousStatsTable[GroupByKey]=ContinuousStatsTable[[#This Row],[GroupByKey]])*ContinuousStatsTable[Average]))</f>
        <v>3</v>
      </c>
      <c r="U47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68</v>
      </c>
      <c r="B476" t="s">
        <v>131</v>
      </c>
      <c r="C476">
        <v>40</v>
      </c>
      <c r="D476" t="s">
        <v>102</v>
      </c>
      <c r="E476" t="s">
        <v>98</v>
      </c>
      <c r="F476" t="s">
        <v>99</v>
      </c>
      <c r="G476">
        <v>0.80760277109827905</v>
      </c>
      <c r="H476">
        <v>2.6928747553722099E-2</v>
      </c>
      <c r="I476">
        <v>0</v>
      </c>
      <c r="J476">
        <v>1</v>
      </c>
      <c r="K476">
        <v>1</v>
      </c>
      <c r="L476">
        <v>0</v>
      </c>
      <c r="M476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476" cm="1">
        <f t="array" ref="N476">MAX(IF((ProjectInfoTable[ProjectName]=ContinuousStatsTable[[#This Row],[ProjectName]]),(ProjectInfoTable[ProjectName]=ContinuousStatsTable[[#This Row],[ProjectName]])*ProjectInfoTable[NumberOfReplications]))</f>
        <v>50</v>
      </c>
      <c r="O476" cm="1">
        <f t="array" ref="O476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476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476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476" cm="1">
        <f t="array" ref="S476">MIN(IF((ContinuousStatsTable[GroupByKey]=ContinuousStatsTable[[#This Row],[GroupByKey]]),(ContinuousStatsTable[GroupByKey]=ContinuousStatsTable[[#This Row],[GroupByKey]])*ContinuousStatsTable[Average]))</f>
        <v>0.78705962766536897</v>
      </c>
      <c r="T476" cm="1">
        <f t="array" ref="T476">MAX(IF((ContinuousStatsTable[GroupByKey]=ContinuousStatsTable[[#This Row],[GroupByKey]]),(ContinuousStatsTable[GroupByKey]=ContinuousStatsTable[[#This Row],[GroupByKey]])*ContinuousStatsTable[Average]))</f>
        <v>0.85508719449138504</v>
      </c>
      <c r="U476">
        <f>IF((ContinuousStatsTable[[#This Row],[RepsRequested]]&gt;1),ContinuousStatsTable[[#This Row],[HalfWidth]],ContinuousStatsTable[[#This Row],[BatchMeansHalfWidth]])</f>
        <v>4.3572365636542886E-3</v>
      </c>
    </row>
    <row r="477" spans="1:21" x14ac:dyDescent="0.25">
      <c r="A477" t="s">
        <v>68</v>
      </c>
      <c r="B477" t="s">
        <v>131</v>
      </c>
      <c r="C477">
        <v>40</v>
      </c>
      <c r="D477" t="s">
        <v>102</v>
      </c>
      <c r="E477" t="s">
        <v>100</v>
      </c>
      <c r="F477" t="s">
        <v>99</v>
      </c>
      <c r="G477">
        <v>1.6152055421965601</v>
      </c>
      <c r="H477">
        <v>5.3857495107444198E-2</v>
      </c>
      <c r="I477">
        <v>0</v>
      </c>
      <c r="J477">
        <v>2</v>
      </c>
      <c r="K477">
        <v>2</v>
      </c>
      <c r="L477">
        <v>0</v>
      </c>
      <c r="M477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477" cm="1">
        <f t="array" ref="N477">MAX(IF((ProjectInfoTable[ProjectName]=ContinuousStatsTable[[#This Row],[ProjectName]]),(ProjectInfoTable[ProjectName]=ContinuousStatsTable[[#This Row],[ProjectName]])*ProjectInfoTable[NumberOfReplications]))</f>
        <v>50</v>
      </c>
      <c r="O477" cm="1">
        <f t="array" ref="O477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77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77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77" cm="1">
        <f t="array" ref="S477">MIN(IF((ContinuousStatsTable[GroupByKey]=ContinuousStatsTable[[#This Row],[GroupByKey]]),(ContinuousStatsTable[GroupByKey]=ContinuousStatsTable[[#This Row],[GroupByKey]])*ContinuousStatsTable[Average]))</f>
        <v>1.5741192553307399</v>
      </c>
      <c r="T477" cm="1">
        <f t="array" ref="T477">MAX(IF((ContinuousStatsTable[GroupByKey]=ContinuousStatsTable[[#This Row],[GroupByKey]]),(ContinuousStatsTable[GroupByKey]=ContinuousStatsTable[[#This Row],[GroupByKey]])*ContinuousStatsTable[Average]))</f>
        <v>1.7101743889827701</v>
      </c>
      <c r="U477">
        <f>IF((ContinuousStatsTable[[#This Row],[RepsRequested]]&gt;1),ContinuousStatsTable[[#This Row],[HalfWidth]],ContinuousStatsTable[[#This Row],[BatchMeansHalfWidth]])</f>
        <v>8.7144731273084922E-3</v>
      </c>
    </row>
    <row r="478" spans="1:21" x14ac:dyDescent="0.25">
      <c r="A478" t="s">
        <v>68</v>
      </c>
      <c r="B478" t="s">
        <v>131</v>
      </c>
      <c r="C478">
        <v>40</v>
      </c>
      <c r="D478" t="s">
        <v>102</v>
      </c>
      <c r="E478" t="s">
        <v>101</v>
      </c>
      <c r="F478" t="s">
        <v>99</v>
      </c>
      <c r="G478">
        <v>2</v>
      </c>
      <c r="H478">
        <v>2E+20</v>
      </c>
      <c r="I478">
        <v>2</v>
      </c>
      <c r="J478">
        <v>2</v>
      </c>
      <c r="K478">
        <v>2</v>
      </c>
      <c r="L478">
        <v>0</v>
      </c>
      <c r="M478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478" cm="1">
        <f t="array" ref="N478">MAX(IF((ProjectInfoTable[ProjectName]=ContinuousStatsTable[[#This Row],[ProjectName]]),(ProjectInfoTable[ProjectName]=ContinuousStatsTable[[#This Row],[ProjectName]])*ProjectInfoTable[NumberOfReplications]))</f>
        <v>50</v>
      </c>
      <c r="O478" cm="1">
        <f t="array" ref="O478">IFERROR(AVERAGE(IF((ContinuousStatsTable[GroupByKey]=ContinuousStatsTable[[#This Row],[GroupByKey]]),(ContinuousStatsTable[GroupByKey]=ContinuousStatsTable[[#This Row],[GroupByKey]])*ContinuousStatsTable[Average])),0)</f>
        <v>2</v>
      </c>
      <c r="P478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cm="1">
        <f t="array" ref="S478">MIN(IF((ContinuousStatsTable[GroupByKey]=ContinuousStatsTable[[#This Row],[GroupByKey]]),(ContinuousStatsTable[GroupByKey]=ContinuousStatsTable[[#This Row],[GroupByKey]])*ContinuousStatsTable[Average]))</f>
        <v>2</v>
      </c>
      <c r="T478" cm="1">
        <f t="array" ref="T478">MAX(IF((ContinuousStatsTable[GroupByKey]=ContinuousStatsTable[[#This Row],[GroupByKey]]),(ContinuousStatsTable[GroupByKey]=ContinuousStatsTable[[#This Row],[GroupByKey]])*ContinuousStatsTable[Average]))</f>
        <v>2</v>
      </c>
      <c r="U478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68</v>
      </c>
      <c r="B479" t="s">
        <v>131</v>
      </c>
      <c r="C479">
        <v>40</v>
      </c>
      <c r="D479" t="s">
        <v>103</v>
      </c>
      <c r="E479" t="s">
        <v>98</v>
      </c>
      <c r="F479" t="s">
        <v>99</v>
      </c>
      <c r="G479">
        <v>0.47214470599420499</v>
      </c>
      <c r="H479">
        <v>2.1278870568846201E-2</v>
      </c>
      <c r="I479">
        <v>0</v>
      </c>
      <c r="J479">
        <v>1</v>
      </c>
      <c r="K479">
        <v>0</v>
      </c>
      <c r="L479">
        <v>0</v>
      </c>
      <c r="M479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479" cm="1">
        <f t="array" ref="N479">MAX(IF((ProjectInfoTable[ProjectName]=ContinuousStatsTable[[#This Row],[ProjectName]]),(ProjectInfoTable[ProjectName]=ContinuousStatsTable[[#This Row],[ProjectName]])*ProjectInfoTable[NumberOfReplications]))</f>
        <v>50</v>
      </c>
      <c r="O479" cm="1">
        <f t="array" ref="O479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79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79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79" cm="1">
        <f t="array" ref="S479">MIN(IF((ContinuousStatsTable[GroupByKey]=ContinuousStatsTable[[#This Row],[GroupByKey]]),(ContinuousStatsTable[GroupByKey]=ContinuousStatsTable[[#This Row],[GroupByKey]])*ContinuousStatsTable[Average]))</f>
        <v>0.452397944183905</v>
      </c>
      <c r="T479" cm="1">
        <f t="array" ref="T479">MAX(IF((ContinuousStatsTable[GroupByKey]=ContinuousStatsTable[[#This Row],[GroupByKey]]),(ContinuousStatsTable[GroupByKey]=ContinuousStatsTable[[#This Row],[GroupByKey]])*ContinuousStatsTable[Average]))</f>
        <v>0.49691123629694001</v>
      </c>
      <c r="U479">
        <f>IF((ContinuousStatsTable[[#This Row],[RepsRequested]]&gt;1),ContinuousStatsTable[[#This Row],[HalfWidth]],ContinuousStatsTable[[#This Row],[BatchMeansHalfWidth]])</f>
        <v>2.7457743728226142E-3</v>
      </c>
    </row>
    <row r="480" spans="1:21" x14ac:dyDescent="0.25">
      <c r="A480" t="s">
        <v>68</v>
      </c>
      <c r="B480" t="s">
        <v>131</v>
      </c>
      <c r="C480">
        <v>40</v>
      </c>
      <c r="D480" t="s">
        <v>103</v>
      </c>
      <c r="E480" t="s">
        <v>100</v>
      </c>
      <c r="F480" t="s">
        <v>99</v>
      </c>
      <c r="G480">
        <v>0.47214470599420499</v>
      </c>
      <c r="H480">
        <v>2.1278870568846201E-2</v>
      </c>
      <c r="I480">
        <v>0</v>
      </c>
      <c r="J480">
        <v>1</v>
      </c>
      <c r="K480">
        <v>0</v>
      </c>
      <c r="L480">
        <v>0</v>
      </c>
      <c r="M480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480" cm="1">
        <f t="array" ref="N480">MAX(IF((ProjectInfoTable[ProjectName]=ContinuousStatsTable[[#This Row],[ProjectName]]),(ProjectInfoTable[ProjectName]=ContinuousStatsTable[[#This Row],[ProjectName]])*ProjectInfoTable[NumberOfReplications]))</f>
        <v>50</v>
      </c>
      <c r="O480" cm="1">
        <f t="array" ref="O480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80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80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80" cm="1">
        <f t="array" ref="S480">MIN(IF((ContinuousStatsTable[GroupByKey]=ContinuousStatsTable[[#This Row],[GroupByKey]]),(ContinuousStatsTable[GroupByKey]=ContinuousStatsTable[[#This Row],[GroupByKey]])*ContinuousStatsTable[Average]))</f>
        <v>0.452397944183905</v>
      </c>
      <c r="T480" cm="1">
        <f t="array" ref="T480">MAX(IF((ContinuousStatsTable[GroupByKey]=ContinuousStatsTable[[#This Row],[GroupByKey]]),(ContinuousStatsTable[GroupByKey]=ContinuousStatsTable[[#This Row],[GroupByKey]])*ContinuousStatsTable[Average]))</f>
        <v>0.49691123629694001</v>
      </c>
      <c r="U480">
        <f>IF((ContinuousStatsTable[[#This Row],[RepsRequested]]&gt;1),ContinuousStatsTable[[#This Row],[HalfWidth]],ContinuousStatsTable[[#This Row],[BatchMeansHalfWidth]])</f>
        <v>2.7457743728226142E-3</v>
      </c>
    </row>
    <row r="481" spans="1:21" x14ac:dyDescent="0.25">
      <c r="A481" t="s">
        <v>68</v>
      </c>
      <c r="B481" t="s">
        <v>131</v>
      </c>
      <c r="C481">
        <v>40</v>
      </c>
      <c r="D481" t="s">
        <v>103</v>
      </c>
      <c r="E481" t="s">
        <v>101</v>
      </c>
      <c r="F481" t="s">
        <v>99</v>
      </c>
      <c r="G481">
        <v>1</v>
      </c>
      <c r="H481">
        <v>2E+20</v>
      </c>
      <c r="I481">
        <v>1</v>
      </c>
      <c r="J481">
        <v>1</v>
      </c>
      <c r="K481">
        <v>1</v>
      </c>
      <c r="L481">
        <v>0</v>
      </c>
      <c r="M481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481" cm="1">
        <f t="array" ref="N481">MAX(IF((ProjectInfoTable[ProjectName]=ContinuousStatsTable[[#This Row],[ProjectName]]),(ProjectInfoTable[ProjectName]=ContinuousStatsTable[[#This Row],[ProjectName]])*ProjectInfoTable[NumberOfReplications]))</f>
        <v>50</v>
      </c>
      <c r="O481" cm="1">
        <f t="array" ref="O481">IFERROR(AVERAGE(IF((ContinuousStatsTable[GroupByKey]=ContinuousStatsTable[[#This Row],[GroupByKey]]),(ContinuousStatsTable[GroupByKey]=ContinuousStatsTable[[#This Row],[GroupByKey]])*ContinuousStatsTable[Average])),0)</f>
        <v>1</v>
      </c>
      <c r="P481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0</v>
      </c>
      <c r="Q481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1" cm="1">
        <f t="array" ref="S481">MIN(IF((ContinuousStatsTable[GroupByKey]=ContinuousStatsTable[[#This Row],[GroupByKey]]),(ContinuousStatsTable[GroupByKey]=ContinuousStatsTable[[#This Row],[GroupByKey]])*ContinuousStatsTable[Average]))</f>
        <v>1</v>
      </c>
      <c r="T481" cm="1">
        <f t="array" ref="T481">MAX(IF((ContinuousStatsTable[GroupByKey]=ContinuousStatsTable[[#This Row],[GroupByKey]]),(ContinuousStatsTable[GroupByKey]=ContinuousStatsTable[[#This Row],[GroupByKey]])*ContinuousStatsTable[Average]))</f>
        <v>1</v>
      </c>
      <c r="U481">
        <f>IF((ContinuousStatsTable[[#This Row],[RepsRequested]]&gt;1),ContinuousStatsTable[[#This Row],[HalfWidth]],ContinuousStatsTable[[#This Row],[BatchMeansHalfWidth]])</f>
        <v>0</v>
      </c>
    </row>
    <row r="482" spans="1:21" x14ac:dyDescent="0.25">
      <c r="A482" t="s">
        <v>68</v>
      </c>
      <c r="B482" t="s">
        <v>131</v>
      </c>
      <c r="C482">
        <v>41</v>
      </c>
      <c r="D482" t="s">
        <v>70</v>
      </c>
      <c r="E482" t="s">
        <v>95</v>
      </c>
      <c r="F482" t="s">
        <v>72</v>
      </c>
      <c r="G482">
        <v>4.2516376487153398</v>
      </c>
      <c r="H482">
        <v>0.88070655543943099</v>
      </c>
      <c r="I482">
        <v>0</v>
      </c>
      <c r="J482">
        <v>21</v>
      </c>
      <c r="K482">
        <v>2</v>
      </c>
      <c r="L482">
        <v>0</v>
      </c>
      <c r="M482" t="str">
        <f>ContinuousStatsTable[[#This Row],[ProjectName]]&amp;ContinuousStatsTable[[#This Row],[Name]]&amp;ContinuousStatsTable[[#This Row],[Type]]&amp;ContinuousStatsTable[[#This Row],[Source]]</f>
        <v>PacientesEntity 1WIPEntity</v>
      </c>
      <c r="N482" cm="1">
        <f t="array" ref="N482">MAX(IF((ProjectInfoTable[ProjectName]=ContinuousStatsTable[[#This Row],[ProjectName]]),(ProjectInfoTable[ProjectName]=ContinuousStatsTable[[#This Row],[ProjectName]])*ProjectInfoTable[NumberOfReplications]))</f>
        <v>50</v>
      </c>
      <c r="O482" cm="1">
        <f t="array" ref="O482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482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482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482" cm="1">
        <f t="array" ref="S482">MIN(IF((ContinuousStatsTable[GroupByKey]=ContinuousStatsTable[[#This Row],[GroupByKey]]),(ContinuousStatsTable[GroupByKey]=ContinuousStatsTable[[#This Row],[GroupByKey]])*ContinuousStatsTable[Average]))</f>
        <v>3.9757448048151298</v>
      </c>
      <c r="T482" cm="1">
        <f t="array" ref="T482">MAX(IF((ContinuousStatsTable[GroupByKey]=ContinuousStatsTable[[#This Row],[GroupByKey]]),(ContinuousStatsTable[GroupByKey]=ContinuousStatsTable[[#This Row],[GroupByKey]])*ContinuousStatsTable[Average]))</f>
        <v>6.9386840633215803</v>
      </c>
      <c r="U482">
        <f>IF((ContinuousStatsTable[[#This Row],[RepsRequested]]&gt;1),ContinuousStatsTable[[#This Row],[HalfWidth]],ContinuousStatsTable[[#This Row],[BatchMeansHalfWidth]])</f>
        <v>0.22030607219171747</v>
      </c>
    </row>
    <row r="483" spans="1:21" x14ac:dyDescent="0.25">
      <c r="A483" t="s">
        <v>68</v>
      </c>
      <c r="B483" t="s">
        <v>131</v>
      </c>
      <c r="C483">
        <v>41</v>
      </c>
      <c r="D483" t="s">
        <v>83</v>
      </c>
      <c r="E483" t="s">
        <v>96</v>
      </c>
      <c r="F483" t="s">
        <v>85</v>
      </c>
      <c r="G483">
        <v>2.00654298538482</v>
      </c>
      <c r="H483">
        <v>0.77505763581004306</v>
      </c>
      <c r="I483">
        <v>0</v>
      </c>
      <c r="J483">
        <v>18</v>
      </c>
      <c r="K483">
        <v>0</v>
      </c>
      <c r="L483">
        <v>0</v>
      </c>
      <c r="M483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483" cm="1">
        <f t="array" ref="N483">MAX(IF((ProjectInfoTable[ProjectName]=ContinuousStatsTable[[#This Row],[ProjectName]]),(ProjectInfoTable[ProjectName]=ContinuousStatsTable[[#This Row],[ProjectName]])*ProjectInfoTable[NumberOfReplications]))</f>
        <v>50</v>
      </c>
      <c r="O483" cm="1">
        <f t="array" ref="O483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483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483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483" cm="1">
        <f t="array" ref="S483">MIN(IF((ContinuousStatsTable[GroupByKey]=ContinuousStatsTable[[#This Row],[GroupByKey]]),(ContinuousStatsTable[GroupByKey]=ContinuousStatsTable[[#This Row],[GroupByKey]])*ContinuousStatsTable[Average]))</f>
        <v>1.7200278735122601</v>
      </c>
      <c r="T483" cm="1">
        <f t="array" ref="T483">MAX(IF((ContinuousStatsTable[GroupByKey]=ContinuousStatsTable[[#This Row],[GroupByKey]]),(ContinuousStatsTable[GroupByKey]=ContinuousStatsTable[[#This Row],[GroupByKey]])*ContinuousStatsTable[Average]))</f>
        <v>4.5543512780988502</v>
      </c>
      <c r="U483">
        <f>IF((ContinuousStatsTable[[#This Row],[RepsRequested]]&gt;1),ContinuousStatsTable[[#This Row],[HalfWidth]],ContinuousStatsTable[[#This Row],[BatchMeansHalfWidth]])</f>
        <v>0.21041231434540877</v>
      </c>
    </row>
    <row r="484" spans="1:21" x14ac:dyDescent="0.25">
      <c r="A484" t="s">
        <v>68</v>
      </c>
      <c r="B484" t="s">
        <v>131</v>
      </c>
      <c r="C484">
        <v>41</v>
      </c>
      <c r="D484" t="s">
        <v>87</v>
      </c>
      <c r="E484" t="s">
        <v>96</v>
      </c>
      <c r="F484" t="s">
        <v>85</v>
      </c>
      <c r="G484">
        <v>0.185526985643447</v>
      </c>
      <c r="H484">
        <v>3.49782734258577E-2</v>
      </c>
      <c r="I484">
        <v>0</v>
      </c>
      <c r="J484">
        <v>5</v>
      </c>
      <c r="K484">
        <v>0</v>
      </c>
      <c r="L484">
        <v>0</v>
      </c>
      <c r="M484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84" cm="1">
        <f t="array" ref="N484">MAX(IF((ProjectInfoTable[ProjectName]=ContinuousStatsTable[[#This Row],[ProjectName]]),(ProjectInfoTable[ProjectName]=ContinuousStatsTable[[#This Row],[ProjectName]])*ProjectInfoTable[NumberOfReplications]))</f>
        <v>50</v>
      </c>
      <c r="O484" cm="1">
        <f t="array" ref="O484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84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84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84" cm="1">
        <f t="array" ref="S484">MIN(IF((ContinuousStatsTable[GroupByKey]=ContinuousStatsTable[[#This Row],[GroupByKey]]),(ContinuousStatsTable[GroupByKey]=ContinuousStatsTable[[#This Row],[GroupByKey]])*ContinuousStatsTable[Average]))</f>
        <v>0.172815232766103</v>
      </c>
      <c r="T484" cm="1">
        <f t="array" ref="T484">MAX(IF((ContinuousStatsTable[GroupByKey]=ContinuousStatsTable[[#This Row],[GroupByKey]]),(ContinuousStatsTable[GroupByKey]=ContinuousStatsTable[[#This Row],[GroupByKey]])*ContinuousStatsTable[Average]))</f>
        <v>0.24783514900621301</v>
      </c>
      <c r="U484">
        <f>IF((ContinuousStatsTable[[#This Row],[RepsRequested]]&gt;1),ContinuousStatsTable[[#This Row],[HalfWidth]],ContinuousStatsTable[[#This Row],[BatchMeansHalfWidth]])</f>
        <v>4.7768909384897544E-3</v>
      </c>
    </row>
    <row r="485" spans="1:21" x14ac:dyDescent="0.25">
      <c r="A485" t="s">
        <v>68</v>
      </c>
      <c r="B485" t="s">
        <v>131</v>
      </c>
      <c r="C485">
        <v>41</v>
      </c>
      <c r="D485" t="s">
        <v>97</v>
      </c>
      <c r="E485" t="s">
        <v>98</v>
      </c>
      <c r="F485" t="s">
        <v>99</v>
      </c>
      <c r="G485">
        <v>0.53251692726377597</v>
      </c>
      <c r="H485">
        <v>2.8494575705561499E-2</v>
      </c>
      <c r="I485">
        <v>0</v>
      </c>
      <c r="J485">
        <v>0.66666666666666696</v>
      </c>
      <c r="K485">
        <v>0.33333333333333298</v>
      </c>
      <c r="L485">
        <v>0</v>
      </c>
      <c r="M485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485" cm="1">
        <f t="array" ref="N485">MAX(IF((ProjectInfoTable[ProjectName]=ContinuousStatsTable[[#This Row],[ProjectName]]),(ProjectInfoTable[ProjectName]=ContinuousStatsTable[[#This Row],[ProjectName]])*ProjectInfoTable[NumberOfReplications]))</f>
        <v>50</v>
      </c>
      <c r="O485" cm="1">
        <f t="array" ref="O485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48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48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485" cm="1">
        <f t="array" ref="S485">MIN(IF((ContinuousStatsTable[GroupByKey]=ContinuousStatsTable[[#This Row],[GroupByKey]]),(ContinuousStatsTable[GroupByKey]=ContinuousStatsTable[[#This Row],[GroupByKey]])*ContinuousStatsTable[Average]))</f>
        <v>0.52470641844357602</v>
      </c>
      <c r="T485" cm="1">
        <f t="array" ref="T485">MAX(IF((ContinuousStatsTable[GroupByKey]=ContinuousStatsTable[[#This Row],[GroupByKey]]),(ContinuousStatsTable[GroupByKey]=ContinuousStatsTable[[#This Row],[GroupByKey]])*ContinuousStatsTable[Average]))</f>
        <v>0.57005812966092095</v>
      </c>
      <c r="U485">
        <f>IF((ContinuousStatsTable[[#This Row],[RepsRequested]]&gt;1),ContinuousStatsTable[[#This Row],[HalfWidth]],ContinuousStatsTable[[#This Row],[BatchMeansHalfWidth]])</f>
        <v>2.9048243757695521E-3</v>
      </c>
    </row>
    <row r="486" spans="1:21" x14ac:dyDescent="0.25">
      <c r="A486" t="s">
        <v>68</v>
      </c>
      <c r="B486" t="s">
        <v>131</v>
      </c>
      <c r="C486">
        <v>41</v>
      </c>
      <c r="D486" t="s">
        <v>97</v>
      </c>
      <c r="E486" t="s">
        <v>100</v>
      </c>
      <c r="F486" t="s">
        <v>99</v>
      </c>
      <c r="G486">
        <v>1.5975507817913299</v>
      </c>
      <c r="H486">
        <v>8.5483727116684505E-2</v>
      </c>
      <c r="I486">
        <v>0</v>
      </c>
      <c r="J486">
        <v>2</v>
      </c>
      <c r="K486">
        <v>1</v>
      </c>
      <c r="L486">
        <v>0</v>
      </c>
      <c r="M486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486" cm="1">
        <f t="array" ref="N486">MAX(IF((ProjectInfoTable[ProjectName]=ContinuousStatsTable[[#This Row],[ProjectName]]),(ProjectInfoTable[ProjectName]=ContinuousStatsTable[[#This Row],[ProjectName]])*ProjectInfoTable[NumberOfReplications]))</f>
        <v>50</v>
      </c>
      <c r="O486" cm="1">
        <f t="array" ref="O486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86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86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86" cm="1">
        <f t="array" ref="S486">MIN(IF((ContinuousStatsTable[GroupByKey]=ContinuousStatsTable[[#This Row],[GroupByKey]]),(ContinuousStatsTable[GroupByKey]=ContinuousStatsTable[[#This Row],[GroupByKey]])*ContinuousStatsTable[Average]))</f>
        <v>1.5741192553307399</v>
      </c>
      <c r="T486" cm="1">
        <f t="array" ref="T486">MAX(IF((ContinuousStatsTable[GroupByKey]=ContinuousStatsTable[[#This Row],[GroupByKey]]),(ContinuousStatsTable[GroupByKey]=ContinuousStatsTable[[#This Row],[GroupByKey]])*ContinuousStatsTable[Average]))</f>
        <v>1.7101743889827701</v>
      </c>
      <c r="U486">
        <f>IF((ContinuousStatsTable[[#This Row],[RepsRequested]]&gt;1),ContinuousStatsTable[[#This Row],[HalfWidth]],ContinuousStatsTable[[#This Row],[BatchMeansHalfWidth]])</f>
        <v>8.7144731273084922E-3</v>
      </c>
    </row>
    <row r="487" spans="1:21" x14ac:dyDescent="0.25">
      <c r="A487" t="s">
        <v>68</v>
      </c>
      <c r="B487" t="s">
        <v>131</v>
      </c>
      <c r="C487">
        <v>41</v>
      </c>
      <c r="D487" t="s">
        <v>97</v>
      </c>
      <c r="E487" t="s">
        <v>101</v>
      </c>
      <c r="F487" t="s">
        <v>99</v>
      </c>
      <c r="G487">
        <v>3</v>
      </c>
      <c r="H487">
        <v>2E+20</v>
      </c>
      <c r="I487">
        <v>3</v>
      </c>
      <c r="J487">
        <v>3</v>
      </c>
      <c r="K487">
        <v>3</v>
      </c>
      <c r="L487">
        <v>0</v>
      </c>
      <c r="M487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487" cm="1">
        <f t="array" ref="N487">MAX(IF((ProjectInfoTable[ProjectName]=ContinuousStatsTable[[#This Row],[ProjectName]]),(ProjectInfoTable[ProjectName]=ContinuousStatsTable[[#This Row],[ProjectName]])*ProjectInfoTable[NumberOfReplications]))</f>
        <v>50</v>
      </c>
      <c r="O487" cm="1">
        <f t="array" ref="O487">IFERROR(AVERAGE(IF((ContinuousStatsTable[GroupByKey]=ContinuousStatsTable[[#This Row],[GroupByKey]]),(ContinuousStatsTable[GroupByKey]=ContinuousStatsTable[[#This Row],[GroupByKey]])*ContinuousStatsTable[Average])),0)</f>
        <v>3</v>
      </c>
      <c r="P487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cm="1">
        <f t="array" ref="S487">MIN(IF((ContinuousStatsTable[GroupByKey]=ContinuousStatsTable[[#This Row],[GroupByKey]]),(ContinuousStatsTable[GroupByKey]=ContinuousStatsTable[[#This Row],[GroupByKey]])*ContinuousStatsTable[Average]))</f>
        <v>3</v>
      </c>
      <c r="T487" cm="1">
        <f t="array" ref="T487">MAX(IF((ContinuousStatsTable[GroupByKey]=ContinuousStatsTable[[#This Row],[GroupByKey]]),(ContinuousStatsTable[GroupByKey]=ContinuousStatsTable[[#This Row],[GroupByKey]])*ContinuousStatsTable[Average]))</f>
        <v>3</v>
      </c>
      <c r="U487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68</v>
      </c>
      <c r="B488" t="s">
        <v>131</v>
      </c>
      <c r="C488">
        <v>41</v>
      </c>
      <c r="D488" t="s">
        <v>102</v>
      </c>
      <c r="E488" t="s">
        <v>98</v>
      </c>
      <c r="F488" t="s">
        <v>99</v>
      </c>
      <c r="G488">
        <v>0.79877539089566596</v>
      </c>
      <c r="H488">
        <v>4.2741863558342197E-2</v>
      </c>
      <c r="I488">
        <v>0</v>
      </c>
      <c r="J488">
        <v>1</v>
      </c>
      <c r="K488">
        <v>0.5</v>
      </c>
      <c r="L488">
        <v>0</v>
      </c>
      <c r="M488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488" cm="1">
        <f t="array" ref="N488">MAX(IF((ProjectInfoTable[ProjectName]=ContinuousStatsTable[[#This Row],[ProjectName]]),(ProjectInfoTable[ProjectName]=ContinuousStatsTable[[#This Row],[ProjectName]])*ProjectInfoTable[NumberOfReplications]))</f>
        <v>50</v>
      </c>
      <c r="O488" cm="1">
        <f t="array" ref="O488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488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488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488" cm="1">
        <f t="array" ref="S488">MIN(IF((ContinuousStatsTable[GroupByKey]=ContinuousStatsTable[[#This Row],[GroupByKey]]),(ContinuousStatsTable[GroupByKey]=ContinuousStatsTable[[#This Row],[GroupByKey]])*ContinuousStatsTable[Average]))</f>
        <v>0.78705962766536897</v>
      </c>
      <c r="T488" cm="1">
        <f t="array" ref="T488">MAX(IF((ContinuousStatsTable[GroupByKey]=ContinuousStatsTable[[#This Row],[GroupByKey]]),(ContinuousStatsTable[GroupByKey]=ContinuousStatsTable[[#This Row],[GroupByKey]])*ContinuousStatsTable[Average]))</f>
        <v>0.85508719449138504</v>
      </c>
      <c r="U488">
        <f>IF((ContinuousStatsTable[[#This Row],[RepsRequested]]&gt;1),ContinuousStatsTable[[#This Row],[HalfWidth]],ContinuousStatsTable[[#This Row],[BatchMeansHalfWidth]])</f>
        <v>4.3572365636542886E-3</v>
      </c>
    </row>
    <row r="489" spans="1:21" x14ac:dyDescent="0.25">
      <c r="A489" t="s">
        <v>68</v>
      </c>
      <c r="B489" t="s">
        <v>131</v>
      </c>
      <c r="C489">
        <v>41</v>
      </c>
      <c r="D489" t="s">
        <v>102</v>
      </c>
      <c r="E489" t="s">
        <v>100</v>
      </c>
      <c r="F489" t="s">
        <v>99</v>
      </c>
      <c r="G489">
        <v>1.5975507817913299</v>
      </c>
      <c r="H489">
        <v>8.5483727116684505E-2</v>
      </c>
      <c r="I489">
        <v>0</v>
      </c>
      <c r="J489">
        <v>2</v>
      </c>
      <c r="K489">
        <v>1</v>
      </c>
      <c r="L489">
        <v>0</v>
      </c>
      <c r="M489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489" cm="1">
        <f t="array" ref="N489">MAX(IF((ProjectInfoTable[ProjectName]=ContinuousStatsTable[[#This Row],[ProjectName]]),(ProjectInfoTable[ProjectName]=ContinuousStatsTable[[#This Row],[ProjectName]])*ProjectInfoTable[NumberOfReplications]))</f>
        <v>50</v>
      </c>
      <c r="O489" cm="1">
        <f t="array" ref="O489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89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89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89" cm="1">
        <f t="array" ref="S489">MIN(IF((ContinuousStatsTable[GroupByKey]=ContinuousStatsTable[[#This Row],[GroupByKey]]),(ContinuousStatsTable[GroupByKey]=ContinuousStatsTable[[#This Row],[GroupByKey]])*ContinuousStatsTable[Average]))</f>
        <v>1.5741192553307399</v>
      </c>
      <c r="T489" cm="1">
        <f t="array" ref="T489">MAX(IF((ContinuousStatsTable[GroupByKey]=ContinuousStatsTable[[#This Row],[GroupByKey]]),(ContinuousStatsTable[GroupByKey]=ContinuousStatsTable[[#This Row],[GroupByKey]])*ContinuousStatsTable[Average]))</f>
        <v>1.7101743889827701</v>
      </c>
      <c r="U489">
        <f>IF((ContinuousStatsTable[[#This Row],[RepsRequested]]&gt;1),ContinuousStatsTable[[#This Row],[HalfWidth]],ContinuousStatsTable[[#This Row],[BatchMeansHalfWidth]])</f>
        <v>8.7144731273084922E-3</v>
      </c>
    </row>
    <row r="490" spans="1:21" x14ac:dyDescent="0.25">
      <c r="A490" t="s">
        <v>68</v>
      </c>
      <c r="B490" t="s">
        <v>131</v>
      </c>
      <c r="C490">
        <v>41</v>
      </c>
      <c r="D490" t="s">
        <v>102</v>
      </c>
      <c r="E490" t="s">
        <v>101</v>
      </c>
      <c r="F490" t="s">
        <v>99</v>
      </c>
      <c r="G490">
        <v>2</v>
      </c>
      <c r="H490">
        <v>2E+20</v>
      </c>
      <c r="I490">
        <v>2</v>
      </c>
      <c r="J490">
        <v>2</v>
      </c>
      <c r="K490">
        <v>2</v>
      </c>
      <c r="L490">
        <v>0</v>
      </c>
      <c r="M490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490" cm="1">
        <f t="array" ref="N490">MAX(IF((ProjectInfoTable[ProjectName]=ContinuousStatsTable[[#This Row],[ProjectName]]),(ProjectInfoTable[ProjectName]=ContinuousStatsTable[[#This Row],[ProjectName]])*ProjectInfoTable[NumberOfReplications]))</f>
        <v>50</v>
      </c>
      <c r="O490" cm="1">
        <f t="array" ref="O490">IFERROR(AVERAGE(IF((ContinuousStatsTable[GroupByKey]=ContinuousStatsTable[[#This Row],[GroupByKey]]),(ContinuousStatsTable[GroupByKey]=ContinuousStatsTable[[#This Row],[GroupByKey]])*ContinuousStatsTable[Average])),0)</f>
        <v>2</v>
      </c>
      <c r="P490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0</v>
      </c>
      <c r="Q490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0" cm="1">
        <f t="array" ref="S490">MIN(IF((ContinuousStatsTable[GroupByKey]=ContinuousStatsTable[[#This Row],[GroupByKey]]),(ContinuousStatsTable[GroupByKey]=ContinuousStatsTable[[#This Row],[GroupByKey]])*ContinuousStatsTable[Average]))</f>
        <v>2</v>
      </c>
      <c r="T490" cm="1">
        <f t="array" ref="T490">MAX(IF((ContinuousStatsTable[GroupByKey]=ContinuousStatsTable[[#This Row],[GroupByKey]]),(ContinuousStatsTable[GroupByKey]=ContinuousStatsTable[[#This Row],[GroupByKey]])*ContinuousStatsTable[Average]))</f>
        <v>2</v>
      </c>
      <c r="U490">
        <f>IF((ContinuousStatsTable[[#This Row],[RepsRequested]]&gt;1),ContinuousStatsTable[[#This Row],[HalfWidth]],ContinuousStatsTable[[#This Row],[BatchMeansHalfWidth]])</f>
        <v>0</v>
      </c>
    </row>
    <row r="491" spans="1:21" x14ac:dyDescent="0.25">
      <c r="A491" t="s">
        <v>68</v>
      </c>
      <c r="B491" t="s">
        <v>131</v>
      </c>
      <c r="C491">
        <v>41</v>
      </c>
      <c r="D491" t="s">
        <v>103</v>
      </c>
      <c r="E491" t="s">
        <v>98</v>
      </c>
      <c r="F491" t="s">
        <v>99</v>
      </c>
      <c r="G491">
        <v>0.46201689589575901</v>
      </c>
      <c r="H491">
        <v>2.1239636681443901E-2</v>
      </c>
      <c r="I491">
        <v>0</v>
      </c>
      <c r="J491">
        <v>1</v>
      </c>
      <c r="K491">
        <v>1</v>
      </c>
      <c r="L491">
        <v>0</v>
      </c>
      <c r="M491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491" cm="1">
        <f t="array" ref="N491">MAX(IF((ProjectInfoTable[ProjectName]=ContinuousStatsTable[[#This Row],[ProjectName]]),(ProjectInfoTable[ProjectName]=ContinuousStatsTable[[#This Row],[ProjectName]])*ProjectInfoTable[NumberOfReplications]))</f>
        <v>50</v>
      </c>
      <c r="O491" cm="1">
        <f t="array" ref="O491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91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91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91" cm="1">
        <f t="array" ref="S491">MIN(IF((ContinuousStatsTable[GroupByKey]=ContinuousStatsTable[[#This Row],[GroupByKey]]),(ContinuousStatsTable[GroupByKey]=ContinuousStatsTable[[#This Row],[GroupByKey]])*ContinuousStatsTable[Average]))</f>
        <v>0.452397944183905</v>
      </c>
      <c r="T491" cm="1">
        <f t="array" ref="T491">MAX(IF((ContinuousStatsTable[GroupByKey]=ContinuousStatsTable[[#This Row],[GroupByKey]]),(ContinuousStatsTable[GroupByKey]=ContinuousStatsTable[[#This Row],[GroupByKey]])*ContinuousStatsTable[Average]))</f>
        <v>0.49691123629694001</v>
      </c>
      <c r="U491">
        <f>IF((ContinuousStatsTable[[#This Row],[RepsRequested]]&gt;1),ContinuousStatsTable[[#This Row],[HalfWidth]],ContinuousStatsTable[[#This Row],[BatchMeansHalfWidth]])</f>
        <v>2.7457743728226142E-3</v>
      </c>
    </row>
    <row r="492" spans="1:21" x14ac:dyDescent="0.25">
      <c r="A492" t="s">
        <v>68</v>
      </c>
      <c r="B492" t="s">
        <v>131</v>
      </c>
      <c r="C492">
        <v>41</v>
      </c>
      <c r="D492" t="s">
        <v>103</v>
      </c>
      <c r="E492" t="s">
        <v>100</v>
      </c>
      <c r="F492" t="s">
        <v>99</v>
      </c>
      <c r="G492">
        <v>0.46201689589575901</v>
      </c>
      <c r="H492">
        <v>2.1239636681443901E-2</v>
      </c>
      <c r="I492">
        <v>0</v>
      </c>
      <c r="J492">
        <v>1</v>
      </c>
      <c r="K492">
        <v>1</v>
      </c>
      <c r="L492">
        <v>0</v>
      </c>
      <c r="M492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492" cm="1">
        <f t="array" ref="N492">MAX(IF((ProjectInfoTable[ProjectName]=ContinuousStatsTable[[#This Row],[ProjectName]]),(ProjectInfoTable[ProjectName]=ContinuousStatsTable[[#This Row],[ProjectName]])*ProjectInfoTable[NumberOfReplications]))</f>
        <v>50</v>
      </c>
      <c r="O492" cm="1">
        <f t="array" ref="O492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492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492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492" cm="1">
        <f t="array" ref="S492">MIN(IF((ContinuousStatsTable[GroupByKey]=ContinuousStatsTable[[#This Row],[GroupByKey]]),(ContinuousStatsTable[GroupByKey]=ContinuousStatsTable[[#This Row],[GroupByKey]])*ContinuousStatsTable[Average]))</f>
        <v>0.452397944183905</v>
      </c>
      <c r="T492" cm="1">
        <f t="array" ref="T492">MAX(IF((ContinuousStatsTable[GroupByKey]=ContinuousStatsTable[[#This Row],[GroupByKey]]),(ContinuousStatsTable[GroupByKey]=ContinuousStatsTable[[#This Row],[GroupByKey]])*ContinuousStatsTable[Average]))</f>
        <v>0.49691123629694001</v>
      </c>
      <c r="U492">
        <f>IF((ContinuousStatsTable[[#This Row],[RepsRequested]]&gt;1),ContinuousStatsTable[[#This Row],[HalfWidth]],ContinuousStatsTable[[#This Row],[BatchMeansHalfWidth]])</f>
        <v>2.7457743728226142E-3</v>
      </c>
    </row>
    <row r="493" spans="1:21" x14ac:dyDescent="0.25">
      <c r="A493" t="s">
        <v>68</v>
      </c>
      <c r="B493" t="s">
        <v>131</v>
      </c>
      <c r="C493">
        <v>41</v>
      </c>
      <c r="D493" t="s">
        <v>103</v>
      </c>
      <c r="E493" t="s">
        <v>101</v>
      </c>
      <c r="F493" t="s">
        <v>99</v>
      </c>
      <c r="G493">
        <v>1</v>
      </c>
      <c r="H493">
        <v>2E+20</v>
      </c>
      <c r="I493">
        <v>1</v>
      </c>
      <c r="J493">
        <v>1</v>
      </c>
      <c r="K493">
        <v>1</v>
      </c>
      <c r="L493">
        <v>0</v>
      </c>
      <c r="M493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493" cm="1">
        <f t="array" ref="N493">MAX(IF((ProjectInfoTable[ProjectName]=ContinuousStatsTable[[#This Row],[ProjectName]]),(ProjectInfoTable[ProjectName]=ContinuousStatsTable[[#This Row],[ProjectName]])*ProjectInfoTable[NumberOfReplications]))</f>
        <v>50</v>
      </c>
      <c r="O493" cm="1">
        <f t="array" ref="O493">IFERROR(AVERAGE(IF((ContinuousStatsTable[GroupByKey]=ContinuousStatsTable[[#This Row],[GroupByKey]]),(ContinuousStatsTable[GroupByKey]=ContinuousStatsTable[[#This Row],[GroupByKey]])*ContinuousStatsTable[Average])),0)</f>
        <v>1</v>
      </c>
      <c r="P493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0</v>
      </c>
      <c r="Q493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3" cm="1">
        <f t="array" ref="S493">MIN(IF((ContinuousStatsTable[GroupByKey]=ContinuousStatsTable[[#This Row],[GroupByKey]]),(ContinuousStatsTable[GroupByKey]=ContinuousStatsTable[[#This Row],[GroupByKey]])*ContinuousStatsTable[Average]))</f>
        <v>1</v>
      </c>
      <c r="T493" cm="1">
        <f t="array" ref="T493">MAX(IF((ContinuousStatsTable[GroupByKey]=ContinuousStatsTable[[#This Row],[GroupByKey]]),(ContinuousStatsTable[GroupByKey]=ContinuousStatsTable[[#This Row],[GroupByKey]])*ContinuousStatsTable[Average]))</f>
        <v>1</v>
      </c>
      <c r="U493">
        <f>IF((ContinuousStatsTable[[#This Row],[RepsRequested]]&gt;1),ContinuousStatsTable[[#This Row],[HalfWidth]],ContinuousStatsTable[[#This Row],[BatchMeansHalfWidth]])</f>
        <v>0</v>
      </c>
    </row>
    <row r="494" spans="1:21" x14ac:dyDescent="0.25">
      <c r="A494" t="s">
        <v>68</v>
      </c>
      <c r="B494" t="s">
        <v>131</v>
      </c>
      <c r="C494">
        <v>42</v>
      </c>
      <c r="D494" t="s">
        <v>70</v>
      </c>
      <c r="E494" t="s">
        <v>95</v>
      </c>
      <c r="F494" t="s">
        <v>72</v>
      </c>
      <c r="G494">
        <v>4.7406125492398496</v>
      </c>
      <c r="H494">
        <v>1.2732787987435501</v>
      </c>
      <c r="I494">
        <v>0</v>
      </c>
      <c r="J494">
        <v>22</v>
      </c>
      <c r="K494">
        <v>4</v>
      </c>
      <c r="L494">
        <v>0</v>
      </c>
      <c r="M494" t="str">
        <f>ContinuousStatsTable[[#This Row],[ProjectName]]&amp;ContinuousStatsTable[[#This Row],[Name]]&amp;ContinuousStatsTable[[#This Row],[Type]]&amp;ContinuousStatsTable[[#This Row],[Source]]</f>
        <v>PacientesEntity 1WIPEntity</v>
      </c>
      <c r="N494" cm="1">
        <f t="array" ref="N494">MAX(IF((ProjectInfoTable[ProjectName]=ContinuousStatsTable[[#This Row],[ProjectName]]),(ProjectInfoTable[ProjectName]=ContinuousStatsTable[[#This Row],[ProjectName]])*ProjectInfoTable[NumberOfReplications]))</f>
        <v>50</v>
      </c>
      <c r="O494" cm="1">
        <f t="array" ref="O494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494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494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494" cm="1">
        <f t="array" ref="S494">MIN(IF((ContinuousStatsTable[GroupByKey]=ContinuousStatsTable[[#This Row],[GroupByKey]]),(ContinuousStatsTable[GroupByKey]=ContinuousStatsTable[[#This Row],[GroupByKey]])*ContinuousStatsTable[Average]))</f>
        <v>3.9757448048151298</v>
      </c>
      <c r="T494" cm="1">
        <f t="array" ref="T494">MAX(IF((ContinuousStatsTable[GroupByKey]=ContinuousStatsTable[[#This Row],[GroupByKey]]),(ContinuousStatsTable[GroupByKey]=ContinuousStatsTable[[#This Row],[GroupByKey]])*ContinuousStatsTable[Average]))</f>
        <v>6.9386840633215803</v>
      </c>
      <c r="U494">
        <f>IF((ContinuousStatsTable[[#This Row],[RepsRequested]]&gt;1),ContinuousStatsTable[[#This Row],[HalfWidth]],ContinuousStatsTable[[#This Row],[BatchMeansHalfWidth]])</f>
        <v>0.22030607219171747</v>
      </c>
    </row>
    <row r="495" spans="1:21" x14ac:dyDescent="0.25">
      <c r="A495" t="s">
        <v>68</v>
      </c>
      <c r="B495" t="s">
        <v>131</v>
      </c>
      <c r="C495">
        <v>42</v>
      </c>
      <c r="D495" t="s">
        <v>83</v>
      </c>
      <c r="E495" t="s">
        <v>96</v>
      </c>
      <c r="F495" t="s">
        <v>85</v>
      </c>
      <c r="G495">
        <v>2.4120750936048099</v>
      </c>
      <c r="H495">
        <v>1.1876059091753901</v>
      </c>
      <c r="I495">
        <v>0</v>
      </c>
      <c r="J495">
        <v>19</v>
      </c>
      <c r="K495">
        <v>1</v>
      </c>
      <c r="L495">
        <v>0</v>
      </c>
      <c r="M495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495" cm="1">
        <f t="array" ref="N495">MAX(IF((ProjectInfoTable[ProjectName]=ContinuousStatsTable[[#This Row],[ProjectName]]),(ProjectInfoTable[ProjectName]=ContinuousStatsTable[[#This Row],[ProjectName]])*ProjectInfoTable[NumberOfReplications]))</f>
        <v>50</v>
      </c>
      <c r="O495" cm="1">
        <f t="array" ref="O495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49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49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495" cm="1">
        <f t="array" ref="S495">MIN(IF((ContinuousStatsTable[GroupByKey]=ContinuousStatsTable[[#This Row],[GroupByKey]]),(ContinuousStatsTable[GroupByKey]=ContinuousStatsTable[[#This Row],[GroupByKey]])*ContinuousStatsTable[Average]))</f>
        <v>1.7200278735122601</v>
      </c>
      <c r="T495" cm="1">
        <f t="array" ref="T495">MAX(IF((ContinuousStatsTable[GroupByKey]=ContinuousStatsTable[[#This Row],[GroupByKey]]),(ContinuousStatsTable[GroupByKey]=ContinuousStatsTable[[#This Row],[GroupByKey]])*ContinuousStatsTable[Average]))</f>
        <v>4.5543512780988502</v>
      </c>
      <c r="U495">
        <f>IF((ContinuousStatsTable[[#This Row],[RepsRequested]]&gt;1),ContinuousStatsTable[[#This Row],[HalfWidth]],ContinuousStatsTable[[#This Row],[BatchMeansHalfWidth]])</f>
        <v>0.21041231434540877</v>
      </c>
    </row>
    <row r="496" spans="1:21" x14ac:dyDescent="0.25">
      <c r="A496" t="s">
        <v>68</v>
      </c>
      <c r="B496" t="s">
        <v>131</v>
      </c>
      <c r="C496">
        <v>42</v>
      </c>
      <c r="D496" t="s">
        <v>87</v>
      </c>
      <c r="E496" t="s">
        <v>96</v>
      </c>
      <c r="F496" t="s">
        <v>85</v>
      </c>
      <c r="G496">
        <v>0.23171457027130499</v>
      </c>
      <c r="H496">
        <v>4.9160043501282301E-2</v>
      </c>
      <c r="I496">
        <v>0</v>
      </c>
      <c r="J496">
        <v>6</v>
      </c>
      <c r="K496">
        <v>0</v>
      </c>
      <c r="L496">
        <v>0</v>
      </c>
      <c r="M496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496" cm="1">
        <f t="array" ref="N496">MAX(IF((ProjectInfoTable[ProjectName]=ContinuousStatsTable[[#This Row],[ProjectName]]),(ProjectInfoTable[ProjectName]=ContinuousStatsTable[[#This Row],[ProjectName]])*ProjectInfoTable[NumberOfReplications]))</f>
        <v>50</v>
      </c>
      <c r="O496" cm="1">
        <f t="array" ref="O496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496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496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496" cm="1">
        <f t="array" ref="S496">MIN(IF((ContinuousStatsTable[GroupByKey]=ContinuousStatsTable[[#This Row],[GroupByKey]]),(ContinuousStatsTable[GroupByKey]=ContinuousStatsTable[[#This Row],[GroupByKey]])*ContinuousStatsTable[Average]))</f>
        <v>0.172815232766103</v>
      </c>
      <c r="T496" cm="1">
        <f t="array" ref="T496">MAX(IF((ContinuousStatsTable[GroupByKey]=ContinuousStatsTable[[#This Row],[GroupByKey]]),(ContinuousStatsTable[GroupByKey]=ContinuousStatsTable[[#This Row],[GroupByKey]])*ContinuousStatsTable[Average]))</f>
        <v>0.24783514900621301</v>
      </c>
      <c r="U496">
        <f>IF((ContinuousStatsTable[[#This Row],[RepsRequested]]&gt;1),ContinuousStatsTable[[#This Row],[HalfWidth]],ContinuousStatsTable[[#This Row],[BatchMeansHalfWidth]])</f>
        <v>4.7768909384897544E-3</v>
      </c>
    </row>
    <row r="497" spans="1:21" x14ac:dyDescent="0.25">
      <c r="A497" t="s">
        <v>68</v>
      </c>
      <c r="B497" t="s">
        <v>131</v>
      </c>
      <c r="C497">
        <v>42</v>
      </c>
      <c r="D497" t="s">
        <v>97</v>
      </c>
      <c r="E497" t="s">
        <v>98</v>
      </c>
      <c r="F497" t="s">
        <v>99</v>
      </c>
      <c r="G497">
        <v>0.54028749766639395</v>
      </c>
      <c r="H497">
        <v>2.7359412945551598E-2</v>
      </c>
      <c r="I497">
        <v>0</v>
      </c>
      <c r="J497">
        <v>0.66666666666666696</v>
      </c>
      <c r="K497">
        <v>0.66666666666666696</v>
      </c>
      <c r="L497">
        <v>0</v>
      </c>
      <c r="M497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497" cm="1">
        <f t="array" ref="N497">MAX(IF((ProjectInfoTable[ProjectName]=ContinuousStatsTable[[#This Row],[ProjectName]]),(ProjectInfoTable[ProjectName]=ContinuousStatsTable[[#This Row],[ProjectName]])*ProjectInfoTable[NumberOfReplications]))</f>
        <v>50</v>
      </c>
      <c r="O497" cm="1">
        <f t="array" ref="O497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497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497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497" cm="1">
        <f t="array" ref="S497">MIN(IF((ContinuousStatsTable[GroupByKey]=ContinuousStatsTable[[#This Row],[GroupByKey]]),(ContinuousStatsTable[GroupByKey]=ContinuousStatsTable[[#This Row],[GroupByKey]])*ContinuousStatsTable[Average]))</f>
        <v>0.52470641844357602</v>
      </c>
      <c r="T497" cm="1">
        <f t="array" ref="T497">MAX(IF((ContinuousStatsTable[GroupByKey]=ContinuousStatsTable[[#This Row],[GroupByKey]]),(ContinuousStatsTable[GroupByKey]=ContinuousStatsTable[[#This Row],[GroupByKey]])*ContinuousStatsTable[Average]))</f>
        <v>0.57005812966092095</v>
      </c>
      <c r="U497">
        <f>IF((ContinuousStatsTable[[#This Row],[RepsRequested]]&gt;1),ContinuousStatsTable[[#This Row],[HalfWidth]],ContinuousStatsTable[[#This Row],[BatchMeansHalfWidth]])</f>
        <v>2.9048243757695521E-3</v>
      </c>
    </row>
    <row r="498" spans="1:21" x14ac:dyDescent="0.25">
      <c r="A498" t="s">
        <v>68</v>
      </c>
      <c r="B498" t="s">
        <v>131</v>
      </c>
      <c r="C498">
        <v>42</v>
      </c>
      <c r="D498" t="s">
        <v>97</v>
      </c>
      <c r="E498" t="s">
        <v>100</v>
      </c>
      <c r="F498" t="s">
        <v>99</v>
      </c>
      <c r="G498">
        <v>1.6208624929991899</v>
      </c>
      <c r="H498">
        <v>8.2078238836654896E-2</v>
      </c>
      <c r="I498">
        <v>0</v>
      </c>
      <c r="J498">
        <v>2</v>
      </c>
      <c r="K498">
        <v>2</v>
      </c>
      <c r="L498">
        <v>0</v>
      </c>
      <c r="M498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498" cm="1">
        <f t="array" ref="N498">MAX(IF((ProjectInfoTable[ProjectName]=ContinuousStatsTable[[#This Row],[ProjectName]]),(ProjectInfoTable[ProjectName]=ContinuousStatsTable[[#This Row],[ProjectName]])*ProjectInfoTable[NumberOfReplications]))</f>
        <v>50</v>
      </c>
      <c r="O498" cm="1">
        <f t="array" ref="O498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498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498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498" cm="1">
        <f t="array" ref="S498">MIN(IF((ContinuousStatsTable[GroupByKey]=ContinuousStatsTable[[#This Row],[GroupByKey]]),(ContinuousStatsTable[GroupByKey]=ContinuousStatsTable[[#This Row],[GroupByKey]])*ContinuousStatsTable[Average]))</f>
        <v>1.5741192553307399</v>
      </c>
      <c r="T498" cm="1">
        <f t="array" ref="T498">MAX(IF((ContinuousStatsTable[GroupByKey]=ContinuousStatsTable[[#This Row],[GroupByKey]]),(ContinuousStatsTable[GroupByKey]=ContinuousStatsTable[[#This Row],[GroupByKey]])*ContinuousStatsTable[Average]))</f>
        <v>1.7101743889827701</v>
      </c>
      <c r="U498">
        <f>IF((ContinuousStatsTable[[#This Row],[RepsRequested]]&gt;1),ContinuousStatsTable[[#This Row],[HalfWidth]],ContinuousStatsTable[[#This Row],[BatchMeansHalfWidth]])</f>
        <v>8.7144731273084922E-3</v>
      </c>
    </row>
    <row r="499" spans="1:21" x14ac:dyDescent="0.25">
      <c r="A499" t="s">
        <v>68</v>
      </c>
      <c r="B499" t="s">
        <v>131</v>
      </c>
      <c r="C499">
        <v>42</v>
      </c>
      <c r="D499" t="s">
        <v>97</v>
      </c>
      <c r="E499" t="s">
        <v>101</v>
      </c>
      <c r="F499" t="s">
        <v>99</v>
      </c>
      <c r="G499">
        <v>3</v>
      </c>
      <c r="H499">
        <v>2E+20</v>
      </c>
      <c r="I499">
        <v>3</v>
      </c>
      <c r="J499">
        <v>3</v>
      </c>
      <c r="K499">
        <v>3</v>
      </c>
      <c r="L499">
        <v>0</v>
      </c>
      <c r="M499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499" cm="1">
        <f t="array" ref="N499">MAX(IF((ProjectInfoTable[ProjectName]=ContinuousStatsTable[[#This Row],[ProjectName]]),(ProjectInfoTable[ProjectName]=ContinuousStatsTable[[#This Row],[ProjectName]])*ProjectInfoTable[NumberOfReplications]))</f>
        <v>50</v>
      </c>
      <c r="O499" cm="1">
        <f t="array" ref="O499">IFERROR(AVERAGE(IF((ContinuousStatsTable[GroupByKey]=ContinuousStatsTable[[#This Row],[GroupByKey]]),(ContinuousStatsTable[GroupByKey]=ContinuousStatsTable[[#This Row],[GroupByKey]])*ContinuousStatsTable[Average])),0)</f>
        <v>3</v>
      </c>
      <c r="P499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cm="1">
        <f t="array" ref="S499">MIN(IF((ContinuousStatsTable[GroupByKey]=ContinuousStatsTable[[#This Row],[GroupByKey]]),(ContinuousStatsTable[GroupByKey]=ContinuousStatsTable[[#This Row],[GroupByKey]])*ContinuousStatsTable[Average]))</f>
        <v>3</v>
      </c>
      <c r="T499" cm="1">
        <f t="array" ref="T499">MAX(IF((ContinuousStatsTable[GroupByKey]=ContinuousStatsTable[[#This Row],[GroupByKey]]),(ContinuousStatsTable[GroupByKey]=ContinuousStatsTable[[#This Row],[GroupByKey]])*ContinuousStatsTable[Average]))</f>
        <v>3</v>
      </c>
      <c r="U499">
        <f>IF((ContinuousStatsTable[[#This Row],[RepsRequested]]&gt;1),ContinuousStatsTable[[#This Row],[HalfWidth]],ContinuousStatsTable[[#This Row],[BatchMeansHalfWidth]])</f>
        <v>0</v>
      </c>
    </row>
    <row r="500" spans="1:21" x14ac:dyDescent="0.25">
      <c r="A500" t="s">
        <v>68</v>
      </c>
      <c r="B500" t="s">
        <v>131</v>
      </c>
      <c r="C500">
        <v>42</v>
      </c>
      <c r="D500" t="s">
        <v>102</v>
      </c>
      <c r="E500" t="s">
        <v>98</v>
      </c>
      <c r="F500" t="s">
        <v>99</v>
      </c>
      <c r="G500">
        <v>0.81043124649959397</v>
      </c>
      <c r="H500">
        <v>4.1039119418327399E-2</v>
      </c>
      <c r="I500">
        <v>0</v>
      </c>
      <c r="J500">
        <v>1</v>
      </c>
      <c r="K500">
        <v>1</v>
      </c>
      <c r="L500">
        <v>0</v>
      </c>
      <c r="M500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500" cm="1">
        <f t="array" ref="N500">MAX(IF((ProjectInfoTable[ProjectName]=ContinuousStatsTable[[#This Row],[ProjectName]]),(ProjectInfoTable[ProjectName]=ContinuousStatsTable[[#This Row],[ProjectName]])*ProjectInfoTable[NumberOfReplications]))</f>
        <v>50</v>
      </c>
      <c r="O500" cm="1">
        <f t="array" ref="O500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500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500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500" cm="1">
        <f t="array" ref="S500">MIN(IF((ContinuousStatsTable[GroupByKey]=ContinuousStatsTable[[#This Row],[GroupByKey]]),(ContinuousStatsTable[GroupByKey]=ContinuousStatsTable[[#This Row],[GroupByKey]])*ContinuousStatsTable[Average]))</f>
        <v>0.78705962766536897</v>
      </c>
      <c r="T500" cm="1">
        <f t="array" ref="T500">MAX(IF((ContinuousStatsTable[GroupByKey]=ContinuousStatsTable[[#This Row],[GroupByKey]]),(ContinuousStatsTable[GroupByKey]=ContinuousStatsTable[[#This Row],[GroupByKey]])*ContinuousStatsTable[Average]))</f>
        <v>0.85508719449138504</v>
      </c>
      <c r="U500">
        <f>IF((ContinuousStatsTable[[#This Row],[RepsRequested]]&gt;1),ContinuousStatsTable[[#This Row],[HalfWidth]],ContinuousStatsTable[[#This Row],[BatchMeansHalfWidth]])</f>
        <v>4.3572365636542886E-3</v>
      </c>
    </row>
    <row r="501" spans="1:21" x14ac:dyDescent="0.25">
      <c r="A501" t="s">
        <v>68</v>
      </c>
      <c r="B501" t="s">
        <v>131</v>
      </c>
      <c r="C501">
        <v>42</v>
      </c>
      <c r="D501" t="s">
        <v>102</v>
      </c>
      <c r="E501" t="s">
        <v>100</v>
      </c>
      <c r="F501" t="s">
        <v>99</v>
      </c>
      <c r="G501">
        <v>1.6208624929991899</v>
      </c>
      <c r="H501">
        <v>8.2078238836654896E-2</v>
      </c>
      <c r="I501">
        <v>0</v>
      </c>
      <c r="J501">
        <v>2</v>
      </c>
      <c r="K501">
        <v>2</v>
      </c>
      <c r="L501">
        <v>0</v>
      </c>
      <c r="M501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501" cm="1">
        <f t="array" ref="N501">MAX(IF((ProjectInfoTable[ProjectName]=ContinuousStatsTable[[#This Row],[ProjectName]]),(ProjectInfoTable[ProjectName]=ContinuousStatsTable[[#This Row],[ProjectName]])*ProjectInfoTable[NumberOfReplications]))</f>
        <v>50</v>
      </c>
      <c r="O501" cm="1">
        <f t="array" ref="O501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01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01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01" cm="1">
        <f t="array" ref="S501">MIN(IF((ContinuousStatsTable[GroupByKey]=ContinuousStatsTable[[#This Row],[GroupByKey]]),(ContinuousStatsTable[GroupByKey]=ContinuousStatsTable[[#This Row],[GroupByKey]])*ContinuousStatsTable[Average]))</f>
        <v>1.5741192553307399</v>
      </c>
      <c r="T501" cm="1">
        <f t="array" ref="T501">MAX(IF((ContinuousStatsTable[GroupByKey]=ContinuousStatsTable[[#This Row],[GroupByKey]]),(ContinuousStatsTable[GroupByKey]=ContinuousStatsTable[[#This Row],[GroupByKey]])*ContinuousStatsTable[Average]))</f>
        <v>1.7101743889827701</v>
      </c>
      <c r="U501">
        <f>IF((ContinuousStatsTable[[#This Row],[RepsRequested]]&gt;1),ContinuousStatsTable[[#This Row],[HalfWidth]],ContinuousStatsTable[[#This Row],[BatchMeansHalfWidth]])</f>
        <v>8.7144731273084922E-3</v>
      </c>
    </row>
    <row r="502" spans="1:21" x14ac:dyDescent="0.25">
      <c r="A502" t="s">
        <v>68</v>
      </c>
      <c r="B502" t="s">
        <v>131</v>
      </c>
      <c r="C502">
        <v>42</v>
      </c>
      <c r="D502" t="s">
        <v>102</v>
      </c>
      <c r="E502" t="s">
        <v>101</v>
      </c>
      <c r="F502" t="s">
        <v>99</v>
      </c>
      <c r="G502">
        <v>2</v>
      </c>
      <c r="H502">
        <v>2E+20</v>
      </c>
      <c r="I502">
        <v>2</v>
      </c>
      <c r="J502">
        <v>2</v>
      </c>
      <c r="K502">
        <v>2</v>
      </c>
      <c r="L502">
        <v>0</v>
      </c>
      <c r="M502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502" cm="1">
        <f t="array" ref="N502">MAX(IF((ProjectInfoTable[ProjectName]=ContinuousStatsTable[[#This Row],[ProjectName]]),(ProjectInfoTable[ProjectName]=ContinuousStatsTable[[#This Row],[ProjectName]])*ProjectInfoTable[NumberOfReplications]))</f>
        <v>50</v>
      </c>
      <c r="O502" cm="1">
        <f t="array" ref="O502">IFERROR(AVERAGE(IF((ContinuousStatsTable[GroupByKey]=ContinuousStatsTable[[#This Row],[GroupByKey]]),(ContinuousStatsTable[GroupByKey]=ContinuousStatsTable[[#This Row],[GroupByKey]])*ContinuousStatsTable[Average])),0)</f>
        <v>2</v>
      </c>
      <c r="P502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0</v>
      </c>
      <c r="Q502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2" cm="1">
        <f t="array" ref="S502">MIN(IF((ContinuousStatsTable[GroupByKey]=ContinuousStatsTable[[#This Row],[GroupByKey]]),(ContinuousStatsTable[GroupByKey]=ContinuousStatsTable[[#This Row],[GroupByKey]])*ContinuousStatsTable[Average]))</f>
        <v>2</v>
      </c>
      <c r="T502" cm="1">
        <f t="array" ref="T502">MAX(IF((ContinuousStatsTable[GroupByKey]=ContinuousStatsTable[[#This Row],[GroupByKey]]),(ContinuousStatsTable[GroupByKey]=ContinuousStatsTable[[#This Row],[GroupByKey]])*ContinuousStatsTable[Average]))</f>
        <v>2</v>
      </c>
      <c r="U502">
        <f>IF((ContinuousStatsTable[[#This Row],[RepsRequested]]&gt;1),ContinuousStatsTable[[#This Row],[HalfWidth]],ContinuousStatsTable[[#This Row],[BatchMeansHalfWidth]])</f>
        <v>0</v>
      </c>
    </row>
    <row r="503" spans="1:21" x14ac:dyDescent="0.25">
      <c r="A503" t="s">
        <v>68</v>
      </c>
      <c r="B503" t="s">
        <v>131</v>
      </c>
      <c r="C503">
        <v>42</v>
      </c>
      <c r="D503" t="s">
        <v>103</v>
      </c>
      <c r="E503" t="s">
        <v>98</v>
      </c>
      <c r="F503" t="s">
        <v>99</v>
      </c>
      <c r="G503">
        <v>0.47596039236453802</v>
      </c>
      <c r="H503">
        <v>2.30243985429643E-2</v>
      </c>
      <c r="I503">
        <v>0</v>
      </c>
      <c r="J503">
        <v>1</v>
      </c>
      <c r="K503">
        <v>1</v>
      </c>
      <c r="L503">
        <v>0</v>
      </c>
      <c r="M503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503" cm="1">
        <f t="array" ref="N503">MAX(IF((ProjectInfoTable[ProjectName]=ContinuousStatsTable[[#This Row],[ProjectName]]),(ProjectInfoTable[ProjectName]=ContinuousStatsTable[[#This Row],[ProjectName]])*ProjectInfoTable[NumberOfReplications]))</f>
        <v>50</v>
      </c>
      <c r="O503" cm="1">
        <f t="array" ref="O503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03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03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03" cm="1">
        <f t="array" ref="S503">MIN(IF((ContinuousStatsTable[GroupByKey]=ContinuousStatsTable[[#This Row],[GroupByKey]]),(ContinuousStatsTable[GroupByKey]=ContinuousStatsTable[[#This Row],[GroupByKey]])*ContinuousStatsTable[Average]))</f>
        <v>0.452397944183905</v>
      </c>
      <c r="T503" cm="1">
        <f t="array" ref="T503">MAX(IF((ContinuousStatsTable[GroupByKey]=ContinuousStatsTable[[#This Row],[GroupByKey]]),(ContinuousStatsTable[GroupByKey]=ContinuousStatsTable[[#This Row],[GroupByKey]])*ContinuousStatsTable[Average]))</f>
        <v>0.49691123629694001</v>
      </c>
      <c r="U503">
        <f>IF((ContinuousStatsTable[[#This Row],[RepsRequested]]&gt;1),ContinuousStatsTable[[#This Row],[HalfWidth]],ContinuousStatsTable[[#This Row],[BatchMeansHalfWidth]])</f>
        <v>2.7457743728226142E-3</v>
      </c>
    </row>
    <row r="504" spans="1:21" x14ac:dyDescent="0.25">
      <c r="A504" t="s">
        <v>68</v>
      </c>
      <c r="B504" t="s">
        <v>131</v>
      </c>
      <c r="C504">
        <v>42</v>
      </c>
      <c r="D504" t="s">
        <v>103</v>
      </c>
      <c r="E504" t="s">
        <v>100</v>
      </c>
      <c r="F504" t="s">
        <v>99</v>
      </c>
      <c r="G504">
        <v>0.47596039236453802</v>
      </c>
      <c r="H504">
        <v>2.30243985429643E-2</v>
      </c>
      <c r="I504">
        <v>0</v>
      </c>
      <c r="J504">
        <v>1</v>
      </c>
      <c r="K504">
        <v>1</v>
      </c>
      <c r="L504">
        <v>0</v>
      </c>
      <c r="M504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504" cm="1">
        <f t="array" ref="N504">MAX(IF((ProjectInfoTable[ProjectName]=ContinuousStatsTable[[#This Row],[ProjectName]]),(ProjectInfoTable[ProjectName]=ContinuousStatsTable[[#This Row],[ProjectName]])*ProjectInfoTable[NumberOfReplications]))</f>
        <v>50</v>
      </c>
      <c r="O504" cm="1">
        <f t="array" ref="O504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04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04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04" cm="1">
        <f t="array" ref="S504">MIN(IF((ContinuousStatsTable[GroupByKey]=ContinuousStatsTable[[#This Row],[GroupByKey]]),(ContinuousStatsTable[GroupByKey]=ContinuousStatsTable[[#This Row],[GroupByKey]])*ContinuousStatsTable[Average]))</f>
        <v>0.452397944183905</v>
      </c>
      <c r="T504" cm="1">
        <f t="array" ref="T504">MAX(IF((ContinuousStatsTable[GroupByKey]=ContinuousStatsTable[[#This Row],[GroupByKey]]),(ContinuousStatsTable[GroupByKey]=ContinuousStatsTable[[#This Row],[GroupByKey]])*ContinuousStatsTable[Average]))</f>
        <v>0.49691123629694001</v>
      </c>
      <c r="U504">
        <f>IF((ContinuousStatsTable[[#This Row],[RepsRequested]]&gt;1),ContinuousStatsTable[[#This Row],[HalfWidth]],ContinuousStatsTable[[#This Row],[BatchMeansHalfWidth]])</f>
        <v>2.7457743728226142E-3</v>
      </c>
    </row>
    <row r="505" spans="1:21" x14ac:dyDescent="0.25">
      <c r="A505" t="s">
        <v>68</v>
      </c>
      <c r="B505" t="s">
        <v>131</v>
      </c>
      <c r="C505">
        <v>42</v>
      </c>
      <c r="D505" t="s">
        <v>103</v>
      </c>
      <c r="E505" t="s">
        <v>101</v>
      </c>
      <c r="F505" t="s">
        <v>99</v>
      </c>
      <c r="G505">
        <v>1</v>
      </c>
      <c r="H505">
        <v>2E+20</v>
      </c>
      <c r="I505">
        <v>1</v>
      </c>
      <c r="J505">
        <v>1</v>
      </c>
      <c r="K505">
        <v>1</v>
      </c>
      <c r="L505">
        <v>0</v>
      </c>
      <c r="M505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505" cm="1">
        <f t="array" ref="N505">MAX(IF((ProjectInfoTable[ProjectName]=ContinuousStatsTable[[#This Row],[ProjectName]]),(ProjectInfoTable[ProjectName]=ContinuousStatsTable[[#This Row],[ProjectName]])*ProjectInfoTable[NumberOfReplications]))</f>
        <v>50</v>
      </c>
      <c r="O505" cm="1">
        <f t="array" ref="O505">IFERROR(AVERAGE(IF((ContinuousStatsTable[GroupByKey]=ContinuousStatsTable[[#This Row],[GroupByKey]]),(ContinuousStatsTable[GroupByKey]=ContinuousStatsTable[[#This Row],[GroupByKey]])*ContinuousStatsTable[Average])),0)</f>
        <v>1</v>
      </c>
      <c r="P50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</v>
      </c>
      <c r="Q50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5" cm="1">
        <f t="array" ref="S505">MIN(IF((ContinuousStatsTable[GroupByKey]=ContinuousStatsTable[[#This Row],[GroupByKey]]),(ContinuousStatsTable[GroupByKey]=ContinuousStatsTable[[#This Row],[GroupByKey]])*ContinuousStatsTable[Average]))</f>
        <v>1</v>
      </c>
      <c r="T505" cm="1">
        <f t="array" ref="T505">MAX(IF((ContinuousStatsTable[GroupByKey]=ContinuousStatsTable[[#This Row],[GroupByKey]]),(ContinuousStatsTable[GroupByKey]=ContinuousStatsTable[[#This Row],[GroupByKey]])*ContinuousStatsTable[Average]))</f>
        <v>1</v>
      </c>
      <c r="U505">
        <f>IF((ContinuousStatsTable[[#This Row],[RepsRequested]]&gt;1),ContinuousStatsTable[[#This Row],[HalfWidth]],ContinuousStatsTable[[#This Row],[BatchMeansHalfWidth]])</f>
        <v>0</v>
      </c>
    </row>
    <row r="506" spans="1:21" x14ac:dyDescent="0.25">
      <c r="A506" t="s">
        <v>68</v>
      </c>
      <c r="B506" t="s">
        <v>131</v>
      </c>
      <c r="C506">
        <v>43</v>
      </c>
      <c r="D506" t="s">
        <v>70</v>
      </c>
      <c r="E506" t="s">
        <v>95</v>
      </c>
      <c r="F506" t="s">
        <v>72</v>
      </c>
      <c r="G506">
        <v>4.6289406023235102</v>
      </c>
      <c r="H506">
        <v>0.79665196335775901</v>
      </c>
      <c r="I506">
        <v>0</v>
      </c>
      <c r="J506">
        <v>19</v>
      </c>
      <c r="K506">
        <v>0</v>
      </c>
      <c r="L506">
        <v>0</v>
      </c>
      <c r="M506" t="str">
        <f>ContinuousStatsTable[[#This Row],[ProjectName]]&amp;ContinuousStatsTable[[#This Row],[Name]]&amp;ContinuousStatsTable[[#This Row],[Type]]&amp;ContinuousStatsTable[[#This Row],[Source]]</f>
        <v>PacientesEntity 1WIPEntity</v>
      </c>
      <c r="N506" cm="1">
        <f t="array" ref="N506">MAX(IF((ProjectInfoTable[ProjectName]=ContinuousStatsTable[[#This Row],[ProjectName]]),(ProjectInfoTable[ProjectName]=ContinuousStatsTable[[#This Row],[ProjectName]])*ProjectInfoTable[NumberOfReplications]))</f>
        <v>50</v>
      </c>
      <c r="O506" cm="1">
        <f t="array" ref="O506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506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506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506" cm="1">
        <f t="array" ref="S506">MIN(IF((ContinuousStatsTable[GroupByKey]=ContinuousStatsTable[[#This Row],[GroupByKey]]),(ContinuousStatsTable[GroupByKey]=ContinuousStatsTable[[#This Row],[GroupByKey]])*ContinuousStatsTable[Average]))</f>
        <v>3.9757448048151298</v>
      </c>
      <c r="T506" cm="1">
        <f t="array" ref="T506">MAX(IF((ContinuousStatsTable[GroupByKey]=ContinuousStatsTable[[#This Row],[GroupByKey]]),(ContinuousStatsTable[GroupByKey]=ContinuousStatsTable[[#This Row],[GroupByKey]])*ContinuousStatsTable[Average]))</f>
        <v>6.9386840633215803</v>
      </c>
      <c r="U506">
        <f>IF((ContinuousStatsTable[[#This Row],[RepsRequested]]&gt;1),ContinuousStatsTable[[#This Row],[HalfWidth]],ContinuousStatsTable[[#This Row],[BatchMeansHalfWidth]])</f>
        <v>0.22030607219171747</v>
      </c>
    </row>
    <row r="507" spans="1:21" x14ac:dyDescent="0.25">
      <c r="A507" t="s">
        <v>68</v>
      </c>
      <c r="B507" t="s">
        <v>131</v>
      </c>
      <c r="C507">
        <v>43</v>
      </c>
      <c r="D507" t="s">
        <v>83</v>
      </c>
      <c r="E507" t="s">
        <v>96</v>
      </c>
      <c r="F507" t="s">
        <v>85</v>
      </c>
      <c r="G507">
        <v>2.3567875443218198</v>
      </c>
      <c r="H507">
        <v>0.70903331167983996</v>
      </c>
      <c r="I507">
        <v>0</v>
      </c>
      <c r="J507">
        <v>16</v>
      </c>
      <c r="K507">
        <v>0</v>
      </c>
      <c r="L507">
        <v>0</v>
      </c>
      <c r="M507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507" cm="1">
        <f t="array" ref="N507">MAX(IF((ProjectInfoTable[ProjectName]=ContinuousStatsTable[[#This Row],[ProjectName]]),(ProjectInfoTable[ProjectName]=ContinuousStatsTable[[#This Row],[ProjectName]])*ProjectInfoTable[NumberOfReplications]))</f>
        <v>50</v>
      </c>
      <c r="O507" cm="1">
        <f t="array" ref="O507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507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507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507" cm="1">
        <f t="array" ref="S507">MIN(IF((ContinuousStatsTable[GroupByKey]=ContinuousStatsTable[[#This Row],[GroupByKey]]),(ContinuousStatsTable[GroupByKey]=ContinuousStatsTable[[#This Row],[GroupByKey]])*ContinuousStatsTable[Average]))</f>
        <v>1.7200278735122601</v>
      </c>
      <c r="T507" cm="1">
        <f t="array" ref="T507">MAX(IF((ContinuousStatsTable[GroupByKey]=ContinuousStatsTable[[#This Row],[GroupByKey]]),(ContinuousStatsTable[GroupByKey]=ContinuousStatsTable[[#This Row],[GroupByKey]])*ContinuousStatsTable[Average]))</f>
        <v>4.5543512780988502</v>
      </c>
      <c r="U507">
        <f>IF((ContinuousStatsTable[[#This Row],[RepsRequested]]&gt;1),ContinuousStatsTable[[#This Row],[HalfWidth]],ContinuousStatsTable[[#This Row],[BatchMeansHalfWidth]])</f>
        <v>0.21041231434540877</v>
      </c>
    </row>
    <row r="508" spans="1:21" x14ac:dyDescent="0.25">
      <c r="A508" t="s">
        <v>68</v>
      </c>
      <c r="B508" t="s">
        <v>131</v>
      </c>
      <c r="C508">
        <v>43</v>
      </c>
      <c r="D508" t="s">
        <v>87</v>
      </c>
      <c r="E508" t="s">
        <v>96</v>
      </c>
      <c r="F508" t="s">
        <v>85</v>
      </c>
      <c r="G508">
        <v>0.19516406518689899</v>
      </c>
      <c r="H508">
        <v>3.07073149270469E-2</v>
      </c>
      <c r="I508">
        <v>0</v>
      </c>
      <c r="J508">
        <v>5</v>
      </c>
      <c r="K508">
        <v>0</v>
      </c>
      <c r="L508">
        <v>0</v>
      </c>
      <c r="M508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508" cm="1">
        <f t="array" ref="N508">MAX(IF((ProjectInfoTable[ProjectName]=ContinuousStatsTable[[#This Row],[ProjectName]]),(ProjectInfoTable[ProjectName]=ContinuousStatsTable[[#This Row],[ProjectName]])*ProjectInfoTable[NumberOfReplications]))</f>
        <v>50</v>
      </c>
      <c r="O508" cm="1">
        <f t="array" ref="O508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508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508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508" cm="1">
        <f t="array" ref="S508">MIN(IF((ContinuousStatsTable[GroupByKey]=ContinuousStatsTable[[#This Row],[GroupByKey]]),(ContinuousStatsTable[GroupByKey]=ContinuousStatsTable[[#This Row],[GroupByKey]])*ContinuousStatsTable[Average]))</f>
        <v>0.172815232766103</v>
      </c>
      <c r="T508" cm="1">
        <f t="array" ref="T508">MAX(IF((ContinuousStatsTable[GroupByKey]=ContinuousStatsTable[[#This Row],[GroupByKey]]),(ContinuousStatsTable[GroupByKey]=ContinuousStatsTable[[#This Row],[GroupByKey]])*ContinuousStatsTable[Average]))</f>
        <v>0.24783514900621301</v>
      </c>
      <c r="U508">
        <f>IF((ContinuousStatsTable[[#This Row],[RepsRequested]]&gt;1),ContinuousStatsTable[[#This Row],[HalfWidth]],ContinuousStatsTable[[#This Row],[BatchMeansHalfWidth]])</f>
        <v>4.7768909384897544E-3</v>
      </c>
    </row>
    <row r="509" spans="1:21" x14ac:dyDescent="0.25">
      <c r="A509" t="s">
        <v>68</v>
      </c>
      <c r="B509" t="s">
        <v>131</v>
      </c>
      <c r="C509">
        <v>43</v>
      </c>
      <c r="D509" t="s">
        <v>97</v>
      </c>
      <c r="E509" t="s">
        <v>98</v>
      </c>
      <c r="F509" t="s">
        <v>99</v>
      </c>
      <c r="G509">
        <v>0.53735480289380999</v>
      </c>
      <c r="H509">
        <v>2.4701378823153399E-2</v>
      </c>
      <c r="I509">
        <v>0</v>
      </c>
      <c r="J509">
        <v>0.66666666666666696</v>
      </c>
      <c r="K509">
        <v>0</v>
      </c>
      <c r="L509">
        <v>0</v>
      </c>
      <c r="M509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509" cm="1">
        <f t="array" ref="N509">MAX(IF((ProjectInfoTable[ProjectName]=ContinuousStatsTable[[#This Row],[ProjectName]]),(ProjectInfoTable[ProjectName]=ContinuousStatsTable[[#This Row],[ProjectName]])*ProjectInfoTable[NumberOfReplications]))</f>
        <v>50</v>
      </c>
      <c r="O509" cm="1">
        <f t="array" ref="O509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509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509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509" cm="1">
        <f t="array" ref="S509">MIN(IF((ContinuousStatsTable[GroupByKey]=ContinuousStatsTable[[#This Row],[GroupByKey]]),(ContinuousStatsTable[GroupByKey]=ContinuousStatsTable[[#This Row],[GroupByKey]])*ContinuousStatsTable[Average]))</f>
        <v>0.52470641844357602</v>
      </c>
      <c r="T509" cm="1">
        <f t="array" ref="T509">MAX(IF((ContinuousStatsTable[GroupByKey]=ContinuousStatsTable[[#This Row],[GroupByKey]]),(ContinuousStatsTable[GroupByKey]=ContinuousStatsTable[[#This Row],[GroupByKey]])*ContinuousStatsTable[Average]))</f>
        <v>0.57005812966092095</v>
      </c>
      <c r="U509">
        <f>IF((ContinuousStatsTable[[#This Row],[RepsRequested]]&gt;1),ContinuousStatsTable[[#This Row],[HalfWidth]],ContinuousStatsTable[[#This Row],[BatchMeansHalfWidth]])</f>
        <v>2.9048243757695521E-3</v>
      </c>
    </row>
    <row r="510" spans="1:21" x14ac:dyDescent="0.25">
      <c r="A510" t="s">
        <v>68</v>
      </c>
      <c r="B510" t="s">
        <v>131</v>
      </c>
      <c r="C510">
        <v>43</v>
      </c>
      <c r="D510" t="s">
        <v>97</v>
      </c>
      <c r="E510" t="s">
        <v>100</v>
      </c>
      <c r="F510" t="s">
        <v>99</v>
      </c>
      <c r="G510">
        <v>1.61206440868143</v>
      </c>
      <c r="H510">
        <v>7.4104136469460194E-2</v>
      </c>
      <c r="I510">
        <v>0</v>
      </c>
      <c r="J510">
        <v>2</v>
      </c>
      <c r="K510">
        <v>0</v>
      </c>
      <c r="L510">
        <v>0</v>
      </c>
      <c r="M510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510" cm="1">
        <f t="array" ref="N510">MAX(IF((ProjectInfoTable[ProjectName]=ContinuousStatsTable[[#This Row],[ProjectName]]),(ProjectInfoTable[ProjectName]=ContinuousStatsTable[[#This Row],[ProjectName]])*ProjectInfoTable[NumberOfReplications]))</f>
        <v>50</v>
      </c>
      <c r="O510" cm="1">
        <f t="array" ref="O510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10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10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10" cm="1">
        <f t="array" ref="S510">MIN(IF((ContinuousStatsTable[GroupByKey]=ContinuousStatsTable[[#This Row],[GroupByKey]]),(ContinuousStatsTable[GroupByKey]=ContinuousStatsTable[[#This Row],[GroupByKey]])*ContinuousStatsTable[Average]))</f>
        <v>1.5741192553307399</v>
      </c>
      <c r="T510" cm="1">
        <f t="array" ref="T510">MAX(IF((ContinuousStatsTable[GroupByKey]=ContinuousStatsTable[[#This Row],[GroupByKey]]),(ContinuousStatsTable[GroupByKey]=ContinuousStatsTable[[#This Row],[GroupByKey]])*ContinuousStatsTable[Average]))</f>
        <v>1.7101743889827701</v>
      </c>
      <c r="U510">
        <f>IF((ContinuousStatsTable[[#This Row],[RepsRequested]]&gt;1),ContinuousStatsTable[[#This Row],[HalfWidth]],ContinuousStatsTable[[#This Row],[BatchMeansHalfWidth]])</f>
        <v>8.7144731273084922E-3</v>
      </c>
    </row>
    <row r="511" spans="1:21" x14ac:dyDescent="0.25">
      <c r="A511" t="s">
        <v>68</v>
      </c>
      <c r="B511" t="s">
        <v>131</v>
      </c>
      <c r="C511">
        <v>43</v>
      </c>
      <c r="D511" t="s">
        <v>97</v>
      </c>
      <c r="E511" t="s">
        <v>101</v>
      </c>
      <c r="F511" t="s">
        <v>99</v>
      </c>
      <c r="G511">
        <v>3</v>
      </c>
      <c r="H511">
        <v>2E+20</v>
      </c>
      <c r="I511">
        <v>3</v>
      </c>
      <c r="J511">
        <v>3</v>
      </c>
      <c r="K511">
        <v>3</v>
      </c>
      <c r="L511">
        <v>0</v>
      </c>
      <c r="M511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511" cm="1">
        <f t="array" ref="N511">MAX(IF((ProjectInfoTable[ProjectName]=ContinuousStatsTable[[#This Row],[ProjectName]]),(ProjectInfoTable[ProjectName]=ContinuousStatsTable[[#This Row],[ProjectName]])*ProjectInfoTable[NumberOfReplications]))</f>
        <v>50</v>
      </c>
      <c r="O511" cm="1">
        <f t="array" ref="O511">IFERROR(AVERAGE(IF((ContinuousStatsTable[GroupByKey]=ContinuousStatsTable[[#This Row],[GroupByKey]]),(ContinuousStatsTable[GroupByKey]=ContinuousStatsTable[[#This Row],[GroupByKey]])*ContinuousStatsTable[Average])),0)</f>
        <v>3</v>
      </c>
      <c r="P511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</v>
      </c>
      <c r="Q511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1" cm="1">
        <f t="array" ref="S511">MIN(IF((ContinuousStatsTable[GroupByKey]=ContinuousStatsTable[[#This Row],[GroupByKey]]),(ContinuousStatsTable[GroupByKey]=ContinuousStatsTable[[#This Row],[GroupByKey]])*ContinuousStatsTable[Average]))</f>
        <v>3</v>
      </c>
      <c r="T511" cm="1">
        <f t="array" ref="T511">MAX(IF((ContinuousStatsTable[GroupByKey]=ContinuousStatsTable[[#This Row],[GroupByKey]]),(ContinuousStatsTable[GroupByKey]=ContinuousStatsTable[[#This Row],[GroupByKey]])*ContinuousStatsTable[Average]))</f>
        <v>3</v>
      </c>
      <c r="U511">
        <f>IF((ContinuousStatsTable[[#This Row],[RepsRequested]]&gt;1),ContinuousStatsTable[[#This Row],[HalfWidth]],ContinuousStatsTable[[#This Row],[BatchMeansHalfWidth]])</f>
        <v>0</v>
      </c>
    </row>
    <row r="512" spans="1:21" x14ac:dyDescent="0.25">
      <c r="A512" t="s">
        <v>68</v>
      </c>
      <c r="B512" t="s">
        <v>131</v>
      </c>
      <c r="C512">
        <v>43</v>
      </c>
      <c r="D512" t="s">
        <v>102</v>
      </c>
      <c r="E512" t="s">
        <v>98</v>
      </c>
      <c r="F512" t="s">
        <v>99</v>
      </c>
      <c r="G512">
        <v>0.80603220434071399</v>
      </c>
      <c r="H512">
        <v>3.7052068234730097E-2</v>
      </c>
      <c r="I512">
        <v>0</v>
      </c>
      <c r="J512">
        <v>1</v>
      </c>
      <c r="K512">
        <v>0</v>
      </c>
      <c r="L512">
        <v>0</v>
      </c>
      <c r="M512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512" cm="1">
        <f t="array" ref="N512">MAX(IF((ProjectInfoTable[ProjectName]=ContinuousStatsTable[[#This Row],[ProjectName]]),(ProjectInfoTable[ProjectName]=ContinuousStatsTable[[#This Row],[ProjectName]])*ProjectInfoTable[NumberOfReplications]))</f>
        <v>50</v>
      </c>
      <c r="O512" cm="1">
        <f t="array" ref="O512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512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512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512" cm="1">
        <f t="array" ref="S512">MIN(IF((ContinuousStatsTable[GroupByKey]=ContinuousStatsTable[[#This Row],[GroupByKey]]),(ContinuousStatsTable[GroupByKey]=ContinuousStatsTable[[#This Row],[GroupByKey]])*ContinuousStatsTable[Average]))</f>
        <v>0.78705962766536897</v>
      </c>
      <c r="T512" cm="1">
        <f t="array" ref="T512">MAX(IF((ContinuousStatsTable[GroupByKey]=ContinuousStatsTable[[#This Row],[GroupByKey]]),(ContinuousStatsTable[GroupByKey]=ContinuousStatsTable[[#This Row],[GroupByKey]])*ContinuousStatsTable[Average]))</f>
        <v>0.85508719449138504</v>
      </c>
      <c r="U512">
        <f>IF((ContinuousStatsTable[[#This Row],[RepsRequested]]&gt;1),ContinuousStatsTable[[#This Row],[HalfWidth]],ContinuousStatsTable[[#This Row],[BatchMeansHalfWidth]])</f>
        <v>4.3572365636542886E-3</v>
      </c>
    </row>
    <row r="513" spans="1:21" x14ac:dyDescent="0.25">
      <c r="A513" t="s">
        <v>68</v>
      </c>
      <c r="B513" t="s">
        <v>131</v>
      </c>
      <c r="C513">
        <v>43</v>
      </c>
      <c r="D513" t="s">
        <v>102</v>
      </c>
      <c r="E513" t="s">
        <v>100</v>
      </c>
      <c r="F513" t="s">
        <v>99</v>
      </c>
      <c r="G513">
        <v>1.61206440868143</v>
      </c>
      <c r="H513">
        <v>7.4104136469460194E-2</v>
      </c>
      <c r="I513">
        <v>0</v>
      </c>
      <c r="J513">
        <v>2</v>
      </c>
      <c r="K513">
        <v>0</v>
      </c>
      <c r="L513">
        <v>0</v>
      </c>
      <c r="M513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513" cm="1">
        <f t="array" ref="N513">MAX(IF((ProjectInfoTable[ProjectName]=ContinuousStatsTable[[#This Row],[ProjectName]]),(ProjectInfoTable[ProjectName]=ContinuousStatsTable[[#This Row],[ProjectName]])*ProjectInfoTable[NumberOfReplications]))</f>
        <v>50</v>
      </c>
      <c r="O513" cm="1">
        <f t="array" ref="O513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13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13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13" cm="1">
        <f t="array" ref="S513">MIN(IF((ContinuousStatsTable[GroupByKey]=ContinuousStatsTable[[#This Row],[GroupByKey]]),(ContinuousStatsTable[GroupByKey]=ContinuousStatsTable[[#This Row],[GroupByKey]])*ContinuousStatsTable[Average]))</f>
        <v>1.5741192553307399</v>
      </c>
      <c r="T513" cm="1">
        <f t="array" ref="T513">MAX(IF((ContinuousStatsTable[GroupByKey]=ContinuousStatsTable[[#This Row],[GroupByKey]]),(ContinuousStatsTable[GroupByKey]=ContinuousStatsTable[[#This Row],[GroupByKey]])*ContinuousStatsTable[Average]))</f>
        <v>1.7101743889827701</v>
      </c>
      <c r="U513">
        <f>IF((ContinuousStatsTable[[#This Row],[RepsRequested]]&gt;1),ContinuousStatsTable[[#This Row],[HalfWidth]],ContinuousStatsTable[[#This Row],[BatchMeansHalfWidth]])</f>
        <v>8.7144731273084922E-3</v>
      </c>
    </row>
    <row r="514" spans="1:21" x14ac:dyDescent="0.25">
      <c r="A514" t="s">
        <v>68</v>
      </c>
      <c r="B514" t="s">
        <v>131</v>
      </c>
      <c r="C514">
        <v>43</v>
      </c>
      <c r="D514" t="s">
        <v>102</v>
      </c>
      <c r="E514" t="s">
        <v>101</v>
      </c>
      <c r="F514" t="s">
        <v>99</v>
      </c>
      <c r="G514">
        <v>2</v>
      </c>
      <c r="H514">
        <v>2E+20</v>
      </c>
      <c r="I514">
        <v>2</v>
      </c>
      <c r="J514">
        <v>2</v>
      </c>
      <c r="K514">
        <v>2</v>
      </c>
      <c r="L514">
        <v>0</v>
      </c>
      <c r="M514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514" cm="1">
        <f t="array" ref="N514">MAX(IF((ProjectInfoTable[ProjectName]=ContinuousStatsTable[[#This Row],[ProjectName]]),(ProjectInfoTable[ProjectName]=ContinuousStatsTable[[#This Row],[ProjectName]])*ProjectInfoTable[NumberOfReplications]))</f>
        <v>50</v>
      </c>
      <c r="O514" cm="1">
        <f t="array" ref="O514">IFERROR(AVERAGE(IF((ContinuousStatsTable[GroupByKey]=ContinuousStatsTable[[#This Row],[GroupByKey]]),(ContinuousStatsTable[GroupByKey]=ContinuousStatsTable[[#This Row],[GroupByKey]])*ContinuousStatsTable[Average])),0)</f>
        <v>2</v>
      </c>
      <c r="P514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cm="1">
        <f t="array" ref="S514">MIN(IF((ContinuousStatsTable[GroupByKey]=ContinuousStatsTable[[#This Row],[GroupByKey]]),(ContinuousStatsTable[GroupByKey]=ContinuousStatsTable[[#This Row],[GroupByKey]])*ContinuousStatsTable[Average]))</f>
        <v>2</v>
      </c>
      <c r="T514" cm="1">
        <f t="array" ref="T514">MAX(IF((ContinuousStatsTable[GroupByKey]=ContinuousStatsTable[[#This Row],[GroupByKey]]),(ContinuousStatsTable[GroupByKey]=ContinuousStatsTable[[#This Row],[GroupByKey]])*ContinuousStatsTable[Average]))</f>
        <v>2</v>
      </c>
      <c r="U514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68</v>
      </c>
      <c r="B515" t="s">
        <v>131</v>
      </c>
      <c r="C515">
        <v>43</v>
      </c>
      <c r="D515" t="s">
        <v>103</v>
      </c>
      <c r="E515" t="s">
        <v>98</v>
      </c>
      <c r="F515" t="s">
        <v>99</v>
      </c>
      <c r="G515">
        <v>0.46492458413333898</v>
      </c>
      <c r="H515">
        <v>2.32781975647279E-2</v>
      </c>
      <c r="I515">
        <v>0</v>
      </c>
      <c r="J515">
        <v>1</v>
      </c>
      <c r="K515">
        <v>0</v>
      </c>
      <c r="L515">
        <v>0</v>
      </c>
      <c r="M515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515" cm="1">
        <f t="array" ref="N515">MAX(IF((ProjectInfoTable[ProjectName]=ContinuousStatsTable[[#This Row],[ProjectName]]),(ProjectInfoTable[ProjectName]=ContinuousStatsTable[[#This Row],[ProjectName]])*ProjectInfoTable[NumberOfReplications]))</f>
        <v>50</v>
      </c>
      <c r="O515" cm="1">
        <f t="array" ref="O515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1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1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15" cm="1">
        <f t="array" ref="S515">MIN(IF((ContinuousStatsTable[GroupByKey]=ContinuousStatsTable[[#This Row],[GroupByKey]]),(ContinuousStatsTable[GroupByKey]=ContinuousStatsTable[[#This Row],[GroupByKey]])*ContinuousStatsTable[Average]))</f>
        <v>0.452397944183905</v>
      </c>
      <c r="T515" cm="1">
        <f t="array" ref="T515">MAX(IF((ContinuousStatsTable[GroupByKey]=ContinuousStatsTable[[#This Row],[GroupByKey]]),(ContinuousStatsTable[GroupByKey]=ContinuousStatsTable[[#This Row],[GroupByKey]])*ContinuousStatsTable[Average]))</f>
        <v>0.49691123629694001</v>
      </c>
      <c r="U515">
        <f>IF((ContinuousStatsTable[[#This Row],[RepsRequested]]&gt;1),ContinuousStatsTable[[#This Row],[HalfWidth]],ContinuousStatsTable[[#This Row],[BatchMeansHalfWidth]])</f>
        <v>2.7457743728226142E-3</v>
      </c>
    </row>
    <row r="516" spans="1:21" x14ac:dyDescent="0.25">
      <c r="A516" t="s">
        <v>68</v>
      </c>
      <c r="B516" t="s">
        <v>131</v>
      </c>
      <c r="C516">
        <v>43</v>
      </c>
      <c r="D516" t="s">
        <v>103</v>
      </c>
      <c r="E516" t="s">
        <v>100</v>
      </c>
      <c r="F516" t="s">
        <v>99</v>
      </c>
      <c r="G516">
        <v>0.46492458413333898</v>
      </c>
      <c r="H516">
        <v>2.32781975647279E-2</v>
      </c>
      <c r="I516">
        <v>0</v>
      </c>
      <c r="J516">
        <v>1</v>
      </c>
      <c r="K516">
        <v>0</v>
      </c>
      <c r="L516">
        <v>0</v>
      </c>
      <c r="M516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516" cm="1">
        <f t="array" ref="N516">MAX(IF((ProjectInfoTable[ProjectName]=ContinuousStatsTable[[#This Row],[ProjectName]]),(ProjectInfoTable[ProjectName]=ContinuousStatsTable[[#This Row],[ProjectName]])*ProjectInfoTable[NumberOfReplications]))</f>
        <v>50</v>
      </c>
      <c r="O516" cm="1">
        <f t="array" ref="O516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16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16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16" cm="1">
        <f t="array" ref="S516">MIN(IF((ContinuousStatsTable[GroupByKey]=ContinuousStatsTable[[#This Row],[GroupByKey]]),(ContinuousStatsTable[GroupByKey]=ContinuousStatsTable[[#This Row],[GroupByKey]])*ContinuousStatsTable[Average]))</f>
        <v>0.452397944183905</v>
      </c>
      <c r="T516" cm="1">
        <f t="array" ref="T516">MAX(IF((ContinuousStatsTable[GroupByKey]=ContinuousStatsTable[[#This Row],[GroupByKey]]),(ContinuousStatsTable[GroupByKey]=ContinuousStatsTable[[#This Row],[GroupByKey]])*ContinuousStatsTable[Average]))</f>
        <v>0.49691123629694001</v>
      </c>
      <c r="U516">
        <f>IF((ContinuousStatsTable[[#This Row],[RepsRequested]]&gt;1),ContinuousStatsTable[[#This Row],[HalfWidth]],ContinuousStatsTable[[#This Row],[BatchMeansHalfWidth]])</f>
        <v>2.7457743728226142E-3</v>
      </c>
    </row>
    <row r="517" spans="1:21" x14ac:dyDescent="0.25">
      <c r="A517" t="s">
        <v>68</v>
      </c>
      <c r="B517" t="s">
        <v>131</v>
      </c>
      <c r="C517">
        <v>43</v>
      </c>
      <c r="D517" t="s">
        <v>103</v>
      </c>
      <c r="E517" t="s">
        <v>101</v>
      </c>
      <c r="F517" t="s">
        <v>99</v>
      </c>
      <c r="G517">
        <v>1</v>
      </c>
      <c r="H517">
        <v>2E+20</v>
      </c>
      <c r="I517">
        <v>1</v>
      </c>
      <c r="J517">
        <v>1</v>
      </c>
      <c r="K517">
        <v>1</v>
      </c>
      <c r="L517">
        <v>0</v>
      </c>
      <c r="M517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517" cm="1">
        <f t="array" ref="N517">MAX(IF((ProjectInfoTable[ProjectName]=ContinuousStatsTable[[#This Row],[ProjectName]]),(ProjectInfoTable[ProjectName]=ContinuousStatsTable[[#This Row],[ProjectName]])*ProjectInfoTable[NumberOfReplications]))</f>
        <v>50</v>
      </c>
      <c r="O517" cm="1">
        <f t="array" ref="O517">IFERROR(AVERAGE(IF((ContinuousStatsTable[GroupByKey]=ContinuousStatsTable[[#This Row],[GroupByKey]]),(ContinuousStatsTable[GroupByKey]=ContinuousStatsTable[[#This Row],[GroupByKey]])*ContinuousStatsTable[Average])),0)</f>
        <v>1</v>
      </c>
      <c r="P517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</v>
      </c>
      <c r="Q517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7" cm="1">
        <f t="array" ref="S517">MIN(IF((ContinuousStatsTable[GroupByKey]=ContinuousStatsTable[[#This Row],[GroupByKey]]),(ContinuousStatsTable[GroupByKey]=ContinuousStatsTable[[#This Row],[GroupByKey]])*ContinuousStatsTable[Average]))</f>
        <v>1</v>
      </c>
      <c r="T517" cm="1">
        <f t="array" ref="T517">MAX(IF((ContinuousStatsTable[GroupByKey]=ContinuousStatsTable[[#This Row],[GroupByKey]]),(ContinuousStatsTable[GroupByKey]=ContinuousStatsTable[[#This Row],[GroupByKey]])*ContinuousStatsTable[Average]))</f>
        <v>1</v>
      </c>
      <c r="U517">
        <f>IF((ContinuousStatsTable[[#This Row],[RepsRequested]]&gt;1),ContinuousStatsTable[[#This Row],[HalfWidth]],ContinuousStatsTable[[#This Row],[BatchMeansHalfWidth]])</f>
        <v>0</v>
      </c>
    </row>
    <row r="518" spans="1:21" x14ac:dyDescent="0.25">
      <c r="A518" t="s">
        <v>68</v>
      </c>
      <c r="B518" t="s">
        <v>131</v>
      </c>
      <c r="C518">
        <v>44</v>
      </c>
      <c r="D518" t="s">
        <v>70</v>
      </c>
      <c r="E518" t="s">
        <v>95</v>
      </c>
      <c r="F518" t="s">
        <v>72</v>
      </c>
      <c r="G518">
        <v>4.1392463272019802</v>
      </c>
      <c r="H518">
        <v>0.68339136121077004</v>
      </c>
      <c r="I518">
        <v>0</v>
      </c>
      <c r="J518">
        <v>20</v>
      </c>
      <c r="K518">
        <v>7</v>
      </c>
      <c r="L518">
        <v>0</v>
      </c>
      <c r="M518" t="str">
        <f>ContinuousStatsTable[[#This Row],[ProjectName]]&amp;ContinuousStatsTable[[#This Row],[Name]]&amp;ContinuousStatsTable[[#This Row],[Type]]&amp;ContinuousStatsTable[[#This Row],[Source]]</f>
        <v>PacientesEntity 1WIPEntity</v>
      </c>
      <c r="N518" cm="1">
        <f t="array" ref="N518">MAX(IF((ProjectInfoTable[ProjectName]=ContinuousStatsTable[[#This Row],[ProjectName]]),(ProjectInfoTable[ProjectName]=ContinuousStatsTable[[#This Row],[ProjectName]])*ProjectInfoTable[NumberOfReplications]))</f>
        <v>50</v>
      </c>
      <c r="O518" cm="1">
        <f t="array" ref="O518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518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518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518" cm="1">
        <f t="array" ref="S518">MIN(IF((ContinuousStatsTable[GroupByKey]=ContinuousStatsTable[[#This Row],[GroupByKey]]),(ContinuousStatsTable[GroupByKey]=ContinuousStatsTable[[#This Row],[GroupByKey]])*ContinuousStatsTable[Average]))</f>
        <v>3.9757448048151298</v>
      </c>
      <c r="T518" cm="1">
        <f t="array" ref="T518">MAX(IF((ContinuousStatsTable[GroupByKey]=ContinuousStatsTable[[#This Row],[GroupByKey]]),(ContinuousStatsTable[GroupByKey]=ContinuousStatsTable[[#This Row],[GroupByKey]])*ContinuousStatsTable[Average]))</f>
        <v>6.9386840633215803</v>
      </c>
      <c r="U518">
        <f>IF((ContinuousStatsTable[[#This Row],[RepsRequested]]&gt;1),ContinuousStatsTable[[#This Row],[HalfWidth]],ContinuousStatsTable[[#This Row],[BatchMeansHalfWidth]])</f>
        <v>0.22030607219171747</v>
      </c>
    </row>
    <row r="519" spans="1:21" x14ac:dyDescent="0.25">
      <c r="A519" t="s">
        <v>68</v>
      </c>
      <c r="B519" t="s">
        <v>131</v>
      </c>
      <c r="C519">
        <v>44</v>
      </c>
      <c r="D519" t="s">
        <v>83</v>
      </c>
      <c r="E519" t="s">
        <v>96</v>
      </c>
      <c r="F519" t="s">
        <v>85</v>
      </c>
      <c r="G519">
        <v>1.8681009319297199</v>
      </c>
      <c r="H519">
        <v>0.57826806483984405</v>
      </c>
      <c r="I519">
        <v>0</v>
      </c>
      <c r="J519">
        <v>16</v>
      </c>
      <c r="K519">
        <v>4</v>
      </c>
      <c r="L519">
        <v>0</v>
      </c>
      <c r="M519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519" cm="1">
        <f t="array" ref="N519">MAX(IF((ProjectInfoTable[ProjectName]=ContinuousStatsTable[[#This Row],[ProjectName]]),(ProjectInfoTable[ProjectName]=ContinuousStatsTable[[#This Row],[ProjectName]])*ProjectInfoTable[NumberOfReplications]))</f>
        <v>50</v>
      </c>
      <c r="O519" cm="1">
        <f t="array" ref="O519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519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519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519" cm="1">
        <f t="array" ref="S519">MIN(IF((ContinuousStatsTable[GroupByKey]=ContinuousStatsTable[[#This Row],[GroupByKey]]),(ContinuousStatsTable[GroupByKey]=ContinuousStatsTable[[#This Row],[GroupByKey]])*ContinuousStatsTable[Average]))</f>
        <v>1.7200278735122601</v>
      </c>
      <c r="T519" cm="1">
        <f t="array" ref="T519">MAX(IF((ContinuousStatsTable[GroupByKey]=ContinuousStatsTable[[#This Row],[GroupByKey]]),(ContinuousStatsTable[GroupByKey]=ContinuousStatsTable[[#This Row],[GroupByKey]])*ContinuousStatsTable[Average]))</f>
        <v>4.5543512780988502</v>
      </c>
      <c r="U519">
        <f>IF((ContinuousStatsTable[[#This Row],[RepsRequested]]&gt;1),ContinuousStatsTable[[#This Row],[HalfWidth]],ContinuousStatsTable[[#This Row],[BatchMeansHalfWidth]])</f>
        <v>0.21041231434540877</v>
      </c>
    </row>
    <row r="520" spans="1:21" x14ac:dyDescent="0.25">
      <c r="A520" t="s">
        <v>68</v>
      </c>
      <c r="B520" t="s">
        <v>131</v>
      </c>
      <c r="C520">
        <v>44</v>
      </c>
      <c r="D520" t="s">
        <v>87</v>
      </c>
      <c r="E520" t="s">
        <v>96</v>
      </c>
      <c r="F520" t="s">
        <v>85</v>
      </c>
      <c r="G520">
        <v>0.209288322711976</v>
      </c>
      <c r="H520">
        <v>4.5537844857646101E-2</v>
      </c>
      <c r="I520">
        <v>0</v>
      </c>
      <c r="J520">
        <v>6</v>
      </c>
      <c r="K520">
        <v>0</v>
      </c>
      <c r="L520">
        <v>0</v>
      </c>
      <c r="M520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520" cm="1">
        <f t="array" ref="N520">MAX(IF((ProjectInfoTable[ProjectName]=ContinuousStatsTable[[#This Row],[ProjectName]]),(ProjectInfoTable[ProjectName]=ContinuousStatsTable[[#This Row],[ProjectName]])*ProjectInfoTable[NumberOfReplications]))</f>
        <v>50</v>
      </c>
      <c r="O520" cm="1">
        <f t="array" ref="O520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520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520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520" cm="1">
        <f t="array" ref="S520">MIN(IF((ContinuousStatsTable[GroupByKey]=ContinuousStatsTable[[#This Row],[GroupByKey]]),(ContinuousStatsTable[GroupByKey]=ContinuousStatsTable[[#This Row],[GroupByKey]])*ContinuousStatsTable[Average]))</f>
        <v>0.172815232766103</v>
      </c>
      <c r="T520" cm="1">
        <f t="array" ref="T520">MAX(IF((ContinuousStatsTable[GroupByKey]=ContinuousStatsTable[[#This Row],[GroupByKey]]),(ContinuousStatsTable[GroupByKey]=ContinuousStatsTable[[#This Row],[GroupByKey]])*ContinuousStatsTable[Average]))</f>
        <v>0.24783514900621301</v>
      </c>
      <c r="U520">
        <f>IF((ContinuousStatsTable[[#This Row],[RepsRequested]]&gt;1),ContinuousStatsTable[[#This Row],[HalfWidth]],ContinuousStatsTable[[#This Row],[BatchMeansHalfWidth]])</f>
        <v>4.7768909384897544E-3</v>
      </c>
    </row>
    <row r="521" spans="1:21" x14ac:dyDescent="0.25">
      <c r="A521" t="s">
        <v>68</v>
      </c>
      <c r="B521" t="s">
        <v>131</v>
      </c>
      <c r="C521">
        <v>44</v>
      </c>
      <c r="D521" t="s">
        <v>97</v>
      </c>
      <c r="E521" t="s">
        <v>98</v>
      </c>
      <c r="F521" t="s">
        <v>99</v>
      </c>
      <c r="G521">
        <v>0.53419504857548294</v>
      </c>
      <c r="H521">
        <v>2.6525020339835802E-2</v>
      </c>
      <c r="I521">
        <v>0</v>
      </c>
      <c r="J521">
        <v>0.66666666666666696</v>
      </c>
      <c r="K521">
        <v>0.66666666666666696</v>
      </c>
      <c r="L521">
        <v>0</v>
      </c>
      <c r="M521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521" cm="1">
        <f t="array" ref="N521">MAX(IF((ProjectInfoTable[ProjectName]=ContinuousStatsTable[[#This Row],[ProjectName]]),(ProjectInfoTable[ProjectName]=ContinuousStatsTable[[#This Row],[ProjectName]])*ProjectInfoTable[NumberOfReplications]))</f>
        <v>50</v>
      </c>
      <c r="O521" cm="1">
        <f t="array" ref="O521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521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521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521" cm="1">
        <f t="array" ref="S521">MIN(IF((ContinuousStatsTable[GroupByKey]=ContinuousStatsTable[[#This Row],[GroupByKey]]),(ContinuousStatsTable[GroupByKey]=ContinuousStatsTable[[#This Row],[GroupByKey]])*ContinuousStatsTable[Average]))</f>
        <v>0.52470641844357602</v>
      </c>
      <c r="T521" cm="1">
        <f t="array" ref="T521">MAX(IF((ContinuousStatsTable[GroupByKey]=ContinuousStatsTable[[#This Row],[GroupByKey]]),(ContinuousStatsTable[GroupByKey]=ContinuousStatsTable[[#This Row],[GroupByKey]])*ContinuousStatsTable[Average]))</f>
        <v>0.57005812966092095</v>
      </c>
      <c r="U521">
        <f>IF((ContinuousStatsTable[[#This Row],[RepsRequested]]&gt;1),ContinuousStatsTable[[#This Row],[HalfWidth]],ContinuousStatsTable[[#This Row],[BatchMeansHalfWidth]])</f>
        <v>2.9048243757695521E-3</v>
      </c>
    </row>
    <row r="522" spans="1:21" x14ac:dyDescent="0.25">
      <c r="A522" t="s">
        <v>68</v>
      </c>
      <c r="B522" t="s">
        <v>131</v>
      </c>
      <c r="C522">
        <v>44</v>
      </c>
      <c r="D522" t="s">
        <v>97</v>
      </c>
      <c r="E522" t="s">
        <v>100</v>
      </c>
      <c r="F522" t="s">
        <v>99</v>
      </c>
      <c r="G522">
        <v>1.60258514572644</v>
      </c>
      <c r="H522">
        <v>7.9575061019507398E-2</v>
      </c>
      <c r="I522">
        <v>0</v>
      </c>
      <c r="J522">
        <v>2</v>
      </c>
      <c r="K522">
        <v>2</v>
      </c>
      <c r="L522">
        <v>0</v>
      </c>
      <c r="M522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522" cm="1">
        <f t="array" ref="N522">MAX(IF((ProjectInfoTable[ProjectName]=ContinuousStatsTable[[#This Row],[ProjectName]]),(ProjectInfoTable[ProjectName]=ContinuousStatsTable[[#This Row],[ProjectName]])*ProjectInfoTable[NumberOfReplications]))</f>
        <v>50</v>
      </c>
      <c r="O522" cm="1">
        <f t="array" ref="O522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22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22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22" cm="1">
        <f t="array" ref="S522">MIN(IF((ContinuousStatsTable[GroupByKey]=ContinuousStatsTable[[#This Row],[GroupByKey]]),(ContinuousStatsTable[GroupByKey]=ContinuousStatsTable[[#This Row],[GroupByKey]])*ContinuousStatsTable[Average]))</f>
        <v>1.5741192553307399</v>
      </c>
      <c r="T522" cm="1">
        <f t="array" ref="T522">MAX(IF((ContinuousStatsTable[GroupByKey]=ContinuousStatsTable[[#This Row],[GroupByKey]]),(ContinuousStatsTable[GroupByKey]=ContinuousStatsTable[[#This Row],[GroupByKey]])*ContinuousStatsTable[Average]))</f>
        <v>1.7101743889827701</v>
      </c>
      <c r="U522">
        <f>IF((ContinuousStatsTable[[#This Row],[RepsRequested]]&gt;1),ContinuousStatsTable[[#This Row],[HalfWidth]],ContinuousStatsTable[[#This Row],[BatchMeansHalfWidth]])</f>
        <v>8.7144731273084922E-3</v>
      </c>
    </row>
    <row r="523" spans="1:21" x14ac:dyDescent="0.25">
      <c r="A523" t="s">
        <v>68</v>
      </c>
      <c r="B523" t="s">
        <v>131</v>
      </c>
      <c r="C523">
        <v>44</v>
      </c>
      <c r="D523" t="s">
        <v>97</v>
      </c>
      <c r="E523" t="s">
        <v>101</v>
      </c>
      <c r="F523" t="s">
        <v>99</v>
      </c>
      <c r="G523">
        <v>3</v>
      </c>
      <c r="H523">
        <v>2E+20</v>
      </c>
      <c r="I523">
        <v>3</v>
      </c>
      <c r="J523">
        <v>3</v>
      </c>
      <c r="K523">
        <v>3</v>
      </c>
      <c r="L523">
        <v>0</v>
      </c>
      <c r="M523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523" cm="1">
        <f t="array" ref="N523">MAX(IF((ProjectInfoTable[ProjectName]=ContinuousStatsTable[[#This Row],[ProjectName]]),(ProjectInfoTable[ProjectName]=ContinuousStatsTable[[#This Row],[ProjectName]])*ProjectInfoTable[NumberOfReplications]))</f>
        <v>50</v>
      </c>
      <c r="O523" cm="1">
        <f t="array" ref="O523">IFERROR(AVERAGE(IF((ContinuousStatsTable[GroupByKey]=ContinuousStatsTable[[#This Row],[GroupByKey]]),(ContinuousStatsTable[GroupByKey]=ContinuousStatsTable[[#This Row],[GroupByKey]])*ContinuousStatsTable[Average])),0)</f>
        <v>3</v>
      </c>
      <c r="P523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0</v>
      </c>
      <c r="Q523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3" cm="1">
        <f t="array" ref="S523">MIN(IF((ContinuousStatsTable[GroupByKey]=ContinuousStatsTable[[#This Row],[GroupByKey]]),(ContinuousStatsTable[GroupByKey]=ContinuousStatsTable[[#This Row],[GroupByKey]])*ContinuousStatsTable[Average]))</f>
        <v>3</v>
      </c>
      <c r="T523" cm="1">
        <f t="array" ref="T523">MAX(IF((ContinuousStatsTable[GroupByKey]=ContinuousStatsTable[[#This Row],[GroupByKey]]),(ContinuousStatsTable[GroupByKey]=ContinuousStatsTable[[#This Row],[GroupByKey]])*ContinuousStatsTable[Average]))</f>
        <v>3</v>
      </c>
      <c r="U523">
        <f>IF((ContinuousStatsTable[[#This Row],[RepsRequested]]&gt;1),ContinuousStatsTable[[#This Row],[HalfWidth]],ContinuousStatsTable[[#This Row],[BatchMeansHalfWidth]])</f>
        <v>0</v>
      </c>
    </row>
    <row r="524" spans="1:21" x14ac:dyDescent="0.25">
      <c r="A524" t="s">
        <v>68</v>
      </c>
      <c r="B524" t="s">
        <v>131</v>
      </c>
      <c r="C524">
        <v>44</v>
      </c>
      <c r="D524" t="s">
        <v>102</v>
      </c>
      <c r="E524" t="s">
        <v>98</v>
      </c>
      <c r="F524" t="s">
        <v>99</v>
      </c>
      <c r="G524">
        <v>0.80129257286322197</v>
      </c>
      <c r="H524">
        <v>3.9787530509753699E-2</v>
      </c>
      <c r="I524">
        <v>0</v>
      </c>
      <c r="J524">
        <v>1</v>
      </c>
      <c r="K524">
        <v>1</v>
      </c>
      <c r="L524">
        <v>0</v>
      </c>
      <c r="M524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524" cm="1">
        <f t="array" ref="N524">MAX(IF((ProjectInfoTable[ProjectName]=ContinuousStatsTable[[#This Row],[ProjectName]]),(ProjectInfoTable[ProjectName]=ContinuousStatsTable[[#This Row],[ProjectName]])*ProjectInfoTable[NumberOfReplications]))</f>
        <v>50</v>
      </c>
      <c r="O524" cm="1">
        <f t="array" ref="O524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524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524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524" cm="1">
        <f t="array" ref="S524">MIN(IF((ContinuousStatsTable[GroupByKey]=ContinuousStatsTable[[#This Row],[GroupByKey]]),(ContinuousStatsTable[GroupByKey]=ContinuousStatsTable[[#This Row],[GroupByKey]])*ContinuousStatsTable[Average]))</f>
        <v>0.78705962766536897</v>
      </c>
      <c r="T524" cm="1">
        <f t="array" ref="T524">MAX(IF((ContinuousStatsTable[GroupByKey]=ContinuousStatsTable[[#This Row],[GroupByKey]]),(ContinuousStatsTable[GroupByKey]=ContinuousStatsTable[[#This Row],[GroupByKey]])*ContinuousStatsTable[Average]))</f>
        <v>0.85508719449138504</v>
      </c>
      <c r="U524">
        <f>IF((ContinuousStatsTable[[#This Row],[RepsRequested]]&gt;1),ContinuousStatsTable[[#This Row],[HalfWidth]],ContinuousStatsTable[[#This Row],[BatchMeansHalfWidth]])</f>
        <v>4.3572365636542886E-3</v>
      </c>
    </row>
    <row r="525" spans="1:21" x14ac:dyDescent="0.25">
      <c r="A525" t="s">
        <v>68</v>
      </c>
      <c r="B525" t="s">
        <v>131</v>
      </c>
      <c r="C525">
        <v>44</v>
      </c>
      <c r="D525" t="s">
        <v>102</v>
      </c>
      <c r="E525" t="s">
        <v>100</v>
      </c>
      <c r="F525" t="s">
        <v>99</v>
      </c>
      <c r="G525">
        <v>1.60258514572644</v>
      </c>
      <c r="H525">
        <v>7.9575061019507398E-2</v>
      </c>
      <c r="I525">
        <v>0</v>
      </c>
      <c r="J525">
        <v>2</v>
      </c>
      <c r="K525">
        <v>2</v>
      </c>
      <c r="L525">
        <v>0</v>
      </c>
      <c r="M525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525" cm="1">
        <f t="array" ref="N525">MAX(IF((ProjectInfoTable[ProjectName]=ContinuousStatsTable[[#This Row],[ProjectName]]),(ProjectInfoTable[ProjectName]=ContinuousStatsTable[[#This Row],[ProjectName]])*ProjectInfoTable[NumberOfReplications]))</f>
        <v>50</v>
      </c>
      <c r="O525" cm="1">
        <f t="array" ref="O525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2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2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25" cm="1">
        <f t="array" ref="S525">MIN(IF((ContinuousStatsTable[GroupByKey]=ContinuousStatsTable[[#This Row],[GroupByKey]]),(ContinuousStatsTable[GroupByKey]=ContinuousStatsTable[[#This Row],[GroupByKey]])*ContinuousStatsTable[Average]))</f>
        <v>1.5741192553307399</v>
      </c>
      <c r="T525" cm="1">
        <f t="array" ref="T525">MAX(IF((ContinuousStatsTable[GroupByKey]=ContinuousStatsTable[[#This Row],[GroupByKey]]),(ContinuousStatsTable[GroupByKey]=ContinuousStatsTable[[#This Row],[GroupByKey]])*ContinuousStatsTable[Average]))</f>
        <v>1.7101743889827701</v>
      </c>
      <c r="U525">
        <f>IF((ContinuousStatsTable[[#This Row],[RepsRequested]]&gt;1),ContinuousStatsTable[[#This Row],[HalfWidth]],ContinuousStatsTable[[#This Row],[BatchMeansHalfWidth]])</f>
        <v>8.7144731273084922E-3</v>
      </c>
    </row>
    <row r="526" spans="1:21" x14ac:dyDescent="0.25">
      <c r="A526" t="s">
        <v>68</v>
      </c>
      <c r="B526" t="s">
        <v>131</v>
      </c>
      <c r="C526">
        <v>44</v>
      </c>
      <c r="D526" t="s">
        <v>102</v>
      </c>
      <c r="E526" t="s">
        <v>101</v>
      </c>
      <c r="F526" t="s">
        <v>99</v>
      </c>
      <c r="G526">
        <v>2</v>
      </c>
      <c r="H526">
        <v>2E+20</v>
      </c>
      <c r="I526">
        <v>2</v>
      </c>
      <c r="J526">
        <v>2</v>
      </c>
      <c r="K526">
        <v>2</v>
      </c>
      <c r="L526">
        <v>0</v>
      </c>
      <c r="M526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526" cm="1">
        <f t="array" ref="N526">MAX(IF((ProjectInfoTable[ProjectName]=ContinuousStatsTable[[#This Row],[ProjectName]]),(ProjectInfoTable[ProjectName]=ContinuousStatsTable[[#This Row],[ProjectName]])*ProjectInfoTable[NumberOfReplications]))</f>
        <v>50</v>
      </c>
      <c r="O526" cm="1">
        <f t="array" ref="O526">IFERROR(AVERAGE(IF((ContinuousStatsTable[GroupByKey]=ContinuousStatsTable[[#This Row],[GroupByKey]]),(ContinuousStatsTable[GroupByKey]=ContinuousStatsTable[[#This Row],[GroupByKey]])*ContinuousStatsTable[Average])),0)</f>
        <v>2</v>
      </c>
      <c r="P526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cm="1">
        <f t="array" ref="S526">MIN(IF((ContinuousStatsTable[GroupByKey]=ContinuousStatsTable[[#This Row],[GroupByKey]]),(ContinuousStatsTable[GroupByKey]=ContinuousStatsTable[[#This Row],[GroupByKey]])*ContinuousStatsTable[Average]))</f>
        <v>2</v>
      </c>
      <c r="T526" cm="1">
        <f t="array" ref="T526">MAX(IF((ContinuousStatsTable[GroupByKey]=ContinuousStatsTable[[#This Row],[GroupByKey]]),(ContinuousStatsTable[GroupByKey]=ContinuousStatsTable[[#This Row],[GroupByKey]])*ContinuousStatsTable[Average]))</f>
        <v>2</v>
      </c>
      <c r="U526">
        <f>IF((ContinuousStatsTable[[#This Row],[RepsRequested]]&gt;1),ContinuousStatsTable[[#This Row],[HalfWidth]],ContinuousStatsTable[[#This Row],[BatchMeansHalfWidth]])</f>
        <v>0</v>
      </c>
    </row>
    <row r="527" spans="1:21" x14ac:dyDescent="0.25">
      <c r="A527" t="s">
        <v>68</v>
      </c>
      <c r="B527" t="s">
        <v>131</v>
      </c>
      <c r="C527">
        <v>44</v>
      </c>
      <c r="D527" t="s">
        <v>103</v>
      </c>
      <c r="E527" t="s">
        <v>98</v>
      </c>
      <c r="F527" t="s">
        <v>99</v>
      </c>
      <c r="G527">
        <v>0.45927192683384199</v>
      </c>
      <c r="H527">
        <v>2.81280678737236E-2</v>
      </c>
      <c r="I527">
        <v>0</v>
      </c>
      <c r="J527">
        <v>1</v>
      </c>
      <c r="K527">
        <v>1</v>
      </c>
      <c r="L527">
        <v>0</v>
      </c>
      <c r="M527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527" cm="1">
        <f t="array" ref="N527">MAX(IF((ProjectInfoTable[ProjectName]=ContinuousStatsTable[[#This Row],[ProjectName]]),(ProjectInfoTable[ProjectName]=ContinuousStatsTable[[#This Row],[ProjectName]])*ProjectInfoTable[NumberOfReplications]))</f>
        <v>50</v>
      </c>
      <c r="O527" cm="1">
        <f t="array" ref="O527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27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27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27" cm="1">
        <f t="array" ref="S527">MIN(IF((ContinuousStatsTable[GroupByKey]=ContinuousStatsTable[[#This Row],[GroupByKey]]),(ContinuousStatsTable[GroupByKey]=ContinuousStatsTable[[#This Row],[GroupByKey]])*ContinuousStatsTable[Average]))</f>
        <v>0.452397944183905</v>
      </c>
      <c r="T527" cm="1">
        <f t="array" ref="T527">MAX(IF((ContinuousStatsTable[GroupByKey]=ContinuousStatsTable[[#This Row],[GroupByKey]]),(ContinuousStatsTable[GroupByKey]=ContinuousStatsTable[[#This Row],[GroupByKey]])*ContinuousStatsTable[Average]))</f>
        <v>0.49691123629694001</v>
      </c>
      <c r="U527">
        <f>IF((ContinuousStatsTable[[#This Row],[RepsRequested]]&gt;1),ContinuousStatsTable[[#This Row],[HalfWidth]],ContinuousStatsTable[[#This Row],[BatchMeansHalfWidth]])</f>
        <v>2.7457743728226142E-3</v>
      </c>
    </row>
    <row r="528" spans="1:21" x14ac:dyDescent="0.25">
      <c r="A528" t="s">
        <v>68</v>
      </c>
      <c r="B528" t="s">
        <v>131</v>
      </c>
      <c r="C528">
        <v>44</v>
      </c>
      <c r="D528" t="s">
        <v>103</v>
      </c>
      <c r="E528" t="s">
        <v>100</v>
      </c>
      <c r="F528" t="s">
        <v>99</v>
      </c>
      <c r="G528">
        <v>0.45927192683384199</v>
      </c>
      <c r="H528">
        <v>2.81280678737236E-2</v>
      </c>
      <c r="I528">
        <v>0</v>
      </c>
      <c r="J528">
        <v>1</v>
      </c>
      <c r="K528">
        <v>1</v>
      </c>
      <c r="L528">
        <v>0</v>
      </c>
      <c r="M528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528" cm="1">
        <f t="array" ref="N528">MAX(IF((ProjectInfoTable[ProjectName]=ContinuousStatsTable[[#This Row],[ProjectName]]),(ProjectInfoTable[ProjectName]=ContinuousStatsTable[[#This Row],[ProjectName]])*ProjectInfoTable[NumberOfReplications]))</f>
        <v>50</v>
      </c>
      <c r="O528" cm="1">
        <f t="array" ref="O528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28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28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28" cm="1">
        <f t="array" ref="S528">MIN(IF((ContinuousStatsTable[GroupByKey]=ContinuousStatsTable[[#This Row],[GroupByKey]]),(ContinuousStatsTable[GroupByKey]=ContinuousStatsTable[[#This Row],[GroupByKey]])*ContinuousStatsTable[Average]))</f>
        <v>0.452397944183905</v>
      </c>
      <c r="T528" cm="1">
        <f t="array" ref="T528">MAX(IF((ContinuousStatsTable[GroupByKey]=ContinuousStatsTable[[#This Row],[GroupByKey]]),(ContinuousStatsTable[GroupByKey]=ContinuousStatsTable[[#This Row],[GroupByKey]])*ContinuousStatsTable[Average]))</f>
        <v>0.49691123629694001</v>
      </c>
      <c r="U528">
        <f>IF((ContinuousStatsTable[[#This Row],[RepsRequested]]&gt;1),ContinuousStatsTable[[#This Row],[HalfWidth]],ContinuousStatsTable[[#This Row],[BatchMeansHalfWidth]])</f>
        <v>2.7457743728226142E-3</v>
      </c>
    </row>
    <row r="529" spans="1:21" x14ac:dyDescent="0.25">
      <c r="A529" t="s">
        <v>68</v>
      </c>
      <c r="B529" t="s">
        <v>131</v>
      </c>
      <c r="C529">
        <v>44</v>
      </c>
      <c r="D529" t="s">
        <v>103</v>
      </c>
      <c r="E529" t="s">
        <v>101</v>
      </c>
      <c r="F529" t="s">
        <v>99</v>
      </c>
      <c r="G529">
        <v>1</v>
      </c>
      <c r="H529">
        <v>2E+20</v>
      </c>
      <c r="I529">
        <v>1</v>
      </c>
      <c r="J529">
        <v>1</v>
      </c>
      <c r="K529">
        <v>1</v>
      </c>
      <c r="L529">
        <v>0</v>
      </c>
      <c r="M529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529" cm="1">
        <f t="array" ref="N529">MAX(IF((ProjectInfoTable[ProjectName]=ContinuousStatsTable[[#This Row],[ProjectName]]),(ProjectInfoTable[ProjectName]=ContinuousStatsTable[[#This Row],[ProjectName]])*ProjectInfoTable[NumberOfReplications]))</f>
        <v>50</v>
      </c>
      <c r="O529" cm="1">
        <f t="array" ref="O529">IFERROR(AVERAGE(IF((ContinuousStatsTable[GroupByKey]=ContinuousStatsTable[[#This Row],[GroupByKey]]),(ContinuousStatsTable[GroupByKey]=ContinuousStatsTable[[#This Row],[GroupByKey]])*ContinuousStatsTable[Average])),0)</f>
        <v>1</v>
      </c>
      <c r="P529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0</v>
      </c>
      <c r="Q529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9" cm="1">
        <f t="array" ref="S529">MIN(IF((ContinuousStatsTable[GroupByKey]=ContinuousStatsTable[[#This Row],[GroupByKey]]),(ContinuousStatsTable[GroupByKey]=ContinuousStatsTable[[#This Row],[GroupByKey]])*ContinuousStatsTable[Average]))</f>
        <v>1</v>
      </c>
      <c r="T529" cm="1">
        <f t="array" ref="T529">MAX(IF((ContinuousStatsTable[GroupByKey]=ContinuousStatsTable[[#This Row],[GroupByKey]]),(ContinuousStatsTable[GroupByKey]=ContinuousStatsTable[[#This Row],[GroupByKey]])*ContinuousStatsTable[Average]))</f>
        <v>1</v>
      </c>
      <c r="U529">
        <f>IF((ContinuousStatsTable[[#This Row],[RepsRequested]]&gt;1),ContinuousStatsTable[[#This Row],[HalfWidth]],ContinuousStatsTable[[#This Row],[BatchMeansHalfWidth]])</f>
        <v>0</v>
      </c>
    </row>
    <row r="530" spans="1:21" x14ac:dyDescent="0.25">
      <c r="A530" t="s">
        <v>68</v>
      </c>
      <c r="B530" t="s">
        <v>131</v>
      </c>
      <c r="C530">
        <v>45</v>
      </c>
      <c r="D530" t="s">
        <v>70</v>
      </c>
      <c r="E530" t="s">
        <v>95</v>
      </c>
      <c r="F530" t="s">
        <v>72</v>
      </c>
      <c r="G530">
        <v>4.7428214576312504</v>
      </c>
      <c r="H530">
        <v>0.84346405243404998</v>
      </c>
      <c r="I530">
        <v>0</v>
      </c>
      <c r="J530">
        <v>23</v>
      </c>
      <c r="K530">
        <v>0</v>
      </c>
      <c r="L530">
        <v>0</v>
      </c>
      <c r="M530" t="str">
        <f>ContinuousStatsTable[[#This Row],[ProjectName]]&amp;ContinuousStatsTable[[#This Row],[Name]]&amp;ContinuousStatsTable[[#This Row],[Type]]&amp;ContinuousStatsTable[[#This Row],[Source]]</f>
        <v>PacientesEntity 1WIPEntity</v>
      </c>
      <c r="N530" cm="1">
        <f t="array" ref="N530">MAX(IF((ProjectInfoTable[ProjectName]=ContinuousStatsTable[[#This Row],[ProjectName]]),(ProjectInfoTable[ProjectName]=ContinuousStatsTable[[#This Row],[ProjectName]])*ProjectInfoTable[NumberOfReplications]))</f>
        <v>50</v>
      </c>
      <c r="O530" cm="1">
        <f t="array" ref="O530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530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530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530" cm="1">
        <f t="array" ref="S530">MIN(IF((ContinuousStatsTable[GroupByKey]=ContinuousStatsTable[[#This Row],[GroupByKey]]),(ContinuousStatsTable[GroupByKey]=ContinuousStatsTable[[#This Row],[GroupByKey]])*ContinuousStatsTable[Average]))</f>
        <v>3.9757448048151298</v>
      </c>
      <c r="T530" cm="1">
        <f t="array" ref="T530">MAX(IF((ContinuousStatsTable[GroupByKey]=ContinuousStatsTable[[#This Row],[GroupByKey]]),(ContinuousStatsTable[GroupByKey]=ContinuousStatsTable[[#This Row],[GroupByKey]])*ContinuousStatsTable[Average]))</f>
        <v>6.9386840633215803</v>
      </c>
      <c r="U530">
        <f>IF((ContinuousStatsTable[[#This Row],[RepsRequested]]&gt;1),ContinuousStatsTable[[#This Row],[HalfWidth]],ContinuousStatsTable[[#This Row],[BatchMeansHalfWidth]])</f>
        <v>0.22030607219171747</v>
      </c>
    </row>
    <row r="531" spans="1:21" x14ac:dyDescent="0.25">
      <c r="A531" t="s">
        <v>68</v>
      </c>
      <c r="B531" t="s">
        <v>131</v>
      </c>
      <c r="C531">
        <v>45</v>
      </c>
      <c r="D531" t="s">
        <v>83</v>
      </c>
      <c r="E531" t="s">
        <v>96</v>
      </c>
      <c r="F531" t="s">
        <v>85</v>
      </c>
      <c r="G531">
        <v>2.4194988718279302</v>
      </c>
      <c r="H531">
        <v>0.76432885169154696</v>
      </c>
      <c r="I531">
        <v>0</v>
      </c>
      <c r="J531">
        <v>19</v>
      </c>
      <c r="K531">
        <v>0</v>
      </c>
      <c r="L531">
        <v>0</v>
      </c>
      <c r="M531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531" cm="1">
        <f t="array" ref="N531">MAX(IF((ProjectInfoTable[ProjectName]=ContinuousStatsTable[[#This Row],[ProjectName]]),(ProjectInfoTable[ProjectName]=ContinuousStatsTable[[#This Row],[ProjectName]])*ProjectInfoTable[NumberOfReplications]))</f>
        <v>50</v>
      </c>
      <c r="O531" cm="1">
        <f t="array" ref="O531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531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531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531" cm="1">
        <f t="array" ref="S531">MIN(IF((ContinuousStatsTable[GroupByKey]=ContinuousStatsTable[[#This Row],[GroupByKey]]),(ContinuousStatsTable[GroupByKey]=ContinuousStatsTable[[#This Row],[GroupByKey]])*ContinuousStatsTable[Average]))</f>
        <v>1.7200278735122601</v>
      </c>
      <c r="T531" cm="1">
        <f t="array" ref="T531">MAX(IF((ContinuousStatsTable[GroupByKey]=ContinuousStatsTable[[#This Row],[GroupByKey]]),(ContinuousStatsTable[GroupByKey]=ContinuousStatsTable[[#This Row],[GroupByKey]])*ContinuousStatsTable[Average]))</f>
        <v>4.5543512780988502</v>
      </c>
      <c r="U531">
        <f>IF((ContinuousStatsTable[[#This Row],[RepsRequested]]&gt;1),ContinuousStatsTable[[#This Row],[HalfWidth]],ContinuousStatsTable[[#This Row],[BatchMeansHalfWidth]])</f>
        <v>0.21041231434540877</v>
      </c>
    </row>
    <row r="532" spans="1:21" x14ac:dyDescent="0.25">
      <c r="A532" t="s">
        <v>68</v>
      </c>
      <c r="B532" t="s">
        <v>131</v>
      </c>
      <c r="C532">
        <v>45</v>
      </c>
      <c r="D532" t="s">
        <v>87</v>
      </c>
      <c r="E532" t="s">
        <v>96</v>
      </c>
      <c r="F532" t="s">
        <v>85</v>
      </c>
      <c r="G532">
        <v>0.20719297536630699</v>
      </c>
      <c r="H532">
        <v>4.4027031394583499E-2</v>
      </c>
      <c r="I532">
        <v>0</v>
      </c>
      <c r="J532">
        <v>5</v>
      </c>
      <c r="K532">
        <v>0</v>
      </c>
      <c r="L532">
        <v>0</v>
      </c>
      <c r="M532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532" cm="1">
        <f t="array" ref="N532">MAX(IF((ProjectInfoTable[ProjectName]=ContinuousStatsTable[[#This Row],[ProjectName]]),(ProjectInfoTable[ProjectName]=ContinuousStatsTable[[#This Row],[ProjectName]])*ProjectInfoTable[NumberOfReplications]))</f>
        <v>50</v>
      </c>
      <c r="O532" cm="1">
        <f t="array" ref="O532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532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532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532" cm="1">
        <f t="array" ref="S532">MIN(IF((ContinuousStatsTable[GroupByKey]=ContinuousStatsTable[[#This Row],[GroupByKey]]),(ContinuousStatsTable[GroupByKey]=ContinuousStatsTable[[#This Row],[GroupByKey]])*ContinuousStatsTable[Average]))</f>
        <v>0.172815232766103</v>
      </c>
      <c r="T532" cm="1">
        <f t="array" ref="T532">MAX(IF((ContinuousStatsTable[GroupByKey]=ContinuousStatsTable[[#This Row],[GroupByKey]]),(ContinuousStatsTable[GroupByKey]=ContinuousStatsTable[[#This Row],[GroupByKey]])*ContinuousStatsTable[Average]))</f>
        <v>0.24783514900621301</v>
      </c>
      <c r="U532">
        <f>IF((ContinuousStatsTable[[#This Row],[RepsRequested]]&gt;1),ContinuousStatsTable[[#This Row],[HalfWidth]],ContinuousStatsTable[[#This Row],[BatchMeansHalfWidth]])</f>
        <v>4.7768909384897544E-3</v>
      </c>
    </row>
    <row r="533" spans="1:21" x14ac:dyDescent="0.25">
      <c r="A533" t="s">
        <v>68</v>
      </c>
      <c r="B533" t="s">
        <v>131</v>
      </c>
      <c r="C533">
        <v>45</v>
      </c>
      <c r="D533" t="s">
        <v>97</v>
      </c>
      <c r="E533" t="s">
        <v>98</v>
      </c>
      <c r="F533" t="s">
        <v>99</v>
      </c>
      <c r="G533">
        <v>0.54713352051235098</v>
      </c>
      <c r="H533">
        <v>2.09156739537378E-2</v>
      </c>
      <c r="I533">
        <v>0</v>
      </c>
      <c r="J533">
        <v>0.66666666666666696</v>
      </c>
      <c r="K533">
        <v>0</v>
      </c>
      <c r="L533">
        <v>0</v>
      </c>
      <c r="M533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533" cm="1">
        <f t="array" ref="N533">MAX(IF((ProjectInfoTable[ProjectName]=ContinuousStatsTable[[#This Row],[ProjectName]]),(ProjectInfoTable[ProjectName]=ContinuousStatsTable[[#This Row],[ProjectName]])*ProjectInfoTable[NumberOfReplications]))</f>
        <v>50</v>
      </c>
      <c r="O533" cm="1">
        <f t="array" ref="O533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533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533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533" cm="1">
        <f t="array" ref="S533">MIN(IF((ContinuousStatsTable[GroupByKey]=ContinuousStatsTable[[#This Row],[GroupByKey]]),(ContinuousStatsTable[GroupByKey]=ContinuousStatsTable[[#This Row],[GroupByKey]])*ContinuousStatsTable[Average]))</f>
        <v>0.52470641844357602</v>
      </c>
      <c r="T533" cm="1">
        <f t="array" ref="T533">MAX(IF((ContinuousStatsTable[GroupByKey]=ContinuousStatsTable[[#This Row],[GroupByKey]]),(ContinuousStatsTable[GroupByKey]=ContinuousStatsTable[[#This Row],[GroupByKey]])*ContinuousStatsTable[Average]))</f>
        <v>0.57005812966092095</v>
      </c>
      <c r="U533">
        <f>IF((ContinuousStatsTable[[#This Row],[RepsRequested]]&gt;1),ContinuousStatsTable[[#This Row],[HalfWidth]],ContinuousStatsTable[[#This Row],[BatchMeansHalfWidth]])</f>
        <v>2.9048243757695521E-3</v>
      </c>
    </row>
    <row r="534" spans="1:21" x14ac:dyDescent="0.25">
      <c r="A534" t="s">
        <v>68</v>
      </c>
      <c r="B534" t="s">
        <v>131</v>
      </c>
      <c r="C534">
        <v>45</v>
      </c>
      <c r="D534" t="s">
        <v>97</v>
      </c>
      <c r="E534" t="s">
        <v>100</v>
      </c>
      <c r="F534" t="s">
        <v>99</v>
      </c>
      <c r="G534">
        <v>1.6414005615370499</v>
      </c>
      <c r="H534">
        <v>6.2747021861213198E-2</v>
      </c>
      <c r="I534">
        <v>0</v>
      </c>
      <c r="J534">
        <v>2</v>
      </c>
      <c r="K534">
        <v>0</v>
      </c>
      <c r="L534">
        <v>0</v>
      </c>
      <c r="M534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534" cm="1">
        <f t="array" ref="N534">MAX(IF((ProjectInfoTable[ProjectName]=ContinuousStatsTable[[#This Row],[ProjectName]]),(ProjectInfoTable[ProjectName]=ContinuousStatsTable[[#This Row],[ProjectName]])*ProjectInfoTable[NumberOfReplications]))</f>
        <v>50</v>
      </c>
      <c r="O534" cm="1">
        <f t="array" ref="O534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34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34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34" cm="1">
        <f t="array" ref="S534">MIN(IF((ContinuousStatsTable[GroupByKey]=ContinuousStatsTable[[#This Row],[GroupByKey]]),(ContinuousStatsTable[GroupByKey]=ContinuousStatsTable[[#This Row],[GroupByKey]])*ContinuousStatsTable[Average]))</f>
        <v>1.5741192553307399</v>
      </c>
      <c r="T534" cm="1">
        <f t="array" ref="T534">MAX(IF((ContinuousStatsTable[GroupByKey]=ContinuousStatsTable[[#This Row],[GroupByKey]]),(ContinuousStatsTable[GroupByKey]=ContinuousStatsTable[[#This Row],[GroupByKey]])*ContinuousStatsTable[Average]))</f>
        <v>1.7101743889827701</v>
      </c>
      <c r="U534">
        <f>IF((ContinuousStatsTable[[#This Row],[RepsRequested]]&gt;1),ContinuousStatsTable[[#This Row],[HalfWidth]],ContinuousStatsTable[[#This Row],[BatchMeansHalfWidth]])</f>
        <v>8.7144731273084922E-3</v>
      </c>
    </row>
    <row r="535" spans="1:21" x14ac:dyDescent="0.25">
      <c r="A535" t="s">
        <v>68</v>
      </c>
      <c r="B535" t="s">
        <v>131</v>
      </c>
      <c r="C535">
        <v>45</v>
      </c>
      <c r="D535" t="s">
        <v>97</v>
      </c>
      <c r="E535" t="s">
        <v>101</v>
      </c>
      <c r="F535" t="s">
        <v>99</v>
      </c>
      <c r="G535">
        <v>3</v>
      </c>
      <c r="H535">
        <v>2E+20</v>
      </c>
      <c r="I535">
        <v>3</v>
      </c>
      <c r="J535">
        <v>3</v>
      </c>
      <c r="K535">
        <v>3</v>
      </c>
      <c r="L535">
        <v>0</v>
      </c>
      <c r="M535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535" cm="1">
        <f t="array" ref="N535">MAX(IF((ProjectInfoTable[ProjectName]=ContinuousStatsTable[[#This Row],[ProjectName]]),(ProjectInfoTable[ProjectName]=ContinuousStatsTable[[#This Row],[ProjectName]])*ProjectInfoTable[NumberOfReplications]))</f>
        <v>50</v>
      </c>
      <c r="O535" cm="1">
        <f t="array" ref="O535">IFERROR(AVERAGE(IF((ContinuousStatsTable[GroupByKey]=ContinuousStatsTable[[#This Row],[GroupByKey]]),(ContinuousStatsTable[GroupByKey]=ContinuousStatsTable[[#This Row],[GroupByKey]])*ContinuousStatsTable[Average])),0)</f>
        <v>3</v>
      </c>
      <c r="P53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0</v>
      </c>
      <c r="Q53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5" cm="1">
        <f t="array" ref="S535">MIN(IF((ContinuousStatsTable[GroupByKey]=ContinuousStatsTable[[#This Row],[GroupByKey]]),(ContinuousStatsTable[GroupByKey]=ContinuousStatsTable[[#This Row],[GroupByKey]])*ContinuousStatsTable[Average]))</f>
        <v>3</v>
      </c>
      <c r="T535" cm="1">
        <f t="array" ref="T535">MAX(IF((ContinuousStatsTable[GroupByKey]=ContinuousStatsTable[[#This Row],[GroupByKey]]),(ContinuousStatsTable[GroupByKey]=ContinuousStatsTable[[#This Row],[GroupByKey]])*ContinuousStatsTable[Average]))</f>
        <v>3</v>
      </c>
      <c r="U535">
        <f>IF((ContinuousStatsTable[[#This Row],[RepsRequested]]&gt;1),ContinuousStatsTable[[#This Row],[HalfWidth]],ContinuousStatsTable[[#This Row],[BatchMeansHalfWidth]])</f>
        <v>0</v>
      </c>
    </row>
    <row r="536" spans="1:21" x14ac:dyDescent="0.25">
      <c r="A536" t="s">
        <v>68</v>
      </c>
      <c r="B536" t="s">
        <v>131</v>
      </c>
      <c r="C536">
        <v>45</v>
      </c>
      <c r="D536" t="s">
        <v>102</v>
      </c>
      <c r="E536" t="s">
        <v>98</v>
      </c>
      <c r="F536" t="s">
        <v>99</v>
      </c>
      <c r="G536">
        <v>0.82070028076852297</v>
      </c>
      <c r="H536">
        <v>3.1373510930606599E-2</v>
      </c>
      <c r="I536">
        <v>0</v>
      </c>
      <c r="J536">
        <v>1</v>
      </c>
      <c r="K536">
        <v>0</v>
      </c>
      <c r="L536">
        <v>0</v>
      </c>
      <c r="M536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536" cm="1">
        <f t="array" ref="N536">MAX(IF((ProjectInfoTable[ProjectName]=ContinuousStatsTable[[#This Row],[ProjectName]]),(ProjectInfoTable[ProjectName]=ContinuousStatsTable[[#This Row],[ProjectName]])*ProjectInfoTable[NumberOfReplications]))</f>
        <v>50</v>
      </c>
      <c r="O536" cm="1">
        <f t="array" ref="O536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536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536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536" cm="1">
        <f t="array" ref="S536">MIN(IF((ContinuousStatsTable[GroupByKey]=ContinuousStatsTable[[#This Row],[GroupByKey]]),(ContinuousStatsTable[GroupByKey]=ContinuousStatsTable[[#This Row],[GroupByKey]])*ContinuousStatsTable[Average]))</f>
        <v>0.78705962766536897</v>
      </c>
      <c r="T536" cm="1">
        <f t="array" ref="T536">MAX(IF((ContinuousStatsTable[GroupByKey]=ContinuousStatsTable[[#This Row],[GroupByKey]]),(ContinuousStatsTable[GroupByKey]=ContinuousStatsTable[[#This Row],[GroupByKey]])*ContinuousStatsTable[Average]))</f>
        <v>0.85508719449138504</v>
      </c>
      <c r="U536">
        <f>IF((ContinuousStatsTable[[#This Row],[RepsRequested]]&gt;1),ContinuousStatsTable[[#This Row],[HalfWidth]],ContinuousStatsTable[[#This Row],[BatchMeansHalfWidth]])</f>
        <v>4.3572365636542886E-3</v>
      </c>
    </row>
    <row r="537" spans="1:21" x14ac:dyDescent="0.25">
      <c r="A537" t="s">
        <v>68</v>
      </c>
      <c r="B537" t="s">
        <v>131</v>
      </c>
      <c r="C537">
        <v>45</v>
      </c>
      <c r="D537" t="s">
        <v>102</v>
      </c>
      <c r="E537" t="s">
        <v>100</v>
      </c>
      <c r="F537" t="s">
        <v>99</v>
      </c>
      <c r="G537">
        <v>1.6414005615370499</v>
      </c>
      <c r="H537">
        <v>6.2747021861213198E-2</v>
      </c>
      <c r="I537">
        <v>0</v>
      </c>
      <c r="J537">
        <v>2</v>
      </c>
      <c r="K537">
        <v>0</v>
      </c>
      <c r="L537">
        <v>0</v>
      </c>
      <c r="M537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537" cm="1">
        <f t="array" ref="N537">MAX(IF((ProjectInfoTable[ProjectName]=ContinuousStatsTable[[#This Row],[ProjectName]]),(ProjectInfoTable[ProjectName]=ContinuousStatsTable[[#This Row],[ProjectName]])*ProjectInfoTable[NumberOfReplications]))</f>
        <v>50</v>
      </c>
      <c r="O537" cm="1">
        <f t="array" ref="O537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37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37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37" cm="1">
        <f t="array" ref="S537">MIN(IF((ContinuousStatsTable[GroupByKey]=ContinuousStatsTable[[#This Row],[GroupByKey]]),(ContinuousStatsTable[GroupByKey]=ContinuousStatsTable[[#This Row],[GroupByKey]])*ContinuousStatsTable[Average]))</f>
        <v>1.5741192553307399</v>
      </c>
      <c r="T537" cm="1">
        <f t="array" ref="T537">MAX(IF((ContinuousStatsTable[GroupByKey]=ContinuousStatsTable[[#This Row],[GroupByKey]]),(ContinuousStatsTable[GroupByKey]=ContinuousStatsTable[[#This Row],[GroupByKey]])*ContinuousStatsTable[Average]))</f>
        <v>1.7101743889827701</v>
      </c>
      <c r="U537">
        <f>IF((ContinuousStatsTable[[#This Row],[RepsRequested]]&gt;1),ContinuousStatsTable[[#This Row],[HalfWidth]],ContinuousStatsTable[[#This Row],[BatchMeansHalfWidth]])</f>
        <v>8.7144731273084922E-3</v>
      </c>
    </row>
    <row r="538" spans="1:21" x14ac:dyDescent="0.25">
      <c r="A538" t="s">
        <v>68</v>
      </c>
      <c r="B538" t="s">
        <v>131</v>
      </c>
      <c r="C538">
        <v>45</v>
      </c>
      <c r="D538" t="s">
        <v>102</v>
      </c>
      <c r="E538" t="s">
        <v>101</v>
      </c>
      <c r="F538" t="s">
        <v>99</v>
      </c>
      <c r="G538">
        <v>2</v>
      </c>
      <c r="H538">
        <v>2E+20</v>
      </c>
      <c r="I538">
        <v>2</v>
      </c>
      <c r="J538">
        <v>2</v>
      </c>
      <c r="K538">
        <v>2</v>
      </c>
      <c r="L538">
        <v>0</v>
      </c>
      <c r="M538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538" cm="1">
        <f t="array" ref="N538">MAX(IF((ProjectInfoTable[ProjectName]=ContinuousStatsTable[[#This Row],[ProjectName]]),(ProjectInfoTable[ProjectName]=ContinuousStatsTable[[#This Row],[ProjectName]])*ProjectInfoTable[NumberOfReplications]))</f>
        <v>50</v>
      </c>
      <c r="O538" cm="1">
        <f t="array" ref="O538">IFERROR(AVERAGE(IF((ContinuousStatsTable[GroupByKey]=ContinuousStatsTable[[#This Row],[GroupByKey]]),(ContinuousStatsTable[GroupByKey]=ContinuousStatsTable[[#This Row],[GroupByKey]])*ContinuousStatsTable[Average])),0)</f>
        <v>2</v>
      </c>
      <c r="P538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</v>
      </c>
      <c r="Q538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8" cm="1">
        <f t="array" ref="S538">MIN(IF((ContinuousStatsTable[GroupByKey]=ContinuousStatsTable[[#This Row],[GroupByKey]]),(ContinuousStatsTable[GroupByKey]=ContinuousStatsTable[[#This Row],[GroupByKey]])*ContinuousStatsTable[Average]))</f>
        <v>2</v>
      </c>
      <c r="T538" cm="1">
        <f t="array" ref="T538">MAX(IF((ContinuousStatsTable[GroupByKey]=ContinuousStatsTable[[#This Row],[GroupByKey]]),(ContinuousStatsTable[GroupByKey]=ContinuousStatsTable[[#This Row],[GroupByKey]])*ContinuousStatsTable[Average]))</f>
        <v>2</v>
      </c>
      <c r="U538">
        <f>IF((ContinuousStatsTable[[#This Row],[RepsRequested]]&gt;1),ContinuousStatsTable[[#This Row],[HalfWidth]],ContinuousStatsTable[[#This Row],[BatchMeansHalfWidth]])</f>
        <v>0</v>
      </c>
    </row>
    <row r="539" spans="1:21" x14ac:dyDescent="0.25">
      <c r="A539" t="s">
        <v>68</v>
      </c>
      <c r="B539" t="s">
        <v>131</v>
      </c>
      <c r="C539">
        <v>45</v>
      </c>
      <c r="D539" t="s">
        <v>103</v>
      </c>
      <c r="E539" t="s">
        <v>98</v>
      </c>
      <c r="F539" t="s">
        <v>99</v>
      </c>
      <c r="G539">
        <v>0.47472904889996997</v>
      </c>
      <c r="H539">
        <v>2.12014915395424E-2</v>
      </c>
      <c r="I539">
        <v>0</v>
      </c>
      <c r="J539">
        <v>1</v>
      </c>
      <c r="K539">
        <v>0</v>
      </c>
      <c r="L539">
        <v>0</v>
      </c>
      <c r="M539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539" cm="1">
        <f t="array" ref="N539">MAX(IF((ProjectInfoTable[ProjectName]=ContinuousStatsTable[[#This Row],[ProjectName]]),(ProjectInfoTable[ProjectName]=ContinuousStatsTable[[#This Row],[ProjectName]])*ProjectInfoTable[NumberOfReplications]))</f>
        <v>50</v>
      </c>
      <c r="O539" cm="1">
        <f t="array" ref="O539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39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39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39" cm="1">
        <f t="array" ref="S539">MIN(IF((ContinuousStatsTable[GroupByKey]=ContinuousStatsTable[[#This Row],[GroupByKey]]),(ContinuousStatsTable[GroupByKey]=ContinuousStatsTable[[#This Row],[GroupByKey]])*ContinuousStatsTable[Average]))</f>
        <v>0.452397944183905</v>
      </c>
      <c r="T539" cm="1">
        <f t="array" ref="T539">MAX(IF((ContinuousStatsTable[GroupByKey]=ContinuousStatsTable[[#This Row],[GroupByKey]]),(ContinuousStatsTable[GroupByKey]=ContinuousStatsTable[[#This Row],[GroupByKey]])*ContinuousStatsTable[Average]))</f>
        <v>0.49691123629694001</v>
      </c>
      <c r="U539">
        <f>IF((ContinuousStatsTable[[#This Row],[RepsRequested]]&gt;1),ContinuousStatsTable[[#This Row],[HalfWidth]],ContinuousStatsTable[[#This Row],[BatchMeansHalfWidth]])</f>
        <v>2.7457743728226142E-3</v>
      </c>
    </row>
    <row r="540" spans="1:21" x14ac:dyDescent="0.25">
      <c r="A540" t="s">
        <v>68</v>
      </c>
      <c r="B540" t="s">
        <v>131</v>
      </c>
      <c r="C540">
        <v>45</v>
      </c>
      <c r="D540" t="s">
        <v>103</v>
      </c>
      <c r="E540" t="s">
        <v>100</v>
      </c>
      <c r="F540" t="s">
        <v>99</v>
      </c>
      <c r="G540">
        <v>0.47472904889996997</v>
      </c>
      <c r="H540">
        <v>2.12014915395424E-2</v>
      </c>
      <c r="I540">
        <v>0</v>
      </c>
      <c r="J540">
        <v>1</v>
      </c>
      <c r="K540">
        <v>0</v>
      </c>
      <c r="L540">
        <v>0</v>
      </c>
      <c r="M540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540" cm="1">
        <f t="array" ref="N540">MAX(IF((ProjectInfoTable[ProjectName]=ContinuousStatsTable[[#This Row],[ProjectName]]),(ProjectInfoTable[ProjectName]=ContinuousStatsTable[[#This Row],[ProjectName]])*ProjectInfoTable[NumberOfReplications]))</f>
        <v>50</v>
      </c>
      <c r="O540" cm="1">
        <f t="array" ref="O540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40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40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40" cm="1">
        <f t="array" ref="S540">MIN(IF((ContinuousStatsTable[GroupByKey]=ContinuousStatsTable[[#This Row],[GroupByKey]]),(ContinuousStatsTable[GroupByKey]=ContinuousStatsTable[[#This Row],[GroupByKey]])*ContinuousStatsTable[Average]))</f>
        <v>0.452397944183905</v>
      </c>
      <c r="T540" cm="1">
        <f t="array" ref="T540">MAX(IF((ContinuousStatsTable[GroupByKey]=ContinuousStatsTable[[#This Row],[GroupByKey]]),(ContinuousStatsTable[GroupByKey]=ContinuousStatsTable[[#This Row],[GroupByKey]])*ContinuousStatsTable[Average]))</f>
        <v>0.49691123629694001</v>
      </c>
      <c r="U540">
        <f>IF((ContinuousStatsTable[[#This Row],[RepsRequested]]&gt;1),ContinuousStatsTable[[#This Row],[HalfWidth]],ContinuousStatsTable[[#This Row],[BatchMeansHalfWidth]])</f>
        <v>2.7457743728226142E-3</v>
      </c>
    </row>
    <row r="541" spans="1:21" x14ac:dyDescent="0.25">
      <c r="A541" t="s">
        <v>68</v>
      </c>
      <c r="B541" t="s">
        <v>131</v>
      </c>
      <c r="C541">
        <v>45</v>
      </c>
      <c r="D541" t="s">
        <v>103</v>
      </c>
      <c r="E541" t="s">
        <v>101</v>
      </c>
      <c r="F541" t="s">
        <v>99</v>
      </c>
      <c r="G541">
        <v>1</v>
      </c>
      <c r="H541">
        <v>2E+20</v>
      </c>
      <c r="I541">
        <v>1</v>
      </c>
      <c r="J541">
        <v>1</v>
      </c>
      <c r="K541">
        <v>1</v>
      </c>
      <c r="L541">
        <v>0</v>
      </c>
      <c r="M541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541" cm="1">
        <f t="array" ref="N541">MAX(IF((ProjectInfoTable[ProjectName]=ContinuousStatsTable[[#This Row],[ProjectName]]),(ProjectInfoTable[ProjectName]=ContinuousStatsTable[[#This Row],[ProjectName]])*ProjectInfoTable[NumberOfReplications]))</f>
        <v>50</v>
      </c>
      <c r="O541" cm="1">
        <f t="array" ref="O541">IFERROR(AVERAGE(IF((ContinuousStatsTable[GroupByKey]=ContinuousStatsTable[[#This Row],[GroupByKey]]),(ContinuousStatsTable[GroupByKey]=ContinuousStatsTable[[#This Row],[GroupByKey]])*ContinuousStatsTable[Average])),0)</f>
        <v>1</v>
      </c>
      <c r="P541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0</v>
      </c>
      <c r="Q541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1" cm="1">
        <f t="array" ref="S541">MIN(IF((ContinuousStatsTable[GroupByKey]=ContinuousStatsTable[[#This Row],[GroupByKey]]),(ContinuousStatsTable[GroupByKey]=ContinuousStatsTable[[#This Row],[GroupByKey]])*ContinuousStatsTable[Average]))</f>
        <v>1</v>
      </c>
      <c r="T541" cm="1">
        <f t="array" ref="T541">MAX(IF((ContinuousStatsTable[GroupByKey]=ContinuousStatsTable[[#This Row],[GroupByKey]]),(ContinuousStatsTable[GroupByKey]=ContinuousStatsTable[[#This Row],[GroupByKey]])*ContinuousStatsTable[Average]))</f>
        <v>1</v>
      </c>
      <c r="U541">
        <f>IF((ContinuousStatsTable[[#This Row],[RepsRequested]]&gt;1),ContinuousStatsTable[[#This Row],[HalfWidth]],ContinuousStatsTable[[#This Row],[BatchMeansHalfWidth]])</f>
        <v>0</v>
      </c>
    </row>
    <row r="542" spans="1:21" x14ac:dyDescent="0.25">
      <c r="A542" t="s">
        <v>68</v>
      </c>
      <c r="B542" t="s">
        <v>131</v>
      </c>
      <c r="C542">
        <v>46</v>
      </c>
      <c r="D542" t="s">
        <v>70</v>
      </c>
      <c r="E542" t="s">
        <v>95</v>
      </c>
      <c r="F542" t="s">
        <v>72</v>
      </c>
      <c r="G542">
        <v>5.0564636064156803</v>
      </c>
      <c r="H542">
        <v>1.14249413895732</v>
      </c>
      <c r="I542">
        <v>0</v>
      </c>
      <c r="J542">
        <v>21</v>
      </c>
      <c r="K542">
        <v>0</v>
      </c>
      <c r="L542">
        <v>0</v>
      </c>
      <c r="M542" t="str">
        <f>ContinuousStatsTable[[#This Row],[ProjectName]]&amp;ContinuousStatsTable[[#This Row],[Name]]&amp;ContinuousStatsTable[[#This Row],[Type]]&amp;ContinuousStatsTable[[#This Row],[Source]]</f>
        <v>PacientesEntity 1WIPEntity</v>
      </c>
      <c r="N542" cm="1">
        <f t="array" ref="N542">MAX(IF((ProjectInfoTable[ProjectName]=ContinuousStatsTable[[#This Row],[ProjectName]]),(ProjectInfoTable[ProjectName]=ContinuousStatsTable[[#This Row],[ProjectName]])*ProjectInfoTable[NumberOfReplications]))</f>
        <v>50</v>
      </c>
      <c r="O542" cm="1">
        <f t="array" ref="O542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542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542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542" cm="1">
        <f t="array" ref="S542">MIN(IF((ContinuousStatsTable[GroupByKey]=ContinuousStatsTable[[#This Row],[GroupByKey]]),(ContinuousStatsTable[GroupByKey]=ContinuousStatsTable[[#This Row],[GroupByKey]])*ContinuousStatsTable[Average]))</f>
        <v>3.9757448048151298</v>
      </c>
      <c r="T542" cm="1">
        <f t="array" ref="T542">MAX(IF((ContinuousStatsTable[GroupByKey]=ContinuousStatsTable[[#This Row],[GroupByKey]]),(ContinuousStatsTable[GroupByKey]=ContinuousStatsTable[[#This Row],[GroupByKey]])*ContinuousStatsTable[Average]))</f>
        <v>6.9386840633215803</v>
      </c>
      <c r="U542">
        <f>IF((ContinuousStatsTable[[#This Row],[RepsRequested]]&gt;1),ContinuousStatsTable[[#This Row],[HalfWidth]],ContinuousStatsTable[[#This Row],[BatchMeansHalfWidth]])</f>
        <v>0.22030607219171747</v>
      </c>
    </row>
    <row r="543" spans="1:21" x14ac:dyDescent="0.25">
      <c r="A543" t="s">
        <v>68</v>
      </c>
      <c r="B543" t="s">
        <v>131</v>
      </c>
      <c r="C543">
        <v>46</v>
      </c>
      <c r="D543" t="s">
        <v>83</v>
      </c>
      <c r="E543" t="s">
        <v>96</v>
      </c>
      <c r="F543" t="s">
        <v>85</v>
      </c>
      <c r="G543">
        <v>2.71793816507342</v>
      </c>
      <c r="H543">
        <v>1.05170772388985</v>
      </c>
      <c r="I543">
        <v>0</v>
      </c>
      <c r="J543">
        <v>18</v>
      </c>
      <c r="K543">
        <v>0</v>
      </c>
      <c r="L543">
        <v>0</v>
      </c>
      <c r="M543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543" cm="1">
        <f t="array" ref="N543">MAX(IF((ProjectInfoTable[ProjectName]=ContinuousStatsTable[[#This Row],[ProjectName]]),(ProjectInfoTable[ProjectName]=ContinuousStatsTable[[#This Row],[ProjectName]])*ProjectInfoTable[NumberOfReplications]))</f>
        <v>50</v>
      </c>
      <c r="O543" cm="1">
        <f t="array" ref="O543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543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543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543" cm="1">
        <f t="array" ref="S543">MIN(IF((ContinuousStatsTable[GroupByKey]=ContinuousStatsTable[[#This Row],[GroupByKey]]),(ContinuousStatsTable[GroupByKey]=ContinuousStatsTable[[#This Row],[GroupByKey]])*ContinuousStatsTable[Average]))</f>
        <v>1.7200278735122601</v>
      </c>
      <c r="T543" cm="1">
        <f t="array" ref="T543">MAX(IF((ContinuousStatsTable[GroupByKey]=ContinuousStatsTable[[#This Row],[GroupByKey]]),(ContinuousStatsTable[GroupByKey]=ContinuousStatsTable[[#This Row],[GroupByKey]])*ContinuousStatsTable[Average]))</f>
        <v>4.5543512780988502</v>
      </c>
      <c r="U543">
        <f>IF((ContinuousStatsTable[[#This Row],[RepsRequested]]&gt;1),ContinuousStatsTable[[#This Row],[HalfWidth]],ContinuousStatsTable[[#This Row],[BatchMeansHalfWidth]])</f>
        <v>0.21041231434540877</v>
      </c>
    </row>
    <row r="544" spans="1:21" x14ac:dyDescent="0.25">
      <c r="A544" t="s">
        <v>68</v>
      </c>
      <c r="B544" t="s">
        <v>131</v>
      </c>
      <c r="C544">
        <v>46</v>
      </c>
      <c r="D544" t="s">
        <v>87</v>
      </c>
      <c r="E544" t="s">
        <v>96</v>
      </c>
      <c r="F544" t="s">
        <v>85</v>
      </c>
      <c r="G544">
        <v>0.211796039218377</v>
      </c>
      <c r="H544">
        <v>3E+20</v>
      </c>
      <c r="I544">
        <v>0</v>
      </c>
      <c r="J544">
        <v>5</v>
      </c>
      <c r="K544">
        <v>0</v>
      </c>
      <c r="L544">
        <v>0</v>
      </c>
      <c r="M544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544" cm="1">
        <f t="array" ref="N544">MAX(IF((ProjectInfoTable[ProjectName]=ContinuousStatsTable[[#This Row],[ProjectName]]),(ProjectInfoTable[ProjectName]=ContinuousStatsTable[[#This Row],[ProjectName]])*ProjectInfoTable[NumberOfReplications]))</f>
        <v>50</v>
      </c>
      <c r="O544" cm="1">
        <f t="array" ref="O544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544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544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544" cm="1">
        <f t="array" ref="S544">MIN(IF((ContinuousStatsTable[GroupByKey]=ContinuousStatsTable[[#This Row],[GroupByKey]]),(ContinuousStatsTable[GroupByKey]=ContinuousStatsTable[[#This Row],[GroupByKey]])*ContinuousStatsTable[Average]))</f>
        <v>0.172815232766103</v>
      </c>
      <c r="T544" cm="1">
        <f t="array" ref="T544">MAX(IF((ContinuousStatsTable[GroupByKey]=ContinuousStatsTable[[#This Row],[GroupByKey]]),(ContinuousStatsTable[GroupByKey]=ContinuousStatsTable[[#This Row],[GroupByKey]])*ContinuousStatsTable[Average]))</f>
        <v>0.24783514900621301</v>
      </c>
      <c r="U544">
        <f>IF((ContinuousStatsTable[[#This Row],[RepsRequested]]&gt;1),ContinuousStatsTable[[#This Row],[HalfWidth]],ContinuousStatsTable[[#This Row],[BatchMeansHalfWidth]])</f>
        <v>4.7768909384897544E-3</v>
      </c>
    </row>
    <row r="545" spans="1:21" x14ac:dyDescent="0.25">
      <c r="A545" t="s">
        <v>68</v>
      </c>
      <c r="B545" t="s">
        <v>131</v>
      </c>
      <c r="C545">
        <v>46</v>
      </c>
      <c r="D545" t="s">
        <v>97</v>
      </c>
      <c r="E545" t="s">
        <v>98</v>
      </c>
      <c r="F545" t="s">
        <v>99</v>
      </c>
      <c r="G545">
        <v>0.55181178454025803</v>
      </c>
      <c r="H545">
        <v>2.4658042352337199E-2</v>
      </c>
      <c r="I545">
        <v>0</v>
      </c>
      <c r="J545">
        <v>0.66666666666666696</v>
      </c>
      <c r="K545">
        <v>0</v>
      </c>
      <c r="L545">
        <v>0</v>
      </c>
      <c r="M545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545" cm="1">
        <f t="array" ref="N545">MAX(IF((ProjectInfoTable[ProjectName]=ContinuousStatsTable[[#This Row],[ProjectName]]),(ProjectInfoTable[ProjectName]=ContinuousStatsTable[[#This Row],[ProjectName]])*ProjectInfoTable[NumberOfReplications]))</f>
        <v>50</v>
      </c>
      <c r="O545" cm="1">
        <f t="array" ref="O545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54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54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545" cm="1">
        <f t="array" ref="S545">MIN(IF((ContinuousStatsTable[GroupByKey]=ContinuousStatsTable[[#This Row],[GroupByKey]]),(ContinuousStatsTable[GroupByKey]=ContinuousStatsTable[[#This Row],[GroupByKey]])*ContinuousStatsTable[Average]))</f>
        <v>0.52470641844357602</v>
      </c>
      <c r="T545" cm="1">
        <f t="array" ref="T545">MAX(IF((ContinuousStatsTable[GroupByKey]=ContinuousStatsTable[[#This Row],[GroupByKey]]),(ContinuousStatsTable[GroupByKey]=ContinuousStatsTable[[#This Row],[GroupByKey]])*ContinuousStatsTable[Average]))</f>
        <v>0.57005812966092095</v>
      </c>
      <c r="U545">
        <f>IF((ContinuousStatsTable[[#This Row],[RepsRequested]]&gt;1),ContinuousStatsTable[[#This Row],[HalfWidth]],ContinuousStatsTable[[#This Row],[BatchMeansHalfWidth]])</f>
        <v>2.9048243757695521E-3</v>
      </c>
    </row>
    <row r="546" spans="1:21" x14ac:dyDescent="0.25">
      <c r="A546" t="s">
        <v>68</v>
      </c>
      <c r="B546" t="s">
        <v>131</v>
      </c>
      <c r="C546">
        <v>46</v>
      </c>
      <c r="D546" t="s">
        <v>97</v>
      </c>
      <c r="E546" t="s">
        <v>100</v>
      </c>
      <c r="F546" t="s">
        <v>99</v>
      </c>
      <c r="G546">
        <v>1.65543535362077</v>
      </c>
      <c r="H546">
        <v>7.3974127057011702E-2</v>
      </c>
      <c r="I546">
        <v>0</v>
      </c>
      <c r="J546">
        <v>2</v>
      </c>
      <c r="K546">
        <v>0</v>
      </c>
      <c r="L546">
        <v>0</v>
      </c>
      <c r="M546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546" cm="1">
        <f t="array" ref="N546">MAX(IF((ProjectInfoTable[ProjectName]=ContinuousStatsTable[[#This Row],[ProjectName]]),(ProjectInfoTable[ProjectName]=ContinuousStatsTable[[#This Row],[ProjectName]])*ProjectInfoTable[NumberOfReplications]))</f>
        <v>50</v>
      </c>
      <c r="O546" cm="1">
        <f t="array" ref="O546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46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46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46" cm="1">
        <f t="array" ref="S546">MIN(IF((ContinuousStatsTable[GroupByKey]=ContinuousStatsTable[[#This Row],[GroupByKey]]),(ContinuousStatsTable[GroupByKey]=ContinuousStatsTable[[#This Row],[GroupByKey]])*ContinuousStatsTable[Average]))</f>
        <v>1.5741192553307399</v>
      </c>
      <c r="T546" cm="1">
        <f t="array" ref="T546">MAX(IF((ContinuousStatsTable[GroupByKey]=ContinuousStatsTable[[#This Row],[GroupByKey]]),(ContinuousStatsTable[GroupByKey]=ContinuousStatsTable[[#This Row],[GroupByKey]])*ContinuousStatsTable[Average]))</f>
        <v>1.7101743889827701</v>
      </c>
      <c r="U546">
        <f>IF((ContinuousStatsTable[[#This Row],[RepsRequested]]&gt;1),ContinuousStatsTable[[#This Row],[HalfWidth]],ContinuousStatsTable[[#This Row],[BatchMeansHalfWidth]])</f>
        <v>8.7144731273084922E-3</v>
      </c>
    </row>
    <row r="547" spans="1:21" x14ac:dyDescent="0.25">
      <c r="A547" t="s">
        <v>68</v>
      </c>
      <c r="B547" t="s">
        <v>131</v>
      </c>
      <c r="C547">
        <v>46</v>
      </c>
      <c r="D547" t="s">
        <v>97</v>
      </c>
      <c r="E547" t="s">
        <v>101</v>
      </c>
      <c r="F547" t="s">
        <v>99</v>
      </c>
      <c r="G547">
        <v>3</v>
      </c>
      <c r="H547">
        <v>2E+20</v>
      </c>
      <c r="I547">
        <v>3</v>
      </c>
      <c r="J547">
        <v>3</v>
      </c>
      <c r="K547">
        <v>3</v>
      </c>
      <c r="L547">
        <v>0</v>
      </c>
      <c r="M547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547" cm="1">
        <f t="array" ref="N547">MAX(IF((ProjectInfoTable[ProjectName]=ContinuousStatsTable[[#This Row],[ProjectName]]),(ProjectInfoTable[ProjectName]=ContinuousStatsTable[[#This Row],[ProjectName]])*ProjectInfoTable[NumberOfReplications]))</f>
        <v>50</v>
      </c>
      <c r="O547" cm="1">
        <f t="array" ref="O547">IFERROR(AVERAGE(IF((ContinuousStatsTable[GroupByKey]=ContinuousStatsTable[[#This Row],[GroupByKey]]),(ContinuousStatsTable[GroupByKey]=ContinuousStatsTable[[#This Row],[GroupByKey]])*ContinuousStatsTable[Average])),0)</f>
        <v>3</v>
      </c>
      <c r="P547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cm="1">
        <f t="array" ref="S547">MIN(IF((ContinuousStatsTable[GroupByKey]=ContinuousStatsTable[[#This Row],[GroupByKey]]),(ContinuousStatsTable[GroupByKey]=ContinuousStatsTable[[#This Row],[GroupByKey]])*ContinuousStatsTable[Average]))</f>
        <v>3</v>
      </c>
      <c r="T547" cm="1">
        <f t="array" ref="T547">MAX(IF((ContinuousStatsTable[GroupByKey]=ContinuousStatsTable[[#This Row],[GroupByKey]]),(ContinuousStatsTable[GroupByKey]=ContinuousStatsTable[[#This Row],[GroupByKey]])*ContinuousStatsTable[Average]))</f>
        <v>3</v>
      </c>
      <c r="U547">
        <f>IF((ContinuousStatsTable[[#This Row],[RepsRequested]]&gt;1),ContinuousStatsTable[[#This Row],[HalfWidth]],ContinuousStatsTable[[#This Row],[BatchMeansHalfWidth]])</f>
        <v>0</v>
      </c>
    </row>
    <row r="548" spans="1:21" x14ac:dyDescent="0.25">
      <c r="A548" t="s">
        <v>68</v>
      </c>
      <c r="B548" t="s">
        <v>131</v>
      </c>
      <c r="C548">
        <v>46</v>
      </c>
      <c r="D548" t="s">
        <v>102</v>
      </c>
      <c r="E548" t="s">
        <v>98</v>
      </c>
      <c r="F548" t="s">
        <v>99</v>
      </c>
      <c r="G548">
        <v>0.82771767681038699</v>
      </c>
      <c r="H548">
        <v>3.6987063528505802E-2</v>
      </c>
      <c r="I548">
        <v>0</v>
      </c>
      <c r="J548">
        <v>1</v>
      </c>
      <c r="K548">
        <v>0</v>
      </c>
      <c r="L548">
        <v>0</v>
      </c>
      <c r="M548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548" cm="1">
        <f t="array" ref="N548">MAX(IF((ProjectInfoTable[ProjectName]=ContinuousStatsTable[[#This Row],[ProjectName]]),(ProjectInfoTable[ProjectName]=ContinuousStatsTable[[#This Row],[ProjectName]])*ProjectInfoTable[NumberOfReplications]))</f>
        <v>50</v>
      </c>
      <c r="O548" cm="1">
        <f t="array" ref="O548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548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548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548" cm="1">
        <f t="array" ref="S548">MIN(IF((ContinuousStatsTable[GroupByKey]=ContinuousStatsTable[[#This Row],[GroupByKey]]),(ContinuousStatsTable[GroupByKey]=ContinuousStatsTable[[#This Row],[GroupByKey]])*ContinuousStatsTable[Average]))</f>
        <v>0.78705962766536897</v>
      </c>
      <c r="T548" cm="1">
        <f t="array" ref="T548">MAX(IF((ContinuousStatsTable[GroupByKey]=ContinuousStatsTable[[#This Row],[GroupByKey]]),(ContinuousStatsTable[GroupByKey]=ContinuousStatsTable[[#This Row],[GroupByKey]])*ContinuousStatsTable[Average]))</f>
        <v>0.85508719449138504</v>
      </c>
      <c r="U548">
        <f>IF((ContinuousStatsTable[[#This Row],[RepsRequested]]&gt;1),ContinuousStatsTable[[#This Row],[HalfWidth]],ContinuousStatsTable[[#This Row],[BatchMeansHalfWidth]])</f>
        <v>4.3572365636542886E-3</v>
      </c>
    </row>
    <row r="549" spans="1:21" x14ac:dyDescent="0.25">
      <c r="A549" t="s">
        <v>68</v>
      </c>
      <c r="B549" t="s">
        <v>131</v>
      </c>
      <c r="C549">
        <v>46</v>
      </c>
      <c r="D549" t="s">
        <v>102</v>
      </c>
      <c r="E549" t="s">
        <v>100</v>
      </c>
      <c r="F549" t="s">
        <v>99</v>
      </c>
      <c r="G549">
        <v>1.65543535362077</v>
      </c>
      <c r="H549">
        <v>7.3974127057011702E-2</v>
      </c>
      <c r="I549">
        <v>0</v>
      </c>
      <c r="J549">
        <v>2</v>
      </c>
      <c r="K549">
        <v>0</v>
      </c>
      <c r="L549">
        <v>0</v>
      </c>
      <c r="M549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549" cm="1">
        <f t="array" ref="N549">MAX(IF((ProjectInfoTable[ProjectName]=ContinuousStatsTable[[#This Row],[ProjectName]]),(ProjectInfoTable[ProjectName]=ContinuousStatsTable[[#This Row],[ProjectName]])*ProjectInfoTable[NumberOfReplications]))</f>
        <v>50</v>
      </c>
      <c r="O549" cm="1">
        <f t="array" ref="O549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49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49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49" cm="1">
        <f t="array" ref="S549">MIN(IF((ContinuousStatsTable[GroupByKey]=ContinuousStatsTable[[#This Row],[GroupByKey]]),(ContinuousStatsTable[GroupByKey]=ContinuousStatsTable[[#This Row],[GroupByKey]])*ContinuousStatsTable[Average]))</f>
        <v>1.5741192553307399</v>
      </c>
      <c r="T549" cm="1">
        <f t="array" ref="T549">MAX(IF((ContinuousStatsTable[GroupByKey]=ContinuousStatsTable[[#This Row],[GroupByKey]]),(ContinuousStatsTable[GroupByKey]=ContinuousStatsTable[[#This Row],[GroupByKey]])*ContinuousStatsTable[Average]))</f>
        <v>1.7101743889827701</v>
      </c>
      <c r="U549">
        <f>IF((ContinuousStatsTable[[#This Row],[RepsRequested]]&gt;1),ContinuousStatsTable[[#This Row],[HalfWidth]],ContinuousStatsTable[[#This Row],[BatchMeansHalfWidth]])</f>
        <v>8.7144731273084922E-3</v>
      </c>
    </row>
    <row r="550" spans="1:21" x14ac:dyDescent="0.25">
      <c r="A550" t="s">
        <v>68</v>
      </c>
      <c r="B550" t="s">
        <v>131</v>
      </c>
      <c r="C550">
        <v>46</v>
      </c>
      <c r="D550" t="s">
        <v>102</v>
      </c>
      <c r="E550" t="s">
        <v>101</v>
      </c>
      <c r="F550" t="s">
        <v>99</v>
      </c>
      <c r="G550">
        <v>2</v>
      </c>
      <c r="H550">
        <v>2E+20</v>
      </c>
      <c r="I550">
        <v>2</v>
      </c>
      <c r="J550">
        <v>2</v>
      </c>
      <c r="K550">
        <v>2</v>
      </c>
      <c r="L550">
        <v>0</v>
      </c>
      <c r="M550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550" cm="1">
        <f t="array" ref="N550">MAX(IF((ProjectInfoTable[ProjectName]=ContinuousStatsTable[[#This Row],[ProjectName]]),(ProjectInfoTable[ProjectName]=ContinuousStatsTable[[#This Row],[ProjectName]])*ProjectInfoTable[NumberOfReplications]))</f>
        <v>50</v>
      </c>
      <c r="O550" cm="1">
        <f t="array" ref="O550">IFERROR(AVERAGE(IF((ContinuousStatsTable[GroupByKey]=ContinuousStatsTable[[#This Row],[GroupByKey]]),(ContinuousStatsTable[GroupByKey]=ContinuousStatsTable[[#This Row],[GroupByKey]])*ContinuousStatsTable[Average])),0)</f>
        <v>2</v>
      </c>
      <c r="P550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</v>
      </c>
      <c r="Q550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0" cm="1">
        <f t="array" ref="S550">MIN(IF((ContinuousStatsTable[GroupByKey]=ContinuousStatsTable[[#This Row],[GroupByKey]]),(ContinuousStatsTable[GroupByKey]=ContinuousStatsTable[[#This Row],[GroupByKey]])*ContinuousStatsTable[Average]))</f>
        <v>2</v>
      </c>
      <c r="T550" cm="1">
        <f t="array" ref="T550">MAX(IF((ContinuousStatsTable[GroupByKey]=ContinuousStatsTable[[#This Row],[GroupByKey]]),(ContinuousStatsTable[GroupByKey]=ContinuousStatsTable[[#This Row],[GroupByKey]])*ContinuousStatsTable[Average]))</f>
        <v>2</v>
      </c>
      <c r="U550">
        <f>IF((ContinuousStatsTable[[#This Row],[RepsRequested]]&gt;1),ContinuousStatsTable[[#This Row],[HalfWidth]],ContinuousStatsTable[[#This Row],[BatchMeansHalfWidth]])</f>
        <v>0</v>
      </c>
    </row>
    <row r="551" spans="1:21" x14ac:dyDescent="0.25">
      <c r="A551" t="s">
        <v>68</v>
      </c>
      <c r="B551" t="s">
        <v>131</v>
      </c>
      <c r="C551">
        <v>46</v>
      </c>
      <c r="D551" t="s">
        <v>103</v>
      </c>
      <c r="E551" t="s">
        <v>98</v>
      </c>
      <c r="F551" t="s">
        <v>99</v>
      </c>
      <c r="G551">
        <v>0.47129404850311701</v>
      </c>
      <c r="H551">
        <v>2.32742746099826E-2</v>
      </c>
      <c r="I551">
        <v>0</v>
      </c>
      <c r="J551">
        <v>1</v>
      </c>
      <c r="K551">
        <v>0</v>
      </c>
      <c r="L551">
        <v>0</v>
      </c>
      <c r="M551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551" cm="1">
        <f t="array" ref="N551">MAX(IF((ProjectInfoTable[ProjectName]=ContinuousStatsTable[[#This Row],[ProjectName]]),(ProjectInfoTable[ProjectName]=ContinuousStatsTable[[#This Row],[ProjectName]])*ProjectInfoTable[NumberOfReplications]))</f>
        <v>50</v>
      </c>
      <c r="O551" cm="1">
        <f t="array" ref="O551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51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51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51" cm="1">
        <f t="array" ref="S551">MIN(IF((ContinuousStatsTable[GroupByKey]=ContinuousStatsTable[[#This Row],[GroupByKey]]),(ContinuousStatsTable[GroupByKey]=ContinuousStatsTable[[#This Row],[GroupByKey]])*ContinuousStatsTable[Average]))</f>
        <v>0.452397944183905</v>
      </c>
      <c r="T551" cm="1">
        <f t="array" ref="T551">MAX(IF((ContinuousStatsTable[GroupByKey]=ContinuousStatsTable[[#This Row],[GroupByKey]]),(ContinuousStatsTable[GroupByKey]=ContinuousStatsTable[[#This Row],[GroupByKey]])*ContinuousStatsTable[Average]))</f>
        <v>0.49691123629694001</v>
      </c>
      <c r="U551">
        <f>IF((ContinuousStatsTable[[#This Row],[RepsRequested]]&gt;1),ContinuousStatsTable[[#This Row],[HalfWidth]],ContinuousStatsTable[[#This Row],[BatchMeansHalfWidth]])</f>
        <v>2.7457743728226142E-3</v>
      </c>
    </row>
    <row r="552" spans="1:21" x14ac:dyDescent="0.25">
      <c r="A552" t="s">
        <v>68</v>
      </c>
      <c r="B552" t="s">
        <v>131</v>
      </c>
      <c r="C552">
        <v>46</v>
      </c>
      <c r="D552" t="s">
        <v>103</v>
      </c>
      <c r="E552" t="s">
        <v>100</v>
      </c>
      <c r="F552" t="s">
        <v>99</v>
      </c>
      <c r="G552">
        <v>0.47129404850311701</v>
      </c>
      <c r="H552">
        <v>2.32742746099826E-2</v>
      </c>
      <c r="I552">
        <v>0</v>
      </c>
      <c r="J552">
        <v>1</v>
      </c>
      <c r="K552">
        <v>0</v>
      </c>
      <c r="L552">
        <v>0</v>
      </c>
      <c r="M552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552" cm="1">
        <f t="array" ref="N552">MAX(IF((ProjectInfoTable[ProjectName]=ContinuousStatsTable[[#This Row],[ProjectName]]),(ProjectInfoTable[ProjectName]=ContinuousStatsTable[[#This Row],[ProjectName]])*ProjectInfoTable[NumberOfReplications]))</f>
        <v>50</v>
      </c>
      <c r="O552" cm="1">
        <f t="array" ref="O552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52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52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52" cm="1">
        <f t="array" ref="S552">MIN(IF((ContinuousStatsTable[GroupByKey]=ContinuousStatsTable[[#This Row],[GroupByKey]]),(ContinuousStatsTable[GroupByKey]=ContinuousStatsTable[[#This Row],[GroupByKey]])*ContinuousStatsTable[Average]))</f>
        <v>0.452397944183905</v>
      </c>
      <c r="T552" cm="1">
        <f t="array" ref="T552">MAX(IF((ContinuousStatsTable[GroupByKey]=ContinuousStatsTable[[#This Row],[GroupByKey]]),(ContinuousStatsTable[GroupByKey]=ContinuousStatsTable[[#This Row],[GroupByKey]])*ContinuousStatsTable[Average]))</f>
        <v>0.49691123629694001</v>
      </c>
      <c r="U552">
        <f>IF((ContinuousStatsTable[[#This Row],[RepsRequested]]&gt;1),ContinuousStatsTable[[#This Row],[HalfWidth]],ContinuousStatsTable[[#This Row],[BatchMeansHalfWidth]])</f>
        <v>2.7457743728226142E-3</v>
      </c>
    </row>
    <row r="553" spans="1:21" x14ac:dyDescent="0.25">
      <c r="A553" t="s">
        <v>68</v>
      </c>
      <c r="B553" t="s">
        <v>131</v>
      </c>
      <c r="C553">
        <v>46</v>
      </c>
      <c r="D553" t="s">
        <v>103</v>
      </c>
      <c r="E553" t="s">
        <v>101</v>
      </c>
      <c r="F553" t="s">
        <v>99</v>
      </c>
      <c r="G553">
        <v>1</v>
      </c>
      <c r="H553">
        <v>2E+20</v>
      </c>
      <c r="I553">
        <v>1</v>
      </c>
      <c r="J553">
        <v>1</v>
      </c>
      <c r="K553">
        <v>1</v>
      </c>
      <c r="L553">
        <v>0</v>
      </c>
      <c r="M553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553" cm="1">
        <f t="array" ref="N553">MAX(IF((ProjectInfoTable[ProjectName]=ContinuousStatsTable[[#This Row],[ProjectName]]),(ProjectInfoTable[ProjectName]=ContinuousStatsTable[[#This Row],[ProjectName]])*ProjectInfoTable[NumberOfReplications]))</f>
        <v>50</v>
      </c>
      <c r="O553" cm="1">
        <f t="array" ref="O553">IFERROR(AVERAGE(IF((ContinuousStatsTable[GroupByKey]=ContinuousStatsTable[[#This Row],[GroupByKey]]),(ContinuousStatsTable[GroupByKey]=ContinuousStatsTable[[#This Row],[GroupByKey]])*ContinuousStatsTable[Average])),0)</f>
        <v>1</v>
      </c>
      <c r="P553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cm="1">
        <f t="array" ref="S553">MIN(IF((ContinuousStatsTable[GroupByKey]=ContinuousStatsTable[[#This Row],[GroupByKey]]),(ContinuousStatsTable[GroupByKey]=ContinuousStatsTable[[#This Row],[GroupByKey]])*ContinuousStatsTable[Average]))</f>
        <v>1</v>
      </c>
      <c r="T553" cm="1">
        <f t="array" ref="T553">MAX(IF((ContinuousStatsTable[GroupByKey]=ContinuousStatsTable[[#This Row],[GroupByKey]]),(ContinuousStatsTable[GroupByKey]=ContinuousStatsTable[[#This Row],[GroupByKey]])*ContinuousStatsTable[Average]))</f>
        <v>1</v>
      </c>
      <c r="U553">
        <f>IF((ContinuousStatsTable[[#This Row],[RepsRequested]]&gt;1),ContinuousStatsTable[[#This Row],[HalfWidth]],ContinuousStatsTable[[#This Row],[BatchMeansHalfWidth]])</f>
        <v>0</v>
      </c>
    </row>
    <row r="554" spans="1:21" x14ac:dyDescent="0.25">
      <c r="A554" t="s">
        <v>68</v>
      </c>
      <c r="B554" t="s">
        <v>131</v>
      </c>
      <c r="C554">
        <v>47</v>
      </c>
      <c r="D554" t="s">
        <v>70</v>
      </c>
      <c r="E554" t="s">
        <v>95</v>
      </c>
      <c r="F554" t="s">
        <v>72</v>
      </c>
      <c r="G554">
        <v>5.6899935925130496</v>
      </c>
      <c r="H554">
        <v>2.2438711890574798</v>
      </c>
      <c r="I554">
        <v>0</v>
      </c>
      <c r="J554">
        <v>38</v>
      </c>
      <c r="K554">
        <v>3</v>
      </c>
      <c r="L554">
        <v>0</v>
      </c>
      <c r="M554" t="str">
        <f>ContinuousStatsTable[[#This Row],[ProjectName]]&amp;ContinuousStatsTable[[#This Row],[Name]]&amp;ContinuousStatsTable[[#This Row],[Type]]&amp;ContinuousStatsTable[[#This Row],[Source]]</f>
        <v>PacientesEntity 1WIPEntity</v>
      </c>
      <c r="N554" cm="1">
        <f t="array" ref="N554">MAX(IF((ProjectInfoTable[ProjectName]=ContinuousStatsTable[[#This Row],[ProjectName]]),(ProjectInfoTable[ProjectName]=ContinuousStatsTable[[#This Row],[ProjectName]])*ProjectInfoTable[NumberOfReplications]))</f>
        <v>50</v>
      </c>
      <c r="O554" cm="1">
        <f t="array" ref="O554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554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554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554" cm="1">
        <f t="array" ref="S554">MIN(IF((ContinuousStatsTable[GroupByKey]=ContinuousStatsTable[[#This Row],[GroupByKey]]),(ContinuousStatsTable[GroupByKey]=ContinuousStatsTable[[#This Row],[GroupByKey]])*ContinuousStatsTable[Average]))</f>
        <v>3.9757448048151298</v>
      </c>
      <c r="T554" cm="1">
        <f t="array" ref="T554">MAX(IF((ContinuousStatsTable[GroupByKey]=ContinuousStatsTable[[#This Row],[GroupByKey]]),(ContinuousStatsTable[GroupByKey]=ContinuousStatsTable[[#This Row],[GroupByKey]])*ContinuousStatsTable[Average]))</f>
        <v>6.9386840633215803</v>
      </c>
      <c r="U554">
        <f>IF((ContinuousStatsTable[[#This Row],[RepsRequested]]&gt;1),ContinuousStatsTable[[#This Row],[HalfWidth]],ContinuousStatsTable[[#This Row],[BatchMeansHalfWidth]])</f>
        <v>0.22030607219171747</v>
      </c>
    </row>
    <row r="555" spans="1:21" x14ac:dyDescent="0.25">
      <c r="A555" t="s">
        <v>68</v>
      </c>
      <c r="B555" t="s">
        <v>131</v>
      </c>
      <c r="C555">
        <v>47</v>
      </c>
      <c r="D555" t="s">
        <v>83</v>
      </c>
      <c r="E555" t="s">
        <v>96</v>
      </c>
      <c r="F555" t="s">
        <v>85</v>
      </c>
      <c r="G555">
        <v>3.3100108600040898</v>
      </c>
      <c r="H555">
        <v>2.1653907720728101</v>
      </c>
      <c r="I555">
        <v>0</v>
      </c>
      <c r="J555">
        <v>35</v>
      </c>
      <c r="K555">
        <v>1</v>
      </c>
      <c r="L555">
        <v>0</v>
      </c>
      <c r="M555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555" cm="1">
        <f t="array" ref="N555">MAX(IF((ProjectInfoTable[ProjectName]=ContinuousStatsTable[[#This Row],[ProjectName]]),(ProjectInfoTable[ProjectName]=ContinuousStatsTable[[#This Row],[ProjectName]])*ProjectInfoTable[NumberOfReplications]))</f>
        <v>50</v>
      </c>
      <c r="O555" cm="1">
        <f t="array" ref="O555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55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55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555" cm="1">
        <f t="array" ref="S555">MIN(IF((ContinuousStatsTable[GroupByKey]=ContinuousStatsTable[[#This Row],[GroupByKey]]),(ContinuousStatsTable[GroupByKey]=ContinuousStatsTable[[#This Row],[GroupByKey]])*ContinuousStatsTable[Average]))</f>
        <v>1.7200278735122601</v>
      </c>
      <c r="T555" cm="1">
        <f t="array" ref="T555">MAX(IF((ContinuousStatsTable[GroupByKey]=ContinuousStatsTable[[#This Row],[GroupByKey]]),(ContinuousStatsTable[GroupByKey]=ContinuousStatsTable[[#This Row],[GroupByKey]])*ContinuousStatsTable[Average]))</f>
        <v>4.5543512780988502</v>
      </c>
      <c r="U555">
        <f>IF((ContinuousStatsTable[[#This Row],[RepsRequested]]&gt;1),ContinuousStatsTable[[#This Row],[HalfWidth]],ContinuousStatsTable[[#This Row],[BatchMeansHalfWidth]])</f>
        <v>0.21041231434540877</v>
      </c>
    </row>
    <row r="556" spans="1:21" x14ac:dyDescent="0.25">
      <c r="A556" t="s">
        <v>68</v>
      </c>
      <c r="B556" t="s">
        <v>131</v>
      </c>
      <c r="C556">
        <v>47</v>
      </c>
      <c r="D556" t="s">
        <v>87</v>
      </c>
      <c r="E556" t="s">
        <v>96</v>
      </c>
      <c r="F556" t="s">
        <v>85</v>
      </c>
      <c r="G556">
        <v>0.23868206153021601</v>
      </c>
      <c r="H556">
        <v>3.6761070061146699E-2</v>
      </c>
      <c r="I556">
        <v>0</v>
      </c>
      <c r="J556">
        <v>5</v>
      </c>
      <c r="K556">
        <v>0</v>
      </c>
      <c r="L556">
        <v>0</v>
      </c>
      <c r="M556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556" cm="1">
        <f t="array" ref="N556">MAX(IF((ProjectInfoTable[ProjectName]=ContinuousStatsTable[[#This Row],[ProjectName]]),(ProjectInfoTable[ProjectName]=ContinuousStatsTable[[#This Row],[ProjectName]])*ProjectInfoTable[NumberOfReplications]))</f>
        <v>50</v>
      </c>
      <c r="O556" cm="1">
        <f t="array" ref="O556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556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556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556" cm="1">
        <f t="array" ref="S556">MIN(IF((ContinuousStatsTable[GroupByKey]=ContinuousStatsTable[[#This Row],[GroupByKey]]),(ContinuousStatsTable[GroupByKey]=ContinuousStatsTable[[#This Row],[GroupByKey]])*ContinuousStatsTable[Average]))</f>
        <v>0.172815232766103</v>
      </c>
      <c r="T556" cm="1">
        <f t="array" ref="T556">MAX(IF((ContinuousStatsTable[GroupByKey]=ContinuousStatsTable[[#This Row],[GroupByKey]]),(ContinuousStatsTable[GroupByKey]=ContinuousStatsTable[[#This Row],[GroupByKey]])*ContinuousStatsTable[Average]))</f>
        <v>0.24783514900621301</v>
      </c>
      <c r="U556">
        <f>IF((ContinuousStatsTable[[#This Row],[RepsRequested]]&gt;1),ContinuousStatsTable[[#This Row],[HalfWidth]],ContinuousStatsTable[[#This Row],[BatchMeansHalfWidth]])</f>
        <v>4.7768909384897544E-3</v>
      </c>
    </row>
    <row r="557" spans="1:21" x14ac:dyDescent="0.25">
      <c r="A557" t="s">
        <v>68</v>
      </c>
      <c r="B557" t="s">
        <v>131</v>
      </c>
      <c r="C557">
        <v>47</v>
      </c>
      <c r="D557" t="s">
        <v>97</v>
      </c>
      <c r="E557" t="s">
        <v>98</v>
      </c>
      <c r="F557" t="s">
        <v>99</v>
      </c>
      <c r="G557">
        <v>0.55285426515054004</v>
      </c>
      <c r="H557">
        <v>2.5018247158231199E-2</v>
      </c>
      <c r="I557">
        <v>0</v>
      </c>
      <c r="J557">
        <v>0.66666666666666696</v>
      </c>
      <c r="K557">
        <v>0.66666666666666696</v>
      </c>
      <c r="L557">
        <v>0</v>
      </c>
      <c r="M557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557" cm="1">
        <f t="array" ref="N557">MAX(IF((ProjectInfoTable[ProjectName]=ContinuousStatsTable[[#This Row],[ProjectName]]),(ProjectInfoTable[ProjectName]=ContinuousStatsTable[[#This Row],[ProjectName]])*ProjectInfoTable[NumberOfReplications]))</f>
        <v>50</v>
      </c>
      <c r="O557" cm="1">
        <f t="array" ref="O557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557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557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557" cm="1">
        <f t="array" ref="S557">MIN(IF((ContinuousStatsTable[GroupByKey]=ContinuousStatsTable[[#This Row],[GroupByKey]]),(ContinuousStatsTable[GroupByKey]=ContinuousStatsTable[[#This Row],[GroupByKey]])*ContinuousStatsTable[Average]))</f>
        <v>0.52470641844357602</v>
      </c>
      <c r="T557" cm="1">
        <f t="array" ref="T557">MAX(IF((ContinuousStatsTable[GroupByKey]=ContinuousStatsTable[[#This Row],[GroupByKey]]),(ContinuousStatsTable[GroupByKey]=ContinuousStatsTable[[#This Row],[GroupByKey]])*ContinuousStatsTable[Average]))</f>
        <v>0.57005812966092095</v>
      </c>
      <c r="U557">
        <f>IF((ContinuousStatsTable[[#This Row],[RepsRequested]]&gt;1),ContinuousStatsTable[[#This Row],[HalfWidth]],ContinuousStatsTable[[#This Row],[BatchMeansHalfWidth]])</f>
        <v>2.9048243757695521E-3</v>
      </c>
    </row>
    <row r="558" spans="1:21" x14ac:dyDescent="0.25">
      <c r="A558" t="s">
        <v>68</v>
      </c>
      <c r="B558" t="s">
        <v>131</v>
      </c>
      <c r="C558">
        <v>47</v>
      </c>
      <c r="D558" t="s">
        <v>97</v>
      </c>
      <c r="E558" t="s">
        <v>100</v>
      </c>
      <c r="F558" t="s">
        <v>99</v>
      </c>
      <c r="G558">
        <v>1.65856279545161</v>
      </c>
      <c r="H558">
        <v>7.5054741474693695E-2</v>
      </c>
      <c r="I558">
        <v>0</v>
      </c>
      <c r="J558">
        <v>2</v>
      </c>
      <c r="K558">
        <v>2</v>
      </c>
      <c r="L558">
        <v>0</v>
      </c>
      <c r="M558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558" cm="1">
        <f t="array" ref="N558">MAX(IF((ProjectInfoTable[ProjectName]=ContinuousStatsTable[[#This Row],[ProjectName]]),(ProjectInfoTable[ProjectName]=ContinuousStatsTable[[#This Row],[ProjectName]])*ProjectInfoTable[NumberOfReplications]))</f>
        <v>50</v>
      </c>
      <c r="O558" cm="1">
        <f t="array" ref="O558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58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58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58" cm="1">
        <f t="array" ref="S558">MIN(IF((ContinuousStatsTable[GroupByKey]=ContinuousStatsTable[[#This Row],[GroupByKey]]),(ContinuousStatsTable[GroupByKey]=ContinuousStatsTable[[#This Row],[GroupByKey]])*ContinuousStatsTable[Average]))</f>
        <v>1.5741192553307399</v>
      </c>
      <c r="T558" cm="1">
        <f t="array" ref="T558">MAX(IF((ContinuousStatsTable[GroupByKey]=ContinuousStatsTable[[#This Row],[GroupByKey]]),(ContinuousStatsTable[GroupByKey]=ContinuousStatsTable[[#This Row],[GroupByKey]])*ContinuousStatsTable[Average]))</f>
        <v>1.7101743889827701</v>
      </c>
      <c r="U558">
        <f>IF((ContinuousStatsTable[[#This Row],[RepsRequested]]&gt;1),ContinuousStatsTable[[#This Row],[HalfWidth]],ContinuousStatsTable[[#This Row],[BatchMeansHalfWidth]])</f>
        <v>8.7144731273084922E-3</v>
      </c>
    </row>
    <row r="559" spans="1:21" x14ac:dyDescent="0.25">
      <c r="A559" t="s">
        <v>68</v>
      </c>
      <c r="B559" t="s">
        <v>131</v>
      </c>
      <c r="C559">
        <v>47</v>
      </c>
      <c r="D559" t="s">
        <v>97</v>
      </c>
      <c r="E559" t="s">
        <v>101</v>
      </c>
      <c r="F559" t="s">
        <v>99</v>
      </c>
      <c r="G559">
        <v>3</v>
      </c>
      <c r="H559">
        <v>2E+20</v>
      </c>
      <c r="I559">
        <v>3</v>
      </c>
      <c r="J559">
        <v>3</v>
      </c>
      <c r="K559">
        <v>3</v>
      </c>
      <c r="L559">
        <v>0</v>
      </c>
      <c r="M559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559" cm="1">
        <f t="array" ref="N559">MAX(IF((ProjectInfoTable[ProjectName]=ContinuousStatsTable[[#This Row],[ProjectName]]),(ProjectInfoTable[ProjectName]=ContinuousStatsTable[[#This Row],[ProjectName]])*ProjectInfoTable[NumberOfReplications]))</f>
        <v>50</v>
      </c>
      <c r="O559" cm="1">
        <f t="array" ref="O559">IFERROR(AVERAGE(IF((ContinuousStatsTable[GroupByKey]=ContinuousStatsTable[[#This Row],[GroupByKey]]),(ContinuousStatsTable[GroupByKey]=ContinuousStatsTable[[#This Row],[GroupByKey]])*ContinuousStatsTable[Average])),0)</f>
        <v>3</v>
      </c>
      <c r="P559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0</v>
      </c>
      <c r="Q559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9" cm="1">
        <f t="array" ref="S559">MIN(IF((ContinuousStatsTable[GroupByKey]=ContinuousStatsTable[[#This Row],[GroupByKey]]),(ContinuousStatsTable[GroupByKey]=ContinuousStatsTable[[#This Row],[GroupByKey]])*ContinuousStatsTable[Average]))</f>
        <v>3</v>
      </c>
      <c r="T559" cm="1">
        <f t="array" ref="T559">MAX(IF((ContinuousStatsTable[GroupByKey]=ContinuousStatsTable[[#This Row],[GroupByKey]]),(ContinuousStatsTable[GroupByKey]=ContinuousStatsTable[[#This Row],[GroupByKey]])*ContinuousStatsTable[Average]))</f>
        <v>3</v>
      </c>
      <c r="U559">
        <f>IF((ContinuousStatsTable[[#This Row],[RepsRequested]]&gt;1),ContinuousStatsTable[[#This Row],[HalfWidth]],ContinuousStatsTable[[#This Row],[BatchMeansHalfWidth]])</f>
        <v>0</v>
      </c>
    </row>
    <row r="560" spans="1:21" x14ac:dyDescent="0.25">
      <c r="A560" t="s">
        <v>68</v>
      </c>
      <c r="B560" t="s">
        <v>131</v>
      </c>
      <c r="C560">
        <v>47</v>
      </c>
      <c r="D560" t="s">
        <v>102</v>
      </c>
      <c r="E560" t="s">
        <v>98</v>
      </c>
      <c r="F560" t="s">
        <v>99</v>
      </c>
      <c r="G560">
        <v>0.829281397725807</v>
      </c>
      <c r="H560">
        <v>3.7527370737346903E-2</v>
      </c>
      <c r="I560">
        <v>0</v>
      </c>
      <c r="J560">
        <v>1</v>
      </c>
      <c r="K560">
        <v>1</v>
      </c>
      <c r="L560">
        <v>0</v>
      </c>
      <c r="M560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560" cm="1">
        <f t="array" ref="N560">MAX(IF((ProjectInfoTable[ProjectName]=ContinuousStatsTable[[#This Row],[ProjectName]]),(ProjectInfoTable[ProjectName]=ContinuousStatsTable[[#This Row],[ProjectName]])*ProjectInfoTable[NumberOfReplications]))</f>
        <v>50</v>
      </c>
      <c r="O560" cm="1">
        <f t="array" ref="O560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560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560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560" cm="1">
        <f t="array" ref="S560">MIN(IF((ContinuousStatsTable[GroupByKey]=ContinuousStatsTable[[#This Row],[GroupByKey]]),(ContinuousStatsTable[GroupByKey]=ContinuousStatsTable[[#This Row],[GroupByKey]])*ContinuousStatsTable[Average]))</f>
        <v>0.78705962766536897</v>
      </c>
      <c r="T560" cm="1">
        <f t="array" ref="T560">MAX(IF((ContinuousStatsTable[GroupByKey]=ContinuousStatsTable[[#This Row],[GroupByKey]]),(ContinuousStatsTable[GroupByKey]=ContinuousStatsTable[[#This Row],[GroupByKey]])*ContinuousStatsTable[Average]))</f>
        <v>0.85508719449138504</v>
      </c>
      <c r="U560">
        <f>IF((ContinuousStatsTable[[#This Row],[RepsRequested]]&gt;1),ContinuousStatsTable[[#This Row],[HalfWidth]],ContinuousStatsTable[[#This Row],[BatchMeansHalfWidth]])</f>
        <v>4.3572365636542886E-3</v>
      </c>
    </row>
    <row r="561" spans="1:21" x14ac:dyDescent="0.25">
      <c r="A561" t="s">
        <v>68</v>
      </c>
      <c r="B561" t="s">
        <v>131</v>
      </c>
      <c r="C561">
        <v>47</v>
      </c>
      <c r="D561" t="s">
        <v>102</v>
      </c>
      <c r="E561" t="s">
        <v>100</v>
      </c>
      <c r="F561" t="s">
        <v>99</v>
      </c>
      <c r="G561">
        <v>1.65856279545161</v>
      </c>
      <c r="H561">
        <v>7.5054741474693695E-2</v>
      </c>
      <c r="I561">
        <v>0</v>
      </c>
      <c r="J561">
        <v>2</v>
      </c>
      <c r="K561">
        <v>2</v>
      </c>
      <c r="L561">
        <v>0</v>
      </c>
      <c r="M561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561" cm="1">
        <f t="array" ref="N561">MAX(IF((ProjectInfoTable[ProjectName]=ContinuousStatsTable[[#This Row],[ProjectName]]),(ProjectInfoTable[ProjectName]=ContinuousStatsTable[[#This Row],[ProjectName]])*ProjectInfoTable[NumberOfReplications]))</f>
        <v>50</v>
      </c>
      <c r="O561" cm="1">
        <f t="array" ref="O561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61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61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61" cm="1">
        <f t="array" ref="S561">MIN(IF((ContinuousStatsTable[GroupByKey]=ContinuousStatsTable[[#This Row],[GroupByKey]]),(ContinuousStatsTable[GroupByKey]=ContinuousStatsTable[[#This Row],[GroupByKey]])*ContinuousStatsTable[Average]))</f>
        <v>1.5741192553307399</v>
      </c>
      <c r="T561" cm="1">
        <f t="array" ref="T561">MAX(IF((ContinuousStatsTable[GroupByKey]=ContinuousStatsTable[[#This Row],[GroupByKey]]),(ContinuousStatsTable[GroupByKey]=ContinuousStatsTable[[#This Row],[GroupByKey]])*ContinuousStatsTable[Average]))</f>
        <v>1.7101743889827701</v>
      </c>
      <c r="U561">
        <f>IF((ContinuousStatsTable[[#This Row],[RepsRequested]]&gt;1),ContinuousStatsTable[[#This Row],[HalfWidth]],ContinuousStatsTable[[#This Row],[BatchMeansHalfWidth]])</f>
        <v>8.7144731273084922E-3</v>
      </c>
    </row>
    <row r="562" spans="1:21" x14ac:dyDescent="0.25">
      <c r="A562" t="s">
        <v>68</v>
      </c>
      <c r="B562" t="s">
        <v>131</v>
      </c>
      <c r="C562">
        <v>47</v>
      </c>
      <c r="D562" t="s">
        <v>102</v>
      </c>
      <c r="E562" t="s">
        <v>101</v>
      </c>
      <c r="F562" t="s">
        <v>99</v>
      </c>
      <c r="G562">
        <v>2</v>
      </c>
      <c r="H562">
        <v>2E+20</v>
      </c>
      <c r="I562">
        <v>2</v>
      </c>
      <c r="J562">
        <v>2</v>
      </c>
      <c r="K562">
        <v>2</v>
      </c>
      <c r="L562">
        <v>0</v>
      </c>
      <c r="M562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562" cm="1">
        <f t="array" ref="N562">MAX(IF((ProjectInfoTable[ProjectName]=ContinuousStatsTable[[#This Row],[ProjectName]]),(ProjectInfoTable[ProjectName]=ContinuousStatsTable[[#This Row],[ProjectName]])*ProjectInfoTable[NumberOfReplications]))</f>
        <v>50</v>
      </c>
      <c r="O562" cm="1">
        <f t="array" ref="O562">IFERROR(AVERAGE(IF((ContinuousStatsTable[GroupByKey]=ContinuousStatsTable[[#This Row],[GroupByKey]]),(ContinuousStatsTable[GroupByKey]=ContinuousStatsTable[[#This Row],[GroupByKey]])*ContinuousStatsTable[Average])),0)</f>
        <v>2</v>
      </c>
      <c r="P562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0</v>
      </c>
      <c r="Q562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2" cm="1">
        <f t="array" ref="S562">MIN(IF((ContinuousStatsTable[GroupByKey]=ContinuousStatsTable[[#This Row],[GroupByKey]]),(ContinuousStatsTable[GroupByKey]=ContinuousStatsTable[[#This Row],[GroupByKey]])*ContinuousStatsTable[Average]))</f>
        <v>2</v>
      </c>
      <c r="T562" cm="1">
        <f t="array" ref="T562">MAX(IF((ContinuousStatsTable[GroupByKey]=ContinuousStatsTable[[#This Row],[GroupByKey]]),(ContinuousStatsTable[GroupByKey]=ContinuousStatsTable[[#This Row],[GroupByKey]])*ContinuousStatsTable[Average]))</f>
        <v>2</v>
      </c>
      <c r="U562">
        <f>IF((ContinuousStatsTable[[#This Row],[RepsRequested]]&gt;1),ContinuousStatsTable[[#This Row],[HalfWidth]],ContinuousStatsTable[[#This Row],[BatchMeansHalfWidth]])</f>
        <v>0</v>
      </c>
    </row>
    <row r="563" spans="1:21" x14ac:dyDescent="0.25">
      <c r="A563" t="s">
        <v>68</v>
      </c>
      <c r="B563" t="s">
        <v>131</v>
      </c>
      <c r="C563">
        <v>47</v>
      </c>
      <c r="D563" t="s">
        <v>103</v>
      </c>
      <c r="E563" t="s">
        <v>98</v>
      </c>
      <c r="F563" t="s">
        <v>99</v>
      </c>
      <c r="G563">
        <v>0.48273787552710801</v>
      </c>
      <c r="H563">
        <v>1.7255041831376002E-2</v>
      </c>
      <c r="I563">
        <v>0</v>
      </c>
      <c r="J563">
        <v>1</v>
      </c>
      <c r="K563">
        <v>0</v>
      </c>
      <c r="L563">
        <v>0</v>
      </c>
      <c r="M563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563" cm="1">
        <f t="array" ref="N563">MAX(IF((ProjectInfoTable[ProjectName]=ContinuousStatsTable[[#This Row],[ProjectName]]),(ProjectInfoTable[ProjectName]=ContinuousStatsTable[[#This Row],[ProjectName]])*ProjectInfoTable[NumberOfReplications]))</f>
        <v>50</v>
      </c>
      <c r="O563" cm="1">
        <f t="array" ref="O563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63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63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63" cm="1">
        <f t="array" ref="S563">MIN(IF((ContinuousStatsTable[GroupByKey]=ContinuousStatsTable[[#This Row],[GroupByKey]]),(ContinuousStatsTable[GroupByKey]=ContinuousStatsTable[[#This Row],[GroupByKey]])*ContinuousStatsTable[Average]))</f>
        <v>0.452397944183905</v>
      </c>
      <c r="T563" cm="1">
        <f t="array" ref="T563">MAX(IF((ContinuousStatsTable[GroupByKey]=ContinuousStatsTable[[#This Row],[GroupByKey]]),(ContinuousStatsTable[GroupByKey]=ContinuousStatsTable[[#This Row],[GroupByKey]])*ContinuousStatsTable[Average]))</f>
        <v>0.49691123629694001</v>
      </c>
      <c r="U563">
        <f>IF((ContinuousStatsTable[[#This Row],[RepsRequested]]&gt;1),ContinuousStatsTable[[#This Row],[HalfWidth]],ContinuousStatsTable[[#This Row],[BatchMeansHalfWidth]])</f>
        <v>2.7457743728226142E-3</v>
      </c>
    </row>
    <row r="564" spans="1:21" x14ac:dyDescent="0.25">
      <c r="A564" t="s">
        <v>68</v>
      </c>
      <c r="B564" t="s">
        <v>131</v>
      </c>
      <c r="C564">
        <v>47</v>
      </c>
      <c r="D564" t="s">
        <v>103</v>
      </c>
      <c r="E564" t="s">
        <v>100</v>
      </c>
      <c r="F564" t="s">
        <v>99</v>
      </c>
      <c r="G564">
        <v>0.48273787552710801</v>
      </c>
      <c r="H564">
        <v>1.7255041831376002E-2</v>
      </c>
      <c r="I564">
        <v>0</v>
      </c>
      <c r="J564">
        <v>1</v>
      </c>
      <c r="K564">
        <v>0</v>
      </c>
      <c r="L564">
        <v>0</v>
      </c>
      <c r="M564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564" cm="1">
        <f t="array" ref="N564">MAX(IF((ProjectInfoTable[ProjectName]=ContinuousStatsTable[[#This Row],[ProjectName]]),(ProjectInfoTable[ProjectName]=ContinuousStatsTable[[#This Row],[ProjectName]])*ProjectInfoTable[NumberOfReplications]))</f>
        <v>50</v>
      </c>
      <c r="O564" cm="1">
        <f t="array" ref="O564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64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64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64" cm="1">
        <f t="array" ref="S564">MIN(IF((ContinuousStatsTable[GroupByKey]=ContinuousStatsTable[[#This Row],[GroupByKey]]),(ContinuousStatsTable[GroupByKey]=ContinuousStatsTable[[#This Row],[GroupByKey]])*ContinuousStatsTable[Average]))</f>
        <v>0.452397944183905</v>
      </c>
      <c r="T564" cm="1">
        <f t="array" ref="T564">MAX(IF((ContinuousStatsTable[GroupByKey]=ContinuousStatsTable[[#This Row],[GroupByKey]]),(ContinuousStatsTable[GroupByKey]=ContinuousStatsTable[[#This Row],[GroupByKey]])*ContinuousStatsTable[Average]))</f>
        <v>0.49691123629694001</v>
      </c>
      <c r="U564">
        <f>IF((ContinuousStatsTable[[#This Row],[RepsRequested]]&gt;1),ContinuousStatsTable[[#This Row],[HalfWidth]],ContinuousStatsTable[[#This Row],[BatchMeansHalfWidth]])</f>
        <v>2.7457743728226142E-3</v>
      </c>
    </row>
    <row r="565" spans="1:21" x14ac:dyDescent="0.25">
      <c r="A565" t="s">
        <v>68</v>
      </c>
      <c r="B565" t="s">
        <v>131</v>
      </c>
      <c r="C565">
        <v>47</v>
      </c>
      <c r="D565" t="s">
        <v>103</v>
      </c>
      <c r="E565" t="s">
        <v>101</v>
      </c>
      <c r="F565" t="s">
        <v>99</v>
      </c>
      <c r="G565">
        <v>1</v>
      </c>
      <c r="H565">
        <v>2E+20</v>
      </c>
      <c r="I565">
        <v>1</v>
      </c>
      <c r="J565">
        <v>1</v>
      </c>
      <c r="K565">
        <v>1</v>
      </c>
      <c r="L565">
        <v>0</v>
      </c>
      <c r="M565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565" cm="1">
        <f t="array" ref="N565">MAX(IF((ProjectInfoTable[ProjectName]=ContinuousStatsTable[[#This Row],[ProjectName]]),(ProjectInfoTable[ProjectName]=ContinuousStatsTable[[#This Row],[ProjectName]])*ProjectInfoTable[NumberOfReplications]))</f>
        <v>50</v>
      </c>
      <c r="O565" cm="1">
        <f t="array" ref="O565">IFERROR(AVERAGE(IF((ContinuousStatsTable[GroupByKey]=ContinuousStatsTable[[#This Row],[GroupByKey]]),(ContinuousStatsTable[GroupByKey]=ContinuousStatsTable[[#This Row],[GroupByKey]])*ContinuousStatsTable[Average])),0)</f>
        <v>1</v>
      </c>
      <c r="P56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cm="1">
        <f t="array" ref="S565">MIN(IF((ContinuousStatsTable[GroupByKey]=ContinuousStatsTable[[#This Row],[GroupByKey]]),(ContinuousStatsTable[GroupByKey]=ContinuousStatsTable[[#This Row],[GroupByKey]])*ContinuousStatsTable[Average]))</f>
        <v>1</v>
      </c>
      <c r="T565" cm="1">
        <f t="array" ref="T565">MAX(IF((ContinuousStatsTable[GroupByKey]=ContinuousStatsTable[[#This Row],[GroupByKey]]),(ContinuousStatsTable[GroupByKey]=ContinuousStatsTable[[#This Row],[GroupByKey]])*ContinuousStatsTable[Average]))</f>
        <v>1</v>
      </c>
      <c r="U565">
        <f>IF((ContinuousStatsTable[[#This Row],[RepsRequested]]&gt;1),ContinuousStatsTable[[#This Row],[HalfWidth]],ContinuousStatsTable[[#This Row],[BatchMeansHalfWidth]])</f>
        <v>0</v>
      </c>
    </row>
    <row r="566" spans="1:21" x14ac:dyDescent="0.25">
      <c r="A566" t="s">
        <v>68</v>
      </c>
      <c r="B566" t="s">
        <v>131</v>
      </c>
      <c r="C566">
        <v>48</v>
      </c>
      <c r="D566" t="s">
        <v>70</v>
      </c>
      <c r="E566" t="s">
        <v>95</v>
      </c>
      <c r="F566" t="s">
        <v>72</v>
      </c>
      <c r="G566">
        <v>4.4581456756120099</v>
      </c>
      <c r="H566">
        <v>0.85834116268606098</v>
      </c>
      <c r="I566">
        <v>0</v>
      </c>
      <c r="J566">
        <v>23</v>
      </c>
      <c r="K566">
        <v>3</v>
      </c>
      <c r="L566">
        <v>0</v>
      </c>
      <c r="M566" t="str">
        <f>ContinuousStatsTable[[#This Row],[ProjectName]]&amp;ContinuousStatsTable[[#This Row],[Name]]&amp;ContinuousStatsTable[[#This Row],[Type]]&amp;ContinuousStatsTable[[#This Row],[Source]]</f>
        <v>PacientesEntity 1WIPEntity</v>
      </c>
      <c r="N566" cm="1">
        <f t="array" ref="N566">MAX(IF((ProjectInfoTable[ProjectName]=ContinuousStatsTable[[#This Row],[ProjectName]]),(ProjectInfoTable[ProjectName]=ContinuousStatsTable[[#This Row],[ProjectName]])*ProjectInfoTable[NumberOfReplications]))</f>
        <v>50</v>
      </c>
      <c r="O566" cm="1">
        <f t="array" ref="O566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566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566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566" cm="1">
        <f t="array" ref="S566">MIN(IF((ContinuousStatsTable[GroupByKey]=ContinuousStatsTable[[#This Row],[GroupByKey]]),(ContinuousStatsTable[GroupByKey]=ContinuousStatsTable[[#This Row],[GroupByKey]])*ContinuousStatsTable[Average]))</f>
        <v>3.9757448048151298</v>
      </c>
      <c r="T566" cm="1">
        <f t="array" ref="T566">MAX(IF((ContinuousStatsTable[GroupByKey]=ContinuousStatsTable[[#This Row],[GroupByKey]]),(ContinuousStatsTable[GroupByKey]=ContinuousStatsTable[[#This Row],[GroupByKey]])*ContinuousStatsTable[Average]))</f>
        <v>6.9386840633215803</v>
      </c>
      <c r="U566">
        <f>IF((ContinuousStatsTable[[#This Row],[RepsRequested]]&gt;1),ContinuousStatsTable[[#This Row],[HalfWidth]],ContinuousStatsTable[[#This Row],[BatchMeansHalfWidth]])</f>
        <v>0.22030607219171747</v>
      </c>
    </row>
    <row r="567" spans="1:21" x14ac:dyDescent="0.25">
      <c r="A567" t="s">
        <v>68</v>
      </c>
      <c r="B567" t="s">
        <v>131</v>
      </c>
      <c r="C567">
        <v>48</v>
      </c>
      <c r="D567" t="s">
        <v>83</v>
      </c>
      <c r="E567" t="s">
        <v>96</v>
      </c>
      <c r="F567" t="s">
        <v>85</v>
      </c>
      <c r="G567">
        <v>2.1336513408731301</v>
      </c>
      <c r="H567">
        <v>0.80085249490156796</v>
      </c>
      <c r="I567">
        <v>0</v>
      </c>
      <c r="J567">
        <v>20</v>
      </c>
      <c r="K567">
        <v>1</v>
      </c>
      <c r="L567">
        <v>0</v>
      </c>
      <c r="M567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567" cm="1">
        <f t="array" ref="N567">MAX(IF((ProjectInfoTable[ProjectName]=ContinuousStatsTable[[#This Row],[ProjectName]]),(ProjectInfoTable[ProjectName]=ContinuousStatsTable[[#This Row],[ProjectName]])*ProjectInfoTable[NumberOfReplications]))</f>
        <v>50</v>
      </c>
      <c r="O567" cm="1">
        <f t="array" ref="O567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567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567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567" cm="1">
        <f t="array" ref="S567">MIN(IF((ContinuousStatsTable[GroupByKey]=ContinuousStatsTable[[#This Row],[GroupByKey]]),(ContinuousStatsTable[GroupByKey]=ContinuousStatsTable[[#This Row],[GroupByKey]])*ContinuousStatsTable[Average]))</f>
        <v>1.7200278735122601</v>
      </c>
      <c r="T567" cm="1">
        <f t="array" ref="T567">MAX(IF((ContinuousStatsTable[GroupByKey]=ContinuousStatsTable[[#This Row],[GroupByKey]]),(ContinuousStatsTable[GroupByKey]=ContinuousStatsTable[[#This Row],[GroupByKey]])*ContinuousStatsTable[Average]))</f>
        <v>4.5543512780988502</v>
      </c>
      <c r="U567">
        <f>IF((ContinuousStatsTable[[#This Row],[RepsRequested]]&gt;1),ContinuousStatsTable[[#This Row],[HalfWidth]],ContinuousStatsTable[[#This Row],[BatchMeansHalfWidth]])</f>
        <v>0.21041231434540877</v>
      </c>
    </row>
    <row r="568" spans="1:21" x14ac:dyDescent="0.25">
      <c r="A568" t="s">
        <v>68</v>
      </c>
      <c r="B568" t="s">
        <v>131</v>
      </c>
      <c r="C568">
        <v>48</v>
      </c>
      <c r="D568" t="s">
        <v>87</v>
      </c>
      <c r="E568" t="s">
        <v>96</v>
      </c>
      <c r="F568" t="s">
        <v>85</v>
      </c>
      <c r="G568">
        <v>0.21272546128382699</v>
      </c>
      <c r="H568">
        <v>3.05472478874174E-2</v>
      </c>
      <c r="I568">
        <v>0</v>
      </c>
      <c r="J568">
        <v>6</v>
      </c>
      <c r="K568">
        <v>0</v>
      </c>
      <c r="L568">
        <v>0</v>
      </c>
      <c r="M568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568" cm="1">
        <f t="array" ref="N568">MAX(IF((ProjectInfoTable[ProjectName]=ContinuousStatsTable[[#This Row],[ProjectName]]),(ProjectInfoTable[ProjectName]=ContinuousStatsTable[[#This Row],[ProjectName]])*ProjectInfoTable[NumberOfReplications]))</f>
        <v>50</v>
      </c>
      <c r="O568" cm="1">
        <f t="array" ref="O568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568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568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568" cm="1">
        <f t="array" ref="S568">MIN(IF((ContinuousStatsTable[GroupByKey]=ContinuousStatsTable[[#This Row],[GroupByKey]]),(ContinuousStatsTable[GroupByKey]=ContinuousStatsTable[[#This Row],[GroupByKey]])*ContinuousStatsTable[Average]))</f>
        <v>0.172815232766103</v>
      </c>
      <c r="T568" cm="1">
        <f t="array" ref="T568">MAX(IF((ContinuousStatsTable[GroupByKey]=ContinuousStatsTable[[#This Row],[GroupByKey]]),(ContinuousStatsTable[GroupByKey]=ContinuousStatsTable[[#This Row],[GroupByKey]])*ContinuousStatsTable[Average]))</f>
        <v>0.24783514900621301</v>
      </c>
      <c r="U568">
        <f>IF((ContinuousStatsTable[[#This Row],[RepsRequested]]&gt;1),ContinuousStatsTable[[#This Row],[HalfWidth]],ContinuousStatsTable[[#This Row],[BatchMeansHalfWidth]])</f>
        <v>4.7768909384897544E-3</v>
      </c>
    </row>
    <row r="569" spans="1:21" x14ac:dyDescent="0.25">
      <c r="A569" t="s">
        <v>68</v>
      </c>
      <c r="B569" t="s">
        <v>131</v>
      </c>
      <c r="C569">
        <v>48</v>
      </c>
      <c r="D569" t="s">
        <v>97</v>
      </c>
      <c r="E569" t="s">
        <v>98</v>
      </c>
      <c r="F569" t="s">
        <v>99</v>
      </c>
      <c r="G569">
        <v>0.54537828923069498</v>
      </c>
      <c r="H569">
        <v>1.7524219416526699E-2</v>
      </c>
      <c r="I569">
        <v>0</v>
      </c>
      <c r="J569">
        <v>0.66666666666666696</v>
      </c>
      <c r="K569">
        <v>0.66666666666666696</v>
      </c>
      <c r="L569">
        <v>0</v>
      </c>
      <c r="M569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569" cm="1">
        <f t="array" ref="N569">MAX(IF((ProjectInfoTable[ProjectName]=ContinuousStatsTable[[#This Row],[ProjectName]]),(ProjectInfoTable[ProjectName]=ContinuousStatsTable[[#This Row],[ProjectName]])*ProjectInfoTable[NumberOfReplications]))</f>
        <v>50</v>
      </c>
      <c r="O569" cm="1">
        <f t="array" ref="O569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569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569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569" cm="1">
        <f t="array" ref="S569">MIN(IF((ContinuousStatsTable[GroupByKey]=ContinuousStatsTable[[#This Row],[GroupByKey]]),(ContinuousStatsTable[GroupByKey]=ContinuousStatsTable[[#This Row],[GroupByKey]])*ContinuousStatsTable[Average]))</f>
        <v>0.52470641844357602</v>
      </c>
      <c r="T569" cm="1">
        <f t="array" ref="T569">MAX(IF((ContinuousStatsTable[GroupByKey]=ContinuousStatsTable[[#This Row],[GroupByKey]]),(ContinuousStatsTable[GroupByKey]=ContinuousStatsTable[[#This Row],[GroupByKey]])*ContinuousStatsTable[Average]))</f>
        <v>0.57005812966092095</v>
      </c>
      <c r="U569">
        <f>IF((ContinuousStatsTable[[#This Row],[RepsRequested]]&gt;1),ContinuousStatsTable[[#This Row],[HalfWidth]],ContinuousStatsTable[[#This Row],[BatchMeansHalfWidth]])</f>
        <v>2.9048243757695521E-3</v>
      </c>
    </row>
    <row r="570" spans="1:21" x14ac:dyDescent="0.25">
      <c r="A570" t="s">
        <v>68</v>
      </c>
      <c r="B570" t="s">
        <v>131</v>
      </c>
      <c r="C570">
        <v>48</v>
      </c>
      <c r="D570" t="s">
        <v>97</v>
      </c>
      <c r="E570" t="s">
        <v>100</v>
      </c>
      <c r="F570" t="s">
        <v>99</v>
      </c>
      <c r="G570">
        <v>1.6361348676920899</v>
      </c>
      <c r="H570">
        <v>5.2572658249580101E-2</v>
      </c>
      <c r="I570">
        <v>0</v>
      </c>
      <c r="J570">
        <v>2</v>
      </c>
      <c r="K570">
        <v>2</v>
      </c>
      <c r="L570">
        <v>0</v>
      </c>
      <c r="M570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570" cm="1">
        <f t="array" ref="N570">MAX(IF((ProjectInfoTable[ProjectName]=ContinuousStatsTable[[#This Row],[ProjectName]]),(ProjectInfoTable[ProjectName]=ContinuousStatsTable[[#This Row],[ProjectName]])*ProjectInfoTable[NumberOfReplications]))</f>
        <v>50</v>
      </c>
      <c r="O570" cm="1">
        <f t="array" ref="O570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70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70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70" cm="1">
        <f t="array" ref="S570">MIN(IF((ContinuousStatsTable[GroupByKey]=ContinuousStatsTable[[#This Row],[GroupByKey]]),(ContinuousStatsTable[GroupByKey]=ContinuousStatsTable[[#This Row],[GroupByKey]])*ContinuousStatsTable[Average]))</f>
        <v>1.5741192553307399</v>
      </c>
      <c r="T570" cm="1">
        <f t="array" ref="T570">MAX(IF((ContinuousStatsTable[GroupByKey]=ContinuousStatsTable[[#This Row],[GroupByKey]]),(ContinuousStatsTable[GroupByKey]=ContinuousStatsTable[[#This Row],[GroupByKey]])*ContinuousStatsTable[Average]))</f>
        <v>1.7101743889827701</v>
      </c>
      <c r="U570">
        <f>IF((ContinuousStatsTable[[#This Row],[RepsRequested]]&gt;1),ContinuousStatsTable[[#This Row],[HalfWidth]],ContinuousStatsTable[[#This Row],[BatchMeansHalfWidth]])</f>
        <v>8.7144731273084922E-3</v>
      </c>
    </row>
    <row r="571" spans="1:21" x14ac:dyDescent="0.25">
      <c r="A571" t="s">
        <v>68</v>
      </c>
      <c r="B571" t="s">
        <v>131</v>
      </c>
      <c r="C571">
        <v>48</v>
      </c>
      <c r="D571" t="s">
        <v>97</v>
      </c>
      <c r="E571" t="s">
        <v>101</v>
      </c>
      <c r="F571" t="s">
        <v>99</v>
      </c>
      <c r="G571">
        <v>3</v>
      </c>
      <c r="H571">
        <v>2E+20</v>
      </c>
      <c r="I571">
        <v>3</v>
      </c>
      <c r="J571">
        <v>3</v>
      </c>
      <c r="K571">
        <v>3</v>
      </c>
      <c r="L571">
        <v>0</v>
      </c>
      <c r="M571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571" cm="1">
        <f t="array" ref="N571">MAX(IF((ProjectInfoTable[ProjectName]=ContinuousStatsTable[[#This Row],[ProjectName]]),(ProjectInfoTable[ProjectName]=ContinuousStatsTable[[#This Row],[ProjectName]])*ProjectInfoTable[NumberOfReplications]))</f>
        <v>50</v>
      </c>
      <c r="O571" cm="1">
        <f t="array" ref="O571">IFERROR(AVERAGE(IF((ContinuousStatsTable[GroupByKey]=ContinuousStatsTable[[#This Row],[GroupByKey]]),(ContinuousStatsTable[GroupByKey]=ContinuousStatsTable[[#This Row],[GroupByKey]])*ContinuousStatsTable[Average])),0)</f>
        <v>3</v>
      </c>
      <c r="P571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0</v>
      </c>
      <c r="Q571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1" cm="1">
        <f t="array" ref="S571">MIN(IF((ContinuousStatsTable[GroupByKey]=ContinuousStatsTable[[#This Row],[GroupByKey]]),(ContinuousStatsTable[GroupByKey]=ContinuousStatsTable[[#This Row],[GroupByKey]])*ContinuousStatsTable[Average]))</f>
        <v>3</v>
      </c>
      <c r="T571" cm="1">
        <f t="array" ref="T571">MAX(IF((ContinuousStatsTable[GroupByKey]=ContinuousStatsTable[[#This Row],[GroupByKey]]),(ContinuousStatsTable[GroupByKey]=ContinuousStatsTable[[#This Row],[GroupByKey]])*ContinuousStatsTable[Average]))</f>
        <v>3</v>
      </c>
      <c r="U571">
        <f>IF((ContinuousStatsTable[[#This Row],[RepsRequested]]&gt;1),ContinuousStatsTable[[#This Row],[HalfWidth]],ContinuousStatsTable[[#This Row],[BatchMeansHalfWidth]])</f>
        <v>0</v>
      </c>
    </row>
    <row r="572" spans="1:21" x14ac:dyDescent="0.25">
      <c r="A572" t="s">
        <v>68</v>
      </c>
      <c r="B572" t="s">
        <v>131</v>
      </c>
      <c r="C572">
        <v>48</v>
      </c>
      <c r="D572" t="s">
        <v>102</v>
      </c>
      <c r="E572" t="s">
        <v>98</v>
      </c>
      <c r="F572" t="s">
        <v>99</v>
      </c>
      <c r="G572">
        <v>0.81806743384604297</v>
      </c>
      <c r="H572">
        <v>2.6286329124790099E-2</v>
      </c>
      <c r="I572">
        <v>0</v>
      </c>
      <c r="J572">
        <v>1</v>
      </c>
      <c r="K572">
        <v>1</v>
      </c>
      <c r="L572">
        <v>0</v>
      </c>
      <c r="M572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572" cm="1">
        <f t="array" ref="N572">MAX(IF((ProjectInfoTable[ProjectName]=ContinuousStatsTable[[#This Row],[ProjectName]]),(ProjectInfoTable[ProjectName]=ContinuousStatsTable[[#This Row],[ProjectName]])*ProjectInfoTable[NumberOfReplications]))</f>
        <v>50</v>
      </c>
      <c r="O572" cm="1">
        <f t="array" ref="O572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572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572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572" cm="1">
        <f t="array" ref="S572">MIN(IF((ContinuousStatsTable[GroupByKey]=ContinuousStatsTable[[#This Row],[GroupByKey]]),(ContinuousStatsTable[GroupByKey]=ContinuousStatsTable[[#This Row],[GroupByKey]])*ContinuousStatsTable[Average]))</f>
        <v>0.78705962766536897</v>
      </c>
      <c r="T572" cm="1">
        <f t="array" ref="T572">MAX(IF((ContinuousStatsTable[GroupByKey]=ContinuousStatsTable[[#This Row],[GroupByKey]]),(ContinuousStatsTable[GroupByKey]=ContinuousStatsTable[[#This Row],[GroupByKey]])*ContinuousStatsTable[Average]))</f>
        <v>0.85508719449138504</v>
      </c>
      <c r="U572">
        <f>IF((ContinuousStatsTable[[#This Row],[RepsRequested]]&gt;1),ContinuousStatsTable[[#This Row],[HalfWidth]],ContinuousStatsTable[[#This Row],[BatchMeansHalfWidth]])</f>
        <v>4.3572365636542886E-3</v>
      </c>
    </row>
    <row r="573" spans="1:21" x14ac:dyDescent="0.25">
      <c r="A573" t="s">
        <v>68</v>
      </c>
      <c r="B573" t="s">
        <v>131</v>
      </c>
      <c r="C573">
        <v>48</v>
      </c>
      <c r="D573" t="s">
        <v>102</v>
      </c>
      <c r="E573" t="s">
        <v>100</v>
      </c>
      <c r="F573" t="s">
        <v>99</v>
      </c>
      <c r="G573">
        <v>1.6361348676920899</v>
      </c>
      <c r="H573">
        <v>5.2572658249580101E-2</v>
      </c>
      <c r="I573">
        <v>0</v>
      </c>
      <c r="J573">
        <v>2</v>
      </c>
      <c r="K573">
        <v>2</v>
      </c>
      <c r="L573">
        <v>0</v>
      </c>
      <c r="M573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573" cm="1">
        <f t="array" ref="N573">MAX(IF((ProjectInfoTable[ProjectName]=ContinuousStatsTable[[#This Row],[ProjectName]]),(ProjectInfoTable[ProjectName]=ContinuousStatsTable[[#This Row],[ProjectName]])*ProjectInfoTable[NumberOfReplications]))</f>
        <v>50</v>
      </c>
      <c r="O573" cm="1">
        <f t="array" ref="O573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73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73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73" cm="1">
        <f t="array" ref="S573">MIN(IF((ContinuousStatsTable[GroupByKey]=ContinuousStatsTable[[#This Row],[GroupByKey]]),(ContinuousStatsTable[GroupByKey]=ContinuousStatsTable[[#This Row],[GroupByKey]])*ContinuousStatsTable[Average]))</f>
        <v>1.5741192553307399</v>
      </c>
      <c r="T573" cm="1">
        <f t="array" ref="T573">MAX(IF((ContinuousStatsTable[GroupByKey]=ContinuousStatsTable[[#This Row],[GroupByKey]]),(ContinuousStatsTable[GroupByKey]=ContinuousStatsTable[[#This Row],[GroupByKey]])*ContinuousStatsTable[Average]))</f>
        <v>1.7101743889827701</v>
      </c>
      <c r="U573">
        <f>IF((ContinuousStatsTable[[#This Row],[RepsRequested]]&gt;1),ContinuousStatsTable[[#This Row],[HalfWidth]],ContinuousStatsTable[[#This Row],[BatchMeansHalfWidth]])</f>
        <v>8.7144731273084922E-3</v>
      </c>
    </row>
    <row r="574" spans="1:21" x14ac:dyDescent="0.25">
      <c r="A574" t="s">
        <v>68</v>
      </c>
      <c r="B574" t="s">
        <v>131</v>
      </c>
      <c r="C574">
        <v>48</v>
      </c>
      <c r="D574" t="s">
        <v>102</v>
      </c>
      <c r="E574" t="s">
        <v>101</v>
      </c>
      <c r="F574" t="s">
        <v>99</v>
      </c>
      <c r="G574">
        <v>2</v>
      </c>
      <c r="H574">
        <v>2E+20</v>
      </c>
      <c r="I574">
        <v>2</v>
      </c>
      <c r="J574">
        <v>2</v>
      </c>
      <c r="K574">
        <v>2</v>
      </c>
      <c r="L574">
        <v>0</v>
      </c>
      <c r="M574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574" cm="1">
        <f t="array" ref="N574">MAX(IF((ProjectInfoTable[ProjectName]=ContinuousStatsTable[[#This Row],[ProjectName]]),(ProjectInfoTable[ProjectName]=ContinuousStatsTable[[#This Row],[ProjectName]])*ProjectInfoTable[NumberOfReplications]))</f>
        <v>50</v>
      </c>
      <c r="O574" cm="1">
        <f t="array" ref="O574">IFERROR(AVERAGE(IF((ContinuousStatsTable[GroupByKey]=ContinuousStatsTable[[#This Row],[GroupByKey]]),(ContinuousStatsTable[GroupByKey]=ContinuousStatsTable[[#This Row],[GroupByKey]])*ContinuousStatsTable[Average])),0)</f>
        <v>2</v>
      </c>
      <c r="P574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0</v>
      </c>
      <c r="Q574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4" cm="1">
        <f t="array" ref="S574">MIN(IF((ContinuousStatsTable[GroupByKey]=ContinuousStatsTable[[#This Row],[GroupByKey]]),(ContinuousStatsTable[GroupByKey]=ContinuousStatsTable[[#This Row],[GroupByKey]])*ContinuousStatsTable[Average]))</f>
        <v>2</v>
      </c>
      <c r="T574" cm="1">
        <f t="array" ref="T574">MAX(IF((ContinuousStatsTable[GroupByKey]=ContinuousStatsTable[[#This Row],[GroupByKey]]),(ContinuousStatsTable[GroupByKey]=ContinuousStatsTable[[#This Row],[GroupByKey]])*ContinuousStatsTable[Average]))</f>
        <v>2</v>
      </c>
      <c r="U574">
        <f>IF((ContinuousStatsTable[[#This Row],[RepsRequested]]&gt;1),ContinuousStatsTable[[#This Row],[HalfWidth]],ContinuousStatsTable[[#This Row],[BatchMeansHalfWidth]])</f>
        <v>0</v>
      </c>
    </row>
    <row r="575" spans="1:21" x14ac:dyDescent="0.25">
      <c r="A575" t="s">
        <v>68</v>
      </c>
      <c r="B575" t="s">
        <v>131</v>
      </c>
      <c r="C575">
        <v>48</v>
      </c>
      <c r="D575" t="s">
        <v>103</v>
      </c>
      <c r="E575" t="s">
        <v>98</v>
      </c>
      <c r="F575" t="s">
        <v>99</v>
      </c>
      <c r="G575">
        <v>0.47563400576298598</v>
      </c>
      <c r="H575">
        <v>1.77854626105436E-2</v>
      </c>
      <c r="I575">
        <v>0</v>
      </c>
      <c r="J575">
        <v>1</v>
      </c>
      <c r="K575">
        <v>0</v>
      </c>
      <c r="L575">
        <v>0</v>
      </c>
      <c r="M575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575" cm="1">
        <f t="array" ref="N575">MAX(IF((ProjectInfoTable[ProjectName]=ContinuousStatsTable[[#This Row],[ProjectName]]),(ProjectInfoTable[ProjectName]=ContinuousStatsTable[[#This Row],[ProjectName]])*ProjectInfoTable[NumberOfReplications]))</f>
        <v>50</v>
      </c>
      <c r="O575" cm="1">
        <f t="array" ref="O575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7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7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75" cm="1">
        <f t="array" ref="S575">MIN(IF((ContinuousStatsTable[GroupByKey]=ContinuousStatsTable[[#This Row],[GroupByKey]]),(ContinuousStatsTable[GroupByKey]=ContinuousStatsTable[[#This Row],[GroupByKey]])*ContinuousStatsTable[Average]))</f>
        <v>0.452397944183905</v>
      </c>
      <c r="T575" cm="1">
        <f t="array" ref="T575">MAX(IF((ContinuousStatsTable[GroupByKey]=ContinuousStatsTable[[#This Row],[GroupByKey]]),(ContinuousStatsTable[GroupByKey]=ContinuousStatsTable[[#This Row],[GroupByKey]])*ContinuousStatsTable[Average]))</f>
        <v>0.49691123629694001</v>
      </c>
      <c r="U575">
        <f>IF((ContinuousStatsTable[[#This Row],[RepsRequested]]&gt;1),ContinuousStatsTable[[#This Row],[HalfWidth]],ContinuousStatsTable[[#This Row],[BatchMeansHalfWidth]])</f>
        <v>2.7457743728226142E-3</v>
      </c>
    </row>
    <row r="576" spans="1:21" x14ac:dyDescent="0.25">
      <c r="A576" t="s">
        <v>68</v>
      </c>
      <c r="B576" t="s">
        <v>131</v>
      </c>
      <c r="C576">
        <v>48</v>
      </c>
      <c r="D576" t="s">
        <v>103</v>
      </c>
      <c r="E576" t="s">
        <v>100</v>
      </c>
      <c r="F576" t="s">
        <v>99</v>
      </c>
      <c r="G576">
        <v>0.47563400576298598</v>
      </c>
      <c r="H576">
        <v>1.77854626105436E-2</v>
      </c>
      <c r="I576">
        <v>0</v>
      </c>
      <c r="J576">
        <v>1</v>
      </c>
      <c r="K576">
        <v>0</v>
      </c>
      <c r="L576">
        <v>0</v>
      </c>
      <c r="M576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576" cm="1">
        <f t="array" ref="N576">MAX(IF((ProjectInfoTable[ProjectName]=ContinuousStatsTable[[#This Row],[ProjectName]]),(ProjectInfoTable[ProjectName]=ContinuousStatsTable[[#This Row],[ProjectName]])*ProjectInfoTable[NumberOfReplications]))</f>
        <v>50</v>
      </c>
      <c r="O576" cm="1">
        <f t="array" ref="O576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76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76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76" cm="1">
        <f t="array" ref="S576">MIN(IF((ContinuousStatsTable[GroupByKey]=ContinuousStatsTable[[#This Row],[GroupByKey]]),(ContinuousStatsTable[GroupByKey]=ContinuousStatsTable[[#This Row],[GroupByKey]])*ContinuousStatsTable[Average]))</f>
        <v>0.452397944183905</v>
      </c>
      <c r="T576" cm="1">
        <f t="array" ref="T576">MAX(IF((ContinuousStatsTable[GroupByKey]=ContinuousStatsTable[[#This Row],[GroupByKey]]),(ContinuousStatsTable[GroupByKey]=ContinuousStatsTable[[#This Row],[GroupByKey]])*ContinuousStatsTable[Average]))</f>
        <v>0.49691123629694001</v>
      </c>
      <c r="U576">
        <f>IF((ContinuousStatsTable[[#This Row],[RepsRequested]]&gt;1),ContinuousStatsTable[[#This Row],[HalfWidth]],ContinuousStatsTable[[#This Row],[BatchMeansHalfWidth]])</f>
        <v>2.7457743728226142E-3</v>
      </c>
    </row>
    <row r="577" spans="1:21" x14ac:dyDescent="0.25">
      <c r="A577" t="s">
        <v>68</v>
      </c>
      <c r="B577" t="s">
        <v>131</v>
      </c>
      <c r="C577">
        <v>48</v>
      </c>
      <c r="D577" t="s">
        <v>103</v>
      </c>
      <c r="E577" t="s">
        <v>101</v>
      </c>
      <c r="F577" t="s">
        <v>99</v>
      </c>
      <c r="G577">
        <v>1</v>
      </c>
      <c r="H577">
        <v>2E+20</v>
      </c>
      <c r="I577">
        <v>1</v>
      </c>
      <c r="J577">
        <v>1</v>
      </c>
      <c r="K577">
        <v>1</v>
      </c>
      <c r="L577">
        <v>0</v>
      </c>
      <c r="M577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577" cm="1">
        <f t="array" ref="N577">MAX(IF((ProjectInfoTable[ProjectName]=ContinuousStatsTable[[#This Row],[ProjectName]]),(ProjectInfoTable[ProjectName]=ContinuousStatsTable[[#This Row],[ProjectName]])*ProjectInfoTable[NumberOfReplications]))</f>
        <v>50</v>
      </c>
      <c r="O577" cm="1">
        <f t="array" ref="O577">IFERROR(AVERAGE(IF((ContinuousStatsTable[GroupByKey]=ContinuousStatsTable[[#This Row],[GroupByKey]]),(ContinuousStatsTable[GroupByKey]=ContinuousStatsTable[[#This Row],[GroupByKey]])*ContinuousStatsTable[Average])),0)</f>
        <v>1</v>
      </c>
      <c r="P577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cm="1">
        <f t="array" ref="S577">MIN(IF((ContinuousStatsTable[GroupByKey]=ContinuousStatsTable[[#This Row],[GroupByKey]]),(ContinuousStatsTable[GroupByKey]=ContinuousStatsTable[[#This Row],[GroupByKey]])*ContinuousStatsTable[Average]))</f>
        <v>1</v>
      </c>
      <c r="T577" cm="1">
        <f t="array" ref="T577">MAX(IF((ContinuousStatsTable[GroupByKey]=ContinuousStatsTable[[#This Row],[GroupByKey]]),(ContinuousStatsTable[GroupByKey]=ContinuousStatsTable[[#This Row],[GroupByKey]])*ContinuousStatsTable[Average]))</f>
        <v>1</v>
      </c>
      <c r="U577">
        <f>IF((ContinuousStatsTable[[#This Row],[RepsRequested]]&gt;1),ContinuousStatsTable[[#This Row],[HalfWidth]],ContinuousStatsTable[[#This Row],[BatchMeansHalfWidth]])</f>
        <v>0</v>
      </c>
    </row>
    <row r="578" spans="1:21" x14ac:dyDescent="0.25">
      <c r="A578" t="s">
        <v>68</v>
      </c>
      <c r="B578" t="s">
        <v>131</v>
      </c>
      <c r="C578">
        <v>49</v>
      </c>
      <c r="D578" t="s">
        <v>70</v>
      </c>
      <c r="E578" t="s">
        <v>95</v>
      </c>
      <c r="F578" t="s">
        <v>72</v>
      </c>
      <c r="G578">
        <v>4.6944311485364398</v>
      </c>
      <c r="H578">
        <v>0.93075921758899005</v>
      </c>
      <c r="I578">
        <v>0</v>
      </c>
      <c r="J578">
        <v>22</v>
      </c>
      <c r="K578">
        <v>3</v>
      </c>
      <c r="L578">
        <v>0</v>
      </c>
      <c r="M578" t="str">
        <f>ContinuousStatsTable[[#This Row],[ProjectName]]&amp;ContinuousStatsTable[[#This Row],[Name]]&amp;ContinuousStatsTable[[#This Row],[Type]]&amp;ContinuousStatsTable[[#This Row],[Source]]</f>
        <v>PacientesEntity 1WIPEntity</v>
      </c>
      <c r="N578" cm="1">
        <f t="array" ref="N578">MAX(IF((ProjectInfoTable[ProjectName]=ContinuousStatsTable[[#This Row],[ProjectName]]),(ProjectInfoTable[ProjectName]=ContinuousStatsTable[[#This Row],[ProjectName]])*ProjectInfoTable[NumberOfReplications]))</f>
        <v>50</v>
      </c>
      <c r="O578" cm="1">
        <f t="array" ref="O578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578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578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578" cm="1">
        <f t="array" ref="S578">MIN(IF((ContinuousStatsTable[GroupByKey]=ContinuousStatsTable[[#This Row],[GroupByKey]]),(ContinuousStatsTable[GroupByKey]=ContinuousStatsTable[[#This Row],[GroupByKey]])*ContinuousStatsTable[Average]))</f>
        <v>3.9757448048151298</v>
      </c>
      <c r="T578" cm="1">
        <f t="array" ref="T578">MAX(IF((ContinuousStatsTable[GroupByKey]=ContinuousStatsTable[[#This Row],[GroupByKey]]),(ContinuousStatsTable[GroupByKey]=ContinuousStatsTable[[#This Row],[GroupByKey]])*ContinuousStatsTable[Average]))</f>
        <v>6.9386840633215803</v>
      </c>
      <c r="U578">
        <f>IF((ContinuousStatsTable[[#This Row],[RepsRequested]]&gt;1),ContinuousStatsTable[[#This Row],[HalfWidth]],ContinuousStatsTable[[#This Row],[BatchMeansHalfWidth]])</f>
        <v>0.22030607219171747</v>
      </c>
    </row>
    <row r="579" spans="1:21" x14ac:dyDescent="0.25">
      <c r="A579" t="s">
        <v>68</v>
      </c>
      <c r="B579" t="s">
        <v>131</v>
      </c>
      <c r="C579">
        <v>49</v>
      </c>
      <c r="D579" t="s">
        <v>83</v>
      </c>
      <c r="E579" t="s">
        <v>96</v>
      </c>
      <c r="F579" t="s">
        <v>85</v>
      </c>
      <c r="G579">
        <v>2.4066952952078999</v>
      </c>
      <c r="H579">
        <v>0.86817537657279498</v>
      </c>
      <c r="I579">
        <v>0</v>
      </c>
      <c r="J579">
        <v>19</v>
      </c>
      <c r="K579">
        <v>1</v>
      </c>
      <c r="L579">
        <v>0</v>
      </c>
      <c r="M579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579" cm="1">
        <f t="array" ref="N579">MAX(IF((ProjectInfoTable[ProjectName]=ContinuousStatsTable[[#This Row],[ProjectName]]),(ProjectInfoTable[ProjectName]=ContinuousStatsTable[[#This Row],[ProjectName]])*ProjectInfoTable[NumberOfReplications]))</f>
        <v>50</v>
      </c>
      <c r="O579" cm="1">
        <f t="array" ref="O579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579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579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579" cm="1">
        <f t="array" ref="S579">MIN(IF((ContinuousStatsTable[GroupByKey]=ContinuousStatsTable[[#This Row],[GroupByKey]]),(ContinuousStatsTable[GroupByKey]=ContinuousStatsTable[[#This Row],[GroupByKey]])*ContinuousStatsTable[Average]))</f>
        <v>1.7200278735122601</v>
      </c>
      <c r="T579" cm="1">
        <f t="array" ref="T579">MAX(IF((ContinuousStatsTable[GroupByKey]=ContinuousStatsTable[[#This Row],[GroupByKey]]),(ContinuousStatsTable[GroupByKey]=ContinuousStatsTable[[#This Row],[GroupByKey]])*ContinuousStatsTable[Average]))</f>
        <v>4.5543512780988502</v>
      </c>
      <c r="U579">
        <f>IF((ContinuousStatsTable[[#This Row],[RepsRequested]]&gt;1),ContinuousStatsTable[[#This Row],[HalfWidth]],ContinuousStatsTable[[#This Row],[BatchMeansHalfWidth]])</f>
        <v>0.21041231434540877</v>
      </c>
    </row>
    <row r="580" spans="1:21" x14ac:dyDescent="0.25">
      <c r="A580" t="s">
        <v>68</v>
      </c>
      <c r="B580" t="s">
        <v>131</v>
      </c>
      <c r="C580">
        <v>49</v>
      </c>
      <c r="D580" t="s">
        <v>87</v>
      </c>
      <c r="E580" t="s">
        <v>96</v>
      </c>
      <c r="F580" t="s">
        <v>85</v>
      </c>
      <c r="G580">
        <v>0.18461900250466501</v>
      </c>
      <c r="H580">
        <v>2.5275187183599598E-2</v>
      </c>
      <c r="I580">
        <v>0</v>
      </c>
      <c r="J580">
        <v>5</v>
      </c>
      <c r="K580">
        <v>0</v>
      </c>
      <c r="L580">
        <v>0</v>
      </c>
      <c r="M580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580" cm="1">
        <f t="array" ref="N580">MAX(IF((ProjectInfoTable[ProjectName]=ContinuousStatsTable[[#This Row],[ProjectName]]),(ProjectInfoTable[ProjectName]=ContinuousStatsTable[[#This Row],[ProjectName]])*ProjectInfoTable[NumberOfReplications]))</f>
        <v>50</v>
      </c>
      <c r="O580" cm="1">
        <f t="array" ref="O580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580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580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580" cm="1">
        <f t="array" ref="S580">MIN(IF((ContinuousStatsTable[GroupByKey]=ContinuousStatsTable[[#This Row],[GroupByKey]]),(ContinuousStatsTable[GroupByKey]=ContinuousStatsTable[[#This Row],[GroupByKey]])*ContinuousStatsTable[Average]))</f>
        <v>0.172815232766103</v>
      </c>
      <c r="T580" cm="1">
        <f t="array" ref="T580">MAX(IF((ContinuousStatsTable[GroupByKey]=ContinuousStatsTable[[#This Row],[GroupByKey]]),(ContinuousStatsTable[GroupByKey]=ContinuousStatsTable[[#This Row],[GroupByKey]])*ContinuousStatsTable[Average]))</f>
        <v>0.24783514900621301</v>
      </c>
      <c r="U580">
        <f>IF((ContinuousStatsTable[[#This Row],[RepsRequested]]&gt;1),ContinuousStatsTable[[#This Row],[HalfWidth]],ContinuousStatsTable[[#This Row],[BatchMeansHalfWidth]])</f>
        <v>4.7768909384897544E-3</v>
      </c>
    </row>
    <row r="581" spans="1:21" x14ac:dyDescent="0.25">
      <c r="A581" t="s">
        <v>68</v>
      </c>
      <c r="B581" t="s">
        <v>131</v>
      </c>
      <c r="C581">
        <v>49</v>
      </c>
      <c r="D581" t="s">
        <v>97</v>
      </c>
      <c r="E581" t="s">
        <v>98</v>
      </c>
      <c r="F581" t="s">
        <v>99</v>
      </c>
      <c r="G581">
        <v>0.54657586793108004</v>
      </c>
      <c r="H581">
        <v>1.9587607219353299E-2</v>
      </c>
      <c r="I581">
        <v>0</v>
      </c>
      <c r="J581">
        <v>0.66666666666666696</v>
      </c>
      <c r="K581">
        <v>0.66666666666666696</v>
      </c>
      <c r="L581">
        <v>0</v>
      </c>
      <c r="M581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581" cm="1">
        <f t="array" ref="N581">MAX(IF((ProjectInfoTable[ProjectName]=ContinuousStatsTable[[#This Row],[ProjectName]]),(ProjectInfoTable[ProjectName]=ContinuousStatsTable[[#This Row],[ProjectName]])*ProjectInfoTable[NumberOfReplications]))</f>
        <v>50</v>
      </c>
      <c r="O581" cm="1">
        <f t="array" ref="O581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581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581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581" cm="1">
        <f t="array" ref="S581">MIN(IF((ContinuousStatsTable[GroupByKey]=ContinuousStatsTable[[#This Row],[GroupByKey]]),(ContinuousStatsTable[GroupByKey]=ContinuousStatsTable[[#This Row],[GroupByKey]])*ContinuousStatsTable[Average]))</f>
        <v>0.52470641844357602</v>
      </c>
      <c r="T581" cm="1">
        <f t="array" ref="T581">MAX(IF((ContinuousStatsTable[GroupByKey]=ContinuousStatsTable[[#This Row],[GroupByKey]]),(ContinuousStatsTable[GroupByKey]=ContinuousStatsTable[[#This Row],[GroupByKey]])*ContinuousStatsTable[Average]))</f>
        <v>0.57005812966092095</v>
      </c>
      <c r="U581">
        <f>IF((ContinuousStatsTable[[#This Row],[RepsRequested]]&gt;1),ContinuousStatsTable[[#This Row],[HalfWidth]],ContinuousStatsTable[[#This Row],[BatchMeansHalfWidth]])</f>
        <v>2.9048243757695521E-3</v>
      </c>
    </row>
    <row r="582" spans="1:21" x14ac:dyDescent="0.25">
      <c r="A582" t="s">
        <v>68</v>
      </c>
      <c r="B582" t="s">
        <v>131</v>
      </c>
      <c r="C582">
        <v>49</v>
      </c>
      <c r="D582" t="s">
        <v>97</v>
      </c>
      <c r="E582" t="s">
        <v>100</v>
      </c>
      <c r="F582" t="s">
        <v>99</v>
      </c>
      <c r="G582">
        <v>1.63972760379324</v>
      </c>
      <c r="H582">
        <v>5.8762821658059898E-2</v>
      </c>
      <c r="I582">
        <v>0</v>
      </c>
      <c r="J582">
        <v>2</v>
      </c>
      <c r="K582">
        <v>2</v>
      </c>
      <c r="L582">
        <v>0</v>
      </c>
      <c r="M582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582" cm="1">
        <f t="array" ref="N582">MAX(IF((ProjectInfoTable[ProjectName]=ContinuousStatsTable[[#This Row],[ProjectName]]),(ProjectInfoTable[ProjectName]=ContinuousStatsTable[[#This Row],[ProjectName]])*ProjectInfoTable[NumberOfReplications]))</f>
        <v>50</v>
      </c>
      <c r="O582" cm="1">
        <f t="array" ref="O582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82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82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82" cm="1">
        <f t="array" ref="S582">MIN(IF((ContinuousStatsTable[GroupByKey]=ContinuousStatsTable[[#This Row],[GroupByKey]]),(ContinuousStatsTable[GroupByKey]=ContinuousStatsTable[[#This Row],[GroupByKey]])*ContinuousStatsTable[Average]))</f>
        <v>1.5741192553307399</v>
      </c>
      <c r="T582" cm="1">
        <f t="array" ref="T582">MAX(IF((ContinuousStatsTable[GroupByKey]=ContinuousStatsTable[[#This Row],[GroupByKey]]),(ContinuousStatsTable[GroupByKey]=ContinuousStatsTable[[#This Row],[GroupByKey]])*ContinuousStatsTable[Average]))</f>
        <v>1.7101743889827701</v>
      </c>
      <c r="U582">
        <f>IF((ContinuousStatsTable[[#This Row],[RepsRequested]]&gt;1),ContinuousStatsTable[[#This Row],[HalfWidth]],ContinuousStatsTable[[#This Row],[BatchMeansHalfWidth]])</f>
        <v>8.7144731273084922E-3</v>
      </c>
    </row>
    <row r="583" spans="1:21" x14ac:dyDescent="0.25">
      <c r="A583" t="s">
        <v>68</v>
      </c>
      <c r="B583" t="s">
        <v>131</v>
      </c>
      <c r="C583">
        <v>49</v>
      </c>
      <c r="D583" t="s">
        <v>97</v>
      </c>
      <c r="E583" t="s">
        <v>101</v>
      </c>
      <c r="F583" t="s">
        <v>99</v>
      </c>
      <c r="G583">
        <v>3</v>
      </c>
      <c r="H583">
        <v>2E+20</v>
      </c>
      <c r="I583">
        <v>3</v>
      </c>
      <c r="J583">
        <v>3</v>
      </c>
      <c r="K583">
        <v>3</v>
      </c>
      <c r="L583">
        <v>0</v>
      </c>
      <c r="M583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583" cm="1">
        <f t="array" ref="N583">MAX(IF((ProjectInfoTable[ProjectName]=ContinuousStatsTable[[#This Row],[ProjectName]]),(ProjectInfoTable[ProjectName]=ContinuousStatsTable[[#This Row],[ProjectName]])*ProjectInfoTable[NumberOfReplications]))</f>
        <v>50</v>
      </c>
      <c r="O583" cm="1">
        <f t="array" ref="O583">IFERROR(AVERAGE(IF((ContinuousStatsTable[GroupByKey]=ContinuousStatsTable[[#This Row],[GroupByKey]]),(ContinuousStatsTable[GroupByKey]=ContinuousStatsTable[[#This Row],[GroupByKey]])*ContinuousStatsTable[Average])),0)</f>
        <v>3</v>
      </c>
      <c r="P583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0</v>
      </c>
      <c r="Q583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3" cm="1">
        <f t="array" ref="S583">MIN(IF((ContinuousStatsTable[GroupByKey]=ContinuousStatsTable[[#This Row],[GroupByKey]]),(ContinuousStatsTable[GroupByKey]=ContinuousStatsTable[[#This Row],[GroupByKey]])*ContinuousStatsTable[Average]))</f>
        <v>3</v>
      </c>
      <c r="T583" cm="1">
        <f t="array" ref="T583">MAX(IF((ContinuousStatsTable[GroupByKey]=ContinuousStatsTable[[#This Row],[GroupByKey]]),(ContinuousStatsTable[GroupByKey]=ContinuousStatsTable[[#This Row],[GroupByKey]])*ContinuousStatsTable[Average]))</f>
        <v>3</v>
      </c>
      <c r="U583">
        <f>IF((ContinuousStatsTable[[#This Row],[RepsRequested]]&gt;1),ContinuousStatsTable[[#This Row],[HalfWidth]],ContinuousStatsTable[[#This Row],[BatchMeansHalfWidth]])</f>
        <v>0</v>
      </c>
    </row>
    <row r="584" spans="1:21" x14ac:dyDescent="0.25">
      <c r="A584" t="s">
        <v>68</v>
      </c>
      <c r="B584" t="s">
        <v>131</v>
      </c>
      <c r="C584">
        <v>49</v>
      </c>
      <c r="D584" t="s">
        <v>102</v>
      </c>
      <c r="E584" t="s">
        <v>98</v>
      </c>
      <c r="F584" t="s">
        <v>99</v>
      </c>
      <c r="G584">
        <v>0.819863801896619</v>
      </c>
      <c r="H584">
        <v>2.93814108290299E-2</v>
      </c>
      <c r="I584">
        <v>0</v>
      </c>
      <c r="J584">
        <v>1</v>
      </c>
      <c r="K584">
        <v>1</v>
      </c>
      <c r="L584">
        <v>0</v>
      </c>
      <c r="M584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584" cm="1">
        <f t="array" ref="N584">MAX(IF((ProjectInfoTable[ProjectName]=ContinuousStatsTable[[#This Row],[ProjectName]]),(ProjectInfoTable[ProjectName]=ContinuousStatsTable[[#This Row],[ProjectName]])*ProjectInfoTable[NumberOfReplications]))</f>
        <v>50</v>
      </c>
      <c r="O584" cm="1">
        <f t="array" ref="O584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584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584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584" cm="1">
        <f t="array" ref="S584">MIN(IF((ContinuousStatsTable[GroupByKey]=ContinuousStatsTable[[#This Row],[GroupByKey]]),(ContinuousStatsTable[GroupByKey]=ContinuousStatsTable[[#This Row],[GroupByKey]])*ContinuousStatsTable[Average]))</f>
        <v>0.78705962766536897</v>
      </c>
      <c r="T584" cm="1">
        <f t="array" ref="T584">MAX(IF((ContinuousStatsTable[GroupByKey]=ContinuousStatsTable[[#This Row],[GroupByKey]]),(ContinuousStatsTable[GroupByKey]=ContinuousStatsTable[[#This Row],[GroupByKey]])*ContinuousStatsTable[Average]))</f>
        <v>0.85508719449138504</v>
      </c>
      <c r="U584">
        <f>IF((ContinuousStatsTable[[#This Row],[RepsRequested]]&gt;1),ContinuousStatsTable[[#This Row],[HalfWidth]],ContinuousStatsTable[[#This Row],[BatchMeansHalfWidth]])</f>
        <v>4.3572365636542886E-3</v>
      </c>
    </row>
    <row r="585" spans="1:21" x14ac:dyDescent="0.25">
      <c r="A585" t="s">
        <v>68</v>
      </c>
      <c r="B585" t="s">
        <v>131</v>
      </c>
      <c r="C585">
        <v>49</v>
      </c>
      <c r="D585" t="s">
        <v>102</v>
      </c>
      <c r="E585" t="s">
        <v>100</v>
      </c>
      <c r="F585" t="s">
        <v>99</v>
      </c>
      <c r="G585">
        <v>1.63972760379324</v>
      </c>
      <c r="H585">
        <v>5.8762821658059898E-2</v>
      </c>
      <c r="I585">
        <v>0</v>
      </c>
      <c r="J585">
        <v>2</v>
      </c>
      <c r="K585">
        <v>2</v>
      </c>
      <c r="L585">
        <v>0</v>
      </c>
      <c r="M585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585" cm="1">
        <f t="array" ref="N585">MAX(IF((ProjectInfoTable[ProjectName]=ContinuousStatsTable[[#This Row],[ProjectName]]),(ProjectInfoTable[ProjectName]=ContinuousStatsTable[[#This Row],[ProjectName]])*ProjectInfoTable[NumberOfReplications]))</f>
        <v>50</v>
      </c>
      <c r="O585" cm="1">
        <f t="array" ref="O585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8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8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85" cm="1">
        <f t="array" ref="S585">MIN(IF((ContinuousStatsTable[GroupByKey]=ContinuousStatsTable[[#This Row],[GroupByKey]]),(ContinuousStatsTable[GroupByKey]=ContinuousStatsTable[[#This Row],[GroupByKey]])*ContinuousStatsTable[Average]))</f>
        <v>1.5741192553307399</v>
      </c>
      <c r="T585" cm="1">
        <f t="array" ref="T585">MAX(IF((ContinuousStatsTable[GroupByKey]=ContinuousStatsTable[[#This Row],[GroupByKey]]),(ContinuousStatsTable[GroupByKey]=ContinuousStatsTable[[#This Row],[GroupByKey]])*ContinuousStatsTable[Average]))</f>
        <v>1.7101743889827701</v>
      </c>
      <c r="U585">
        <f>IF((ContinuousStatsTable[[#This Row],[RepsRequested]]&gt;1),ContinuousStatsTable[[#This Row],[HalfWidth]],ContinuousStatsTable[[#This Row],[BatchMeansHalfWidth]])</f>
        <v>8.7144731273084922E-3</v>
      </c>
    </row>
    <row r="586" spans="1:21" x14ac:dyDescent="0.25">
      <c r="A586" t="s">
        <v>68</v>
      </c>
      <c r="B586" t="s">
        <v>131</v>
      </c>
      <c r="C586">
        <v>49</v>
      </c>
      <c r="D586" t="s">
        <v>102</v>
      </c>
      <c r="E586" t="s">
        <v>101</v>
      </c>
      <c r="F586" t="s">
        <v>99</v>
      </c>
      <c r="G586">
        <v>2</v>
      </c>
      <c r="H586">
        <v>2E+20</v>
      </c>
      <c r="I586">
        <v>2</v>
      </c>
      <c r="J586">
        <v>2</v>
      </c>
      <c r="K586">
        <v>2</v>
      </c>
      <c r="L586">
        <v>0</v>
      </c>
      <c r="M586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586" cm="1">
        <f t="array" ref="N586">MAX(IF((ProjectInfoTable[ProjectName]=ContinuousStatsTable[[#This Row],[ProjectName]]),(ProjectInfoTable[ProjectName]=ContinuousStatsTable[[#This Row],[ProjectName]])*ProjectInfoTable[NumberOfReplications]))</f>
        <v>50</v>
      </c>
      <c r="O586" cm="1">
        <f t="array" ref="O586">IFERROR(AVERAGE(IF((ContinuousStatsTable[GroupByKey]=ContinuousStatsTable[[#This Row],[GroupByKey]]),(ContinuousStatsTable[GroupByKey]=ContinuousStatsTable[[#This Row],[GroupByKey]])*ContinuousStatsTable[Average])),0)</f>
        <v>2</v>
      </c>
      <c r="P586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cm="1">
        <f t="array" ref="S586">MIN(IF((ContinuousStatsTable[GroupByKey]=ContinuousStatsTable[[#This Row],[GroupByKey]]),(ContinuousStatsTable[GroupByKey]=ContinuousStatsTable[[#This Row],[GroupByKey]])*ContinuousStatsTable[Average]))</f>
        <v>2</v>
      </c>
      <c r="T586" cm="1">
        <f t="array" ref="T586">MAX(IF((ContinuousStatsTable[GroupByKey]=ContinuousStatsTable[[#This Row],[GroupByKey]]),(ContinuousStatsTable[GroupByKey]=ContinuousStatsTable[[#This Row],[GroupByKey]])*ContinuousStatsTable[Average]))</f>
        <v>2</v>
      </c>
      <c r="U586">
        <f>IF((ContinuousStatsTable[[#This Row],[RepsRequested]]&gt;1),ContinuousStatsTable[[#This Row],[HalfWidth]],ContinuousStatsTable[[#This Row],[BatchMeansHalfWidth]])</f>
        <v>0</v>
      </c>
    </row>
    <row r="587" spans="1:21" x14ac:dyDescent="0.25">
      <c r="A587" t="s">
        <v>68</v>
      </c>
      <c r="B587" t="s">
        <v>131</v>
      </c>
      <c r="C587">
        <v>49</v>
      </c>
      <c r="D587" t="s">
        <v>103</v>
      </c>
      <c r="E587" t="s">
        <v>98</v>
      </c>
      <c r="F587" t="s">
        <v>99</v>
      </c>
      <c r="G587">
        <v>0.46338924703065998</v>
      </c>
      <c r="H587">
        <v>1.9414963520791501E-2</v>
      </c>
      <c r="I587">
        <v>0</v>
      </c>
      <c r="J587">
        <v>1</v>
      </c>
      <c r="K587">
        <v>0</v>
      </c>
      <c r="L587">
        <v>0</v>
      </c>
      <c r="M587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587" cm="1">
        <f t="array" ref="N587">MAX(IF((ProjectInfoTable[ProjectName]=ContinuousStatsTable[[#This Row],[ProjectName]]),(ProjectInfoTable[ProjectName]=ContinuousStatsTable[[#This Row],[ProjectName]])*ProjectInfoTable[NumberOfReplications]))</f>
        <v>50</v>
      </c>
      <c r="O587" cm="1">
        <f t="array" ref="O587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87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87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87" cm="1">
        <f t="array" ref="S587">MIN(IF((ContinuousStatsTable[GroupByKey]=ContinuousStatsTable[[#This Row],[GroupByKey]]),(ContinuousStatsTable[GroupByKey]=ContinuousStatsTable[[#This Row],[GroupByKey]])*ContinuousStatsTable[Average]))</f>
        <v>0.452397944183905</v>
      </c>
      <c r="T587" cm="1">
        <f t="array" ref="T587">MAX(IF((ContinuousStatsTable[GroupByKey]=ContinuousStatsTable[[#This Row],[GroupByKey]]),(ContinuousStatsTable[GroupByKey]=ContinuousStatsTable[[#This Row],[GroupByKey]])*ContinuousStatsTable[Average]))</f>
        <v>0.49691123629694001</v>
      </c>
      <c r="U587">
        <f>IF((ContinuousStatsTable[[#This Row],[RepsRequested]]&gt;1),ContinuousStatsTable[[#This Row],[HalfWidth]],ContinuousStatsTable[[#This Row],[BatchMeansHalfWidth]])</f>
        <v>2.7457743728226142E-3</v>
      </c>
    </row>
    <row r="588" spans="1:21" x14ac:dyDescent="0.25">
      <c r="A588" t="s">
        <v>68</v>
      </c>
      <c r="B588" t="s">
        <v>131</v>
      </c>
      <c r="C588">
        <v>49</v>
      </c>
      <c r="D588" t="s">
        <v>103</v>
      </c>
      <c r="E588" t="s">
        <v>100</v>
      </c>
      <c r="F588" t="s">
        <v>99</v>
      </c>
      <c r="G588">
        <v>0.46338924703065998</v>
      </c>
      <c r="H588">
        <v>1.9414963520791501E-2</v>
      </c>
      <c r="I588">
        <v>0</v>
      </c>
      <c r="J588">
        <v>1</v>
      </c>
      <c r="K588">
        <v>0</v>
      </c>
      <c r="L588">
        <v>0</v>
      </c>
      <c r="M588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588" cm="1">
        <f t="array" ref="N588">MAX(IF((ProjectInfoTable[ProjectName]=ContinuousStatsTable[[#This Row],[ProjectName]]),(ProjectInfoTable[ProjectName]=ContinuousStatsTable[[#This Row],[ProjectName]])*ProjectInfoTable[NumberOfReplications]))</f>
        <v>50</v>
      </c>
      <c r="O588" cm="1">
        <f t="array" ref="O588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88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88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88" cm="1">
        <f t="array" ref="S588">MIN(IF((ContinuousStatsTable[GroupByKey]=ContinuousStatsTable[[#This Row],[GroupByKey]]),(ContinuousStatsTable[GroupByKey]=ContinuousStatsTable[[#This Row],[GroupByKey]])*ContinuousStatsTable[Average]))</f>
        <v>0.452397944183905</v>
      </c>
      <c r="T588" cm="1">
        <f t="array" ref="T588">MAX(IF((ContinuousStatsTable[GroupByKey]=ContinuousStatsTable[[#This Row],[GroupByKey]]),(ContinuousStatsTable[GroupByKey]=ContinuousStatsTable[[#This Row],[GroupByKey]])*ContinuousStatsTable[Average]))</f>
        <v>0.49691123629694001</v>
      </c>
      <c r="U588">
        <f>IF((ContinuousStatsTable[[#This Row],[RepsRequested]]&gt;1),ContinuousStatsTable[[#This Row],[HalfWidth]],ContinuousStatsTable[[#This Row],[BatchMeansHalfWidth]])</f>
        <v>2.7457743728226142E-3</v>
      </c>
    </row>
    <row r="589" spans="1:21" x14ac:dyDescent="0.25">
      <c r="A589" t="s">
        <v>68</v>
      </c>
      <c r="B589" t="s">
        <v>131</v>
      </c>
      <c r="C589">
        <v>49</v>
      </c>
      <c r="D589" t="s">
        <v>103</v>
      </c>
      <c r="E589" t="s">
        <v>101</v>
      </c>
      <c r="F589" t="s">
        <v>99</v>
      </c>
      <c r="G589">
        <v>1</v>
      </c>
      <c r="H589">
        <v>2E+20</v>
      </c>
      <c r="I589">
        <v>1</v>
      </c>
      <c r="J589">
        <v>1</v>
      </c>
      <c r="K589">
        <v>1</v>
      </c>
      <c r="L589">
        <v>0</v>
      </c>
      <c r="M589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589" cm="1">
        <f t="array" ref="N589">MAX(IF((ProjectInfoTable[ProjectName]=ContinuousStatsTable[[#This Row],[ProjectName]]),(ProjectInfoTable[ProjectName]=ContinuousStatsTable[[#This Row],[ProjectName]])*ProjectInfoTable[NumberOfReplications]))</f>
        <v>50</v>
      </c>
      <c r="O589" cm="1">
        <f t="array" ref="O589">IFERROR(AVERAGE(IF((ContinuousStatsTable[GroupByKey]=ContinuousStatsTable[[#This Row],[GroupByKey]]),(ContinuousStatsTable[GroupByKey]=ContinuousStatsTable[[#This Row],[GroupByKey]])*ContinuousStatsTable[Average])),0)</f>
        <v>1</v>
      </c>
      <c r="P589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</v>
      </c>
      <c r="Q589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9" cm="1">
        <f t="array" ref="S589">MIN(IF((ContinuousStatsTable[GroupByKey]=ContinuousStatsTable[[#This Row],[GroupByKey]]),(ContinuousStatsTable[GroupByKey]=ContinuousStatsTable[[#This Row],[GroupByKey]])*ContinuousStatsTable[Average]))</f>
        <v>1</v>
      </c>
      <c r="T589" cm="1">
        <f t="array" ref="T589">MAX(IF((ContinuousStatsTable[GroupByKey]=ContinuousStatsTable[[#This Row],[GroupByKey]]),(ContinuousStatsTable[GroupByKey]=ContinuousStatsTable[[#This Row],[GroupByKey]])*ContinuousStatsTable[Average]))</f>
        <v>1</v>
      </c>
      <c r="U589">
        <f>IF((ContinuousStatsTable[[#This Row],[RepsRequested]]&gt;1),ContinuousStatsTable[[#This Row],[HalfWidth]],ContinuousStatsTable[[#This Row],[BatchMeansHalfWidth]])</f>
        <v>0</v>
      </c>
    </row>
    <row r="590" spans="1:21" x14ac:dyDescent="0.25">
      <c r="A590" t="s">
        <v>68</v>
      </c>
      <c r="B590" t="s">
        <v>131</v>
      </c>
      <c r="C590">
        <v>50</v>
      </c>
      <c r="D590" t="s">
        <v>70</v>
      </c>
      <c r="E590" t="s">
        <v>95</v>
      </c>
      <c r="F590" t="s">
        <v>72</v>
      </c>
      <c r="G590">
        <v>5.9735030682153702</v>
      </c>
      <c r="H590">
        <v>1.5721380155895399</v>
      </c>
      <c r="I590">
        <v>0</v>
      </c>
      <c r="J590">
        <v>25</v>
      </c>
      <c r="K590">
        <v>2</v>
      </c>
      <c r="L590">
        <v>0</v>
      </c>
      <c r="M590" t="str">
        <f>ContinuousStatsTable[[#This Row],[ProjectName]]&amp;ContinuousStatsTable[[#This Row],[Name]]&amp;ContinuousStatsTable[[#This Row],[Type]]&amp;ContinuousStatsTable[[#This Row],[Source]]</f>
        <v>PacientesEntity 1WIPEntity</v>
      </c>
      <c r="N590" cm="1">
        <f t="array" ref="N590">MAX(IF((ProjectInfoTable[ProjectName]=ContinuousStatsTable[[#This Row],[ProjectName]]),(ProjectInfoTable[ProjectName]=ContinuousStatsTable[[#This Row],[ProjectName]])*ProjectInfoTable[NumberOfReplications]))</f>
        <v>50</v>
      </c>
      <c r="O590" cm="1">
        <f t="array" ref="O590">IFERROR(AVERAGE(IF((ContinuousStatsTable[GroupByKey]=ContinuousStatsTable[[#This Row],[GroupByKey]]),(ContinuousStatsTable[GroupByKey]=ContinuousStatsTable[[#This Row],[GroupByKey]])*ContinuousStatsTable[Average])),0)</f>
        <v>5.0291450407150116</v>
      </c>
      <c r="P590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0.7751882821061955</v>
      </c>
      <c r="Q590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0.22030607219171747</v>
      </c>
      <c r="S590" cm="1">
        <f t="array" ref="S590">MIN(IF((ContinuousStatsTable[GroupByKey]=ContinuousStatsTable[[#This Row],[GroupByKey]]),(ContinuousStatsTable[GroupByKey]=ContinuousStatsTable[[#This Row],[GroupByKey]])*ContinuousStatsTable[Average]))</f>
        <v>3.9757448048151298</v>
      </c>
      <c r="T590" cm="1">
        <f t="array" ref="T590">MAX(IF((ContinuousStatsTable[GroupByKey]=ContinuousStatsTable[[#This Row],[GroupByKey]]),(ContinuousStatsTable[GroupByKey]=ContinuousStatsTable[[#This Row],[GroupByKey]])*ContinuousStatsTable[Average]))</f>
        <v>6.9386840633215803</v>
      </c>
      <c r="U590">
        <f>IF((ContinuousStatsTable[[#This Row],[RepsRequested]]&gt;1),ContinuousStatsTable[[#This Row],[HalfWidth]],ContinuousStatsTable[[#This Row],[BatchMeansHalfWidth]])</f>
        <v>0.22030607219171747</v>
      </c>
    </row>
    <row r="591" spans="1:21" x14ac:dyDescent="0.25">
      <c r="A591" t="s">
        <v>68</v>
      </c>
      <c r="B591" t="s">
        <v>131</v>
      </c>
      <c r="C591">
        <v>50</v>
      </c>
      <c r="D591" t="s">
        <v>83</v>
      </c>
      <c r="E591" t="s">
        <v>96</v>
      </c>
      <c r="F591" t="s">
        <v>85</v>
      </c>
      <c r="G591">
        <v>3.6239677853075101</v>
      </c>
      <c r="H591">
        <v>1.49106729491408</v>
      </c>
      <c r="I591">
        <v>0</v>
      </c>
      <c r="J591">
        <v>23</v>
      </c>
      <c r="K591">
        <v>0</v>
      </c>
      <c r="L591">
        <v>0</v>
      </c>
      <c r="M591" t="str">
        <f>ContinuousStatsTable[[#This Row],[ProjectName]]&amp;ContinuousStatsTable[[#This Row],[Name]]&amp;ContinuousStatsTable[[#This Row],[Type]]&amp;ContinuousStatsTable[[#This Row],[Source]]</f>
        <v>PacientesProcess 2.QueueNumber WaitingQueue</v>
      </c>
      <c r="N591" cm="1">
        <f t="array" ref="N591">MAX(IF((ProjectInfoTable[ProjectName]=ContinuousStatsTable[[#This Row],[ProjectName]]),(ProjectInfoTable[ProjectName]=ContinuousStatsTable[[#This Row],[ProjectName]])*ProjectInfoTable[NumberOfReplications]))</f>
        <v>50</v>
      </c>
      <c r="O591" cm="1">
        <f t="array" ref="O591">IFERROR(AVERAGE(IF((ContinuousStatsTable[GroupByKey]=ContinuousStatsTable[[#This Row],[GroupByKey]]),(ContinuousStatsTable[GroupByKey]=ContinuousStatsTable[[#This Row],[GroupByKey]])*ContinuousStatsTable[Average])),0)</f>
        <v>2.7022068205389371</v>
      </c>
      <c r="P591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0.74037523736278754</v>
      </c>
      <c r="Q591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0.21041231434540877</v>
      </c>
      <c r="S591" cm="1">
        <f t="array" ref="S591">MIN(IF((ContinuousStatsTable[GroupByKey]=ContinuousStatsTable[[#This Row],[GroupByKey]]),(ContinuousStatsTable[GroupByKey]=ContinuousStatsTable[[#This Row],[GroupByKey]])*ContinuousStatsTable[Average]))</f>
        <v>1.7200278735122601</v>
      </c>
      <c r="T591" cm="1">
        <f t="array" ref="T591">MAX(IF((ContinuousStatsTable[GroupByKey]=ContinuousStatsTable[[#This Row],[GroupByKey]]),(ContinuousStatsTable[GroupByKey]=ContinuousStatsTable[[#This Row],[GroupByKey]])*ContinuousStatsTable[Average]))</f>
        <v>4.5543512780988502</v>
      </c>
      <c r="U591">
        <f>IF((ContinuousStatsTable[[#This Row],[RepsRequested]]&gt;1),ContinuousStatsTable[[#This Row],[HalfWidth]],ContinuousStatsTable[[#This Row],[BatchMeansHalfWidth]])</f>
        <v>0.21041231434540877</v>
      </c>
    </row>
    <row r="592" spans="1:21" x14ac:dyDescent="0.25">
      <c r="A592" t="s">
        <v>68</v>
      </c>
      <c r="B592" t="s">
        <v>131</v>
      </c>
      <c r="C592">
        <v>50</v>
      </c>
      <c r="D592" t="s">
        <v>87</v>
      </c>
      <c r="E592" t="s">
        <v>96</v>
      </c>
      <c r="F592" t="s">
        <v>85</v>
      </c>
      <c r="G592">
        <v>0.221028007663743</v>
      </c>
      <c r="H592">
        <v>4.7872672912236597E-2</v>
      </c>
      <c r="I592">
        <v>0</v>
      </c>
      <c r="J592">
        <v>6</v>
      </c>
      <c r="K592">
        <v>0</v>
      </c>
      <c r="L592">
        <v>0</v>
      </c>
      <c r="M592" t="str">
        <f>ContinuousStatsTable[[#This Row],[ProjectName]]&amp;ContinuousStatsTable[[#This Row],[Name]]&amp;ContinuousStatsTable[[#This Row],[Type]]&amp;ContinuousStatsTable[[#This Row],[Source]]</f>
        <v>PacientesRegistro.QueueNumber WaitingQueue</v>
      </c>
      <c r="N592" cm="1">
        <f t="array" ref="N592">MAX(IF((ProjectInfoTable[ProjectName]=ContinuousStatsTable[[#This Row],[ProjectName]]),(ProjectInfoTable[ProjectName]=ContinuousStatsTable[[#This Row],[ProjectName]])*ProjectInfoTable[NumberOfReplications]))</f>
        <v>50</v>
      </c>
      <c r="O592" cm="1">
        <f t="array" ref="O592">IFERROR(AVERAGE(IF((ContinuousStatsTable[GroupByKey]=ContinuousStatsTable[[#This Row],[GroupByKey]]),(ContinuousStatsTable[GroupByKey]=ContinuousStatsTable[[#This Row],[GroupByKey]])*ContinuousStatsTable[Average])),0)</f>
        <v>0.2141917500690991</v>
      </c>
      <c r="P592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1.680838772884146E-2</v>
      </c>
      <c r="Q592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4.7768909384897544E-3</v>
      </c>
      <c r="S592" cm="1">
        <f t="array" ref="S592">MIN(IF((ContinuousStatsTable[GroupByKey]=ContinuousStatsTable[[#This Row],[GroupByKey]]),(ContinuousStatsTable[GroupByKey]=ContinuousStatsTable[[#This Row],[GroupByKey]])*ContinuousStatsTable[Average]))</f>
        <v>0.172815232766103</v>
      </c>
      <c r="T592" cm="1">
        <f t="array" ref="T592">MAX(IF((ContinuousStatsTable[GroupByKey]=ContinuousStatsTable[[#This Row],[GroupByKey]]),(ContinuousStatsTable[GroupByKey]=ContinuousStatsTable[[#This Row],[GroupByKey]])*ContinuousStatsTable[Average]))</f>
        <v>0.24783514900621301</v>
      </c>
      <c r="U592">
        <f>IF((ContinuousStatsTable[[#This Row],[RepsRequested]]&gt;1),ContinuousStatsTable[[#This Row],[HalfWidth]],ContinuousStatsTable[[#This Row],[BatchMeansHalfWidth]])</f>
        <v>4.7768909384897544E-3</v>
      </c>
    </row>
    <row r="593" spans="1:21" x14ac:dyDescent="0.25">
      <c r="A593" t="s">
        <v>68</v>
      </c>
      <c r="B593" t="s">
        <v>131</v>
      </c>
      <c r="C593">
        <v>50</v>
      </c>
      <c r="D593" t="s">
        <v>97</v>
      </c>
      <c r="E593" t="s">
        <v>98</v>
      </c>
      <c r="F593" t="s">
        <v>99</v>
      </c>
      <c r="G593">
        <v>0.55060118191558305</v>
      </c>
      <c r="H593">
        <v>2.8417665006706699E-2</v>
      </c>
      <c r="I593">
        <v>0</v>
      </c>
      <c r="J593">
        <v>0.66666666666666696</v>
      </c>
      <c r="K593">
        <v>0.66666666666666696</v>
      </c>
      <c r="L593">
        <v>0</v>
      </c>
      <c r="M593" t="str">
        <f>ContinuousStatsTable[[#This Row],[ProjectName]]&amp;ContinuousStatsTable[[#This Row],[Name]]&amp;ContinuousStatsTable[[#This Row],[Type]]&amp;ContinuousStatsTable[[#This Row],[Source]]</f>
        <v>PacientesrCamasInstantaneous UtilizationResource</v>
      </c>
      <c r="N593" cm="1">
        <f t="array" ref="N593">MAX(IF((ProjectInfoTable[ProjectName]=ContinuousStatsTable[[#This Row],[ProjectName]]),(ProjectInfoTable[ProjectName]=ContinuousStatsTable[[#This Row],[ProjectName]])*ProjectInfoTable[NumberOfReplications]))</f>
        <v>50</v>
      </c>
      <c r="O593" cm="1">
        <f t="array" ref="O593">IFERROR(AVERAGE(IF((ContinuousStatsTable[GroupByKey]=ContinuousStatsTable[[#This Row],[GroupByKey]]),(ContinuousStatsTable[GroupByKey]=ContinuousStatsTable[[#This Row],[GroupByKey]])*ContinuousStatsTable[Average])),0)</f>
        <v>0.54703961359050579</v>
      </c>
      <c r="P593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1.0221170008030573E-2</v>
      </c>
      <c r="Q593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2.9048243757695521E-3</v>
      </c>
      <c r="S593" cm="1">
        <f t="array" ref="S593">MIN(IF((ContinuousStatsTable[GroupByKey]=ContinuousStatsTable[[#This Row],[GroupByKey]]),(ContinuousStatsTable[GroupByKey]=ContinuousStatsTable[[#This Row],[GroupByKey]])*ContinuousStatsTable[Average]))</f>
        <v>0.52470641844357602</v>
      </c>
      <c r="T593" cm="1">
        <f t="array" ref="T593">MAX(IF((ContinuousStatsTable[GroupByKey]=ContinuousStatsTable[[#This Row],[GroupByKey]]),(ContinuousStatsTable[GroupByKey]=ContinuousStatsTable[[#This Row],[GroupByKey]])*ContinuousStatsTable[Average]))</f>
        <v>0.57005812966092095</v>
      </c>
      <c r="U593">
        <f>IF((ContinuousStatsTable[[#This Row],[RepsRequested]]&gt;1),ContinuousStatsTable[[#This Row],[HalfWidth]],ContinuousStatsTable[[#This Row],[BatchMeansHalfWidth]])</f>
        <v>2.9048243757695521E-3</v>
      </c>
    </row>
    <row r="594" spans="1:21" x14ac:dyDescent="0.25">
      <c r="A594" t="s">
        <v>68</v>
      </c>
      <c r="B594" t="s">
        <v>131</v>
      </c>
      <c r="C594">
        <v>50</v>
      </c>
      <c r="D594" t="s">
        <v>97</v>
      </c>
      <c r="E594" t="s">
        <v>100</v>
      </c>
      <c r="F594" t="s">
        <v>99</v>
      </c>
      <c r="G594">
        <v>1.6518035457467499</v>
      </c>
      <c r="H594">
        <v>8.5252995020120195E-2</v>
      </c>
      <c r="I594">
        <v>0</v>
      </c>
      <c r="J594">
        <v>2</v>
      </c>
      <c r="K594">
        <v>2</v>
      </c>
      <c r="L594">
        <v>0</v>
      </c>
      <c r="M594" t="str">
        <f>ContinuousStatsTable[[#This Row],[ProjectName]]&amp;ContinuousStatsTable[[#This Row],[Name]]&amp;ContinuousStatsTable[[#This Row],[Type]]&amp;ContinuousStatsTable[[#This Row],[Source]]</f>
        <v>PacientesrCamasNumber BusyResource</v>
      </c>
      <c r="N594" cm="1">
        <f t="array" ref="N594">MAX(IF((ProjectInfoTable[ProjectName]=ContinuousStatsTable[[#This Row],[ProjectName]]),(ProjectInfoTable[ProjectName]=ContinuousStatsTable[[#This Row],[ProjectName]])*ProjectInfoTable[NumberOfReplications]))</f>
        <v>50</v>
      </c>
      <c r="O594" cm="1">
        <f t="array" ref="O594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94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94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94" cm="1">
        <f t="array" ref="S594">MIN(IF((ContinuousStatsTable[GroupByKey]=ContinuousStatsTable[[#This Row],[GroupByKey]]),(ContinuousStatsTable[GroupByKey]=ContinuousStatsTable[[#This Row],[GroupByKey]])*ContinuousStatsTable[Average]))</f>
        <v>1.5741192553307399</v>
      </c>
      <c r="T594" cm="1">
        <f t="array" ref="T594">MAX(IF((ContinuousStatsTable[GroupByKey]=ContinuousStatsTable[[#This Row],[GroupByKey]]),(ContinuousStatsTable[GroupByKey]=ContinuousStatsTable[[#This Row],[GroupByKey]])*ContinuousStatsTable[Average]))</f>
        <v>1.7101743889827701</v>
      </c>
      <c r="U594">
        <f>IF((ContinuousStatsTable[[#This Row],[RepsRequested]]&gt;1),ContinuousStatsTable[[#This Row],[HalfWidth]],ContinuousStatsTable[[#This Row],[BatchMeansHalfWidth]])</f>
        <v>8.7144731273084922E-3</v>
      </c>
    </row>
    <row r="595" spans="1:21" x14ac:dyDescent="0.25">
      <c r="A595" t="s">
        <v>68</v>
      </c>
      <c r="B595" t="s">
        <v>131</v>
      </c>
      <c r="C595">
        <v>50</v>
      </c>
      <c r="D595" t="s">
        <v>97</v>
      </c>
      <c r="E595" t="s">
        <v>101</v>
      </c>
      <c r="F595" t="s">
        <v>99</v>
      </c>
      <c r="G595">
        <v>3</v>
      </c>
      <c r="H595">
        <v>2E+20</v>
      </c>
      <c r="I595">
        <v>3</v>
      </c>
      <c r="J595">
        <v>3</v>
      </c>
      <c r="K595">
        <v>3</v>
      </c>
      <c r="L595">
        <v>0</v>
      </c>
      <c r="M595" t="str">
        <f>ContinuousStatsTable[[#This Row],[ProjectName]]&amp;ContinuousStatsTable[[#This Row],[Name]]&amp;ContinuousStatsTable[[#This Row],[Type]]&amp;ContinuousStatsTable[[#This Row],[Source]]</f>
        <v>PacientesrCamasNumber ScheduledResource</v>
      </c>
      <c r="N595" cm="1">
        <f t="array" ref="N595">MAX(IF((ProjectInfoTable[ProjectName]=ContinuousStatsTable[[#This Row],[ProjectName]]),(ProjectInfoTable[ProjectName]=ContinuousStatsTable[[#This Row],[ProjectName]])*ProjectInfoTable[NumberOfReplications]))</f>
        <v>50</v>
      </c>
      <c r="O595" cm="1">
        <f t="array" ref="O595">IFERROR(AVERAGE(IF((ContinuousStatsTable[GroupByKey]=ContinuousStatsTable[[#This Row],[GroupByKey]]),(ContinuousStatsTable[GroupByKey]=ContinuousStatsTable[[#This Row],[GroupByKey]])*ContinuousStatsTable[Average])),0)</f>
        <v>3</v>
      </c>
      <c r="P59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cm="1">
        <f t="array" ref="S595">MIN(IF((ContinuousStatsTable[GroupByKey]=ContinuousStatsTable[[#This Row],[GroupByKey]]),(ContinuousStatsTable[GroupByKey]=ContinuousStatsTable[[#This Row],[GroupByKey]])*ContinuousStatsTable[Average]))</f>
        <v>3</v>
      </c>
      <c r="T595" cm="1">
        <f t="array" ref="T595">MAX(IF((ContinuousStatsTable[GroupByKey]=ContinuousStatsTable[[#This Row],[GroupByKey]]),(ContinuousStatsTable[GroupByKey]=ContinuousStatsTable[[#This Row],[GroupByKey]])*ContinuousStatsTable[Average]))</f>
        <v>3</v>
      </c>
      <c r="U595">
        <f>IF((ContinuousStatsTable[[#This Row],[RepsRequested]]&gt;1),ContinuousStatsTable[[#This Row],[HalfWidth]],ContinuousStatsTable[[#This Row],[BatchMeansHalfWidth]])</f>
        <v>0</v>
      </c>
    </row>
    <row r="596" spans="1:21" x14ac:dyDescent="0.25">
      <c r="A596" t="s">
        <v>68</v>
      </c>
      <c r="B596" t="s">
        <v>131</v>
      </c>
      <c r="C596">
        <v>50</v>
      </c>
      <c r="D596" t="s">
        <v>102</v>
      </c>
      <c r="E596" t="s">
        <v>98</v>
      </c>
      <c r="F596" t="s">
        <v>99</v>
      </c>
      <c r="G596">
        <v>0.82590177287337396</v>
      </c>
      <c r="H596">
        <v>4.2626497510060098E-2</v>
      </c>
      <c r="I596">
        <v>0</v>
      </c>
      <c r="J596">
        <v>1</v>
      </c>
      <c r="K596">
        <v>1</v>
      </c>
      <c r="L596">
        <v>0</v>
      </c>
      <c r="M596" t="str">
        <f>ContinuousStatsTable[[#This Row],[ProjectName]]&amp;ContinuousStatsTable[[#This Row],[Name]]&amp;ContinuousStatsTable[[#This Row],[Type]]&amp;ContinuousStatsTable[[#This Row],[Source]]</f>
        <v>PacientesrMedicoInstantaneous UtilizationResource</v>
      </c>
      <c r="N596" cm="1">
        <f t="array" ref="N596">MAX(IF((ProjectInfoTable[ProjectName]=ContinuousStatsTable[[#This Row],[ProjectName]]),(ProjectInfoTable[ProjectName]=ContinuousStatsTable[[#This Row],[ProjectName]])*ProjectInfoTable[NumberOfReplications]))</f>
        <v>50</v>
      </c>
      <c r="O596" cm="1">
        <f t="array" ref="O596">IFERROR(AVERAGE(IF((ContinuousStatsTable[GroupByKey]=ContinuousStatsTable[[#This Row],[GroupByKey]]),(ContinuousStatsTable[GroupByKey]=ContinuousStatsTable[[#This Row],[GroupByKey]])*ContinuousStatsTable[Average])),0)</f>
        <v>0.82055942038575935</v>
      </c>
      <c r="P596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1.5331755012045719E-2</v>
      </c>
      <c r="Q596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4.3572365636542886E-3</v>
      </c>
      <c r="S596" cm="1">
        <f t="array" ref="S596">MIN(IF((ContinuousStatsTable[GroupByKey]=ContinuousStatsTable[[#This Row],[GroupByKey]]),(ContinuousStatsTable[GroupByKey]=ContinuousStatsTable[[#This Row],[GroupByKey]])*ContinuousStatsTable[Average]))</f>
        <v>0.78705962766536897</v>
      </c>
      <c r="T596" cm="1">
        <f t="array" ref="T596">MAX(IF((ContinuousStatsTable[GroupByKey]=ContinuousStatsTable[[#This Row],[GroupByKey]]),(ContinuousStatsTable[GroupByKey]=ContinuousStatsTable[[#This Row],[GroupByKey]])*ContinuousStatsTable[Average]))</f>
        <v>0.85508719449138504</v>
      </c>
      <c r="U596">
        <f>IF((ContinuousStatsTable[[#This Row],[RepsRequested]]&gt;1),ContinuousStatsTable[[#This Row],[HalfWidth]],ContinuousStatsTable[[#This Row],[BatchMeansHalfWidth]])</f>
        <v>4.3572365636542886E-3</v>
      </c>
    </row>
    <row r="597" spans="1:21" x14ac:dyDescent="0.25">
      <c r="A597" t="s">
        <v>68</v>
      </c>
      <c r="B597" t="s">
        <v>131</v>
      </c>
      <c r="C597">
        <v>50</v>
      </c>
      <c r="D597" t="s">
        <v>102</v>
      </c>
      <c r="E597" t="s">
        <v>100</v>
      </c>
      <c r="F597" t="s">
        <v>99</v>
      </c>
      <c r="G597">
        <v>1.6518035457467499</v>
      </c>
      <c r="H597">
        <v>8.5252995020120195E-2</v>
      </c>
      <c r="I597">
        <v>0</v>
      </c>
      <c r="J597">
        <v>2</v>
      </c>
      <c r="K597">
        <v>2</v>
      </c>
      <c r="L597">
        <v>0</v>
      </c>
      <c r="M597" t="str">
        <f>ContinuousStatsTable[[#This Row],[ProjectName]]&amp;ContinuousStatsTable[[#This Row],[Name]]&amp;ContinuousStatsTable[[#This Row],[Type]]&amp;ContinuousStatsTable[[#This Row],[Source]]</f>
        <v>PacientesrMedicoNumber BusyResource</v>
      </c>
      <c r="N597" cm="1">
        <f t="array" ref="N597">MAX(IF((ProjectInfoTable[ProjectName]=ContinuousStatsTable[[#This Row],[ProjectName]]),(ProjectInfoTable[ProjectName]=ContinuousStatsTable[[#This Row],[ProjectName]])*ProjectInfoTable[NumberOfReplications]))</f>
        <v>50</v>
      </c>
      <c r="O597" cm="1">
        <f t="array" ref="O597">IFERROR(AVERAGE(IF((ContinuousStatsTable[GroupByKey]=ContinuousStatsTable[[#This Row],[GroupByKey]]),(ContinuousStatsTable[GroupByKey]=ContinuousStatsTable[[#This Row],[GroupByKey]])*ContinuousStatsTable[Average])),0)</f>
        <v>1.6411188407715187</v>
      </c>
      <c r="P597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3.066351002409114E-2</v>
      </c>
      <c r="Q597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8.7144731273084922E-3</v>
      </c>
      <c r="S597" cm="1">
        <f t="array" ref="S597">MIN(IF((ContinuousStatsTable[GroupByKey]=ContinuousStatsTable[[#This Row],[GroupByKey]]),(ContinuousStatsTable[GroupByKey]=ContinuousStatsTable[[#This Row],[GroupByKey]])*ContinuousStatsTable[Average]))</f>
        <v>1.5741192553307399</v>
      </c>
      <c r="T597" cm="1">
        <f t="array" ref="T597">MAX(IF((ContinuousStatsTable[GroupByKey]=ContinuousStatsTable[[#This Row],[GroupByKey]]),(ContinuousStatsTable[GroupByKey]=ContinuousStatsTable[[#This Row],[GroupByKey]])*ContinuousStatsTable[Average]))</f>
        <v>1.7101743889827701</v>
      </c>
      <c r="U597">
        <f>IF((ContinuousStatsTable[[#This Row],[RepsRequested]]&gt;1),ContinuousStatsTable[[#This Row],[HalfWidth]],ContinuousStatsTable[[#This Row],[BatchMeansHalfWidth]])</f>
        <v>8.7144731273084922E-3</v>
      </c>
    </row>
    <row r="598" spans="1:21" x14ac:dyDescent="0.25">
      <c r="A598" t="s">
        <v>68</v>
      </c>
      <c r="B598" t="s">
        <v>131</v>
      </c>
      <c r="C598">
        <v>50</v>
      </c>
      <c r="D598" t="s">
        <v>102</v>
      </c>
      <c r="E598" t="s">
        <v>101</v>
      </c>
      <c r="F598" t="s">
        <v>99</v>
      </c>
      <c r="G598">
        <v>2</v>
      </c>
      <c r="H598">
        <v>2E+20</v>
      </c>
      <c r="I598">
        <v>2</v>
      </c>
      <c r="J598">
        <v>2</v>
      </c>
      <c r="K598">
        <v>2</v>
      </c>
      <c r="L598">
        <v>0</v>
      </c>
      <c r="M598" t="str">
        <f>ContinuousStatsTable[[#This Row],[ProjectName]]&amp;ContinuousStatsTable[[#This Row],[Name]]&amp;ContinuousStatsTable[[#This Row],[Type]]&amp;ContinuousStatsTable[[#This Row],[Source]]</f>
        <v>PacientesrMedicoNumber ScheduledResource</v>
      </c>
      <c r="N598" cm="1">
        <f t="array" ref="N598">MAX(IF((ProjectInfoTable[ProjectName]=ContinuousStatsTable[[#This Row],[ProjectName]]),(ProjectInfoTable[ProjectName]=ContinuousStatsTable[[#This Row],[ProjectName]])*ProjectInfoTable[NumberOfReplications]))</f>
        <v>50</v>
      </c>
      <c r="O598" cm="1">
        <f t="array" ref="O598">IFERROR(AVERAGE(IF((ContinuousStatsTable[GroupByKey]=ContinuousStatsTable[[#This Row],[GroupByKey]]),(ContinuousStatsTable[GroupByKey]=ContinuousStatsTable[[#This Row],[GroupByKey]])*ContinuousStatsTable[Average])),0)</f>
        <v>2</v>
      </c>
      <c r="P598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0</v>
      </c>
      <c r="Q598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8" cm="1">
        <f t="array" ref="S598">MIN(IF((ContinuousStatsTable[GroupByKey]=ContinuousStatsTable[[#This Row],[GroupByKey]]),(ContinuousStatsTable[GroupByKey]=ContinuousStatsTable[[#This Row],[GroupByKey]])*ContinuousStatsTable[Average]))</f>
        <v>2</v>
      </c>
      <c r="T598" cm="1">
        <f t="array" ref="T598">MAX(IF((ContinuousStatsTable[GroupByKey]=ContinuousStatsTable[[#This Row],[GroupByKey]]),(ContinuousStatsTable[GroupByKey]=ContinuousStatsTable[[#This Row],[GroupByKey]])*ContinuousStatsTable[Average]))</f>
        <v>2</v>
      </c>
      <c r="U598">
        <f>IF((ContinuousStatsTable[[#This Row],[RepsRequested]]&gt;1),ContinuousStatsTable[[#This Row],[HalfWidth]],ContinuousStatsTable[[#This Row],[BatchMeansHalfWidth]])</f>
        <v>0</v>
      </c>
    </row>
    <row r="599" spans="1:21" x14ac:dyDescent="0.25">
      <c r="A599" t="s">
        <v>68</v>
      </c>
      <c r="B599" t="s">
        <v>131</v>
      </c>
      <c r="C599">
        <v>50</v>
      </c>
      <c r="D599" t="s">
        <v>103</v>
      </c>
      <c r="E599" t="s">
        <v>98</v>
      </c>
      <c r="F599" t="s">
        <v>99</v>
      </c>
      <c r="G599">
        <v>0.47670372949737699</v>
      </c>
      <c r="H599">
        <v>2.1938791465121898E-2</v>
      </c>
      <c r="I599">
        <v>0</v>
      </c>
      <c r="J599">
        <v>1</v>
      </c>
      <c r="K599">
        <v>0</v>
      </c>
      <c r="L599">
        <v>0</v>
      </c>
      <c r="M599" t="str">
        <f>ContinuousStatsTable[[#This Row],[ProjectName]]&amp;ContinuousStatsTable[[#This Row],[Name]]&amp;ContinuousStatsTable[[#This Row],[Type]]&amp;ContinuousStatsTable[[#This Row],[Source]]</f>
        <v>PacientesrRegistradoraInstantaneous UtilizationResource</v>
      </c>
      <c r="N599" cm="1">
        <f t="array" ref="N599">MAX(IF((ProjectInfoTable[ProjectName]=ContinuousStatsTable[[#This Row],[ProjectName]]),(ProjectInfoTable[ProjectName]=ContinuousStatsTable[[#This Row],[ProjectName]])*ProjectInfoTable[NumberOfReplications]))</f>
        <v>50</v>
      </c>
      <c r="O599" cm="1">
        <f t="array" ref="O599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599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599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599" cm="1">
        <f t="array" ref="S599">MIN(IF((ContinuousStatsTable[GroupByKey]=ContinuousStatsTable[[#This Row],[GroupByKey]]),(ContinuousStatsTable[GroupByKey]=ContinuousStatsTable[[#This Row],[GroupByKey]])*ContinuousStatsTable[Average]))</f>
        <v>0.452397944183905</v>
      </c>
      <c r="T599" cm="1">
        <f t="array" ref="T599">MAX(IF((ContinuousStatsTable[GroupByKey]=ContinuousStatsTable[[#This Row],[GroupByKey]]),(ContinuousStatsTable[GroupByKey]=ContinuousStatsTable[[#This Row],[GroupByKey]])*ContinuousStatsTable[Average]))</f>
        <v>0.49691123629694001</v>
      </c>
      <c r="U599">
        <f>IF((ContinuousStatsTable[[#This Row],[RepsRequested]]&gt;1),ContinuousStatsTable[[#This Row],[HalfWidth]],ContinuousStatsTable[[#This Row],[BatchMeansHalfWidth]])</f>
        <v>2.7457743728226142E-3</v>
      </c>
    </row>
    <row r="600" spans="1:21" x14ac:dyDescent="0.25">
      <c r="A600" t="s">
        <v>68</v>
      </c>
      <c r="B600" t="s">
        <v>131</v>
      </c>
      <c r="C600">
        <v>50</v>
      </c>
      <c r="D600" t="s">
        <v>103</v>
      </c>
      <c r="E600" t="s">
        <v>100</v>
      </c>
      <c r="F600" t="s">
        <v>99</v>
      </c>
      <c r="G600">
        <v>0.47670372949737699</v>
      </c>
      <c r="H600">
        <v>2.1938791465121898E-2</v>
      </c>
      <c r="I600">
        <v>0</v>
      </c>
      <c r="J600">
        <v>1</v>
      </c>
      <c r="K600">
        <v>0</v>
      </c>
      <c r="L600">
        <v>0</v>
      </c>
      <c r="M600" t="str">
        <f>ContinuousStatsTable[[#This Row],[ProjectName]]&amp;ContinuousStatsTable[[#This Row],[Name]]&amp;ContinuousStatsTable[[#This Row],[Type]]&amp;ContinuousStatsTable[[#This Row],[Source]]</f>
        <v>PacientesrRegistradoraNumber BusyResource</v>
      </c>
      <c r="N600" cm="1">
        <f t="array" ref="N600">MAX(IF((ProjectInfoTable[ProjectName]=ContinuousStatsTable[[#This Row],[ProjectName]]),(ProjectInfoTable[ProjectName]=ContinuousStatsTable[[#This Row],[ProjectName]])*ProjectInfoTable[NumberOfReplications]))</f>
        <v>50</v>
      </c>
      <c r="O600" cm="1">
        <f t="array" ref="O600">IFERROR(AVERAGE(IF((ContinuousStatsTable[GroupByKey]=ContinuousStatsTable[[#This Row],[GroupByKey]]),(ContinuousStatsTable[GroupByKey]=ContinuousStatsTable[[#This Row],[GroupByKey]])*ContinuousStatsTable[Average])),0)</f>
        <v>0.47162762933545666</v>
      </c>
      <c r="P600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9.6615227076777797E-3</v>
      </c>
      <c r="Q600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2.7457743728226142E-3</v>
      </c>
      <c r="S600" cm="1">
        <f t="array" ref="S600">MIN(IF((ContinuousStatsTable[GroupByKey]=ContinuousStatsTable[[#This Row],[GroupByKey]]),(ContinuousStatsTable[GroupByKey]=ContinuousStatsTable[[#This Row],[GroupByKey]])*ContinuousStatsTable[Average]))</f>
        <v>0.452397944183905</v>
      </c>
      <c r="T600" cm="1">
        <f t="array" ref="T600">MAX(IF((ContinuousStatsTable[GroupByKey]=ContinuousStatsTable[[#This Row],[GroupByKey]]),(ContinuousStatsTable[GroupByKey]=ContinuousStatsTable[[#This Row],[GroupByKey]])*ContinuousStatsTable[Average]))</f>
        <v>0.49691123629694001</v>
      </c>
      <c r="U600">
        <f>IF((ContinuousStatsTable[[#This Row],[RepsRequested]]&gt;1),ContinuousStatsTable[[#This Row],[HalfWidth]],ContinuousStatsTable[[#This Row],[BatchMeansHalfWidth]])</f>
        <v>2.7457743728226142E-3</v>
      </c>
    </row>
    <row r="601" spans="1:21" x14ac:dyDescent="0.25">
      <c r="A601" t="s">
        <v>68</v>
      </c>
      <c r="B601" t="s">
        <v>131</v>
      </c>
      <c r="C601">
        <v>50</v>
      </c>
      <c r="D601" t="s">
        <v>103</v>
      </c>
      <c r="E601" t="s">
        <v>101</v>
      </c>
      <c r="F601" t="s">
        <v>99</v>
      </c>
      <c r="G601">
        <v>1</v>
      </c>
      <c r="H601">
        <v>2E+20</v>
      </c>
      <c r="I601">
        <v>1</v>
      </c>
      <c r="J601">
        <v>1</v>
      </c>
      <c r="K601">
        <v>1</v>
      </c>
      <c r="L601">
        <v>0</v>
      </c>
      <c r="M601" t="str">
        <f>ContinuousStatsTable[[#This Row],[ProjectName]]&amp;ContinuousStatsTable[[#This Row],[Name]]&amp;ContinuousStatsTable[[#This Row],[Type]]&amp;ContinuousStatsTable[[#This Row],[Source]]</f>
        <v>PacientesrRegistradoraNumber ScheduledResource</v>
      </c>
      <c r="N601" cm="1">
        <f t="array" ref="N601">MAX(IF((ProjectInfoTable[ProjectName]=ContinuousStatsTable[[#This Row],[ProjectName]]),(ProjectInfoTable[ProjectName]=ContinuousStatsTable[[#This Row],[ProjectName]])*ProjectInfoTable[NumberOfReplications]))</f>
        <v>50</v>
      </c>
      <c r="O601" cm="1">
        <f t="array" ref="O601">IFERROR(AVERAGE(IF((ContinuousStatsTable[GroupByKey]=ContinuousStatsTable[[#This Row],[GroupByKey]]),(ContinuousStatsTable[GroupByKey]=ContinuousStatsTable[[#This Row],[GroupByKey]])*ContinuousStatsTable[Average])),0)</f>
        <v>1</v>
      </c>
      <c r="P601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0</v>
      </c>
      <c r="Q601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1" cm="1">
        <f t="array" ref="S601">MIN(IF((ContinuousStatsTable[GroupByKey]=ContinuousStatsTable[[#This Row],[GroupByKey]]),(ContinuousStatsTable[GroupByKey]=ContinuousStatsTable[[#This Row],[GroupByKey]])*ContinuousStatsTable[Average]))</f>
        <v>1</v>
      </c>
      <c r="T601" cm="1">
        <f t="array" ref="T601">MAX(IF((ContinuousStatsTable[GroupByKey]=ContinuousStatsTable[[#This Row],[GroupByKey]]),(ContinuousStatsTable[GroupByKey]=ContinuousStatsTable[[#This Row],[GroupByKey]])*ContinuousStatsTable[Average]))</f>
        <v>1</v>
      </c>
      <c r="U601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601">
    <cfRule type="expression" dxfId="25" priority="9">
      <formula>H2=200000000000000000000</formula>
    </cfRule>
  </conditionalFormatting>
  <conditionalFormatting sqref="H2:H601">
    <cfRule type="expression" dxfId="24" priority="7">
      <formula>H2=300000000000000000000</formula>
    </cfRule>
  </conditionalFormatting>
  <conditionalFormatting sqref="M2:U601">
    <cfRule type="expression" dxfId="23" priority="5">
      <formula>MOD(ROW(),2)=0</formula>
    </cfRule>
  </conditionalFormatting>
  <conditionalFormatting sqref="U2:U601">
    <cfRule type="expression" dxfId="22" priority="3">
      <formula>U2=200000000000000000000</formula>
    </cfRule>
    <cfRule type="expression" dxfId="21" priority="4">
      <formula>U2=300000000000000000000</formula>
    </cfRule>
  </conditionalFormatting>
  <conditionalFormatting sqref="R2:R601 U2:U601">
    <cfRule type="expression" dxfId="20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9" priority="2">
      <formula>MOD(ROW(),2)=0</formula>
    </cfRule>
  </conditionalFormatting>
  <conditionalFormatting sqref="M2">
    <cfRule type="expression" dxfId="18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51"/>
  <sheetViews>
    <sheetView workbookViewId="0">
      <selection activeCell="A2" sqref="A2:H3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32.5703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69.425781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131</v>
      </c>
      <c r="C2">
        <v>1</v>
      </c>
      <c r="D2" t="s">
        <v>104</v>
      </c>
      <c r="E2" t="s">
        <v>105</v>
      </c>
      <c r="F2" t="s">
        <v>72</v>
      </c>
      <c r="G2">
        <v>2428</v>
      </c>
      <c r="H2">
        <v>0</v>
      </c>
      <c r="I2" t="str">
        <f>OutputTable[[#This Row],[ProjectName]]&amp;OutputTable[[#This Row],[Name]]&amp;OutputTable[[#This Row],[Type]]&amp;OutputTable[[#This Row],[Source]]</f>
        <v>PacientesEntity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2404.8200000000002</v>
      </c>
      <c r="L2" cm="1">
        <f t="array" ref="L2">IFERROR(_xlfn.STDEV.S(IF((OutputTable[GroupByKey]=OutputTable[[#This Row],[GroupByKey]]),(OutputTable[GroupByKey]=OutputTable[[#This Row],[GroupByKey]])*OutputTable[RecordedValue])),0)</f>
        <v>46.42953405595474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2" cm="1">
        <f t="array" ref="O2">MIN(IF((OutputTable[GroupByKey]=OutputTable[[#This Row],[GroupByKey]]),(OutputTable[GroupByKey]=OutputTable[[#This Row],[GroupByKey]])*OutputTable[RecordedValue]))</f>
        <v>2307</v>
      </c>
      <c r="P2" cm="1">
        <f t="array" ref="P2">MAX(IF((OutputTable[GroupByKey]=OutputTable[[#This Row],[GroupByKey]]),(OutputTable[GroupByKey]=OutputTable[[#This Row],[GroupByKey]])*OutputTable[RecordedValue]))</f>
        <v>2518</v>
      </c>
    </row>
    <row r="3" spans="1:16" x14ac:dyDescent="0.25">
      <c r="A3" t="s">
        <v>68</v>
      </c>
      <c r="B3" t="s">
        <v>131</v>
      </c>
      <c r="C3">
        <v>1</v>
      </c>
      <c r="D3" t="s">
        <v>106</v>
      </c>
      <c r="E3" t="s">
        <v>107</v>
      </c>
      <c r="F3" t="s">
        <v>72</v>
      </c>
      <c r="G3">
        <v>2423</v>
      </c>
      <c r="H3">
        <v>0</v>
      </c>
      <c r="I3" t="str">
        <f>OutputTable[[#This Row],[ProjectName]]&amp;OutputTable[[#This Row],[Name]]&amp;OutputTable[[#This Row],[Type]]&amp;OutputTable[[#This Row],[Source]]</f>
        <v>PacientesEntity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2400.2800000000002</v>
      </c>
      <c r="L3" cm="1">
        <f t="array" ref="L3">IFERROR(_xlfn.STDEV.S(IF((OutputTable[GroupByKey]=OutputTable[[#This Row],[GroupByKey]]),(OutputTable[GroupByKey]=OutputTable[[#This Row],[GroupByKey]])*OutputTable[RecordedValue])),0)</f>
        <v>46.409024456676619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" cm="1">
        <f t="array" ref="O3">MIN(IF((OutputTable[GroupByKey]=OutputTable[[#This Row],[GroupByKey]]),(OutputTable[GroupByKey]=OutputTable[[#This Row],[GroupByKey]])*OutputTable[RecordedValue]))</f>
        <v>2305</v>
      </c>
      <c r="P3" cm="1">
        <f t="array" ref="P3">MAX(IF((OutputTable[GroupByKey]=OutputTable[[#This Row],[GroupByKey]]),(OutputTable[GroupByKey]=OutputTable[[#This Row],[GroupByKey]])*OutputTable[RecordedValue]))</f>
        <v>2504</v>
      </c>
    </row>
    <row r="4" spans="1:16" x14ac:dyDescent="0.25">
      <c r="A4" t="s">
        <v>68</v>
      </c>
      <c r="B4" t="s">
        <v>131</v>
      </c>
      <c r="C4">
        <v>1</v>
      </c>
      <c r="D4" t="s">
        <v>108</v>
      </c>
      <c r="E4" t="s">
        <v>109</v>
      </c>
      <c r="F4" t="s">
        <v>80</v>
      </c>
      <c r="G4">
        <v>1195.1165170568499</v>
      </c>
      <c r="H4">
        <v>0</v>
      </c>
      <c r="I4" t="str">
        <f>OutputTable[[#This Row],[ProjectName]]&amp;OutputTable[[#This Row],[Name]]&amp;OutputTable[[#This Row],[Type]]&amp;OutputTable[[#This Row],[Source]]</f>
        <v>PacientesProcess 2 Accum VA TimeAccum VA TimeProcess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1181.1234936767919</v>
      </c>
      <c r="L4" cm="1">
        <f t="array" ref="L4">IFERROR(_xlfn.STDEV.S(IF((OutputTable[GroupByKey]=OutputTable[[#This Row],[GroupByKey]]),(OutputTable[GroupByKey]=OutputTable[[#This Row],[GroupByKey]])*OutputTable[RecordedValue])),0)</f>
        <v>22.169313666927575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4" cm="1">
        <f t="array" ref="O4">MIN(IF((OutputTable[GroupByKey]=OutputTable[[#This Row],[GroupByKey]]),(OutputTable[GroupByKey]=OutputTable[[#This Row],[GroupByKey]])*OutputTable[RecordedValue]))</f>
        <v>1133.24622318414</v>
      </c>
      <c r="P4" cm="1">
        <f t="array" ref="P4">MAX(IF((OutputTable[GroupByKey]=OutputTable[[#This Row],[GroupByKey]]),(OutputTable[GroupByKey]=OutputTable[[#This Row],[GroupByKey]])*OutputTable[RecordedValue]))</f>
        <v>1230.9493287309799</v>
      </c>
    </row>
    <row r="5" spans="1:16" x14ac:dyDescent="0.25">
      <c r="A5" t="s">
        <v>68</v>
      </c>
      <c r="B5" t="s">
        <v>131</v>
      </c>
      <c r="C5">
        <v>1</v>
      </c>
      <c r="D5" t="s">
        <v>110</v>
      </c>
      <c r="E5" t="s">
        <v>111</v>
      </c>
      <c r="F5" t="s">
        <v>80</v>
      </c>
      <c r="G5">
        <v>2255.26558437941</v>
      </c>
      <c r="H5">
        <v>0</v>
      </c>
      <c r="I5" t="str">
        <f>OutputTable[[#This Row],[ProjectName]]&amp;OutputTable[[#This Row],[Name]]&amp;OutputTable[[#This Row],[Type]]&amp;OutputTable[[#This Row],[Source]]</f>
        <v>PacientesProcess 2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1938.7515507466894</v>
      </c>
      <c r="L5" cm="1">
        <f t="array" ref="L5">IFERROR(_xlfn.STDEV.S(IF((OutputTable[GroupByKey]=OutputTable[[#This Row],[GroupByKey]]),(OutputTable[GroupByKey]=OutputTable[[#This Row],[GroupByKey]])*OutputTable[RecordedValue])),0)</f>
        <v>534.03396241838232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5" cm="1">
        <f t="array" ref="O5">MIN(IF((OutputTable[GroupByKey]=OutputTable[[#This Row],[GroupByKey]]),(OutputTable[GroupByKey]=OutputTable[[#This Row],[GroupByKey]])*OutputTable[RecordedValue]))</f>
        <v>1234.7567994731401</v>
      </c>
      <c r="P5" cm="1">
        <f t="array" ref="P5">MAX(IF((OutputTable[GroupByKey]=OutputTable[[#This Row],[GroupByKey]]),(OutputTable[GroupByKey]=OutputTable[[#This Row],[GroupByKey]])*OutputTable[RecordedValue]))</f>
        <v>3269.0858002883801</v>
      </c>
    </row>
    <row r="6" spans="1:16" x14ac:dyDescent="0.25">
      <c r="A6" t="s">
        <v>68</v>
      </c>
      <c r="B6" t="s">
        <v>131</v>
      </c>
      <c r="C6">
        <v>1</v>
      </c>
      <c r="D6" t="s">
        <v>112</v>
      </c>
      <c r="E6" t="s">
        <v>105</v>
      </c>
      <c r="F6" t="s">
        <v>80</v>
      </c>
      <c r="G6">
        <v>2426</v>
      </c>
      <c r="H6">
        <v>0</v>
      </c>
      <c r="I6" t="str">
        <f>OutputTable[[#This Row],[ProjectName]]&amp;OutputTable[[#This Row],[Name]]&amp;OutputTable[[#This Row],[Type]]&amp;OutputTable[[#This Row],[Source]]</f>
        <v>PacientesProcess 2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2404.2399999999998</v>
      </c>
      <c r="L6" cm="1">
        <f t="array" ref="L6">IFERROR(_xlfn.STDEV.S(IF((OutputTable[GroupByKey]=OutputTable[[#This Row],[GroupByKey]]),(OutputTable[GroupByKey]=OutputTable[[#This Row],[GroupByKey]])*OutputTable[RecordedValue])),0)</f>
        <v>46.574303154053879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6" cm="1">
        <f t="array" ref="O6">MIN(IF((OutputTable[GroupByKey]=OutputTable[[#This Row],[GroupByKey]]),(OutputTable[GroupByKey]=OutputTable[[#This Row],[GroupByKey]])*OutputTable[RecordedValue]))</f>
        <v>2306</v>
      </c>
      <c r="P6" cm="1">
        <f t="array" ref="P6">MAX(IF((OutputTable[GroupByKey]=OutputTable[[#This Row],[GroupByKey]]),(OutputTable[GroupByKey]=OutputTable[[#This Row],[GroupByKey]])*OutputTable[RecordedValue]))</f>
        <v>2518</v>
      </c>
    </row>
    <row r="7" spans="1:16" x14ac:dyDescent="0.25">
      <c r="A7" t="s">
        <v>68</v>
      </c>
      <c r="B7" t="s">
        <v>131</v>
      </c>
      <c r="C7">
        <v>1</v>
      </c>
      <c r="D7" t="s">
        <v>113</v>
      </c>
      <c r="E7" t="s">
        <v>107</v>
      </c>
      <c r="F7" t="s">
        <v>80</v>
      </c>
      <c r="G7">
        <v>2423</v>
      </c>
      <c r="H7">
        <v>0</v>
      </c>
      <c r="I7" t="str">
        <f>OutputTable[[#This Row],[ProjectName]]&amp;OutputTable[[#This Row],[Name]]&amp;OutputTable[[#This Row],[Type]]&amp;OutputTable[[#This Row],[Source]]</f>
        <v>PacientesProcess 2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2400.2800000000002</v>
      </c>
      <c r="L7" cm="1">
        <f t="array" ref="L7">IFERROR(_xlfn.STDEV.S(IF((OutputTable[GroupByKey]=OutputTable[[#This Row],[GroupByKey]]),(OutputTable[GroupByKey]=OutputTable[[#This Row],[GroupByKey]])*OutputTable[RecordedValue])),0)</f>
        <v>46.409024456676619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" cm="1">
        <f t="array" ref="O7">MIN(IF((OutputTable[GroupByKey]=OutputTable[[#This Row],[GroupByKey]]),(OutputTable[GroupByKey]=OutputTable[[#This Row],[GroupByKey]])*OutputTable[RecordedValue]))</f>
        <v>2305</v>
      </c>
      <c r="P7" cm="1">
        <f t="array" ref="P7">MAX(IF((OutputTable[GroupByKey]=OutputTable[[#This Row],[GroupByKey]]),(OutputTable[GroupByKey]=OutputTable[[#This Row],[GroupByKey]])*OutputTable[RecordedValue]))</f>
        <v>2504</v>
      </c>
    </row>
    <row r="8" spans="1:16" x14ac:dyDescent="0.25">
      <c r="A8" t="s">
        <v>68</v>
      </c>
      <c r="B8" t="s">
        <v>131</v>
      </c>
      <c r="C8">
        <v>1</v>
      </c>
      <c r="D8" t="s">
        <v>114</v>
      </c>
      <c r="E8" t="s">
        <v>109</v>
      </c>
      <c r="F8" t="s">
        <v>80</v>
      </c>
      <c r="G8">
        <v>339.70714665343797</v>
      </c>
      <c r="H8">
        <v>0</v>
      </c>
      <c r="I8" t="str">
        <f>OutputTable[[#This Row],[ProjectName]]&amp;OutputTable[[#This Row],[Name]]&amp;OutputTable[[#This Row],[Type]]&amp;OutputTable[[#This Row],[Source]]</f>
        <v>PacientesRegistro Accum VA TimeAccum VA TimeProcess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339.53547737062786</v>
      </c>
      <c r="L8" cm="1">
        <f t="array" ref="L8">IFERROR(_xlfn.STDEV.S(IF((OutputTable[GroupByKey]=OutputTable[[#This Row],[GroupByKey]]),(OutputTable[GroupByKey]=OutputTable[[#This Row],[GroupByKey]])*OutputTable[RecordedValue])),0)</f>
        <v>6.9723666109353193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8" cm="1">
        <f t="array" ref="O8">MIN(IF((OutputTable[GroupByKey]=OutputTable[[#This Row],[GroupByKey]]),(OutputTable[GroupByKey]=OutputTable[[#This Row],[GroupByKey]])*OutputTable[RecordedValue]))</f>
        <v>325.606879158418</v>
      </c>
      <c r="P8" cm="1">
        <f t="array" ref="P8">MAX(IF((OutputTable[GroupByKey]=OutputTable[[#This Row],[GroupByKey]]),(OutputTable[GroupByKey]=OutputTable[[#This Row],[GroupByKey]])*OutputTable[RecordedValue]))</f>
        <v>357.77609013379703</v>
      </c>
    </row>
    <row r="9" spans="1:16" x14ac:dyDescent="0.25">
      <c r="A9" t="s">
        <v>68</v>
      </c>
      <c r="B9" t="s">
        <v>131</v>
      </c>
      <c r="C9">
        <v>1</v>
      </c>
      <c r="D9" t="s">
        <v>115</v>
      </c>
      <c r="E9" t="s">
        <v>111</v>
      </c>
      <c r="F9" t="s">
        <v>80</v>
      </c>
      <c r="G9">
        <v>153.59505926167799</v>
      </c>
      <c r="H9">
        <v>0</v>
      </c>
      <c r="I9" t="str">
        <f>OutputTable[[#This Row],[ProjectName]]&amp;OutputTable[[#This Row],[Name]]&amp;OutputTable[[#This Row],[Type]]&amp;OutputTable[[#This Row],[Source]]</f>
        <v>PacientesRegistro Accum Wait TimeAccum Wait TimeProcess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154.15303898127775</v>
      </c>
      <c r="L9" cm="1">
        <f t="array" ref="L9">IFERROR(_xlfn.STDEV.S(IF((OutputTable[GroupByKey]=OutputTable[[#This Row],[GroupByKey]]),(OutputTable[GroupByKey]=OutputTable[[#This Row],[GroupByKey]])*OutputTable[RecordedValue])),0)</f>
        <v>12.141439184615397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9" cm="1">
        <f t="array" ref="O9">MIN(IF((OutputTable[GroupByKey]=OutputTable[[#This Row],[GroupByKey]]),(OutputTable[GroupByKey]=OutputTable[[#This Row],[GroupByKey]])*OutputTable[RecordedValue]))</f>
        <v>123.901613974094</v>
      </c>
      <c r="P9" cm="1">
        <f t="array" ref="P9">MAX(IF((OutputTable[GroupByKey]=OutputTable[[#This Row],[GroupByKey]]),(OutputTable[GroupByKey]=OutputTable[[#This Row],[GroupByKey]])*OutputTable[RecordedValue]))</f>
        <v>178.441307284473</v>
      </c>
    </row>
    <row r="10" spans="1:16" x14ac:dyDescent="0.25">
      <c r="A10" t="s">
        <v>68</v>
      </c>
      <c r="B10" t="s">
        <v>131</v>
      </c>
      <c r="C10">
        <v>1</v>
      </c>
      <c r="D10" t="s">
        <v>116</v>
      </c>
      <c r="E10" t="s">
        <v>105</v>
      </c>
      <c r="F10" t="s">
        <v>80</v>
      </c>
      <c r="G10">
        <v>2275</v>
      </c>
      <c r="H10">
        <v>0</v>
      </c>
      <c r="I10" t="str">
        <f>OutputTable[[#This Row],[ProjectName]]&amp;OutputTable[[#This Row],[Name]]&amp;OutputTable[[#This Row],[Type]]&amp;OutputTable[[#This Row],[Source]]</f>
        <v>PacientesRegistro Number InNumber InProcess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2263.2399999999998</v>
      </c>
      <c r="L10" cm="1">
        <f t="array" ref="L10">IFERROR(_xlfn.STDEV.S(IF((OutputTable[GroupByKey]=OutputTable[[#This Row],[GroupByKey]]),(OutputTable[GroupByKey]=OutputTable[[#This Row],[GroupByKey]])*OutputTable[RecordedValue])),0)</f>
        <v>47.331035682472766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10" cm="1">
        <f t="array" ref="O10">MIN(IF((OutputTable[GroupByKey]=OutputTable[[#This Row],[GroupByKey]]),(OutputTable[GroupByKey]=OutputTable[[#This Row],[GroupByKey]])*OutputTable[RecordedValue]))</f>
        <v>2172</v>
      </c>
      <c r="P10" cm="1">
        <f t="array" ref="P10">MAX(IF((OutputTable[GroupByKey]=OutputTable[[#This Row],[GroupByKey]]),(OutputTable[GroupByKey]=OutputTable[[#This Row],[GroupByKey]])*OutputTable[RecordedValue]))</f>
        <v>2386</v>
      </c>
    </row>
    <row r="11" spans="1:16" x14ac:dyDescent="0.25">
      <c r="A11" t="s">
        <v>68</v>
      </c>
      <c r="B11" t="s">
        <v>131</v>
      </c>
      <c r="C11">
        <v>1</v>
      </c>
      <c r="D11" t="s">
        <v>117</v>
      </c>
      <c r="E11" t="s">
        <v>107</v>
      </c>
      <c r="F11" t="s">
        <v>80</v>
      </c>
      <c r="G11">
        <v>2273</v>
      </c>
      <c r="H11">
        <v>0</v>
      </c>
      <c r="I11" t="str">
        <f>OutputTable[[#This Row],[ProjectName]]&amp;OutputTable[[#This Row],[Name]]&amp;OutputTable[[#This Row],[Type]]&amp;OutputTable[[#This Row],[Source]]</f>
        <v>PacientesRegistro Number OutNumber OutProcess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2262.66</v>
      </c>
      <c r="L11" cm="1">
        <f t="array" ref="L11">IFERROR(_xlfn.STDEV.S(IF((OutputTable[GroupByKey]=OutputTable[[#This Row],[GroupByKey]]),(OutputTable[GroupByKey]=OutputTable[[#This Row],[GroupByKey]])*OutputTable[RecordedValue])),0)</f>
        <v>47.488176831454687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11" cm="1">
        <f t="array" ref="O11">MIN(IF((OutputTable[GroupByKey]=OutputTable[[#This Row],[GroupByKey]]),(OutputTable[GroupByKey]=OutputTable[[#This Row],[GroupByKey]])*OutputTable[RecordedValue]))</f>
        <v>2171</v>
      </c>
      <c r="P11" cm="1">
        <f t="array" ref="P11">MAX(IF((OutputTable[GroupByKey]=OutputTable[[#This Row],[GroupByKey]]),(OutputTable[GroupByKey]=OutputTable[[#This Row],[GroupByKey]])*OutputTable[RecordedValue]))</f>
        <v>2386</v>
      </c>
    </row>
    <row r="12" spans="1:16" x14ac:dyDescent="0.25">
      <c r="A12" t="s">
        <v>68</v>
      </c>
      <c r="B12" t="s">
        <v>131</v>
      </c>
      <c r="C12">
        <v>1</v>
      </c>
      <c r="D12" t="s">
        <v>118</v>
      </c>
      <c r="E12" t="s">
        <v>107</v>
      </c>
      <c r="F12" t="s">
        <v>119</v>
      </c>
      <c r="G12">
        <v>2423</v>
      </c>
      <c r="H12">
        <v>0</v>
      </c>
      <c r="I12" t="str">
        <f>OutputTable[[#This Row],[ProjectName]]&amp;OutputTable[[#This Row],[Name]]&amp;OutputTable[[#This Row],[Type]]&amp;OutputTable[[#This Row],[Source]]</f>
        <v>PacientesSystem.NumberOutNumber OutSystem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2400.2800000000002</v>
      </c>
      <c r="L12" cm="1">
        <f t="array" ref="L12">IFERROR(_xlfn.STDEV.S(IF((OutputTable[GroupByKey]=OutputTable[[#This Row],[GroupByKey]]),(OutputTable[GroupByKey]=OutputTable[[#This Row],[GroupByKey]])*OutputTable[RecordedValue])),0)</f>
        <v>46.409024456676619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2" cm="1">
        <f t="array" ref="O12">MIN(IF((OutputTable[GroupByKey]=OutputTable[[#This Row],[GroupByKey]]),(OutputTable[GroupByKey]=OutputTable[[#This Row],[GroupByKey]])*OutputTable[RecordedValue]))</f>
        <v>2305</v>
      </c>
      <c r="P12" cm="1">
        <f t="array" ref="P12">MAX(IF((OutputTable[GroupByKey]=OutputTable[[#This Row],[GroupByKey]]),(OutputTable[GroupByKey]=OutputTable[[#This Row],[GroupByKey]])*OutputTable[RecordedValue]))</f>
        <v>2504</v>
      </c>
    </row>
    <row r="13" spans="1:16" x14ac:dyDescent="0.25">
      <c r="A13" t="s">
        <v>68</v>
      </c>
      <c r="B13" t="s">
        <v>131</v>
      </c>
      <c r="C13">
        <v>1</v>
      </c>
      <c r="D13" t="s">
        <v>120</v>
      </c>
      <c r="E13" t="s">
        <v>121</v>
      </c>
      <c r="F13" t="s">
        <v>99</v>
      </c>
      <c r="G13">
        <v>2425</v>
      </c>
      <c r="H13">
        <v>0</v>
      </c>
      <c r="I13" t="str">
        <f>OutputTable[[#This Row],[ProjectName]]&amp;OutputTable[[#This Row],[Name]]&amp;OutputTable[[#This Row],[Type]]&amp;OutputTable[[#This Row],[Source]]</f>
        <v>PacientesrCamas.NumberSeizedTotal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2401.9</v>
      </c>
      <c r="L13" cm="1">
        <f t="array" ref="L13">IFERROR(_xlfn.STDEV.S(IF((OutputTable[GroupByKey]=OutputTable[[#This Row],[GroupByKey]]),(OutputTable[GroupByKey]=OutputTable[[#This Row],[GroupByKey]])*OutputTable[RecordedValue])),0)</f>
        <v>46.417031532903209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3" cm="1">
        <f t="array" ref="O13">MIN(IF((OutputTable[GroupByKey]=OutputTable[[#This Row],[GroupByKey]]),(OutputTable[GroupByKey]=OutputTable[[#This Row],[GroupByKey]])*OutputTable[RecordedValue]))</f>
        <v>2306</v>
      </c>
      <c r="P13" cm="1">
        <f t="array" ref="P13">MAX(IF((OutputTable[GroupByKey]=OutputTable[[#This Row],[GroupByKey]]),(OutputTable[GroupByKey]=OutputTable[[#This Row],[GroupByKey]])*OutputTable[RecordedValue]))</f>
        <v>2506</v>
      </c>
    </row>
    <row r="14" spans="1:16" x14ac:dyDescent="0.25">
      <c r="A14" t="s">
        <v>68</v>
      </c>
      <c r="B14" t="s">
        <v>131</v>
      </c>
      <c r="C14">
        <v>1</v>
      </c>
      <c r="D14" t="s">
        <v>122</v>
      </c>
      <c r="E14" t="s">
        <v>123</v>
      </c>
      <c r="F14" t="s">
        <v>99</v>
      </c>
      <c r="G14">
        <v>0.55361951090148798</v>
      </c>
      <c r="H14">
        <v>0</v>
      </c>
      <c r="I14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0.54703961359050601</v>
      </c>
      <c r="L14" cm="1">
        <f t="array" ref="L14">IFERROR(_xlfn.STDEV.S(IF((OutputTable[GroupByKey]=OutputTable[[#This Row],[GroupByKey]]),(OutputTable[GroupByKey]=OutputTable[[#This Row],[GroupByKey]])*OutputTable[RecordedValue])),0)</f>
        <v>1.0221170008030479E-2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14" cm="1">
        <f t="array" ref="O14">MIN(IF((OutputTable[GroupByKey]=OutputTable[[#This Row],[GroupByKey]]),(OutputTable[GroupByKey]=OutputTable[[#This Row],[GroupByKey]])*OutputTable[RecordedValue]))</f>
        <v>0.52470641844357901</v>
      </c>
      <c r="P14" cm="1">
        <f t="array" ref="P14">MAX(IF((OutputTable[GroupByKey]=OutputTable[[#This Row],[GroupByKey]]),(OutputTable[GroupByKey]=OutputTable[[#This Row],[GroupByKey]])*OutputTable[RecordedValue]))</f>
        <v>0.57005812966092295</v>
      </c>
    </row>
    <row r="15" spans="1:16" x14ac:dyDescent="0.25">
      <c r="A15" t="s">
        <v>68</v>
      </c>
      <c r="B15" t="s">
        <v>131</v>
      </c>
      <c r="C15">
        <v>1</v>
      </c>
      <c r="D15" t="s">
        <v>124</v>
      </c>
      <c r="E15" t="s">
        <v>121</v>
      </c>
      <c r="F15" t="s">
        <v>99</v>
      </c>
      <c r="G15">
        <v>2425</v>
      </c>
      <c r="H15">
        <v>0</v>
      </c>
      <c r="I15" t="str">
        <f>OutputTable[[#This Row],[ProjectName]]&amp;OutputTable[[#This Row],[Name]]&amp;OutputTable[[#This Row],[Type]]&amp;OutputTable[[#This Row],[Source]]</f>
        <v>PacientesrMedico.NumberSeizedTotal Number SeizedResource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2401.9</v>
      </c>
      <c r="L15" cm="1">
        <f t="array" ref="L15">IFERROR(_xlfn.STDEV.S(IF((OutputTable[GroupByKey]=OutputTable[[#This Row],[GroupByKey]]),(OutputTable[GroupByKey]=OutputTable[[#This Row],[GroupByKey]])*OutputTable[RecordedValue])),0)</f>
        <v>46.417031532903209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5" cm="1">
        <f t="array" ref="O15">MIN(IF((OutputTable[GroupByKey]=OutputTable[[#This Row],[GroupByKey]]),(OutputTable[GroupByKey]=OutputTable[[#This Row],[GroupByKey]])*OutputTable[RecordedValue]))</f>
        <v>2306</v>
      </c>
      <c r="P15" cm="1">
        <f t="array" ref="P15">MAX(IF((OutputTable[GroupByKey]=OutputTable[[#This Row],[GroupByKey]]),(OutputTable[GroupByKey]=OutputTable[[#This Row],[GroupByKey]])*OutputTable[RecordedValue]))</f>
        <v>2506</v>
      </c>
    </row>
    <row r="16" spans="1:16" x14ac:dyDescent="0.25">
      <c r="A16" t="s">
        <v>68</v>
      </c>
      <c r="B16" t="s">
        <v>131</v>
      </c>
      <c r="C16">
        <v>1</v>
      </c>
      <c r="D16" t="s">
        <v>125</v>
      </c>
      <c r="E16" t="s">
        <v>123</v>
      </c>
      <c r="F16" t="s">
        <v>99</v>
      </c>
      <c r="G16">
        <v>0.83042926635223202</v>
      </c>
      <c r="H16">
        <v>0</v>
      </c>
      <c r="I16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0.82055942038575935</v>
      </c>
      <c r="L16" cm="1">
        <f t="array" ref="L16">IFERROR(_xlfn.STDEV.S(IF((OutputTable[GroupByKey]=OutputTable[[#This Row],[GroupByKey]]),(OutputTable[GroupByKey]=OutputTable[[#This Row],[GroupByKey]])*OutputTable[RecordedValue])),0)</f>
        <v>1.5331755012045719E-2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16" cm="1">
        <f t="array" ref="O16">MIN(IF((OutputTable[GroupByKey]=OutputTable[[#This Row],[GroupByKey]]),(OutputTable[GroupByKey]=OutputTable[[#This Row],[GroupByKey]])*OutputTable[RecordedValue]))</f>
        <v>0.78705962766536897</v>
      </c>
      <c r="P16" cm="1">
        <f t="array" ref="P16">MAX(IF((OutputTable[GroupByKey]=OutputTable[[#This Row],[GroupByKey]]),(OutputTable[GroupByKey]=OutputTable[[#This Row],[GroupByKey]])*OutputTable[RecordedValue]))</f>
        <v>0.85508719449138504</v>
      </c>
    </row>
    <row r="17" spans="1:16" x14ac:dyDescent="0.25">
      <c r="A17" t="s">
        <v>68</v>
      </c>
      <c r="B17" t="s">
        <v>131</v>
      </c>
      <c r="C17">
        <v>1</v>
      </c>
      <c r="D17" t="s">
        <v>126</v>
      </c>
      <c r="E17" t="s">
        <v>121</v>
      </c>
      <c r="F17" t="s">
        <v>99</v>
      </c>
      <c r="G17">
        <v>2274</v>
      </c>
      <c r="H17">
        <v>0</v>
      </c>
      <c r="I17" t="str">
        <f>OutputTable[[#This Row],[ProjectName]]&amp;OutputTable[[#This Row],[Name]]&amp;OutputTable[[#This Row],[Type]]&amp;OutputTable[[#This Row],[Source]]</f>
        <v>PacientesrRegistradora.NumberSeizedTotal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2263.14</v>
      </c>
      <c r="L17" cm="1">
        <f t="array" ref="L17">IFERROR(_xlfn.STDEV.S(IF((OutputTable[GroupByKey]=OutputTable[[#This Row],[GroupByKey]]),(OutputTable[GroupByKey]=OutputTable[[#This Row],[GroupByKey]])*OutputTable[RecordedValue])),0)</f>
        <v>47.386818971575821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17" cm="1">
        <f t="array" ref="O17">MIN(IF((OutputTable[GroupByKey]=OutputTable[[#This Row],[GroupByKey]]),(OutputTable[GroupByKey]=OutputTable[[#This Row],[GroupByKey]])*OutputTable[RecordedValue]))</f>
        <v>2172</v>
      </c>
      <c r="P17" cm="1">
        <f t="array" ref="P17">MAX(IF((OutputTable[GroupByKey]=OutputTable[[#This Row],[GroupByKey]]),(OutputTable[GroupByKey]=OutputTable[[#This Row],[GroupByKey]])*OutputTable[RecordedValue]))</f>
        <v>2386</v>
      </c>
    </row>
    <row r="18" spans="1:16" x14ac:dyDescent="0.25">
      <c r="A18" t="s">
        <v>68</v>
      </c>
      <c r="B18" t="s">
        <v>131</v>
      </c>
      <c r="C18">
        <v>1</v>
      </c>
      <c r="D18" t="s">
        <v>127</v>
      </c>
      <c r="E18" t="s">
        <v>123</v>
      </c>
      <c r="F18" t="s">
        <v>99</v>
      </c>
      <c r="G18">
        <v>0.471946373937492</v>
      </c>
      <c r="H18">
        <v>0</v>
      </c>
      <c r="I18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0.47162762933545666</v>
      </c>
      <c r="L18" cm="1">
        <f t="array" ref="L18">IFERROR(_xlfn.STDEV.S(IF((OutputTable[GroupByKey]=OutputTable[[#This Row],[GroupByKey]]),(OutputTable[GroupByKey]=OutputTable[[#This Row],[GroupByKey]])*OutputTable[RecordedValue])),0)</f>
        <v>9.6615227076777797E-3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18" cm="1">
        <f t="array" ref="O18">MIN(IF((OutputTable[GroupByKey]=OutputTable[[#This Row],[GroupByKey]]),(OutputTable[GroupByKey]=OutputTable[[#This Row],[GroupByKey]])*OutputTable[RecordedValue]))</f>
        <v>0.452397944183905</v>
      </c>
      <c r="P18" cm="1">
        <f t="array" ref="P18">MAX(IF((OutputTable[GroupByKey]=OutputTable[[#This Row],[GroupByKey]]),(OutputTable[GroupByKey]=OutputTable[[#This Row],[GroupByKey]])*OutputTable[RecordedValue]))</f>
        <v>0.49691123629694001</v>
      </c>
    </row>
    <row r="19" spans="1:16" x14ac:dyDescent="0.25">
      <c r="A19" t="s">
        <v>68</v>
      </c>
      <c r="B19" t="s">
        <v>131</v>
      </c>
      <c r="C19">
        <v>2</v>
      </c>
      <c r="D19" t="s">
        <v>104</v>
      </c>
      <c r="E19" t="s">
        <v>105</v>
      </c>
      <c r="F19" t="s">
        <v>72</v>
      </c>
      <c r="G19">
        <v>2402</v>
      </c>
      <c r="H19">
        <v>0</v>
      </c>
      <c r="I19" t="str">
        <f>OutputTable[[#This Row],[ProjectName]]&amp;OutputTable[[#This Row],[Name]]&amp;OutputTable[[#This Row],[Type]]&amp;OutputTable[[#This Row],[Source]]</f>
        <v>PacientesEntity 1.NumberInNumber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2404.8200000000002</v>
      </c>
      <c r="L19" cm="1">
        <f t="array" ref="L19">IFERROR(_xlfn.STDEV.S(IF((OutputTable[GroupByKey]=OutputTable[[#This Row],[GroupByKey]]),(OutputTable[GroupByKey]=OutputTable[[#This Row],[GroupByKey]])*OutputTable[RecordedValue])),0)</f>
        <v>46.42953405595474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19" cm="1">
        <f t="array" ref="O19">MIN(IF((OutputTable[GroupByKey]=OutputTable[[#This Row],[GroupByKey]]),(OutputTable[GroupByKey]=OutputTable[[#This Row],[GroupByKey]])*OutputTable[RecordedValue]))</f>
        <v>2307</v>
      </c>
      <c r="P19" cm="1">
        <f t="array" ref="P19">MAX(IF((OutputTable[GroupByKey]=OutputTable[[#This Row],[GroupByKey]]),(OutputTable[GroupByKey]=OutputTable[[#This Row],[GroupByKey]])*OutputTable[RecordedValue]))</f>
        <v>2518</v>
      </c>
    </row>
    <row r="20" spans="1:16" x14ac:dyDescent="0.25">
      <c r="A20" t="s">
        <v>68</v>
      </c>
      <c r="B20" t="s">
        <v>131</v>
      </c>
      <c r="C20">
        <v>2</v>
      </c>
      <c r="D20" t="s">
        <v>106</v>
      </c>
      <c r="E20" t="s">
        <v>107</v>
      </c>
      <c r="F20" t="s">
        <v>72</v>
      </c>
      <c r="G20">
        <v>2398</v>
      </c>
      <c r="H20">
        <v>0</v>
      </c>
      <c r="I20" t="str">
        <f>OutputTable[[#This Row],[ProjectName]]&amp;OutputTable[[#This Row],[Name]]&amp;OutputTable[[#This Row],[Type]]&amp;OutputTable[[#This Row],[Source]]</f>
        <v>PacientesEntity 1.NumberOutNumber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2400.2800000000002</v>
      </c>
      <c r="L20" cm="1">
        <f t="array" ref="L20">IFERROR(_xlfn.STDEV.S(IF((OutputTable[GroupByKey]=OutputTable[[#This Row],[GroupByKey]]),(OutputTable[GroupByKey]=OutputTable[[#This Row],[GroupByKey]])*OutputTable[RecordedValue])),0)</f>
        <v>46.409024456676619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0" cm="1">
        <f t="array" ref="O20">MIN(IF((OutputTable[GroupByKey]=OutputTable[[#This Row],[GroupByKey]]),(OutputTable[GroupByKey]=OutputTable[[#This Row],[GroupByKey]])*OutputTable[RecordedValue]))</f>
        <v>2305</v>
      </c>
      <c r="P20" cm="1">
        <f t="array" ref="P20">MAX(IF((OutputTable[GroupByKey]=OutputTable[[#This Row],[GroupByKey]]),(OutputTable[GroupByKey]=OutputTable[[#This Row],[GroupByKey]])*OutputTable[RecordedValue]))</f>
        <v>2504</v>
      </c>
    </row>
    <row r="21" spans="1:16" x14ac:dyDescent="0.25">
      <c r="A21" t="s">
        <v>68</v>
      </c>
      <c r="B21" t="s">
        <v>131</v>
      </c>
      <c r="C21">
        <v>2</v>
      </c>
      <c r="D21" t="s">
        <v>108</v>
      </c>
      <c r="E21" t="s">
        <v>109</v>
      </c>
      <c r="F21" t="s">
        <v>80</v>
      </c>
      <c r="G21">
        <v>1166.0345875933999</v>
      </c>
      <c r="H21">
        <v>0</v>
      </c>
      <c r="I21" t="str">
        <f>OutputTable[[#This Row],[ProjectName]]&amp;OutputTable[[#This Row],[Name]]&amp;OutputTable[[#This Row],[Type]]&amp;OutputTable[[#This Row],[Source]]</f>
        <v>PacientesProcess 2 Accum VA TimeAccum VA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1181.1234936767919</v>
      </c>
      <c r="L21" cm="1">
        <f t="array" ref="L21">IFERROR(_xlfn.STDEV.S(IF((OutputTable[GroupByKey]=OutputTable[[#This Row],[GroupByKey]]),(OutputTable[GroupByKey]=OutputTable[[#This Row],[GroupByKey]])*OutputTable[RecordedValue])),0)</f>
        <v>22.169313666927575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21" cm="1">
        <f t="array" ref="O21">MIN(IF((OutputTable[GroupByKey]=OutputTable[[#This Row],[GroupByKey]]),(OutputTable[GroupByKey]=OutputTable[[#This Row],[GroupByKey]])*OutputTable[RecordedValue]))</f>
        <v>1133.24622318414</v>
      </c>
      <c r="P21" cm="1">
        <f t="array" ref="P21">MAX(IF((OutputTable[GroupByKey]=OutputTable[[#This Row],[GroupByKey]]),(OutputTable[GroupByKey]=OutputTable[[#This Row],[GroupByKey]])*OutputTable[RecordedValue]))</f>
        <v>1230.9493287309799</v>
      </c>
    </row>
    <row r="22" spans="1:16" x14ac:dyDescent="0.25">
      <c r="A22" t="s">
        <v>68</v>
      </c>
      <c r="B22" t="s">
        <v>131</v>
      </c>
      <c r="C22">
        <v>2</v>
      </c>
      <c r="D22" t="s">
        <v>110</v>
      </c>
      <c r="E22" t="s">
        <v>111</v>
      </c>
      <c r="F22" t="s">
        <v>80</v>
      </c>
      <c r="G22">
        <v>1401.08352612465</v>
      </c>
      <c r="H22">
        <v>0</v>
      </c>
      <c r="I22" t="str">
        <f>OutputTable[[#This Row],[ProjectName]]&amp;OutputTable[[#This Row],[Name]]&amp;OutputTable[[#This Row],[Type]]&amp;OutputTable[[#This Row],[Source]]</f>
        <v>PacientesProcess 2 Accum Wait TimeAccum Wait TimeProcess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1938.7515507466894</v>
      </c>
      <c r="L22" cm="1">
        <f t="array" ref="L22">IFERROR(_xlfn.STDEV.S(IF((OutputTable[GroupByKey]=OutputTable[[#This Row],[GroupByKey]]),(OutputTable[GroupByKey]=OutputTable[[#This Row],[GroupByKey]])*OutputTable[RecordedValue])),0)</f>
        <v>534.03396241838232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22" cm="1">
        <f t="array" ref="O22">MIN(IF((OutputTable[GroupByKey]=OutputTable[[#This Row],[GroupByKey]]),(OutputTable[GroupByKey]=OutputTable[[#This Row],[GroupByKey]])*OutputTable[RecordedValue]))</f>
        <v>1234.7567994731401</v>
      </c>
      <c r="P22" cm="1">
        <f t="array" ref="P22">MAX(IF((OutputTable[GroupByKey]=OutputTable[[#This Row],[GroupByKey]]),(OutputTable[GroupByKey]=OutputTable[[#This Row],[GroupByKey]])*OutputTable[RecordedValue]))</f>
        <v>3269.0858002883801</v>
      </c>
    </row>
    <row r="23" spans="1:16" x14ac:dyDescent="0.25">
      <c r="A23" t="s">
        <v>68</v>
      </c>
      <c r="B23" t="s">
        <v>131</v>
      </c>
      <c r="C23">
        <v>2</v>
      </c>
      <c r="D23" t="s">
        <v>112</v>
      </c>
      <c r="E23" t="s">
        <v>105</v>
      </c>
      <c r="F23" t="s">
        <v>80</v>
      </c>
      <c r="G23">
        <v>2401</v>
      </c>
      <c r="H23">
        <v>0</v>
      </c>
      <c r="I23" t="str">
        <f>OutputTable[[#This Row],[ProjectName]]&amp;OutputTable[[#This Row],[Name]]&amp;OutputTable[[#This Row],[Type]]&amp;OutputTable[[#This Row],[Source]]</f>
        <v>PacientesProcess 2 Number InNumber InProcess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2404.2399999999998</v>
      </c>
      <c r="L23" cm="1">
        <f t="array" ref="L23">IFERROR(_xlfn.STDEV.S(IF((OutputTable[GroupByKey]=OutputTable[[#This Row],[GroupByKey]]),(OutputTable[GroupByKey]=OutputTable[[#This Row],[GroupByKey]])*OutputTable[RecordedValue])),0)</f>
        <v>46.574303154053879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23" cm="1">
        <f t="array" ref="O23">MIN(IF((OutputTable[GroupByKey]=OutputTable[[#This Row],[GroupByKey]]),(OutputTable[GroupByKey]=OutputTable[[#This Row],[GroupByKey]])*OutputTable[RecordedValue]))</f>
        <v>2306</v>
      </c>
      <c r="P23" cm="1">
        <f t="array" ref="P23">MAX(IF((OutputTable[GroupByKey]=OutputTable[[#This Row],[GroupByKey]]),(OutputTable[GroupByKey]=OutputTable[[#This Row],[GroupByKey]])*OutputTable[RecordedValue]))</f>
        <v>2518</v>
      </c>
    </row>
    <row r="24" spans="1:16" x14ac:dyDescent="0.25">
      <c r="A24" t="s">
        <v>68</v>
      </c>
      <c r="B24" t="s">
        <v>131</v>
      </c>
      <c r="C24">
        <v>2</v>
      </c>
      <c r="D24" t="s">
        <v>113</v>
      </c>
      <c r="E24" t="s">
        <v>107</v>
      </c>
      <c r="F24" t="s">
        <v>80</v>
      </c>
      <c r="G24">
        <v>2398</v>
      </c>
      <c r="H24">
        <v>0</v>
      </c>
      <c r="I24" t="str">
        <f>OutputTable[[#This Row],[ProjectName]]&amp;OutputTable[[#This Row],[Name]]&amp;OutputTable[[#This Row],[Type]]&amp;OutputTable[[#This Row],[Source]]</f>
        <v>PacientesProcess 2 Number OutNumber OutProcess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2400.2800000000002</v>
      </c>
      <c r="L24" cm="1">
        <f t="array" ref="L24">IFERROR(_xlfn.STDEV.S(IF((OutputTable[GroupByKey]=OutputTable[[#This Row],[GroupByKey]]),(OutputTable[GroupByKey]=OutputTable[[#This Row],[GroupByKey]])*OutputTable[RecordedValue])),0)</f>
        <v>46.409024456676619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4" cm="1">
        <f t="array" ref="O24">MIN(IF((OutputTable[GroupByKey]=OutputTable[[#This Row],[GroupByKey]]),(OutputTable[GroupByKey]=OutputTable[[#This Row],[GroupByKey]])*OutputTable[RecordedValue]))</f>
        <v>2305</v>
      </c>
      <c r="P24" cm="1">
        <f t="array" ref="P24">MAX(IF((OutputTable[GroupByKey]=OutputTable[[#This Row],[GroupByKey]]),(OutputTable[GroupByKey]=OutputTable[[#This Row],[GroupByKey]])*OutputTable[RecordedValue]))</f>
        <v>2504</v>
      </c>
    </row>
    <row r="25" spans="1:16" x14ac:dyDescent="0.25">
      <c r="A25" t="s">
        <v>68</v>
      </c>
      <c r="B25" t="s">
        <v>131</v>
      </c>
      <c r="C25">
        <v>2</v>
      </c>
      <c r="D25" t="s">
        <v>114</v>
      </c>
      <c r="E25" t="s">
        <v>109</v>
      </c>
      <c r="F25" t="s">
        <v>80</v>
      </c>
      <c r="G25">
        <v>341.31510221253899</v>
      </c>
      <c r="H25">
        <v>0</v>
      </c>
      <c r="I25" t="str">
        <f>OutputTable[[#This Row],[ProjectName]]&amp;OutputTable[[#This Row],[Name]]&amp;OutputTable[[#This Row],[Type]]&amp;OutputTable[[#This Row],[Source]]</f>
        <v>PacientesRegistro Accum VA TimeAccum VA TimeProcess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339.53547737062786</v>
      </c>
      <c r="L25" cm="1">
        <f t="array" ref="L25">IFERROR(_xlfn.STDEV.S(IF((OutputTable[GroupByKey]=OutputTable[[#This Row],[GroupByKey]]),(OutputTable[GroupByKey]=OutputTable[[#This Row],[GroupByKey]])*OutputTable[RecordedValue])),0)</f>
        <v>6.9723666109353193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25" cm="1">
        <f t="array" ref="O25">MIN(IF((OutputTable[GroupByKey]=OutputTable[[#This Row],[GroupByKey]]),(OutputTable[GroupByKey]=OutputTable[[#This Row],[GroupByKey]])*OutputTable[RecordedValue]))</f>
        <v>325.606879158418</v>
      </c>
      <c r="P25" cm="1">
        <f t="array" ref="P25">MAX(IF((OutputTable[GroupByKey]=OutputTable[[#This Row],[GroupByKey]]),(OutputTable[GroupByKey]=OutputTable[[#This Row],[GroupByKey]])*OutputTable[RecordedValue]))</f>
        <v>357.77609013379703</v>
      </c>
    </row>
    <row r="26" spans="1:16" x14ac:dyDescent="0.25">
      <c r="A26" t="s">
        <v>68</v>
      </c>
      <c r="B26" t="s">
        <v>131</v>
      </c>
      <c r="C26">
        <v>2</v>
      </c>
      <c r="D26" t="s">
        <v>115</v>
      </c>
      <c r="E26" t="s">
        <v>111</v>
      </c>
      <c r="F26" t="s">
        <v>80</v>
      </c>
      <c r="G26">
        <v>146.992462500279</v>
      </c>
      <c r="H26">
        <v>0</v>
      </c>
      <c r="I26" t="str">
        <f>OutputTable[[#This Row],[ProjectName]]&amp;OutputTable[[#This Row],[Name]]&amp;OutputTable[[#This Row],[Type]]&amp;OutputTable[[#This Row],[Source]]</f>
        <v>PacientesRegistro Accum Wait TimeAccum Wait TimeProcess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154.15303898127775</v>
      </c>
      <c r="L26" cm="1">
        <f t="array" ref="L26">IFERROR(_xlfn.STDEV.S(IF((OutputTable[GroupByKey]=OutputTable[[#This Row],[GroupByKey]]),(OutputTable[GroupByKey]=OutputTable[[#This Row],[GroupByKey]])*OutputTable[RecordedValue])),0)</f>
        <v>12.141439184615397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26" cm="1">
        <f t="array" ref="O26">MIN(IF((OutputTable[GroupByKey]=OutputTable[[#This Row],[GroupByKey]]),(OutputTable[GroupByKey]=OutputTable[[#This Row],[GroupByKey]])*OutputTable[RecordedValue]))</f>
        <v>123.901613974094</v>
      </c>
      <c r="P26" cm="1">
        <f t="array" ref="P26">MAX(IF((OutputTable[GroupByKey]=OutputTable[[#This Row],[GroupByKey]]),(OutputTable[GroupByKey]=OutputTable[[#This Row],[GroupByKey]])*OutputTable[RecordedValue]))</f>
        <v>178.441307284473</v>
      </c>
    </row>
    <row r="27" spans="1:16" x14ac:dyDescent="0.25">
      <c r="A27" t="s">
        <v>68</v>
      </c>
      <c r="B27" t="s">
        <v>131</v>
      </c>
      <c r="C27">
        <v>2</v>
      </c>
      <c r="D27" t="s">
        <v>116</v>
      </c>
      <c r="E27" t="s">
        <v>105</v>
      </c>
      <c r="F27" t="s">
        <v>80</v>
      </c>
      <c r="G27">
        <v>2281</v>
      </c>
      <c r="H27">
        <v>0</v>
      </c>
      <c r="I27" t="str">
        <f>OutputTable[[#This Row],[ProjectName]]&amp;OutputTable[[#This Row],[Name]]&amp;OutputTable[[#This Row],[Type]]&amp;OutputTable[[#This Row],[Source]]</f>
        <v>PacientesRegistro Number InNumber InProcess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2263.2399999999998</v>
      </c>
      <c r="L27" cm="1">
        <f t="array" ref="L27">IFERROR(_xlfn.STDEV.S(IF((OutputTable[GroupByKey]=OutputTable[[#This Row],[GroupByKey]]),(OutputTable[GroupByKey]=OutputTable[[#This Row],[GroupByKey]])*OutputTable[RecordedValue])),0)</f>
        <v>47.331035682472766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27" cm="1">
        <f t="array" ref="O27">MIN(IF((OutputTable[GroupByKey]=OutputTable[[#This Row],[GroupByKey]]),(OutputTable[GroupByKey]=OutputTable[[#This Row],[GroupByKey]])*OutputTable[RecordedValue]))</f>
        <v>2172</v>
      </c>
      <c r="P27" cm="1">
        <f t="array" ref="P27">MAX(IF((OutputTable[GroupByKey]=OutputTable[[#This Row],[GroupByKey]]),(OutputTable[GroupByKey]=OutputTable[[#This Row],[GroupByKey]])*OutputTable[RecordedValue]))</f>
        <v>2386</v>
      </c>
    </row>
    <row r="28" spans="1:16" x14ac:dyDescent="0.25">
      <c r="A28" t="s">
        <v>68</v>
      </c>
      <c r="B28" t="s">
        <v>131</v>
      </c>
      <c r="C28">
        <v>2</v>
      </c>
      <c r="D28" t="s">
        <v>117</v>
      </c>
      <c r="E28" t="s">
        <v>107</v>
      </c>
      <c r="F28" t="s">
        <v>80</v>
      </c>
      <c r="G28">
        <v>2280</v>
      </c>
      <c r="H28">
        <v>0</v>
      </c>
      <c r="I28" t="str">
        <f>OutputTable[[#This Row],[ProjectName]]&amp;OutputTable[[#This Row],[Name]]&amp;OutputTable[[#This Row],[Type]]&amp;OutputTable[[#This Row],[Source]]</f>
        <v>PacientesRegistro Number OutNumber OutProcess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2262.66</v>
      </c>
      <c r="L28" cm="1">
        <f t="array" ref="L28">IFERROR(_xlfn.STDEV.S(IF((OutputTable[GroupByKey]=OutputTable[[#This Row],[GroupByKey]]),(OutputTable[GroupByKey]=OutputTable[[#This Row],[GroupByKey]])*OutputTable[RecordedValue])),0)</f>
        <v>47.488176831454687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28" cm="1">
        <f t="array" ref="O28">MIN(IF((OutputTable[GroupByKey]=OutputTable[[#This Row],[GroupByKey]]),(OutputTable[GroupByKey]=OutputTable[[#This Row],[GroupByKey]])*OutputTable[RecordedValue]))</f>
        <v>2171</v>
      </c>
      <c r="P28" cm="1">
        <f t="array" ref="P28">MAX(IF((OutputTable[GroupByKey]=OutputTable[[#This Row],[GroupByKey]]),(OutputTable[GroupByKey]=OutputTable[[#This Row],[GroupByKey]])*OutputTable[RecordedValue]))</f>
        <v>2386</v>
      </c>
    </row>
    <row r="29" spans="1:16" x14ac:dyDescent="0.25">
      <c r="A29" t="s">
        <v>68</v>
      </c>
      <c r="B29" t="s">
        <v>131</v>
      </c>
      <c r="C29">
        <v>2</v>
      </c>
      <c r="D29" t="s">
        <v>118</v>
      </c>
      <c r="E29" t="s">
        <v>107</v>
      </c>
      <c r="F29" t="s">
        <v>119</v>
      </c>
      <c r="G29">
        <v>2398</v>
      </c>
      <c r="H29">
        <v>0</v>
      </c>
      <c r="I29" t="str">
        <f>OutputTable[[#This Row],[ProjectName]]&amp;OutputTable[[#This Row],[Name]]&amp;OutputTable[[#This Row],[Type]]&amp;OutputTable[[#This Row],[Source]]</f>
        <v>PacientesSystem.NumberOutNumber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2400.2800000000002</v>
      </c>
      <c r="L29" cm="1">
        <f t="array" ref="L29">IFERROR(_xlfn.STDEV.S(IF((OutputTable[GroupByKey]=OutputTable[[#This Row],[GroupByKey]]),(OutputTable[GroupByKey]=OutputTable[[#This Row],[GroupByKey]])*OutputTable[RecordedValue])),0)</f>
        <v>46.409024456676619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9" cm="1">
        <f t="array" ref="O29">MIN(IF((OutputTable[GroupByKey]=OutputTable[[#This Row],[GroupByKey]]),(OutputTable[GroupByKey]=OutputTable[[#This Row],[GroupByKey]])*OutputTable[RecordedValue]))</f>
        <v>2305</v>
      </c>
      <c r="P29" cm="1">
        <f t="array" ref="P29">MAX(IF((OutputTable[GroupByKey]=OutputTable[[#This Row],[GroupByKey]]),(OutputTable[GroupByKey]=OutputTable[[#This Row],[GroupByKey]])*OutputTable[RecordedValue]))</f>
        <v>2504</v>
      </c>
    </row>
    <row r="30" spans="1:16" x14ac:dyDescent="0.25">
      <c r="A30" t="s">
        <v>68</v>
      </c>
      <c r="B30" t="s">
        <v>131</v>
      </c>
      <c r="C30">
        <v>2</v>
      </c>
      <c r="D30" t="s">
        <v>120</v>
      </c>
      <c r="E30" t="s">
        <v>121</v>
      </c>
      <c r="F30" t="s">
        <v>99</v>
      </c>
      <c r="G30">
        <v>2400</v>
      </c>
      <c r="H30">
        <v>0</v>
      </c>
      <c r="I30" t="str">
        <f>OutputTable[[#This Row],[ProjectName]]&amp;OutputTable[[#This Row],[Name]]&amp;OutputTable[[#This Row],[Type]]&amp;OutputTable[[#This Row],[Source]]</f>
        <v>PacientesrCamas.NumberSeizedTotal Number SeizedResource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2401.9</v>
      </c>
      <c r="L30" cm="1">
        <f t="array" ref="L30">IFERROR(_xlfn.STDEV.S(IF((OutputTable[GroupByKey]=OutputTable[[#This Row],[GroupByKey]]),(OutputTable[GroupByKey]=OutputTable[[#This Row],[GroupByKey]])*OutputTable[RecordedValue])),0)</f>
        <v>46.417031532903209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0" cm="1">
        <f t="array" ref="O30">MIN(IF((OutputTable[GroupByKey]=OutputTable[[#This Row],[GroupByKey]]),(OutputTable[GroupByKey]=OutputTable[[#This Row],[GroupByKey]])*OutputTable[RecordedValue]))</f>
        <v>2306</v>
      </c>
      <c r="P30" cm="1">
        <f t="array" ref="P30">MAX(IF((OutputTable[GroupByKey]=OutputTable[[#This Row],[GroupByKey]]),(OutputTable[GroupByKey]=OutputTable[[#This Row],[GroupByKey]])*OutputTable[RecordedValue]))</f>
        <v>2506</v>
      </c>
    </row>
    <row r="31" spans="1:16" x14ac:dyDescent="0.25">
      <c r="A31" t="s">
        <v>68</v>
      </c>
      <c r="B31" t="s">
        <v>131</v>
      </c>
      <c r="C31">
        <v>2</v>
      </c>
      <c r="D31" t="s">
        <v>122</v>
      </c>
      <c r="E31" t="s">
        <v>123</v>
      </c>
      <c r="F31" t="s">
        <v>99</v>
      </c>
      <c r="G31">
        <v>0.54004048802791205</v>
      </c>
      <c r="H31">
        <v>0</v>
      </c>
      <c r="I31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0.54703961359050601</v>
      </c>
      <c r="L31" cm="1">
        <f t="array" ref="L31">IFERROR(_xlfn.STDEV.S(IF((OutputTable[GroupByKey]=OutputTable[[#This Row],[GroupByKey]]),(OutputTable[GroupByKey]=OutputTable[[#This Row],[GroupByKey]])*OutputTable[RecordedValue])),0)</f>
        <v>1.0221170008030479E-2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31" cm="1">
        <f t="array" ref="O31">MIN(IF((OutputTable[GroupByKey]=OutputTable[[#This Row],[GroupByKey]]),(OutputTable[GroupByKey]=OutputTable[[#This Row],[GroupByKey]])*OutputTable[RecordedValue]))</f>
        <v>0.52470641844357901</v>
      </c>
      <c r="P31" cm="1">
        <f t="array" ref="P31">MAX(IF((OutputTable[GroupByKey]=OutputTable[[#This Row],[GroupByKey]]),(OutputTable[GroupByKey]=OutputTable[[#This Row],[GroupByKey]])*OutputTable[RecordedValue]))</f>
        <v>0.57005812966092295</v>
      </c>
    </row>
    <row r="32" spans="1:16" x14ac:dyDescent="0.25">
      <c r="A32" t="s">
        <v>68</v>
      </c>
      <c r="B32" t="s">
        <v>131</v>
      </c>
      <c r="C32">
        <v>2</v>
      </c>
      <c r="D32" t="s">
        <v>124</v>
      </c>
      <c r="E32" t="s">
        <v>121</v>
      </c>
      <c r="F32" t="s">
        <v>99</v>
      </c>
      <c r="G32">
        <v>2400</v>
      </c>
      <c r="H32">
        <v>0</v>
      </c>
      <c r="I32" t="str">
        <f>OutputTable[[#This Row],[ProjectName]]&amp;OutputTable[[#This Row],[Name]]&amp;OutputTable[[#This Row],[Type]]&amp;OutputTable[[#This Row],[Source]]</f>
        <v>PacientesrMedico.NumberSeizedTotal Number SeizedResource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cm="1">
        <f t="array" ref="K32">IFERROR(AVERAGE(IF((OutputTable[GroupByKey]=OutputTable[[#This Row],[GroupByKey]]),(OutputTable[GroupByKey]=OutputTable[[#This Row],[GroupByKey]])*OutputTable[RecordedValue])),0)</f>
        <v>2401.9</v>
      </c>
      <c r="L32" cm="1">
        <f t="array" ref="L32">IFERROR(_xlfn.STDEV.S(IF((OutputTable[GroupByKey]=OutputTable[[#This Row],[GroupByKey]]),(OutputTable[GroupByKey]=OutputTable[[#This Row],[GroupByKey]])*OutputTable[RecordedValue])),0)</f>
        <v>46.417031532903209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2" cm="1">
        <f t="array" ref="O32">MIN(IF((OutputTable[GroupByKey]=OutputTable[[#This Row],[GroupByKey]]),(OutputTable[GroupByKey]=OutputTable[[#This Row],[GroupByKey]])*OutputTable[RecordedValue]))</f>
        <v>2306</v>
      </c>
      <c r="P32" cm="1">
        <f t="array" ref="P32">MAX(IF((OutputTable[GroupByKey]=OutputTable[[#This Row],[GroupByKey]]),(OutputTable[GroupByKey]=OutputTable[[#This Row],[GroupByKey]])*OutputTable[RecordedValue]))</f>
        <v>2506</v>
      </c>
    </row>
    <row r="33" spans="1:16" x14ac:dyDescent="0.25">
      <c r="A33" t="s">
        <v>68</v>
      </c>
      <c r="B33" t="s">
        <v>131</v>
      </c>
      <c r="C33">
        <v>2</v>
      </c>
      <c r="D33" t="s">
        <v>125</v>
      </c>
      <c r="E33" t="s">
        <v>123</v>
      </c>
      <c r="F33" t="s">
        <v>99</v>
      </c>
      <c r="G33">
        <v>0.81006073204186801</v>
      </c>
      <c r="H33">
        <v>0</v>
      </c>
      <c r="I33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cm="1">
        <f t="array" ref="K33">IFERROR(AVERAGE(IF((OutputTable[GroupByKey]=OutputTable[[#This Row],[GroupByKey]]),(OutputTable[GroupByKey]=OutputTable[[#This Row],[GroupByKey]])*OutputTable[RecordedValue])),0)</f>
        <v>0.82055942038575935</v>
      </c>
      <c r="L33" cm="1">
        <f t="array" ref="L33">IFERROR(_xlfn.STDEV.S(IF((OutputTable[GroupByKey]=OutputTable[[#This Row],[GroupByKey]]),(OutputTable[GroupByKey]=OutputTable[[#This Row],[GroupByKey]])*OutputTable[RecordedValue])),0)</f>
        <v>1.5331755012045719E-2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33" cm="1">
        <f t="array" ref="O33">MIN(IF((OutputTable[GroupByKey]=OutputTable[[#This Row],[GroupByKey]]),(OutputTable[GroupByKey]=OutputTable[[#This Row],[GroupByKey]])*OutputTable[RecordedValue]))</f>
        <v>0.78705962766536897</v>
      </c>
      <c r="P33" cm="1">
        <f t="array" ref="P33">MAX(IF((OutputTable[GroupByKey]=OutputTable[[#This Row],[GroupByKey]]),(OutputTable[GroupByKey]=OutputTable[[#This Row],[GroupByKey]])*OutputTable[RecordedValue]))</f>
        <v>0.85508719449138504</v>
      </c>
    </row>
    <row r="34" spans="1:16" x14ac:dyDescent="0.25">
      <c r="A34" t="s">
        <v>68</v>
      </c>
      <c r="B34" t="s">
        <v>131</v>
      </c>
      <c r="C34">
        <v>2</v>
      </c>
      <c r="D34" t="s">
        <v>126</v>
      </c>
      <c r="E34" t="s">
        <v>121</v>
      </c>
      <c r="F34" t="s">
        <v>99</v>
      </c>
      <c r="G34">
        <v>2281</v>
      </c>
      <c r="H34">
        <v>0</v>
      </c>
      <c r="I34" t="str">
        <f>OutputTable[[#This Row],[ProjectName]]&amp;OutputTable[[#This Row],[Name]]&amp;OutputTable[[#This Row],[Type]]&amp;OutputTable[[#This Row],[Source]]</f>
        <v>PacientesrRegistradora.NumberSeizedTotal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cm="1">
        <f t="array" ref="K34">IFERROR(AVERAGE(IF((OutputTable[GroupByKey]=OutputTable[[#This Row],[GroupByKey]]),(OutputTable[GroupByKey]=OutputTable[[#This Row],[GroupByKey]])*OutputTable[RecordedValue])),0)</f>
        <v>2263.14</v>
      </c>
      <c r="L34" cm="1">
        <f t="array" ref="L34">IFERROR(_xlfn.STDEV.S(IF((OutputTable[GroupByKey]=OutputTable[[#This Row],[GroupByKey]]),(OutputTable[GroupByKey]=OutputTable[[#This Row],[GroupByKey]])*OutputTable[RecordedValue])),0)</f>
        <v>47.386818971575821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34" cm="1">
        <f t="array" ref="O34">MIN(IF((OutputTable[GroupByKey]=OutputTable[[#This Row],[GroupByKey]]),(OutputTable[GroupByKey]=OutputTable[[#This Row],[GroupByKey]])*OutputTable[RecordedValue]))</f>
        <v>2172</v>
      </c>
      <c r="P34" cm="1">
        <f t="array" ref="P34">MAX(IF((OutputTable[GroupByKey]=OutputTable[[#This Row],[GroupByKey]]),(OutputTable[GroupByKey]=OutputTable[[#This Row],[GroupByKey]])*OutputTable[RecordedValue]))</f>
        <v>2386</v>
      </c>
    </row>
    <row r="35" spans="1:16" x14ac:dyDescent="0.25">
      <c r="A35" t="s">
        <v>68</v>
      </c>
      <c r="B35" t="s">
        <v>131</v>
      </c>
      <c r="C35">
        <v>2</v>
      </c>
      <c r="D35" t="s">
        <v>127</v>
      </c>
      <c r="E35" t="s">
        <v>123</v>
      </c>
      <c r="F35" t="s">
        <v>99</v>
      </c>
      <c r="G35">
        <v>0.474092774519558</v>
      </c>
      <c r="H35">
        <v>0</v>
      </c>
      <c r="I35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cm="1">
        <f t="array" ref="K35">IFERROR(AVERAGE(IF((OutputTable[GroupByKey]=OutputTable[[#This Row],[GroupByKey]]),(OutputTable[GroupByKey]=OutputTable[[#This Row],[GroupByKey]])*OutputTable[RecordedValue])),0)</f>
        <v>0.47162762933545666</v>
      </c>
      <c r="L35" cm="1">
        <f t="array" ref="L35">IFERROR(_xlfn.STDEV.S(IF((OutputTable[GroupByKey]=OutputTable[[#This Row],[GroupByKey]]),(OutputTable[GroupByKey]=OutputTable[[#This Row],[GroupByKey]])*OutputTable[RecordedValue])),0)</f>
        <v>9.6615227076777797E-3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35" cm="1">
        <f t="array" ref="O35">MIN(IF((OutputTable[GroupByKey]=OutputTable[[#This Row],[GroupByKey]]),(OutputTable[GroupByKey]=OutputTable[[#This Row],[GroupByKey]])*OutputTable[RecordedValue]))</f>
        <v>0.452397944183905</v>
      </c>
      <c r="P35" cm="1">
        <f t="array" ref="P35">MAX(IF((OutputTable[GroupByKey]=OutputTable[[#This Row],[GroupByKey]]),(OutputTable[GroupByKey]=OutputTable[[#This Row],[GroupByKey]])*OutputTable[RecordedValue]))</f>
        <v>0.49691123629694001</v>
      </c>
    </row>
    <row r="36" spans="1:16" x14ac:dyDescent="0.25">
      <c r="A36" t="s">
        <v>68</v>
      </c>
      <c r="B36" t="s">
        <v>131</v>
      </c>
      <c r="C36">
        <v>3</v>
      </c>
      <c r="D36" t="s">
        <v>104</v>
      </c>
      <c r="E36" t="s">
        <v>105</v>
      </c>
      <c r="F36" t="s">
        <v>72</v>
      </c>
      <c r="G36">
        <v>2366</v>
      </c>
      <c r="H36">
        <v>0</v>
      </c>
      <c r="I36" t="str">
        <f>OutputTable[[#This Row],[ProjectName]]&amp;OutputTable[[#This Row],[Name]]&amp;OutputTable[[#This Row],[Type]]&amp;OutputTable[[#This Row],[Source]]</f>
        <v>PacientesEntity 1.NumberInNumber InEntity</v>
      </c>
      <c r="J36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cm="1">
        <f t="array" ref="K36">IFERROR(AVERAGE(IF((OutputTable[GroupByKey]=OutputTable[[#This Row],[GroupByKey]]),(OutputTable[GroupByKey]=OutputTable[[#This Row],[GroupByKey]])*OutputTable[RecordedValue])),0)</f>
        <v>2404.8200000000002</v>
      </c>
      <c r="L36" cm="1">
        <f t="array" ref="L36">IFERROR(_xlfn.STDEV.S(IF((OutputTable[GroupByKey]=OutputTable[[#This Row],[GroupByKey]]),(OutputTable[GroupByKey]=OutputTable[[#This Row],[GroupByKey]])*OutputTable[RecordedValue])),0)</f>
        <v>46.42953405595474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36" cm="1">
        <f t="array" ref="O36">MIN(IF((OutputTable[GroupByKey]=OutputTable[[#This Row],[GroupByKey]]),(OutputTable[GroupByKey]=OutputTable[[#This Row],[GroupByKey]])*OutputTable[RecordedValue]))</f>
        <v>2307</v>
      </c>
      <c r="P36" cm="1">
        <f t="array" ref="P36">MAX(IF((OutputTable[GroupByKey]=OutputTable[[#This Row],[GroupByKey]]),(OutputTable[GroupByKey]=OutputTable[[#This Row],[GroupByKey]])*OutputTable[RecordedValue]))</f>
        <v>2518</v>
      </c>
    </row>
    <row r="37" spans="1:16" x14ac:dyDescent="0.25">
      <c r="A37" t="s">
        <v>68</v>
      </c>
      <c r="B37" t="s">
        <v>131</v>
      </c>
      <c r="C37">
        <v>3</v>
      </c>
      <c r="D37" t="s">
        <v>106</v>
      </c>
      <c r="E37" t="s">
        <v>107</v>
      </c>
      <c r="F37" t="s">
        <v>72</v>
      </c>
      <c r="G37">
        <v>2361</v>
      </c>
      <c r="H37">
        <v>0</v>
      </c>
      <c r="I37" t="str">
        <f>OutputTable[[#This Row],[ProjectName]]&amp;OutputTable[[#This Row],[Name]]&amp;OutputTable[[#This Row],[Type]]&amp;OutputTable[[#This Row],[Source]]</f>
        <v>PacientesEntity 1.NumberOutNumber OutEntity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cm="1">
        <f t="array" ref="K37">IFERROR(AVERAGE(IF((OutputTable[GroupByKey]=OutputTable[[#This Row],[GroupByKey]]),(OutputTable[GroupByKey]=OutputTable[[#This Row],[GroupByKey]])*OutputTable[RecordedValue])),0)</f>
        <v>2400.2800000000002</v>
      </c>
      <c r="L37" cm="1">
        <f t="array" ref="L37">IFERROR(_xlfn.STDEV.S(IF((OutputTable[GroupByKey]=OutputTable[[#This Row],[GroupByKey]]),(OutputTable[GroupByKey]=OutputTable[[#This Row],[GroupByKey]])*OutputTable[RecordedValue])),0)</f>
        <v>46.409024456676619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7" cm="1">
        <f t="array" ref="O37">MIN(IF((OutputTable[GroupByKey]=OutputTable[[#This Row],[GroupByKey]]),(OutputTable[GroupByKey]=OutputTable[[#This Row],[GroupByKey]])*OutputTable[RecordedValue]))</f>
        <v>2305</v>
      </c>
      <c r="P37" cm="1">
        <f t="array" ref="P37">MAX(IF((OutputTable[GroupByKey]=OutputTable[[#This Row],[GroupByKey]]),(OutputTable[GroupByKey]=OutputTable[[#This Row],[GroupByKey]])*OutputTable[RecordedValue]))</f>
        <v>2504</v>
      </c>
    </row>
    <row r="38" spans="1:16" x14ac:dyDescent="0.25">
      <c r="A38" t="s">
        <v>68</v>
      </c>
      <c r="B38" t="s">
        <v>131</v>
      </c>
      <c r="C38">
        <v>3</v>
      </c>
      <c r="D38" t="s">
        <v>108</v>
      </c>
      <c r="E38" t="s">
        <v>109</v>
      </c>
      <c r="F38" t="s">
        <v>80</v>
      </c>
      <c r="G38">
        <v>1161.90521229403</v>
      </c>
      <c r="H38">
        <v>0</v>
      </c>
      <c r="I38" t="str">
        <f>OutputTable[[#This Row],[ProjectName]]&amp;OutputTable[[#This Row],[Name]]&amp;OutputTable[[#This Row],[Type]]&amp;OutputTable[[#This Row],[Source]]</f>
        <v>PacientesProcess 2 Accum VA TimeAccum VA TimeProcess</v>
      </c>
      <c r="J38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cm="1">
        <f t="array" ref="K38">IFERROR(AVERAGE(IF((OutputTable[GroupByKey]=OutputTable[[#This Row],[GroupByKey]]),(OutputTable[GroupByKey]=OutputTable[[#This Row],[GroupByKey]])*OutputTable[RecordedValue])),0)</f>
        <v>1181.1234936767919</v>
      </c>
      <c r="L38" cm="1">
        <f t="array" ref="L38">IFERROR(_xlfn.STDEV.S(IF((OutputTable[GroupByKey]=OutputTable[[#This Row],[GroupByKey]]),(OutputTable[GroupByKey]=OutputTable[[#This Row],[GroupByKey]])*OutputTable[RecordedValue])),0)</f>
        <v>22.169313666927575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38" cm="1">
        <f t="array" ref="O38">MIN(IF((OutputTable[GroupByKey]=OutputTable[[#This Row],[GroupByKey]]),(OutputTable[GroupByKey]=OutputTable[[#This Row],[GroupByKey]])*OutputTable[RecordedValue]))</f>
        <v>1133.24622318414</v>
      </c>
      <c r="P38" cm="1">
        <f t="array" ref="P38">MAX(IF((OutputTable[GroupByKey]=OutputTable[[#This Row],[GroupByKey]]),(OutputTable[GroupByKey]=OutputTable[[#This Row],[GroupByKey]])*OutputTable[RecordedValue]))</f>
        <v>1230.9493287309799</v>
      </c>
    </row>
    <row r="39" spans="1:16" x14ac:dyDescent="0.25">
      <c r="A39" t="s">
        <v>68</v>
      </c>
      <c r="B39" t="s">
        <v>131</v>
      </c>
      <c r="C39">
        <v>3</v>
      </c>
      <c r="D39" t="s">
        <v>110</v>
      </c>
      <c r="E39" t="s">
        <v>111</v>
      </c>
      <c r="F39" t="s">
        <v>80</v>
      </c>
      <c r="G39">
        <v>1468.0647289992301</v>
      </c>
      <c r="H39">
        <v>0</v>
      </c>
      <c r="I39" t="str">
        <f>OutputTable[[#This Row],[ProjectName]]&amp;OutputTable[[#This Row],[Name]]&amp;OutputTable[[#This Row],[Type]]&amp;OutputTable[[#This Row],[Source]]</f>
        <v>PacientesProcess 2 Accum Wait TimeAccum Wait TimeProcess</v>
      </c>
      <c r="J39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cm="1">
        <f t="array" ref="K39">IFERROR(AVERAGE(IF((OutputTable[GroupByKey]=OutputTable[[#This Row],[GroupByKey]]),(OutputTable[GroupByKey]=OutputTable[[#This Row],[GroupByKey]])*OutputTable[RecordedValue])),0)</f>
        <v>1938.7515507466894</v>
      </c>
      <c r="L39" cm="1">
        <f t="array" ref="L39">IFERROR(_xlfn.STDEV.S(IF((OutputTable[GroupByKey]=OutputTable[[#This Row],[GroupByKey]]),(OutputTable[GroupByKey]=OutputTable[[#This Row],[GroupByKey]])*OutputTable[RecordedValue])),0)</f>
        <v>534.03396241838232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39" cm="1">
        <f t="array" ref="O39">MIN(IF((OutputTable[GroupByKey]=OutputTable[[#This Row],[GroupByKey]]),(OutputTable[GroupByKey]=OutputTable[[#This Row],[GroupByKey]])*OutputTable[RecordedValue]))</f>
        <v>1234.7567994731401</v>
      </c>
      <c r="P39" cm="1">
        <f t="array" ref="P39">MAX(IF((OutputTable[GroupByKey]=OutputTable[[#This Row],[GroupByKey]]),(OutputTable[GroupByKey]=OutputTable[[#This Row],[GroupByKey]])*OutputTable[RecordedValue]))</f>
        <v>3269.0858002883801</v>
      </c>
    </row>
    <row r="40" spans="1:16" x14ac:dyDescent="0.25">
      <c r="A40" t="s">
        <v>68</v>
      </c>
      <c r="B40" t="s">
        <v>131</v>
      </c>
      <c r="C40">
        <v>3</v>
      </c>
      <c r="D40" t="s">
        <v>112</v>
      </c>
      <c r="E40" t="s">
        <v>105</v>
      </c>
      <c r="F40" t="s">
        <v>80</v>
      </c>
      <c r="G40">
        <v>2364</v>
      </c>
      <c r="H40">
        <v>0</v>
      </c>
      <c r="I40" t="str">
        <f>OutputTable[[#This Row],[ProjectName]]&amp;OutputTable[[#This Row],[Name]]&amp;OutputTable[[#This Row],[Type]]&amp;OutputTable[[#This Row],[Source]]</f>
        <v>PacientesProcess 2 Number InNumber InProcess</v>
      </c>
      <c r="J40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cm="1">
        <f t="array" ref="K40">IFERROR(AVERAGE(IF((OutputTable[GroupByKey]=OutputTable[[#This Row],[GroupByKey]]),(OutputTable[GroupByKey]=OutputTable[[#This Row],[GroupByKey]])*OutputTable[RecordedValue])),0)</f>
        <v>2404.2399999999998</v>
      </c>
      <c r="L40" cm="1">
        <f t="array" ref="L40">IFERROR(_xlfn.STDEV.S(IF((OutputTable[GroupByKey]=OutputTable[[#This Row],[GroupByKey]]),(OutputTable[GroupByKey]=OutputTable[[#This Row],[GroupByKey]])*OutputTable[RecordedValue])),0)</f>
        <v>46.574303154053879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40" cm="1">
        <f t="array" ref="O40">MIN(IF((OutputTable[GroupByKey]=OutputTable[[#This Row],[GroupByKey]]),(OutputTable[GroupByKey]=OutputTable[[#This Row],[GroupByKey]])*OutputTable[RecordedValue]))</f>
        <v>2306</v>
      </c>
      <c r="P40" cm="1">
        <f t="array" ref="P40">MAX(IF((OutputTable[GroupByKey]=OutputTable[[#This Row],[GroupByKey]]),(OutputTable[GroupByKey]=OutputTable[[#This Row],[GroupByKey]])*OutputTable[RecordedValue]))</f>
        <v>2518</v>
      </c>
    </row>
    <row r="41" spans="1:16" x14ac:dyDescent="0.25">
      <c r="A41" t="s">
        <v>68</v>
      </c>
      <c r="B41" t="s">
        <v>131</v>
      </c>
      <c r="C41">
        <v>3</v>
      </c>
      <c r="D41" t="s">
        <v>113</v>
      </c>
      <c r="E41" t="s">
        <v>107</v>
      </c>
      <c r="F41" t="s">
        <v>80</v>
      </c>
      <c r="G41">
        <v>2361</v>
      </c>
      <c r="H41">
        <v>0</v>
      </c>
      <c r="I41" t="str">
        <f>OutputTable[[#This Row],[ProjectName]]&amp;OutputTable[[#This Row],[Name]]&amp;OutputTable[[#This Row],[Type]]&amp;OutputTable[[#This Row],[Source]]</f>
        <v>PacientesProcess 2 Number OutNumber OutProcess</v>
      </c>
      <c r="J41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cm="1">
        <f t="array" ref="K41">IFERROR(AVERAGE(IF((OutputTable[GroupByKey]=OutputTable[[#This Row],[GroupByKey]]),(OutputTable[GroupByKey]=OutputTable[[#This Row],[GroupByKey]])*OutputTable[RecordedValue])),0)</f>
        <v>2400.2800000000002</v>
      </c>
      <c r="L41" cm="1">
        <f t="array" ref="L41">IFERROR(_xlfn.STDEV.S(IF((OutputTable[GroupByKey]=OutputTable[[#This Row],[GroupByKey]]),(OutputTable[GroupByKey]=OutputTable[[#This Row],[GroupByKey]])*OutputTable[RecordedValue])),0)</f>
        <v>46.409024456676619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1" cm="1">
        <f t="array" ref="O41">MIN(IF((OutputTable[GroupByKey]=OutputTable[[#This Row],[GroupByKey]]),(OutputTable[GroupByKey]=OutputTable[[#This Row],[GroupByKey]])*OutputTable[RecordedValue]))</f>
        <v>2305</v>
      </c>
      <c r="P41" cm="1">
        <f t="array" ref="P41">MAX(IF((OutputTable[GroupByKey]=OutputTable[[#This Row],[GroupByKey]]),(OutputTable[GroupByKey]=OutputTable[[#This Row],[GroupByKey]])*OutputTable[RecordedValue]))</f>
        <v>2504</v>
      </c>
    </row>
    <row r="42" spans="1:16" x14ac:dyDescent="0.25">
      <c r="A42" t="s">
        <v>68</v>
      </c>
      <c r="B42" t="s">
        <v>131</v>
      </c>
      <c r="C42">
        <v>3</v>
      </c>
      <c r="D42" t="s">
        <v>114</v>
      </c>
      <c r="E42" t="s">
        <v>109</v>
      </c>
      <c r="F42" t="s">
        <v>80</v>
      </c>
      <c r="G42">
        <v>330.37000712108102</v>
      </c>
      <c r="H42">
        <v>0</v>
      </c>
      <c r="I42" t="str">
        <f>OutputTable[[#This Row],[ProjectName]]&amp;OutputTable[[#This Row],[Name]]&amp;OutputTable[[#This Row],[Type]]&amp;OutputTable[[#This Row],[Source]]</f>
        <v>PacientesRegistro Accum VA TimeAccum VA TimeProcess</v>
      </c>
      <c r="J42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cm="1">
        <f t="array" ref="K42">IFERROR(AVERAGE(IF((OutputTable[GroupByKey]=OutputTable[[#This Row],[GroupByKey]]),(OutputTable[GroupByKey]=OutputTable[[#This Row],[GroupByKey]])*OutputTable[RecordedValue])),0)</f>
        <v>339.53547737062786</v>
      </c>
      <c r="L42" cm="1">
        <f t="array" ref="L42">IFERROR(_xlfn.STDEV.S(IF((OutputTable[GroupByKey]=OutputTable[[#This Row],[GroupByKey]]),(OutputTable[GroupByKey]=OutputTable[[#This Row],[GroupByKey]])*OutputTable[RecordedValue])),0)</f>
        <v>6.9723666109353193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42" cm="1">
        <f t="array" ref="O42">MIN(IF((OutputTable[GroupByKey]=OutputTable[[#This Row],[GroupByKey]]),(OutputTable[GroupByKey]=OutputTable[[#This Row],[GroupByKey]])*OutputTable[RecordedValue]))</f>
        <v>325.606879158418</v>
      </c>
      <c r="P42" cm="1">
        <f t="array" ref="P42">MAX(IF((OutputTable[GroupByKey]=OutputTable[[#This Row],[GroupByKey]]),(OutputTable[GroupByKey]=OutputTable[[#This Row],[GroupByKey]])*OutputTable[RecordedValue]))</f>
        <v>357.77609013379703</v>
      </c>
    </row>
    <row r="43" spans="1:16" x14ac:dyDescent="0.25">
      <c r="A43" t="s">
        <v>68</v>
      </c>
      <c r="B43" t="s">
        <v>131</v>
      </c>
      <c r="C43">
        <v>3</v>
      </c>
      <c r="D43" t="s">
        <v>115</v>
      </c>
      <c r="E43" t="s">
        <v>111</v>
      </c>
      <c r="F43" t="s">
        <v>80</v>
      </c>
      <c r="G43">
        <v>123.901613974094</v>
      </c>
      <c r="H43">
        <v>0</v>
      </c>
      <c r="I43" t="str">
        <f>OutputTable[[#This Row],[ProjectName]]&amp;OutputTable[[#This Row],[Name]]&amp;OutputTable[[#This Row],[Type]]&amp;OutputTable[[#This Row],[Source]]</f>
        <v>PacientesRegistro Accum Wait TimeAccum Wait TimeProcess</v>
      </c>
      <c r="J43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cm="1">
        <f t="array" ref="K43">IFERROR(AVERAGE(IF((OutputTable[GroupByKey]=OutputTable[[#This Row],[GroupByKey]]),(OutputTable[GroupByKey]=OutputTable[[#This Row],[GroupByKey]])*OutputTable[RecordedValue])),0)</f>
        <v>154.15303898127775</v>
      </c>
      <c r="L43" cm="1">
        <f t="array" ref="L43">IFERROR(_xlfn.STDEV.S(IF((OutputTable[GroupByKey]=OutputTable[[#This Row],[GroupByKey]]),(OutputTable[GroupByKey]=OutputTable[[#This Row],[GroupByKey]])*OutputTable[RecordedValue])),0)</f>
        <v>12.141439184615397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43" cm="1">
        <f t="array" ref="O43">MIN(IF((OutputTable[GroupByKey]=OutputTable[[#This Row],[GroupByKey]]),(OutputTable[GroupByKey]=OutputTable[[#This Row],[GroupByKey]])*OutputTable[RecordedValue]))</f>
        <v>123.901613974094</v>
      </c>
      <c r="P43" cm="1">
        <f t="array" ref="P43">MAX(IF((OutputTable[GroupByKey]=OutputTable[[#This Row],[GroupByKey]]),(OutputTable[GroupByKey]=OutputTable[[#This Row],[GroupByKey]])*OutputTable[RecordedValue]))</f>
        <v>178.441307284473</v>
      </c>
    </row>
    <row r="44" spans="1:16" x14ac:dyDescent="0.25">
      <c r="A44" t="s">
        <v>68</v>
      </c>
      <c r="B44" t="s">
        <v>131</v>
      </c>
      <c r="C44">
        <v>3</v>
      </c>
      <c r="D44" t="s">
        <v>116</v>
      </c>
      <c r="E44" t="s">
        <v>105</v>
      </c>
      <c r="F44" t="s">
        <v>80</v>
      </c>
      <c r="G44">
        <v>2218</v>
      </c>
      <c r="H44">
        <v>0</v>
      </c>
      <c r="I44" t="str">
        <f>OutputTable[[#This Row],[ProjectName]]&amp;OutputTable[[#This Row],[Name]]&amp;OutputTable[[#This Row],[Type]]&amp;OutputTable[[#This Row],[Source]]</f>
        <v>PacientesRegistro Number InNumber InProcess</v>
      </c>
      <c r="J44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cm="1">
        <f t="array" ref="K44">IFERROR(AVERAGE(IF((OutputTable[GroupByKey]=OutputTable[[#This Row],[GroupByKey]]),(OutputTable[GroupByKey]=OutputTable[[#This Row],[GroupByKey]])*OutputTable[RecordedValue])),0)</f>
        <v>2263.2399999999998</v>
      </c>
      <c r="L44" cm="1">
        <f t="array" ref="L44">IFERROR(_xlfn.STDEV.S(IF((OutputTable[GroupByKey]=OutputTable[[#This Row],[GroupByKey]]),(OutputTable[GroupByKey]=OutputTable[[#This Row],[GroupByKey]])*OutputTable[RecordedValue])),0)</f>
        <v>47.331035682472766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44" cm="1">
        <f t="array" ref="O44">MIN(IF((OutputTable[GroupByKey]=OutputTable[[#This Row],[GroupByKey]]),(OutputTable[GroupByKey]=OutputTable[[#This Row],[GroupByKey]])*OutputTable[RecordedValue]))</f>
        <v>2172</v>
      </c>
      <c r="P44" cm="1">
        <f t="array" ref="P44">MAX(IF((OutputTable[GroupByKey]=OutputTable[[#This Row],[GroupByKey]]),(OutputTable[GroupByKey]=OutputTable[[#This Row],[GroupByKey]])*OutputTable[RecordedValue]))</f>
        <v>2386</v>
      </c>
    </row>
    <row r="45" spans="1:16" x14ac:dyDescent="0.25">
      <c r="A45" t="s">
        <v>68</v>
      </c>
      <c r="B45" t="s">
        <v>131</v>
      </c>
      <c r="C45">
        <v>3</v>
      </c>
      <c r="D45" t="s">
        <v>117</v>
      </c>
      <c r="E45" t="s">
        <v>107</v>
      </c>
      <c r="F45" t="s">
        <v>80</v>
      </c>
      <c r="G45">
        <v>2216</v>
      </c>
      <c r="H45">
        <v>0</v>
      </c>
      <c r="I45" t="str">
        <f>OutputTable[[#This Row],[ProjectName]]&amp;OutputTable[[#This Row],[Name]]&amp;OutputTable[[#This Row],[Type]]&amp;OutputTable[[#This Row],[Source]]</f>
        <v>PacientesRegistro Number OutNumber OutProcess</v>
      </c>
      <c r="J4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cm="1">
        <f t="array" ref="K45">IFERROR(AVERAGE(IF((OutputTable[GroupByKey]=OutputTable[[#This Row],[GroupByKey]]),(OutputTable[GroupByKey]=OutputTable[[#This Row],[GroupByKey]])*OutputTable[RecordedValue])),0)</f>
        <v>2262.66</v>
      </c>
      <c r="L45" cm="1">
        <f t="array" ref="L45">IFERROR(_xlfn.STDEV.S(IF((OutputTable[GroupByKey]=OutputTable[[#This Row],[GroupByKey]]),(OutputTable[GroupByKey]=OutputTable[[#This Row],[GroupByKey]])*OutputTable[RecordedValue])),0)</f>
        <v>47.488176831454687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45" cm="1">
        <f t="array" ref="O45">MIN(IF((OutputTable[GroupByKey]=OutputTable[[#This Row],[GroupByKey]]),(OutputTable[GroupByKey]=OutputTable[[#This Row],[GroupByKey]])*OutputTable[RecordedValue]))</f>
        <v>2171</v>
      </c>
      <c r="P45" cm="1">
        <f t="array" ref="P45">MAX(IF((OutputTable[GroupByKey]=OutputTable[[#This Row],[GroupByKey]]),(OutputTable[GroupByKey]=OutputTable[[#This Row],[GroupByKey]])*OutputTable[RecordedValue]))</f>
        <v>2386</v>
      </c>
    </row>
    <row r="46" spans="1:16" x14ac:dyDescent="0.25">
      <c r="A46" t="s">
        <v>68</v>
      </c>
      <c r="B46" t="s">
        <v>131</v>
      </c>
      <c r="C46">
        <v>3</v>
      </c>
      <c r="D46" t="s">
        <v>118</v>
      </c>
      <c r="E46" t="s">
        <v>107</v>
      </c>
      <c r="F46" t="s">
        <v>119</v>
      </c>
      <c r="G46">
        <v>2361</v>
      </c>
      <c r="H46">
        <v>0</v>
      </c>
      <c r="I46" t="str">
        <f>OutputTable[[#This Row],[ProjectName]]&amp;OutputTable[[#This Row],[Name]]&amp;OutputTable[[#This Row],[Type]]&amp;OutputTable[[#This Row],[Source]]</f>
        <v>PacientesSystem.NumberOutNumber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cm="1">
        <f t="array" ref="K46">IFERROR(AVERAGE(IF((OutputTable[GroupByKey]=OutputTable[[#This Row],[GroupByKey]]),(OutputTable[GroupByKey]=OutputTable[[#This Row],[GroupByKey]])*OutputTable[RecordedValue])),0)</f>
        <v>2400.2800000000002</v>
      </c>
      <c r="L46" cm="1">
        <f t="array" ref="L46">IFERROR(_xlfn.STDEV.S(IF((OutputTable[GroupByKey]=OutputTable[[#This Row],[GroupByKey]]),(OutputTable[GroupByKey]=OutputTable[[#This Row],[GroupByKey]])*OutputTable[RecordedValue])),0)</f>
        <v>46.409024456676619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6" cm="1">
        <f t="array" ref="O46">MIN(IF((OutputTable[GroupByKey]=OutputTable[[#This Row],[GroupByKey]]),(OutputTable[GroupByKey]=OutputTable[[#This Row],[GroupByKey]])*OutputTable[RecordedValue]))</f>
        <v>2305</v>
      </c>
      <c r="P46" cm="1">
        <f t="array" ref="P46">MAX(IF((OutputTable[GroupByKey]=OutputTable[[#This Row],[GroupByKey]]),(OutputTable[GroupByKey]=OutputTable[[#This Row],[GroupByKey]])*OutputTable[RecordedValue]))</f>
        <v>2504</v>
      </c>
    </row>
    <row r="47" spans="1:16" x14ac:dyDescent="0.25">
      <c r="A47" t="s">
        <v>68</v>
      </c>
      <c r="B47" t="s">
        <v>131</v>
      </c>
      <c r="C47">
        <v>3</v>
      </c>
      <c r="D47" t="s">
        <v>120</v>
      </c>
      <c r="E47" t="s">
        <v>121</v>
      </c>
      <c r="F47" t="s">
        <v>99</v>
      </c>
      <c r="G47">
        <v>2363</v>
      </c>
      <c r="H47">
        <v>0</v>
      </c>
      <c r="I47" t="str">
        <f>OutputTable[[#This Row],[ProjectName]]&amp;OutputTable[[#This Row],[Name]]&amp;OutputTable[[#This Row],[Type]]&amp;OutputTable[[#This Row],[Source]]</f>
        <v>PacientesrCamas.NumberSeizedTotal Number SeizedResource</v>
      </c>
      <c r="J47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cm="1">
        <f t="array" ref="K47">IFERROR(AVERAGE(IF((OutputTable[GroupByKey]=OutputTable[[#This Row],[GroupByKey]]),(OutputTable[GroupByKey]=OutputTable[[#This Row],[GroupByKey]])*OutputTable[RecordedValue])),0)</f>
        <v>2401.9</v>
      </c>
      <c r="L47" cm="1">
        <f t="array" ref="L47">IFERROR(_xlfn.STDEV.S(IF((OutputTable[GroupByKey]=OutputTable[[#This Row],[GroupByKey]]),(OutputTable[GroupByKey]=OutputTable[[#This Row],[GroupByKey]])*OutputTable[RecordedValue])),0)</f>
        <v>46.417031532903209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7" cm="1">
        <f t="array" ref="O47">MIN(IF((OutputTable[GroupByKey]=OutputTable[[#This Row],[GroupByKey]]),(OutputTable[GroupByKey]=OutputTable[[#This Row],[GroupByKey]])*OutputTable[RecordedValue]))</f>
        <v>2306</v>
      </c>
      <c r="P47" cm="1">
        <f t="array" ref="P47">MAX(IF((OutputTable[GroupByKey]=OutputTable[[#This Row],[GroupByKey]]),(OutputTable[GroupByKey]=OutputTable[[#This Row],[GroupByKey]])*OutputTable[RecordedValue]))</f>
        <v>2506</v>
      </c>
    </row>
    <row r="48" spans="1:16" x14ac:dyDescent="0.25">
      <c r="A48" t="s">
        <v>68</v>
      </c>
      <c r="B48" t="s">
        <v>131</v>
      </c>
      <c r="C48">
        <v>3</v>
      </c>
      <c r="D48" t="s">
        <v>122</v>
      </c>
      <c r="E48" t="s">
        <v>123</v>
      </c>
      <c r="F48" t="s">
        <v>99</v>
      </c>
      <c r="G48">
        <v>0.53825197371438604</v>
      </c>
      <c r="H48">
        <v>0</v>
      </c>
      <c r="I48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48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cm="1">
        <f t="array" ref="K48">IFERROR(AVERAGE(IF((OutputTable[GroupByKey]=OutputTable[[#This Row],[GroupByKey]]),(OutputTable[GroupByKey]=OutputTable[[#This Row],[GroupByKey]])*OutputTable[RecordedValue])),0)</f>
        <v>0.54703961359050601</v>
      </c>
      <c r="L48" cm="1">
        <f t="array" ref="L48">IFERROR(_xlfn.STDEV.S(IF((OutputTable[GroupByKey]=OutputTable[[#This Row],[GroupByKey]]),(OutputTable[GroupByKey]=OutputTable[[#This Row],[GroupByKey]])*OutputTable[RecordedValue])),0)</f>
        <v>1.0221170008030479E-2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48" cm="1">
        <f t="array" ref="O48">MIN(IF((OutputTable[GroupByKey]=OutputTable[[#This Row],[GroupByKey]]),(OutputTable[GroupByKey]=OutputTable[[#This Row],[GroupByKey]])*OutputTable[RecordedValue]))</f>
        <v>0.52470641844357901</v>
      </c>
      <c r="P48" cm="1">
        <f t="array" ref="P48">MAX(IF((OutputTable[GroupByKey]=OutputTable[[#This Row],[GroupByKey]]),(OutputTable[GroupByKey]=OutputTable[[#This Row],[GroupByKey]])*OutputTable[RecordedValue]))</f>
        <v>0.57005812966092295</v>
      </c>
    </row>
    <row r="49" spans="1:16" x14ac:dyDescent="0.25">
      <c r="A49" t="s">
        <v>68</v>
      </c>
      <c r="B49" t="s">
        <v>131</v>
      </c>
      <c r="C49">
        <v>3</v>
      </c>
      <c r="D49" t="s">
        <v>124</v>
      </c>
      <c r="E49" t="s">
        <v>121</v>
      </c>
      <c r="F49" t="s">
        <v>99</v>
      </c>
      <c r="G49">
        <v>2363</v>
      </c>
      <c r="H49">
        <v>0</v>
      </c>
      <c r="I49" t="str">
        <f>OutputTable[[#This Row],[ProjectName]]&amp;OutputTable[[#This Row],[Name]]&amp;OutputTable[[#This Row],[Type]]&amp;OutputTable[[#This Row],[Source]]</f>
        <v>PacientesrMedico.NumberSeizedTotal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cm="1">
        <f t="array" ref="K49">IFERROR(AVERAGE(IF((OutputTable[GroupByKey]=OutputTable[[#This Row],[GroupByKey]]),(OutputTable[GroupByKey]=OutputTable[[#This Row],[GroupByKey]])*OutputTable[RecordedValue])),0)</f>
        <v>2401.9</v>
      </c>
      <c r="L49" cm="1">
        <f t="array" ref="L49">IFERROR(_xlfn.STDEV.S(IF((OutputTable[GroupByKey]=OutputTable[[#This Row],[GroupByKey]]),(OutputTable[GroupByKey]=OutputTable[[#This Row],[GroupByKey]])*OutputTable[RecordedValue])),0)</f>
        <v>46.417031532903209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9" cm="1">
        <f t="array" ref="O49">MIN(IF((OutputTable[GroupByKey]=OutputTable[[#This Row],[GroupByKey]]),(OutputTable[GroupByKey]=OutputTable[[#This Row],[GroupByKey]])*OutputTable[RecordedValue]))</f>
        <v>2306</v>
      </c>
      <c r="P49" cm="1">
        <f t="array" ref="P49">MAX(IF((OutputTable[GroupByKey]=OutputTable[[#This Row],[GroupByKey]]),(OutputTable[GroupByKey]=OutputTable[[#This Row],[GroupByKey]])*OutputTable[RecordedValue]))</f>
        <v>2506</v>
      </c>
    </row>
    <row r="50" spans="1:16" x14ac:dyDescent="0.25">
      <c r="A50" t="s">
        <v>68</v>
      </c>
      <c r="B50" t="s">
        <v>131</v>
      </c>
      <c r="C50">
        <v>3</v>
      </c>
      <c r="D50" t="s">
        <v>125</v>
      </c>
      <c r="E50" t="s">
        <v>123</v>
      </c>
      <c r="F50" t="s">
        <v>99</v>
      </c>
      <c r="G50">
        <v>0.80737796057157996</v>
      </c>
      <c r="H50">
        <v>0</v>
      </c>
      <c r="I50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cm="1">
        <f t="array" ref="K50">IFERROR(AVERAGE(IF((OutputTable[GroupByKey]=OutputTable[[#This Row],[GroupByKey]]),(OutputTable[GroupByKey]=OutputTable[[#This Row],[GroupByKey]])*OutputTable[RecordedValue])),0)</f>
        <v>0.82055942038575935</v>
      </c>
      <c r="L50" cm="1">
        <f t="array" ref="L50">IFERROR(_xlfn.STDEV.S(IF((OutputTable[GroupByKey]=OutputTable[[#This Row],[GroupByKey]]),(OutputTable[GroupByKey]=OutputTable[[#This Row],[GroupByKey]])*OutputTable[RecordedValue])),0)</f>
        <v>1.5331755012045719E-2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50" cm="1">
        <f t="array" ref="O50">MIN(IF((OutputTable[GroupByKey]=OutputTable[[#This Row],[GroupByKey]]),(OutputTable[GroupByKey]=OutputTable[[#This Row],[GroupByKey]])*OutputTable[RecordedValue]))</f>
        <v>0.78705962766536897</v>
      </c>
      <c r="P50" cm="1">
        <f t="array" ref="P50">MAX(IF((OutputTable[GroupByKey]=OutputTable[[#This Row],[GroupByKey]]),(OutputTable[GroupByKey]=OutputTable[[#This Row],[GroupByKey]])*OutputTable[RecordedValue]))</f>
        <v>0.85508719449138504</v>
      </c>
    </row>
    <row r="51" spans="1:16" x14ac:dyDescent="0.25">
      <c r="A51" t="s">
        <v>68</v>
      </c>
      <c r="B51" t="s">
        <v>131</v>
      </c>
      <c r="C51">
        <v>3</v>
      </c>
      <c r="D51" t="s">
        <v>126</v>
      </c>
      <c r="E51" t="s">
        <v>121</v>
      </c>
      <c r="F51" t="s">
        <v>99</v>
      </c>
      <c r="G51">
        <v>2217</v>
      </c>
      <c r="H51">
        <v>0</v>
      </c>
      <c r="I51" t="str">
        <f>OutputTable[[#This Row],[ProjectName]]&amp;OutputTable[[#This Row],[Name]]&amp;OutputTable[[#This Row],[Type]]&amp;OutputTable[[#This Row],[Source]]</f>
        <v>PacientesrRegistradora.NumberSeizedTotal Number SeizedResource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cm="1">
        <f t="array" ref="K51">IFERROR(AVERAGE(IF((OutputTable[GroupByKey]=OutputTable[[#This Row],[GroupByKey]]),(OutputTable[GroupByKey]=OutputTable[[#This Row],[GroupByKey]])*OutputTable[RecordedValue])),0)</f>
        <v>2263.14</v>
      </c>
      <c r="L51" cm="1">
        <f t="array" ref="L51">IFERROR(_xlfn.STDEV.S(IF((OutputTable[GroupByKey]=OutputTable[[#This Row],[GroupByKey]]),(OutputTable[GroupByKey]=OutputTable[[#This Row],[GroupByKey]])*OutputTable[RecordedValue])),0)</f>
        <v>47.386818971575821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51" cm="1">
        <f t="array" ref="O51">MIN(IF((OutputTable[GroupByKey]=OutputTable[[#This Row],[GroupByKey]]),(OutputTable[GroupByKey]=OutputTable[[#This Row],[GroupByKey]])*OutputTable[RecordedValue]))</f>
        <v>2172</v>
      </c>
      <c r="P51" cm="1">
        <f t="array" ref="P51">MAX(IF((OutputTable[GroupByKey]=OutputTable[[#This Row],[GroupByKey]]),(OutputTable[GroupByKey]=OutputTable[[#This Row],[GroupByKey]])*OutputTable[RecordedValue]))</f>
        <v>2386</v>
      </c>
    </row>
    <row r="52" spans="1:16" x14ac:dyDescent="0.25">
      <c r="A52" t="s">
        <v>68</v>
      </c>
      <c r="B52" t="s">
        <v>131</v>
      </c>
      <c r="C52">
        <v>3</v>
      </c>
      <c r="D52" t="s">
        <v>127</v>
      </c>
      <c r="E52" t="s">
        <v>123</v>
      </c>
      <c r="F52" t="s">
        <v>99</v>
      </c>
      <c r="G52">
        <v>0.45904858330157</v>
      </c>
      <c r="H52">
        <v>0</v>
      </c>
      <c r="I52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52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cm="1">
        <f t="array" ref="K52">IFERROR(AVERAGE(IF((OutputTable[GroupByKey]=OutputTable[[#This Row],[GroupByKey]]),(OutputTable[GroupByKey]=OutputTable[[#This Row],[GroupByKey]])*OutputTable[RecordedValue])),0)</f>
        <v>0.47162762933545666</v>
      </c>
      <c r="L52" cm="1">
        <f t="array" ref="L52">IFERROR(_xlfn.STDEV.S(IF((OutputTable[GroupByKey]=OutputTable[[#This Row],[GroupByKey]]),(OutputTable[GroupByKey]=OutputTable[[#This Row],[GroupByKey]])*OutputTable[RecordedValue])),0)</f>
        <v>9.6615227076777797E-3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52" cm="1">
        <f t="array" ref="O52">MIN(IF((OutputTable[GroupByKey]=OutputTable[[#This Row],[GroupByKey]]),(OutputTable[GroupByKey]=OutputTable[[#This Row],[GroupByKey]])*OutputTable[RecordedValue]))</f>
        <v>0.452397944183905</v>
      </c>
      <c r="P52" cm="1">
        <f t="array" ref="P52">MAX(IF((OutputTable[GroupByKey]=OutputTable[[#This Row],[GroupByKey]]),(OutputTable[GroupByKey]=OutputTable[[#This Row],[GroupByKey]])*OutputTable[RecordedValue]))</f>
        <v>0.49691123629694001</v>
      </c>
    </row>
    <row r="53" spans="1:16" x14ac:dyDescent="0.25">
      <c r="A53" t="s">
        <v>68</v>
      </c>
      <c r="B53" t="s">
        <v>131</v>
      </c>
      <c r="C53">
        <v>4</v>
      </c>
      <c r="D53" t="s">
        <v>104</v>
      </c>
      <c r="E53" t="s">
        <v>105</v>
      </c>
      <c r="F53" t="s">
        <v>72</v>
      </c>
      <c r="G53">
        <v>2375</v>
      </c>
      <c r="H53">
        <v>0</v>
      </c>
      <c r="I53" t="str">
        <f>OutputTable[[#This Row],[ProjectName]]&amp;OutputTable[[#This Row],[Name]]&amp;OutputTable[[#This Row],[Type]]&amp;OutputTable[[#This Row],[Source]]</f>
        <v>PacientesEntity 1.NumberInNumber InEntity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cm="1">
        <f t="array" ref="K53">IFERROR(AVERAGE(IF((OutputTable[GroupByKey]=OutputTable[[#This Row],[GroupByKey]]),(OutputTable[GroupByKey]=OutputTable[[#This Row],[GroupByKey]])*OutputTable[RecordedValue])),0)</f>
        <v>2404.8200000000002</v>
      </c>
      <c r="L53" cm="1">
        <f t="array" ref="L53">IFERROR(_xlfn.STDEV.S(IF((OutputTable[GroupByKey]=OutputTable[[#This Row],[GroupByKey]]),(OutputTable[GroupByKey]=OutputTable[[#This Row],[GroupByKey]])*OutputTable[RecordedValue])),0)</f>
        <v>46.42953405595474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53" cm="1">
        <f t="array" ref="O53">MIN(IF((OutputTable[GroupByKey]=OutputTable[[#This Row],[GroupByKey]]),(OutputTable[GroupByKey]=OutputTable[[#This Row],[GroupByKey]])*OutputTable[RecordedValue]))</f>
        <v>2307</v>
      </c>
      <c r="P53" cm="1">
        <f t="array" ref="P53">MAX(IF((OutputTable[GroupByKey]=OutputTable[[#This Row],[GroupByKey]]),(OutputTable[GroupByKey]=OutputTable[[#This Row],[GroupByKey]])*OutputTable[RecordedValue]))</f>
        <v>2518</v>
      </c>
    </row>
    <row r="54" spans="1:16" x14ac:dyDescent="0.25">
      <c r="A54" t="s">
        <v>68</v>
      </c>
      <c r="B54" t="s">
        <v>131</v>
      </c>
      <c r="C54">
        <v>4</v>
      </c>
      <c r="D54" t="s">
        <v>106</v>
      </c>
      <c r="E54" t="s">
        <v>107</v>
      </c>
      <c r="F54" t="s">
        <v>72</v>
      </c>
      <c r="G54">
        <v>2371</v>
      </c>
      <c r="H54">
        <v>0</v>
      </c>
      <c r="I54" t="str">
        <f>OutputTable[[#This Row],[ProjectName]]&amp;OutputTable[[#This Row],[Name]]&amp;OutputTable[[#This Row],[Type]]&amp;OutputTable[[#This Row],[Source]]</f>
        <v>PacientesEntity 1.NumberOutNumber OutEntity</v>
      </c>
      <c r="J54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cm="1">
        <f t="array" ref="K54">IFERROR(AVERAGE(IF((OutputTable[GroupByKey]=OutputTable[[#This Row],[GroupByKey]]),(OutputTable[GroupByKey]=OutputTable[[#This Row],[GroupByKey]])*OutputTable[RecordedValue])),0)</f>
        <v>2400.2800000000002</v>
      </c>
      <c r="L54" cm="1">
        <f t="array" ref="L54">IFERROR(_xlfn.STDEV.S(IF((OutputTable[GroupByKey]=OutputTable[[#This Row],[GroupByKey]]),(OutputTable[GroupByKey]=OutputTable[[#This Row],[GroupByKey]])*OutputTable[RecordedValue])),0)</f>
        <v>46.409024456676619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4" cm="1">
        <f t="array" ref="O54">MIN(IF((OutputTable[GroupByKey]=OutputTable[[#This Row],[GroupByKey]]),(OutputTable[GroupByKey]=OutputTable[[#This Row],[GroupByKey]])*OutputTable[RecordedValue]))</f>
        <v>2305</v>
      </c>
      <c r="P54" cm="1">
        <f t="array" ref="P54">MAX(IF((OutputTable[GroupByKey]=OutputTable[[#This Row],[GroupByKey]]),(OutputTable[GroupByKey]=OutputTable[[#This Row],[GroupByKey]])*OutputTable[RecordedValue]))</f>
        <v>2504</v>
      </c>
    </row>
    <row r="55" spans="1:16" x14ac:dyDescent="0.25">
      <c r="A55" t="s">
        <v>68</v>
      </c>
      <c r="B55" t="s">
        <v>131</v>
      </c>
      <c r="C55">
        <v>4</v>
      </c>
      <c r="D55" t="s">
        <v>108</v>
      </c>
      <c r="E55" t="s">
        <v>109</v>
      </c>
      <c r="F55" t="s">
        <v>80</v>
      </c>
      <c r="G55">
        <v>1183.73427169008</v>
      </c>
      <c r="H55">
        <v>0</v>
      </c>
      <c r="I55" t="str">
        <f>OutputTable[[#This Row],[ProjectName]]&amp;OutputTable[[#This Row],[Name]]&amp;OutputTable[[#This Row],[Type]]&amp;OutputTable[[#This Row],[Source]]</f>
        <v>PacientesProcess 2 Accum VA TimeAccum VA TimeProcess</v>
      </c>
      <c r="J5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cm="1">
        <f t="array" ref="K55">IFERROR(AVERAGE(IF((OutputTable[GroupByKey]=OutputTable[[#This Row],[GroupByKey]]),(OutputTable[GroupByKey]=OutputTable[[#This Row],[GroupByKey]])*OutputTable[RecordedValue])),0)</f>
        <v>1181.1234936767919</v>
      </c>
      <c r="L55" cm="1">
        <f t="array" ref="L55">IFERROR(_xlfn.STDEV.S(IF((OutputTable[GroupByKey]=OutputTable[[#This Row],[GroupByKey]]),(OutputTable[GroupByKey]=OutputTable[[#This Row],[GroupByKey]])*OutputTable[RecordedValue])),0)</f>
        <v>22.169313666927575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55" cm="1">
        <f t="array" ref="O55">MIN(IF((OutputTable[GroupByKey]=OutputTable[[#This Row],[GroupByKey]]),(OutputTable[GroupByKey]=OutputTable[[#This Row],[GroupByKey]])*OutputTable[RecordedValue]))</f>
        <v>1133.24622318414</v>
      </c>
      <c r="P55" cm="1">
        <f t="array" ref="P55">MAX(IF((OutputTable[GroupByKey]=OutputTable[[#This Row],[GroupByKey]]),(OutputTable[GroupByKey]=OutputTable[[#This Row],[GroupByKey]])*OutputTable[RecordedValue]))</f>
        <v>1230.9493287309799</v>
      </c>
    </row>
    <row r="56" spans="1:16" x14ac:dyDescent="0.25">
      <c r="A56" t="s">
        <v>68</v>
      </c>
      <c r="B56" t="s">
        <v>131</v>
      </c>
      <c r="C56">
        <v>4</v>
      </c>
      <c r="D56" t="s">
        <v>110</v>
      </c>
      <c r="E56" t="s">
        <v>111</v>
      </c>
      <c r="F56" t="s">
        <v>80</v>
      </c>
      <c r="G56">
        <v>2142.3341846318699</v>
      </c>
      <c r="H56">
        <v>0</v>
      </c>
      <c r="I56" t="str">
        <f>OutputTable[[#This Row],[ProjectName]]&amp;OutputTable[[#This Row],[Name]]&amp;OutputTable[[#This Row],[Type]]&amp;OutputTable[[#This Row],[Source]]</f>
        <v>PacientesProcess 2 Accum Wait TimeAccum Wait TimeProcess</v>
      </c>
      <c r="J56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cm="1">
        <f t="array" ref="K56">IFERROR(AVERAGE(IF((OutputTable[GroupByKey]=OutputTable[[#This Row],[GroupByKey]]),(OutputTable[GroupByKey]=OutputTable[[#This Row],[GroupByKey]])*OutputTable[RecordedValue])),0)</f>
        <v>1938.7515507466894</v>
      </c>
      <c r="L56" cm="1">
        <f t="array" ref="L56">IFERROR(_xlfn.STDEV.S(IF((OutputTable[GroupByKey]=OutputTable[[#This Row],[GroupByKey]]),(OutputTable[GroupByKey]=OutputTable[[#This Row],[GroupByKey]])*OutputTable[RecordedValue])),0)</f>
        <v>534.03396241838232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56" cm="1">
        <f t="array" ref="O56">MIN(IF((OutputTable[GroupByKey]=OutputTable[[#This Row],[GroupByKey]]),(OutputTable[GroupByKey]=OutputTable[[#This Row],[GroupByKey]])*OutputTable[RecordedValue]))</f>
        <v>1234.7567994731401</v>
      </c>
      <c r="P56" cm="1">
        <f t="array" ref="P56">MAX(IF((OutputTable[GroupByKey]=OutputTable[[#This Row],[GroupByKey]]),(OutputTable[GroupByKey]=OutputTable[[#This Row],[GroupByKey]])*OutputTable[RecordedValue]))</f>
        <v>3269.0858002883801</v>
      </c>
    </row>
    <row r="57" spans="1:16" x14ac:dyDescent="0.25">
      <c r="A57" t="s">
        <v>68</v>
      </c>
      <c r="B57" t="s">
        <v>131</v>
      </c>
      <c r="C57">
        <v>4</v>
      </c>
      <c r="D57" t="s">
        <v>112</v>
      </c>
      <c r="E57" t="s">
        <v>105</v>
      </c>
      <c r="F57" t="s">
        <v>80</v>
      </c>
      <c r="G57">
        <v>2374</v>
      </c>
      <c r="H57">
        <v>0</v>
      </c>
      <c r="I57" t="str">
        <f>OutputTable[[#This Row],[ProjectName]]&amp;OutputTable[[#This Row],[Name]]&amp;OutputTable[[#This Row],[Type]]&amp;OutputTable[[#This Row],[Source]]</f>
        <v>PacientesProcess 2 Number InNumber InProcess</v>
      </c>
      <c r="J57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cm="1">
        <f t="array" ref="K57">IFERROR(AVERAGE(IF((OutputTable[GroupByKey]=OutputTable[[#This Row],[GroupByKey]]),(OutputTable[GroupByKey]=OutputTable[[#This Row],[GroupByKey]])*OutputTable[RecordedValue])),0)</f>
        <v>2404.2399999999998</v>
      </c>
      <c r="L57" cm="1">
        <f t="array" ref="L57">IFERROR(_xlfn.STDEV.S(IF((OutputTable[GroupByKey]=OutputTable[[#This Row],[GroupByKey]]),(OutputTable[GroupByKey]=OutputTable[[#This Row],[GroupByKey]])*OutputTable[RecordedValue])),0)</f>
        <v>46.574303154053879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57" cm="1">
        <f t="array" ref="O57">MIN(IF((OutputTable[GroupByKey]=OutputTable[[#This Row],[GroupByKey]]),(OutputTable[GroupByKey]=OutputTable[[#This Row],[GroupByKey]])*OutputTable[RecordedValue]))</f>
        <v>2306</v>
      </c>
      <c r="P57" cm="1">
        <f t="array" ref="P57">MAX(IF((OutputTable[GroupByKey]=OutputTable[[#This Row],[GroupByKey]]),(OutputTable[GroupByKey]=OutputTable[[#This Row],[GroupByKey]])*OutputTable[RecordedValue]))</f>
        <v>2518</v>
      </c>
    </row>
    <row r="58" spans="1:16" x14ac:dyDescent="0.25">
      <c r="A58" t="s">
        <v>68</v>
      </c>
      <c r="B58" t="s">
        <v>131</v>
      </c>
      <c r="C58">
        <v>4</v>
      </c>
      <c r="D58" t="s">
        <v>113</v>
      </c>
      <c r="E58" t="s">
        <v>107</v>
      </c>
      <c r="F58" t="s">
        <v>80</v>
      </c>
      <c r="G58">
        <v>2371</v>
      </c>
      <c r="H58">
        <v>0</v>
      </c>
      <c r="I58" t="str">
        <f>OutputTable[[#This Row],[ProjectName]]&amp;OutputTable[[#This Row],[Name]]&amp;OutputTable[[#This Row],[Type]]&amp;OutputTable[[#This Row],[Source]]</f>
        <v>PacientesProcess 2 Number OutNumber OutProcess</v>
      </c>
      <c r="J58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cm="1">
        <f t="array" ref="K58">IFERROR(AVERAGE(IF((OutputTable[GroupByKey]=OutputTable[[#This Row],[GroupByKey]]),(OutputTable[GroupByKey]=OutputTable[[#This Row],[GroupByKey]])*OutputTable[RecordedValue])),0)</f>
        <v>2400.2800000000002</v>
      </c>
      <c r="L58" cm="1">
        <f t="array" ref="L58">IFERROR(_xlfn.STDEV.S(IF((OutputTable[GroupByKey]=OutputTable[[#This Row],[GroupByKey]]),(OutputTable[GroupByKey]=OutputTable[[#This Row],[GroupByKey]])*OutputTable[RecordedValue])),0)</f>
        <v>46.409024456676619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8" cm="1">
        <f t="array" ref="O58">MIN(IF((OutputTable[GroupByKey]=OutputTable[[#This Row],[GroupByKey]]),(OutputTable[GroupByKey]=OutputTable[[#This Row],[GroupByKey]])*OutputTable[RecordedValue]))</f>
        <v>2305</v>
      </c>
      <c r="P58" cm="1">
        <f t="array" ref="P58">MAX(IF((OutputTable[GroupByKey]=OutputTable[[#This Row],[GroupByKey]]),(OutputTable[GroupByKey]=OutputTable[[#This Row],[GroupByKey]])*OutputTable[RecordedValue]))</f>
        <v>2504</v>
      </c>
    </row>
    <row r="59" spans="1:16" x14ac:dyDescent="0.25">
      <c r="A59" t="s">
        <v>68</v>
      </c>
      <c r="B59" t="s">
        <v>131</v>
      </c>
      <c r="C59">
        <v>4</v>
      </c>
      <c r="D59" t="s">
        <v>114</v>
      </c>
      <c r="E59" t="s">
        <v>109</v>
      </c>
      <c r="F59" t="s">
        <v>80</v>
      </c>
      <c r="G59">
        <v>333.75807431478501</v>
      </c>
      <c r="H59">
        <v>0</v>
      </c>
      <c r="I59" t="str">
        <f>OutputTable[[#This Row],[ProjectName]]&amp;OutputTable[[#This Row],[Name]]&amp;OutputTable[[#This Row],[Type]]&amp;OutputTable[[#This Row],[Source]]</f>
        <v>PacientesRegistro Accum VA TimeAccum VA TimeProcess</v>
      </c>
      <c r="J59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cm="1">
        <f t="array" ref="K59">IFERROR(AVERAGE(IF((OutputTable[GroupByKey]=OutputTable[[#This Row],[GroupByKey]]),(OutputTable[GroupByKey]=OutputTable[[#This Row],[GroupByKey]])*OutputTable[RecordedValue])),0)</f>
        <v>339.53547737062786</v>
      </c>
      <c r="L59" cm="1">
        <f t="array" ref="L59">IFERROR(_xlfn.STDEV.S(IF((OutputTable[GroupByKey]=OutputTable[[#This Row],[GroupByKey]]),(OutputTable[GroupByKey]=OutputTable[[#This Row],[GroupByKey]])*OutputTable[RecordedValue])),0)</f>
        <v>6.9723666109353193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59" cm="1">
        <f t="array" ref="O59">MIN(IF((OutputTable[GroupByKey]=OutputTable[[#This Row],[GroupByKey]]),(OutputTable[GroupByKey]=OutputTable[[#This Row],[GroupByKey]])*OutputTable[RecordedValue]))</f>
        <v>325.606879158418</v>
      </c>
      <c r="P59" cm="1">
        <f t="array" ref="P59">MAX(IF((OutputTable[GroupByKey]=OutputTable[[#This Row],[GroupByKey]]),(OutputTable[GroupByKey]=OutputTable[[#This Row],[GroupByKey]])*OutputTable[RecordedValue]))</f>
        <v>357.77609013379703</v>
      </c>
    </row>
    <row r="60" spans="1:16" x14ac:dyDescent="0.25">
      <c r="A60" t="s">
        <v>68</v>
      </c>
      <c r="B60" t="s">
        <v>131</v>
      </c>
      <c r="C60">
        <v>4</v>
      </c>
      <c r="D60" t="s">
        <v>115</v>
      </c>
      <c r="E60" t="s">
        <v>111</v>
      </c>
      <c r="F60" t="s">
        <v>80</v>
      </c>
      <c r="G60">
        <v>139.77397790517199</v>
      </c>
      <c r="H60">
        <v>0</v>
      </c>
      <c r="I60" t="str">
        <f>OutputTable[[#This Row],[ProjectName]]&amp;OutputTable[[#This Row],[Name]]&amp;OutputTable[[#This Row],[Type]]&amp;OutputTable[[#This Row],[Source]]</f>
        <v>PacientesRegistro Accum Wait TimeAccum Wait TimeProcess</v>
      </c>
      <c r="J60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cm="1">
        <f t="array" ref="K60">IFERROR(AVERAGE(IF((OutputTable[GroupByKey]=OutputTable[[#This Row],[GroupByKey]]),(OutputTable[GroupByKey]=OutputTable[[#This Row],[GroupByKey]])*OutputTable[RecordedValue])),0)</f>
        <v>154.15303898127775</v>
      </c>
      <c r="L60" cm="1">
        <f t="array" ref="L60">IFERROR(_xlfn.STDEV.S(IF((OutputTable[GroupByKey]=OutputTable[[#This Row],[GroupByKey]]),(OutputTable[GroupByKey]=OutputTable[[#This Row],[GroupByKey]])*OutputTable[RecordedValue])),0)</f>
        <v>12.141439184615397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60" cm="1">
        <f t="array" ref="O60">MIN(IF((OutputTable[GroupByKey]=OutputTable[[#This Row],[GroupByKey]]),(OutputTable[GroupByKey]=OutputTable[[#This Row],[GroupByKey]])*OutputTable[RecordedValue]))</f>
        <v>123.901613974094</v>
      </c>
      <c r="P60" cm="1">
        <f t="array" ref="P60">MAX(IF((OutputTable[GroupByKey]=OutputTable[[#This Row],[GroupByKey]]),(OutputTable[GroupByKey]=OutputTable[[#This Row],[GroupByKey]])*OutputTable[RecordedValue]))</f>
        <v>178.441307284473</v>
      </c>
    </row>
    <row r="61" spans="1:16" x14ac:dyDescent="0.25">
      <c r="A61" t="s">
        <v>68</v>
      </c>
      <c r="B61" t="s">
        <v>131</v>
      </c>
      <c r="C61">
        <v>4</v>
      </c>
      <c r="D61" t="s">
        <v>116</v>
      </c>
      <c r="E61" t="s">
        <v>105</v>
      </c>
      <c r="F61" t="s">
        <v>80</v>
      </c>
      <c r="G61">
        <v>2231</v>
      </c>
      <c r="H61">
        <v>0</v>
      </c>
      <c r="I61" t="str">
        <f>OutputTable[[#This Row],[ProjectName]]&amp;OutputTable[[#This Row],[Name]]&amp;OutputTable[[#This Row],[Type]]&amp;OutputTable[[#This Row],[Source]]</f>
        <v>PacientesRegistro Number InNumber InProcess</v>
      </c>
      <c r="J61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cm="1">
        <f t="array" ref="K61">IFERROR(AVERAGE(IF((OutputTable[GroupByKey]=OutputTable[[#This Row],[GroupByKey]]),(OutputTable[GroupByKey]=OutputTable[[#This Row],[GroupByKey]])*OutputTable[RecordedValue])),0)</f>
        <v>2263.2399999999998</v>
      </c>
      <c r="L61" cm="1">
        <f t="array" ref="L61">IFERROR(_xlfn.STDEV.S(IF((OutputTable[GroupByKey]=OutputTable[[#This Row],[GroupByKey]]),(OutputTable[GroupByKey]=OutputTable[[#This Row],[GroupByKey]])*OutputTable[RecordedValue])),0)</f>
        <v>47.331035682472766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61" cm="1">
        <f t="array" ref="O61">MIN(IF((OutputTable[GroupByKey]=OutputTable[[#This Row],[GroupByKey]]),(OutputTable[GroupByKey]=OutputTable[[#This Row],[GroupByKey]])*OutputTable[RecordedValue]))</f>
        <v>2172</v>
      </c>
      <c r="P61" cm="1">
        <f t="array" ref="P61">MAX(IF((OutputTable[GroupByKey]=OutputTable[[#This Row],[GroupByKey]]),(OutputTable[GroupByKey]=OutputTable[[#This Row],[GroupByKey]])*OutputTable[RecordedValue]))</f>
        <v>2386</v>
      </c>
    </row>
    <row r="62" spans="1:16" x14ac:dyDescent="0.25">
      <c r="A62" t="s">
        <v>68</v>
      </c>
      <c r="B62" t="s">
        <v>131</v>
      </c>
      <c r="C62">
        <v>4</v>
      </c>
      <c r="D62" t="s">
        <v>117</v>
      </c>
      <c r="E62" t="s">
        <v>107</v>
      </c>
      <c r="F62" t="s">
        <v>80</v>
      </c>
      <c r="G62">
        <v>2230</v>
      </c>
      <c r="H62">
        <v>0</v>
      </c>
      <c r="I62" t="str">
        <f>OutputTable[[#This Row],[ProjectName]]&amp;OutputTable[[#This Row],[Name]]&amp;OutputTable[[#This Row],[Type]]&amp;OutputTable[[#This Row],[Source]]</f>
        <v>PacientesRegistro Number OutNumber OutProcess</v>
      </c>
      <c r="J62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cm="1">
        <f t="array" ref="K62">IFERROR(AVERAGE(IF((OutputTable[GroupByKey]=OutputTable[[#This Row],[GroupByKey]]),(OutputTable[GroupByKey]=OutputTable[[#This Row],[GroupByKey]])*OutputTable[RecordedValue])),0)</f>
        <v>2262.66</v>
      </c>
      <c r="L62" cm="1">
        <f t="array" ref="L62">IFERROR(_xlfn.STDEV.S(IF((OutputTable[GroupByKey]=OutputTable[[#This Row],[GroupByKey]]),(OutputTable[GroupByKey]=OutputTable[[#This Row],[GroupByKey]])*OutputTable[RecordedValue])),0)</f>
        <v>47.488176831454687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62" cm="1">
        <f t="array" ref="O62">MIN(IF((OutputTable[GroupByKey]=OutputTable[[#This Row],[GroupByKey]]),(OutputTable[GroupByKey]=OutputTable[[#This Row],[GroupByKey]])*OutputTable[RecordedValue]))</f>
        <v>2171</v>
      </c>
      <c r="P62" cm="1">
        <f t="array" ref="P62">MAX(IF((OutputTable[GroupByKey]=OutputTable[[#This Row],[GroupByKey]]),(OutputTable[GroupByKey]=OutputTable[[#This Row],[GroupByKey]])*OutputTable[RecordedValue]))</f>
        <v>2386</v>
      </c>
    </row>
    <row r="63" spans="1:16" x14ac:dyDescent="0.25">
      <c r="A63" t="s">
        <v>68</v>
      </c>
      <c r="B63" t="s">
        <v>131</v>
      </c>
      <c r="C63">
        <v>4</v>
      </c>
      <c r="D63" t="s">
        <v>118</v>
      </c>
      <c r="E63" t="s">
        <v>107</v>
      </c>
      <c r="F63" t="s">
        <v>119</v>
      </c>
      <c r="G63">
        <v>2371</v>
      </c>
      <c r="H63">
        <v>0</v>
      </c>
      <c r="I63" t="str">
        <f>OutputTable[[#This Row],[ProjectName]]&amp;OutputTable[[#This Row],[Name]]&amp;OutputTable[[#This Row],[Type]]&amp;OutputTable[[#This Row],[Source]]</f>
        <v>PacientesSystem.NumberOutNumber OutSystem</v>
      </c>
      <c r="J63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cm="1">
        <f t="array" ref="K63">IFERROR(AVERAGE(IF((OutputTable[GroupByKey]=OutputTable[[#This Row],[GroupByKey]]),(OutputTable[GroupByKey]=OutputTable[[#This Row],[GroupByKey]])*OutputTable[RecordedValue])),0)</f>
        <v>2400.2800000000002</v>
      </c>
      <c r="L63" cm="1">
        <f t="array" ref="L63">IFERROR(_xlfn.STDEV.S(IF((OutputTable[GroupByKey]=OutputTable[[#This Row],[GroupByKey]]),(OutputTable[GroupByKey]=OutputTable[[#This Row],[GroupByKey]])*OutputTable[RecordedValue])),0)</f>
        <v>46.409024456676619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3" cm="1">
        <f t="array" ref="O63">MIN(IF((OutputTable[GroupByKey]=OutputTable[[#This Row],[GroupByKey]]),(OutputTable[GroupByKey]=OutputTable[[#This Row],[GroupByKey]])*OutputTable[RecordedValue]))</f>
        <v>2305</v>
      </c>
      <c r="P63" cm="1">
        <f t="array" ref="P63">MAX(IF((OutputTable[GroupByKey]=OutputTable[[#This Row],[GroupByKey]]),(OutputTable[GroupByKey]=OutputTable[[#This Row],[GroupByKey]])*OutputTable[RecordedValue]))</f>
        <v>2504</v>
      </c>
    </row>
    <row r="64" spans="1:16" x14ac:dyDescent="0.25">
      <c r="A64" t="s">
        <v>68</v>
      </c>
      <c r="B64" t="s">
        <v>131</v>
      </c>
      <c r="C64">
        <v>4</v>
      </c>
      <c r="D64" t="s">
        <v>120</v>
      </c>
      <c r="E64" t="s">
        <v>121</v>
      </c>
      <c r="F64" t="s">
        <v>99</v>
      </c>
      <c r="G64">
        <v>2373</v>
      </c>
      <c r="H64">
        <v>0</v>
      </c>
      <c r="I64" t="str">
        <f>OutputTable[[#This Row],[ProjectName]]&amp;OutputTable[[#This Row],[Name]]&amp;OutputTable[[#This Row],[Type]]&amp;OutputTable[[#This Row],[Source]]</f>
        <v>PacientesrCamas.NumberSeizedTotal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cm="1">
        <f t="array" ref="K64">IFERROR(AVERAGE(IF((OutputTable[GroupByKey]=OutputTable[[#This Row],[GroupByKey]]),(OutputTable[GroupByKey]=OutputTable[[#This Row],[GroupByKey]])*OutputTable[RecordedValue])),0)</f>
        <v>2401.9</v>
      </c>
      <c r="L64" cm="1">
        <f t="array" ref="L64">IFERROR(_xlfn.STDEV.S(IF((OutputTable[GroupByKey]=OutputTable[[#This Row],[GroupByKey]]),(OutputTable[GroupByKey]=OutputTable[[#This Row],[GroupByKey]])*OutputTable[RecordedValue])),0)</f>
        <v>46.417031532903209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4" cm="1">
        <f t="array" ref="O64">MIN(IF((OutputTable[GroupByKey]=OutputTable[[#This Row],[GroupByKey]]),(OutputTable[GroupByKey]=OutputTable[[#This Row],[GroupByKey]])*OutputTable[RecordedValue]))</f>
        <v>2306</v>
      </c>
      <c r="P64" cm="1">
        <f t="array" ref="P64">MAX(IF((OutputTable[GroupByKey]=OutputTable[[#This Row],[GroupByKey]]),(OutputTable[GroupByKey]=OutputTable[[#This Row],[GroupByKey]])*OutputTable[RecordedValue]))</f>
        <v>2506</v>
      </c>
    </row>
    <row r="65" spans="1:16" x14ac:dyDescent="0.25">
      <c r="A65" t="s">
        <v>68</v>
      </c>
      <c r="B65" t="s">
        <v>131</v>
      </c>
      <c r="C65">
        <v>4</v>
      </c>
      <c r="D65" t="s">
        <v>122</v>
      </c>
      <c r="E65" t="s">
        <v>123</v>
      </c>
      <c r="F65" t="s">
        <v>99</v>
      </c>
      <c r="G65">
        <v>0.54818436022974104</v>
      </c>
      <c r="H65">
        <v>0</v>
      </c>
      <c r="I65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cm="1">
        <f t="array" ref="K65">IFERROR(AVERAGE(IF((OutputTable[GroupByKey]=OutputTable[[#This Row],[GroupByKey]]),(OutputTable[GroupByKey]=OutputTable[[#This Row],[GroupByKey]])*OutputTable[RecordedValue])),0)</f>
        <v>0.54703961359050601</v>
      </c>
      <c r="L65" cm="1">
        <f t="array" ref="L65">IFERROR(_xlfn.STDEV.S(IF((OutputTable[GroupByKey]=OutputTable[[#This Row],[GroupByKey]]),(OutputTable[GroupByKey]=OutputTable[[#This Row],[GroupByKey]])*OutputTable[RecordedValue])),0)</f>
        <v>1.0221170008030479E-2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65" cm="1">
        <f t="array" ref="O65">MIN(IF((OutputTable[GroupByKey]=OutputTable[[#This Row],[GroupByKey]]),(OutputTable[GroupByKey]=OutputTable[[#This Row],[GroupByKey]])*OutputTable[RecordedValue]))</f>
        <v>0.52470641844357901</v>
      </c>
      <c r="P65" cm="1">
        <f t="array" ref="P65">MAX(IF((OutputTable[GroupByKey]=OutputTable[[#This Row],[GroupByKey]]),(OutputTable[GroupByKey]=OutputTable[[#This Row],[GroupByKey]])*OutputTable[RecordedValue]))</f>
        <v>0.57005812966092295</v>
      </c>
    </row>
    <row r="66" spans="1:16" x14ac:dyDescent="0.25">
      <c r="A66" t="s">
        <v>68</v>
      </c>
      <c r="B66" t="s">
        <v>131</v>
      </c>
      <c r="C66">
        <v>4</v>
      </c>
      <c r="D66" t="s">
        <v>124</v>
      </c>
      <c r="E66" t="s">
        <v>121</v>
      </c>
      <c r="F66" t="s">
        <v>99</v>
      </c>
      <c r="G66">
        <v>2373</v>
      </c>
      <c r="H66">
        <v>0</v>
      </c>
      <c r="I66" t="str">
        <f>OutputTable[[#This Row],[ProjectName]]&amp;OutputTable[[#This Row],[Name]]&amp;OutputTable[[#This Row],[Type]]&amp;OutputTable[[#This Row],[Source]]</f>
        <v>PacientesrMedico.NumberSeizedTotal Number SeizedResource</v>
      </c>
      <c r="J66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cm="1">
        <f t="array" ref="K66">IFERROR(AVERAGE(IF((OutputTable[GroupByKey]=OutputTable[[#This Row],[GroupByKey]]),(OutputTable[GroupByKey]=OutputTable[[#This Row],[GroupByKey]])*OutputTable[RecordedValue])),0)</f>
        <v>2401.9</v>
      </c>
      <c r="L66" cm="1">
        <f t="array" ref="L66">IFERROR(_xlfn.STDEV.S(IF((OutputTable[GroupByKey]=OutputTable[[#This Row],[GroupByKey]]),(OutputTable[GroupByKey]=OutputTable[[#This Row],[GroupByKey]])*OutputTable[RecordedValue])),0)</f>
        <v>46.417031532903209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6" cm="1">
        <f t="array" ref="O66">MIN(IF((OutputTable[GroupByKey]=OutputTable[[#This Row],[GroupByKey]]),(OutputTable[GroupByKey]=OutputTable[[#This Row],[GroupByKey]])*OutputTable[RecordedValue]))</f>
        <v>2306</v>
      </c>
      <c r="P66" cm="1">
        <f t="array" ref="P66">MAX(IF((OutputTable[GroupByKey]=OutputTable[[#This Row],[GroupByKey]]),(OutputTable[GroupByKey]=OutputTable[[#This Row],[GroupByKey]])*OutputTable[RecordedValue]))</f>
        <v>2506</v>
      </c>
    </row>
    <row r="67" spans="1:16" x14ac:dyDescent="0.25">
      <c r="A67" t="s">
        <v>68</v>
      </c>
      <c r="B67" t="s">
        <v>131</v>
      </c>
      <c r="C67">
        <v>4</v>
      </c>
      <c r="D67" t="s">
        <v>125</v>
      </c>
      <c r="E67" t="s">
        <v>123</v>
      </c>
      <c r="F67" t="s">
        <v>99</v>
      </c>
      <c r="G67">
        <v>0.82227654034461095</v>
      </c>
      <c r="H67">
        <v>0</v>
      </c>
      <c r="I67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67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cm="1">
        <f t="array" ref="K67">IFERROR(AVERAGE(IF((OutputTable[GroupByKey]=OutputTable[[#This Row],[GroupByKey]]),(OutputTable[GroupByKey]=OutputTable[[#This Row],[GroupByKey]])*OutputTable[RecordedValue])),0)</f>
        <v>0.82055942038575935</v>
      </c>
      <c r="L67" cm="1">
        <f t="array" ref="L67">IFERROR(_xlfn.STDEV.S(IF((OutputTable[GroupByKey]=OutputTable[[#This Row],[GroupByKey]]),(OutputTable[GroupByKey]=OutputTable[[#This Row],[GroupByKey]])*OutputTable[RecordedValue])),0)</f>
        <v>1.5331755012045719E-2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67" cm="1">
        <f t="array" ref="O67">MIN(IF((OutputTable[GroupByKey]=OutputTable[[#This Row],[GroupByKey]]),(OutputTable[GroupByKey]=OutputTable[[#This Row],[GroupByKey]])*OutputTable[RecordedValue]))</f>
        <v>0.78705962766536897</v>
      </c>
      <c r="P67" cm="1">
        <f t="array" ref="P67">MAX(IF((OutputTable[GroupByKey]=OutputTable[[#This Row],[GroupByKey]]),(OutputTable[GroupByKey]=OutputTable[[#This Row],[GroupByKey]])*OutputTable[RecordedValue]))</f>
        <v>0.85508719449138504</v>
      </c>
    </row>
    <row r="68" spans="1:16" x14ac:dyDescent="0.25">
      <c r="A68" t="s">
        <v>68</v>
      </c>
      <c r="B68" t="s">
        <v>131</v>
      </c>
      <c r="C68">
        <v>4</v>
      </c>
      <c r="D68" t="s">
        <v>126</v>
      </c>
      <c r="E68" t="s">
        <v>121</v>
      </c>
      <c r="F68" t="s">
        <v>99</v>
      </c>
      <c r="G68">
        <v>2231</v>
      </c>
      <c r="H68">
        <v>0</v>
      </c>
      <c r="I68" t="str">
        <f>OutputTable[[#This Row],[ProjectName]]&amp;OutputTable[[#This Row],[Name]]&amp;OutputTable[[#This Row],[Type]]&amp;OutputTable[[#This Row],[Source]]</f>
        <v>PacientesrRegistradora.NumberSeizedTotal Number SeizedResource</v>
      </c>
      <c r="J68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cm="1">
        <f t="array" ref="K68">IFERROR(AVERAGE(IF((OutputTable[GroupByKey]=OutputTable[[#This Row],[GroupByKey]]),(OutputTable[GroupByKey]=OutputTable[[#This Row],[GroupByKey]])*OutputTable[RecordedValue])),0)</f>
        <v>2263.14</v>
      </c>
      <c r="L68" cm="1">
        <f t="array" ref="L68">IFERROR(_xlfn.STDEV.S(IF((OutputTable[GroupByKey]=OutputTable[[#This Row],[GroupByKey]]),(OutputTable[GroupByKey]=OutputTable[[#This Row],[GroupByKey]])*OutputTable[RecordedValue])),0)</f>
        <v>47.386818971575821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68" cm="1">
        <f t="array" ref="O68">MIN(IF((OutputTable[GroupByKey]=OutputTable[[#This Row],[GroupByKey]]),(OutputTable[GroupByKey]=OutputTable[[#This Row],[GroupByKey]])*OutputTable[RecordedValue]))</f>
        <v>2172</v>
      </c>
      <c r="P68" cm="1">
        <f t="array" ref="P68">MAX(IF((OutputTable[GroupByKey]=OutputTable[[#This Row],[GroupByKey]]),(OutputTable[GroupByKey]=OutputTable[[#This Row],[GroupByKey]])*OutputTable[RecordedValue]))</f>
        <v>2386</v>
      </c>
    </row>
    <row r="69" spans="1:16" x14ac:dyDescent="0.25">
      <c r="A69" t="s">
        <v>68</v>
      </c>
      <c r="B69" t="s">
        <v>131</v>
      </c>
      <c r="C69">
        <v>4</v>
      </c>
      <c r="D69" t="s">
        <v>127</v>
      </c>
      <c r="E69" t="s">
        <v>123</v>
      </c>
      <c r="F69" t="s">
        <v>99</v>
      </c>
      <c r="G69">
        <v>0.46378249465744398</v>
      </c>
      <c r="H69">
        <v>0</v>
      </c>
      <c r="I69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cm="1">
        <f t="array" ref="K69">IFERROR(AVERAGE(IF((OutputTable[GroupByKey]=OutputTable[[#This Row],[GroupByKey]]),(OutputTable[GroupByKey]=OutputTable[[#This Row],[GroupByKey]])*OutputTable[RecordedValue])),0)</f>
        <v>0.47162762933545666</v>
      </c>
      <c r="L69" cm="1">
        <f t="array" ref="L69">IFERROR(_xlfn.STDEV.S(IF((OutputTable[GroupByKey]=OutputTable[[#This Row],[GroupByKey]]),(OutputTable[GroupByKey]=OutputTable[[#This Row],[GroupByKey]])*OutputTable[RecordedValue])),0)</f>
        <v>9.6615227076777797E-3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69" cm="1">
        <f t="array" ref="O69">MIN(IF((OutputTable[GroupByKey]=OutputTable[[#This Row],[GroupByKey]]),(OutputTable[GroupByKey]=OutputTable[[#This Row],[GroupByKey]])*OutputTable[RecordedValue]))</f>
        <v>0.452397944183905</v>
      </c>
      <c r="P69" cm="1">
        <f t="array" ref="P69">MAX(IF((OutputTable[GroupByKey]=OutputTable[[#This Row],[GroupByKey]]),(OutputTable[GroupByKey]=OutputTable[[#This Row],[GroupByKey]])*OutputTable[RecordedValue]))</f>
        <v>0.49691123629694001</v>
      </c>
    </row>
    <row r="70" spans="1:16" x14ac:dyDescent="0.25">
      <c r="A70" t="s">
        <v>68</v>
      </c>
      <c r="B70" t="s">
        <v>131</v>
      </c>
      <c r="C70">
        <v>5</v>
      </c>
      <c r="D70" t="s">
        <v>104</v>
      </c>
      <c r="E70" t="s">
        <v>105</v>
      </c>
      <c r="F70" t="s">
        <v>72</v>
      </c>
      <c r="G70">
        <v>2339</v>
      </c>
      <c r="H70">
        <v>0</v>
      </c>
      <c r="I70" t="str">
        <f>OutputTable[[#This Row],[ProjectName]]&amp;OutputTable[[#This Row],[Name]]&amp;OutputTable[[#This Row],[Type]]&amp;OutputTable[[#This Row],[Source]]</f>
        <v>PacientesEntity 1.NumberInNumber InEntity</v>
      </c>
      <c r="J70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cm="1">
        <f t="array" ref="K70">IFERROR(AVERAGE(IF((OutputTable[GroupByKey]=OutputTable[[#This Row],[GroupByKey]]),(OutputTable[GroupByKey]=OutputTable[[#This Row],[GroupByKey]])*OutputTable[RecordedValue])),0)</f>
        <v>2404.8200000000002</v>
      </c>
      <c r="L70" cm="1">
        <f t="array" ref="L70">IFERROR(_xlfn.STDEV.S(IF((OutputTable[GroupByKey]=OutputTable[[#This Row],[GroupByKey]]),(OutputTable[GroupByKey]=OutputTable[[#This Row],[GroupByKey]])*OutputTable[RecordedValue])),0)</f>
        <v>46.42953405595474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70" cm="1">
        <f t="array" ref="O70">MIN(IF((OutputTable[GroupByKey]=OutputTable[[#This Row],[GroupByKey]]),(OutputTable[GroupByKey]=OutputTable[[#This Row],[GroupByKey]])*OutputTable[RecordedValue]))</f>
        <v>2307</v>
      </c>
      <c r="P70" cm="1">
        <f t="array" ref="P70">MAX(IF((OutputTable[GroupByKey]=OutputTable[[#This Row],[GroupByKey]]),(OutputTable[GroupByKey]=OutputTable[[#This Row],[GroupByKey]])*OutputTable[RecordedValue]))</f>
        <v>2518</v>
      </c>
    </row>
    <row r="71" spans="1:16" x14ac:dyDescent="0.25">
      <c r="A71" t="s">
        <v>68</v>
      </c>
      <c r="B71" t="s">
        <v>131</v>
      </c>
      <c r="C71">
        <v>5</v>
      </c>
      <c r="D71" t="s">
        <v>106</v>
      </c>
      <c r="E71" t="s">
        <v>107</v>
      </c>
      <c r="F71" t="s">
        <v>72</v>
      </c>
      <c r="G71">
        <v>2336</v>
      </c>
      <c r="H71">
        <v>0</v>
      </c>
      <c r="I71" t="str">
        <f>OutputTable[[#This Row],[ProjectName]]&amp;OutputTable[[#This Row],[Name]]&amp;OutputTable[[#This Row],[Type]]&amp;OutputTable[[#This Row],[Source]]</f>
        <v>PacientesEntity 1.NumberOutNumber OutEntity</v>
      </c>
      <c r="J71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cm="1">
        <f t="array" ref="K71">IFERROR(AVERAGE(IF((OutputTable[GroupByKey]=OutputTable[[#This Row],[GroupByKey]]),(OutputTable[GroupByKey]=OutputTable[[#This Row],[GroupByKey]])*OutputTable[RecordedValue])),0)</f>
        <v>2400.2800000000002</v>
      </c>
      <c r="L71" cm="1">
        <f t="array" ref="L71">IFERROR(_xlfn.STDEV.S(IF((OutputTable[GroupByKey]=OutputTable[[#This Row],[GroupByKey]]),(OutputTable[GroupByKey]=OutputTable[[#This Row],[GroupByKey]])*OutputTable[RecordedValue])),0)</f>
        <v>46.409024456676619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1" cm="1">
        <f t="array" ref="O71">MIN(IF((OutputTable[GroupByKey]=OutputTable[[#This Row],[GroupByKey]]),(OutputTable[GroupByKey]=OutputTable[[#This Row],[GroupByKey]])*OutputTable[RecordedValue]))</f>
        <v>2305</v>
      </c>
      <c r="P71" cm="1">
        <f t="array" ref="P71">MAX(IF((OutputTable[GroupByKey]=OutputTable[[#This Row],[GroupByKey]]),(OutputTable[GroupByKey]=OutputTable[[#This Row],[GroupByKey]])*OutputTable[RecordedValue]))</f>
        <v>2504</v>
      </c>
    </row>
    <row r="72" spans="1:16" x14ac:dyDescent="0.25">
      <c r="A72" t="s">
        <v>68</v>
      </c>
      <c r="B72" t="s">
        <v>131</v>
      </c>
      <c r="C72">
        <v>5</v>
      </c>
      <c r="D72" t="s">
        <v>108</v>
      </c>
      <c r="E72" t="s">
        <v>109</v>
      </c>
      <c r="F72" t="s">
        <v>80</v>
      </c>
      <c r="G72">
        <v>1134.6017491400701</v>
      </c>
      <c r="H72">
        <v>0</v>
      </c>
      <c r="I72" t="str">
        <f>OutputTable[[#This Row],[ProjectName]]&amp;OutputTable[[#This Row],[Name]]&amp;OutputTable[[#This Row],[Type]]&amp;OutputTable[[#This Row],[Source]]</f>
        <v>PacientesProcess 2 Accum VA TimeAccum VA TimeProcess</v>
      </c>
      <c r="J72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cm="1">
        <f t="array" ref="K72">IFERROR(AVERAGE(IF((OutputTable[GroupByKey]=OutputTable[[#This Row],[GroupByKey]]),(OutputTable[GroupByKey]=OutputTable[[#This Row],[GroupByKey]])*OutputTable[RecordedValue])),0)</f>
        <v>1181.1234936767919</v>
      </c>
      <c r="L72" cm="1">
        <f t="array" ref="L72">IFERROR(_xlfn.STDEV.S(IF((OutputTable[GroupByKey]=OutputTable[[#This Row],[GroupByKey]]),(OutputTable[GroupByKey]=OutputTable[[#This Row],[GroupByKey]])*OutputTable[RecordedValue])),0)</f>
        <v>22.169313666927575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72" cm="1">
        <f t="array" ref="O72">MIN(IF((OutputTable[GroupByKey]=OutputTable[[#This Row],[GroupByKey]]),(OutputTable[GroupByKey]=OutputTable[[#This Row],[GroupByKey]])*OutputTable[RecordedValue]))</f>
        <v>1133.24622318414</v>
      </c>
      <c r="P72" cm="1">
        <f t="array" ref="P72">MAX(IF((OutputTable[GroupByKey]=OutputTable[[#This Row],[GroupByKey]]),(OutputTable[GroupByKey]=OutputTable[[#This Row],[GroupByKey]])*OutputTable[RecordedValue]))</f>
        <v>1230.9493287309799</v>
      </c>
    </row>
    <row r="73" spans="1:16" x14ac:dyDescent="0.25">
      <c r="A73" t="s">
        <v>68</v>
      </c>
      <c r="B73" t="s">
        <v>131</v>
      </c>
      <c r="C73">
        <v>5</v>
      </c>
      <c r="D73" t="s">
        <v>110</v>
      </c>
      <c r="E73" t="s">
        <v>111</v>
      </c>
      <c r="F73" t="s">
        <v>80</v>
      </c>
      <c r="G73">
        <v>1508.7980928843399</v>
      </c>
      <c r="H73">
        <v>0</v>
      </c>
      <c r="I73" t="str">
        <f>OutputTable[[#This Row],[ProjectName]]&amp;OutputTable[[#This Row],[Name]]&amp;OutputTable[[#This Row],[Type]]&amp;OutputTable[[#This Row],[Source]]</f>
        <v>PacientesProcess 2 Accum Wait TimeAccum Wait TimeProcess</v>
      </c>
      <c r="J73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cm="1">
        <f t="array" ref="K73">IFERROR(AVERAGE(IF((OutputTable[GroupByKey]=OutputTable[[#This Row],[GroupByKey]]),(OutputTable[GroupByKey]=OutputTable[[#This Row],[GroupByKey]])*OutputTable[RecordedValue])),0)</f>
        <v>1938.7515507466894</v>
      </c>
      <c r="L73" cm="1">
        <f t="array" ref="L73">IFERROR(_xlfn.STDEV.S(IF((OutputTable[GroupByKey]=OutputTable[[#This Row],[GroupByKey]]),(OutputTable[GroupByKey]=OutputTable[[#This Row],[GroupByKey]])*OutputTable[RecordedValue])),0)</f>
        <v>534.03396241838232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73" cm="1">
        <f t="array" ref="O73">MIN(IF((OutputTable[GroupByKey]=OutputTable[[#This Row],[GroupByKey]]),(OutputTable[GroupByKey]=OutputTable[[#This Row],[GroupByKey]])*OutputTable[RecordedValue]))</f>
        <v>1234.7567994731401</v>
      </c>
      <c r="P73" cm="1">
        <f t="array" ref="P73">MAX(IF((OutputTable[GroupByKey]=OutputTable[[#This Row],[GroupByKey]]),(OutputTable[GroupByKey]=OutputTable[[#This Row],[GroupByKey]])*OutputTable[RecordedValue]))</f>
        <v>3269.0858002883801</v>
      </c>
    </row>
    <row r="74" spans="1:16" x14ac:dyDescent="0.25">
      <c r="A74" t="s">
        <v>68</v>
      </c>
      <c r="B74" t="s">
        <v>131</v>
      </c>
      <c r="C74">
        <v>5</v>
      </c>
      <c r="D74" t="s">
        <v>112</v>
      </c>
      <c r="E74" t="s">
        <v>105</v>
      </c>
      <c r="F74" t="s">
        <v>80</v>
      </c>
      <c r="G74">
        <v>2338</v>
      </c>
      <c r="H74">
        <v>0</v>
      </c>
      <c r="I74" t="str">
        <f>OutputTable[[#This Row],[ProjectName]]&amp;OutputTable[[#This Row],[Name]]&amp;OutputTable[[#This Row],[Type]]&amp;OutputTable[[#This Row],[Source]]</f>
        <v>PacientesProcess 2 Number InNumber InProcess</v>
      </c>
      <c r="J74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cm="1">
        <f t="array" ref="K74">IFERROR(AVERAGE(IF((OutputTable[GroupByKey]=OutputTable[[#This Row],[GroupByKey]]),(OutputTable[GroupByKey]=OutputTable[[#This Row],[GroupByKey]])*OutputTable[RecordedValue])),0)</f>
        <v>2404.2399999999998</v>
      </c>
      <c r="L74" cm="1">
        <f t="array" ref="L74">IFERROR(_xlfn.STDEV.S(IF((OutputTable[GroupByKey]=OutputTable[[#This Row],[GroupByKey]]),(OutputTable[GroupByKey]=OutputTable[[#This Row],[GroupByKey]])*OutputTable[RecordedValue])),0)</f>
        <v>46.574303154053879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74" cm="1">
        <f t="array" ref="O74">MIN(IF((OutputTable[GroupByKey]=OutputTable[[#This Row],[GroupByKey]]),(OutputTable[GroupByKey]=OutputTable[[#This Row],[GroupByKey]])*OutputTable[RecordedValue]))</f>
        <v>2306</v>
      </c>
      <c r="P74" cm="1">
        <f t="array" ref="P74">MAX(IF((OutputTable[GroupByKey]=OutputTable[[#This Row],[GroupByKey]]),(OutputTable[GroupByKey]=OutputTable[[#This Row],[GroupByKey]])*OutputTable[RecordedValue]))</f>
        <v>2518</v>
      </c>
    </row>
    <row r="75" spans="1:16" x14ac:dyDescent="0.25">
      <c r="A75" t="s">
        <v>68</v>
      </c>
      <c r="B75" t="s">
        <v>131</v>
      </c>
      <c r="C75">
        <v>5</v>
      </c>
      <c r="D75" t="s">
        <v>113</v>
      </c>
      <c r="E75" t="s">
        <v>107</v>
      </c>
      <c r="F75" t="s">
        <v>80</v>
      </c>
      <c r="G75">
        <v>2336</v>
      </c>
      <c r="H75">
        <v>0</v>
      </c>
      <c r="I75" t="str">
        <f>OutputTable[[#This Row],[ProjectName]]&amp;OutputTable[[#This Row],[Name]]&amp;OutputTable[[#This Row],[Type]]&amp;OutputTable[[#This Row],[Source]]</f>
        <v>PacientesProcess 2 Number OutNumber OutProcess</v>
      </c>
      <c r="J7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cm="1">
        <f t="array" ref="K75">IFERROR(AVERAGE(IF((OutputTable[GroupByKey]=OutputTable[[#This Row],[GroupByKey]]),(OutputTable[GroupByKey]=OutputTable[[#This Row],[GroupByKey]])*OutputTable[RecordedValue])),0)</f>
        <v>2400.2800000000002</v>
      </c>
      <c r="L75" cm="1">
        <f t="array" ref="L75">IFERROR(_xlfn.STDEV.S(IF((OutputTable[GroupByKey]=OutputTable[[#This Row],[GroupByKey]]),(OutputTable[GroupByKey]=OutputTable[[#This Row],[GroupByKey]])*OutputTable[RecordedValue])),0)</f>
        <v>46.409024456676619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5" cm="1">
        <f t="array" ref="O75">MIN(IF((OutputTable[GroupByKey]=OutputTable[[#This Row],[GroupByKey]]),(OutputTable[GroupByKey]=OutputTable[[#This Row],[GroupByKey]])*OutputTable[RecordedValue]))</f>
        <v>2305</v>
      </c>
      <c r="P75" cm="1">
        <f t="array" ref="P75">MAX(IF((OutputTable[GroupByKey]=OutputTable[[#This Row],[GroupByKey]]),(OutputTable[GroupByKey]=OutputTable[[#This Row],[GroupByKey]])*OutputTable[RecordedValue]))</f>
        <v>2504</v>
      </c>
    </row>
    <row r="76" spans="1:16" x14ac:dyDescent="0.25">
      <c r="A76" t="s">
        <v>68</v>
      </c>
      <c r="B76" t="s">
        <v>131</v>
      </c>
      <c r="C76">
        <v>5</v>
      </c>
      <c r="D76" t="s">
        <v>114</v>
      </c>
      <c r="E76" t="s">
        <v>109</v>
      </c>
      <c r="F76" t="s">
        <v>80</v>
      </c>
      <c r="G76">
        <v>329.21198235924902</v>
      </c>
      <c r="H76">
        <v>0</v>
      </c>
      <c r="I76" t="str">
        <f>OutputTable[[#This Row],[ProjectName]]&amp;OutputTable[[#This Row],[Name]]&amp;OutputTable[[#This Row],[Type]]&amp;OutputTable[[#This Row],[Source]]</f>
        <v>PacientesRegistro Accum VA TimeAccum VA TimeProcess</v>
      </c>
      <c r="J76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cm="1">
        <f t="array" ref="K76">IFERROR(AVERAGE(IF((OutputTable[GroupByKey]=OutputTable[[#This Row],[GroupByKey]]),(OutputTable[GroupByKey]=OutputTable[[#This Row],[GroupByKey]])*OutputTable[RecordedValue])),0)</f>
        <v>339.53547737062786</v>
      </c>
      <c r="L76" cm="1">
        <f t="array" ref="L76">IFERROR(_xlfn.STDEV.S(IF((OutputTable[GroupByKey]=OutputTable[[#This Row],[GroupByKey]]),(OutputTable[GroupByKey]=OutputTable[[#This Row],[GroupByKey]])*OutputTable[RecordedValue])),0)</f>
        <v>6.9723666109353193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76" cm="1">
        <f t="array" ref="O76">MIN(IF((OutputTable[GroupByKey]=OutputTable[[#This Row],[GroupByKey]]),(OutputTable[GroupByKey]=OutputTable[[#This Row],[GroupByKey]])*OutputTable[RecordedValue]))</f>
        <v>325.606879158418</v>
      </c>
      <c r="P76" cm="1">
        <f t="array" ref="P76">MAX(IF((OutputTable[GroupByKey]=OutputTable[[#This Row],[GroupByKey]]),(OutputTable[GroupByKey]=OutputTable[[#This Row],[GroupByKey]])*OutputTable[RecordedValue]))</f>
        <v>357.77609013379703</v>
      </c>
    </row>
    <row r="77" spans="1:16" x14ac:dyDescent="0.25">
      <c r="A77" t="s">
        <v>68</v>
      </c>
      <c r="B77" t="s">
        <v>131</v>
      </c>
      <c r="C77">
        <v>5</v>
      </c>
      <c r="D77" t="s">
        <v>115</v>
      </c>
      <c r="E77" t="s">
        <v>111</v>
      </c>
      <c r="F77" t="s">
        <v>80</v>
      </c>
      <c r="G77">
        <v>138.02593243197001</v>
      </c>
      <c r="H77">
        <v>0</v>
      </c>
      <c r="I77" t="str">
        <f>OutputTable[[#This Row],[ProjectName]]&amp;OutputTable[[#This Row],[Name]]&amp;OutputTable[[#This Row],[Type]]&amp;OutputTable[[#This Row],[Source]]</f>
        <v>PacientesRegistro Accum Wait TimeAccum Wait TimeProcess</v>
      </c>
      <c r="J77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cm="1">
        <f t="array" ref="K77">IFERROR(AVERAGE(IF((OutputTable[GroupByKey]=OutputTable[[#This Row],[GroupByKey]]),(OutputTable[GroupByKey]=OutputTable[[#This Row],[GroupByKey]])*OutputTable[RecordedValue])),0)</f>
        <v>154.15303898127775</v>
      </c>
      <c r="L77" cm="1">
        <f t="array" ref="L77">IFERROR(_xlfn.STDEV.S(IF((OutputTable[GroupByKey]=OutputTable[[#This Row],[GroupByKey]]),(OutputTable[GroupByKey]=OutputTable[[#This Row],[GroupByKey]])*OutputTable[RecordedValue])),0)</f>
        <v>12.141439184615397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77" cm="1">
        <f t="array" ref="O77">MIN(IF((OutputTable[GroupByKey]=OutputTable[[#This Row],[GroupByKey]]),(OutputTable[GroupByKey]=OutputTable[[#This Row],[GroupByKey]])*OutputTable[RecordedValue]))</f>
        <v>123.901613974094</v>
      </c>
      <c r="P77" cm="1">
        <f t="array" ref="P77">MAX(IF((OutputTable[GroupByKey]=OutputTable[[#This Row],[GroupByKey]]),(OutputTable[GroupByKey]=OutputTable[[#This Row],[GroupByKey]])*OutputTable[RecordedValue]))</f>
        <v>178.441307284473</v>
      </c>
    </row>
    <row r="78" spans="1:16" x14ac:dyDescent="0.25">
      <c r="A78" t="s">
        <v>68</v>
      </c>
      <c r="B78" t="s">
        <v>131</v>
      </c>
      <c r="C78">
        <v>5</v>
      </c>
      <c r="D78" t="s">
        <v>116</v>
      </c>
      <c r="E78" t="s">
        <v>105</v>
      </c>
      <c r="F78" t="s">
        <v>80</v>
      </c>
      <c r="G78">
        <v>2201</v>
      </c>
      <c r="H78">
        <v>0</v>
      </c>
      <c r="I78" t="str">
        <f>OutputTable[[#This Row],[ProjectName]]&amp;OutputTable[[#This Row],[Name]]&amp;OutputTable[[#This Row],[Type]]&amp;OutputTable[[#This Row],[Source]]</f>
        <v>PacientesRegistro Number InNumber InProcess</v>
      </c>
      <c r="J78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cm="1">
        <f t="array" ref="K78">IFERROR(AVERAGE(IF((OutputTable[GroupByKey]=OutputTable[[#This Row],[GroupByKey]]),(OutputTable[GroupByKey]=OutputTable[[#This Row],[GroupByKey]])*OutputTable[RecordedValue])),0)</f>
        <v>2263.2399999999998</v>
      </c>
      <c r="L78" cm="1">
        <f t="array" ref="L78">IFERROR(_xlfn.STDEV.S(IF((OutputTable[GroupByKey]=OutputTable[[#This Row],[GroupByKey]]),(OutputTable[GroupByKey]=OutputTable[[#This Row],[GroupByKey]])*OutputTable[RecordedValue])),0)</f>
        <v>47.331035682472766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78" cm="1">
        <f t="array" ref="O78">MIN(IF((OutputTable[GroupByKey]=OutputTable[[#This Row],[GroupByKey]]),(OutputTable[GroupByKey]=OutputTable[[#This Row],[GroupByKey]])*OutputTable[RecordedValue]))</f>
        <v>2172</v>
      </c>
      <c r="P78" cm="1">
        <f t="array" ref="P78">MAX(IF((OutputTable[GroupByKey]=OutputTable[[#This Row],[GroupByKey]]),(OutputTable[GroupByKey]=OutputTable[[#This Row],[GroupByKey]])*OutputTable[RecordedValue]))</f>
        <v>2386</v>
      </c>
    </row>
    <row r="79" spans="1:16" x14ac:dyDescent="0.25">
      <c r="A79" t="s">
        <v>68</v>
      </c>
      <c r="B79" t="s">
        <v>131</v>
      </c>
      <c r="C79">
        <v>5</v>
      </c>
      <c r="D79" t="s">
        <v>117</v>
      </c>
      <c r="E79" t="s">
        <v>107</v>
      </c>
      <c r="F79" t="s">
        <v>80</v>
      </c>
      <c r="G79">
        <v>2200</v>
      </c>
      <c r="H79">
        <v>0</v>
      </c>
      <c r="I79" t="str">
        <f>OutputTable[[#This Row],[ProjectName]]&amp;OutputTable[[#This Row],[Name]]&amp;OutputTable[[#This Row],[Type]]&amp;OutputTable[[#This Row],[Source]]</f>
        <v>PacientesRegistro Number OutNumber OutProcess</v>
      </c>
      <c r="J79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cm="1">
        <f t="array" ref="K79">IFERROR(AVERAGE(IF((OutputTable[GroupByKey]=OutputTable[[#This Row],[GroupByKey]]),(OutputTable[GroupByKey]=OutputTable[[#This Row],[GroupByKey]])*OutputTable[RecordedValue])),0)</f>
        <v>2262.66</v>
      </c>
      <c r="L79" cm="1">
        <f t="array" ref="L79">IFERROR(_xlfn.STDEV.S(IF((OutputTable[GroupByKey]=OutputTable[[#This Row],[GroupByKey]]),(OutputTable[GroupByKey]=OutputTable[[#This Row],[GroupByKey]])*OutputTable[RecordedValue])),0)</f>
        <v>47.488176831454687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79" cm="1">
        <f t="array" ref="O79">MIN(IF((OutputTable[GroupByKey]=OutputTable[[#This Row],[GroupByKey]]),(OutputTable[GroupByKey]=OutputTable[[#This Row],[GroupByKey]])*OutputTable[RecordedValue]))</f>
        <v>2171</v>
      </c>
      <c r="P79" cm="1">
        <f t="array" ref="P79">MAX(IF((OutputTable[GroupByKey]=OutputTable[[#This Row],[GroupByKey]]),(OutputTable[GroupByKey]=OutputTable[[#This Row],[GroupByKey]])*OutputTable[RecordedValue]))</f>
        <v>2386</v>
      </c>
    </row>
    <row r="80" spans="1:16" x14ac:dyDescent="0.25">
      <c r="A80" t="s">
        <v>68</v>
      </c>
      <c r="B80" t="s">
        <v>131</v>
      </c>
      <c r="C80">
        <v>5</v>
      </c>
      <c r="D80" t="s">
        <v>118</v>
      </c>
      <c r="E80" t="s">
        <v>107</v>
      </c>
      <c r="F80" t="s">
        <v>119</v>
      </c>
      <c r="G80">
        <v>2336</v>
      </c>
      <c r="H80">
        <v>0</v>
      </c>
      <c r="I80" t="str">
        <f>OutputTable[[#This Row],[ProjectName]]&amp;OutputTable[[#This Row],[Name]]&amp;OutputTable[[#This Row],[Type]]&amp;OutputTable[[#This Row],[Source]]</f>
        <v>PacientesSystem.NumberOutNumber OutSystem</v>
      </c>
      <c r="J80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cm="1">
        <f t="array" ref="K80">IFERROR(AVERAGE(IF((OutputTable[GroupByKey]=OutputTable[[#This Row],[GroupByKey]]),(OutputTable[GroupByKey]=OutputTable[[#This Row],[GroupByKey]])*OutputTable[RecordedValue])),0)</f>
        <v>2400.2800000000002</v>
      </c>
      <c r="L80" cm="1">
        <f t="array" ref="L80">IFERROR(_xlfn.STDEV.S(IF((OutputTable[GroupByKey]=OutputTable[[#This Row],[GroupByKey]]),(OutputTable[GroupByKey]=OutputTable[[#This Row],[GroupByKey]])*OutputTable[RecordedValue])),0)</f>
        <v>46.409024456676619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0" cm="1">
        <f t="array" ref="O80">MIN(IF((OutputTable[GroupByKey]=OutputTable[[#This Row],[GroupByKey]]),(OutputTable[GroupByKey]=OutputTable[[#This Row],[GroupByKey]])*OutputTable[RecordedValue]))</f>
        <v>2305</v>
      </c>
      <c r="P80" cm="1">
        <f t="array" ref="P80">MAX(IF((OutputTable[GroupByKey]=OutputTable[[#This Row],[GroupByKey]]),(OutputTable[GroupByKey]=OutputTable[[#This Row],[GroupByKey]])*OutputTable[RecordedValue]))</f>
        <v>2504</v>
      </c>
    </row>
    <row r="81" spans="1:16" x14ac:dyDescent="0.25">
      <c r="A81" t="s">
        <v>68</v>
      </c>
      <c r="B81" t="s">
        <v>131</v>
      </c>
      <c r="C81">
        <v>5</v>
      </c>
      <c r="D81" t="s">
        <v>120</v>
      </c>
      <c r="E81" t="s">
        <v>121</v>
      </c>
      <c r="F81" t="s">
        <v>99</v>
      </c>
      <c r="G81">
        <v>2338</v>
      </c>
      <c r="H81">
        <v>0</v>
      </c>
      <c r="I81" t="str">
        <f>OutputTable[[#This Row],[ProjectName]]&amp;OutputTable[[#This Row],[Name]]&amp;OutputTable[[#This Row],[Type]]&amp;OutputTable[[#This Row],[Source]]</f>
        <v>PacientesrCamas.NumberSeizedTotal Number SeizedResource</v>
      </c>
      <c r="J81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cm="1">
        <f t="array" ref="K81">IFERROR(AVERAGE(IF((OutputTable[GroupByKey]=OutputTable[[#This Row],[GroupByKey]]),(OutputTable[GroupByKey]=OutputTable[[#This Row],[GroupByKey]])*OutputTable[RecordedValue])),0)</f>
        <v>2401.9</v>
      </c>
      <c r="L81" cm="1">
        <f t="array" ref="L81">IFERROR(_xlfn.STDEV.S(IF((OutputTable[GroupByKey]=OutputTable[[#This Row],[GroupByKey]]),(OutputTable[GroupByKey]=OutputTable[[#This Row],[GroupByKey]])*OutputTable[RecordedValue])),0)</f>
        <v>46.417031532903209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81" cm="1">
        <f t="array" ref="O81">MIN(IF((OutputTable[GroupByKey]=OutputTable[[#This Row],[GroupByKey]]),(OutputTable[GroupByKey]=OutputTable[[#This Row],[GroupByKey]])*OutputTable[RecordedValue]))</f>
        <v>2306</v>
      </c>
      <c r="P81" cm="1">
        <f t="array" ref="P81">MAX(IF((OutputTable[GroupByKey]=OutputTable[[#This Row],[GroupByKey]]),(OutputTable[GroupByKey]=OutputTable[[#This Row],[GroupByKey]])*OutputTable[RecordedValue]))</f>
        <v>2506</v>
      </c>
    </row>
    <row r="82" spans="1:16" x14ac:dyDescent="0.25">
      <c r="A82" t="s">
        <v>68</v>
      </c>
      <c r="B82" t="s">
        <v>131</v>
      </c>
      <c r="C82">
        <v>5</v>
      </c>
      <c r="D82" t="s">
        <v>122</v>
      </c>
      <c r="E82" t="s">
        <v>123</v>
      </c>
      <c r="F82" t="s">
        <v>99</v>
      </c>
      <c r="G82">
        <v>0.52571085737109402</v>
      </c>
      <c r="H82">
        <v>0</v>
      </c>
      <c r="I82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82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cm="1">
        <f t="array" ref="K82">IFERROR(AVERAGE(IF((OutputTable[GroupByKey]=OutputTable[[#This Row],[GroupByKey]]),(OutputTable[GroupByKey]=OutputTable[[#This Row],[GroupByKey]])*OutputTable[RecordedValue])),0)</f>
        <v>0.54703961359050601</v>
      </c>
      <c r="L82" cm="1">
        <f t="array" ref="L82">IFERROR(_xlfn.STDEV.S(IF((OutputTable[GroupByKey]=OutputTable[[#This Row],[GroupByKey]]),(OutputTable[GroupByKey]=OutputTable[[#This Row],[GroupByKey]])*OutputTable[RecordedValue])),0)</f>
        <v>1.0221170008030479E-2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82" cm="1">
        <f t="array" ref="O82">MIN(IF((OutputTable[GroupByKey]=OutputTable[[#This Row],[GroupByKey]]),(OutputTable[GroupByKey]=OutputTable[[#This Row],[GroupByKey]])*OutputTable[RecordedValue]))</f>
        <v>0.52470641844357901</v>
      </c>
      <c r="P82" cm="1">
        <f t="array" ref="P82">MAX(IF((OutputTable[GroupByKey]=OutputTable[[#This Row],[GroupByKey]]),(OutputTable[GroupByKey]=OutputTable[[#This Row],[GroupByKey]])*OutputTable[RecordedValue]))</f>
        <v>0.57005812966092295</v>
      </c>
    </row>
    <row r="83" spans="1:16" x14ac:dyDescent="0.25">
      <c r="A83" t="s">
        <v>68</v>
      </c>
      <c r="B83" t="s">
        <v>131</v>
      </c>
      <c r="C83">
        <v>5</v>
      </c>
      <c r="D83" t="s">
        <v>124</v>
      </c>
      <c r="E83" t="s">
        <v>121</v>
      </c>
      <c r="F83" t="s">
        <v>99</v>
      </c>
      <c r="G83">
        <v>2338</v>
      </c>
      <c r="H83">
        <v>0</v>
      </c>
      <c r="I83" t="str">
        <f>OutputTable[[#This Row],[ProjectName]]&amp;OutputTable[[#This Row],[Name]]&amp;OutputTable[[#This Row],[Type]]&amp;OutputTable[[#This Row],[Source]]</f>
        <v>PacientesrMedico.NumberSeizedTotal Number SeizedResource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cm="1">
        <f t="array" ref="K83">IFERROR(AVERAGE(IF((OutputTable[GroupByKey]=OutputTable[[#This Row],[GroupByKey]]),(OutputTable[GroupByKey]=OutputTable[[#This Row],[GroupByKey]])*OutputTable[RecordedValue])),0)</f>
        <v>2401.9</v>
      </c>
      <c r="L83" cm="1">
        <f t="array" ref="L83">IFERROR(_xlfn.STDEV.S(IF((OutputTable[GroupByKey]=OutputTable[[#This Row],[GroupByKey]]),(OutputTable[GroupByKey]=OutputTable[[#This Row],[GroupByKey]])*OutputTable[RecordedValue])),0)</f>
        <v>46.417031532903209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83" cm="1">
        <f t="array" ref="O83">MIN(IF((OutputTable[GroupByKey]=OutputTable[[#This Row],[GroupByKey]]),(OutputTable[GroupByKey]=OutputTable[[#This Row],[GroupByKey]])*OutputTable[RecordedValue]))</f>
        <v>2306</v>
      </c>
      <c r="P83" cm="1">
        <f t="array" ref="P83">MAX(IF((OutputTable[GroupByKey]=OutputTable[[#This Row],[GroupByKey]]),(OutputTable[GroupByKey]=OutputTable[[#This Row],[GroupByKey]])*OutputTable[RecordedValue]))</f>
        <v>2506</v>
      </c>
    </row>
    <row r="84" spans="1:16" x14ac:dyDescent="0.25">
      <c r="A84" t="s">
        <v>68</v>
      </c>
      <c r="B84" t="s">
        <v>131</v>
      </c>
      <c r="C84">
        <v>5</v>
      </c>
      <c r="D84" t="s">
        <v>125</v>
      </c>
      <c r="E84" t="s">
        <v>123</v>
      </c>
      <c r="F84" t="s">
        <v>99</v>
      </c>
      <c r="G84">
        <v>0.78856628605664203</v>
      </c>
      <c r="H84">
        <v>0</v>
      </c>
      <c r="I84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cm="1">
        <f t="array" ref="K84">IFERROR(AVERAGE(IF((OutputTable[GroupByKey]=OutputTable[[#This Row],[GroupByKey]]),(OutputTable[GroupByKey]=OutputTable[[#This Row],[GroupByKey]])*OutputTable[RecordedValue])),0)</f>
        <v>0.82055942038575935</v>
      </c>
      <c r="L84" cm="1">
        <f t="array" ref="L84">IFERROR(_xlfn.STDEV.S(IF((OutputTable[GroupByKey]=OutputTable[[#This Row],[GroupByKey]]),(OutputTable[GroupByKey]=OutputTable[[#This Row],[GroupByKey]])*OutputTable[RecordedValue])),0)</f>
        <v>1.5331755012045719E-2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84" cm="1">
        <f t="array" ref="O84">MIN(IF((OutputTable[GroupByKey]=OutputTable[[#This Row],[GroupByKey]]),(OutputTable[GroupByKey]=OutputTable[[#This Row],[GroupByKey]])*OutputTable[RecordedValue]))</f>
        <v>0.78705962766536897</v>
      </c>
      <c r="P84" cm="1">
        <f t="array" ref="P84">MAX(IF((OutputTable[GroupByKey]=OutputTable[[#This Row],[GroupByKey]]),(OutputTable[GroupByKey]=OutputTable[[#This Row],[GroupByKey]])*OutputTable[RecordedValue]))</f>
        <v>0.85508719449138504</v>
      </c>
    </row>
    <row r="85" spans="1:16" x14ac:dyDescent="0.25">
      <c r="A85" t="s">
        <v>68</v>
      </c>
      <c r="B85" t="s">
        <v>131</v>
      </c>
      <c r="C85">
        <v>5</v>
      </c>
      <c r="D85" t="s">
        <v>126</v>
      </c>
      <c r="E85" t="s">
        <v>121</v>
      </c>
      <c r="F85" t="s">
        <v>99</v>
      </c>
      <c r="G85">
        <v>2201</v>
      </c>
      <c r="H85">
        <v>0</v>
      </c>
      <c r="I85" t="str">
        <f>OutputTable[[#This Row],[ProjectName]]&amp;OutputTable[[#This Row],[Name]]&amp;OutputTable[[#This Row],[Type]]&amp;OutputTable[[#This Row],[Source]]</f>
        <v>PacientesrRegistradora.NumberSeizedTotal Number SeizedResource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cm="1">
        <f t="array" ref="K85">IFERROR(AVERAGE(IF((OutputTable[GroupByKey]=OutputTable[[#This Row],[GroupByKey]]),(OutputTable[GroupByKey]=OutputTable[[#This Row],[GroupByKey]])*OutputTable[RecordedValue])),0)</f>
        <v>2263.14</v>
      </c>
      <c r="L85" cm="1">
        <f t="array" ref="L85">IFERROR(_xlfn.STDEV.S(IF((OutputTable[GroupByKey]=OutputTable[[#This Row],[GroupByKey]]),(OutputTable[GroupByKey]=OutputTable[[#This Row],[GroupByKey]])*OutputTable[RecordedValue])),0)</f>
        <v>47.386818971575821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85" cm="1">
        <f t="array" ref="O85">MIN(IF((OutputTable[GroupByKey]=OutputTable[[#This Row],[GroupByKey]]),(OutputTable[GroupByKey]=OutputTable[[#This Row],[GroupByKey]])*OutputTable[RecordedValue]))</f>
        <v>2172</v>
      </c>
      <c r="P85" cm="1">
        <f t="array" ref="P85">MAX(IF((OutputTable[GroupByKey]=OutputTable[[#This Row],[GroupByKey]]),(OutputTable[GroupByKey]=OutputTable[[#This Row],[GroupByKey]])*OutputTable[RecordedValue]))</f>
        <v>2386</v>
      </c>
    </row>
    <row r="86" spans="1:16" x14ac:dyDescent="0.25">
      <c r="A86" t="s">
        <v>68</v>
      </c>
      <c r="B86" t="s">
        <v>131</v>
      </c>
      <c r="C86">
        <v>5</v>
      </c>
      <c r="D86" t="s">
        <v>127</v>
      </c>
      <c r="E86" t="s">
        <v>123</v>
      </c>
      <c r="F86" t="s">
        <v>99</v>
      </c>
      <c r="G86">
        <v>0.457294673026444</v>
      </c>
      <c r="H86">
        <v>0</v>
      </c>
      <c r="I86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86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cm="1">
        <f t="array" ref="K86">IFERROR(AVERAGE(IF((OutputTable[GroupByKey]=OutputTable[[#This Row],[GroupByKey]]),(OutputTable[GroupByKey]=OutputTable[[#This Row],[GroupByKey]])*OutputTable[RecordedValue])),0)</f>
        <v>0.47162762933545666</v>
      </c>
      <c r="L86" cm="1">
        <f t="array" ref="L86">IFERROR(_xlfn.STDEV.S(IF((OutputTable[GroupByKey]=OutputTable[[#This Row],[GroupByKey]]),(OutputTable[GroupByKey]=OutputTable[[#This Row],[GroupByKey]])*OutputTable[RecordedValue])),0)</f>
        <v>9.6615227076777797E-3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86" cm="1">
        <f t="array" ref="O86">MIN(IF((OutputTable[GroupByKey]=OutputTable[[#This Row],[GroupByKey]]),(OutputTable[GroupByKey]=OutputTable[[#This Row],[GroupByKey]])*OutputTable[RecordedValue]))</f>
        <v>0.452397944183905</v>
      </c>
      <c r="P86" cm="1">
        <f t="array" ref="P86">MAX(IF((OutputTable[GroupByKey]=OutputTable[[#This Row],[GroupByKey]]),(OutputTable[GroupByKey]=OutputTable[[#This Row],[GroupByKey]])*OutputTable[RecordedValue]))</f>
        <v>0.49691123629694001</v>
      </c>
    </row>
    <row r="87" spans="1:16" x14ac:dyDescent="0.25">
      <c r="A87" t="s">
        <v>68</v>
      </c>
      <c r="B87" t="s">
        <v>131</v>
      </c>
      <c r="C87">
        <v>6</v>
      </c>
      <c r="D87" t="s">
        <v>104</v>
      </c>
      <c r="E87" t="s">
        <v>105</v>
      </c>
      <c r="F87" t="s">
        <v>72</v>
      </c>
      <c r="G87">
        <v>2518</v>
      </c>
      <c r="H87">
        <v>0</v>
      </c>
      <c r="I87" t="str">
        <f>OutputTable[[#This Row],[ProjectName]]&amp;OutputTable[[#This Row],[Name]]&amp;OutputTable[[#This Row],[Type]]&amp;OutputTable[[#This Row],[Source]]</f>
        <v>PacientesEntity 1.NumberInNumber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cm="1">
        <f t="array" ref="K87">IFERROR(AVERAGE(IF((OutputTable[GroupByKey]=OutputTable[[#This Row],[GroupByKey]]),(OutputTable[GroupByKey]=OutputTable[[#This Row],[GroupByKey]])*OutputTable[RecordedValue])),0)</f>
        <v>2404.8200000000002</v>
      </c>
      <c r="L87" cm="1">
        <f t="array" ref="L87">IFERROR(_xlfn.STDEV.S(IF((OutputTable[GroupByKey]=OutputTable[[#This Row],[GroupByKey]]),(OutputTable[GroupByKey]=OutputTable[[#This Row],[GroupByKey]])*OutputTable[RecordedValue])),0)</f>
        <v>46.42953405595474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87" cm="1">
        <f t="array" ref="O87">MIN(IF((OutputTable[GroupByKey]=OutputTable[[#This Row],[GroupByKey]]),(OutputTable[GroupByKey]=OutputTable[[#This Row],[GroupByKey]])*OutputTable[RecordedValue]))</f>
        <v>2307</v>
      </c>
      <c r="P87" cm="1">
        <f t="array" ref="P87">MAX(IF((OutputTable[GroupByKey]=OutputTable[[#This Row],[GroupByKey]]),(OutputTable[GroupByKey]=OutputTable[[#This Row],[GroupByKey]])*OutputTable[RecordedValue]))</f>
        <v>2518</v>
      </c>
    </row>
    <row r="88" spans="1:16" x14ac:dyDescent="0.25">
      <c r="A88" t="s">
        <v>68</v>
      </c>
      <c r="B88" t="s">
        <v>131</v>
      </c>
      <c r="C88">
        <v>6</v>
      </c>
      <c r="D88" t="s">
        <v>106</v>
      </c>
      <c r="E88" t="s">
        <v>107</v>
      </c>
      <c r="F88" t="s">
        <v>72</v>
      </c>
      <c r="G88">
        <v>2504</v>
      </c>
      <c r="H88">
        <v>0</v>
      </c>
      <c r="I88" t="str">
        <f>OutputTable[[#This Row],[ProjectName]]&amp;OutputTable[[#This Row],[Name]]&amp;OutputTable[[#This Row],[Type]]&amp;OutputTable[[#This Row],[Source]]</f>
        <v>PacientesEntity 1.NumberOutNumber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cm="1">
        <f t="array" ref="K88">IFERROR(AVERAGE(IF((OutputTable[GroupByKey]=OutputTable[[#This Row],[GroupByKey]]),(OutputTable[GroupByKey]=OutputTable[[#This Row],[GroupByKey]])*OutputTable[RecordedValue])),0)</f>
        <v>2400.2800000000002</v>
      </c>
      <c r="L88" cm="1">
        <f t="array" ref="L88">IFERROR(_xlfn.STDEV.S(IF((OutputTable[GroupByKey]=OutputTable[[#This Row],[GroupByKey]]),(OutputTable[GroupByKey]=OutputTable[[#This Row],[GroupByKey]])*OutputTable[RecordedValue])),0)</f>
        <v>46.409024456676619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8" cm="1">
        <f t="array" ref="O88">MIN(IF((OutputTable[GroupByKey]=OutputTable[[#This Row],[GroupByKey]]),(OutputTable[GroupByKey]=OutputTable[[#This Row],[GroupByKey]])*OutputTable[RecordedValue]))</f>
        <v>2305</v>
      </c>
      <c r="P88" cm="1">
        <f t="array" ref="P88">MAX(IF((OutputTable[GroupByKey]=OutputTable[[#This Row],[GroupByKey]]),(OutputTable[GroupByKey]=OutputTable[[#This Row],[GroupByKey]])*OutputTable[RecordedValue]))</f>
        <v>2504</v>
      </c>
    </row>
    <row r="89" spans="1:16" x14ac:dyDescent="0.25">
      <c r="A89" t="s">
        <v>68</v>
      </c>
      <c r="B89" t="s">
        <v>131</v>
      </c>
      <c r="C89">
        <v>6</v>
      </c>
      <c r="D89" t="s">
        <v>108</v>
      </c>
      <c r="E89" t="s">
        <v>109</v>
      </c>
      <c r="F89" t="s">
        <v>80</v>
      </c>
      <c r="G89">
        <v>1222.9822046335</v>
      </c>
      <c r="H89">
        <v>0</v>
      </c>
      <c r="I89" t="str">
        <f>OutputTable[[#This Row],[ProjectName]]&amp;OutputTable[[#This Row],[Name]]&amp;OutputTable[[#This Row],[Type]]&amp;OutputTable[[#This Row],[Source]]</f>
        <v>PacientesProcess 2 Accum VA TimeAccum VA TimeProcess</v>
      </c>
      <c r="J89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cm="1">
        <f t="array" ref="K89">IFERROR(AVERAGE(IF((OutputTable[GroupByKey]=OutputTable[[#This Row],[GroupByKey]]),(OutputTable[GroupByKey]=OutputTable[[#This Row],[GroupByKey]])*OutputTable[RecordedValue])),0)</f>
        <v>1181.1234936767919</v>
      </c>
      <c r="L89" cm="1">
        <f t="array" ref="L89">IFERROR(_xlfn.STDEV.S(IF((OutputTable[GroupByKey]=OutputTable[[#This Row],[GroupByKey]]),(OutputTable[GroupByKey]=OutputTable[[#This Row],[GroupByKey]])*OutputTable[RecordedValue])),0)</f>
        <v>22.169313666927575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89" cm="1">
        <f t="array" ref="O89">MIN(IF((OutputTable[GroupByKey]=OutputTable[[#This Row],[GroupByKey]]),(OutputTable[GroupByKey]=OutputTable[[#This Row],[GroupByKey]])*OutputTable[RecordedValue]))</f>
        <v>1133.24622318414</v>
      </c>
      <c r="P89" cm="1">
        <f t="array" ref="P89">MAX(IF((OutputTable[GroupByKey]=OutputTable[[#This Row],[GroupByKey]]),(OutputTable[GroupByKey]=OutputTable[[#This Row],[GroupByKey]])*OutputTable[RecordedValue]))</f>
        <v>1230.9493287309799</v>
      </c>
    </row>
    <row r="90" spans="1:16" x14ac:dyDescent="0.25">
      <c r="A90" t="s">
        <v>68</v>
      </c>
      <c r="B90" t="s">
        <v>131</v>
      </c>
      <c r="C90">
        <v>6</v>
      </c>
      <c r="D90" t="s">
        <v>110</v>
      </c>
      <c r="E90" t="s">
        <v>111</v>
      </c>
      <c r="F90" t="s">
        <v>80</v>
      </c>
      <c r="G90">
        <v>2137.3653148602998</v>
      </c>
      <c r="H90">
        <v>0</v>
      </c>
      <c r="I90" t="str">
        <f>OutputTable[[#This Row],[ProjectName]]&amp;OutputTable[[#This Row],[Name]]&amp;OutputTable[[#This Row],[Type]]&amp;OutputTable[[#This Row],[Source]]</f>
        <v>PacientesProcess 2 Accum Wait TimeAccum Wait TimeProcess</v>
      </c>
      <c r="J90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cm="1">
        <f t="array" ref="K90">IFERROR(AVERAGE(IF((OutputTable[GroupByKey]=OutputTable[[#This Row],[GroupByKey]]),(OutputTable[GroupByKey]=OutputTable[[#This Row],[GroupByKey]])*OutputTable[RecordedValue])),0)</f>
        <v>1938.7515507466894</v>
      </c>
      <c r="L90" cm="1">
        <f t="array" ref="L90">IFERROR(_xlfn.STDEV.S(IF((OutputTable[GroupByKey]=OutputTable[[#This Row],[GroupByKey]]),(OutputTable[GroupByKey]=OutputTable[[#This Row],[GroupByKey]])*OutputTable[RecordedValue])),0)</f>
        <v>534.03396241838232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90" cm="1">
        <f t="array" ref="O90">MIN(IF((OutputTable[GroupByKey]=OutputTable[[#This Row],[GroupByKey]]),(OutputTable[GroupByKey]=OutputTable[[#This Row],[GroupByKey]])*OutputTable[RecordedValue]))</f>
        <v>1234.7567994731401</v>
      </c>
      <c r="P90" cm="1">
        <f t="array" ref="P90">MAX(IF((OutputTable[GroupByKey]=OutputTable[[#This Row],[GroupByKey]]),(OutputTable[GroupByKey]=OutputTable[[#This Row],[GroupByKey]])*OutputTable[RecordedValue]))</f>
        <v>3269.0858002883801</v>
      </c>
    </row>
    <row r="91" spans="1:16" x14ac:dyDescent="0.25">
      <c r="A91" t="s">
        <v>68</v>
      </c>
      <c r="B91" t="s">
        <v>131</v>
      </c>
      <c r="C91">
        <v>6</v>
      </c>
      <c r="D91" t="s">
        <v>112</v>
      </c>
      <c r="E91" t="s">
        <v>105</v>
      </c>
      <c r="F91" t="s">
        <v>80</v>
      </c>
      <c r="G91">
        <v>2518</v>
      </c>
      <c r="H91">
        <v>0</v>
      </c>
      <c r="I91" t="str">
        <f>OutputTable[[#This Row],[ProjectName]]&amp;OutputTable[[#This Row],[Name]]&amp;OutputTable[[#This Row],[Type]]&amp;OutputTable[[#This Row],[Source]]</f>
        <v>PacientesProcess 2 Number InNumber InProcess</v>
      </c>
      <c r="J91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cm="1">
        <f t="array" ref="K91">IFERROR(AVERAGE(IF((OutputTable[GroupByKey]=OutputTable[[#This Row],[GroupByKey]]),(OutputTable[GroupByKey]=OutputTable[[#This Row],[GroupByKey]])*OutputTable[RecordedValue])),0)</f>
        <v>2404.2399999999998</v>
      </c>
      <c r="L91" cm="1">
        <f t="array" ref="L91">IFERROR(_xlfn.STDEV.S(IF((OutputTable[GroupByKey]=OutputTable[[#This Row],[GroupByKey]]),(OutputTable[GroupByKey]=OutputTable[[#This Row],[GroupByKey]])*OutputTable[RecordedValue])),0)</f>
        <v>46.574303154053879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91" cm="1">
        <f t="array" ref="O91">MIN(IF((OutputTable[GroupByKey]=OutputTable[[#This Row],[GroupByKey]]),(OutputTable[GroupByKey]=OutputTable[[#This Row],[GroupByKey]])*OutputTable[RecordedValue]))</f>
        <v>2306</v>
      </c>
      <c r="P91" cm="1">
        <f t="array" ref="P91">MAX(IF((OutputTable[GroupByKey]=OutputTable[[#This Row],[GroupByKey]]),(OutputTable[GroupByKey]=OutputTable[[#This Row],[GroupByKey]])*OutputTable[RecordedValue]))</f>
        <v>2518</v>
      </c>
    </row>
    <row r="92" spans="1:16" x14ac:dyDescent="0.25">
      <c r="A92" t="s">
        <v>68</v>
      </c>
      <c r="B92" t="s">
        <v>131</v>
      </c>
      <c r="C92">
        <v>6</v>
      </c>
      <c r="D92" t="s">
        <v>113</v>
      </c>
      <c r="E92" t="s">
        <v>107</v>
      </c>
      <c r="F92" t="s">
        <v>80</v>
      </c>
      <c r="G92">
        <v>2504</v>
      </c>
      <c r="H92">
        <v>0</v>
      </c>
      <c r="I92" t="str">
        <f>OutputTable[[#This Row],[ProjectName]]&amp;OutputTable[[#This Row],[Name]]&amp;OutputTable[[#This Row],[Type]]&amp;OutputTable[[#This Row],[Source]]</f>
        <v>PacientesProcess 2 Number OutNumber OutProcess</v>
      </c>
      <c r="J92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cm="1">
        <f t="array" ref="K92">IFERROR(AVERAGE(IF((OutputTable[GroupByKey]=OutputTable[[#This Row],[GroupByKey]]),(OutputTable[GroupByKey]=OutputTable[[#This Row],[GroupByKey]])*OutputTable[RecordedValue])),0)</f>
        <v>2400.2800000000002</v>
      </c>
      <c r="L92" cm="1">
        <f t="array" ref="L92">IFERROR(_xlfn.STDEV.S(IF((OutputTable[GroupByKey]=OutputTable[[#This Row],[GroupByKey]]),(OutputTable[GroupByKey]=OutputTable[[#This Row],[GroupByKey]])*OutputTable[RecordedValue])),0)</f>
        <v>46.409024456676619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92" cm="1">
        <f t="array" ref="O92">MIN(IF((OutputTable[GroupByKey]=OutputTable[[#This Row],[GroupByKey]]),(OutputTable[GroupByKey]=OutputTable[[#This Row],[GroupByKey]])*OutputTable[RecordedValue]))</f>
        <v>2305</v>
      </c>
      <c r="P92" cm="1">
        <f t="array" ref="P92">MAX(IF((OutputTable[GroupByKey]=OutputTable[[#This Row],[GroupByKey]]),(OutputTable[GroupByKey]=OutputTable[[#This Row],[GroupByKey]])*OutputTable[RecordedValue]))</f>
        <v>2504</v>
      </c>
    </row>
    <row r="93" spans="1:16" x14ac:dyDescent="0.25">
      <c r="A93" t="s">
        <v>68</v>
      </c>
      <c r="B93" t="s">
        <v>131</v>
      </c>
      <c r="C93">
        <v>6</v>
      </c>
      <c r="D93" t="s">
        <v>114</v>
      </c>
      <c r="E93" t="s">
        <v>109</v>
      </c>
      <c r="F93" t="s">
        <v>80</v>
      </c>
      <c r="G93">
        <v>357.77609013379703</v>
      </c>
      <c r="H93">
        <v>0</v>
      </c>
      <c r="I93" t="str">
        <f>OutputTable[[#This Row],[ProjectName]]&amp;OutputTable[[#This Row],[Name]]&amp;OutputTable[[#This Row],[Type]]&amp;OutputTable[[#This Row],[Source]]</f>
        <v>PacientesRegistro Accum VA TimeAccum VA TimeProcess</v>
      </c>
      <c r="J93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cm="1">
        <f t="array" ref="K93">IFERROR(AVERAGE(IF((OutputTable[GroupByKey]=OutputTable[[#This Row],[GroupByKey]]),(OutputTable[GroupByKey]=OutputTable[[#This Row],[GroupByKey]])*OutputTable[RecordedValue])),0)</f>
        <v>339.53547737062786</v>
      </c>
      <c r="L93" cm="1">
        <f t="array" ref="L93">IFERROR(_xlfn.STDEV.S(IF((OutputTable[GroupByKey]=OutputTable[[#This Row],[GroupByKey]]),(OutputTable[GroupByKey]=OutputTable[[#This Row],[GroupByKey]])*OutputTable[RecordedValue])),0)</f>
        <v>6.9723666109353193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93" cm="1">
        <f t="array" ref="O93">MIN(IF((OutputTable[GroupByKey]=OutputTable[[#This Row],[GroupByKey]]),(OutputTable[GroupByKey]=OutputTable[[#This Row],[GroupByKey]])*OutputTable[RecordedValue]))</f>
        <v>325.606879158418</v>
      </c>
      <c r="P93" cm="1">
        <f t="array" ref="P93">MAX(IF((OutputTable[GroupByKey]=OutputTable[[#This Row],[GroupByKey]]),(OutputTable[GroupByKey]=OutputTable[[#This Row],[GroupByKey]])*OutputTable[RecordedValue]))</f>
        <v>357.77609013379703</v>
      </c>
    </row>
    <row r="94" spans="1:16" x14ac:dyDescent="0.25">
      <c r="A94" t="s">
        <v>68</v>
      </c>
      <c r="B94" t="s">
        <v>131</v>
      </c>
      <c r="C94">
        <v>6</v>
      </c>
      <c r="D94" t="s">
        <v>115</v>
      </c>
      <c r="E94" t="s">
        <v>111</v>
      </c>
      <c r="F94" t="s">
        <v>80</v>
      </c>
      <c r="G94">
        <v>178.441307284473</v>
      </c>
      <c r="H94">
        <v>0</v>
      </c>
      <c r="I94" t="str">
        <f>OutputTable[[#This Row],[ProjectName]]&amp;OutputTable[[#This Row],[Name]]&amp;OutputTable[[#This Row],[Type]]&amp;OutputTable[[#This Row],[Source]]</f>
        <v>PacientesRegistro Accum Wait TimeAccum Wait TimeProcess</v>
      </c>
      <c r="J94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cm="1">
        <f t="array" ref="K94">IFERROR(AVERAGE(IF((OutputTable[GroupByKey]=OutputTable[[#This Row],[GroupByKey]]),(OutputTable[GroupByKey]=OutputTable[[#This Row],[GroupByKey]])*OutputTable[RecordedValue])),0)</f>
        <v>154.15303898127775</v>
      </c>
      <c r="L94" cm="1">
        <f t="array" ref="L94">IFERROR(_xlfn.STDEV.S(IF((OutputTable[GroupByKey]=OutputTable[[#This Row],[GroupByKey]]),(OutputTable[GroupByKey]=OutputTable[[#This Row],[GroupByKey]])*OutputTable[RecordedValue])),0)</f>
        <v>12.141439184615397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94" cm="1">
        <f t="array" ref="O94">MIN(IF((OutputTable[GroupByKey]=OutputTable[[#This Row],[GroupByKey]]),(OutputTable[GroupByKey]=OutputTable[[#This Row],[GroupByKey]])*OutputTable[RecordedValue]))</f>
        <v>123.901613974094</v>
      </c>
      <c r="P94" cm="1">
        <f t="array" ref="P94">MAX(IF((OutputTable[GroupByKey]=OutputTable[[#This Row],[GroupByKey]]),(OutputTable[GroupByKey]=OutputTable[[#This Row],[GroupByKey]])*OutputTable[RecordedValue]))</f>
        <v>178.441307284473</v>
      </c>
    </row>
    <row r="95" spans="1:16" x14ac:dyDescent="0.25">
      <c r="A95" t="s">
        <v>68</v>
      </c>
      <c r="B95" t="s">
        <v>131</v>
      </c>
      <c r="C95">
        <v>6</v>
      </c>
      <c r="D95" t="s">
        <v>116</v>
      </c>
      <c r="E95" t="s">
        <v>105</v>
      </c>
      <c r="F95" t="s">
        <v>80</v>
      </c>
      <c r="G95">
        <v>2386</v>
      </c>
      <c r="H95">
        <v>0</v>
      </c>
      <c r="I95" t="str">
        <f>OutputTable[[#This Row],[ProjectName]]&amp;OutputTable[[#This Row],[Name]]&amp;OutputTable[[#This Row],[Type]]&amp;OutputTable[[#This Row],[Source]]</f>
        <v>PacientesRegistro Number InNumber InProcess</v>
      </c>
      <c r="J9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cm="1">
        <f t="array" ref="K95">IFERROR(AVERAGE(IF((OutputTable[GroupByKey]=OutputTable[[#This Row],[GroupByKey]]),(OutputTable[GroupByKey]=OutputTable[[#This Row],[GroupByKey]])*OutputTable[RecordedValue])),0)</f>
        <v>2263.2399999999998</v>
      </c>
      <c r="L95" cm="1">
        <f t="array" ref="L95">IFERROR(_xlfn.STDEV.S(IF((OutputTable[GroupByKey]=OutputTable[[#This Row],[GroupByKey]]),(OutputTable[GroupByKey]=OutputTable[[#This Row],[GroupByKey]])*OutputTable[RecordedValue])),0)</f>
        <v>47.331035682472766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95" cm="1">
        <f t="array" ref="O95">MIN(IF((OutputTable[GroupByKey]=OutputTable[[#This Row],[GroupByKey]]),(OutputTable[GroupByKey]=OutputTable[[#This Row],[GroupByKey]])*OutputTable[RecordedValue]))</f>
        <v>2172</v>
      </c>
      <c r="P95" cm="1">
        <f t="array" ref="P95">MAX(IF((OutputTable[GroupByKey]=OutputTable[[#This Row],[GroupByKey]]),(OutputTable[GroupByKey]=OutputTable[[#This Row],[GroupByKey]])*OutputTable[RecordedValue]))</f>
        <v>2386</v>
      </c>
    </row>
    <row r="96" spans="1:16" x14ac:dyDescent="0.25">
      <c r="A96" t="s">
        <v>68</v>
      </c>
      <c r="B96" t="s">
        <v>131</v>
      </c>
      <c r="C96">
        <v>6</v>
      </c>
      <c r="D96" t="s">
        <v>117</v>
      </c>
      <c r="E96" t="s">
        <v>107</v>
      </c>
      <c r="F96" t="s">
        <v>80</v>
      </c>
      <c r="G96">
        <v>2386</v>
      </c>
      <c r="H96">
        <v>0</v>
      </c>
      <c r="I96" t="str">
        <f>OutputTable[[#This Row],[ProjectName]]&amp;OutputTable[[#This Row],[Name]]&amp;OutputTable[[#This Row],[Type]]&amp;OutputTable[[#This Row],[Source]]</f>
        <v>PacientesRegistro Number OutNumber OutProcess</v>
      </c>
      <c r="J96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cm="1">
        <f t="array" ref="K96">IFERROR(AVERAGE(IF((OutputTable[GroupByKey]=OutputTable[[#This Row],[GroupByKey]]),(OutputTable[GroupByKey]=OutputTable[[#This Row],[GroupByKey]])*OutputTable[RecordedValue])),0)</f>
        <v>2262.66</v>
      </c>
      <c r="L96" cm="1">
        <f t="array" ref="L96">IFERROR(_xlfn.STDEV.S(IF((OutputTable[GroupByKey]=OutputTable[[#This Row],[GroupByKey]]),(OutputTable[GroupByKey]=OutputTable[[#This Row],[GroupByKey]])*OutputTable[RecordedValue])),0)</f>
        <v>47.488176831454687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96" cm="1">
        <f t="array" ref="O96">MIN(IF((OutputTable[GroupByKey]=OutputTable[[#This Row],[GroupByKey]]),(OutputTable[GroupByKey]=OutputTable[[#This Row],[GroupByKey]])*OutputTable[RecordedValue]))</f>
        <v>2171</v>
      </c>
      <c r="P96" cm="1">
        <f t="array" ref="P96">MAX(IF((OutputTable[GroupByKey]=OutputTable[[#This Row],[GroupByKey]]),(OutputTable[GroupByKey]=OutputTable[[#This Row],[GroupByKey]])*OutputTable[RecordedValue]))</f>
        <v>2386</v>
      </c>
    </row>
    <row r="97" spans="1:16" x14ac:dyDescent="0.25">
      <c r="A97" t="s">
        <v>68</v>
      </c>
      <c r="B97" t="s">
        <v>131</v>
      </c>
      <c r="C97">
        <v>6</v>
      </c>
      <c r="D97" t="s">
        <v>118</v>
      </c>
      <c r="E97" t="s">
        <v>107</v>
      </c>
      <c r="F97" t="s">
        <v>119</v>
      </c>
      <c r="G97">
        <v>2504</v>
      </c>
      <c r="H97">
        <v>0</v>
      </c>
      <c r="I97" t="str">
        <f>OutputTable[[#This Row],[ProjectName]]&amp;OutputTable[[#This Row],[Name]]&amp;OutputTable[[#This Row],[Type]]&amp;OutputTable[[#This Row],[Source]]</f>
        <v>PacientesSystem.NumberOutNumber OutSystem</v>
      </c>
      <c r="J97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cm="1">
        <f t="array" ref="K97">IFERROR(AVERAGE(IF((OutputTable[GroupByKey]=OutputTable[[#This Row],[GroupByKey]]),(OutputTable[GroupByKey]=OutputTable[[#This Row],[GroupByKey]])*OutputTable[RecordedValue])),0)</f>
        <v>2400.2800000000002</v>
      </c>
      <c r="L97" cm="1">
        <f t="array" ref="L97">IFERROR(_xlfn.STDEV.S(IF((OutputTable[GroupByKey]=OutputTable[[#This Row],[GroupByKey]]),(OutputTable[GroupByKey]=OutputTable[[#This Row],[GroupByKey]])*OutputTable[RecordedValue])),0)</f>
        <v>46.409024456676619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97" cm="1">
        <f t="array" ref="O97">MIN(IF((OutputTable[GroupByKey]=OutputTable[[#This Row],[GroupByKey]]),(OutputTable[GroupByKey]=OutputTable[[#This Row],[GroupByKey]])*OutputTable[RecordedValue]))</f>
        <v>2305</v>
      </c>
      <c r="P97" cm="1">
        <f t="array" ref="P97">MAX(IF((OutputTable[GroupByKey]=OutputTable[[#This Row],[GroupByKey]]),(OutputTable[GroupByKey]=OutputTable[[#This Row],[GroupByKey]])*OutputTable[RecordedValue]))</f>
        <v>2504</v>
      </c>
    </row>
    <row r="98" spans="1:16" x14ac:dyDescent="0.25">
      <c r="A98" t="s">
        <v>68</v>
      </c>
      <c r="B98" t="s">
        <v>131</v>
      </c>
      <c r="C98">
        <v>6</v>
      </c>
      <c r="D98" t="s">
        <v>120</v>
      </c>
      <c r="E98" t="s">
        <v>121</v>
      </c>
      <c r="F98" t="s">
        <v>99</v>
      </c>
      <c r="G98">
        <v>2506</v>
      </c>
      <c r="H98">
        <v>0</v>
      </c>
      <c r="I98" t="str">
        <f>OutputTable[[#This Row],[ProjectName]]&amp;OutputTable[[#This Row],[Name]]&amp;OutputTable[[#This Row],[Type]]&amp;OutputTable[[#This Row],[Source]]</f>
        <v>PacientesrCamas.NumberSeizedTotal Number SeizedResource</v>
      </c>
      <c r="J98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cm="1">
        <f t="array" ref="K98">IFERROR(AVERAGE(IF((OutputTable[GroupByKey]=OutputTable[[#This Row],[GroupByKey]]),(OutputTable[GroupByKey]=OutputTable[[#This Row],[GroupByKey]])*OutputTable[RecordedValue])),0)</f>
        <v>2401.9</v>
      </c>
      <c r="L98" cm="1">
        <f t="array" ref="L98">IFERROR(_xlfn.STDEV.S(IF((OutputTable[GroupByKey]=OutputTable[[#This Row],[GroupByKey]]),(OutputTable[GroupByKey]=OutputTable[[#This Row],[GroupByKey]])*OutputTable[RecordedValue])),0)</f>
        <v>46.417031532903209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98" cm="1">
        <f t="array" ref="O98">MIN(IF((OutputTable[GroupByKey]=OutputTable[[#This Row],[GroupByKey]]),(OutputTable[GroupByKey]=OutputTable[[#This Row],[GroupByKey]])*OutputTable[RecordedValue]))</f>
        <v>2306</v>
      </c>
      <c r="P98" cm="1">
        <f t="array" ref="P98">MAX(IF((OutputTable[GroupByKey]=OutputTable[[#This Row],[GroupByKey]]),(OutputTable[GroupByKey]=OutputTable[[#This Row],[GroupByKey]])*OutputTable[RecordedValue]))</f>
        <v>2506</v>
      </c>
    </row>
    <row r="99" spans="1:16" x14ac:dyDescent="0.25">
      <c r="A99" t="s">
        <v>68</v>
      </c>
      <c r="B99" t="s">
        <v>131</v>
      </c>
      <c r="C99">
        <v>6</v>
      </c>
      <c r="D99" t="s">
        <v>122</v>
      </c>
      <c r="E99" t="s">
        <v>123</v>
      </c>
      <c r="F99" t="s">
        <v>99</v>
      </c>
      <c r="G99">
        <v>0.56639333345232001</v>
      </c>
      <c r="H99">
        <v>0</v>
      </c>
      <c r="I99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cm="1">
        <f t="array" ref="K99">IFERROR(AVERAGE(IF((OutputTable[GroupByKey]=OutputTable[[#This Row],[GroupByKey]]),(OutputTable[GroupByKey]=OutputTable[[#This Row],[GroupByKey]])*OutputTable[RecordedValue])),0)</f>
        <v>0.54703961359050601</v>
      </c>
      <c r="L99" cm="1">
        <f t="array" ref="L99">IFERROR(_xlfn.STDEV.S(IF((OutputTable[GroupByKey]=OutputTable[[#This Row],[GroupByKey]]),(OutputTable[GroupByKey]=OutputTable[[#This Row],[GroupByKey]])*OutputTable[RecordedValue])),0)</f>
        <v>1.0221170008030479E-2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99" cm="1">
        <f t="array" ref="O99">MIN(IF((OutputTable[GroupByKey]=OutputTable[[#This Row],[GroupByKey]]),(OutputTable[GroupByKey]=OutputTable[[#This Row],[GroupByKey]])*OutputTable[RecordedValue]))</f>
        <v>0.52470641844357901</v>
      </c>
      <c r="P99" cm="1">
        <f t="array" ref="P99">MAX(IF((OutputTable[GroupByKey]=OutputTable[[#This Row],[GroupByKey]]),(OutputTable[GroupByKey]=OutputTable[[#This Row],[GroupByKey]])*OutputTable[RecordedValue]))</f>
        <v>0.57005812966092295</v>
      </c>
    </row>
    <row r="100" spans="1:16" x14ac:dyDescent="0.25">
      <c r="A100" t="s">
        <v>68</v>
      </c>
      <c r="B100" t="s">
        <v>131</v>
      </c>
      <c r="C100">
        <v>6</v>
      </c>
      <c r="D100" t="s">
        <v>124</v>
      </c>
      <c r="E100" t="s">
        <v>121</v>
      </c>
      <c r="F100" t="s">
        <v>99</v>
      </c>
      <c r="G100">
        <v>2506</v>
      </c>
      <c r="H100">
        <v>0</v>
      </c>
      <c r="I100" t="str">
        <f>OutputTable[[#This Row],[ProjectName]]&amp;OutputTable[[#This Row],[Name]]&amp;OutputTable[[#This Row],[Type]]&amp;OutputTable[[#This Row],[Source]]</f>
        <v>PacientesrMedico.NumberSeizedTotal Number SeizedResource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cm="1">
        <f t="array" ref="K100">IFERROR(AVERAGE(IF((OutputTable[GroupByKey]=OutputTable[[#This Row],[GroupByKey]]),(OutputTable[GroupByKey]=OutputTable[[#This Row],[GroupByKey]])*OutputTable[RecordedValue])),0)</f>
        <v>2401.9</v>
      </c>
      <c r="L100" cm="1">
        <f t="array" ref="L100">IFERROR(_xlfn.STDEV.S(IF((OutputTable[GroupByKey]=OutputTable[[#This Row],[GroupByKey]]),(OutputTable[GroupByKey]=OutputTable[[#This Row],[GroupByKey]])*OutputTable[RecordedValue])),0)</f>
        <v>46.417031532903209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00" cm="1">
        <f t="array" ref="O100">MIN(IF((OutputTable[GroupByKey]=OutputTable[[#This Row],[GroupByKey]]),(OutputTable[GroupByKey]=OutputTable[[#This Row],[GroupByKey]])*OutputTable[RecordedValue]))</f>
        <v>2306</v>
      </c>
      <c r="P100" cm="1">
        <f t="array" ref="P100">MAX(IF((OutputTable[GroupByKey]=OutputTable[[#This Row],[GroupByKey]]),(OutputTable[GroupByKey]=OutputTable[[#This Row],[GroupByKey]])*OutputTable[RecordedValue]))</f>
        <v>2506</v>
      </c>
    </row>
    <row r="101" spans="1:16" x14ac:dyDescent="0.25">
      <c r="A101" t="s">
        <v>68</v>
      </c>
      <c r="B101" t="s">
        <v>131</v>
      </c>
      <c r="C101">
        <v>6</v>
      </c>
      <c r="D101" t="s">
        <v>125</v>
      </c>
      <c r="E101" t="s">
        <v>123</v>
      </c>
      <c r="F101" t="s">
        <v>99</v>
      </c>
      <c r="G101">
        <v>0.84959000017848096</v>
      </c>
      <c r="H101">
        <v>0</v>
      </c>
      <c r="I101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101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cm="1">
        <f t="array" ref="K101">IFERROR(AVERAGE(IF((OutputTable[GroupByKey]=OutputTable[[#This Row],[GroupByKey]]),(OutputTable[GroupByKey]=OutputTable[[#This Row],[GroupByKey]])*OutputTable[RecordedValue])),0)</f>
        <v>0.82055942038575935</v>
      </c>
      <c r="L101" cm="1">
        <f t="array" ref="L101">IFERROR(_xlfn.STDEV.S(IF((OutputTable[GroupByKey]=OutputTable[[#This Row],[GroupByKey]]),(OutputTable[GroupByKey]=OutputTable[[#This Row],[GroupByKey]])*OutputTable[RecordedValue])),0)</f>
        <v>1.5331755012045719E-2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101" cm="1">
        <f t="array" ref="O101">MIN(IF((OutputTable[GroupByKey]=OutputTable[[#This Row],[GroupByKey]]),(OutputTable[GroupByKey]=OutputTable[[#This Row],[GroupByKey]])*OutputTable[RecordedValue]))</f>
        <v>0.78705962766536897</v>
      </c>
      <c r="P101" cm="1">
        <f t="array" ref="P101">MAX(IF((OutputTable[GroupByKey]=OutputTable[[#This Row],[GroupByKey]]),(OutputTable[GroupByKey]=OutputTable[[#This Row],[GroupByKey]])*OutputTable[RecordedValue]))</f>
        <v>0.85508719449138504</v>
      </c>
    </row>
    <row r="102" spans="1:16" x14ac:dyDescent="0.25">
      <c r="A102" t="s">
        <v>68</v>
      </c>
      <c r="B102" t="s">
        <v>131</v>
      </c>
      <c r="C102">
        <v>6</v>
      </c>
      <c r="D102" t="s">
        <v>126</v>
      </c>
      <c r="E102" t="s">
        <v>121</v>
      </c>
      <c r="F102" t="s">
        <v>99</v>
      </c>
      <c r="G102">
        <v>2386</v>
      </c>
      <c r="H102">
        <v>0</v>
      </c>
      <c r="I102" t="str">
        <f>OutputTable[[#This Row],[ProjectName]]&amp;OutputTable[[#This Row],[Name]]&amp;OutputTable[[#This Row],[Type]]&amp;OutputTable[[#This Row],[Source]]</f>
        <v>PacientesrRegistradora.NumberSeizedTotal Number SeizedResource</v>
      </c>
      <c r="J102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cm="1">
        <f t="array" ref="K102">IFERROR(AVERAGE(IF((OutputTable[GroupByKey]=OutputTable[[#This Row],[GroupByKey]]),(OutputTable[GroupByKey]=OutputTable[[#This Row],[GroupByKey]])*OutputTable[RecordedValue])),0)</f>
        <v>2263.14</v>
      </c>
      <c r="L102" cm="1">
        <f t="array" ref="L102">IFERROR(_xlfn.STDEV.S(IF((OutputTable[GroupByKey]=OutputTable[[#This Row],[GroupByKey]]),(OutputTable[GroupByKey]=OutputTable[[#This Row],[GroupByKey]])*OutputTable[RecordedValue])),0)</f>
        <v>47.386818971575821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102" cm="1">
        <f t="array" ref="O102">MIN(IF((OutputTable[GroupByKey]=OutputTable[[#This Row],[GroupByKey]]),(OutputTable[GroupByKey]=OutputTable[[#This Row],[GroupByKey]])*OutputTable[RecordedValue]))</f>
        <v>2172</v>
      </c>
      <c r="P102" cm="1">
        <f t="array" ref="P102">MAX(IF((OutputTable[GroupByKey]=OutputTable[[#This Row],[GroupByKey]]),(OutputTable[GroupByKey]=OutputTable[[#This Row],[GroupByKey]])*OutputTable[RecordedValue]))</f>
        <v>2386</v>
      </c>
    </row>
    <row r="103" spans="1:16" x14ac:dyDescent="0.25">
      <c r="A103" t="s">
        <v>68</v>
      </c>
      <c r="B103" t="s">
        <v>131</v>
      </c>
      <c r="C103">
        <v>6</v>
      </c>
      <c r="D103" t="s">
        <v>127</v>
      </c>
      <c r="E103" t="s">
        <v>123</v>
      </c>
      <c r="F103" t="s">
        <v>99</v>
      </c>
      <c r="G103">
        <v>0.49691123629694001</v>
      </c>
      <c r="H103">
        <v>0</v>
      </c>
      <c r="I103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cm="1">
        <f t="array" ref="K103">IFERROR(AVERAGE(IF((OutputTable[GroupByKey]=OutputTable[[#This Row],[GroupByKey]]),(OutputTable[GroupByKey]=OutputTable[[#This Row],[GroupByKey]])*OutputTable[RecordedValue])),0)</f>
        <v>0.47162762933545666</v>
      </c>
      <c r="L103" cm="1">
        <f t="array" ref="L103">IFERROR(_xlfn.STDEV.S(IF((OutputTable[GroupByKey]=OutputTable[[#This Row],[GroupByKey]]),(OutputTable[GroupByKey]=OutputTable[[#This Row],[GroupByKey]])*OutputTable[RecordedValue])),0)</f>
        <v>9.6615227076777797E-3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103" cm="1">
        <f t="array" ref="O103">MIN(IF((OutputTable[GroupByKey]=OutputTable[[#This Row],[GroupByKey]]),(OutputTable[GroupByKey]=OutputTable[[#This Row],[GroupByKey]])*OutputTable[RecordedValue]))</f>
        <v>0.452397944183905</v>
      </c>
      <c r="P103" cm="1">
        <f t="array" ref="P103">MAX(IF((OutputTable[GroupByKey]=OutputTable[[#This Row],[GroupByKey]]),(OutputTable[GroupByKey]=OutputTable[[#This Row],[GroupByKey]])*OutputTable[RecordedValue]))</f>
        <v>0.49691123629694001</v>
      </c>
    </row>
    <row r="104" spans="1:16" x14ac:dyDescent="0.25">
      <c r="A104" t="s">
        <v>68</v>
      </c>
      <c r="B104" t="s">
        <v>131</v>
      </c>
      <c r="C104">
        <v>7</v>
      </c>
      <c r="D104" t="s">
        <v>104</v>
      </c>
      <c r="E104" t="s">
        <v>105</v>
      </c>
      <c r="F104" t="s">
        <v>72</v>
      </c>
      <c r="G104">
        <v>2394</v>
      </c>
      <c r="H104">
        <v>0</v>
      </c>
      <c r="I104" t="str">
        <f>OutputTable[[#This Row],[ProjectName]]&amp;OutputTable[[#This Row],[Name]]&amp;OutputTable[[#This Row],[Type]]&amp;OutputTable[[#This Row],[Source]]</f>
        <v>PacientesEntity 1.NumberInNumber InEntity</v>
      </c>
      <c r="J104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cm="1">
        <f t="array" ref="K104">IFERROR(AVERAGE(IF((OutputTable[GroupByKey]=OutputTable[[#This Row],[GroupByKey]]),(OutputTable[GroupByKey]=OutputTable[[#This Row],[GroupByKey]])*OutputTable[RecordedValue])),0)</f>
        <v>2404.8200000000002</v>
      </c>
      <c r="L104" cm="1">
        <f t="array" ref="L104">IFERROR(_xlfn.STDEV.S(IF((OutputTable[GroupByKey]=OutputTable[[#This Row],[GroupByKey]]),(OutputTable[GroupByKey]=OutputTable[[#This Row],[GroupByKey]])*OutputTable[RecordedValue])),0)</f>
        <v>46.42953405595474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104" cm="1">
        <f t="array" ref="O104">MIN(IF((OutputTable[GroupByKey]=OutputTable[[#This Row],[GroupByKey]]),(OutputTable[GroupByKey]=OutputTable[[#This Row],[GroupByKey]])*OutputTable[RecordedValue]))</f>
        <v>2307</v>
      </c>
      <c r="P104" cm="1">
        <f t="array" ref="P104">MAX(IF((OutputTable[GroupByKey]=OutputTable[[#This Row],[GroupByKey]]),(OutputTable[GroupByKey]=OutputTable[[#This Row],[GroupByKey]])*OutputTable[RecordedValue]))</f>
        <v>2518</v>
      </c>
    </row>
    <row r="105" spans="1:16" x14ac:dyDescent="0.25">
      <c r="A105" t="s">
        <v>68</v>
      </c>
      <c r="B105" t="s">
        <v>131</v>
      </c>
      <c r="C105">
        <v>7</v>
      </c>
      <c r="D105" t="s">
        <v>106</v>
      </c>
      <c r="E105" t="s">
        <v>107</v>
      </c>
      <c r="F105" t="s">
        <v>72</v>
      </c>
      <c r="G105">
        <v>2394</v>
      </c>
      <c r="H105">
        <v>0</v>
      </c>
      <c r="I105" t="str">
        <f>OutputTable[[#This Row],[ProjectName]]&amp;OutputTable[[#This Row],[Name]]&amp;OutputTable[[#This Row],[Type]]&amp;OutputTable[[#This Row],[Source]]</f>
        <v>PacientesEntity 1.NumberOutNumber OutEntity</v>
      </c>
      <c r="J10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cm="1">
        <f t="array" ref="K105">IFERROR(AVERAGE(IF((OutputTable[GroupByKey]=OutputTable[[#This Row],[GroupByKey]]),(OutputTable[GroupByKey]=OutputTable[[#This Row],[GroupByKey]])*OutputTable[RecordedValue])),0)</f>
        <v>2400.2800000000002</v>
      </c>
      <c r="L105" cm="1">
        <f t="array" ref="L105">IFERROR(_xlfn.STDEV.S(IF((OutputTable[GroupByKey]=OutputTable[[#This Row],[GroupByKey]]),(OutputTable[GroupByKey]=OutputTable[[#This Row],[GroupByKey]])*OutputTable[RecordedValue])),0)</f>
        <v>46.409024456676619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05" cm="1">
        <f t="array" ref="O105">MIN(IF((OutputTable[GroupByKey]=OutputTable[[#This Row],[GroupByKey]]),(OutputTable[GroupByKey]=OutputTable[[#This Row],[GroupByKey]])*OutputTable[RecordedValue]))</f>
        <v>2305</v>
      </c>
      <c r="P105" cm="1">
        <f t="array" ref="P105">MAX(IF((OutputTable[GroupByKey]=OutputTable[[#This Row],[GroupByKey]]),(OutputTable[GroupByKey]=OutputTable[[#This Row],[GroupByKey]])*OutputTable[RecordedValue]))</f>
        <v>2504</v>
      </c>
    </row>
    <row r="106" spans="1:16" x14ac:dyDescent="0.25">
      <c r="A106" t="s">
        <v>68</v>
      </c>
      <c r="B106" t="s">
        <v>131</v>
      </c>
      <c r="C106">
        <v>7</v>
      </c>
      <c r="D106" t="s">
        <v>108</v>
      </c>
      <c r="E106" t="s">
        <v>109</v>
      </c>
      <c r="F106" t="s">
        <v>80</v>
      </c>
      <c r="G106">
        <v>1186.1582701038999</v>
      </c>
      <c r="H106">
        <v>0</v>
      </c>
      <c r="I106" t="str">
        <f>OutputTable[[#This Row],[ProjectName]]&amp;OutputTable[[#This Row],[Name]]&amp;OutputTable[[#This Row],[Type]]&amp;OutputTable[[#This Row],[Source]]</f>
        <v>PacientesProcess 2 Accum VA TimeAccum VA TimeProcess</v>
      </c>
      <c r="J106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cm="1">
        <f t="array" ref="K106">IFERROR(AVERAGE(IF((OutputTable[GroupByKey]=OutputTable[[#This Row],[GroupByKey]]),(OutputTable[GroupByKey]=OutputTable[[#This Row],[GroupByKey]])*OutputTable[RecordedValue])),0)</f>
        <v>1181.1234936767919</v>
      </c>
      <c r="L106" cm="1">
        <f t="array" ref="L106">IFERROR(_xlfn.STDEV.S(IF((OutputTable[GroupByKey]=OutputTable[[#This Row],[GroupByKey]]),(OutputTable[GroupByKey]=OutputTable[[#This Row],[GroupByKey]])*OutputTable[RecordedValue])),0)</f>
        <v>22.169313666927575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106" cm="1">
        <f t="array" ref="O106">MIN(IF((OutputTable[GroupByKey]=OutputTable[[#This Row],[GroupByKey]]),(OutputTable[GroupByKey]=OutputTable[[#This Row],[GroupByKey]])*OutputTable[RecordedValue]))</f>
        <v>1133.24622318414</v>
      </c>
      <c r="P106" cm="1">
        <f t="array" ref="P106">MAX(IF((OutputTable[GroupByKey]=OutputTable[[#This Row],[GroupByKey]]),(OutputTable[GroupByKey]=OutputTable[[#This Row],[GroupByKey]])*OutputTable[RecordedValue]))</f>
        <v>1230.9493287309799</v>
      </c>
    </row>
    <row r="107" spans="1:16" x14ac:dyDescent="0.25">
      <c r="A107" t="s">
        <v>68</v>
      </c>
      <c r="B107" t="s">
        <v>131</v>
      </c>
      <c r="C107">
        <v>7</v>
      </c>
      <c r="D107" t="s">
        <v>110</v>
      </c>
      <c r="E107" t="s">
        <v>111</v>
      </c>
      <c r="F107" t="s">
        <v>80</v>
      </c>
      <c r="G107">
        <v>1732.5318408545099</v>
      </c>
      <c r="H107">
        <v>0</v>
      </c>
      <c r="I107" t="str">
        <f>OutputTable[[#This Row],[ProjectName]]&amp;OutputTable[[#This Row],[Name]]&amp;OutputTable[[#This Row],[Type]]&amp;OutputTable[[#This Row],[Source]]</f>
        <v>PacientesProcess 2 Accum Wait TimeAccum Wait TimeProcess</v>
      </c>
      <c r="J107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cm="1">
        <f t="array" ref="K107">IFERROR(AVERAGE(IF((OutputTable[GroupByKey]=OutputTable[[#This Row],[GroupByKey]]),(OutputTable[GroupByKey]=OutputTable[[#This Row],[GroupByKey]])*OutputTable[RecordedValue])),0)</f>
        <v>1938.7515507466894</v>
      </c>
      <c r="L107" cm="1">
        <f t="array" ref="L107">IFERROR(_xlfn.STDEV.S(IF((OutputTable[GroupByKey]=OutputTable[[#This Row],[GroupByKey]]),(OutputTable[GroupByKey]=OutputTable[[#This Row],[GroupByKey]])*OutputTable[RecordedValue])),0)</f>
        <v>534.03396241838232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107" cm="1">
        <f t="array" ref="O107">MIN(IF((OutputTable[GroupByKey]=OutputTable[[#This Row],[GroupByKey]]),(OutputTable[GroupByKey]=OutputTable[[#This Row],[GroupByKey]])*OutputTable[RecordedValue]))</f>
        <v>1234.7567994731401</v>
      </c>
      <c r="P107" cm="1">
        <f t="array" ref="P107">MAX(IF((OutputTable[GroupByKey]=OutputTable[[#This Row],[GroupByKey]]),(OutputTable[GroupByKey]=OutputTable[[#This Row],[GroupByKey]])*OutputTable[RecordedValue]))</f>
        <v>3269.0858002883801</v>
      </c>
    </row>
    <row r="108" spans="1:16" x14ac:dyDescent="0.25">
      <c r="A108" t="s">
        <v>68</v>
      </c>
      <c r="B108" t="s">
        <v>131</v>
      </c>
      <c r="C108">
        <v>7</v>
      </c>
      <c r="D108" t="s">
        <v>112</v>
      </c>
      <c r="E108" t="s">
        <v>105</v>
      </c>
      <c r="F108" t="s">
        <v>80</v>
      </c>
      <c r="G108">
        <v>2394</v>
      </c>
      <c r="H108">
        <v>0</v>
      </c>
      <c r="I108" t="str">
        <f>OutputTable[[#This Row],[ProjectName]]&amp;OutputTable[[#This Row],[Name]]&amp;OutputTable[[#This Row],[Type]]&amp;OutputTable[[#This Row],[Source]]</f>
        <v>PacientesProcess 2 Number InNumber InProcess</v>
      </c>
      <c r="J108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cm="1">
        <f t="array" ref="K108">IFERROR(AVERAGE(IF((OutputTable[GroupByKey]=OutputTable[[#This Row],[GroupByKey]]),(OutputTable[GroupByKey]=OutputTable[[#This Row],[GroupByKey]])*OutputTable[RecordedValue])),0)</f>
        <v>2404.2399999999998</v>
      </c>
      <c r="L108" cm="1">
        <f t="array" ref="L108">IFERROR(_xlfn.STDEV.S(IF((OutputTable[GroupByKey]=OutputTable[[#This Row],[GroupByKey]]),(OutputTable[GroupByKey]=OutputTable[[#This Row],[GroupByKey]])*OutputTable[RecordedValue])),0)</f>
        <v>46.574303154053879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108" cm="1">
        <f t="array" ref="O108">MIN(IF((OutputTable[GroupByKey]=OutputTable[[#This Row],[GroupByKey]]),(OutputTable[GroupByKey]=OutputTable[[#This Row],[GroupByKey]])*OutputTable[RecordedValue]))</f>
        <v>2306</v>
      </c>
      <c r="P108" cm="1">
        <f t="array" ref="P108">MAX(IF((OutputTable[GroupByKey]=OutputTable[[#This Row],[GroupByKey]]),(OutputTable[GroupByKey]=OutputTable[[#This Row],[GroupByKey]])*OutputTable[RecordedValue]))</f>
        <v>2518</v>
      </c>
    </row>
    <row r="109" spans="1:16" x14ac:dyDescent="0.25">
      <c r="A109" t="s">
        <v>68</v>
      </c>
      <c r="B109" t="s">
        <v>131</v>
      </c>
      <c r="C109">
        <v>7</v>
      </c>
      <c r="D109" t="s">
        <v>113</v>
      </c>
      <c r="E109" t="s">
        <v>107</v>
      </c>
      <c r="F109" t="s">
        <v>80</v>
      </c>
      <c r="G109">
        <v>2394</v>
      </c>
      <c r="H109">
        <v>0</v>
      </c>
      <c r="I109" t="str">
        <f>OutputTable[[#This Row],[ProjectName]]&amp;OutputTable[[#This Row],[Name]]&amp;OutputTable[[#This Row],[Type]]&amp;OutputTable[[#This Row],[Source]]</f>
        <v>PacientesProcess 2 Number OutNumber OutProcess</v>
      </c>
      <c r="J109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cm="1">
        <f t="array" ref="K109">IFERROR(AVERAGE(IF((OutputTable[GroupByKey]=OutputTable[[#This Row],[GroupByKey]]),(OutputTable[GroupByKey]=OutputTable[[#This Row],[GroupByKey]])*OutputTable[RecordedValue])),0)</f>
        <v>2400.2800000000002</v>
      </c>
      <c r="L109" cm="1">
        <f t="array" ref="L109">IFERROR(_xlfn.STDEV.S(IF((OutputTable[GroupByKey]=OutputTable[[#This Row],[GroupByKey]]),(OutputTable[GroupByKey]=OutputTable[[#This Row],[GroupByKey]])*OutputTable[RecordedValue])),0)</f>
        <v>46.409024456676619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09" cm="1">
        <f t="array" ref="O109">MIN(IF((OutputTable[GroupByKey]=OutputTable[[#This Row],[GroupByKey]]),(OutputTable[GroupByKey]=OutputTable[[#This Row],[GroupByKey]])*OutputTable[RecordedValue]))</f>
        <v>2305</v>
      </c>
      <c r="P109" cm="1">
        <f t="array" ref="P109">MAX(IF((OutputTable[GroupByKey]=OutputTable[[#This Row],[GroupByKey]]),(OutputTable[GroupByKey]=OutputTable[[#This Row],[GroupByKey]])*OutputTable[RecordedValue]))</f>
        <v>2504</v>
      </c>
    </row>
    <row r="110" spans="1:16" x14ac:dyDescent="0.25">
      <c r="A110" t="s">
        <v>68</v>
      </c>
      <c r="B110" t="s">
        <v>131</v>
      </c>
      <c r="C110">
        <v>7</v>
      </c>
      <c r="D110" t="s">
        <v>114</v>
      </c>
      <c r="E110" t="s">
        <v>109</v>
      </c>
      <c r="F110" t="s">
        <v>80</v>
      </c>
      <c r="G110">
        <v>338.68249006330399</v>
      </c>
      <c r="H110">
        <v>0</v>
      </c>
      <c r="I110" t="str">
        <f>OutputTable[[#This Row],[ProjectName]]&amp;OutputTable[[#This Row],[Name]]&amp;OutputTable[[#This Row],[Type]]&amp;OutputTable[[#This Row],[Source]]</f>
        <v>PacientesRegistro Accum VA TimeAccum VA TimeProcess</v>
      </c>
      <c r="J110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cm="1">
        <f t="array" ref="K110">IFERROR(AVERAGE(IF((OutputTable[GroupByKey]=OutputTable[[#This Row],[GroupByKey]]),(OutputTable[GroupByKey]=OutputTable[[#This Row],[GroupByKey]])*OutputTable[RecordedValue])),0)</f>
        <v>339.53547737062786</v>
      </c>
      <c r="L110" cm="1">
        <f t="array" ref="L110">IFERROR(_xlfn.STDEV.S(IF((OutputTable[GroupByKey]=OutputTable[[#This Row],[GroupByKey]]),(OutputTable[GroupByKey]=OutputTable[[#This Row],[GroupByKey]])*OutputTable[RecordedValue])),0)</f>
        <v>6.9723666109353193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110" cm="1">
        <f t="array" ref="O110">MIN(IF((OutputTable[GroupByKey]=OutputTable[[#This Row],[GroupByKey]]),(OutputTable[GroupByKey]=OutputTable[[#This Row],[GroupByKey]])*OutputTable[RecordedValue]))</f>
        <v>325.606879158418</v>
      </c>
      <c r="P110" cm="1">
        <f t="array" ref="P110">MAX(IF((OutputTable[GroupByKey]=OutputTable[[#This Row],[GroupByKey]]),(OutputTable[GroupByKey]=OutputTable[[#This Row],[GroupByKey]])*OutputTable[RecordedValue]))</f>
        <v>357.77609013379703</v>
      </c>
    </row>
    <row r="111" spans="1:16" x14ac:dyDescent="0.25">
      <c r="A111" t="s">
        <v>68</v>
      </c>
      <c r="B111" t="s">
        <v>131</v>
      </c>
      <c r="C111">
        <v>7</v>
      </c>
      <c r="D111" t="s">
        <v>115</v>
      </c>
      <c r="E111" t="s">
        <v>111</v>
      </c>
      <c r="F111" t="s">
        <v>80</v>
      </c>
      <c r="G111">
        <v>177.654575314227</v>
      </c>
      <c r="H111">
        <v>0</v>
      </c>
      <c r="I111" t="str">
        <f>OutputTable[[#This Row],[ProjectName]]&amp;OutputTable[[#This Row],[Name]]&amp;OutputTable[[#This Row],[Type]]&amp;OutputTable[[#This Row],[Source]]</f>
        <v>PacientesRegistro Accum Wait TimeAccum Wait TimeProcess</v>
      </c>
      <c r="J111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cm="1">
        <f t="array" ref="K111">IFERROR(AVERAGE(IF((OutputTable[GroupByKey]=OutputTable[[#This Row],[GroupByKey]]),(OutputTable[GroupByKey]=OutputTable[[#This Row],[GroupByKey]])*OutputTable[RecordedValue])),0)</f>
        <v>154.15303898127775</v>
      </c>
      <c r="L111" cm="1">
        <f t="array" ref="L111">IFERROR(_xlfn.STDEV.S(IF((OutputTable[GroupByKey]=OutputTable[[#This Row],[GroupByKey]]),(OutputTable[GroupByKey]=OutputTable[[#This Row],[GroupByKey]])*OutputTable[RecordedValue])),0)</f>
        <v>12.141439184615397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111" cm="1">
        <f t="array" ref="O111">MIN(IF((OutputTable[GroupByKey]=OutputTable[[#This Row],[GroupByKey]]),(OutputTable[GroupByKey]=OutputTable[[#This Row],[GroupByKey]])*OutputTable[RecordedValue]))</f>
        <v>123.901613974094</v>
      </c>
      <c r="P111" cm="1">
        <f t="array" ref="P111">MAX(IF((OutputTable[GroupByKey]=OutputTable[[#This Row],[GroupByKey]]),(OutputTable[GroupByKey]=OutputTable[[#This Row],[GroupByKey]])*OutputTable[RecordedValue]))</f>
        <v>178.441307284473</v>
      </c>
    </row>
    <row r="112" spans="1:16" x14ac:dyDescent="0.25">
      <c r="A112" t="s">
        <v>68</v>
      </c>
      <c r="B112" t="s">
        <v>131</v>
      </c>
      <c r="C112">
        <v>7</v>
      </c>
      <c r="D112" t="s">
        <v>116</v>
      </c>
      <c r="E112" t="s">
        <v>105</v>
      </c>
      <c r="F112" t="s">
        <v>80</v>
      </c>
      <c r="G112">
        <v>2254</v>
      </c>
      <c r="H112">
        <v>0</v>
      </c>
      <c r="I112" t="str">
        <f>OutputTable[[#This Row],[ProjectName]]&amp;OutputTable[[#This Row],[Name]]&amp;OutputTable[[#This Row],[Type]]&amp;OutputTable[[#This Row],[Source]]</f>
        <v>PacientesRegistro Number InNumber InProcess</v>
      </c>
      <c r="J112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cm="1">
        <f t="array" ref="K112">IFERROR(AVERAGE(IF((OutputTable[GroupByKey]=OutputTable[[#This Row],[GroupByKey]]),(OutputTable[GroupByKey]=OutputTable[[#This Row],[GroupByKey]])*OutputTable[RecordedValue])),0)</f>
        <v>2263.2399999999998</v>
      </c>
      <c r="L112" cm="1">
        <f t="array" ref="L112">IFERROR(_xlfn.STDEV.S(IF((OutputTable[GroupByKey]=OutputTable[[#This Row],[GroupByKey]]),(OutputTable[GroupByKey]=OutputTable[[#This Row],[GroupByKey]])*OutputTable[RecordedValue])),0)</f>
        <v>47.331035682472766</v>
      </c>
      <c r="M112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112" cm="1">
        <f t="array" ref="O112">MIN(IF((OutputTable[GroupByKey]=OutputTable[[#This Row],[GroupByKey]]),(OutputTable[GroupByKey]=OutputTable[[#This Row],[GroupByKey]])*OutputTable[RecordedValue]))</f>
        <v>2172</v>
      </c>
      <c r="P112" cm="1">
        <f t="array" ref="P112">MAX(IF((OutputTable[GroupByKey]=OutputTable[[#This Row],[GroupByKey]]),(OutputTable[GroupByKey]=OutputTable[[#This Row],[GroupByKey]])*OutputTable[RecordedValue]))</f>
        <v>2386</v>
      </c>
    </row>
    <row r="113" spans="1:16" x14ac:dyDescent="0.25">
      <c r="A113" t="s">
        <v>68</v>
      </c>
      <c r="B113" t="s">
        <v>131</v>
      </c>
      <c r="C113">
        <v>7</v>
      </c>
      <c r="D113" t="s">
        <v>117</v>
      </c>
      <c r="E113" t="s">
        <v>107</v>
      </c>
      <c r="F113" t="s">
        <v>80</v>
      </c>
      <c r="G113">
        <v>2254</v>
      </c>
      <c r="H113">
        <v>0</v>
      </c>
      <c r="I113" t="str">
        <f>OutputTable[[#This Row],[ProjectName]]&amp;OutputTable[[#This Row],[Name]]&amp;OutputTable[[#This Row],[Type]]&amp;OutputTable[[#This Row],[Source]]</f>
        <v>PacientesRegistro Number OutNumber OutProcess</v>
      </c>
      <c r="J113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cm="1">
        <f t="array" ref="K113">IFERROR(AVERAGE(IF((OutputTable[GroupByKey]=OutputTable[[#This Row],[GroupByKey]]),(OutputTable[GroupByKey]=OutputTable[[#This Row],[GroupByKey]])*OutputTable[RecordedValue])),0)</f>
        <v>2262.66</v>
      </c>
      <c r="L113" cm="1">
        <f t="array" ref="L113">IFERROR(_xlfn.STDEV.S(IF((OutputTable[GroupByKey]=OutputTable[[#This Row],[GroupByKey]]),(OutputTable[GroupByKey]=OutputTable[[#This Row],[GroupByKey]])*OutputTable[RecordedValue])),0)</f>
        <v>47.488176831454687</v>
      </c>
      <c r="M113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113" cm="1">
        <f t="array" ref="O113">MIN(IF((OutputTable[GroupByKey]=OutputTable[[#This Row],[GroupByKey]]),(OutputTable[GroupByKey]=OutputTable[[#This Row],[GroupByKey]])*OutputTable[RecordedValue]))</f>
        <v>2171</v>
      </c>
      <c r="P113" cm="1">
        <f t="array" ref="P113">MAX(IF((OutputTable[GroupByKey]=OutputTable[[#This Row],[GroupByKey]]),(OutputTable[GroupByKey]=OutputTable[[#This Row],[GroupByKey]])*OutputTable[RecordedValue]))</f>
        <v>2386</v>
      </c>
    </row>
    <row r="114" spans="1:16" x14ac:dyDescent="0.25">
      <c r="A114" t="s">
        <v>68</v>
      </c>
      <c r="B114" t="s">
        <v>131</v>
      </c>
      <c r="C114">
        <v>7</v>
      </c>
      <c r="D114" t="s">
        <v>118</v>
      </c>
      <c r="E114" t="s">
        <v>107</v>
      </c>
      <c r="F114" t="s">
        <v>119</v>
      </c>
      <c r="G114">
        <v>2394</v>
      </c>
      <c r="H114">
        <v>0</v>
      </c>
      <c r="I114" t="str">
        <f>OutputTable[[#This Row],[ProjectName]]&amp;OutputTable[[#This Row],[Name]]&amp;OutputTable[[#This Row],[Type]]&amp;OutputTable[[#This Row],[Source]]</f>
        <v>PacientesSystem.NumberOutNumber OutSystem</v>
      </c>
      <c r="J114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cm="1">
        <f t="array" ref="K114">IFERROR(AVERAGE(IF((OutputTable[GroupByKey]=OutputTable[[#This Row],[GroupByKey]]),(OutputTable[GroupByKey]=OutputTable[[#This Row],[GroupByKey]])*OutputTable[RecordedValue])),0)</f>
        <v>2400.2800000000002</v>
      </c>
      <c r="L114" cm="1">
        <f t="array" ref="L114">IFERROR(_xlfn.STDEV.S(IF((OutputTable[GroupByKey]=OutputTable[[#This Row],[GroupByKey]]),(OutputTable[GroupByKey]=OutputTable[[#This Row],[GroupByKey]])*OutputTable[RecordedValue])),0)</f>
        <v>46.409024456676619</v>
      </c>
      <c r="M114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14" cm="1">
        <f t="array" ref="O114">MIN(IF((OutputTable[GroupByKey]=OutputTable[[#This Row],[GroupByKey]]),(OutputTable[GroupByKey]=OutputTable[[#This Row],[GroupByKey]])*OutputTable[RecordedValue]))</f>
        <v>2305</v>
      </c>
      <c r="P114" cm="1">
        <f t="array" ref="P114">MAX(IF((OutputTable[GroupByKey]=OutputTable[[#This Row],[GroupByKey]]),(OutputTable[GroupByKey]=OutputTable[[#This Row],[GroupByKey]])*OutputTable[RecordedValue]))</f>
        <v>2504</v>
      </c>
    </row>
    <row r="115" spans="1:16" x14ac:dyDescent="0.25">
      <c r="A115" t="s">
        <v>68</v>
      </c>
      <c r="B115" t="s">
        <v>131</v>
      </c>
      <c r="C115">
        <v>7</v>
      </c>
      <c r="D115" t="s">
        <v>120</v>
      </c>
      <c r="E115" t="s">
        <v>121</v>
      </c>
      <c r="F115" t="s">
        <v>99</v>
      </c>
      <c r="G115">
        <v>2394</v>
      </c>
      <c r="H115">
        <v>0</v>
      </c>
      <c r="I115" t="str">
        <f>OutputTable[[#This Row],[ProjectName]]&amp;OutputTable[[#This Row],[Name]]&amp;OutputTable[[#This Row],[Type]]&amp;OutputTable[[#This Row],[Source]]</f>
        <v>PacientesrCamas.NumberSeizedTotal Number SeizedResource</v>
      </c>
      <c r="J11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cm="1">
        <f t="array" ref="K115">IFERROR(AVERAGE(IF((OutputTable[GroupByKey]=OutputTable[[#This Row],[GroupByKey]]),(OutputTable[GroupByKey]=OutputTable[[#This Row],[GroupByKey]])*OutputTable[RecordedValue])),0)</f>
        <v>2401.9</v>
      </c>
      <c r="L115" cm="1">
        <f t="array" ref="L115">IFERROR(_xlfn.STDEV.S(IF((OutputTable[GroupByKey]=OutputTable[[#This Row],[GroupByKey]]),(OutputTable[GroupByKey]=OutputTable[[#This Row],[GroupByKey]])*OutputTable[RecordedValue])),0)</f>
        <v>46.417031532903209</v>
      </c>
      <c r="M11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15" cm="1">
        <f t="array" ref="O115">MIN(IF((OutputTable[GroupByKey]=OutputTable[[#This Row],[GroupByKey]]),(OutputTable[GroupByKey]=OutputTable[[#This Row],[GroupByKey]])*OutputTable[RecordedValue]))</f>
        <v>2306</v>
      </c>
      <c r="P115" cm="1">
        <f t="array" ref="P115">MAX(IF((OutputTable[GroupByKey]=OutputTable[[#This Row],[GroupByKey]]),(OutputTable[GroupByKey]=OutputTable[[#This Row],[GroupByKey]])*OutputTable[RecordedValue]))</f>
        <v>2506</v>
      </c>
    </row>
    <row r="116" spans="1:16" x14ac:dyDescent="0.25">
      <c r="A116" t="s">
        <v>68</v>
      </c>
      <c r="B116" t="s">
        <v>131</v>
      </c>
      <c r="C116">
        <v>7</v>
      </c>
      <c r="D116" t="s">
        <v>122</v>
      </c>
      <c r="E116" t="s">
        <v>123</v>
      </c>
      <c r="F116" t="s">
        <v>99</v>
      </c>
      <c r="G116">
        <v>0.54914734727032</v>
      </c>
      <c r="H116">
        <v>0</v>
      </c>
      <c r="I116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116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cm="1">
        <f t="array" ref="K116">IFERROR(AVERAGE(IF((OutputTable[GroupByKey]=OutputTable[[#This Row],[GroupByKey]]),(OutputTable[GroupByKey]=OutputTable[[#This Row],[GroupByKey]])*OutputTable[RecordedValue])),0)</f>
        <v>0.54703961359050601</v>
      </c>
      <c r="L116" cm="1">
        <f t="array" ref="L116">IFERROR(_xlfn.STDEV.S(IF((OutputTable[GroupByKey]=OutputTable[[#This Row],[GroupByKey]]),(OutputTable[GroupByKey]=OutputTable[[#This Row],[GroupByKey]])*OutputTable[RecordedValue])),0)</f>
        <v>1.0221170008030479E-2</v>
      </c>
      <c r="M116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116" cm="1">
        <f t="array" ref="O116">MIN(IF((OutputTable[GroupByKey]=OutputTable[[#This Row],[GroupByKey]]),(OutputTable[GroupByKey]=OutputTable[[#This Row],[GroupByKey]])*OutputTable[RecordedValue]))</f>
        <v>0.52470641844357901</v>
      </c>
      <c r="P116" cm="1">
        <f t="array" ref="P116">MAX(IF((OutputTable[GroupByKey]=OutputTable[[#This Row],[GroupByKey]]),(OutputTable[GroupByKey]=OutputTable[[#This Row],[GroupByKey]])*OutputTable[RecordedValue]))</f>
        <v>0.57005812966092295</v>
      </c>
    </row>
    <row r="117" spans="1:16" x14ac:dyDescent="0.25">
      <c r="A117" t="s">
        <v>68</v>
      </c>
      <c r="B117" t="s">
        <v>131</v>
      </c>
      <c r="C117">
        <v>7</v>
      </c>
      <c r="D117" t="s">
        <v>124</v>
      </c>
      <c r="E117" t="s">
        <v>121</v>
      </c>
      <c r="F117" t="s">
        <v>99</v>
      </c>
      <c r="G117">
        <v>2394</v>
      </c>
      <c r="H117">
        <v>0</v>
      </c>
      <c r="I117" t="str">
        <f>OutputTable[[#This Row],[ProjectName]]&amp;OutputTable[[#This Row],[Name]]&amp;OutputTable[[#This Row],[Type]]&amp;OutputTable[[#This Row],[Source]]</f>
        <v>PacientesrMedico.NumberSeizedTotal Number SeizedResource</v>
      </c>
      <c r="J117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cm="1">
        <f t="array" ref="K117">IFERROR(AVERAGE(IF((OutputTable[GroupByKey]=OutputTable[[#This Row],[GroupByKey]]),(OutputTable[GroupByKey]=OutputTable[[#This Row],[GroupByKey]])*OutputTable[RecordedValue])),0)</f>
        <v>2401.9</v>
      </c>
      <c r="L117" cm="1">
        <f t="array" ref="L117">IFERROR(_xlfn.STDEV.S(IF((OutputTable[GroupByKey]=OutputTable[[#This Row],[GroupByKey]]),(OutputTable[GroupByKey]=OutputTable[[#This Row],[GroupByKey]])*OutputTable[RecordedValue])),0)</f>
        <v>46.417031532903209</v>
      </c>
      <c r="M117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17" cm="1">
        <f t="array" ref="O117">MIN(IF((OutputTable[GroupByKey]=OutputTable[[#This Row],[GroupByKey]]),(OutputTable[GroupByKey]=OutputTable[[#This Row],[GroupByKey]])*OutputTable[RecordedValue]))</f>
        <v>2306</v>
      </c>
      <c r="P117" cm="1">
        <f t="array" ref="P117">MAX(IF((OutputTable[GroupByKey]=OutputTable[[#This Row],[GroupByKey]]),(OutputTable[GroupByKey]=OutputTable[[#This Row],[GroupByKey]])*OutputTable[RecordedValue]))</f>
        <v>2506</v>
      </c>
    </row>
    <row r="118" spans="1:16" x14ac:dyDescent="0.25">
      <c r="A118" t="s">
        <v>68</v>
      </c>
      <c r="B118" t="s">
        <v>131</v>
      </c>
      <c r="C118">
        <v>7</v>
      </c>
      <c r="D118" t="s">
        <v>125</v>
      </c>
      <c r="E118" t="s">
        <v>123</v>
      </c>
      <c r="F118" t="s">
        <v>99</v>
      </c>
      <c r="G118">
        <v>0.82372102090548105</v>
      </c>
      <c r="H118">
        <v>0</v>
      </c>
      <c r="I118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118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cm="1">
        <f t="array" ref="K118">IFERROR(AVERAGE(IF((OutputTable[GroupByKey]=OutputTable[[#This Row],[GroupByKey]]),(OutputTable[GroupByKey]=OutputTable[[#This Row],[GroupByKey]])*OutputTable[RecordedValue])),0)</f>
        <v>0.82055942038575935</v>
      </c>
      <c r="L118" cm="1">
        <f t="array" ref="L118">IFERROR(_xlfn.STDEV.S(IF((OutputTable[GroupByKey]=OutputTable[[#This Row],[GroupByKey]]),(OutputTable[GroupByKey]=OutputTable[[#This Row],[GroupByKey]])*OutputTable[RecordedValue])),0)</f>
        <v>1.5331755012045719E-2</v>
      </c>
      <c r="M118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118" cm="1">
        <f t="array" ref="O118">MIN(IF((OutputTable[GroupByKey]=OutputTable[[#This Row],[GroupByKey]]),(OutputTable[GroupByKey]=OutputTable[[#This Row],[GroupByKey]])*OutputTable[RecordedValue]))</f>
        <v>0.78705962766536897</v>
      </c>
      <c r="P118" cm="1">
        <f t="array" ref="P118">MAX(IF((OutputTable[GroupByKey]=OutputTable[[#This Row],[GroupByKey]]),(OutputTable[GroupByKey]=OutputTable[[#This Row],[GroupByKey]])*OutputTable[RecordedValue]))</f>
        <v>0.85508719449138504</v>
      </c>
    </row>
    <row r="119" spans="1:16" x14ac:dyDescent="0.25">
      <c r="A119" t="s">
        <v>68</v>
      </c>
      <c r="B119" t="s">
        <v>131</v>
      </c>
      <c r="C119">
        <v>7</v>
      </c>
      <c r="D119" t="s">
        <v>126</v>
      </c>
      <c r="E119" t="s">
        <v>121</v>
      </c>
      <c r="F119" t="s">
        <v>99</v>
      </c>
      <c r="G119">
        <v>2254</v>
      </c>
      <c r="H119">
        <v>0</v>
      </c>
      <c r="I119" t="str">
        <f>OutputTable[[#This Row],[ProjectName]]&amp;OutputTable[[#This Row],[Name]]&amp;OutputTable[[#This Row],[Type]]&amp;OutputTable[[#This Row],[Source]]</f>
        <v>PacientesrRegistradora.NumberSeizedTotal Number SeizedResource</v>
      </c>
      <c r="J119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cm="1">
        <f t="array" ref="K119">IFERROR(AVERAGE(IF((OutputTable[GroupByKey]=OutputTable[[#This Row],[GroupByKey]]),(OutputTable[GroupByKey]=OutputTable[[#This Row],[GroupByKey]])*OutputTable[RecordedValue])),0)</f>
        <v>2263.14</v>
      </c>
      <c r="L119" cm="1">
        <f t="array" ref="L119">IFERROR(_xlfn.STDEV.S(IF((OutputTable[GroupByKey]=OutputTable[[#This Row],[GroupByKey]]),(OutputTable[GroupByKey]=OutputTable[[#This Row],[GroupByKey]])*OutputTable[RecordedValue])),0)</f>
        <v>47.386818971575821</v>
      </c>
      <c r="M119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119" cm="1">
        <f t="array" ref="O119">MIN(IF((OutputTable[GroupByKey]=OutputTable[[#This Row],[GroupByKey]]),(OutputTable[GroupByKey]=OutputTable[[#This Row],[GroupByKey]])*OutputTable[RecordedValue]))</f>
        <v>2172</v>
      </c>
      <c r="P119" cm="1">
        <f t="array" ref="P119">MAX(IF((OutputTable[GroupByKey]=OutputTable[[#This Row],[GroupByKey]]),(OutputTable[GroupByKey]=OutputTable[[#This Row],[GroupByKey]])*OutputTable[RecordedValue]))</f>
        <v>2386</v>
      </c>
    </row>
    <row r="120" spans="1:16" x14ac:dyDescent="0.25">
      <c r="A120" t="s">
        <v>68</v>
      </c>
      <c r="B120" t="s">
        <v>131</v>
      </c>
      <c r="C120">
        <v>7</v>
      </c>
      <c r="D120" t="s">
        <v>127</v>
      </c>
      <c r="E120" t="s">
        <v>123</v>
      </c>
      <c r="F120" t="s">
        <v>99</v>
      </c>
      <c r="G120">
        <v>0.47039234731014501</v>
      </c>
      <c r="H120">
        <v>0</v>
      </c>
      <c r="I120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120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cm="1">
        <f t="array" ref="K120">IFERROR(AVERAGE(IF((OutputTable[GroupByKey]=OutputTable[[#This Row],[GroupByKey]]),(OutputTable[GroupByKey]=OutputTable[[#This Row],[GroupByKey]])*OutputTable[RecordedValue])),0)</f>
        <v>0.47162762933545666</v>
      </c>
      <c r="L120" cm="1">
        <f t="array" ref="L120">IFERROR(_xlfn.STDEV.S(IF((OutputTable[GroupByKey]=OutputTable[[#This Row],[GroupByKey]]),(OutputTable[GroupByKey]=OutputTable[[#This Row],[GroupByKey]])*OutputTable[RecordedValue])),0)</f>
        <v>9.6615227076777797E-3</v>
      </c>
      <c r="M120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120" cm="1">
        <f t="array" ref="O120">MIN(IF((OutputTable[GroupByKey]=OutputTable[[#This Row],[GroupByKey]]),(OutputTable[GroupByKey]=OutputTable[[#This Row],[GroupByKey]])*OutputTable[RecordedValue]))</f>
        <v>0.452397944183905</v>
      </c>
      <c r="P120" cm="1">
        <f t="array" ref="P120">MAX(IF((OutputTable[GroupByKey]=OutputTable[[#This Row],[GroupByKey]]),(OutputTable[GroupByKey]=OutputTable[[#This Row],[GroupByKey]])*OutputTable[RecordedValue]))</f>
        <v>0.49691123629694001</v>
      </c>
    </row>
    <row r="121" spans="1:16" x14ac:dyDescent="0.25">
      <c r="A121" t="s">
        <v>68</v>
      </c>
      <c r="B121" t="s">
        <v>131</v>
      </c>
      <c r="C121">
        <v>8</v>
      </c>
      <c r="D121" t="s">
        <v>104</v>
      </c>
      <c r="E121" t="s">
        <v>105</v>
      </c>
      <c r="F121" t="s">
        <v>72</v>
      </c>
      <c r="G121">
        <v>2406</v>
      </c>
      <c r="H121">
        <v>0</v>
      </c>
      <c r="I121" t="str">
        <f>OutputTable[[#This Row],[ProjectName]]&amp;OutputTable[[#This Row],[Name]]&amp;OutputTable[[#This Row],[Type]]&amp;OutputTable[[#This Row],[Source]]</f>
        <v>PacientesEntity 1.NumberInNumber InEntity</v>
      </c>
      <c r="J121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cm="1">
        <f t="array" ref="K121">IFERROR(AVERAGE(IF((OutputTable[GroupByKey]=OutputTable[[#This Row],[GroupByKey]]),(OutputTable[GroupByKey]=OutputTable[[#This Row],[GroupByKey]])*OutputTable[RecordedValue])),0)</f>
        <v>2404.8200000000002</v>
      </c>
      <c r="L121" cm="1">
        <f t="array" ref="L121">IFERROR(_xlfn.STDEV.S(IF((OutputTable[GroupByKey]=OutputTable[[#This Row],[GroupByKey]]),(OutputTable[GroupByKey]=OutputTable[[#This Row],[GroupByKey]])*OutputTable[RecordedValue])),0)</f>
        <v>46.42953405595474</v>
      </c>
      <c r="M121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121" cm="1">
        <f t="array" ref="O121">MIN(IF((OutputTable[GroupByKey]=OutputTable[[#This Row],[GroupByKey]]),(OutputTable[GroupByKey]=OutputTable[[#This Row],[GroupByKey]])*OutputTable[RecordedValue]))</f>
        <v>2307</v>
      </c>
      <c r="P121" cm="1">
        <f t="array" ref="P121">MAX(IF((OutputTable[GroupByKey]=OutputTable[[#This Row],[GroupByKey]]),(OutputTable[GroupByKey]=OutputTable[[#This Row],[GroupByKey]])*OutputTable[RecordedValue]))</f>
        <v>2518</v>
      </c>
    </row>
    <row r="122" spans="1:16" x14ac:dyDescent="0.25">
      <c r="A122" t="s">
        <v>68</v>
      </c>
      <c r="B122" t="s">
        <v>131</v>
      </c>
      <c r="C122">
        <v>8</v>
      </c>
      <c r="D122" t="s">
        <v>106</v>
      </c>
      <c r="E122" t="s">
        <v>107</v>
      </c>
      <c r="F122" t="s">
        <v>72</v>
      </c>
      <c r="G122">
        <v>2403</v>
      </c>
      <c r="H122">
        <v>0</v>
      </c>
      <c r="I122" t="str">
        <f>OutputTable[[#This Row],[ProjectName]]&amp;OutputTable[[#This Row],[Name]]&amp;OutputTable[[#This Row],[Type]]&amp;OutputTable[[#This Row],[Source]]</f>
        <v>PacientesEntity 1.NumberOutNumber OutEntity</v>
      </c>
      <c r="J122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cm="1">
        <f t="array" ref="K122">IFERROR(AVERAGE(IF((OutputTable[GroupByKey]=OutputTable[[#This Row],[GroupByKey]]),(OutputTable[GroupByKey]=OutputTable[[#This Row],[GroupByKey]])*OutputTable[RecordedValue])),0)</f>
        <v>2400.2800000000002</v>
      </c>
      <c r="L122" cm="1">
        <f t="array" ref="L122">IFERROR(_xlfn.STDEV.S(IF((OutputTable[GroupByKey]=OutputTable[[#This Row],[GroupByKey]]),(OutputTable[GroupByKey]=OutputTable[[#This Row],[GroupByKey]])*OutputTable[RecordedValue])),0)</f>
        <v>46.409024456676619</v>
      </c>
      <c r="M122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22" cm="1">
        <f t="array" ref="O122">MIN(IF((OutputTable[GroupByKey]=OutputTable[[#This Row],[GroupByKey]]),(OutputTable[GroupByKey]=OutputTable[[#This Row],[GroupByKey]])*OutputTable[RecordedValue]))</f>
        <v>2305</v>
      </c>
      <c r="P122" cm="1">
        <f t="array" ref="P122">MAX(IF((OutputTable[GroupByKey]=OutputTable[[#This Row],[GroupByKey]]),(OutputTable[GroupByKey]=OutputTable[[#This Row],[GroupByKey]])*OutputTable[RecordedValue]))</f>
        <v>2504</v>
      </c>
    </row>
    <row r="123" spans="1:16" x14ac:dyDescent="0.25">
      <c r="A123" t="s">
        <v>68</v>
      </c>
      <c r="B123" t="s">
        <v>131</v>
      </c>
      <c r="C123">
        <v>8</v>
      </c>
      <c r="D123" t="s">
        <v>108</v>
      </c>
      <c r="E123" t="s">
        <v>109</v>
      </c>
      <c r="F123" t="s">
        <v>80</v>
      </c>
      <c r="G123">
        <v>1182.6496117986201</v>
      </c>
      <c r="H123">
        <v>0</v>
      </c>
      <c r="I123" t="str">
        <f>OutputTable[[#This Row],[ProjectName]]&amp;OutputTable[[#This Row],[Name]]&amp;OutputTable[[#This Row],[Type]]&amp;OutputTable[[#This Row],[Source]]</f>
        <v>PacientesProcess 2 Accum VA TimeAccum VA TimeProcess</v>
      </c>
      <c r="J123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cm="1">
        <f t="array" ref="K123">IFERROR(AVERAGE(IF((OutputTable[GroupByKey]=OutputTable[[#This Row],[GroupByKey]]),(OutputTable[GroupByKey]=OutputTable[[#This Row],[GroupByKey]])*OutputTable[RecordedValue])),0)</f>
        <v>1181.1234936767919</v>
      </c>
      <c r="L123" cm="1">
        <f t="array" ref="L123">IFERROR(_xlfn.STDEV.S(IF((OutputTable[GroupByKey]=OutputTable[[#This Row],[GroupByKey]]),(OutputTable[GroupByKey]=OutputTable[[#This Row],[GroupByKey]])*OutputTable[RecordedValue])),0)</f>
        <v>22.169313666927575</v>
      </c>
      <c r="M123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123" cm="1">
        <f t="array" ref="O123">MIN(IF((OutputTable[GroupByKey]=OutputTable[[#This Row],[GroupByKey]]),(OutputTable[GroupByKey]=OutputTable[[#This Row],[GroupByKey]])*OutputTable[RecordedValue]))</f>
        <v>1133.24622318414</v>
      </c>
      <c r="P123" cm="1">
        <f t="array" ref="P123">MAX(IF((OutputTable[GroupByKey]=OutputTable[[#This Row],[GroupByKey]]),(OutputTable[GroupByKey]=OutputTable[[#This Row],[GroupByKey]])*OutputTable[RecordedValue]))</f>
        <v>1230.9493287309799</v>
      </c>
    </row>
    <row r="124" spans="1:16" x14ac:dyDescent="0.25">
      <c r="A124" t="s">
        <v>68</v>
      </c>
      <c r="B124" t="s">
        <v>131</v>
      </c>
      <c r="C124">
        <v>8</v>
      </c>
      <c r="D124" t="s">
        <v>110</v>
      </c>
      <c r="E124" t="s">
        <v>111</v>
      </c>
      <c r="F124" t="s">
        <v>80</v>
      </c>
      <c r="G124">
        <v>1738.2816181319899</v>
      </c>
      <c r="H124">
        <v>0</v>
      </c>
      <c r="I124" t="str">
        <f>OutputTable[[#This Row],[ProjectName]]&amp;OutputTable[[#This Row],[Name]]&amp;OutputTable[[#This Row],[Type]]&amp;OutputTable[[#This Row],[Source]]</f>
        <v>PacientesProcess 2 Accum Wait TimeAccum Wait TimeProcess</v>
      </c>
      <c r="J124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cm="1">
        <f t="array" ref="K124">IFERROR(AVERAGE(IF((OutputTable[GroupByKey]=OutputTable[[#This Row],[GroupByKey]]),(OutputTable[GroupByKey]=OutputTable[[#This Row],[GroupByKey]])*OutputTable[RecordedValue])),0)</f>
        <v>1938.7515507466894</v>
      </c>
      <c r="L124" cm="1">
        <f t="array" ref="L124">IFERROR(_xlfn.STDEV.S(IF((OutputTable[GroupByKey]=OutputTable[[#This Row],[GroupByKey]]),(OutputTable[GroupByKey]=OutputTable[[#This Row],[GroupByKey]])*OutputTable[RecordedValue])),0)</f>
        <v>534.03396241838232</v>
      </c>
      <c r="M124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124" cm="1">
        <f t="array" ref="O124">MIN(IF((OutputTable[GroupByKey]=OutputTable[[#This Row],[GroupByKey]]),(OutputTable[GroupByKey]=OutputTable[[#This Row],[GroupByKey]])*OutputTable[RecordedValue]))</f>
        <v>1234.7567994731401</v>
      </c>
      <c r="P124" cm="1">
        <f t="array" ref="P124">MAX(IF((OutputTable[GroupByKey]=OutputTable[[#This Row],[GroupByKey]]),(OutputTable[GroupByKey]=OutputTable[[#This Row],[GroupByKey]])*OutputTable[RecordedValue]))</f>
        <v>3269.0858002883801</v>
      </c>
    </row>
    <row r="125" spans="1:16" x14ac:dyDescent="0.25">
      <c r="A125" t="s">
        <v>68</v>
      </c>
      <c r="B125" t="s">
        <v>131</v>
      </c>
      <c r="C125">
        <v>8</v>
      </c>
      <c r="D125" t="s">
        <v>112</v>
      </c>
      <c r="E125" t="s">
        <v>105</v>
      </c>
      <c r="F125" t="s">
        <v>80</v>
      </c>
      <c r="G125">
        <v>2405</v>
      </c>
      <c r="H125">
        <v>0</v>
      </c>
      <c r="I125" t="str">
        <f>OutputTable[[#This Row],[ProjectName]]&amp;OutputTable[[#This Row],[Name]]&amp;OutputTable[[#This Row],[Type]]&amp;OutputTable[[#This Row],[Source]]</f>
        <v>PacientesProcess 2 Number InNumber InProcess</v>
      </c>
      <c r="J12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cm="1">
        <f t="array" ref="K125">IFERROR(AVERAGE(IF((OutputTable[GroupByKey]=OutputTable[[#This Row],[GroupByKey]]),(OutputTable[GroupByKey]=OutputTable[[#This Row],[GroupByKey]])*OutputTable[RecordedValue])),0)</f>
        <v>2404.2399999999998</v>
      </c>
      <c r="L125" cm="1">
        <f t="array" ref="L125">IFERROR(_xlfn.STDEV.S(IF((OutputTable[GroupByKey]=OutputTable[[#This Row],[GroupByKey]]),(OutputTable[GroupByKey]=OutputTable[[#This Row],[GroupByKey]])*OutputTable[RecordedValue])),0)</f>
        <v>46.574303154053879</v>
      </c>
      <c r="M12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125" cm="1">
        <f t="array" ref="O125">MIN(IF((OutputTable[GroupByKey]=OutputTable[[#This Row],[GroupByKey]]),(OutputTable[GroupByKey]=OutputTable[[#This Row],[GroupByKey]])*OutputTable[RecordedValue]))</f>
        <v>2306</v>
      </c>
      <c r="P125" cm="1">
        <f t="array" ref="P125">MAX(IF((OutputTable[GroupByKey]=OutputTable[[#This Row],[GroupByKey]]),(OutputTable[GroupByKey]=OutputTable[[#This Row],[GroupByKey]])*OutputTable[RecordedValue]))</f>
        <v>2518</v>
      </c>
    </row>
    <row r="126" spans="1:16" x14ac:dyDescent="0.25">
      <c r="A126" t="s">
        <v>68</v>
      </c>
      <c r="B126" t="s">
        <v>131</v>
      </c>
      <c r="C126">
        <v>8</v>
      </c>
      <c r="D126" t="s">
        <v>113</v>
      </c>
      <c r="E126" t="s">
        <v>107</v>
      </c>
      <c r="F126" t="s">
        <v>80</v>
      </c>
      <c r="G126">
        <v>2403</v>
      </c>
      <c r="H126">
        <v>0</v>
      </c>
      <c r="I126" t="str">
        <f>OutputTable[[#This Row],[ProjectName]]&amp;OutputTable[[#This Row],[Name]]&amp;OutputTable[[#This Row],[Type]]&amp;OutputTable[[#This Row],[Source]]</f>
        <v>PacientesProcess 2 Number OutNumber OutProcess</v>
      </c>
      <c r="J126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cm="1">
        <f t="array" ref="K126">IFERROR(AVERAGE(IF((OutputTable[GroupByKey]=OutputTable[[#This Row],[GroupByKey]]),(OutputTable[GroupByKey]=OutputTable[[#This Row],[GroupByKey]])*OutputTable[RecordedValue])),0)</f>
        <v>2400.2800000000002</v>
      </c>
      <c r="L126" cm="1">
        <f t="array" ref="L126">IFERROR(_xlfn.STDEV.S(IF((OutputTable[GroupByKey]=OutputTable[[#This Row],[GroupByKey]]),(OutputTable[GroupByKey]=OutputTable[[#This Row],[GroupByKey]])*OutputTable[RecordedValue])),0)</f>
        <v>46.409024456676619</v>
      </c>
      <c r="M126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26" cm="1">
        <f t="array" ref="O126">MIN(IF((OutputTable[GroupByKey]=OutputTable[[#This Row],[GroupByKey]]),(OutputTable[GroupByKey]=OutputTable[[#This Row],[GroupByKey]])*OutputTable[RecordedValue]))</f>
        <v>2305</v>
      </c>
      <c r="P126" cm="1">
        <f t="array" ref="P126">MAX(IF((OutputTable[GroupByKey]=OutputTable[[#This Row],[GroupByKey]]),(OutputTable[GroupByKey]=OutputTable[[#This Row],[GroupByKey]])*OutputTable[RecordedValue]))</f>
        <v>2504</v>
      </c>
    </row>
    <row r="127" spans="1:16" x14ac:dyDescent="0.25">
      <c r="A127" t="s">
        <v>68</v>
      </c>
      <c r="B127" t="s">
        <v>131</v>
      </c>
      <c r="C127">
        <v>8</v>
      </c>
      <c r="D127" t="s">
        <v>114</v>
      </c>
      <c r="E127" t="s">
        <v>109</v>
      </c>
      <c r="F127" t="s">
        <v>80</v>
      </c>
      <c r="G127">
        <v>342.72937569933401</v>
      </c>
      <c r="H127">
        <v>0</v>
      </c>
      <c r="I127" t="str">
        <f>OutputTable[[#This Row],[ProjectName]]&amp;OutputTable[[#This Row],[Name]]&amp;OutputTable[[#This Row],[Type]]&amp;OutputTable[[#This Row],[Source]]</f>
        <v>PacientesRegistro Accum VA TimeAccum VA TimeProcess</v>
      </c>
      <c r="J127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cm="1">
        <f t="array" ref="K127">IFERROR(AVERAGE(IF((OutputTable[GroupByKey]=OutputTable[[#This Row],[GroupByKey]]),(OutputTable[GroupByKey]=OutputTable[[#This Row],[GroupByKey]])*OutputTable[RecordedValue])),0)</f>
        <v>339.53547737062786</v>
      </c>
      <c r="L127" cm="1">
        <f t="array" ref="L127">IFERROR(_xlfn.STDEV.S(IF((OutputTable[GroupByKey]=OutputTable[[#This Row],[GroupByKey]]),(OutputTable[GroupByKey]=OutputTable[[#This Row],[GroupByKey]])*OutputTable[RecordedValue])),0)</f>
        <v>6.9723666109353193</v>
      </c>
      <c r="M127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127" cm="1">
        <f t="array" ref="O127">MIN(IF((OutputTable[GroupByKey]=OutputTable[[#This Row],[GroupByKey]]),(OutputTable[GroupByKey]=OutputTable[[#This Row],[GroupByKey]])*OutputTable[RecordedValue]))</f>
        <v>325.606879158418</v>
      </c>
      <c r="P127" cm="1">
        <f t="array" ref="P127">MAX(IF((OutputTable[GroupByKey]=OutputTable[[#This Row],[GroupByKey]]),(OutputTable[GroupByKey]=OutputTable[[#This Row],[GroupByKey]])*OutputTable[RecordedValue]))</f>
        <v>357.77609013379703</v>
      </c>
    </row>
    <row r="128" spans="1:16" x14ac:dyDescent="0.25">
      <c r="A128" t="s">
        <v>68</v>
      </c>
      <c r="B128" t="s">
        <v>131</v>
      </c>
      <c r="C128">
        <v>8</v>
      </c>
      <c r="D128" t="s">
        <v>115</v>
      </c>
      <c r="E128" t="s">
        <v>111</v>
      </c>
      <c r="F128" t="s">
        <v>80</v>
      </c>
      <c r="G128">
        <v>167.55023421166999</v>
      </c>
      <c r="H128">
        <v>0</v>
      </c>
      <c r="I128" t="str">
        <f>OutputTable[[#This Row],[ProjectName]]&amp;OutputTable[[#This Row],[Name]]&amp;OutputTable[[#This Row],[Type]]&amp;OutputTable[[#This Row],[Source]]</f>
        <v>PacientesRegistro Accum Wait TimeAccum Wait TimeProcess</v>
      </c>
      <c r="J128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cm="1">
        <f t="array" ref="K128">IFERROR(AVERAGE(IF((OutputTable[GroupByKey]=OutputTable[[#This Row],[GroupByKey]]),(OutputTable[GroupByKey]=OutputTable[[#This Row],[GroupByKey]])*OutputTable[RecordedValue])),0)</f>
        <v>154.15303898127775</v>
      </c>
      <c r="L128" cm="1">
        <f t="array" ref="L128">IFERROR(_xlfn.STDEV.S(IF((OutputTable[GroupByKey]=OutputTable[[#This Row],[GroupByKey]]),(OutputTable[GroupByKey]=OutputTable[[#This Row],[GroupByKey]])*OutputTable[RecordedValue])),0)</f>
        <v>12.141439184615397</v>
      </c>
      <c r="M128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128" cm="1">
        <f t="array" ref="O128">MIN(IF((OutputTable[GroupByKey]=OutputTable[[#This Row],[GroupByKey]]),(OutputTable[GroupByKey]=OutputTable[[#This Row],[GroupByKey]])*OutputTable[RecordedValue]))</f>
        <v>123.901613974094</v>
      </c>
      <c r="P128" cm="1">
        <f t="array" ref="P128">MAX(IF((OutputTable[GroupByKey]=OutputTable[[#This Row],[GroupByKey]]),(OutputTable[GroupByKey]=OutputTable[[#This Row],[GroupByKey]])*OutputTable[RecordedValue]))</f>
        <v>178.441307284473</v>
      </c>
    </row>
    <row r="129" spans="1:16" x14ac:dyDescent="0.25">
      <c r="A129" t="s">
        <v>68</v>
      </c>
      <c r="B129" t="s">
        <v>131</v>
      </c>
      <c r="C129">
        <v>8</v>
      </c>
      <c r="D129" t="s">
        <v>116</v>
      </c>
      <c r="E129" t="s">
        <v>105</v>
      </c>
      <c r="F129" t="s">
        <v>80</v>
      </c>
      <c r="G129">
        <v>2266</v>
      </c>
      <c r="H129">
        <v>0</v>
      </c>
      <c r="I129" t="str">
        <f>OutputTable[[#This Row],[ProjectName]]&amp;OutputTable[[#This Row],[Name]]&amp;OutputTable[[#This Row],[Type]]&amp;OutputTable[[#This Row],[Source]]</f>
        <v>PacientesRegistro Number InNumber InProcess</v>
      </c>
      <c r="J129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cm="1">
        <f t="array" ref="K129">IFERROR(AVERAGE(IF((OutputTable[GroupByKey]=OutputTable[[#This Row],[GroupByKey]]),(OutputTable[GroupByKey]=OutputTable[[#This Row],[GroupByKey]])*OutputTable[RecordedValue])),0)</f>
        <v>2263.2399999999998</v>
      </c>
      <c r="L129" cm="1">
        <f t="array" ref="L129">IFERROR(_xlfn.STDEV.S(IF((OutputTable[GroupByKey]=OutputTable[[#This Row],[GroupByKey]]),(OutputTable[GroupByKey]=OutputTable[[#This Row],[GroupByKey]])*OutputTable[RecordedValue])),0)</f>
        <v>47.331035682472766</v>
      </c>
      <c r="M129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129" cm="1">
        <f t="array" ref="O129">MIN(IF((OutputTable[GroupByKey]=OutputTable[[#This Row],[GroupByKey]]),(OutputTable[GroupByKey]=OutputTable[[#This Row],[GroupByKey]])*OutputTable[RecordedValue]))</f>
        <v>2172</v>
      </c>
      <c r="P129" cm="1">
        <f t="array" ref="P129">MAX(IF((OutputTable[GroupByKey]=OutputTable[[#This Row],[GroupByKey]]),(OutputTable[GroupByKey]=OutputTable[[#This Row],[GroupByKey]])*OutputTable[RecordedValue]))</f>
        <v>2386</v>
      </c>
    </row>
    <row r="130" spans="1:16" x14ac:dyDescent="0.25">
      <c r="A130" t="s">
        <v>68</v>
      </c>
      <c r="B130" t="s">
        <v>131</v>
      </c>
      <c r="C130">
        <v>8</v>
      </c>
      <c r="D130" t="s">
        <v>117</v>
      </c>
      <c r="E130" t="s">
        <v>107</v>
      </c>
      <c r="F130" t="s">
        <v>80</v>
      </c>
      <c r="G130">
        <v>2265</v>
      </c>
      <c r="H130">
        <v>0</v>
      </c>
      <c r="I130" t="str">
        <f>OutputTable[[#This Row],[ProjectName]]&amp;OutputTable[[#This Row],[Name]]&amp;OutputTable[[#This Row],[Type]]&amp;OutputTable[[#This Row],[Source]]</f>
        <v>PacientesRegistro Number OutNumber OutProcess</v>
      </c>
      <c r="J130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cm="1">
        <f t="array" ref="K130">IFERROR(AVERAGE(IF((OutputTable[GroupByKey]=OutputTable[[#This Row],[GroupByKey]]),(OutputTable[GroupByKey]=OutputTable[[#This Row],[GroupByKey]])*OutputTable[RecordedValue])),0)</f>
        <v>2262.66</v>
      </c>
      <c r="L130" cm="1">
        <f t="array" ref="L130">IFERROR(_xlfn.STDEV.S(IF((OutputTable[GroupByKey]=OutputTable[[#This Row],[GroupByKey]]),(OutputTable[GroupByKey]=OutputTable[[#This Row],[GroupByKey]])*OutputTable[RecordedValue])),0)</f>
        <v>47.488176831454687</v>
      </c>
      <c r="M130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130" cm="1">
        <f t="array" ref="O130">MIN(IF((OutputTable[GroupByKey]=OutputTable[[#This Row],[GroupByKey]]),(OutputTable[GroupByKey]=OutputTable[[#This Row],[GroupByKey]])*OutputTable[RecordedValue]))</f>
        <v>2171</v>
      </c>
      <c r="P130" cm="1">
        <f t="array" ref="P130">MAX(IF((OutputTable[GroupByKey]=OutputTable[[#This Row],[GroupByKey]]),(OutputTable[GroupByKey]=OutputTable[[#This Row],[GroupByKey]])*OutputTable[RecordedValue]))</f>
        <v>2386</v>
      </c>
    </row>
    <row r="131" spans="1:16" x14ac:dyDescent="0.25">
      <c r="A131" t="s">
        <v>68</v>
      </c>
      <c r="B131" t="s">
        <v>131</v>
      </c>
      <c r="C131">
        <v>8</v>
      </c>
      <c r="D131" t="s">
        <v>118</v>
      </c>
      <c r="E131" t="s">
        <v>107</v>
      </c>
      <c r="F131" t="s">
        <v>119</v>
      </c>
      <c r="G131">
        <v>2403</v>
      </c>
      <c r="H131">
        <v>0</v>
      </c>
      <c r="I131" t="str">
        <f>OutputTable[[#This Row],[ProjectName]]&amp;OutputTable[[#This Row],[Name]]&amp;OutputTable[[#This Row],[Type]]&amp;OutputTable[[#This Row],[Source]]</f>
        <v>PacientesSystem.NumberOutNumber OutSystem</v>
      </c>
      <c r="J131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cm="1">
        <f t="array" ref="K131">IFERROR(AVERAGE(IF((OutputTable[GroupByKey]=OutputTable[[#This Row],[GroupByKey]]),(OutputTable[GroupByKey]=OutputTable[[#This Row],[GroupByKey]])*OutputTable[RecordedValue])),0)</f>
        <v>2400.2800000000002</v>
      </c>
      <c r="L131" cm="1">
        <f t="array" ref="L131">IFERROR(_xlfn.STDEV.S(IF((OutputTable[GroupByKey]=OutputTable[[#This Row],[GroupByKey]]),(OutputTable[GroupByKey]=OutputTable[[#This Row],[GroupByKey]])*OutputTable[RecordedValue])),0)</f>
        <v>46.409024456676619</v>
      </c>
      <c r="M131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31" cm="1">
        <f t="array" ref="O131">MIN(IF((OutputTable[GroupByKey]=OutputTable[[#This Row],[GroupByKey]]),(OutputTable[GroupByKey]=OutputTable[[#This Row],[GroupByKey]])*OutputTable[RecordedValue]))</f>
        <v>2305</v>
      </c>
      <c r="P131" cm="1">
        <f t="array" ref="P131">MAX(IF((OutputTable[GroupByKey]=OutputTable[[#This Row],[GroupByKey]]),(OutputTable[GroupByKey]=OutputTable[[#This Row],[GroupByKey]])*OutputTable[RecordedValue]))</f>
        <v>2504</v>
      </c>
    </row>
    <row r="132" spans="1:16" x14ac:dyDescent="0.25">
      <c r="A132" t="s">
        <v>68</v>
      </c>
      <c r="B132" t="s">
        <v>131</v>
      </c>
      <c r="C132">
        <v>8</v>
      </c>
      <c r="D132" t="s">
        <v>120</v>
      </c>
      <c r="E132" t="s">
        <v>121</v>
      </c>
      <c r="F132" t="s">
        <v>99</v>
      </c>
      <c r="G132">
        <v>2405</v>
      </c>
      <c r="H132">
        <v>0</v>
      </c>
      <c r="I132" t="str">
        <f>OutputTable[[#This Row],[ProjectName]]&amp;OutputTable[[#This Row],[Name]]&amp;OutputTable[[#This Row],[Type]]&amp;OutputTable[[#This Row],[Source]]</f>
        <v>PacientesrCamas.NumberSeizedTotal Number SeizedResource</v>
      </c>
      <c r="J132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cm="1">
        <f t="array" ref="K132">IFERROR(AVERAGE(IF((OutputTable[GroupByKey]=OutputTable[[#This Row],[GroupByKey]]),(OutputTable[GroupByKey]=OutputTable[[#This Row],[GroupByKey]])*OutputTable[RecordedValue])),0)</f>
        <v>2401.9</v>
      </c>
      <c r="L132" cm="1">
        <f t="array" ref="L132">IFERROR(_xlfn.STDEV.S(IF((OutputTable[GroupByKey]=OutputTable[[#This Row],[GroupByKey]]),(OutputTable[GroupByKey]=OutputTable[[#This Row],[GroupByKey]])*OutputTable[RecordedValue])),0)</f>
        <v>46.417031532903209</v>
      </c>
      <c r="M132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32" cm="1">
        <f t="array" ref="O132">MIN(IF((OutputTable[GroupByKey]=OutputTable[[#This Row],[GroupByKey]]),(OutputTable[GroupByKey]=OutputTable[[#This Row],[GroupByKey]])*OutputTable[RecordedValue]))</f>
        <v>2306</v>
      </c>
      <c r="P132" cm="1">
        <f t="array" ref="P132">MAX(IF((OutputTable[GroupByKey]=OutputTable[[#This Row],[GroupByKey]]),(OutputTable[GroupByKey]=OutputTable[[#This Row],[GroupByKey]])*OutputTable[RecordedValue]))</f>
        <v>2506</v>
      </c>
    </row>
    <row r="133" spans="1:16" x14ac:dyDescent="0.25">
      <c r="A133" t="s">
        <v>68</v>
      </c>
      <c r="B133" t="s">
        <v>131</v>
      </c>
      <c r="C133">
        <v>8</v>
      </c>
      <c r="D133" t="s">
        <v>122</v>
      </c>
      <c r="E133" t="s">
        <v>123</v>
      </c>
      <c r="F133" t="s">
        <v>99</v>
      </c>
      <c r="G133">
        <v>0.54784356510118304</v>
      </c>
      <c r="H133">
        <v>0</v>
      </c>
      <c r="I133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133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cm="1">
        <f t="array" ref="K133">IFERROR(AVERAGE(IF((OutputTable[GroupByKey]=OutputTable[[#This Row],[GroupByKey]]),(OutputTable[GroupByKey]=OutputTable[[#This Row],[GroupByKey]])*OutputTable[RecordedValue])),0)</f>
        <v>0.54703961359050601</v>
      </c>
      <c r="L133" cm="1">
        <f t="array" ref="L133">IFERROR(_xlfn.STDEV.S(IF((OutputTable[GroupByKey]=OutputTable[[#This Row],[GroupByKey]]),(OutputTable[GroupByKey]=OutputTable[[#This Row],[GroupByKey]])*OutputTable[RecordedValue])),0)</f>
        <v>1.0221170008030479E-2</v>
      </c>
      <c r="M133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133" cm="1">
        <f t="array" ref="O133">MIN(IF((OutputTable[GroupByKey]=OutputTable[[#This Row],[GroupByKey]]),(OutputTable[GroupByKey]=OutputTable[[#This Row],[GroupByKey]])*OutputTable[RecordedValue]))</f>
        <v>0.52470641844357901</v>
      </c>
      <c r="P133" cm="1">
        <f t="array" ref="P133">MAX(IF((OutputTable[GroupByKey]=OutputTable[[#This Row],[GroupByKey]]),(OutputTable[GroupByKey]=OutputTable[[#This Row],[GroupByKey]])*OutputTable[RecordedValue]))</f>
        <v>0.57005812966092295</v>
      </c>
    </row>
    <row r="134" spans="1:16" x14ac:dyDescent="0.25">
      <c r="A134" t="s">
        <v>68</v>
      </c>
      <c r="B134" t="s">
        <v>131</v>
      </c>
      <c r="C134">
        <v>8</v>
      </c>
      <c r="D134" t="s">
        <v>124</v>
      </c>
      <c r="E134" t="s">
        <v>121</v>
      </c>
      <c r="F134" t="s">
        <v>99</v>
      </c>
      <c r="G134">
        <v>2405</v>
      </c>
      <c r="H134">
        <v>0</v>
      </c>
      <c r="I134" t="str">
        <f>OutputTable[[#This Row],[ProjectName]]&amp;OutputTable[[#This Row],[Name]]&amp;OutputTable[[#This Row],[Type]]&amp;OutputTable[[#This Row],[Source]]</f>
        <v>PacientesrMedico.NumberSeizedTotal Number SeizedResource</v>
      </c>
      <c r="J134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cm="1">
        <f t="array" ref="K134">IFERROR(AVERAGE(IF((OutputTable[GroupByKey]=OutputTable[[#This Row],[GroupByKey]]),(OutputTable[GroupByKey]=OutputTable[[#This Row],[GroupByKey]])*OutputTable[RecordedValue])),0)</f>
        <v>2401.9</v>
      </c>
      <c r="L134" cm="1">
        <f t="array" ref="L134">IFERROR(_xlfn.STDEV.S(IF((OutputTable[GroupByKey]=OutputTable[[#This Row],[GroupByKey]]),(OutputTable[GroupByKey]=OutputTable[[#This Row],[GroupByKey]])*OutputTable[RecordedValue])),0)</f>
        <v>46.417031532903209</v>
      </c>
      <c r="M134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34" cm="1">
        <f t="array" ref="O134">MIN(IF((OutputTable[GroupByKey]=OutputTable[[#This Row],[GroupByKey]]),(OutputTable[GroupByKey]=OutputTable[[#This Row],[GroupByKey]])*OutputTable[RecordedValue]))</f>
        <v>2306</v>
      </c>
      <c r="P134" cm="1">
        <f t="array" ref="P134">MAX(IF((OutputTable[GroupByKey]=OutputTable[[#This Row],[GroupByKey]]),(OutputTable[GroupByKey]=OutputTable[[#This Row],[GroupByKey]])*OutputTable[RecordedValue]))</f>
        <v>2506</v>
      </c>
    </row>
    <row r="135" spans="1:16" x14ac:dyDescent="0.25">
      <c r="A135" t="s">
        <v>68</v>
      </c>
      <c r="B135" t="s">
        <v>131</v>
      </c>
      <c r="C135">
        <v>8</v>
      </c>
      <c r="D135" t="s">
        <v>125</v>
      </c>
      <c r="E135" t="s">
        <v>123</v>
      </c>
      <c r="F135" t="s">
        <v>99</v>
      </c>
      <c r="G135">
        <v>0.821765347651774</v>
      </c>
      <c r="H135">
        <v>0</v>
      </c>
      <c r="I135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13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cm="1">
        <f t="array" ref="K135">IFERROR(AVERAGE(IF((OutputTable[GroupByKey]=OutputTable[[#This Row],[GroupByKey]]),(OutputTable[GroupByKey]=OutputTable[[#This Row],[GroupByKey]])*OutputTable[RecordedValue])),0)</f>
        <v>0.82055942038575935</v>
      </c>
      <c r="L135" cm="1">
        <f t="array" ref="L135">IFERROR(_xlfn.STDEV.S(IF((OutputTable[GroupByKey]=OutputTable[[#This Row],[GroupByKey]]),(OutputTable[GroupByKey]=OutputTable[[#This Row],[GroupByKey]])*OutputTable[RecordedValue])),0)</f>
        <v>1.5331755012045719E-2</v>
      </c>
      <c r="M13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135" cm="1">
        <f t="array" ref="O135">MIN(IF((OutputTable[GroupByKey]=OutputTable[[#This Row],[GroupByKey]]),(OutputTable[GroupByKey]=OutputTable[[#This Row],[GroupByKey]])*OutputTable[RecordedValue]))</f>
        <v>0.78705962766536897</v>
      </c>
      <c r="P135" cm="1">
        <f t="array" ref="P135">MAX(IF((OutputTable[GroupByKey]=OutputTable[[#This Row],[GroupByKey]]),(OutputTable[GroupByKey]=OutputTable[[#This Row],[GroupByKey]])*OutputTable[RecordedValue]))</f>
        <v>0.85508719449138504</v>
      </c>
    </row>
    <row r="136" spans="1:16" x14ac:dyDescent="0.25">
      <c r="A136" t="s">
        <v>68</v>
      </c>
      <c r="B136" t="s">
        <v>131</v>
      </c>
      <c r="C136">
        <v>8</v>
      </c>
      <c r="D136" t="s">
        <v>126</v>
      </c>
      <c r="E136" t="s">
        <v>121</v>
      </c>
      <c r="F136" t="s">
        <v>99</v>
      </c>
      <c r="G136">
        <v>2266</v>
      </c>
      <c r="H136">
        <v>0</v>
      </c>
      <c r="I136" t="str">
        <f>OutputTable[[#This Row],[ProjectName]]&amp;OutputTable[[#This Row],[Name]]&amp;OutputTable[[#This Row],[Type]]&amp;OutputTable[[#This Row],[Source]]</f>
        <v>PacientesrRegistradora.NumberSeizedTotal Number SeizedResource</v>
      </c>
      <c r="J136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cm="1">
        <f t="array" ref="K136">IFERROR(AVERAGE(IF((OutputTable[GroupByKey]=OutputTable[[#This Row],[GroupByKey]]),(OutputTable[GroupByKey]=OutputTable[[#This Row],[GroupByKey]])*OutputTable[RecordedValue])),0)</f>
        <v>2263.14</v>
      </c>
      <c r="L136" cm="1">
        <f t="array" ref="L136">IFERROR(_xlfn.STDEV.S(IF((OutputTable[GroupByKey]=OutputTable[[#This Row],[GroupByKey]]),(OutputTable[GroupByKey]=OutputTable[[#This Row],[GroupByKey]])*OutputTable[RecordedValue])),0)</f>
        <v>47.386818971575821</v>
      </c>
      <c r="M136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136" cm="1">
        <f t="array" ref="O136">MIN(IF((OutputTable[GroupByKey]=OutputTable[[#This Row],[GroupByKey]]),(OutputTable[GroupByKey]=OutputTable[[#This Row],[GroupByKey]])*OutputTable[RecordedValue]))</f>
        <v>2172</v>
      </c>
      <c r="P136" cm="1">
        <f t="array" ref="P136">MAX(IF((OutputTable[GroupByKey]=OutputTable[[#This Row],[GroupByKey]]),(OutputTable[GroupByKey]=OutputTable[[#This Row],[GroupByKey]])*OutputTable[RecordedValue]))</f>
        <v>2386</v>
      </c>
    </row>
    <row r="137" spans="1:16" x14ac:dyDescent="0.25">
      <c r="A137" t="s">
        <v>68</v>
      </c>
      <c r="B137" t="s">
        <v>131</v>
      </c>
      <c r="C137">
        <v>8</v>
      </c>
      <c r="D137" t="s">
        <v>127</v>
      </c>
      <c r="E137" t="s">
        <v>123</v>
      </c>
      <c r="F137" t="s">
        <v>99</v>
      </c>
      <c r="G137">
        <v>0.476241084293693</v>
      </c>
      <c r="H137">
        <v>0</v>
      </c>
      <c r="I137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137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cm="1">
        <f t="array" ref="K137">IFERROR(AVERAGE(IF((OutputTable[GroupByKey]=OutputTable[[#This Row],[GroupByKey]]),(OutputTable[GroupByKey]=OutputTable[[#This Row],[GroupByKey]])*OutputTable[RecordedValue])),0)</f>
        <v>0.47162762933545666</v>
      </c>
      <c r="L137" cm="1">
        <f t="array" ref="L137">IFERROR(_xlfn.STDEV.S(IF((OutputTable[GroupByKey]=OutputTable[[#This Row],[GroupByKey]]),(OutputTable[GroupByKey]=OutputTable[[#This Row],[GroupByKey]])*OutputTable[RecordedValue])),0)</f>
        <v>9.6615227076777797E-3</v>
      </c>
      <c r="M137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137" cm="1">
        <f t="array" ref="O137">MIN(IF((OutputTable[GroupByKey]=OutputTable[[#This Row],[GroupByKey]]),(OutputTable[GroupByKey]=OutputTable[[#This Row],[GroupByKey]])*OutputTable[RecordedValue]))</f>
        <v>0.452397944183905</v>
      </c>
      <c r="P137" cm="1">
        <f t="array" ref="P137">MAX(IF((OutputTable[GroupByKey]=OutputTable[[#This Row],[GroupByKey]]),(OutputTable[GroupByKey]=OutputTable[[#This Row],[GroupByKey]])*OutputTable[RecordedValue]))</f>
        <v>0.49691123629694001</v>
      </c>
    </row>
    <row r="138" spans="1:16" x14ac:dyDescent="0.25">
      <c r="A138" t="s">
        <v>68</v>
      </c>
      <c r="B138" t="s">
        <v>131</v>
      </c>
      <c r="C138">
        <v>9</v>
      </c>
      <c r="D138" t="s">
        <v>104</v>
      </c>
      <c r="E138" t="s">
        <v>105</v>
      </c>
      <c r="F138" t="s">
        <v>72</v>
      </c>
      <c r="G138">
        <v>2431</v>
      </c>
      <c r="H138">
        <v>0</v>
      </c>
      <c r="I138" t="str">
        <f>OutputTable[[#This Row],[ProjectName]]&amp;OutputTable[[#This Row],[Name]]&amp;OutputTable[[#This Row],[Type]]&amp;OutputTable[[#This Row],[Source]]</f>
        <v>PacientesEntity 1.NumberInNumber InEntity</v>
      </c>
      <c r="J138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cm="1">
        <f t="array" ref="K138">IFERROR(AVERAGE(IF((OutputTable[GroupByKey]=OutputTable[[#This Row],[GroupByKey]]),(OutputTable[GroupByKey]=OutputTable[[#This Row],[GroupByKey]])*OutputTable[RecordedValue])),0)</f>
        <v>2404.8200000000002</v>
      </c>
      <c r="L138" cm="1">
        <f t="array" ref="L138">IFERROR(_xlfn.STDEV.S(IF((OutputTable[GroupByKey]=OutputTable[[#This Row],[GroupByKey]]),(OutputTable[GroupByKey]=OutputTable[[#This Row],[GroupByKey]])*OutputTable[RecordedValue])),0)</f>
        <v>46.42953405595474</v>
      </c>
      <c r="M138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138" cm="1">
        <f t="array" ref="O138">MIN(IF((OutputTable[GroupByKey]=OutputTable[[#This Row],[GroupByKey]]),(OutputTable[GroupByKey]=OutputTable[[#This Row],[GroupByKey]])*OutputTable[RecordedValue]))</f>
        <v>2307</v>
      </c>
      <c r="P138" cm="1">
        <f t="array" ref="P138">MAX(IF((OutputTable[GroupByKey]=OutputTable[[#This Row],[GroupByKey]]),(OutputTable[GroupByKey]=OutputTable[[#This Row],[GroupByKey]])*OutputTable[RecordedValue]))</f>
        <v>2518</v>
      </c>
    </row>
    <row r="139" spans="1:16" x14ac:dyDescent="0.25">
      <c r="A139" t="s">
        <v>68</v>
      </c>
      <c r="B139" t="s">
        <v>131</v>
      </c>
      <c r="C139">
        <v>9</v>
      </c>
      <c r="D139" t="s">
        <v>106</v>
      </c>
      <c r="E139" t="s">
        <v>107</v>
      </c>
      <c r="F139" t="s">
        <v>72</v>
      </c>
      <c r="G139">
        <v>2429</v>
      </c>
      <c r="H139">
        <v>0</v>
      </c>
      <c r="I139" t="str">
        <f>OutputTable[[#This Row],[ProjectName]]&amp;OutputTable[[#This Row],[Name]]&amp;OutputTable[[#This Row],[Type]]&amp;OutputTable[[#This Row],[Source]]</f>
        <v>PacientesEntity 1.NumberOutNumber OutEntity</v>
      </c>
      <c r="J139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cm="1">
        <f t="array" ref="K139">IFERROR(AVERAGE(IF((OutputTable[GroupByKey]=OutputTable[[#This Row],[GroupByKey]]),(OutputTable[GroupByKey]=OutputTable[[#This Row],[GroupByKey]])*OutputTable[RecordedValue])),0)</f>
        <v>2400.2800000000002</v>
      </c>
      <c r="L139" cm="1">
        <f t="array" ref="L139">IFERROR(_xlfn.STDEV.S(IF((OutputTable[GroupByKey]=OutputTable[[#This Row],[GroupByKey]]),(OutputTable[GroupByKey]=OutputTable[[#This Row],[GroupByKey]])*OutputTable[RecordedValue])),0)</f>
        <v>46.409024456676619</v>
      </c>
      <c r="M139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39" cm="1">
        <f t="array" ref="O139">MIN(IF((OutputTable[GroupByKey]=OutputTable[[#This Row],[GroupByKey]]),(OutputTable[GroupByKey]=OutputTable[[#This Row],[GroupByKey]])*OutputTable[RecordedValue]))</f>
        <v>2305</v>
      </c>
      <c r="P139" cm="1">
        <f t="array" ref="P139">MAX(IF((OutputTable[GroupByKey]=OutputTable[[#This Row],[GroupByKey]]),(OutputTable[GroupByKey]=OutputTable[[#This Row],[GroupByKey]])*OutputTable[RecordedValue]))</f>
        <v>2504</v>
      </c>
    </row>
    <row r="140" spans="1:16" x14ac:dyDescent="0.25">
      <c r="A140" t="s">
        <v>68</v>
      </c>
      <c r="B140" t="s">
        <v>131</v>
      </c>
      <c r="C140">
        <v>9</v>
      </c>
      <c r="D140" t="s">
        <v>108</v>
      </c>
      <c r="E140" t="s">
        <v>109</v>
      </c>
      <c r="F140" t="s">
        <v>80</v>
      </c>
      <c r="G140">
        <v>1218.6593913649499</v>
      </c>
      <c r="H140">
        <v>0</v>
      </c>
      <c r="I140" t="str">
        <f>OutputTable[[#This Row],[ProjectName]]&amp;OutputTable[[#This Row],[Name]]&amp;OutputTable[[#This Row],[Type]]&amp;OutputTable[[#This Row],[Source]]</f>
        <v>PacientesProcess 2 Accum VA TimeAccum VA TimeProcess</v>
      </c>
      <c r="J140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cm="1">
        <f t="array" ref="K140">IFERROR(AVERAGE(IF((OutputTable[GroupByKey]=OutputTable[[#This Row],[GroupByKey]]),(OutputTable[GroupByKey]=OutputTable[[#This Row],[GroupByKey]])*OutputTable[RecordedValue])),0)</f>
        <v>1181.1234936767919</v>
      </c>
      <c r="L140" cm="1">
        <f t="array" ref="L140">IFERROR(_xlfn.STDEV.S(IF((OutputTable[GroupByKey]=OutputTable[[#This Row],[GroupByKey]]),(OutputTable[GroupByKey]=OutputTable[[#This Row],[GroupByKey]])*OutputTable[RecordedValue])),0)</f>
        <v>22.169313666927575</v>
      </c>
      <c r="M140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140" cm="1">
        <f t="array" ref="O140">MIN(IF((OutputTable[GroupByKey]=OutputTable[[#This Row],[GroupByKey]]),(OutputTable[GroupByKey]=OutputTable[[#This Row],[GroupByKey]])*OutputTable[RecordedValue]))</f>
        <v>1133.24622318414</v>
      </c>
      <c r="P140" cm="1">
        <f t="array" ref="P140">MAX(IF((OutputTable[GroupByKey]=OutputTable[[#This Row],[GroupByKey]]),(OutputTable[GroupByKey]=OutputTable[[#This Row],[GroupByKey]])*OutputTable[RecordedValue]))</f>
        <v>1230.9493287309799</v>
      </c>
    </row>
    <row r="141" spans="1:16" x14ac:dyDescent="0.25">
      <c r="A141" t="s">
        <v>68</v>
      </c>
      <c r="B141" t="s">
        <v>131</v>
      </c>
      <c r="C141">
        <v>9</v>
      </c>
      <c r="D141" t="s">
        <v>110</v>
      </c>
      <c r="E141" t="s">
        <v>111</v>
      </c>
      <c r="F141" t="s">
        <v>80</v>
      </c>
      <c r="G141">
        <v>2922.5566443994298</v>
      </c>
      <c r="H141">
        <v>0</v>
      </c>
      <c r="I141" t="str">
        <f>OutputTable[[#This Row],[ProjectName]]&amp;OutputTable[[#This Row],[Name]]&amp;OutputTable[[#This Row],[Type]]&amp;OutputTable[[#This Row],[Source]]</f>
        <v>PacientesProcess 2 Accum Wait TimeAccum Wait TimeProcess</v>
      </c>
      <c r="J141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cm="1">
        <f t="array" ref="K141">IFERROR(AVERAGE(IF((OutputTable[GroupByKey]=OutputTable[[#This Row],[GroupByKey]]),(OutputTable[GroupByKey]=OutputTable[[#This Row],[GroupByKey]])*OutputTable[RecordedValue])),0)</f>
        <v>1938.7515507466894</v>
      </c>
      <c r="L141" cm="1">
        <f t="array" ref="L141">IFERROR(_xlfn.STDEV.S(IF((OutputTable[GroupByKey]=OutputTable[[#This Row],[GroupByKey]]),(OutputTable[GroupByKey]=OutputTable[[#This Row],[GroupByKey]])*OutputTable[RecordedValue])),0)</f>
        <v>534.03396241838232</v>
      </c>
      <c r="M141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141" cm="1">
        <f t="array" ref="O141">MIN(IF((OutputTable[GroupByKey]=OutputTable[[#This Row],[GroupByKey]]),(OutputTable[GroupByKey]=OutputTable[[#This Row],[GroupByKey]])*OutputTable[RecordedValue]))</f>
        <v>1234.7567994731401</v>
      </c>
      <c r="P141" cm="1">
        <f t="array" ref="P141">MAX(IF((OutputTable[GroupByKey]=OutputTable[[#This Row],[GroupByKey]]),(OutputTable[GroupByKey]=OutputTable[[#This Row],[GroupByKey]])*OutputTable[RecordedValue]))</f>
        <v>3269.0858002883801</v>
      </c>
    </row>
    <row r="142" spans="1:16" x14ac:dyDescent="0.25">
      <c r="A142" t="s">
        <v>68</v>
      </c>
      <c r="B142" t="s">
        <v>131</v>
      </c>
      <c r="C142">
        <v>9</v>
      </c>
      <c r="D142" t="s">
        <v>112</v>
      </c>
      <c r="E142" t="s">
        <v>105</v>
      </c>
      <c r="F142" t="s">
        <v>80</v>
      </c>
      <c r="G142">
        <v>2430</v>
      </c>
      <c r="H142">
        <v>0</v>
      </c>
      <c r="I142" t="str">
        <f>OutputTable[[#This Row],[ProjectName]]&amp;OutputTable[[#This Row],[Name]]&amp;OutputTable[[#This Row],[Type]]&amp;OutputTable[[#This Row],[Source]]</f>
        <v>PacientesProcess 2 Number InNumber InProcess</v>
      </c>
      <c r="J142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cm="1">
        <f t="array" ref="K142">IFERROR(AVERAGE(IF((OutputTable[GroupByKey]=OutputTable[[#This Row],[GroupByKey]]),(OutputTable[GroupByKey]=OutputTable[[#This Row],[GroupByKey]])*OutputTable[RecordedValue])),0)</f>
        <v>2404.2399999999998</v>
      </c>
      <c r="L142" cm="1">
        <f t="array" ref="L142">IFERROR(_xlfn.STDEV.S(IF((OutputTable[GroupByKey]=OutputTable[[#This Row],[GroupByKey]]),(OutputTable[GroupByKey]=OutputTable[[#This Row],[GroupByKey]])*OutputTable[RecordedValue])),0)</f>
        <v>46.574303154053879</v>
      </c>
      <c r="M142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142" cm="1">
        <f t="array" ref="O142">MIN(IF((OutputTable[GroupByKey]=OutputTable[[#This Row],[GroupByKey]]),(OutputTable[GroupByKey]=OutputTable[[#This Row],[GroupByKey]])*OutputTable[RecordedValue]))</f>
        <v>2306</v>
      </c>
      <c r="P142" cm="1">
        <f t="array" ref="P142">MAX(IF((OutputTable[GroupByKey]=OutputTable[[#This Row],[GroupByKey]]),(OutputTable[GroupByKey]=OutputTable[[#This Row],[GroupByKey]])*OutputTable[RecordedValue]))</f>
        <v>2518</v>
      </c>
    </row>
    <row r="143" spans="1:16" x14ac:dyDescent="0.25">
      <c r="A143" t="s">
        <v>68</v>
      </c>
      <c r="B143" t="s">
        <v>131</v>
      </c>
      <c r="C143">
        <v>9</v>
      </c>
      <c r="D143" t="s">
        <v>113</v>
      </c>
      <c r="E143" t="s">
        <v>107</v>
      </c>
      <c r="F143" t="s">
        <v>80</v>
      </c>
      <c r="G143">
        <v>2429</v>
      </c>
      <c r="H143">
        <v>0</v>
      </c>
      <c r="I143" t="str">
        <f>OutputTable[[#This Row],[ProjectName]]&amp;OutputTable[[#This Row],[Name]]&amp;OutputTable[[#This Row],[Type]]&amp;OutputTable[[#This Row],[Source]]</f>
        <v>PacientesProcess 2 Number OutNumber OutProcess</v>
      </c>
      <c r="J143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cm="1">
        <f t="array" ref="K143">IFERROR(AVERAGE(IF((OutputTable[GroupByKey]=OutputTable[[#This Row],[GroupByKey]]),(OutputTable[GroupByKey]=OutputTable[[#This Row],[GroupByKey]])*OutputTable[RecordedValue])),0)</f>
        <v>2400.2800000000002</v>
      </c>
      <c r="L143" cm="1">
        <f t="array" ref="L143">IFERROR(_xlfn.STDEV.S(IF((OutputTable[GroupByKey]=OutputTable[[#This Row],[GroupByKey]]),(OutputTable[GroupByKey]=OutputTable[[#This Row],[GroupByKey]])*OutputTable[RecordedValue])),0)</f>
        <v>46.409024456676619</v>
      </c>
      <c r="M143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43" cm="1">
        <f t="array" ref="O143">MIN(IF((OutputTable[GroupByKey]=OutputTable[[#This Row],[GroupByKey]]),(OutputTable[GroupByKey]=OutputTable[[#This Row],[GroupByKey]])*OutputTable[RecordedValue]))</f>
        <v>2305</v>
      </c>
      <c r="P143" cm="1">
        <f t="array" ref="P143">MAX(IF((OutputTable[GroupByKey]=OutputTable[[#This Row],[GroupByKey]]),(OutputTable[GroupByKey]=OutputTable[[#This Row],[GroupByKey]])*OutputTable[RecordedValue]))</f>
        <v>2504</v>
      </c>
    </row>
    <row r="144" spans="1:16" x14ac:dyDescent="0.25">
      <c r="A144" t="s">
        <v>68</v>
      </c>
      <c r="B144" t="s">
        <v>131</v>
      </c>
      <c r="C144">
        <v>9</v>
      </c>
      <c r="D144" t="s">
        <v>114</v>
      </c>
      <c r="E144" t="s">
        <v>109</v>
      </c>
      <c r="F144" t="s">
        <v>80</v>
      </c>
      <c r="G144">
        <v>336.16470194848398</v>
      </c>
      <c r="H144">
        <v>0</v>
      </c>
      <c r="I144" t="str">
        <f>OutputTable[[#This Row],[ProjectName]]&amp;OutputTable[[#This Row],[Name]]&amp;OutputTable[[#This Row],[Type]]&amp;OutputTable[[#This Row],[Source]]</f>
        <v>PacientesRegistro Accum VA TimeAccum VA TimeProcess</v>
      </c>
      <c r="J144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cm="1">
        <f t="array" ref="K144">IFERROR(AVERAGE(IF((OutputTable[GroupByKey]=OutputTable[[#This Row],[GroupByKey]]),(OutputTable[GroupByKey]=OutputTable[[#This Row],[GroupByKey]])*OutputTable[RecordedValue])),0)</f>
        <v>339.53547737062786</v>
      </c>
      <c r="L144" cm="1">
        <f t="array" ref="L144">IFERROR(_xlfn.STDEV.S(IF((OutputTable[GroupByKey]=OutputTable[[#This Row],[GroupByKey]]),(OutputTable[GroupByKey]=OutputTable[[#This Row],[GroupByKey]])*OutputTable[RecordedValue])),0)</f>
        <v>6.9723666109353193</v>
      </c>
      <c r="M144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144" cm="1">
        <f t="array" ref="O144">MIN(IF((OutputTable[GroupByKey]=OutputTable[[#This Row],[GroupByKey]]),(OutputTable[GroupByKey]=OutputTable[[#This Row],[GroupByKey]])*OutputTable[RecordedValue]))</f>
        <v>325.606879158418</v>
      </c>
      <c r="P144" cm="1">
        <f t="array" ref="P144">MAX(IF((OutputTable[GroupByKey]=OutputTable[[#This Row],[GroupByKey]]),(OutputTable[GroupByKey]=OutputTable[[#This Row],[GroupByKey]])*OutputTable[RecordedValue]))</f>
        <v>357.77609013379703</v>
      </c>
    </row>
    <row r="145" spans="1:16" x14ac:dyDescent="0.25">
      <c r="A145" t="s">
        <v>68</v>
      </c>
      <c r="B145" t="s">
        <v>131</v>
      </c>
      <c r="C145">
        <v>9</v>
      </c>
      <c r="D145" t="s">
        <v>115</v>
      </c>
      <c r="E145" t="s">
        <v>111</v>
      </c>
      <c r="F145" t="s">
        <v>80</v>
      </c>
      <c r="G145">
        <v>157.813152283053</v>
      </c>
      <c r="H145">
        <v>0</v>
      </c>
      <c r="I145" t="str">
        <f>OutputTable[[#This Row],[ProjectName]]&amp;OutputTable[[#This Row],[Name]]&amp;OutputTable[[#This Row],[Type]]&amp;OutputTable[[#This Row],[Source]]</f>
        <v>PacientesRegistro Accum Wait TimeAccum Wait TimeProcess</v>
      </c>
      <c r="J14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cm="1">
        <f t="array" ref="K145">IFERROR(AVERAGE(IF((OutputTable[GroupByKey]=OutputTable[[#This Row],[GroupByKey]]),(OutputTable[GroupByKey]=OutputTable[[#This Row],[GroupByKey]])*OutputTable[RecordedValue])),0)</f>
        <v>154.15303898127775</v>
      </c>
      <c r="L145" cm="1">
        <f t="array" ref="L145">IFERROR(_xlfn.STDEV.S(IF((OutputTable[GroupByKey]=OutputTable[[#This Row],[GroupByKey]]),(OutputTable[GroupByKey]=OutputTable[[#This Row],[GroupByKey]])*OutputTable[RecordedValue])),0)</f>
        <v>12.141439184615397</v>
      </c>
      <c r="M14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145" cm="1">
        <f t="array" ref="O145">MIN(IF((OutputTable[GroupByKey]=OutputTable[[#This Row],[GroupByKey]]),(OutputTable[GroupByKey]=OutputTable[[#This Row],[GroupByKey]])*OutputTable[RecordedValue]))</f>
        <v>123.901613974094</v>
      </c>
      <c r="P145" cm="1">
        <f t="array" ref="P145">MAX(IF((OutputTable[GroupByKey]=OutputTable[[#This Row],[GroupByKey]]),(OutputTable[GroupByKey]=OutputTable[[#This Row],[GroupByKey]])*OutputTable[RecordedValue]))</f>
        <v>178.441307284473</v>
      </c>
    </row>
    <row r="146" spans="1:16" x14ac:dyDescent="0.25">
      <c r="A146" t="s">
        <v>68</v>
      </c>
      <c r="B146" t="s">
        <v>131</v>
      </c>
      <c r="C146">
        <v>9</v>
      </c>
      <c r="D146" t="s">
        <v>116</v>
      </c>
      <c r="E146" t="s">
        <v>105</v>
      </c>
      <c r="F146" t="s">
        <v>80</v>
      </c>
      <c r="G146">
        <v>2254</v>
      </c>
      <c r="H146">
        <v>0</v>
      </c>
      <c r="I146" t="str">
        <f>OutputTable[[#This Row],[ProjectName]]&amp;OutputTable[[#This Row],[Name]]&amp;OutputTable[[#This Row],[Type]]&amp;OutputTable[[#This Row],[Source]]</f>
        <v>PacientesRegistro Number InNumber InProcess</v>
      </c>
      <c r="J146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cm="1">
        <f t="array" ref="K146">IFERROR(AVERAGE(IF((OutputTable[GroupByKey]=OutputTable[[#This Row],[GroupByKey]]),(OutputTable[GroupByKey]=OutputTable[[#This Row],[GroupByKey]])*OutputTable[RecordedValue])),0)</f>
        <v>2263.2399999999998</v>
      </c>
      <c r="L146" cm="1">
        <f t="array" ref="L146">IFERROR(_xlfn.STDEV.S(IF((OutputTable[GroupByKey]=OutputTable[[#This Row],[GroupByKey]]),(OutputTable[GroupByKey]=OutputTable[[#This Row],[GroupByKey]])*OutputTable[RecordedValue])),0)</f>
        <v>47.331035682472766</v>
      </c>
      <c r="M146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146" cm="1">
        <f t="array" ref="O146">MIN(IF((OutputTable[GroupByKey]=OutputTable[[#This Row],[GroupByKey]]),(OutputTable[GroupByKey]=OutputTable[[#This Row],[GroupByKey]])*OutputTable[RecordedValue]))</f>
        <v>2172</v>
      </c>
      <c r="P146" cm="1">
        <f t="array" ref="P146">MAX(IF((OutputTable[GroupByKey]=OutputTable[[#This Row],[GroupByKey]]),(OutputTable[GroupByKey]=OutputTable[[#This Row],[GroupByKey]])*OutputTable[RecordedValue]))</f>
        <v>2386</v>
      </c>
    </row>
    <row r="147" spans="1:16" x14ac:dyDescent="0.25">
      <c r="A147" t="s">
        <v>68</v>
      </c>
      <c r="B147" t="s">
        <v>131</v>
      </c>
      <c r="C147">
        <v>9</v>
      </c>
      <c r="D147" t="s">
        <v>117</v>
      </c>
      <c r="E147" t="s">
        <v>107</v>
      </c>
      <c r="F147" t="s">
        <v>80</v>
      </c>
      <c r="G147">
        <v>2253</v>
      </c>
      <c r="H147">
        <v>0</v>
      </c>
      <c r="I147" t="str">
        <f>OutputTable[[#This Row],[ProjectName]]&amp;OutputTable[[#This Row],[Name]]&amp;OutputTable[[#This Row],[Type]]&amp;OutputTable[[#This Row],[Source]]</f>
        <v>PacientesRegistro Number OutNumber OutProcess</v>
      </c>
      <c r="J147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cm="1">
        <f t="array" ref="K147">IFERROR(AVERAGE(IF((OutputTable[GroupByKey]=OutputTable[[#This Row],[GroupByKey]]),(OutputTable[GroupByKey]=OutputTable[[#This Row],[GroupByKey]])*OutputTable[RecordedValue])),0)</f>
        <v>2262.66</v>
      </c>
      <c r="L147" cm="1">
        <f t="array" ref="L147">IFERROR(_xlfn.STDEV.S(IF((OutputTable[GroupByKey]=OutputTable[[#This Row],[GroupByKey]]),(OutputTable[GroupByKey]=OutputTable[[#This Row],[GroupByKey]])*OutputTable[RecordedValue])),0)</f>
        <v>47.488176831454687</v>
      </c>
      <c r="M147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147" cm="1">
        <f t="array" ref="O147">MIN(IF((OutputTable[GroupByKey]=OutputTable[[#This Row],[GroupByKey]]),(OutputTable[GroupByKey]=OutputTable[[#This Row],[GroupByKey]])*OutputTable[RecordedValue]))</f>
        <v>2171</v>
      </c>
      <c r="P147" cm="1">
        <f t="array" ref="P147">MAX(IF((OutputTable[GroupByKey]=OutputTable[[#This Row],[GroupByKey]]),(OutputTable[GroupByKey]=OutputTable[[#This Row],[GroupByKey]])*OutputTable[RecordedValue]))</f>
        <v>2386</v>
      </c>
    </row>
    <row r="148" spans="1:16" x14ac:dyDescent="0.25">
      <c r="A148" t="s">
        <v>68</v>
      </c>
      <c r="B148" t="s">
        <v>131</v>
      </c>
      <c r="C148">
        <v>9</v>
      </c>
      <c r="D148" t="s">
        <v>118</v>
      </c>
      <c r="E148" t="s">
        <v>107</v>
      </c>
      <c r="F148" t="s">
        <v>119</v>
      </c>
      <c r="G148">
        <v>2429</v>
      </c>
      <c r="H148">
        <v>0</v>
      </c>
      <c r="I148" t="str">
        <f>OutputTable[[#This Row],[ProjectName]]&amp;OutputTable[[#This Row],[Name]]&amp;OutputTable[[#This Row],[Type]]&amp;OutputTable[[#This Row],[Source]]</f>
        <v>PacientesSystem.NumberOutNumber OutSystem</v>
      </c>
      <c r="J148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cm="1">
        <f t="array" ref="K148">IFERROR(AVERAGE(IF((OutputTable[GroupByKey]=OutputTable[[#This Row],[GroupByKey]]),(OutputTable[GroupByKey]=OutputTable[[#This Row],[GroupByKey]])*OutputTable[RecordedValue])),0)</f>
        <v>2400.2800000000002</v>
      </c>
      <c r="L148" cm="1">
        <f t="array" ref="L148">IFERROR(_xlfn.STDEV.S(IF((OutputTable[GroupByKey]=OutputTable[[#This Row],[GroupByKey]]),(OutputTable[GroupByKey]=OutputTable[[#This Row],[GroupByKey]])*OutputTable[RecordedValue])),0)</f>
        <v>46.409024456676619</v>
      </c>
      <c r="M148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48" cm="1">
        <f t="array" ref="O148">MIN(IF((OutputTable[GroupByKey]=OutputTable[[#This Row],[GroupByKey]]),(OutputTable[GroupByKey]=OutputTable[[#This Row],[GroupByKey]])*OutputTable[RecordedValue]))</f>
        <v>2305</v>
      </c>
      <c r="P148" cm="1">
        <f t="array" ref="P148">MAX(IF((OutputTable[GroupByKey]=OutputTable[[#This Row],[GroupByKey]]),(OutputTable[GroupByKey]=OutputTable[[#This Row],[GroupByKey]])*OutputTable[RecordedValue]))</f>
        <v>2504</v>
      </c>
    </row>
    <row r="149" spans="1:16" x14ac:dyDescent="0.25">
      <c r="A149" t="s">
        <v>68</v>
      </c>
      <c r="B149" t="s">
        <v>131</v>
      </c>
      <c r="C149">
        <v>9</v>
      </c>
      <c r="D149" t="s">
        <v>120</v>
      </c>
      <c r="E149" t="s">
        <v>121</v>
      </c>
      <c r="F149" t="s">
        <v>99</v>
      </c>
      <c r="G149">
        <v>2430</v>
      </c>
      <c r="H149">
        <v>0</v>
      </c>
      <c r="I149" t="str">
        <f>OutputTable[[#This Row],[ProjectName]]&amp;OutputTable[[#This Row],[Name]]&amp;OutputTable[[#This Row],[Type]]&amp;OutputTable[[#This Row],[Source]]</f>
        <v>PacientesrCamas.NumberSeizedTotal Number SeizedResource</v>
      </c>
      <c r="J149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cm="1">
        <f t="array" ref="K149">IFERROR(AVERAGE(IF((OutputTable[GroupByKey]=OutputTable[[#This Row],[GroupByKey]]),(OutputTable[GroupByKey]=OutputTable[[#This Row],[GroupByKey]])*OutputTable[RecordedValue])),0)</f>
        <v>2401.9</v>
      </c>
      <c r="L149" cm="1">
        <f t="array" ref="L149">IFERROR(_xlfn.STDEV.S(IF((OutputTable[GroupByKey]=OutputTable[[#This Row],[GroupByKey]]),(OutputTable[GroupByKey]=OutputTable[[#This Row],[GroupByKey]])*OutputTable[RecordedValue])),0)</f>
        <v>46.417031532903209</v>
      </c>
      <c r="M149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49" cm="1">
        <f t="array" ref="O149">MIN(IF((OutputTable[GroupByKey]=OutputTable[[#This Row],[GroupByKey]]),(OutputTable[GroupByKey]=OutputTable[[#This Row],[GroupByKey]])*OutputTable[RecordedValue]))</f>
        <v>2306</v>
      </c>
      <c r="P149" cm="1">
        <f t="array" ref="P149">MAX(IF((OutputTable[GroupByKey]=OutputTable[[#This Row],[GroupByKey]]),(OutputTable[GroupByKey]=OutputTable[[#This Row],[GroupByKey]])*OutputTable[RecordedValue]))</f>
        <v>2506</v>
      </c>
    </row>
    <row r="150" spans="1:16" x14ac:dyDescent="0.25">
      <c r="A150" t="s">
        <v>68</v>
      </c>
      <c r="B150" t="s">
        <v>131</v>
      </c>
      <c r="C150">
        <v>9</v>
      </c>
      <c r="D150" t="s">
        <v>122</v>
      </c>
      <c r="E150" t="s">
        <v>123</v>
      </c>
      <c r="F150" t="s">
        <v>99</v>
      </c>
      <c r="G150">
        <v>0.56439564516810503</v>
      </c>
      <c r="H150">
        <v>0</v>
      </c>
      <c r="I150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150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cm="1">
        <f t="array" ref="K150">IFERROR(AVERAGE(IF((OutputTable[GroupByKey]=OutputTable[[#This Row],[GroupByKey]]),(OutputTable[GroupByKey]=OutputTable[[#This Row],[GroupByKey]])*OutputTable[RecordedValue])),0)</f>
        <v>0.54703961359050601</v>
      </c>
      <c r="L150" cm="1">
        <f t="array" ref="L150">IFERROR(_xlfn.STDEV.S(IF((OutputTable[GroupByKey]=OutputTable[[#This Row],[GroupByKey]]),(OutputTable[GroupByKey]=OutputTable[[#This Row],[GroupByKey]])*OutputTable[RecordedValue])),0)</f>
        <v>1.0221170008030479E-2</v>
      </c>
      <c r="M150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150" cm="1">
        <f t="array" ref="O150">MIN(IF((OutputTable[GroupByKey]=OutputTable[[#This Row],[GroupByKey]]),(OutputTable[GroupByKey]=OutputTable[[#This Row],[GroupByKey]])*OutputTable[RecordedValue]))</f>
        <v>0.52470641844357901</v>
      </c>
      <c r="P150" cm="1">
        <f t="array" ref="P150">MAX(IF((OutputTable[GroupByKey]=OutputTable[[#This Row],[GroupByKey]]),(OutputTable[GroupByKey]=OutputTable[[#This Row],[GroupByKey]])*OutputTable[RecordedValue]))</f>
        <v>0.57005812966092295</v>
      </c>
    </row>
    <row r="151" spans="1:16" x14ac:dyDescent="0.25">
      <c r="A151" t="s">
        <v>68</v>
      </c>
      <c r="B151" t="s">
        <v>131</v>
      </c>
      <c r="C151">
        <v>9</v>
      </c>
      <c r="D151" t="s">
        <v>124</v>
      </c>
      <c r="E151" t="s">
        <v>121</v>
      </c>
      <c r="F151" t="s">
        <v>99</v>
      </c>
      <c r="G151">
        <v>2430</v>
      </c>
      <c r="H151">
        <v>0</v>
      </c>
      <c r="I151" t="str">
        <f>OutputTable[[#This Row],[ProjectName]]&amp;OutputTable[[#This Row],[Name]]&amp;OutputTable[[#This Row],[Type]]&amp;OutputTable[[#This Row],[Source]]</f>
        <v>PacientesrMedico.NumberSeizedTotal Number SeizedResource</v>
      </c>
      <c r="J151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cm="1">
        <f t="array" ref="K151">IFERROR(AVERAGE(IF((OutputTable[GroupByKey]=OutputTable[[#This Row],[GroupByKey]]),(OutputTable[GroupByKey]=OutputTable[[#This Row],[GroupByKey]])*OutputTable[RecordedValue])),0)</f>
        <v>2401.9</v>
      </c>
      <c r="L151" cm="1">
        <f t="array" ref="L151">IFERROR(_xlfn.STDEV.S(IF((OutputTable[GroupByKey]=OutputTable[[#This Row],[GroupByKey]]),(OutputTable[GroupByKey]=OutputTable[[#This Row],[GroupByKey]])*OutputTable[RecordedValue])),0)</f>
        <v>46.417031532903209</v>
      </c>
      <c r="M151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51" cm="1">
        <f t="array" ref="O151">MIN(IF((OutputTable[GroupByKey]=OutputTable[[#This Row],[GroupByKey]]),(OutputTable[GroupByKey]=OutputTable[[#This Row],[GroupByKey]])*OutputTable[RecordedValue]))</f>
        <v>2306</v>
      </c>
      <c r="P151" cm="1">
        <f t="array" ref="P151">MAX(IF((OutputTable[GroupByKey]=OutputTable[[#This Row],[GroupByKey]]),(OutputTable[GroupByKey]=OutputTable[[#This Row],[GroupByKey]])*OutputTable[RecordedValue]))</f>
        <v>2506</v>
      </c>
    </row>
    <row r="152" spans="1:16" x14ac:dyDescent="0.25">
      <c r="A152" t="s">
        <v>68</v>
      </c>
      <c r="B152" t="s">
        <v>131</v>
      </c>
      <c r="C152">
        <v>9</v>
      </c>
      <c r="D152" t="s">
        <v>125</v>
      </c>
      <c r="E152" t="s">
        <v>123</v>
      </c>
      <c r="F152" t="s">
        <v>99</v>
      </c>
      <c r="G152">
        <v>0.84659346775215705</v>
      </c>
      <c r="H152">
        <v>0</v>
      </c>
      <c r="I152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152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cm="1">
        <f t="array" ref="K152">IFERROR(AVERAGE(IF((OutputTable[GroupByKey]=OutputTable[[#This Row],[GroupByKey]]),(OutputTable[GroupByKey]=OutputTable[[#This Row],[GroupByKey]])*OutputTable[RecordedValue])),0)</f>
        <v>0.82055942038575935</v>
      </c>
      <c r="L152" cm="1">
        <f t="array" ref="L152">IFERROR(_xlfn.STDEV.S(IF((OutputTable[GroupByKey]=OutputTable[[#This Row],[GroupByKey]]),(OutputTable[GroupByKey]=OutputTable[[#This Row],[GroupByKey]])*OutputTable[RecordedValue])),0)</f>
        <v>1.5331755012045719E-2</v>
      </c>
      <c r="M152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152" cm="1">
        <f t="array" ref="O152">MIN(IF((OutputTable[GroupByKey]=OutputTable[[#This Row],[GroupByKey]]),(OutputTable[GroupByKey]=OutputTable[[#This Row],[GroupByKey]])*OutputTable[RecordedValue]))</f>
        <v>0.78705962766536897</v>
      </c>
      <c r="P152" cm="1">
        <f t="array" ref="P152">MAX(IF((OutputTable[GroupByKey]=OutputTable[[#This Row],[GroupByKey]]),(OutputTable[GroupByKey]=OutputTable[[#This Row],[GroupByKey]])*OutputTable[RecordedValue]))</f>
        <v>0.85508719449138504</v>
      </c>
    </row>
    <row r="153" spans="1:16" x14ac:dyDescent="0.25">
      <c r="A153" t="s">
        <v>68</v>
      </c>
      <c r="B153" t="s">
        <v>131</v>
      </c>
      <c r="C153">
        <v>9</v>
      </c>
      <c r="D153" t="s">
        <v>126</v>
      </c>
      <c r="E153" t="s">
        <v>121</v>
      </c>
      <c r="F153" t="s">
        <v>99</v>
      </c>
      <c r="G153">
        <v>2254</v>
      </c>
      <c r="H153">
        <v>0</v>
      </c>
      <c r="I153" t="str">
        <f>OutputTable[[#This Row],[ProjectName]]&amp;OutputTable[[#This Row],[Name]]&amp;OutputTable[[#This Row],[Type]]&amp;OutputTable[[#This Row],[Source]]</f>
        <v>PacientesrRegistradora.NumberSeizedTotal Number SeizedResource</v>
      </c>
      <c r="J153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cm="1">
        <f t="array" ref="K153">IFERROR(AVERAGE(IF((OutputTable[GroupByKey]=OutputTable[[#This Row],[GroupByKey]]),(OutputTable[GroupByKey]=OutputTable[[#This Row],[GroupByKey]])*OutputTable[RecordedValue])),0)</f>
        <v>2263.14</v>
      </c>
      <c r="L153" cm="1">
        <f t="array" ref="L153">IFERROR(_xlfn.STDEV.S(IF((OutputTable[GroupByKey]=OutputTable[[#This Row],[GroupByKey]]),(OutputTable[GroupByKey]=OutputTable[[#This Row],[GroupByKey]])*OutputTable[RecordedValue])),0)</f>
        <v>47.386818971575821</v>
      </c>
      <c r="M153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153" cm="1">
        <f t="array" ref="O153">MIN(IF((OutputTable[GroupByKey]=OutputTable[[#This Row],[GroupByKey]]),(OutputTable[GroupByKey]=OutputTable[[#This Row],[GroupByKey]])*OutputTable[RecordedValue]))</f>
        <v>2172</v>
      </c>
      <c r="P153" cm="1">
        <f t="array" ref="P153">MAX(IF((OutputTable[GroupByKey]=OutputTable[[#This Row],[GroupByKey]]),(OutputTable[GroupByKey]=OutputTable[[#This Row],[GroupByKey]])*OutputTable[RecordedValue]))</f>
        <v>2386</v>
      </c>
    </row>
    <row r="154" spans="1:16" x14ac:dyDescent="0.25">
      <c r="A154" t="s">
        <v>68</v>
      </c>
      <c r="B154" t="s">
        <v>131</v>
      </c>
      <c r="C154">
        <v>9</v>
      </c>
      <c r="D154" t="s">
        <v>127</v>
      </c>
      <c r="E154" t="s">
        <v>123</v>
      </c>
      <c r="F154" t="s">
        <v>99</v>
      </c>
      <c r="G154">
        <v>0.46693965225248202</v>
      </c>
      <c r="H154">
        <v>0</v>
      </c>
      <c r="I154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154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cm="1">
        <f t="array" ref="K154">IFERROR(AVERAGE(IF((OutputTable[GroupByKey]=OutputTable[[#This Row],[GroupByKey]]),(OutputTable[GroupByKey]=OutputTable[[#This Row],[GroupByKey]])*OutputTable[RecordedValue])),0)</f>
        <v>0.47162762933545666</v>
      </c>
      <c r="L154" cm="1">
        <f t="array" ref="L154">IFERROR(_xlfn.STDEV.S(IF((OutputTable[GroupByKey]=OutputTable[[#This Row],[GroupByKey]]),(OutputTable[GroupByKey]=OutputTable[[#This Row],[GroupByKey]])*OutputTable[RecordedValue])),0)</f>
        <v>9.6615227076777797E-3</v>
      </c>
      <c r="M154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154" cm="1">
        <f t="array" ref="O154">MIN(IF((OutputTable[GroupByKey]=OutputTable[[#This Row],[GroupByKey]]),(OutputTable[GroupByKey]=OutputTable[[#This Row],[GroupByKey]])*OutputTable[RecordedValue]))</f>
        <v>0.452397944183905</v>
      </c>
      <c r="P154" cm="1">
        <f t="array" ref="P154">MAX(IF((OutputTable[GroupByKey]=OutputTable[[#This Row],[GroupByKey]]),(OutputTable[GroupByKey]=OutputTable[[#This Row],[GroupByKey]])*OutputTable[RecordedValue]))</f>
        <v>0.49691123629694001</v>
      </c>
    </row>
    <row r="155" spans="1:16" x14ac:dyDescent="0.25">
      <c r="A155" t="s">
        <v>68</v>
      </c>
      <c r="B155" t="s">
        <v>131</v>
      </c>
      <c r="C155">
        <v>10</v>
      </c>
      <c r="D155" t="s">
        <v>104</v>
      </c>
      <c r="E155" t="s">
        <v>105</v>
      </c>
      <c r="F155" t="s">
        <v>72</v>
      </c>
      <c r="G155">
        <v>2504</v>
      </c>
      <c r="H155">
        <v>0</v>
      </c>
      <c r="I155" t="str">
        <f>OutputTable[[#This Row],[ProjectName]]&amp;OutputTable[[#This Row],[Name]]&amp;OutputTable[[#This Row],[Type]]&amp;OutputTable[[#This Row],[Source]]</f>
        <v>PacientesEntity 1.NumberInNumber InEntity</v>
      </c>
      <c r="J15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cm="1">
        <f t="array" ref="K155">IFERROR(AVERAGE(IF((OutputTable[GroupByKey]=OutputTable[[#This Row],[GroupByKey]]),(OutputTable[GroupByKey]=OutputTable[[#This Row],[GroupByKey]])*OutputTable[RecordedValue])),0)</f>
        <v>2404.8200000000002</v>
      </c>
      <c r="L155" cm="1">
        <f t="array" ref="L155">IFERROR(_xlfn.STDEV.S(IF((OutputTable[GroupByKey]=OutputTable[[#This Row],[GroupByKey]]),(OutputTable[GroupByKey]=OutputTable[[#This Row],[GroupByKey]])*OutputTable[RecordedValue])),0)</f>
        <v>46.42953405595474</v>
      </c>
      <c r="M15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155" cm="1">
        <f t="array" ref="O155">MIN(IF((OutputTable[GroupByKey]=OutputTable[[#This Row],[GroupByKey]]),(OutputTable[GroupByKey]=OutputTable[[#This Row],[GroupByKey]])*OutputTable[RecordedValue]))</f>
        <v>2307</v>
      </c>
      <c r="P155" cm="1">
        <f t="array" ref="P155">MAX(IF((OutputTable[GroupByKey]=OutputTable[[#This Row],[GroupByKey]]),(OutputTable[GroupByKey]=OutputTable[[#This Row],[GroupByKey]])*OutputTable[RecordedValue]))</f>
        <v>2518</v>
      </c>
    </row>
    <row r="156" spans="1:16" x14ac:dyDescent="0.25">
      <c r="A156" t="s">
        <v>68</v>
      </c>
      <c r="B156" t="s">
        <v>131</v>
      </c>
      <c r="C156">
        <v>10</v>
      </c>
      <c r="D156" t="s">
        <v>106</v>
      </c>
      <c r="E156" t="s">
        <v>107</v>
      </c>
      <c r="F156" t="s">
        <v>72</v>
      </c>
      <c r="G156">
        <v>2502</v>
      </c>
      <c r="H156">
        <v>0</v>
      </c>
      <c r="I156" t="str">
        <f>OutputTable[[#This Row],[ProjectName]]&amp;OutputTable[[#This Row],[Name]]&amp;OutputTable[[#This Row],[Type]]&amp;OutputTable[[#This Row],[Source]]</f>
        <v>PacientesEntity 1.NumberOutNumber OutEntity</v>
      </c>
      <c r="J156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cm="1">
        <f t="array" ref="K156">IFERROR(AVERAGE(IF((OutputTable[GroupByKey]=OutputTable[[#This Row],[GroupByKey]]),(OutputTable[GroupByKey]=OutputTable[[#This Row],[GroupByKey]])*OutputTable[RecordedValue])),0)</f>
        <v>2400.2800000000002</v>
      </c>
      <c r="L156" cm="1">
        <f t="array" ref="L156">IFERROR(_xlfn.STDEV.S(IF((OutputTable[GroupByKey]=OutputTable[[#This Row],[GroupByKey]]),(OutputTable[GroupByKey]=OutputTable[[#This Row],[GroupByKey]])*OutputTable[RecordedValue])),0)</f>
        <v>46.409024456676619</v>
      </c>
      <c r="M156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56" cm="1">
        <f t="array" ref="O156">MIN(IF((OutputTable[GroupByKey]=OutputTable[[#This Row],[GroupByKey]]),(OutputTable[GroupByKey]=OutputTable[[#This Row],[GroupByKey]])*OutputTable[RecordedValue]))</f>
        <v>2305</v>
      </c>
      <c r="P156" cm="1">
        <f t="array" ref="P156">MAX(IF((OutputTable[GroupByKey]=OutputTable[[#This Row],[GroupByKey]]),(OutputTable[GroupByKey]=OutputTable[[#This Row],[GroupByKey]])*OutputTable[RecordedValue]))</f>
        <v>2504</v>
      </c>
    </row>
    <row r="157" spans="1:16" x14ac:dyDescent="0.25">
      <c r="A157" t="s">
        <v>68</v>
      </c>
      <c r="B157" t="s">
        <v>131</v>
      </c>
      <c r="C157">
        <v>10</v>
      </c>
      <c r="D157" t="s">
        <v>108</v>
      </c>
      <c r="E157" t="s">
        <v>109</v>
      </c>
      <c r="F157" t="s">
        <v>80</v>
      </c>
      <c r="G157">
        <v>1222.0058683253401</v>
      </c>
      <c r="H157">
        <v>0</v>
      </c>
      <c r="I157" t="str">
        <f>OutputTable[[#This Row],[ProjectName]]&amp;OutputTable[[#This Row],[Name]]&amp;OutputTable[[#This Row],[Type]]&amp;OutputTable[[#This Row],[Source]]</f>
        <v>PacientesProcess 2 Accum VA TimeAccum VA TimeProcess</v>
      </c>
      <c r="J157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cm="1">
        <f t="array" ref="K157">IFERROR(AVERAGE(IF((OutputTable[GroupByKey]=OutputTable[[#This Row],[GroupByKey]]),(OutputTable[GroupByKey]=OutputTable[[#This Row],[GroupByKey]])*OutputTable[RecordedValue])),0)</f>
        <v>1181.1234936767919</v>
      </c>
      <c r="L157" cm="1">
        <f t="array" ref="L157">IFERROR(_xlfn.STDEV.S(IF((OutputTable[GroupByKey]=OutputTable[[#This Row],[GroupByKey]]),(OutputTable[GroupByKey]=OutputTable[[#This Row],[GroupByKey]])*OutputTable[RecordedValue])),0)</f>
        <v>22.169313666927575</v>
      </c>
      <c r="M157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157" cm="1">
        <f t="array" ref="O157">MIN(IF((OutputTable[GroupByKey]=OutputTable[[#This Row],[GroupByKey]]),(OutputTable[GroupByKey]=OutputTable[[#This Row],[GroupByKey]])*OutputTable[RecordedValue]))</f>
        <v>1133.24622318414</v>
      </c>
      <c r="P157" cm="1">
        <f t="array" ref="P157">MAX(IF((OutputTable[GroupByKey]=OutputTable[[#This Row],[GroupByKey]]),(OutputTable[GroupByKey]=OutputTable[[#This Row],[GroupByKey]])*OutputTable[RecordedValue]))</f>
        <v>1230.9493287309799</v>
      </c>
    </row>
    <row r="158" spans="1:16" x14ac:dyDescent="0.25">
      <c r="A158" t="s">
        <v>68</v>
      </c>
      <c r="B158" t="s">
        <v>131</v>
      </c>
      <c r="C158">
        <v>10</v>
      </c>
      <c r="D158" t="s">
        <v>110</v>
      </c>
      <c r="E158" t="s">
        <v>111</v>
      </c>
      <c r="F158" t="s">
        <v>80</v>
      </c>
      <c r="G158">
        <v>2475.2959345509698</v>
      </c>
      <c r="H158">
        <v>0</v>
      </c>
      <c r="I158" t="str">
        <f>OutputTable[[#This Row],[ProjectName]]&amp;OutputTable[[#This Row],[Name]]&amp;OutputTable[[#This Row],[Type]]&amp;OutputTable[[#This Row],[Source]]</f>
        <v>PacientesProcess 2 Accum Wait TimeAccum Wait TimeProcess</v>
      </c>
      <c r="J158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cm="1">
        <f t="array" ref="K158">IFERROR(AVERAGE(IF((OutputTable[GroupByKey]=OutputTable[[#This Row],[GroupByKey]]),(OutputTable[GroupByKey]=OutputTable[[#This Row],[GroupByKey]])*OutputTable[RecordedValue])),0)</f>
        <v>1938.7515507466894</v>
      </c>
      <c r="L158" cm="1">
        <f t="array" ref="L158">IFERROR(_xlfn.STDEV.S(IF((OutputTable[GroupByKey]=OutputTable[[#This Row],[GroupByKey]]),(OutputTable[GroupByKey]=OutputTable[[#This Row],[GroupByKey]])*OutputTable[RecordedValue])),0)</f>
        <v>534.03396241838232</v>
      </c>
      <c r="M158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158" cm="1">
        <f t="array" ref="O158">MIN(IF((OutputTable[GroupByKey]=OutputTable[[#This Row],[GroupByKey]]),(OutputTable[GroupByKey]=OutputTable[[#This Row],[GroupByKey]])*OutputTable[RecordedValue]))</f>
        <v>1234.7567994731401</v>
      </c>
      <c r="P158" cm="1">
        <f t="array" ref="P158">MAX(IF((OutputTable[GroupByKey]=OutputTable[[#This Row],[GroupByKey]]),(OutputTable[GroupByKey]=OutputTable[[#This Row],[GroupByKey]])*OutputTable[RecordedValue]))</f>
        <v>3269.0858002883801</v>
      </c>
    </row>
    <row r="159" spans="1:16" x14ac:dyDescent="0.25">
      <c r="A159" t="s">
        <v>68</v>
      </c>
      <c r="B159" t="s">
        <v>131</v>
      </c>
      <c r="C159">
        <v>10</v>
      </c>
      <c r="D159" t="s">
        <v>112</v>
      </c>
      <c r="E159" t="s">
        <v>105</v>
      </c>
      <c r="F159" t="s">
        <v>80</v>
      </c>
      <c r="G159">
        <v>2503</v>
      </c>
      <c r="H159">
        <v>0</v>
      </c>
      <c r="I159" t="str">
        <f>OutputTable[[#This Row],[ProjectName]]&amp;OutputTable[[#This Row],[Name]]&amp;OutputTable[[#This Row],[Type]]&amp;OutputTable[[#This Row],[Source]]</f>
        <v>PacientesProcess 2 Number InNumber InProcess</v>
      </c>
      <c r="J159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cm="1">
        <f t="array" ref="K159">IFERROR(AVERAGE(IF((OutputTable[GroupByKey]=OutputTable[[#This Row],[GroupByKey]]),(OutputTable[GroupByKey]=OutputTable[[#This Row],[GroupByKey]])*OutputTable[RecordedValue])),0)</f>
        <v>2404.2399999999998</v>
      </c>
      <c r="L159" cm="1">
        <f t="array" ref="L159">IFERROR(_xlfn.STDEV.S(IF((OutputTable[GroupByKey]=OutputTable[[#This Row],[GroupByKey]]),(OutputTable[GroupByKey]=OutputTable[[#This Row],[GroupByKey]])*OutputTable[RecordedValue])),0)</f>
        <v>46.574303154053879</v>
      </c>
      <c r="M159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159" cm="1">
        <f t="array" ref="O159">MIN(IF((OutputTable[GroupByKey]=OutputTable[[#This Row],[GroupByKey]]),(OutputTable[GroupByKey]=OutputTable[[#This Row],[GroupByKey]])*OutputTable[RecordedValue]))</f>
        <v>2306</v>
      </c>
      <c r="P159" cm="1">
        <f t="array" ref="P159">MAX(IF((OutputTable[GroupByKey]=OutputTable[[#This Row],[GroupByKey]]),(OutputTable[GroupByKey]=OutputTable[[#This Row],[GroupByKey]])*OutputTable[RecordedValue]))</f>
        <v>2518</v>
      </c>
    </row>
    <row r="160" spans="1:16" x14ac:dyDescent="0.25">
      <c r="A160" t="s">
        <v>68</v>
      </c>
      <c r="B160" t="s">
        <v>131</v>
      </c>
      <c r="C160">
        <v>10</v>
      </c>
      <c r="D160" t="s">
        <v>113</v>
      </c>
      <c r="E160" t="s">
        <v>107</v>
      </c>
      <c r="F160" t="s">
        <v>80</v>
      </c>
      <c r="G160">
        <v>2502</v>
      </c>
      <c r="H160">
        <v>0</v>
      </c>
      <c r="I160" t="str">
        <f>OutputTable[[#This Row],[ProjectName]]&amp;OutputTable[[#This Row],[Name]]&amp;OutputTable[[#This Row],[Type]]&amp;OutputTable[[#This Row],[Source]]</f>
        <v>PacientesProcess 2 Number OutNumber OutProcess</v>
      </c>
      <c r="J160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cm="1">
        <f t="array" ref="K160">IFERROR(AVERAGE(IF((OutputTable[GroupByKey]=OutputTable[[#This Row],[GroupByKey]]),(OutputTable[GroupByKey]=OutputTable[[#This Row],[GroupByKey]])*OutputTable[RecordedValue])),0)</f>
        <v>2400.2800000000002</v>
      </c>
      <c r="L160" cm="1">
        <f t="array" ref="L160">IFERROR(_xlfn.STDEV.S(IF((OutputTable[GroupByKey]=OutputTable[[#This Row],[GroupByKey]]),(OutputTable[GroupByKey]=OutputTable[[#This Row],[GroupByKey]])*OutputTable[RecordedValue])),0)</f>
        <v>46.409024456676619</v>
      </c>
      <c r="M160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60" cm="1">
        <f t="array" ref="O160">MIN(IF((OutputTable[GroupByKey]=OutputTable[[#This Row],[GroupByKey]]),(OutputTable[GroupByKey]=OutputTable[[#This Row],[GroupByKey]])*OutputTable[RecordedValue]))</f>
        <v>2305</v>
      </c>
      <c r="P160" cm="1">
        <f t="array" ref="P160">MAX(IF((OutputTable[GroupByKey]=OutputTable[[#This Row],[GroupByKey]]),(OutputTable[GroupByKey]=OutputTable[[#This Row],[GroupByKey]])*OutputTable[RecordedValue]))</f>
        <v>2504</v>
      </c>
    </row>
    <row r="161" spans="1:16" x14ac:dyDescent="0.25">
      <c r="A161" t="s">
        <v>68</v>
      </c>
      <c r="B161" t="s">
        <v>131</v>
      </c>
      <c r="C161">
        <v>10</v>
      </c>
      <c r="D161" t="s">
        <v>114</v>
      </c>
      <c r="E161" t="s">
        <v>109</v>
      </c>
      <c r="F161" t="s">
        <v>80</v>
      </c>
      <c r="G161">
        <v>355.71946909950901</v>
      </c>
      <c r="H161">
        <v>0</v>
      </c>
      <c r="I161" t="str">
        <f>OutputTable[[#This Row],[ProjectName]]&amp;OutputTable[[#This Row],[Name]]&amp;OutputTable[[#This Row],[Type]]&amp;OutputTable[[#This Row],[Source]]</f>
        <v>PacientesRegistro Accum VA TimeAccum VA TimeProcess</v>
      </c>
      <c r="J161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cm="1">
        <f t="array" ref="K161">IFERROR(AVERAGE(IF((OutputTable[GroupByKey]=OutputTable[[#This Row],[GroupByKey]]),(OutputTable[GroupByKey]=OutputTable[[#This Row],[GroupByKey]])*OutputTable[RecordedValue])),0)</f>
        <v>339.53547737062786</v>
      </c>
      <c r="L161" cm="1">
        <f t="array" ref="L161">IFERROR(_xlfn.STDEV.S(IF((OutputTable[GroupByKey]=OutputTable[[#This Row],[GroupByKey]]),(OutputTable[GroupByKey]=OutputTable[[#This Row],[GroupByKey]])*OutputTable[RecordedValue])),0)</f>
        <v>6.9723666109353193</v>
      </c>
      <c r="M161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161" cm="1">
        <f t="array" ref="O161">MIN(IF((OutputTable[GroupByKey]=OutputTable[[#This Row],[GroupByKey]]),(OutputTable[GroupByKey]=OutputTable[[#This Row],[GroupByKey]])*OutputTable[RecordedValue]))</f>
        <v>325.606879158418</v>
      </c>
      <c r="P161" cm="1">
        <f t="array" ref="P161">MAX(IF((OutputTable[GroupByKey]=OutputTable[[#This Row],[GroupByKey]]),(OutputTable[GroupByKey]=OutputTable[[#This Row],[GroupByKey]])*OutputTable[RecordedValue]))</f>
        <v>357.77609013379703</v>
      </c>
    </row>
    <row r="162" spans="1:16" x14ac:dyDescent="0.25">
      <c r="A162" t="s">
        <v>68</v>
      </c>
      <c r="B162" t="s">
        <v>131</v>
      </c>
      <c r="C162">
        <v>10</v>
      </c>
      <c r="D162" t="s">
        <v>115</v>
      </c>
      <c r="E162" t="s">
        <v>111</v>
      </c>
      <c r="F162" t="s">
        <v>80</v>
      </c>
      <c r="G162">
        <v>167.67190882894101</v>
      </c>
      <c r="H162">
        <v>0</v>
      </c>
      <c r="I162" t="str">
        <f>OutputTable[[#This Row],[ProjectName]]&amp;OutputTable[[#This Row],[Name]]&amp;OutputTable[[#This Row],[Type]]&amp;OutputTable[[#This Row],[Source]]</f>
        <v>PacientesRegistro Accum Wait TimeAccum Wait TimeProcess</v>
      </c>
      <c r="J162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cm="1">
        <f t="array" ref="K162">IFERROR(AVERAGE(IF((OutputTable[GroupByKey]=OutputTable[[#This Row],[GroupByKey]]),(OutputTable[GroupByKey]=OutputTable[[#This Row],[GroupByKey]])*OutputTable[RecordedValue])),0)</f>
        <v>154.15303898127775</v>
      </c>
      <c r="L162" cm="1">
        <f t="array" ref="L162">IFERROR(_xlfn.STDEV.S(IF((OutputTable[GroupByKey]=OutputTable[[#This Row],[GroupByKey]]),(OutputTable[GroupByKey]=OutputTable[[#This Row],[GroupByKey]])*OutputTable[RecordedValue])),0)</f>
        <v>12.141439184615397</v>
      </c>
      <c r="M162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162" cm="1">
        <f t="array" ref="O162">MIN(IF((OutputTable[GroupByKey]=OutputTable[[#This Row],[GroupByKey]]),(OutputTable[GroupByKey]=OutputTable[[#This Row],[GroupByKey]])*OutputTable[RecordedValue]))</f>
        <v>123.901613974094</v>
      </c>
      <c r="P162" cm="1">
        <f t="array" ref="P162">MAX(IF((OutputTable[GroupByKey]=OutputTable[[#This Row],[GroupByKey]]),(OutputTable[GroupByKey]=OutputTable[[#This Row],[GroupByKey]])*OutputTable[RecordedValue]))</f>
        <v>178.441307284473</v>
      </c>
    </row>
    <row r="163" spans="1:16" x14ac:dyDescent="0.25">
      <c r="A163" t="s">
        <v>68</v>
      </c>
      <c r="B163" t="s">
        <v>131</v>
      </c>
      <c r="C163">
        <v>10</v>
      </c>
      <c r="D163" t="s">
        <v>116</v>
      </c>
      <c r="E163" t="s">
        <v>105</v>
      </c>
      <c r="F163" t="s">
        <v>80</v>
      </c>
      <c r="G163">
        <v>2372</v>
      </c>
      <c r="H163">
        <v>0</v>
      </c>
      <c r="I163" t="str">
        <f>OutputTable[[#This Row],[ProjectName]]&amp;OutputTable[[#This Row],[Name]]&amp;OutputTable[[#This Row],[Type]]&amp;OutputTable[[#This Row],[Source]]</f>
        <v>PacientesRegistro Number InNumber InProcess</v>
      </c>
      <c r="J163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cm="1">
        <f t="array" ref="K163">IFERROR(AVERAGE(IF((OutputTable[GroupByKey]=OutputTable[[#This Row],[GroupByKey]]),(OutputTable[GroupByKey]=OutputTable[[#This Row],[GroupByKey]])*OutputTable[RecordedValue])),0)</f>
        <v>2263.2399999999998</v>
      </c>
      <c r="L163" cm="1">
        <f t="array" ref="L163">IFERROR(_xlfn.STDEV.S(IF((OutputTable[GroupByKey]=OutputTable[[#This Row],[GroupByKey]]),(OutputTable[GroupByKey]=OutputTable[[#This Row],[GroupByKey]])*OutputTable[RecordedValue])),0)</f>
        <v>47.331035682472766</v>
      </c>
      <c r="M163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163" cm="1">
        <f t="array" ref="O163">MIN(IF((OutputTable[GroupByKey]=OutputTable[[#This Row],[GroupByKey]]),(OutputTable[GroupByKey]=OutputTable[[#This Row],[GroupByKey]])*OutputTable[RecordedValue]))</f>
        <v>2172</v>
      </c>
      <c r="P163" cm="1">
        <f t="array" ref="P163">MAX(IF((OutputTable[GroupByKey]=OutputTable[[#This Row],[GroupByKey]]),(OutputTable[GroupByKey]=OutputTable[[#This Row],[GroupByKey]])*OutputTable[RecordedValue]))</f>
        <v>2386</v>
      </c>
    </row>
    <row r="164" spans="1:16" x14ac:dyDescent="0.25">
      <c r="A164" t="s">
        <v>68</v>
      </c>
      <c r="B164" t="s">
        <v>131</v>
      </c>
      <c r="C164">
        <v>10</v>
      </c>
      <c r="D164" t="s">
        <v>117</v>
      </c>
      <c r="E164" t="s">
        <v>107</v>
      </c>
      <c r="F164" t="s">
        <v>80</v>
      </c>
      <c r="G164">
        <v>2371</v>
      </c>
      <c r="H164">
        <v>0</v>
      </c>
      <c r="I164" t="str">
        <f>OutputTable[[#This Row],[ProjectName]]&amp;OutputTable[[#This Row],[Name]]&amp;OutputTable[[#This Row],[Type]]&amp;OutputTable[[#This Row],[Source]]</f>
        <v>PacientesRegistro Number OutNumber OutProcess</v>
      </c>
      <c r="J164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cm="1">
        <f t="array" ref="K164">IFERROR(AVERAGE(IF((OutputTable[GroupByKey]=OutputTable[[#This Row],[GroupByKey]]),(OutputTable[GroupByKey]=OutputTable[[#This Row],[GroupByKey]])*OutputTable[RecordedValue])),0)</f>
        <v>2262.66</v>
      </c>
      <c r="L164" cm="1">
        <f t="array" ref="L164">IFERROR(_xlfn.STDEV.S(IF((OutputTable[GroupByKey]=OutputTable[[#This Row],[GroupByKey]]),(OutputTable[GroupByKey]=OutputTable[[#This Row],[GroupByKey]])*OutputTable[RecordedValue])),0)</f>
        <v>47.488176831454687</v>
      </c>
      <c r="M164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164" cm="1">
        <f t="array" ref="O164">MIN(IF((OutputTable[GroupByKey]=OutputTable[[#This Row],[GroupByKey]]),(OutputTable[GroupByKey]=OutputTable[[#This Row],[GroupByKey]])*OutputTable[RecordedValue]))</f>
        <v>2171</v>
      </c>
      <c r="P164" cm="1">
        <f t="array" ref="P164">MAX(IF((OutputTable[GroupByKey]=OutputTable[[#This Row],[GroupByKey]]),(OutputTable[GroupByKey]=OutputTable[[#This Row],[GroupByKey]])*OutputTable[RecordedValue]))</f>
        <v>2386</v>
      </c>
    </row>
    <row r="165" spans="1:16" x14ac:dyDescent="0.25">
      <c r="A165" t="s">
        <v>68</v>
      </c>
      <c r="B165" t="s">
        <v>131</v>
      </c>
      <c r="C165">
        <v>10</v>
      </c>
      <c r="D165" t="s">
        <v>118</v>
      </c>
      <c r="E165" t="s">
        <v>107</v>
      </c>
      <c r="F165" t="s">
        <v>119</v>
      </c>
      <c r="G165">
        <v>2502</v>
      </c>
      <c r="H165">
        <v>0</v>
      </c>
      <c r="I165" t="str">
        <f>OutputTable[[#This Row],[ProjectName]]&amp;OutputTable[[#This Row],[Name]]&amp;OutputTable[[#This Row],[Type]]&amp;OutputTable[[#This Row],[Source]]</f>
        <v>PacientesSystem.NumberOutNumber OutSystem</v>
      </c>
      <c r="J16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cm="1">
        <f t="array" ref="K165">IFERROR(AVERAGE(IF((OutputTable[GroupByKey]=OutputTable[[#This Row],[GroupByKey]]),(OutputTable[GroupByKey]=OutputTable[[#This Row],[GroupByKey]])*OutputTable[RecordedValue])),0)</f>
        <v>2400.2800000000002</v>
      </c>
      <c r="L165" cm="1">
        <f t="array" ref="L165">IFERROR(_xlfn.STDEV.S(IF((OutputTable[GroupByKey]=OutputTable[[#This Row],[GroupByKey]]),(OutputTable[GroupByKey]=OutputTable[[#This Row],[GroupByKey]])*OutputTable[RecordedValue])),0)</f>
        <v>46.409024456676619</v>
      </c>
      <c r="M16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65" cm="1">
        <f t="array" ref="O165">MIN(IF((OutputTable[GroupByKey]=OutputTable[[#This Row],[GroupByKey]]),(OutputTable[GroupByKey]=OutputTable[[#This Row],[GroupByKey]])*OutputTable[RecordedValue]))</f>
        <v>2305</v>
      </c>
      <c r="P165" cm="1">
        <f t="array" ref="P165">MAX(IF((OutputTable[GroupByKey]=OutputTable[[#This Row],[GroupByKey]]),(OutputTable[GroupByKey]=OutputTable[[#This Row],[GroupByKey]])*OutputTable[RecordedValue]))</f>
        <v>2504</v>
      </c>
    </row>
    <row r="166" spans="1:16" x14ac:dyDescent="0.25">
      <c r="A166" t="s">
        <v>68</v>
      </c>
      <c r="B166" t="s">
        <v>131</v>
      </c>
      <c r="C166">
        <v>10</v>
      </c>
      <c r="D166" t="s">
        <v>120</v>
      </c>
      <c r="E166" t="s">
        <v>121</v>
      </c>
      <c r="F166" t="s">
        <v>99</v>
      </c>
      <c r="G166">
        <v>2503</v>
      </c>
      <c r="H166">
        <v>0</v>
      </c>
      <c r="I166" t="str">
        <f>OutputTable[[#This Row],[ProjectName]]&amp;OutputTable[[#This Row],[Name]]&amp;OutputTable[[#This Row],[Type]]&amp;OutputTable[[#This Row],[Source]]</f>
        <v>PacientesrCamas.NumberSeizedTotal Number SeizedResource</v>
      </c>
      <c r="J166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cm="1">
        <f t="array" ref="K166">IFERROR(AVERAGE(IF((OutputTable[GroupByKey]=OutputTable[[#This Row],[GroupByKey]]),(OutputTable[GroupByKey]=OutputTable[[#This Row],[GroupByKey]])*OutputTable[RecordedValue])),0)</f>
        <v>2401.9</v>
      </c>
      <c r="L166" cm="1">
        <f t="array" ref="L166">IFERROR(_xlfn.STDEV.S(IF((OutputTable[GroupByKey]=OutputTable[[#This Row],[GroupByKey]]),(OutputTable[GroupByKey]=OutputTable[[#This Row],[GroupByKey]])*OutputTable[RecordedValue])),0)</f>
        <v>46.417031532903209</v>
      </c>
      <c r="M166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66" cm="1">
        <f t="array" ref="O166">MIN(IF((OutputTable[GroupByKey]=OutputTable[[#This Row],[GroupByKey]]),(OutputTable[GroupByKey]=OutputTable[[#This Row],[GroupByKey]])*OutputTable[RecordedValue]))</f>
        <v>2306</v>
      </c>
      <c r="P166" cm="1">
        <f t="array" ref="P166">MAX(IF((OutputTable[GroupByKey]=OutputTable[[#This Row],[GroupByKey]]),(OutputTable[GroupByKey]=OutputTable[[#This Row],[GroupByKey]])*OutputTable[RecordedValue]))</f>
        <v>2506</v>
      </c>
    </row>
    <row r="167" spans="1:16" x14ac:dyDescent="0.25">
      <c r="A167" t="s">
        <v>68</v>
      </c>
      <c r="B167" t="s">
        <v>131</v>
      </c>
      <c r="C167">
        <v>10</v>
      </c>
      <c r="D167" t="s">
        <v>122</v>
      </c>
      <c r="E167" t="s">
        <v>123</v>
      </c>
      <c r="F167" t="s">
        <v>99</v>
      </c>
      <c r="G167">
        <v>0.56584322880080695</v>
      </c>
      <c r="H167">
        <v>0</v>
      </c>
      <c r="I167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167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cm="1">
        <f t="array" ref="K167">IFERROR(AVERAGE(IF((OutputTable[GroupByKey]=OutputTable[[#This Row],[GroupByKey]]),(OutputTable[GroupByKey]=OutputTable[[#This Row],[GroupByKey]])*OutputTable[RecordedValue])),0)</f>
        <v>0.54703961359050601</v>
      </c>
      <c r="L167" cm="1">
        <f t="array" ref="L167">IFERROR(_xlfn.STDEV.S(IF((OutputTable[GroupByKey]=OutputTable[[#This Row],[GroupByKey]]),(OutputTable[GroupByKey]=OutputTable[[#This Row],[GroupByKey]])*OutputTable[RecordedValue])),0)</f>
        <v>1.0221170008030479E-2</v>
      </c>
      <c r="M167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167" cm="1">
        <f t="array" ref="O167">MIN(IF((OutputTable[GroupByKey]=OutputTable[[#This Row],[GroupByKey]]),(OutputTable[GroupByKey]=OutputTable[[#This Row],[GroupByKey]])*OutputTable[RecordedValue]))</f>
        <v>0.52470641844357901</v>
      </c>
      <c r="P167" cm="1">
        <f t="array" ref="P167">MAX(IF((OutputTable[GroupByKey]=OutputTable[[#This Row],[GroupByKey]]),(OutputTable[GroupByKey]=OutputTable[[#This Row],[GroupByKey]])*OutputTable[RecordedValue]))</f>
        <v>0.57005812966092295</v>
      </c>
    </row>
    <row r="168" spans="1:16" x14ac:dyDescent="0.25">
      <c r="A168" t="s">
        <v>68</v>
      </c>
      <c r="B168" t="s">
        <v>131</v>
      </c>
      <c r="C168">
        <v>10</v>
      </c>
      <c r="D168" t="s">
        <v>124</v>
      </c>
      <c r="E168" t="s">
        <v>121</v>
      </c>
      <c r="F168" t="s">
        <v>99</v>
      </c>
      <c r="G168">
        <v>2503</v>
      </c>
      <c r="H168">
        <v>0</v>
      </c>
      <c r="I168" t="str">
        <f>OutputTable[[#This Row],[ProjectName]]&amp;OutputTable[[#This Row],[Name]]&amp;OutputTable[[#This Row],[Type]]&amp;OutputTable[[#This Row],[Source]]</f>
        <v>PacientesrMedico.NumberSeizedTotal Number SeizedResource</v>
      </c>
      <c r="J168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cm="1">
        <f t="array" ref="K168">IFERROR(AVERAGE(IF((OutputTable[GroupByKey]=OutputTable[[#This Row],[GroupByKey]]),(OutputTable[GroupByKey]=OutputTable[[#This Row],[GroupByKey]])*OutputTable[RecordedValue])),0)</f>
        <v>2401.9</v>
      </c>
      <c r="L168" cm="1">
        <f t="array" ref="L168">IFERROR(_xlfn.STDEV.S(IF((OutputTable[GroupByKey]=OutputTable[[#This Row],[GroupByKey]]),(OutputTable[GroupByKey]=OutputTable[[#This Row],[GroupByKey]])*OutputTable[RecordedValue])),0)</f>
        <v>46.417031532903209</v>
      </c>
      <c r="M168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68" cm="1">
        <f t="array" ref="O168">MIN(IF((OutputTable[GroupByKey]=OutputTable[[#This Row],[GroupByKey]]),(OutputTable[GroupByKey]=OutputTable[[#This Row],[GroupByKey]])*OutputTable[RecordedValue]))</f>
        <v>2306</v>
      </c>
      <c r="P168" cm="1">
        <f t="array" ref="P168">MAX(IF((OutputTable[GroupByKey]=OutputTable[[#This Row],[GroupByKey]]),(OutputTable[GroupByKey]=OutputTable[[#This Row],[GroupByKey]])*OutputTable[RecordedValue]))</f>
        <v>2506</v>
      </c>
    </row>
    <row r="169" spans="1:16" x14ac:dyDescent="0.25">
      <c r="A169" t="s">
        <v>68</v>
      </c>
      <c r="B169" t="s">
        <v>131</v>
      </c>
      <c r="C169">
        <v>10</v>
      </c>
      <c r="D169" t="s">
        <v>125</v>
      </c>
      <c r="E169" t="s">
        <v>123</v>
      </c>
      <c r="F169" t="s">
        <v>99</v>
      </c>
      <c r="G169">
        <v>0.84876484320121104</v>
      </c>
      <c r="H169">
        <v>0</v>
      </c>
      <c r="I169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169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cm="1">
        <f t="array" ref="K169">IFERROR(AVERAGE(IF((OutputTable[GroupByKey]=OutputTable[[#This Row],[GroupByKey]]),(OutputTable[GroupByKey]=OutputTable[[#This Row],[GroupByKey]])*OutputTable[RecordedValue])),0)</f>
        <v>0.82055942038575935</v>
      </c>
      <c r="L169" cm="1">
        <f t="array" ref="L169">IFERROR(_xlfn.STDEV.S(IF((OutputTable[GroupByKey]=OutputTable[[#This Row],[GroupByKey]]),(OutputTable[GroupByKey]=OutputTable[[#This Row],[GroupByKey]])*OutputTable[RecordedValue])),0)</f>
        <v>1.5331755012045719E-2</v>
      </c>
      <c r="M169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169" cm="1">
        <f t="array" ref="O169">MIN(IF((OutputTable[GroupByKey]=OutputTable[[#This Row],[GroupByKey]]),(OutputTable[GroupByKey]=OutputTable[[#This Row],[GroupByKey]])*OutputTable[RecordedValue]))</f>
        <v>0.78705962766536897</v>
      </c>
      <c r="P169" cm="1">
        <f t="array" ref="P169">MAX(IF((OutputTable[GroupByKey]=OutputTable[[#This Row],[GroupByKey]]),(OutputTable[GroupByKey]=OutputTable[[#This Row],[GroupByKey]])*OutputTable[RecordedValue]))</f>
        <v>0.85508719449138504</v>
      </c>
    </row>
    <row r="170" spans="1:16" x14ac:dyDescent="0.25">
      <c r="A170" t="s">
        <v>68</v>
      </c>
      <c r="B170" t="s">
        <v>131</v>
      </c>
      <c r="C170">
        <v>10</v>
      </c>
      <c r="D170" t="s">
        <v>126</v>
      </c>
      <c r="E170" t="s">
        <v>121</v>
      </c>
      <c r="F170" t="s">
        <v>99</v>
      </c>
      <c r="G170">
        <v>2372</v>
      </c>
      <c r="H170">
        <v>0</v>
      </c>
      <c r="I170" t="str">
        <f>OutputTable[[#This Row],[ProjectName]]&amp;OutputTable[[#This Row],[Name]]&amp;OutputTable[[#This Row],[Type]]&amp;OutputTable[[#This Row],[Source]]</f>
        <v>PacientesrRegistradora.NumberSeizedTotal Number SeizedResource</v>
      </c>
      <c r="J170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cm="1">
        <f t="array" ref="K170">IFERROR(AVERAGE(IF((OutputTable[GroupByKey]=OutputTable[[#This Row],[GroupByKey]]),(OutputTable[GroupByKey]=OutputTable[[#This Row],[GroupByKey]])*OutputTable[RecordedValue])),0)</f>
        <v>2263.14</v>
      </c>
      <c r="L170" cm="1">
        <f t="array" ref="L170">IFERROR(_xlfn.STDEV.S(IF((OutputTable[GroupByKey]=OutputTable[[#This Row],[GroupByKey]]),(OutputTable[GroupByKey]=OutputTable[[#This Row],[GroupByKey]])*OutputTable[RecordedValue])),0)</f>
        <v>47.386818971575821</v>
      </c>
      <c r="M170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170" cm="1">
        <f t="array" ref="O170">MIN(IF((OutputTable[GroupByKey]=OutputTable[[#This Row],[GroupByKey]]),(OutputTable[GroupByKey]=OutputTable[[#This Row],[GroupByKey]])*OutputTable[RecordedValue]))</f>
        <v>2172</v>
      </c>
      <c r="P170" cm="1">
        <f t="array" ref="P170">MAX(IF((OutputTable[GroupByKey]=OutputTable[[#This Row],[GroupByKey]]),(OutputTable[GroupByKey]=OutputTable[[#This Row],[GroupByKey]])*OutputTable[RecordedValue]))</f>
        <v>2386</v>
      </c>
    </row>
    <row r="171" spans="1:16" x14ac:dyDescent="0.25">
      <c r="A171" t="s">
        <v>68</v>
      </c>
      <c r="B171" t="s">
        <v>131</v>
      </c>
      <c r="C171">
        <v>10</v>
      </c>
      <c r="D171" t="s">
        <v>127</v>
      </c>
      <c r="E171" t="s">
        <v>123</v>
      </c>
      <c r="F171" t="s">
        <v>99</v>
      </c>
      <c r="G171">
        <v>0.49410844549952299</v>
      </c>
      <c r="H171">
        <v>0</v>
      </c>
      <c r="I171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171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cm="1">
        <f t="array" ref="K171">IFERROR(AVERAGE(IF((OutputTable[GroupByKey]=OutputTable[[#This Row],[GroupByKey]]),(OutputTable[GroupByKey]=OutputTable[[#This Row],[GroupByKey]])*OutputTable[RecordedValue])),0)</f>
        <v>0.47162762933545666</v>
      </c>
      <c r="L171" cm="1">
        <f t="array" ref="L171">IFERROR(_xlfn.STDEV.S(IF((OutputTable[GroupByKey]=OutputTable[[#This Row],[GroupByKey]]),(OutputTable[GroupByKey]=OutputTable[[#This Row],[GroupByKey]])*OutputTable[RecordedValue])),0)</f>
        <v>9.6615227076777797E-3</v>
      </c>
      <c r="M171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171" cm="1">
        <f t="array" ref="O171">MIN(IF((OutputTable[GroupByKey]=OutputTable[[#This Row],[GroupByKey]]),(OutputTable[GroupByKey]=OutputTable[[#This Row],[GroupByKey]])*OutputTable[RecordedValue]))</f>
        <v>0.452397944183905</v>
      </c>
      <c r="P171" cm="1">
        <f t="array" ref="P171">MAX(IF((OutputTable[GroupByKey]=OutputTable[[#This Row],[GroupByKey]]),(OutputTable[GroupByKey]=OutputTable[[#This Row],[GroupByKey]])*OutputTable[RecordedValue]))</f>
        <v>0.49691123629694001</v>
      </c>
    </row>
    <row r="172" spans="1:16" x14ac:dyDescent="0.25">
      <c r="A172" t="s">
        <v>68</v>
      </c>
      <c r="B172" t="s">
        <v>131</v>
      </c>
      <c r="C172">
        <v>11</v>
      </c>
      <c r="D172" t="s">
        <v>104</v>
      </c>
      <c r="E172" t="s">
        <v>105</v>
      </c>
      <c r="F172" t="s">
        <v>72</v>
      </c>
      <c r="G172">
        <v>2447</v>
      </c>
      <c r="H172">
        <v>0</v>
      </c>
      <c r="I172" t="str">
        <f>OutputTable[[#This Row],[ProjectName]]&amp;OutputTable[[#This Row],[Name]]&amp;OutputTable[[#This Row],[Type]]&amp;OutputTable[[#This Row],[Source]]</f>
        <v>PacientesEntity 1.NumberInNumber InEntity</v>
      </c>
      <c r="J172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cm="1">
        <f t="array" ref="K172">IFERROR(AVERAGE(IF((OutputTable[GroupByKey]=OutputTable[[#This Row],[GroupByKey]]),(OutputTable[GroupByKey]=OutputTable[[#This Row],[GroupByKey]])*OutputTable[RecordedValue])),0)</f>
        <v>2404.8200000000002</v>
      </c>
      <c r="L172" cm="1">
        <f t="array" ref="L172">IFERROR(_xlfn.STDEV.S(IF((OutputTable[GroupByKey]=OutputTable[[#This Row],[GroupByKey]]),(OutputTable[GroupByKey]=OutputTable[[#This Row],[GroupByKey]])*OutputTable[RecordedValue])),0)</f>
        <v>46.42953405595474</v>
      </c>
      <c r="M172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172" cm="1">
        <f t="array" ref="O172">MIN(IF((OutputTable[GroupByKey]=OutputTable[[#This Row],[GroupByKey]]),(OutputTable[GroupByKey]=OutputTable[[#This Row],[GroupByKey]])*OutputTable[RecordedValue]))</f>
        <v>2307</v>
      </c>
      <c r="P172" cm="1">
        <f t="array" ref="P172">MAX(IF((OutputTable[GroupByKey]=OutputTable[[#This Row],[GroupByKey]]),(OutputTable[GroupByKey]=OutputTable[[#This Row],[GroupByKey]])*OutputTable[RecordedValue]))</f>
        <v>2518</v>
      </c>
    </row>
    <row r="173" spans="1:16" x14ac:dyDescent="0.25">
      <c r="A173" t="s">
        <v>68</v>
      </c>
      <c r="B173" t="s">
        <v>131</v>
      </c>
      <c r="C173">
        <v>11</v>
      </c>
      <c r="D173" t="s">
        <v>106</v>
      </c>
      <c r="E173" t="s">
        <v>107</v>
      </c>
      <c r="F173" t="s">
        <v>72</v>
      </c>
      <c r="G173">
        <v>2446</v>
      </c>
      <c r="H173">
        <v>0</v>
      </c>
      <c r="I173" t="str">
        <f>OutputTable[[#This Row],[ProjectName]]&amp;OutputTable[[#This Row],[Name]]&amp;OutputTable[[#This Row],[Type]]&amp;OutputTable[[#This Row],[Source]]</f>
        <v>PacientesEntity 1.NumberOutNumber OutEntity</v>
      </c>
      <c r="J173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cm="1">
        <f t="array" ref="K173">IFERROR(AVERAGE(IF((OutputTable[GroupByKey]=OutputTable[[#This Row],[GroupByKey]]),(OutputTable[GroupByKey]=OutputTable[[#This Row],[GroupByKey]])*OutputTable[RecordedValue])),0)</f>
        <v>2400.2800000000002</v>
      </c>
      <c r="L173" cm="1">
        <f t="array" ref="L173">IFERROR(_xlfn.STDEV.S(IF((OutputTable[GroupByKey]=OutputTable[[#This Row],[GroupByKey]]),(OutputTable[GroupByKey]=OutputTable[[#This Row],[GroupByKey]])*OutputTable[RecordedValue])),0)</f>
        <v>46.409024456676619</v>
      </c>
      <c r="M173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73" cm="1">
        <f t="array" ref="O173">MIN(IF((OutputTable[GroupByKey]=OutputTable[[#This Row],[GroupByKey]]),(OutputTable[GroupByKey]=OutputTable[[#This Row],[GroupByKey]])*OutputTable[RecordedValue]))</f>
        <v>2305</v>
      </c>
      <c r="P173" cm="1">
        <f t="array" ref="P173">MAX(IF((OutputTable[GroupByKey]=OutputTable[[#This Row],[GroupByKey]]),(OutputTable[GroupByKey]=OutputTable[[#This Row],[GroupByKey]])*OutputTable[RecordedValue]))</f>
        <v>2504</v>
      </c>
    </row>
    <row r="174" spans="1:16" x14ac:dyDescent="0.25">
      <c r="A174" t="s">
        <v>68</v>
      </c>
      <c r="B174" t="s">
        <v>131</v>
      </c>
      <c r="C174">
        <v>11</v>
      </c>
      <c r="D174" t="s">
        <v>108</v>
      </c>
      <c r="E174" t="s">
        <v>109</v>
      </c>
      <c r="F174" t="s">
        <v>80</v>
      </c>
      <c r="G174">
        <v>1191.82369949644</v>
      </c>
      <c r="H174">
        <v>0</v>
      </c>
      <c r="I174" t="str">
        <f>OutputTable[[#This Row],[ProjectName]]&amp;OutputTable[[#This Row],[Name]]&amp;OutputTable[[#This Row],[Type]]&amp;OutputTable[[#This Row],[Source]]</f>
        <v>PacientesProcess 2 Accum VA TimeAccum VA TimeProcess</v>
      </c>
      <c r="J174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cm="1">
        <f t="array" ref="K174">IFERROR(AVERAGE(IF((OutputTable[GroupByKey]=OutputTable[[#This Row],[GroupByKey]]),(OutputTable[GroupByKey]=OutputTable[[#This Row],[GroupByKey]])*OutputTable[RecordedValue])),0)</f>
        <v>1181.1234936767919</v>
      </c>
      <c r="L174" cm="1">
        <f t="array" ref="L174">IFERROR(_xlfn.STDEV.S(IF((OutputTable[GroupByKey]=OutputTable[[#This Row],[GroupByKey]]),(OutputTable[GroupByKey]=OutputTable[[#This Row],[GroupByKey]])*OutputTable[RecordedValue])),0)</f>
        <v>22.169313666927575</v>
      </c>
      <c r="M174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174" cm="1">
        <f t="array" ref="O174">MIN(IF((OutputTable[GroupByKey]=OutputTable[[#This Row],[GroupByKey]]),(OutputTable[GroupByKey]=OutputTable[[#This Row],[GroupByKey]])*OutputTable[RecordedValue]))</f>
        <v>1133.24622318414</v>
      </c>
      <c r="P174" cm="1">
        <f t="array" ref="P174">MAX(IF((OutputTable[GroupByKey]=OutputTable[[#This Row],[GroupByKey]]),(OutputTable[GroupByKey]=OutputTable[[#This Row],[GroupByKey]])*OutputTable[RecordedValue]))</f>
        <v>1230.9493287309799</v>
      </c>
    </row>
    <row r="175" spans="1:16" x14ac:dyDescent="0.25">
      <c r="A175" t="s">
        <v>68</v>
      </c>
      <c r="B175" t="s">
        <v>131</v>
      </c>
      <c r="C175">
        <v>11</v>
      </c>
      <c r="D175" t="s">
        <v>110</v>
      </c>
      <c r="E175" t="s">
        <v>111</v>
      </c>
      <c r="F175" t="s">
        <v>80</v>
      </c>
      <c r="G175">
        <v>2089.5667556127701</v>
      </c>
      <c r="H175">
        <v>0</v>
      </c>
      <c r="I175" t="str">
        <f>OutputTable[[#This Row],[ProjectName]]&amp;OutputTable[[#This Row],[Name]]&amp;OutputTable[[#This Row],[Type]]&amp;OutputTable[[#This Row],[Source]]</f>
        <v>PacientesProcess 2 Accum Wait TimeAccum Wait TimeProcess</v>
      </c>
      <c r="J17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cm="1">
        <f t="array" ref="K175">IFERROR(AVERAGE(IF((OutputTable[GroupByKey]=OutputTable[[#This Row],[GroupByKey]]),(OutputTable[GroupByKey]=OutputTable[[#This Row],[GroupByKey]])*OutputTable[RecordedValue])),0)</f>
        <v>1938.7515507466894</v>
      </c>
      <c r="L175" cm="1">
        <f t="array" ref="L175">IFERROR(_xlfn.STDEV.S(IF((OutputTable[GroupByKey]=OutputTable[[#This Row],[GroupByKey]]),(OutputTable[GroupByKey]=OutputTable[[#This Row],[GroupByKey]])*OutputTable[RecordedValue])),0)</f>
        <v>534.03396241838232</v>
      </c>
      <c r="M17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175" cm="1">
        <f t="array" ref="O175">MIN(IF((OutputTable[GroupByKey]=OutputTable[[#This Row],[GroupByKey]]),(OutputTable[GroupByKey]=OutputTable[[#This Row],[GroupByKey]])*OutputTable[RecordedValue]))</f>
        <v>1234.7567994731401</v>
      </c>
      <c r="P175" cm="1">
        <f t="array" ref="P175">MAX(IF((OutputTable[GroupByKey]=OutputTable[[#This Row],[GroupByKey]]),(OutputTable[GroupByKey]=OutputTable[[#This Row],[GroupByKey]])*OutputTable[RecordedValue]))</f>
        <v>3269.0858002883801</v>
      </c>
    </row>
    <row r="176" spans="1:16" x14ac:dyDescent="0.25">
      <c r="A176" t="s">
        <v>68</v>
      </c>
      <c r="B176" t="s">
        <v>131</v>
      </c>
      <c r="C176">
        <v>11</v>
      </c>
      <c r="D176" t="s">
        <v>112</v>
      </c>
      <c r="E176" t="s">
        <v>105</v>
      </c>
      <c r="F176" t="s">
        <v>80</v>
      </c>
      <c r="G176">
        <v>2447</v>
      </c>
      <c r="H176">
        <v>0</v>
      </c>
      <c r="I176" t="str">
        <f>OutputTable[[#This Row],[ProjectName]]&amp;OutputTable[[#This Row],[Name]]&amp;OutputTable[[#This Row],[Type]]&amp;OutputTable[[#This Row],[Source]]</f>
        <v>PacientesProcess 2 Number InNumber InProcess</v>
      </c>
      <c r="J176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cm="1">
        <f t="array" ref="K176">IFERROR(AVERAGE(IF((OutputTable[GroupByKey]=OutputTable[[#This Row],[GroupByKey]]),(OutputTable[GroupByKey]=OutputTable[[#This Row],[GroupByKey]])*OutputTable[RecordedValue])),0)</f>
        <v>2404.2399999999998</v>
      </c>
      <c r="L176" cm="1">
        <f t="array" ref="L176">IFERROR(_xlfn.STDEV.S(IF((OutputTable[GroupByKey]=OutputTable[[#This Row],[GroupByKey]]),(OutputTable[GroupByKey]=OutputTable[[#This Row],[GroupByKey]])*OutputTable[RecordedValue])),0)</f>
        <v>46.574303154053879</v>
      </c>
      <c r="M176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176" cm="1">
        <f t="array" ref="O176">MIN(IF((OutputTable[GroupByKey]=OutputTable[[#This Row],[GroupByKey]]),(OutputTable[GroupByKey]=OutputTable[[#This Row],[GroupByKey]])*OutputTable[RecordedValue]))</f>
        <v>2306</v>
      </c>
      <c r="P176" cm="1">
        <f t="array" ref="P176">MAX(IF((OutputTable[GroupByKey]=OutputTable[[#This Row],[GroupByKey]]),(OutputTable[GroupByKey]=OutputTable[[#This Row],[GroupByKey]])*OutputTable[RecordedValue]))</f>
        <v>2518</v>
      </c>
    </row>
    <row r="177" spans="1:16" x14ac:dyDescent="0.25">
      <c r="A177" t="s">
        <v>68</v>
      </c>
      <c r="B177" t="s">
        <v>131</v>
      </c>
      <c r="C177">
        <v>11</v>
      </c>
      <c r="D177" t="s">
        <v>113</v>
      </c>
      <c r="E177" t="s">
        <v>107</v>
      </c>
      <c r="F177" t="s">
        <v>80</v>
      </c>
      <c r="G177">
        <v>2446</v>
      </c>
      <c r="H177">
        <v>0</v>
      </c>
      <c r="I177" t="str">
        <f>OutputTable[[#This Row],[ProjectName]]&amp;OutputTable[[#This Row],[Name]]&amp;OutputTable[[#This Row],[Type]]&amp;OutputTable[[#This Row],[Source]]</f>
        <v>PacientesProcess 2 Number OutNumber OutProcess</v>
      </c>
      <c r="J177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cm="1">
        <f t="array" ref="K177">IFERROR(AVERAGE(IF((OutputTable[GroupByKey]=OutputTable[[#This Row],[GroupByKey]]),(OutputTable[GroupByKey]=OutputTable[[#This Row],[GroupByKey]])*OutputTable[RecordedValue])),0)</f>
        <v>2400.2800000000002</v>
      </c>
      <c r="L177" cm="1">
        <f t="array" ref="L177">IFERROR(_xlfn.STDEV.S(IF((OutputTable[GroupByKey]=OutputTable[[#This Row],[GroupByKey]]),(OutputTable[GroupByKey]=OutputTable[[#This Row],[GroupByKey]])*OutputTable[RecordedValue])),0)</f>
        <v>46.409024456676619</v>
      </c>
      <c r="M177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77" cm="1">
        <f t="array" ref="O177">MIN(IF((OutputTable[GroupByKey]=OutputTable[[#This Row],[GroupByKey]]),(OutputTable[GroupByKey]=OutputTable[[#This Row],[GroupByKey]])*OutputTable[RecordedValue]))</f>
        <v>2305</v>
      </c>
      <c r="P177" cm="1">
        <f t="array" ref="P177">MAX(IF((OutputTable[GroupByKey]=OutputTable[[#This Row],[GroupByKey]]),(OutputTable[GroupByKey]=OutputTable[[#This Row],[GroupByKey]])*OutputTable[RecordedValue]))</f>
        <v>2504</v>
      </c>
    </row>
    <row r="178" spans="1:16" x14ac:dyDescent="0.25">
      <c r="A178" t="s">
        <v>68</v>
      </c>
      <c r="B178" t="s">
        <v>131</v>
      </c>
      <c r="C178">
        <v>11</v>
      </c>
      <c r="D178" t="s">
        <v>114</v>
      </c>
      <c r="E178" t="s">
        <v>109</v>
      </c>
      <c r="F178" t="s">
        <v>80</v>
      </c>
      <c r="G178">
        <v>346.602287599021</v>
      </c>
      <c r="H178">
        <v>0</v>
      </c>
      <c r="I178" t="str">
        <f>OutputTable[[#This Row],[ProjectName]]&amp;OutputTable[[#This Row],[Name]]&amp;OutputTable[[#This Row],[Type]]&amp;OutputTable[[#This Row],[Source]]</f>
        <v>PacientesRegistro Accum VA TimeAccum VA TimeProcess</v>
      </c>
      <c r="J178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cm="1">
        <f t="array" ref="K178">IFERROR(AVERAGE(IF((OutputTable[GroupByKey]=OutputTable[[#This Row],[GroupByKey]]),(OutputTable[GroupByKey]=OutputTable[[#This Row],[GroupByKey]])*OutputTable[RecordedValue])),0)</f>
        <v>339.53547737062786</v>
      </c>
      <c r="L178" cm="1">
        <f t="array" ref="L178">IFERROR(_xlfn.STDEV.S(IF((OutputTable[GroupByKey]=OutputTable[[#This Row],[GroupByKey]]),(OutputTable[GroupByKey]=OutputTable[[#This Row],[GroupByKey]])*OutputTable[RecordedValue])),0)</f>
        <v>6.9723666109353193</v>
      </c>
      <c r="M178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178" cm="1">
        <f t="array" ref="O178">MIN(IF((OutputTable[GroupByKey]=OutputTable[[#This Row],[GroupByKey]]),(OutputTable[GroupByKey]=OutputTable[[#This Row],[GroupByKey]])*OutputTable[RecordedValue]))</f>
        <v>325.606879158418</v>
      </c>
      <c r="P178" cm="1">
        <f t="array" ref="P178">MAX(IF((OutputTable[GroupByKey]=OutputTable[[#This Row],[GroupByKey]]),(OutputTable[GroupByKey]=OutputTable[[#This Row],[GroupByKey]])*OutputTable[RecordedValue]))</f>
        <v>357.77609013379703</v>
      </c>
    </row>
    <row r="179" spans="1:16" x14ac:dyDescent="0.25">
      <c r="A179" t="s">
        <v>68</v>
      </c>
      <c r="B179" t="s">
        <v>131</v>
      </c>
      <c r="C179">
        <v>11</v>
      </c>
      <c r="D179" t="s">
        <v>115</v>
      </c>
      <c r="E179" t="s">
        <v>111</v>
      </c>
      <c r="F179" t="s">
        <v>80</v>
      </c>
      <c r="G179">
        <v>154.017245546922</v>
      </c>
      <c r="H179">
        <v>0</v>
      </c>
      <c r="I179" t="str">
        <f>OutputTable[[#This Row],[ProjectName]]&amp;OutputTable[[#This Row],[Name]]&amp;OutputTable[[#This Row],[Type]]&amp;OutputTable[[#This Row],[Source]]</f>
        <v>PacientesRegistro Accum Wait TimeAccum Wait TimeProcess</v>
      </c>
      <c r="J179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cm="1">
        <f t="array" ref="K179">IFERROR(AVERAGE(IF((OutputTable[GroupByKey]=OutputTable[[#This Row],[GroupByKey]]),(OutputTable[GroupByKey]=OutputTable[[#This Row],[GroupByKey]])*OutputTable[RecordedValue])),0)</f>
        <v>154.15303898127775</v>
      </c>
      <c r="L179" cm="1">
        <f t="array" ref="L179">IFERROR(_xlfn.STDEV.S(IF((OutputTable[GroupByKey]=OutputTable[[#This Row],[GroupByKey]]),(OutputTable[GroupByKey]=OutputTable[[#This Row],[GroupByKey]])*OutputTable[RecordedValue])),0)</f>
        <v>12.141439184615397</v>
      </c>
      <c r="M179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179" cm="1">
        <f t="array" ref="O179">MIN(IF((OutputTable[GroupByKey]=OutputTable[[#This Row],[GroupByKey]]),(OutputTable[GroupByKey]=OutputTable[[#This Row],[GroupByKey]])*OutputTable[RecordedValue]))</f>
        <v>123.901613974094</v>
      </c>
      <c r="P179" cm="1">
        <f t="array" ref="P179">MAX(IF((OutputTable[GroupByKey]=OutputTable[[#This Row],[GroupByKey]]),(OutputTable[GroupByKey]=OutputTable[[#This Row],[GroupByKey]])*OutputTable[RecordedValue]))</f>
        <v>178.441307284473</v>
      </c>
    </row>
    <row r="180" spans="1:16" x14ac:dyDescent="0.25">
      <c r="A180" t="s">
        <v>68</v>
      </c>
      <c r="B180" t="s">
        <v>131</v>
      </c>
      <c r="C180">
        <v>11</v>
      </c>
      <c r="D180" t="s">
        <v>116</v>
      </c>
      <c r="E180" t="s">
        <v>105</v>
      </c>
      <c r="F180" t="s">
        <v>80</v>
      </c>
      <c r="G180">
        <v>2308</v>
      </c>
      <c r="H180">
        <v>0</v>
      </c>
      <c r="I180" t="str">
        <f>OutputTable[[#This Row],[ProjectName]]&amp;OutputTable[[#This Row],[Name]]&amp;OutputTable[[#This Row],[Type]]&amp;OutputTable[[#This Row],[Source]]</f>
        <v>PacientesRegistro Number InNumber InProcess</v>
      </c>
      <c r="J180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cm="1">
        <f t="array" ref="K180">IFERROR(AVERAGE(IF((OutputTable[GroupByKey]=OutputTable[[#This Row],[GroupByKey]]),(OutputTable[GroupByKey]=OutputTable[[#This Row],[GroupByKey]])*OutputTable[RecordedValue])),0)</f>
        <v>2263.2399999999998</v>
      </c>
      <c r="L180" cm="1">
        <f t="array" ref="L180">IFERROR(_xlfn.STDEV.S(IF((OutputTable[GroupByKey]=OutputTable[[#This Row],[GroupByKey]]),(OutputTable[GroupByKey]=OutputTable[[#This Row],[GroupByKey]])*OutputTable[RecordedValue])),0)</f>
        <v>47.331035682472766</v>
      </c>
      <c r="M180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180" cm="1">
        <f t="array" ref="O180">MIN(IF((OutputTable[GroupByKey]=OutputTable[[#This Row],[GroupByKey]]),(OutputTable[GroupByKey]=OutputTable[[#This Row],[GroupByKey]])*OutputTable[RecordedValue]))</f>
        <v>2172</v>
      </c>
      <c r="P180" cm="1">
        <f t="array" ref="P180">MAX(IF((OutputTable[GroupByKey]=OutputTable[[#This Row],[GroupByKey]]),(OutputTable[GroupByKey]=OutputTable[[#This Row],[GroupByKey]])*OutputTable[RecordedValue]))</f>
        <v>2386</v>
      </c>
    </row>
    <row r="181" spans="1:16" x14ac:dyDescent="0.25">
      <c r="A181" t="s">
        <v>68</v>
      </c>
      <c r="B181" t="s">
        <v>131</v>
      </c>
      <c r="C181">
        <v>11</v>
      </c>
      <c r="D181" t="s">
        <v>117</v>
      </c>
      <c r="E181" t="s">
        <v>107</v>
      </c>
      <c r="F181" t="s">
        <v>80</v>
      </c>
      <c r="G181">
        <v>2308</v>
      </c>
      <c r="H181">
        <v>0</v>
      </c>
      <c r="I181" t="str">
        <f>OutputTable[[#This Row],[ProjectName]]&amp;OutputTable[[#This Row],[Name]]&amp;OutputTable[[#This Row],[Type]]&amp;OutputTable[[#This Row],[Source]]</f>
        <v>PacientesRegistro Number OutNumber OutProcess</v>
      </c>
      <c r="J181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cm="1">
        <f t="array" ref="K181">IFERROR(AVERAGE(IF((OutputTable[GroupByKey]=OutputTable[[#This Row],[GroupByKey]]),(OutputTable[GroupByKey]=OutputTable[[#This Row],[GroupByKey]])*OutputTable[RecordedValue])),0)</f>
        <v>2262.66</v>
      </c>
      <c r="L181" cm="1">
        <f t="array" ref="L181">IFERROR(_xlfn.STDEV.S(IF((OutputTable[GroupByKey]=OutputTable[[#This Row],[GroupByKey]]),(OutputTable[GroupByKey]=OutputTable[[#This Row],[GroupByKey]])*OutputTable[RecordedValue])),0)</f>
        <v>47.488176831454687</v>
      </c>
      <c r="M181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181" cm="1">
        <f t="array" ref="O181">MIN(IF((OutputTable[GroupByKey]=OutputTable[[#This Row],[GroupByKey]]),(OutputTable[GroupByKey]=OutputTable[[#This Row],[GroupByKey]])*OutputTable[RecordedValue]))</f>
        <v>2171</v>
      </c>
      <c r="P181" cm="1">
        <f t="array" ref="P181">MAX(IF((OutputTable[GroupByKey]=OutputTable[[#This Row],[GroupByKey]]),(OutputTable[GroupByKey]=OutputTable[[#This Row],[GroupByKey]])*OutputTable[RecordedValue]))</f>
        <v>2386</v>
      </c>
    </row>
    <row r="182" spans="1:16" x14ac:dyDescent="0.25">
      <c r="A182" t="s">
        <v>68</v>
      </c>
      <c r="B182" t="s">
        <v>131</v>
      </c>
      <c r="C182">
        <v>11</v>
      </c>
      <c r="D182" t="s">
        <v>118</v>
      </c>
      <c r="E182" t="s">
        <v>107</v>
      </c>
      <c r="F182" t="s">
        <v>119</v>
      </c>
      <c r="G182">
        <v>2446</v>
      </c>
      <c r="H182">
        <v>0</v>
      </c>
      <c r="I182" t="str">
        <f>OutputTable[[#This Row],[ProjectName]]&amp;OutputTable[[#This Row],[Name]]&amp;OutputTable[[#This Row],[Type]]&amp;OutputTable[[#This Row],[Source]]</f>
        <v>PacientesSystem.NumberOutNumber OutSystem</v>
      </c>
      <c r="J182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cm="1">
        <f t="array" ref="K182">IFERROR(AVERAGE(IF((OutputTable[GroupByKey]=OutputTable[[#This Row],[GroupByKey]]),(OutputTable[GroupByKey]=OutputTable[[#This Row],[GroupByKey]])*OutputTable[RecordedValue])),0)</f>
        <v>2400.2800000000002</v>
      </c>
      <c r="L182" cm="1">
        <f t="array" ref="L182">IFERROR(_xlfn.STDEV.S(IF((OutputTable[GroupByKey]=OutputTable[[#This Row],[GroupByKey]]),(OutputTable[GroupByKey]=OutputTable[[#This Row],[GroupByKey]])*OutputTable[RecordedValue])),0)</f>
        <v>46.409024456676619</v>
      </c>
      <c r="M182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82" cm="1">
        <f t="array" ref="O182">MIN(IF((OutputTable[GroupByKey]=OutputTable[[#This Row],[GroupByKey]]),(OutputTable[GroupByKey]=OutputTable[[#This Row],[GroupByKey]])*OutputTable[RecordedValue]))</f>
        <v>2305</v>
      </c>
      <c r="P182" cm="1">
        <f t="array" ref="P182">MAX(IF((OutputTable[GroupByKey]=OutputTable[[#This Row],[GroupByKey]]),(OutputTable[GroupByKey]=OutputTable[[#This Row],[GroupByKey]])*OutputTable[RecordedValue]))</f>
        <v>2504</v>
      </c>
    </row>
    <row r="183" spans="1:16" x14ac:dyDescent="0.25">
      <c r="A183" t="s">
        <v>68</v>
      </c>
      <c r="B183" t="s">
        <v>131</v>
      </c>
      <c r="C183">
        <v>11</v>
      </c>
      <c r="D183" t="s">
        <v>120</v>
      </c>
      <c r="E183" t="s">
        <v>121</v>
      </c>
      <c r="F183" t="s">
        <v>99</v>
      </c>
      <c r="G183">
        <v>2447</v>
      </c>
      <c r="H183">
        <v>0</v>
      </c>
      <c r="I183" t="str">
        <f>OutputTable[[#This Row],[ProjectName]]&amp;OutputTable[[#This Row],[Name]]&amp;OutputTable[[#This Row],[Type]]&amp;OutputTable[[#This Row],[Source]]</f>
        <v>PacientesrCamas.NumberSeizedTotal Number SeizedResource</v>
      </c>
      <c r="J183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cm="1">
        <f t="array" ref="K183">IFERROR(AVERAGE(IF((OutputTable[GroupByKey]=OutputTable[[#This Row],[GroupByKey]]),(OutputTable[GroupByKey]=OutputTable[[#This Row],[GroupByKey]])*OutputTable[RecordedValue])),0)</f>
        <v>2401.9</v>
      </c>
      <c r="L183" cm="1">
        <f t="array" ref="L183">IFERROR(_xlfn.STDEV.S(IF((OutputTable[GroupByKey]=OutputTable[[#This Row],[GroupByKey]]),(OutputTable[GroupByKey]=OutputTable[[#This Row],[GroupByKey]])*OutputTable[RecordedValue])),0)</f>
        <v>46.417031532903209</v>
      </c>
      <c r="M183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83" cm="1">
        <f t="array" ref="O183">MIN(IF((OutputTable[GroupByKey]=OutputTable[[#This Row],[GroupByKey]]),(OutputTable[GroupByKey]=OutputTable[[#This Row],[GroupByKey]])*OutputTable[RecordedValue]))</f>
        <v>2306</v>
      </c>
      <c r="P183" cm="1">
        <f t="array" ref="P183">MAX(IF((OutputTable[GroupByKey]=OutputTable[[#This Row],[GroupByKey]]),(OutputTable[GroupByKey]=OutputTable[[#This Row],[GroupByKey]])*OutputTable[RecordedValue]))</f>
        <v>2506</v>
      </c>
    </row>
    <row r="184" spans="1:16" x14ac:dyDescent="0.25">
      <c r="A184" t="s">
        <v>68</v>
      </c>
      <c r="B184" t="s">
        <v>131</v>
      </c>
      <c r="C184">
        <v>11</v>
      </c>
      <c r="D184" t="s">
        <v>122</v>
      </c>
      <c r="E184" t="s">
        <v>123</v>
      </c>
      <c r="F184" t="s">
        <v>99</v>
      </c>
      <c r="G184">
        <v>0.55194103502505998</v>
      </c>
      <c r="H184">
        <v>0</v>
      </c>
      <c r="I184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184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cm="1">
        <f t="array" ref="K184">IFERROR(AVERAGE(IF((OutputTable[GroupByKey]=OutputTable[[#This Row],[GroupByKey]]),(OutputTable[GroupByKey]=OutputTable[[#This Row],[GroupByKey]])*OutputTable[RecordedValue])),0)</f>
        <v>0.54703961359050601</v>
      </c>
      <c r="L184" cm="1">
        <f t="array" ref="L184">IFERROR(_xlfn.STDEV.S(IF((OutputTable[GroupByKey]=OutputTable[[#This Row],[GroupByKey]]),(OutputTable[GroupByKey]=OutputTable[[#This Row],[GroupByKey]])*OutputTable[RecordedValue])),0)</f>
        <v>1.0221170008030479E-2</v>
      </c>
      <c r="M184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184" cm="1">
        <f t="array" ref="O184">MIN(IF((OutputTable[GroupByKey]=OutputTable[[#This Row],[GroupByKey]]),(OutputTable[GroupByKey]=OutputTable[[#This Row],[GroupByKey]])*OutputTable[RecordedValue]))</f>
        <v>0.52470641844357901</v>
      </c>
      <c r="P184" cm="1">
        <f t="array" ref="P184">MAX(IF((OutputTable[GroupByKey]=OutputTable[[#This Row],[GroupByKey]]),(OutputTable[GroupByKey]=OutputTable[[#This Row],[GroupByKey]])*OutputTable[RecordedValue]))</f>
        <v>0.57005812966092295</v>
      </c>
    </row>
    <row r="185" spans="1:16" x14ac:dyDescent="0.25">
      <c r="A185" t="s">
        <v>68</v>
      </c>
      <c r="B185" t="s">
        <v>131</v>
      </c>
      <c r="C185">
        <v>11</v>
      </c>
      <c r="D185" t="s">
        <v>124</v>
      </c>
      <c r="E185" t="s">
        <v>121</v>
      </c>
      <c r="F185" t="s">
        <v>99</v>
      </c>
      <c r="G185">
        <v>2447</v>
      </c>
      <c r="H185">
        <v>0</v>
      </c>
      <c r="I185" t="str">
        <f>OutputTable[[#This Row],[ProjectName]]&amp;OutputTable[[#This Row],[Name]]&amp;OutputTable[[#This Row],[Type]]&amp;OutputTable[[#This Row],[Source]]</f>
        <v>PacientesrMedico.NumberSeizedTotal Number SeizedResource</v>
      </c>
      <c r="J18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cm="1">
        <f t="array" ref="K185">IFERROR(AVERAGE(IF((OutputTable[GroupByKey]=OutputTable[[#This Row],[GroupByKey]]),(OutputTable[GroupByKey]=OutputTable[[#This Row],[GroupByKey]])*OutputTable[RecordedValue])),0)</f>
        <v>2401.9</v>
      </c>
      <c r="L185" cm="1">
        <f t="array" ref="L185">IFERROR(_xlfn.STDEV.S(IF((OutputTable[GroupByKey]=OutputTable[[#This Row],[GroupByKey]]),(OutputTable[GroupByKey]=OutputTable[[#This Row],[GroupByKey]])*OutputTable[RecordedValue])),0)</f>
        <v>46.417031532903209</v>
      </c>
      <c r="M18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185" cm="1">
        <f t="array" ref="O185">MIN(IF((OutputTable[GroupByKey]=OutputTable[[#This Row],[GroupByKey]]),(OutputTable[GroupByKey]=OutputTable[[#This Row],[GroupByKey]])*OutputTable[RecordedValue]))</f>
        <v>2306</v>
      </c>
      <c r="P185" cm="1">
        <f t="array" ref="P185">MAX(IF((OutputTable[GroupByKey]=OutputTable[[#This Row],[GroupByKey]]),(OutputTable[GroupByKey]=OutputTable[[#This Row],[GroupByKey]])*OutputTable[RecordedValue]))</f>
        <v>2506</v>
      </c>
    </row>
    <row r="186" spans="1:16" x14ac:dyDescent="0.25">
      <c r="A186" t="s">
        <v>68</v>
      </c>
      <c r="B186" t="s">
        <v>131</v>
      </c>
      <c r="C186">
        <v>11</v>
      </c>
      <c r="D186" t="s">
        <v>125</v>
      </c>
      <c r="E186" t="s">
        <v>123</v>
      </c>
      <c r="F186" t="s">
        <v>99</v>
      </c>
      <c r="G186">
        <v>0.82791155253758997</v>
      </c>
      <c r="H186">
        <v>0</v>
      </c>
      <c r="I186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186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cm="1">
        <f t="array" ref="K186">IFERROR(AVERAGE(IF((OutputTable[GroupByKey]=OutputTable[[#This Row],[GroupByKey]]),(OutputTable[GroupByKey]=OutputTable[[#This Row],[GroupByKey]])*OutputTable[RecordedValue])),0)</f>
        <v>0.82055942038575935</v>
      </c>
      <c r="L186" cm="1">
        <f t="array" ref="L186">IFERROR(_xlfn.STDEV.S(IF((OutputTable[GroupByKey]=OutputTable[[#This Row],[GroupByKey]]),(OutputTable[GroupByKey]=OutputTable[[#This Row],[GroupByKey]])*OutputTable[RecordedValue])),0)</f>
        <v>1.5331755012045719E-2</v>
      </c>
      <c r="M186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186" cm="1">
        <f t="array" ref="O186">MIN(IF((OutputTable[GroupByKey]=OutputTable[[#This Row],[GroupByKey]]),(OutputTable[GroupByKey]=OutputTable[[#This Row],[GroupByKey]])*OutputTable[RecordedValue]))</f>
        <v>0.78705962766536897</v>
      </c>
      <c r="P186" cm="1">
        <f t="array" ref="P186">MAX(IF((OutputTable[GroupByKey]=OutputTable[[#This Row],[GroupByKey]]),(OutputTable[GroupByKey]=OutputTable[[#This Row],[GroupByKey]])*OutputTable[RecordedValue]))</f>
        <v>0.85508719449138504</v>
      </c>
    </row>
    <row r="187" spans="1:16" x14ac:dyDescent="0.25">
      <c r="A187" t="s">
        <v>68</v>
      </c>
      <c r="B187" t="s">
        <v>131</v>
      </c>
      <c r="C187">
        <v>11</v>
      </c>
      <c r="D187" t="s">
        <v>126</v>
      </c>
      <c r="E187" t="s">
        <v>121</v>
      </c>
      <c r="F187" t="s">
        <v>99</v>
      </c>
      <c r="G187">
        <v>2308</v>
      </c>
      <c r="H187">
        <v>0</v>
      </c>
      <c r="I187" t="str">
        <f>OutputTable[[#This Row],[ProjectName]]&amp;OutputTable[[#This Row],[Name]]&amp;OutputTable[[#This Row],[Type]]&amp;OutputTable[[#This Row],[Source]]</f>
        <v>PacientesrRegistradora.NumberSeizedTotal Number SeizedResource</v>
      </c>
      <c r="J187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cm="1">
        <f t="array" ref="K187">IFERROR(AVERAGE(IF((OutputTable[GroupByKey]=OutputTable[[#This Row],[GroupByKey]]),(OutputTable[GroupByKey]=OutputTable[[#This Row],[GroupByKey]])*OutputTable[RecordedValue])),0)</f>
        <v>2263.14</v>
      </c>
      <c r="L187" cm="1">
        <f t="array" ref="L187">IFERROR(_xlfn.STDEV.S(IF((OutputTable[GroupByKey]=OutputTable[[#This Row],[GroupByKey]]),(OutputTable[GroupByKey]=OutputTable[[#This Row],[GroupByKey]])*OutputTable[RecordedValue])),0)</f>
        <v>47.386818971575821</v>
      </c>
      <c r="M187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187" cm="1">
        <f t="array" ref="O187">MIN(IF((OutputTable[GroupByKey]=OutputTable[[#This Row],[GroupByKey]]),(OutputTable[GroupByKey]=OutputTable[[#This Row],[GroupByKey]])*OutputTable[RecordedValue]))</f>
        <v>2172</v>
      </c>
      <c r="P187" cm="1">
        <f t="array" ref="P187">MAX(IF((OutputTable[GroupByKey]=OutputTable[[#This Row],[GroupByKey]]),(OutputTable[GroupByKey]=OutputTable[[#This Row],[GroupByKey]])*OutputTable[RecordedValue]))</f>
        <v>2386</v>
      </c>
    </row>
    <row r="188" spans="1:16" x14ac:dyDescent="0.25">
      <c r="A188" t="s">
        <v>68</v>
      </c>
      <c r="B188" t="s">
        <v>131</v>
      </c>
      <c r="C188">
        <v>11</v>
      </c>
      <c r="D188" t="s">
        <v>127</v>
      </c>
      <c r="E188" t="s">
        <v>123</v>
      </c>
      <c r="F188" t="s">
        <v>99</v>
      </c>
      <c r="G188">
        <v>0.48139206610975199</v>
      </c>
      <c r="H188">
        <v>0</v>
      </c>
      <c r="I188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188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cm="1">
        <f t="array" ref="K188">IFERROR(AVERAGE(IF((OutputTable[GroupByKey]=OutputTable[[#This Row],[GroupByKey]]),(OutputTable[GroupByKey]=OutputTable[[#This Row],[GroupByKey]])*OutputTable[RecordedValue])),0)</f>
        <v>0.47162762933545666</v>
      </c>
      <c r="L188" cm="1">
        <f t="array" ref="L188">IFERROR(_xlfn.STDEV.S(IF((OutputTable[GroupByKey]=OutputTable[[#This Row],[GroupByKey]]),(OutputTable[GroupByKey]=OutputTable[[#This Row],[GroupByKey]])*OutputTable[RecordedValue])),0)</f>
        <v>9.6615227076777797E-3</v>
      </c>
      <c r="M188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188" cm="1">
        <f t="array" ref="O188">MIN(IF((OutputTable[GroupByKey]=OutputTable[[#This Row],[GroupByKey]]),(OutputTable[GroupByKey]=OutputTable[[#This Row],[GroupByKey]])*OutputTable[RecordedValue]))</f>
        <v>0.452397944183905</v>
      </c>
      <c r="P188" cm="1">
        <f t="array" ref="P188">MAX(IF((OutputTable[GroupByKey]=OutputTable[[#This Row],[GroupByKey]]),(OutputTable[GroupByKey]=OutputTable[[#This Row],[GroupByKey]])*OutputTable[RecordedValue]))</f>
        <v>0.49691123629694001</v>
      </c>
    </row>
    <row r="189" spans="1:16" x14ac:dyDescent="0.25">
      <c r="A189" t="s">
        <v>68</v>
      </c>
      <c r="B189" t="s">
        <v>131</v>
      </c>
      <c r="C189">
        <v>12</v>
      </c>
      <c r="D189" t="s">
        <v>104</v>
      </c>
      <c r="E189" t="s">
        <v>105</v>
      </c>
      <c r="F189" t="s">
        <v>72</v>
      </c>
      <c r="G189">
        <v>2411</v>
      </c>
      <c r="H189">
        <v>0</v>
      </c>
      <c r="I189" t="str">
        <f>OutputTable[[#This Row],[ProjectName]]&amp;OutputTable[[#This Row],[Name]]&amp;OutputTable[[#This Row],[Type]]&amp;OutputTable[[#This Row],[Source]]</f>
        <v>PacientesEntity 1.NumberInNumber InEntity</v>
      </c>
      <c r="J189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cm="1">
        <f t="array" ref="K189">IFERROR(AVERAGE(IF((OutputTable[GroupByKey]=OutputTable[[#This Row],[GroupByKey]]),(OutputTable[GroupByKey]=OutputTable[[#This Row],[GroupByKey]])*OutputTable[RecordedValue])),0)</f>
        <v>2404.8200000000002</v>
      </c>
      <c r="L189" cm="1">
        <f t="array" ref="L189">IFERROR(_xlfn.STDEV.S(IF((OutputTable[GroupByKey]=OutputTable[[#This Row],[GroupByKey]]),(OutputTable[GroupByKey]=OutputTable[[#This Row],[GroupByKey]])*OutputTable[RecordedValue])),0)</f>
        <v>46.42953405595474</v>
      </c>
      <c r="M189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189" cm="1">
        <f t="array" ref="O189">MIN(IF((OutputTable[GroupByKey]=OutputTable[[#This Row],[GroupByKey]]),(OutputTable[GroupByKey]=OutputTable[[#This Row],[GroupByKey]])*OutputTable[RecordedValue]))</f>
        <v>2307</v>
      </c>
      <c r="P189" cm="1">
        <f t="array" ref="P189">MAX(IF((OutputTable[GroupByKey]=OutputTable[[#This Row],[GroupByKey]]),(OutputTable[GroupByKey]=OutputTable[[#This Row],[GroupByKey]])*OutputTable[RecordedValue]))</f>
        <v>2518</v>
      </c>
    </row>
    <row r="190" spans="1:16" x14ac:dyDescent="0.25">
      <c r="A190" t="s">
        <v>68</v>
      </c>
      <c r="B190" t="s">
        <v>131</v>
      </c>
      <c r="C190">
        <v>12</v>
      </c>
      <c r="D190" t="s">
        <v>106</v>
      </c>
      <c r="E190" t="s">
        <v>107</v>
      </c>
      <c r="F190" t="s">
        <v>72</v>
      </c>
      <c r="G190">
        <v>2400</v>
      </c>
      <c r="H190">
        <v>0</v>
      </c>
      <c r="I190" t="str">
        <f>OutputTable[[#This Row],[ProjectName]]&amp;OutputTable[[#This Row],[Name]]&amp;OutputTable[[#This Row],[Type]]&amp;OutputTable[[#This Row],[Source]]</f>
        <v>PacientesEntity 1.NumberOutNumber OutEntity</v>
      </c>
      <c r="J190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cm="1">
        <f t="array" ref="K190">IFERROR(AVERAGE(IF((OutputTable[GroupByKey]=OutputTable[[#This Row],[GroupByKey]]),(OutputTable[GroupByKey]=OutputTable[[#This Row],[GroupByKey]])*OutputTable[RecordedValue])),0)</f>
        <v>2400.2800000000002</v>
      </c>
      <c r="L190" cm="1">
        <f t="array" ref="L190">IFERROR(_xlfn.STDEV.S(IF((OutputTable[GroupByKey]=OutputTable[[#This Row],[GroupByKey]]),(OutputTable[GroupByKey]=OutputTable[[#This Row],[GroupByKey]])*OutputTable[RecordedValue])),0)</f>
        <v>46.409024456676619</v>
      </c>
      <c r="M190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90" cm="1">
        <f t="array" ref="O190">MIN(IF((OutputTable[GroupByKey]=OutputTable[[#This Row],[GroupByKey]]),(OutputTable[GroupByKey]=OutputTable[[#This Row],[GroupByKey]])*OutputTable[RecordedValue]))</f>
        <v>2305</v>
      </c>
      <c r="P190" cm="1">
        <f t="array" ref="P190">MAX(IF((OutputTable[GroupByKey]=OutputTable[[#This Row],[GroupByKey]]),(OutputTable[GroupByKey]=OutputTable[[#This Row],[GroupByKey]])*OutputTable[RecordedValue]))</f>
        <v>2504</v>
      </c>
    </row>
    <row r="191" spans="1:16" x14ac:dyDescent="0.25">
      <c r="A191" t="s">
        <v>68</v>
      </c>
      <c r="B191" t="s">
        <v>131</v>
      </c>
      <c r="C191">
        <v>12</v>
      </c>
      <c r="D191" t="s">
        <v>108</v>
      </c>
      <c r="E191" t="s">
        <v>109</v>
      </c>
      <c r="F191" t="s">
        <v>80</v>
      </c>
      <c r="G191">
        <v>1205.04862941749</v>
      </c>
      <c r="H191">
        <v>0</v>
      </c>
      <c r="I191" t="str">
        <f>OutputTable[[#This Row],[ProjectName]]&amp;OutputTable[[#This Row],[Name]]&amp;OutputTable[[#This Row],[Type]]&amp;OutputTable[[#This Row],[Source]]</f>
        <v>PacientesProcess 2 Accum VA TimeAccum VA TimeProcess</v>
      </c>
      <c r="J191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cm="1">
        <f t="array" ref="K191">IFERROR(AVERAGE(IF((OutputTable[GroupByKey]=OutputTable[[#This Row],[GroupByKey]]),(OutputTable[GroupByKey]=OutputTable[[#This Row],[GroupByKey]])*OutputTable[RecordedValue])),0)</f>
        <v>1181.1234936767919</v>
      </c>
      <c r="L191" cm="1">
        <f t="array" ref="L191">IFERROR(_xlfn.STDEV.S(IF((OutputTable[GroupByKey]=OutputTable[[#This Row],[GroupByKey]]),(OutputTable[GroupByKey]=OutputTable[[#This Row],[GroupByKey]])*OutputTable[RecordedValue])),0)</f>
        <v>22.169313666927575</v>
      </c>
      <c r="M191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191" cm="1">
        <f t="array" ref="O191">MIN(IF((OutputTable[GroupByKey]=OutputTable[[#This Row],[GroupByKey]]),(OutputTable[GroupByKey]=OutputTable[[#This Row],[GroupByKey]])*OutputTable[RecordedValue]))</f>
        <v>1133.24622318414</v>
      </c>
      <c r="P191" cm="1">
        <f t="array" ref="P191">MAX(IF((OutputTable[GroupByKey]=OutputTable[[#This Row],[GroupByKey]]),(OutputTable[GroupByKey]=OutputTable[[#This Row],[GroupByKey]])*OutputTable[RecordedValue]))</f>
        <v>1230.9493287309799</v>
      </c>
    </row>
    <row r="192" spans="1:16" x14ac:dyDescent="0.25">
      <c r="A192" t="s">
        <v>68</v>
      </c>
      <c r="B192" t="s">
        <v>131</v>
      </c>
      <c r="C192">
        <v>12</v>
      </c>
      <c r="D192" t="s">
        <v>110</v>
      </c>
      <c r="E192" t="s">
        <v>111</v>
      </c>
      <c r="F192" t="s">
        <v>80</v>
      </c>
      <c r="G192">
        <v>2408.73483508345</v>
      </c>
      <c r="H192">
        <v>0</v>
      </c>
      <c r="I192" t="str">
        <f>OutputTable[[#This Row],[ProjectName]]&amp;OutputTable[[#This Row],[Name]]&amp;OutputTable[[#This Row],[Type]]&amp;OutputTable[[#This Row],[Source]]</f>
        <v>PacientesProcess 2 Accum Wait TimeAccum Wait TimeProcess</v>
      </c>
      <c r="J192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cm="1">
        <f t="array" ref="K192">IFERROR(AVERAGE(IF((OutputTable[GroupByKey]=OutputTable[[#This Row],[GroupByKey]]),(OutputTable[GroupByKey]=OutputTable[[#This Row],[GroupByKey]])*OutputTable[RecordedValue])),0)</f>
        <v>1938.7515507466894</v>
      </c>
      <c r="L192" cm="1">
        <f t="array" ref="L192">IFERROR(_xlfn.STDEV.S(IF((OutputTable[GroupByKey]=OutputTable[[#This Row],[GroupByKey]]),(OutputTable[GroupByKey]=OutputTable[[#This Row],[GroupByKey]])*OutputTable[RecordedValue])),0)</f>
        <v>534.03396241838232</v>
      </c>
      <c r="M192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192" cm="1">
        <f t="array" ref="O192">MIN(IF((OutputTable[GroupByKey]=OutputTable[[#This Row],[GroupByKey]]),(OutputTable[GroupByKey]=OutputTable[[#This Row],[GroupByKey]])*OutputTable[RecordedValue]))</f>
        <v>1234.7567994731401</v>
      </c>
      <c r="P192" cm="1">
        <f t="array" ref="P192">MAX(IF((OutputTable[GroupByKey]=OutputTable[[#This Row],[GroupByKey]]),(OutputTable[GroupByKey]=OutputTable[[#This Row],[GroupByKey]])*OutputTable[RecordedValue]))</f>
        <v>3269.0858002883801</v>
      </c>
    </row>
    <row r="193" spans="1:16" x14ac:dyDescent="0.25">
      <c r="A193" t="s">
        <v>68</v>
      </c>
      <c r="B193" t="s">
        <v>131</v>
      </c>
      <c r="C193">
        <v>12</v>
      </c>
      <c r="D193" t="s">
        <v>112</v>
      </c>
      <c r="E193" t="s">
        <v>105</v>
      </c>
      <c r="F193" t="s">
        <v>80</v>
      </c>
      <c r="G193">
        <v>2411</v>
      </c>
      <c r="H193">
        <v>0</v>
      </c>
      <c r="I193" t="str">
        <f>OutputTable[[#This Row],[ProjectName]]&amp;OutputTable[[#This Row],[Name]]&amp;OutputTable[[#This Row],[Type]]&amp;OutputTable[[#This Row],[Source]]</f>
        <v>PacientesProcess 2 Number InNumber InProcess</v>
      </c>
      <c r="J193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cm="1">
        <f t="array" ref="K193">IFERROR(AVERAGE(IF((OutputTable[GroupByKey]=OutputTable[[#This Row],[GroupByKey]]),(OutputTable[GroupByKey]=OutputTable[[#This Row],[GroupByKey]])*OutputTable[RecordedValue])),0)</f>
        <v>2404.2399999999998</v>
      </c>
      <c r="L193" cm="1">
        <f t="array" ref="L193">IFERROR(_xlfn.STDEV.S(IF((OutputTable[GroupByKey]=OutputTable[[#This Row],[GroupByKey]]),(OutputTable[GroupByKey]=OutputTable[[#This Row],[GroupByKey]])*OutputTable[RecordedValue])),0)</f>
        <v>46.574303154053879</v>
      </c>
      <c r="M193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193" cm="1">
        <f t="array" ref="O193">MIN(IF((OutputTable[GroupByKey]=OutputTable[[#This Row],[GroupByKey]]),(OutputTable[GroupByKey]=OutputTable[[#This Row],[GroupByKey]])*OutputTable[RecordedValue]))</f>
        <v>2306</v>
      </c>
      <c r="P193" cm="1">
        <f t="array" ref="P193">MAX(IF((OutputTable[GroupByKey]=OutputTable[[#This Row],[GroupByKey]]),(OutputTable[GroupByKey]=OutputTable[[#This Row],[GroupByKey]])*OutputTable[RecordedValue]))</f>
        <v>2518</v>
      </c>
    </row>
    <row r="194" spans="1:16" x14ac:dyDescent="0.25">
      <c r="A194" t="s">
        <v>68</v>
      </c>
      <c r="B194" t="s">
        <v>131</v>
      </c>
      <c r="C194">
        <v>12</v>
      </c>
      <c r="D194" t="s">
        <v>113</v>
      </c>
      <c r="E194" t="s">
        <v>107</v>
      </c>
      <c r="F194" t="s">
        <v>80</v>
      </c>
      <c r="G194">
        <v>2400</v>
      </c>
      <c r="H194">
        <v>0</v>
      </c>
      <c r="I194" t="str">
        <f>OutputTable[[#This Row],[ProjectName]]&amp;OutputTable[[#This Row],[Name]]&amp;OutputTable[[#This Row],[Type]]&amp;OutputTable[[#This Row],[Source]]</f>
        <v>PacientesProcess 2 Number OutNumber OutProcess</v>
      </c>
      <c r="J194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cm="1">
        <f t="array" ref="K194">IFERROR(AVERAGE(IF((OutputTable[GroupByKey]=OutputTable[[#This Row],[GroupByKey]]),(OutputTable[GroupByKey]=OutputTable[[#This Row],[GroupByKey]])*OutputTable[RecordedValue])),0)</f>
        <v>2400.2800000000002</v>
      </c>
      <c r="L194" cm="1">
        <f t="array" ref="L194">IFERROR(_xlfn.STDEV.S(IF((OutputTable[GroupByKey]=OutputTable[[#This Row],[GroupByKey]]),(OutputTable[GroupByKey]=OutputTable[[#This Row],[GroupByKey]])*OutputTable[RecordedValue])),0)</f>
        <v>46.409024456676619</v>
      </c>
      <c r="M194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94" cm="1">
        <f t="array" ref="O194">MIN(IF((OutputTable[GroupByKey]=OutputTable[[#This Row],[GroupByKey]]),(OutputTable[GroupByKey]=OutputTable[[#This Row],[GroupByKey]])*OutputTable[RecordedValue]))</f>
        <v>2305</v>
      </c>
      <c r="P194" cm="1">
        <f t="array" ref="P194">MAX(IF((OutputTable[GroupByKey]=OutputTable[[#This Row],[GroupByKey]]),(OutputTable[GroupByKey]=OutputTable[[#This Row],[GroupByKey]])*OutputTable[RecordedValue]))</f>
        <v>2504</v>
      </c>
    </row>
    <row r="195" spans="1:16" x14ac:dyDescent="0.25">
      <c r="A195" t="s">
        <v>68</v>
      </c>
      <c r="B195" t="s">
        <v>131</v>
      </c>
      <c r="C195">
        <v>12</v>
      </c>
      <c r="D195" t="s">
        <v>114</v>
      </c>
      <c r="E195" t="s">
        <v>109</v>
      </c>
      <c r="F195" t="s">
        <v>80</v>
      </c>
      <c r="G195">
        <v>338.60384193447101</v>
      </c>
      <c r="H195">
        <v>0</v>
      </c>
      <c r="I195" t="str">
        <f>OutputTable[[#This Row],[ProjectName]]&amp;OutputTable[[#This Row],[Name]]&amp;OutputTable[[#This Row],[Type]]&amp;OutputTable[[#This Row],[Source]]</f>
        <v>PacientesRegistro Accum VA TimeAccum VA TimeProcess</v>
      </c>
      <c r="J19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cm="1">
        <f t="array" ref="K195">IFERROR(AVERAGE(IF((OutputTable[GroupByKey]=OutputTable[[#This Row],[GroupByKey]]),(OutputTable[GroupByKey]=OutputTable[[#This Row],[GroupByKey]])*OutputTable[RecordedValue])),0)</f>
        <v>339.53547737062786</v>
      </c>
      <c r="L195" cm="1">
        <f t="array" ref="L195">IFERROR(_xlfn.STDEV.S(IF((OutputTable[GroupByKey]=OutputTable[[#This Row],[GroupByKey]]),(OutputTable[GroupByKey]=OutputTable[[#This Row],[GroupByKey]])*OutputTable[RecordedValue])),0)</f>
        <v>6.9723666109353193</v>
      </c>
      <c r="M19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195" cm="1">
        <f t="array" ref="O195">MIN(IF((OutputTable[GroupByKey]=OutputTable[[#This Row],[GroupByKey]]),(OutputTable[GroupByKey]=OutputTable[[#This Row],[GroupByKey]])*OutputTable[RecordedValue]))</f>
        <v>325.606879158418</v>
      </c>
      <c r="P195" cm="1">
        <f t="array" ref="P195">MAX(IF((OutputTable[GroupByKey]=OutputTable[[#This Row],[GroupByKey]]),(OutputTable[GroupByKey]=OutputTable[[#This Row],[GroupByKey]])*OutputTable[RecordedValue]))</f>
        <v>357.77609013379703</v>
      </c>
    </row>
    <row r="196" spans="1:16" x14ac:dyDescent="0.25">
      <c r="A196" t="s">
        <v>68</v>
      </c>
      <c r="B196" t="s">
        <v>131</v>
      </c>
      <c r="C196">
        <v>12</v>
      </c>
      <c r="D196" t="s">
        <v>115</v>
      </c>
      <c r="E196" t="s">
        <v>111</v>
      </c>
      <c r="F196" t="s">
        <v>80</v>
      </c>
      <c r="G196">
        <v>163.541373730803</v>
      </c>
      <c r="H196">
        <v>0</v>
      </c>
      <c r="I196" t="str">
        <f>OutputTable[[#This Row],[ProjectName]]&amp;OutputTable[[#This Row],[Name]]&amp;OutputTable[[#This Row],[Type]]&amp;OutputTable[[#This Row],[Source]]</f>
        <v>PacientesRegistro Accum Wait TimeAccum Wait TimeProcess</v>
      </c>
      <c r="J196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cm="1">
        <f t="array" ref="K196">IFERROR(AVERAGE(IF((OutputTable[GroupByKey]=OutputTable[[#This Row],[GroupByKey]]),(OutputTable[GroupByKey]=OutputTable[[#This Row],[GroupByKey]])*OutputTable[RecordedValue])),0)</f>
        <v>154.15303898127775</v>
      </c>
      <c r="L196" cm="1">
        <f t="array" ref="L196">IFERROR(_xlfn.STDEV.S(IF((OutputTable[GroupByKey]=OutputTable[[#This Row],[GroupByKey]]),(OutputTable[GroupByKey]=OutputTable[[#This Row],[GroupByKey]])*OutputTable[RecordedValue])),0)</f>
        <v>12.141439184615397</v>
      </c>
      <c r="M196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196" cm="1">
        <f t="array" ref="O196">MIN(IF((OutputTable[GroupByKey]=OutputTable[[#This Row],[GroupByKey]]),(OutputTable[GroupByKey]=OutputTable[[#This Row],[GroupByKey]])*OutputTable[RecordedValue]))</f>
        <v>123.901613974094</v>
      </c>
      <c r="P196" cm="1">
        <f t="array" ref="P196">MAX(IF((OutputTable[GroupByKey]=OutputTable[[#This Row],[GroupByKey]]),(OutputTable[GroupByKey]=OutputTable[[#This Row],[GroupByKey]])*OutputTable[RecordedValue]))</f>
        <v>178.441307284473</v>
      </c>
    </row>
    <row r="197" spans="1:16" x14ac:dyDescent="0.25">
      <c r="A197" t="s">
        <v>68</v>
      </c>
      <c r="B197" t="s">
        <v>131</v>
      </c>
      <c r="C197">
        <v>12</v>
      </c>
      <c r="D197" t="s">
        <v>116</v>
      </c>
      <c r="E197" t="s">
        <v>105</v>
      </c>
      <c r="F197" t="s">
        <v>80</v>
      </c>
      <c r="G197">
        <v>2254</v>
      </c>
      <c r="H197">
        <v>0</v>
      </c>
      <c r="I197" t="str">
        <f>OutputTable[[#This Row],[ProjectName]]&amp;OutputTable[[#This Row],[Name]]&amp;OutputTable[[#This Row],[Type]]&amp;OutputTable[[#This Row],[Source]]</f>
        <v>PacientesRegistro Number InNumber InProcess</v>
      </c>
      <c r="J197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cm="1">
        <f t="array" ref="K197">IFERROR(AVERAGE(IF((OutputTable[GroupByKey]=OutputTable[[#This Row],[GroupByKey]]),(OutputTable[GroupByKey]=OutputTable[[#This Row],[GroupByKey]])*OutputTable[RecordedValue])),0)</f>
        <v>2263.2399999999998</v>
      </c>
      <c r="L197" cm="1">
        <f t="array" ref="L197">IFERROR(_xlfn.STDEV.S(IF((OutputTable[GroupByKey]=OutputTable[[#This Row],[GroupByKey]]),(OutputTable[GroupByKey]=OutputTable[[#This Row],[GroupByKey]])*OutputTable[RecordedValue])),0)</f>
        <v>47.331035682472766</v>
      </c>
      <c r="M197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197" cm="1">
        <f t="array" ref="O197">MIN(IF((OutputTable[GroupByKey]=OutputTable[[#This Row],[GroupByKey]]),(OutputTable[GroupByKey]=OutputTable[[#This Row],[GroupByKey]])*OutputTable[RecordedValue]))</f>
        <v>2172</v>
      </c>
      <c r="P197" cm="1">
        <f t="array" ref="P197">MAX(IF((OutputTable[GroupByKey]=OutputTable[[#This Row],[GroupByKey]]),(OutputTable[GroupByKey]=OutputTable[[#This Row],[GroupByKey]])*OutputTable[RecordedValue]))</f>
        <v>2386</v>
      </c>
    </row>
    <row r="198" spans="1:16" x14ac:dyDescent="0.25">
      <c r="A198" t="s">
        <v>68</v>
      </c>
      <c r="B198" t="s">
        <v>131</v>
      </c>
      <c r="C198">
        <v>12</v>
      </c>
      <c r="D198" t="s">
        <v>117</v>
      </c>
      <c r="E198" t="s">
        <v>107</v>
      </c>
      <c r="F198" t="s">
        <v>80</v>
      </c>
      <c r="G198">
        <v>2254</v>
      </c>
      <c r="H198">
        <v>0</v>
      </c>
      <c r="I198" t="str">
        <f>OutputTable[[#This Row],[ProjectName]]&amp;OutputTable[[#This Row],[Name]]&amp;OutputTable[[#This Row],[Type]]&amp;OutputTable[[#This Row],[Source]]</f>
        <v>PacientesRegistro Number OutNumber OutProcess</v>
      </c>
      <c r="J198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cm="1">
        <f t="array" ref="K198">IFERROR(AVERAGE(IF((OutputTable[GroupByKey]=OutputTable[[#This Row],[GroupByKey]]),(OutputTable[GroupByKey]=OutputTable[[#This Row],[GroupByKey]])*OutputTable[RecordedValue])),0)</f>
        <v>2262.66</v>
      </c>
      <c r="L198" cm="1">
        <f t="array" ref="L198">IFERROR(_xlfn.STDEV.S(IF((OutputTable[GroupByKey]=OutputTable[[#This Row],[GroupByKey]]),(OutputTable[GroupByKey]=OutputTable[[#This Row],[GroupByKey]])*OutputTable[RecordedValue])),0)</f>
        <v>47.488176831454687</v>
      </c>
      <c r="M198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198" cm="1">
        <f t="array" ref="O198">MIN(IF((OutputTable[GroupByKey]=OutputTable[[#This Row],[GroupByKey]]),(OutputTable[GroupByKey]=OutputTable[[#This Row],[GroupByKey]])*OutputTable[RecordedValue]))</f>
        <v>2171</v>
      </c>
      <c r="P198" cm="1">
        <f t="array" ref="P198">MAX(IF((OutputTable[GroupByKey]=OutputTable[[#This Row],[GroupByKey]]),(OutputTable[GroupByKey]=OutputTable[[#This Row],[GroupByKey]])*OutputTable[RecordedValue]))</f>
        <v>2386</v>
      </c>
    </row>
    <row r="199" spans="1:16" x14ac:dyDescent="0.25">
      <c r="A199" t="s">
        <v>68</v>
      </c>
      <c r="B199" t="s">
        <v>131</v>
      </c>
      <c r="C199">
        <v>12</v>
      </c>
      <c r="D199" t="s">
        <v>118</v>
      </c>
      <c r="E199" t="s">
        <v>107</v>
      </c>
      <c r="F199" t="s">
        <v>119</v>
      </c>
      <c r="G199">
        <v>2400</v>
      </c>
      <c r="H199">
        <v>0</v>
      </c>
      <c r="I199" t="str">
        <f>OutputTable[[#This Row],[ProjectName]]&amp;OutputTable[[#This Row],[Name]]&amp;OutputTable[[#This Row],[Type]]&amp;OutputTable[[#This Row],[Source]]</f>
        <v>PacientesSystem.NumberOutNumber OutSystem</v>
      </c>
      <c r="J199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cm="1">
        <f t="array" ref="K199">IFERROR(AVERAGE(IF((OutputTable[GroupByKey]=OutputTable[[#This Row],[GroupByKey]]),(OutputTable[GroupByKey]=OutputTable[[#This Row],[GroupByKey]])*OutputTable[RecordedValue])),0)</f>
        <v>2400.2800000000002</v>
      </c>
      <c r="L199" cm="1">
        <f t="array" ref="L199">IFERROR(_xlfn.STDEV.S(IF((OutputTable[GroupByKey]=OutputTable[[#This Row],[GroupByKey]]),(OutputTable[GroupByKey]=OutputTable[[#This Row],[GroupByKey]])*OutputTable[RecordedValue])),0)</f>
        <v>46.409024456676619</v>
      </c>
      <c r="M199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199" cm="1">
        <f t="array" ref="O199">MIN(IF((OutputTable[GroupByKey]=OutputTable[[#This Row],[GroupByKey]]),(OutputTable[GroupByKey]=OutputTable[[#This Row],[GroupByKey]])*OutputTable[RecordedValue]))</f>
        <v>2305</v>
      </c>
      <c r="P199" cm="1">
        <f t="array" ref="P199">MAX(IF((OutputTable[GroupByKey]=OutputTable[[#This Row],[GroupByKey]]),(OutputTable[GroupByKey]=OutputTable[[#This Row],[GroupByKey]])*OutputTable[RecordedValue]))</f>
        <v>2504</v>
      </c>
    </row>
    <row r="200" spans="1:16" x14ac:dyDescent="0.25">
      <c r="A200" t="s">
        <v>68</v>
      </c>
      <c r="B200" t="s">
        <v>131</v>
      </c>
      <c r="C200">
        <v>12</v>
      </c>
      <c r="D200" t="s">
        <v>120</v>
      </c>
      <c r="E200" t="s">
        <v>121</v>
      </c>
      <c r="F200" t="s">
        <v>99</v>
      </c>
      <c r="G200">
        <v>2402</v>
      </c>
      <c r="H200">
        <v>0</v>
      </c>
      <c r="I200" t="str">
        <f>OutputTable[[#This Row],[ProjectName]]&amp;OutputTable[[#This Row],[Name]]&amp;OutputTable[[#This Row],[Type]]&amp;OutputTable[[#This Row],[Source]]</f>
        <v>PacientesrCamas.NumberSeizedTotal Number SeizedResource</v>
      </c>
      <c r="J200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cm="1">
        <f t="array" ref="K200">IFERROR(AVERAGE(IF((OutputTable[GroupByKey]=OutputTable[[#This Row],[GroupByKey]]),(OutputTable[GroupByKey]=OutputTable[[#This Row],[GroupByKey]])*OutputTable[RecordedValue])),0)</f>
        <v>2401.9</v>
      </c>
      <c r="L200" cm="1">
        <f t="array" ref="L200">IFERROR(_xlfn.STDEV.S(IF((OutputTable[GroupByKey]=OutputTable[[#This Row],[GroupByKey]]),(OutputTable[GroupByKey]=OutputTable[[#This Row],[GroupByKey]])*OutputTable[RecordedValue])),0)</f>
        <v>46.417031532903209</v>
      </c>
      <c r="M200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00" cm="1">
        <f t="array" ref="O200">MIN(IF((OutputTable[GroupByKey]=OutputTable[[#This Row],[GroupByKey]]),(OutputTable[GroupByKey]=OutputTable[[#This Row],[GroupByKey]])*OutputTable[RecordedValue]))</f>
        <v>2306</v>
      </c>
      <c r="P200" cm="1">
        <f t="array" ref="P200">MAX(IF((OutputTable[GroupByKey]=OutputTable[[#This Row],[GroupByKey]]),(OutputTable[GroupByKey]=OutputTable[[#This Row],[GroupByKey]])*OutputTable[RecordedValue]))</f>
        <v>2506</v>
      </c>
    </row>
    <row r="201" spans="1:16" x14ac:dyDescent="0.25">
      <c r="A201" t="s">
        <v>68</v>
      </c>
      <c r="B201" t="s">
        <v>131</v>
      </c>
      <c r="C201">
        <v>12</v>
      </c>
      <c r="D201" t="s">
        <v>122</v>
      </c>
      <c r="E201" t="s">
        <v>123</v>
      </c>
      <c r="F201" t="s">
        <v>99</v>
      </c>
      <c r="G201">
        <v>0.55822409183268196</v>
      </c>
      <c r="H201">
        <v>0</v>
      </c>
      <c r="I201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201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cm="1">
        <f t="array" ref="K201">IFERROR(AVERAGE(IF((OutputTable[GroupByKey]=OutputTable[[#This Row],[GroupByKey]]),(OutputTable[GroupByKey]=OutputTable[[#This Row],[GroupByKey]])*OutputTable[RecordedValue])),0)</f>
        <v>0.54703961359050601</v>
      </c>
      <c r="L201" cm="1">
        <f t="array" ref="L201">IFERROR(_xlfn.STDEV.S(IF((OutputTable[GroupByKey]=OutputTable[[#This Row],[GroupByKey]]),(OutputTable[GroupByKey]=OutputTable[[#This Row],[GroupByKey]])*OutputTable[RecordedValue])),0)</f>
        <v>1.0221170008030479E-2</v>
      </c>
      <c r="M201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201" cm="1">
        <f t="array" ref="O201">MIN(IF((OutputTable[GroupByKey]=OutputTable[[#This Row],[GroupByKey]]),(OutputTable[GroupByKey]=OutputTable[[#This Row],[GroupByKey]])*OutputTable[RecordedValue]))</f>
        <v>0.52470641844357901</v>
      </c>
      <c r="P201" cm="1">
        <f t="array" ref="P201">MAX(IF((OutputTable[GroupByKey]=OutputTable[[#This Row],[GroupByKey]]),(OutputTable[GroupByKey]=OutputTable[[#This Row],[GroupByKey]])*OutputTable[RecordedValue]))</f>
        <v>0.57005812966092295</v>
      </c>
    </row>
    <row r="202" spans="1:16" x14ac:dyDescent="0.25">
      <c r="A202" t="s">
        <v>68</v>
      </c>
      <c r="B202" t="s">
        <v>131</v>
      </c>
      <c r="C202">
        <v>12</v>
      </c>
      <c r="D202" t="s">
        <v>124</v>
      </c>
      <c r="E202" t="s">
        <v>121</v>
      </c>
      <c r="F202" t="s">
        <v>99</v>
      </c>
      <c r="G202">
        <v>2402</v>
      </c>
      <c r="H202">
        <v>0</v>
      </c>
      <c r="I202" t="str">
        <f>OutputTable[[#This Row],[ProjectName]]&amp;OutputTable[[#This Row],[Name]]&amp;OutputTable[[#This Row],[Type]]&amp;OutputTable[[#This Row],[Source]]</f>
        <v>PacientesrMedico.NumberSeizedTotal Number SeizedResource</v>
      </c>
      <c r="J202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cm="1">
        <f t="array" ref="K202">IFERROR(AVERAGE(IF((OutputTable[GroupByKey]=OutputTable[[#This Row],[GroupByKey]]),(OutputTable[GroupByKey]=OutputTable[[#This Row],[GroupByKey]])*OutputTable[RecordedValue])),0)</f>
        <v>2401.9</v>
      </c>
      <c r="L202" cm="1">
        <f t="array" ref="L202">IFERROR(_xlfn.STDEV.S(IF((OutputTable[GroupByKey]=OutputTable[[#This Row],[GroupByKey]]),(OutputTable[GroupByKey]=OutputTable[[#This Row],[GroupByKey]])*OutputTable[RecordedValue])),0)</f>
        <v>46.417031532903209</v>
      </c>
      <c r="M202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02" cm="1">
        <f t="array" ref="O202">MIN(IF((OutputTable[GroupByKey]=OutputTable[[#This Row],[GroupByKey]]),(OutputTable[GroupByKey]=OutputTable[[#This Row],[GroupByKey]])*OutputTable[RecordedValue]))</f>
        <v>2306</v>
      </c>
      <c r="P202" cm="1">
        <f t="array" ref="P202">MAX(IF((OutputTable[GroupByKey]=OutputTable[[#This Row],[GroupByKey]]),(OutputTable[GroupByKey]=OutputTable[[#This Row],[GroupByKey]])*OutputTable[RecordedValue]))</f>
        <v>2506</v>
      </c>
    </row>
    <row r="203" spans="1:16" x14ac:dyDescent="0.25">
      <c r="A203" t="s">
        <v>68</v>
      </c>
      <c r="B203" t="s">
        <v>131</v>
      </c>
      <c r="C203">
        <v>12</v>
      </c>
      <c r="D203" t="s">
        <v>125</v>
      </c>
      <c r="E203" t="s">
        <v>123</v>
      </c>
      <c r="F203" t="s">
        <v>99</v>
      </c>
      <c r="G203">
        <v>0.83733613774902305</v>
      </c>
      <c r="H203">
        <v>0</v>
      </c>
      <c r="I203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203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cm="1">
        <f t="array" ref="K203">IFERROR(AVERAGE(IF((OutputTable[GroupByKey]=OutputTable[[#This Row],[GroupByKey]]),(OutputTable[GroupByKey]=OutputTable[[#This Row],[GroupByKey]])*OutputTable[RecordedValue])),0)</f>
        <v>0.82055942038575935</v>
      </c>
      <c r="L203" cm="1">
        <f t="array" ref="L203">IFERROR(_xlfn.STDEV.S(IF((OutputTable[GroupByKey]=OutputTable[[#This Row],[GroupByKey]]),(OutputTable[GroupByKey]=OutputTable[[#This Row],[GroupByKey]])*OutputTable[RecordedValue])),0)</f>
        <v>1.5331755012045719E-2</v>
      </c>
      <c r="M203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203" cm="1">
        <f t="array" ref="O203">MIN(IF((OutputTable[GroupByKey]=OutputTable[[#This Row],[GroupByKey]]),(OutputTable[GroupByKey]=OutputTable[[#This Row],[GroupByKey]])*OutputTable[RecordedValue]))</f>
        <v>0.78705962766536897</v>
      </c>
      <c r="P203" cm="1">
        <f t="array" ref="P203">MAX(IF((OutputTable[GroupByKey]=OutputTable[[#This Row],[GroupByKey]]),(OutputTable[GroupByKey]=OutputTable[[#This Row],[GroupByKey]])*OutputTable[RecordedValue]))</f>
        <v>0.85508719449138504</v>
      </c>
    </row>
    <row r="204" spans="1:16" x14ac:dyDescent="0.25">
      <c r="A204" t="s">
        <v>68</v>
      </c>
      <c r="B204" t="s">
        <v>131</v>
      </c>
      <c r="C204">
        <v>12</v>
      </c>
      <c r="D204" t="s">
        <v>126</v>
      </c>
      <c r="E204" t="s">
        <v>121</v>
      </c>
      <c r="F204" t="s">
        <v>99</v>
      </c>
      <c r="G204">
        <v>2254</v>
      </c>
      <c r="H204">
        <v>0</v>
      </c>
      <c r="I204" t="str">
        <f>OutputTable[[#This Row],[ProjectName]]&amp;OutputTable[[#This Row],[Name]]&amp;OutputTable[[#This Row],[Type]]&amp;OutputTable[[#This Row],[Source]]</f>
        <v>PacientesrRegistradora.NumberSeizedTotal Number SeizedResource</v>
      </c>
      <c r="J204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cm="1">
        <f t="array" ref="K204">IFERROR(AVERAGE(IF((OutputTable[GroupByKey]=OutputTable[[#This Row],[GroupByKey]]),(OutputTable[GroupByKey]=OutputTable[[#This Row],[GroupByKey]])*OutputTable[RecordedValue])),0)</f>
        <v>2263.14</v>
      </c>
      <c r="L204" cm="1">
        <f t="array" ref="L204">IFERROR(_xlfn.STDEV.S(IF((OutputTable[GroupByKey]=OutputTable[[#This Row],[GroupByKey]]),(OutputTable[GroupByKey]=OutputTable[[#This Row],[GroupByKey]])*OutputTable[RecordedValue])),0)</f>
        <v>47.386818971575821</v>
      </c>
      <c r="M204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204" cm="1">
        <f t="array" ref="O204">MIN(IF((OutputTable[GroupByKey]=OutputTable[[#This Row],[GroupByKey]]),(OutputTable[GroupByKey]=OutputTable[[#This Row],[GroupByKey]])*OutputTable[RecordedValue]))</f>
        <v>2172</v>
      </c>
      <c r="P204" cm="1">
        <f t="array" ref="P204">MAX(IF((OutputTable[GroupByKey]=OutputTable[[#This Row],[GroupByKey]]),(OutputTable[GroupByKey]=OutputTable[[#This Row],[GroupByKey]])*OutputTable[RecordedValue]))</f>
        <v>2386</v>
      </c>
    </row>
    <row r="205" spans="1:16" x14ac:dyDescent="0.25">
      <c r="A205" t="s">
        <v>68</v>
      </c>
      <c r="B205" t="s">
        <v>131</v>
      </c>
      <c r="C205">
        <v>12</v>
      </c>
      <c r="D205" t="s">
        <v>127</v>
      </c>
      <c r="E205" t="s">
        <v>123</v>
      </c>
      <c r="F205" t="s">
        <v>99</v>
      </c>
      <c r="G205">
        <v>0.47028311379787702</v>
      </c>
      <c r="H205">
        <v>0</v>
      </c>
      <c r="I205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20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cm="1">
        <f t="array" ref="K205">IFERROR(AVERAGE(IF((OutputTable[GroupByKey]=OutputTable[[#This Row],[GroupByKey]]),(OutputTable[GroupByKey]=OutputTable[[#This Row],[GroupByKey]])*OutputTable[RecordedValue])),0)</f>
        <v>0.47162762933545666</v>
      </c>
      <c r="L205" cm="1">
        <f t="array" ref="L205">IFERROR(_xlfn.STDEV.S(IF((OutputTable[GroupByKey]=OutputTable[[#This Row],[GroupByKey]]),(OutputTable[GroupByKey]=OutputTable[[#This Row],[GroupByKey]])*OutputTable[RecordedValue])),0)</f>
        <v>9.6615227076777797E-3</v>
      </c>
      <c r="M20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205" cm="1">
        <f t="array" ref="O205">MIN(IF((OutputTable[GroupByKey]=OutputTable[[#This Row],[GroupByKey]]),(OutputTable[GroupByKey]=OutputTable[[#This Row],[GroupByKey]])*OutputTable[RecordedValue]))</f>
        <v>0.452397944183905</v>
      </c>
      <c r="P205" cm="1">
        <f t="array" ref="P205">MAX(IF((OutputTable[GroupByKey]=OutputTable[[#This Row],[GroupByKey]]),(OutputTable[GroupByKey]=OutputTable[[#This Row],[GroupByKey]])*OutputTable[RecordedValue]))</f>
        <v>0.49691123629694001</v>
      </c>
    </row>
    <row r="206" spans="1:16" x14ac:dyDescent="0.25">
      <c r="A206" t="s">
        <v>68</v>
      </c>
      <c r="B206" t="s">
        <v>131</v>
      </c>
      <c r="C206">
        <v>13</v>
      </c>
      <c r="D206" t="s">
        <v>104</v>
      </c>
      <c r="E206" t="s">
        <v>105</v>
      </c>
      <c r="F206" t="s">
        <v>72</v>
      </c>
      <c r="G206">
        <v>2412</v>
      </c>
      <c r="H206">
        <v>0</v>
      </c>
      <c r="I206" t="str">
        <f>OutputTable[[#This Row],[ProjectName]]&amp;OutputTable[[#This Row],[Name]]&amp;OutputTable[[#This Row],[Type]]&amp;OutputTable[[#This Row],[Source]]</f>
        <v>PacientesEntity 1.NumberInNumber InEntity</v>
      </c>
      <c r="J206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cm="1">
        <f t="array" ref="K206">IFERROR(AVERAGE(IF((OutputTable[GroupByKey]=OutputTable[[#This Row],[GroupByKey]]),(OutputTable[GroupByKey]=OutputTable[[#This Row],[GroupByKey]])*OutputTable[RecordedValue])),0)</f>
        <v>2404.8200000000002</v>
      </c>
      <c r="L206" cm="1">
        <f t="array" ref="L206">IFERROR(_xlfn.STDEV.S(IF((OutputTable[GroupByKey]=OutputTable[[#This Row],[GroupByKey]]),(OutputTable[GroupByKey]=OutputTable[[#This Row],[GroupByKey]])*OutputTable[RecordedValue])),0)</f>
        <v>46.42953405595474</v>
      </c>
      <c r="M206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206" cm="1">
        <f t="array" ref="O206">MIN(IF((OutputTable[GroupByKey]=OutputTable[[#This Row],[GroupByKey]]),(OutputTable[GroupByKey]=OutputTable[[#This Row],[GroupByKey]])*OutputTable[RecordedValue]))</f>
        <v>2307</v>
      </c>
      <c r="P206" cm="1">
        <f t="array" ref="P206">MAX(IF((OutputTable[GroupByKey]=OutputTable[[#This Row],[GroupByKey]]),(OutputTable[GroupByKey]=OutputTable[[#This Row],[GroupByKey]])*OutputTable[RecordedValue]))</f>
        <v>2518</v>
      </c>
    </row>
    <row r="207" spans="1:16" x14ac:dyDescent="0.25">
      <c r="A207" t="s">
        <v>68</v>
      </c>
      <c r="B207" t="s">
        <v>131</v>
      </c>
      <c r="C207">
        <v>13</v>
      </c>
      <c r="D207" t="s">
        <v>106</v>
      </c>
      <c r="E207" t="s">
        <v>107</v>
      </c>
      <c r="F207" t="s">
        <v>72</v>
      </c>
      <c r="G207">
        <v>2406</v>
      </c>
      <c r="H207">
        <v>0</v>
      </c>
      <c r="I207" t="str">
        <f>OutputTable[[#This Row],[ProjectName]]&amp;OutputTable[[#This Row],[Name]]&amp;OutputTable[[#This Row],[Type]]&amp;OutputTable[[#This Row],[Source]]</f>
        <v>PacientesEntity 1.NumberOutNumber OutEntity</v>
      </c>
      <c r="J207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cm="1">
        <f t="array" ref="K207">IFERROR(AVERAGE(IF((OutputTable[GroupByKey]=OutputTable[[#This Row],[GroupByKey]]),(OutputTable[GroupByKey]=OutputTable[[#This Row],[GroupByKey]])*OutputTable[RecordedValue])),0)</f>
        <v>2400.2800000000002</v>
      </c>
      <c r="L207" cm="1">
        <f t="array" ref="L207">IFERROR(_xlfn.STDEV.S(IF((OutputTable[GroupByKey]=OutputTable[[#This Row],[GroupByKey]]),(OutputTable[GroupByKey]=OutputTable[[#This Row],[GroupByKey]])*OutputTable[RecordedValue])),0)</f>
        <v>46.409024456676619</v>
      </c>
      <c r="M207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07" cm="1">
        <f t="array" ref="O207">MIN(IF((OutputTable[GroupByKey]=OutputTable[[#This Row],[GroupByKey]]),(OutputTable[GroupByKey]=OutputTable[[#This Row],[GroupByKey]])*OutputTable[RecordedValue]))</f>
        <v>2305</v>
      </c>
      <c r="P207" cm="1">
        <f t="array" ref="P207">MAX(IF((OutputTable[GroupByKey]=OutputTable[[#This Row],[GroupByKey]]),(OutputTable[GroupByKey]=OutputTable[[#This Row],[GroupByKey]])*OutputTable[RecordedValue]))</f>
        <v>2504</v>
      </c>
    </row>
    <row r="208" spans="1:16" x14ac:dyDescent="0.25">
      <c r="A208" t="s">
        <v>68</v>
      </c>
      <c r="B208" t="s">
        <v>131</v>
      </c>
      <c r="C208">
        <v>13</v>
      </c>
      <c r="D208" t="s">
        <v>108</v>
      </c>
      <c r="E208" t="s">
        <v>109</v>
      </c>
      <c r="F208" t="s">
        <v>80</v>
      </c>
      <c r="G208">
        <v>1180.01907437364</v>
      </c>
      <c r="H208">
        <v>0</v>
      </c>
      <c r="I208" t="str">
        <f>OutputTable[[#This Row],[ProjectName]]&amp;OutputTable[[#This Row],[Name]]&amp;OutputTable[[#This Row],[Type]]&amp;OutputTable[[#This Row],[Source]]</f>
        <v>PacientesProcess 2 Accum VA TimeAccum VA TimeProcess</v>
      </c>
      <c r="J208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cm="1">
        <f t="array" ref="K208">IFERROR(AVERAGE(IF((OutputTable[GroupByKey]=OutputTable[[#This Row],[GroupByKey]]),(OutputTable[GroupByKey]=OutputTable[[#This Row],[GroupByKey]])*OutputTable[RecordedValue])),0)</f>
        <v>1181.1234936767919</v>
      </c>
      <c r="L208" cm="1">
        <f t="array" ref="L208">IFERROR(_xlfn.STDEV.S(IF((OutputTable[GroupByKey]=OutputTable[[#This Row],[GroupByKey]]),(OutputTable[GroupByKey]=OutputTable[[#This Row],[GroupByKey]])*OutputTable[RecordedValue])),0)</f>
        <v>22.169313666927575</v>
      </c>
      <c r="M208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208" cm="1">
        <f t="array" ref="O208">MIN(IF((OutputTable[GroupByKey]=OutputTable[[#This Row],[GroupByKey]]),(OutputTable[GroupByKey]=OutputTable[[#This Row],[GroupByKey]])*OutputTable[RecordedValue]))</f>
        <v>1133.24622318414</v>
      </c>
      <c r="P208" cm="1">
        <f t="array" ref="P208">MAX(IF((OutputTable[GroupByKey]=OutputTable[[#This Row],[GroupByKey]]),(OutputTable[GroupByKey]=OutputTable[[#This Row],[GroupByKey]])*OutputTable[RecordedValue]))</f>
        <v>1230.9493287309799</v>
      </c>
    </row>
    <row r="209" spans="1:16" x14ac:dyDescent="0.25">
      <c r="A209" t="s">
        <v>68</v>
      </c>
      <c r="B209" t="s">
        <v>131</v>
      </c>
      <c r="C209">
        <v>13</v>
      </c>
      <c r="D209" t="s">
        <v>110</v>
      </c>
      <c r="E209" t="s">
        <v>111</v>
      </c>
      <c r="F209" t="s">
        <v>80</v>
      </c>
      <c r="G209">
        <v>1738.8499991792701</v>
      </c>
      <c r="H209">
        <v>0</v>
      </c>
      <c r="I209" t="str">
        <f>OutputTable[[#This Row],[ProjectName]]&amp;OutputTable[[#This Row],[Name]]&amp;OutputTable[[#This Row],[Type]]&amp;OutputTable[[#This Row],[Source]]</f>
        <v>PacientesProcess 2 Accum Wait TimeAccum Wait TimeProcess</v>
      </c>
      <c r="J209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cm="1">
        <f t="array" ref="K209">IFERROR(AVERAGE(IF((OutputTable[GroupByKey]=OutputTable[[#This Row],[GroupByKey]]),(OutputTable[GroupByKey]=OutputTable[[#This Row],[GroupByKey]])*OutputTable[RecordedValue])),0)</f>
        <v>1938.7515507466894</v>
      </c>
      <c r="L209" cm="1">
        <f t="array" ref="L209">IFERROR(_xlfn.STDEV.S(IF((OutputTable[GroupByKey]=OutputTable[[#This Row],[GroupByKey]]),(OutputTable[GroupByKey]=OutputTable[[#This Row],[GroupByKey]])*OutputTable[RecordedValue])),0)</f>
        <v>534.03396241838232</v>
      </c>
      <c r="M209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209" cm="1">
        <f t="array" ref="O209">MIN(IF((OutputTable[GroupByKey]=OutputTable[[#This Row],[GroupByKey]]),(OutputTable[GroupByKey]=OutputTable[[#This Row],[GroupByKey]])*OutputTable[RecordedValue]))</f>
        <v>1234.7567994731401</v>
      </c>
      <c r="P209" cm="1">
        <f t="array" ref="P209">MAX(IF((OutputTable[GroupByKey]=OutputTable[[#This Row],[GroupByKey]]),(OutputTable[GroupByKey]=OutputTable[[#This Row],[GroupByKey]])*OutputTable[RecordedValue]))</f>
        <v>3269.0858002883801</v>
      </c>
    </row>
    <row r="210" spans="1:16" x14ac:dyDescent="0.25">
      <c r="A210" t="s">
        <v>68</v>
      </c>
      <c r="B210" t="s">
        <v>131</v>
      </c>
      <c r="C210">
        <v>13</v>
      </c>
      <c r="D210" t="s">
        <v>112</v>
      </c>
      <c r="E210" t="s">
        <v>105</v>
      </c>
      <c r="F210" t="s">
        <v>80</v>
      </c>
      <c r="G210">
        <v>2411</v>
      </c>
      <c r="H210">
        <v>0</v>
      </c>
      <c r="I210" t="str">
        <f>OutputTable[[#This Row],[ProjectName]]&amp;OutputTable[[#This Row],[Name]]&amp;OutputTable[[#This Row],[Type]]&amp;OutputTable[[#This Row],[Source]]</f>
        <v>PacientesProcess 2 Number InNumber InProcess</v>
      </c>
      <c r="J210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cm="1">
        <f t="array" ref="K210">IFERROR(AVERAGE(IF((OutputTable[GroupByKey]=OutputTable[[#This Row],[GroupByKey]]),(OutputTable[GroupByKey]=OutputTable[[#This Row],[GroupByKey]])*OutputTable[RecordedValue])),0)</f>
        <v>2404.2399999999998</v>
      </c>
      <c r="L210" cm="1">
        <f t="array" ref="L210">IFERROR(_xlfn.STDEV.S(IF((OutputTable[GroupByKey]=OutputTable[[#This Row],[GroupByKey]]),(OutputTable[GroupByKey]=OutputTable[[#This Row],[GroupByKey]])*OutputTable[RecordedValue])),0)</f>
        <v>46.574303154053879</v>
      </c>
      <c r="M210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210" cm="1">
        <f t="array" ref="O210">MIN(IF((OutputTable[GroupByKey]=OutputTable[[#This Row],[GroupByKey]]),(OutputTable[GroupByKey]=OutputTable[[#This Row],[GroupByKey]])*OutputTable[RecordedValue]))</f>
        <v>2306</v>
      </c>
      <c r="P210" cm="1">
        <f t="array" ref="P210">MAX(IF((OutputTable[GroupByKey]=OutputTable[[#This Row],[GroupByKey]]),(OutputTable[GroupByKey]=OutputTable[[#This Row],[GroupByKey]])*OutputTable[RecordedValue]))</f>
        <v>2518</v>
      </c>
    </row>
    <row r="211" spans="1:16" x14ac:dyDescent="0.25">
      <c r="A211" t="s">
        <v>68</v>
      </c>
      <c r="B211" t="s">
        <v>131</v>
      </c>
      <c r="C211">
        <v>13</v>
      </c>
      <c r="D211" t="s">
        <v>113</v>
      </c>
      <c r="E211" t="s">
        <v>107</v>
      </c>
      <c r="F211" t="s">
        <v>80</v>
      </c>
      <c r="G211">
        <v>2406</v>
      </c>
      <c r="H211">
        <v>0</v>
      </c>
      <c r="I211" t="str">
        <f>OutputTable[[#This Row],[ProjectName]]&amp;OutputTable[[#This Row],[Name]]&amp;OutputTable[[#This Row],[Type]]&amp;OutputTable[[#This Row],[Source]]</f>
        <v>PacientesProcess 2 Number OutNumber OutProcess</v>
      </c>
      <c r="J211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cm="1">
        <f t="array" ref="K211">IFERROR(AVERAGE(IF((OutputTable[GroupByKey]=OutputTable[[#This Row],[GroupByKey]]),(OutputTable[GroupByKey]=OutputTable[[#This Row],[GroupByKey]])*OutputTable[RecordedValue])),0)</f>
        <v>2400.2800000000002</v>
      </c>
      <c r="L211" cm="1">
        <f t="array" ref="L211">IFERROR(_xlfn.STDEV.S(IF((OutputTable[GroupByKey]=OutputTable[[#This Row],[GroupByKey]]),(OutputTable[GroupByKey]=OutputTable[[#This Row],[GroupByKey]])*OutputTable[RecordedValue])),0)</f>
        <v>46.409024456676619</v>
      </c>
      <c r="M211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11" cm="1">
        <f t="array" ref="O211">MIN(IF((OutputTable[GroupByKey]=OutputTable[[#This Row],[GroupByKey]]),(OutputTable[GroupByKey]=OutputTable[[#This Row],[GroupByKey]])*OutputTable[RecordedValue]))</f>
        <v>2305</v>
      </c>
      <c r="P211" cm="1">
        <f t="array" ref="P211">MAX(IF((OutputTable[GroupByKey]=OutputTable[[#This Row],[GroupByKey]]),(OutputTable[GroupByKey]=OutputTable[[#This Row],[GroupByKey]])*OutputTable[RecordedValue]))</f>
        <v>2504</v>
      </c>
    </row>
    <row r="212" spans="1:16" x14ac:dyDescent="0.25">
      <c r="A212" t="s">
        <v>68</v>
      </c>
      <c r="B212" t="s">
        <v>131</v>
      </c>
      <c r="C212">
        <v>13</v>
      </c>
      <c r="D212" t="s">
        <v>114</v>
      </c>
      <c r="E212" t="s">
        <v>109</v>
      </c>
      <c r="F212" t="s">
        <v>80</v>
      </c>
      <c r="G212">
        <v>340.14541262409</v>
      </c>
      <c r="H212">
        <v>0</v>
      </c>
      <c r="I212" t="str">
        <f>OutputTable[[#This Row],[ProjectName]]&amp;OutputTable[[#This Row],[Name]]&amp;OutputTable[[#This Row],[Type]]&amp;OutputTable[[#This Row],[Source]]</f>
        <v>PacientesRegistro Accum VA TimeAccum VA TimeProcess</v>
      </c>
      <c r="J212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cm="1">
        <f t="array" ref="K212">IFERROR(AVERAGE(IF((OutputTable[GroupByKey]=OutputTable[[#This Row],[GroupByKey]]),(OutputTable[GroupByKey]=OutputTable[[#This Row],[GroupByKey]])*OutputTable[RecordedValue])),0)</f>
        <v>339.53547737062786</v>
      </c>
      <c r="L212" cm="1">
        <f t="array" ref="L212">IFERROR(_xlfn.STDEV.S(IF((OutputTable[GroupByKey]=OutputTable[[#This Row],[GroupByKey]]),(OutputTable[GroupByKey]=OutputTable[[#This Row],[GroupByKey]])*OutputTable[RecordedValue])),0)</f>
        <v>6.9723666109353193</v>
      </c>
      <c r="M212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212" cm="1">
        <f t="array" ref="O212">MIN(IF((OutputTable[GroupByKey]=OutputTable[[#This Row],[GroupByKey]]),(OutputTable[GroupByKey]=OutputTable[[#This Row],[GroupByKey]])*OutputTable[RecordedValue]))</f>
        <v>325.606879158418</v>
      </c>
      <c r="P212" cm="1">
        <f t="array" ref="P212">MAX(IF((OutputTable[GroupByKey]=OutputTable[[#This Row],[GroupByKey]]),(OutputTable[GroupByKey]=OutputTable[[#This Row],[GroupByKey]])*OutputTable[RecordedValue]))</f>
        <v>357.77609013379703</v>
      </c>
    </row>
    <row r="213" spans="1:16" x14ac:dyDescent="0.25">
      <c r="A213" t="s">
        <v>68</v>
      </c>
      <c r="B213" t="s">
        <v>131</v>
      </c>
      <c r="C213">
        <v>13</v>
      </c>
      <c r="D213" t="s">
        <v>115</v>
      </c>
      <c r="E213" t="s">
        <v>111</v>
      </c>
      <c r="F213" t="s">
        <v>80</v>
      </c>
      <c r="G213">
        <v>170.03647999069801</v>
      </c>
      <c r="H213">
        <v>0</v>
      </c>
      <c r="I213" t="str">
        <f>OutputTable[[#This Row],[ProjectName]]&amp;OutputTable[[#This Row],[Name]]&amp;OutputTable[[#This Row],[Type]]&amp;OutputTable[[#This Row],[Source]]</f>
        <v>PacientesRegistro Accum Wait TimeAccum Wait TimeProcess</v>
      </c>
      <c r="J213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cm="1">
        <f t="array" ref="K213">IFERROR(AVERAGE(IF((OutputTable[GroupByKey]=OutputTable[[#This Row],[GroupByKey]]),(OutputTable[GroupByKey]=OutputTable[[#This Row],[GroupByKey]])*OutputTable[RecordedValue])),0)</f>
        <v>154.15303898127775</v>
      </c>
      <c r="L213" cm="1">
        <f t="array" ref="L213">IFERROR(_xlfn.STDEV.S(IF((OutputTable[GroupByKey]=OutputTable[[#This Row],[GroupByKey]]),(OutputTable[GroupByKey]=OutputTable[[#This Row],[GroupByKey]])*OutputTable[RecordedValue])),0)</f>
        <v>12.141439184615397</v>
      </c>
      <c r="M213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213" cm="1">
        <f t="array" ref="O213">MIN(IF((OutputTable[GroupByKey]=OutputTable[[#This Row],[GroupByKey]]),(OutputTable[GroupByKey]=OutputTable[[#This Row],[GroupByKey]])*OutputTable[RecordedValue]))</f>
        <v>123.901613974094</v>
      </c>
      <c r="P213" cm="1">
        <f t="array" ref="P213">MAX(IF((OutputTable[GroupByKey]=OutputTable[[#This Row],[GroupByKey]]),(OutputTable[GroupByKey]=OutputTable[[#This Row],[GroupByKey]])*OutputTable[RecordedValue]))</f>
        <v>178.441307284473</v>
      </c>
    </row>
    <row r="214" spans="1:16" x14ac:dyDescent="0.25">
      <c r="A214" t="s">
        <v>68</v>
      </c>
      <c r="B214" t="s">
        <v>131</v>
      </c>
      <c r="C214">
        <v>13</v>
      </c>
      <c r="D214" t="s">
        <v>116</v>
      </c>
      <c r="E214" t="s">
        <v>105</v>
      </c>
      <c r="F214" t="s">
        <v>80</v>
      </c>
      <c r="G214">
        <v>2266</v>
      </c>
      <c r="H214">
        <v>0</v>
      </c>
      <c r="I214" t="str">
        <f>OutputTable[[#This Row],[ProjectName]]&amp;OutputTable[[#This Row],[Name]]&amp;OutputTable[[#This Row],[Type]]&amp;OutputTable[[#This Row],[Source]]</f>
        <v>PacientesRegistro Number InNumber InProcess</v>
      </c>
      <c r="J214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cm="1">
        <f t="array" ref="K214">IFERROR(AVERAGE(IF((OutputTable[GroupByKey]=OutputTable[[#This Row],[GroupByKey]]),(OutputTable[GroupByKey]=OutputTable[[#This Row],[GroupByKey]])*OutputTable[RecordedValue])),0)</f>
        <v>2263.2399999999998</v>
      </c>
      <c r="L214" cm="1">
        <f t="array" ref="L214">IFERROR(_xlfn.STDEV.S(IF((OutputTable[GroupByKey]=OutputTable[[#This Row],[GroupByKey]]),(OutputTable[GroupByKey]=OutputTable[[#This Row],[GroupByKey]])*OutputTable[RecordedValue])),0)</f>
        <v>47.331035682472766</v>
      </c>
      <c r="M214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214" cm="1">
        <f t="array" ref="O214">MIN(IF((OutputTable[GroupByKey]=OutputTable[[#This Row],[GroupByKey]]),(OutputTable[GroupByKey]=OutputTable[[#This Row],[GroupByKey]])*OutputTable[RecordedValue]))</f>
        <v>2172</v>
      </c>
      <c r="P214" cm="1">
        <f t="array" ref="P214">MAX(IF((OutputTable[GroupByKey]=OutputTable[[#This Row],[GroupByKey]]),(OutputTable[GroupByKey]=OutputTable[[#This Row],[GroupByKey]])*OutputTable[RecordedValue]))</f>
        <v>2386</v>
      </c>
    </row>
    <row r="215" spans="1:16" x14ac:dyDescent="0.25">
      <c r="A215" t="s">
        <v>68</v>
      </c>
      <c r="B215" t="s">
        <v>131</v>
      </c>
      <c r="C215">
        <v>13</v>
      </c>
      <c r="D215" t="s">
        <v>117</v>
      </c>
      <c r="E215" t="s">
        <v>107</v>
      </c>
      <c r="F215" t="s">
        <v>80</v>
      </c>
      <c r="G215">
        <v>2265</v>
      </c>
      <c r="H215">
        <v>0</v>
      </c>
      <c r="I215" t="str">
        <f>OutputTable[[#This Row],[ProjectName]]&amp;OutputTable[[#This Row],[Name]]&amp;OutputTable[[#This Row],[Type]]&amp;OutputTable[[#This Row],[Source]]</f>
        <v>PacientesRegistro Number OutNumber OutProcess</v>
      </c>
      <c r="J21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cm="1">
        <f t="array" ref="K215">IFERROR(AVERAGE(IF((OutputTable[GroupByKey]=OutputTable[[#This Row],[GroupByKey]]),(OutputTable[GroupByKey]=OutputTable[[#This Row],[GroupByKey]])*OutputTable[RecordedValue])),0)</f>
        <v>2262.66</v>
      </c>
      <c r="L215" cm="1">
        <f t="array" ref="L215">IFERROR(_xlfn.STDEV.S(IF((OutputTable[GroupByKey]=OutputTable[[#This Row],[GroupByKey]]),(OutputTable[GroupByKey]=OutputTable[[#This Row],[GroupByKey]])*OutputTable[RecordedValue])),0)</f>
        <v>47.488176831454687</v>
      </c>
      <c r="M21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215" cm="1">
        <f t="array" ref="O215">MIN(IF((OutputTable[GroupByKey]=OutputTable[[#This Row],[GroupByKey]]),(OutputTable[GroupByKey]=OutputTable[[#This Row],[GroupByKey]])*OutputTable[RecordedValue]))</f>
        <v>2171</v>
      </c>
      <c r="P215" cm="1">
        <f t="array" ref="P215">MAX(IF((OutputTable[GroupByKey]=OutputTable[[#This Row],[GroupByKey]]),(OutputTable[GroupByKey]=OutputTable[[#This Row],[GroupByKey]])*OutputTable[RecordedValue]))</f>
        <v>2386</v>
      </c>
    </row>
    <row r="216" spans="1:16" x14ac:dyDescent="0.25">
      <c r="A216" t="s">
        <v>68</v>
      </c>
      <c r="B216" t="s">
        <v>131</v>
      </c>
      <c r="C216">
        <v>13</v>
      </c>
      <c r="D216" t="s">
        <v>118</v>
      </c>
      <c r="E216" t="s">
        <v>107</v>
      </c>
      <c r="F216" t="s">
        <v>119</v>
      </c>
      <c r="G216">
        <v>2406</v>
      </c>
      <c r="H216">
        <v>0</v>
      </c>
      <c r="I216" t="str">
        <f>OutputTable[[#This Row],[ProjectName]]&amp;OutputTable[[#This Row],[Name]]&amp;OutputTable[[#This Row],[Type]]&amp;OutputTable[[#This Row],[Source]]</f>
        <v>PacientesSystem.NumberOutNumber OutSystem</v>
      </c>
      <c r="J216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cm="1">
        <f t="array" ref="K216">IFERROR(AVERAGE(IF((OutputTable[GroupByKey]=OutputTable[[#This Row],[GroupByKey]]),(OutputTable[GroupByKey]=OutputTable[[#This Row],[GroupByKey]])*OutputTable[RecordedValue])),0)</f>
        <v>2400.2800000000002</v>
      </c>
      <c r="L216" cm="1">
        <f t="array" ref="L216">IFERROR(_xlfn.STDEV.S(IF((OutputTable[GroupByKey]=OutputTable[[#This Row],[GroupByKey]]),(OutputTable[GroupByKey]=OutputTable[[#This Row],[GroupByKey]])*OutputTable[RecordedValue])),0)</f>
        <v>46.409024456676619</v>
      </c>
      <c r="M216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16" cm="1">
        <f t="array" ref="O216">MIN(IF((OutputTable[GroupByKey]=OutputTable[[#This Row],[GroupByKey]]),(OutputTable[GroupByKey]=OutputTable[[#This Row],[GroupByKey]])*OutputTable[RecordedValue]))</f>
        <v>2305</v>
      </c>
      <c r="P216" cm="1">
        <f t="array" ref="P216">MAX(IF((OutputTable[GroupByKey]=OutputTable[[#This Row],[GroupByKey]]),(OutputTable[GroupByKey]=OutputTable[[#This Row],[GroupByKey]])*OutputTable[RecordedValue]))</f>
        <v>2504</v>
      </c>
    </row>
    <row r="217" spans="1:16" x14ac:dyDescent="0.25">
      <c r="A217" t="s">
        <v>68</v>
      </c>
      <c r="B217" t="s">
        <v>131</v>
      </c>
      <c r="C217">
        <v>13</v>
      </c>
      <c r="D217" t="s">
        <v>120</v>
      </c>
      <c r="E217" t="s">
        <v>121</v>
      </c>
      <c r="F217" t="s">
        <v>99</v>
      </c>
      <c r="G217">
        <v>2408</v>
      </c>
      <c r="H217">
        <v>0</v>
      </c>
      <c r="I217" t="str">
        <f>OutputTable[[#This Row],[ProjectName]]&amp;OutputTable[[#This Row],[Name]]&amp;OutputTable[[#This Row],[Type]]&amp;OutputTable[[#This Row],[Source]]</f>
        <v>PacientesrCamas.NumberSeizedTotal Number SeizedResource</v>
      </c>
      <c r="J217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cm="1">
        <f t="array" ref="K217">IFERROR(AVERAGE(IF((OutputTable[GroupByKey]=OutputTable[[#This Row],[GroupByKey]]),(OutputTable[GroupByKey]=OutputTable[[#This Row],[GroupByKey]])*OutputTable[RecordedValue])),0)</f>
        <v>2401.9</v>
      </c>
      <c r="L217" cm="1">
        <f t="array" ref="L217">IFERROR(_xlfn.STDEV.S(IF((OutputTable[GroupByKey]=OutputTable[[#This Row],[GroupByKey]]),(OutputTable[GroupByKey]=OutputTable[[#This Row],[GroupByKey]])*OutputTable[RecordedValue])),0)</f>
        <v>46.417031532903209</v>
      </c>
      <c r="M217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17" cm="1">
        <f t="array" ref="O217">MIN(IF((OutputTable[GroupByKey]=OutputTable[[#This Row],[GroupByKey]]),(OutputTable[GroupByKey]=OutputTable[[#This Row],[GroupByKey]])*OutputTable[RecordedValue]))</f>
        <v>2306</v>
      </c>
      <c r="P217" cm="1">
        <f t="array" ref="P217">MAX(IF((OutputTable[GroupByKey]=OutputTable[[#This Row],[GroupByKey]]),(OutputTable[GroupByKey]=OutputTable[[#This Row],[GroupByKey]])*OutputTable[RecordedValue]))</f>
        <v>2506</v>
      </c>
    </row>
    <row r="218" spans="1:16" x14ac:dyDescent="0.25">
      <c r="A218" t="s">
        <v>68</v>
      </c>
      <c r="B218" t="s">
        <v>131</v>
      </c>
      <c r="C218">
        <v>13</v>
      </c>
      <c r="D218" t="s">
        <v>122</v>
      </c>
      <c r="E218" t="s">
        <v>123</v>
      </c>
      <c r="F218" t="s">
        <v>99</v>
      </c>
      <c r="G218">
        <v>0.54648401929514001</v>
      </c>
      <c r="H218">
        <v>0</v>
      </c>
      <c r="I218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218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cm="1">
        <f t="array" ref="K218">IFERROR(AVERAGE(IF((OutputTable[GroupByKey]=OutputTable[[#This Row],[GroupByKey]]),(OutputTable[GroupByKey]=OutputTable[[#This Row],[GroupByKey]])*OutputTable[RecordedValue])),0)</f>
        <v>0.54703961359050601</v>
      </c>
      <c r="L218" cm="1">
        <f t="array" ref="L218">IFERROR(_xlfn.STDEV.S(IF((OutputTable[GroupByKey]=OutputTable[[#This Row],[GroupByKey]]),(OutputTable[GroupByKey]=OutputTable[[#This Row],[GroupByKey]])*OutputTable[RecordedValue])),0)</f>
        <v>1.0221170008030479E-2</v>
      </c>
      <c r="M218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218" cm="1">
        <f t="array" ref="O218">MIN(IF((OutputTable[GroupByKey]=OutputTable[[#This Row],[GroupByKey]]),(OutputTable[GroupByKey]=OutputTable[[#This Row],[GroupByKey]])*OutputTable[RecordedValue]))</f>
        <v>0.52470641844357901</v>
      </c>
      <c r="P218" cm="1">
        <f t="array" ref="P218">MAX(IF((OutputTable[GroupByKey]=OutputTable[[#This Row],[GroupByKey]]),(OutputTable[GroupByKey]=OutputTable[[#This Row],[GroupByKey]])*OutputTable[RecordedValue]))</f>
        <v>0.57005812966092295</v>
      </c>
    </row>
    <row r="219" spans="1:16" x14ac:dyDescent="0.25">
      <c r="A219" t="s">
        <v>68</v>
      </c>
      <c r="B219" t="s">
        <v>131</v>
      </c>
      <c r="C219">
        <v>13</v>
      </c>
      <c r="D219" t="s">
        <v>124</v>
      </c>
      <c r="E219" t="s">
        <v>121</v>
      </c>
      <c r="F219" t="s">
        <v>99</v>
      </c>
      <c r="G219">
        <v>2408</v>
      </c>
      <c r="H219">
        <v>0</v>
      </c>
      <c r="I219" t="str">
        <f>OutputTable[[#This Row],[ProjectName]]&amp;OutputTable[[#This Row],[Name]]&amp;OutputTable[[#This Row],[Type]]&amp;OutputTable[[#This Row],[Source]]</f>
        <v>PacientesrMedico.NumberSeizedTotal Number SeizedResource</v>
      </c>
      <c r="J219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cm="1">
        <f t="array" ref="K219">IFERROR(AVERAGE(IF((OutputTable[GroupByKey]=OutputTable[[#This Row],[GroupByKey]]),(OutputTable[GroupByKey]=OutputTable[[#This Row],[GroupByKey]])*OutputTable[RecordedValue])),0)</f>
        <v>2401.9</v>
      </c>
      <c r="L219" cm="1">
        <f t="array" ref="L219">IFERROR(_xlfn.STDEV.S(IF((OutputTable[GroupByKey]=OutputTable[[#This Row],[GroupByKey]]),(OutputTable[GroupByKey]=OutputTable[[#This Row],[GroupByKey]])*OutputTable[RecordedValue])),0)</f>
        <v>46.417031532903209</v>
      </c>
      <c r="M219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19" cm="1">
        <f t="array" ref="O219">MIN(IF((OutputTable[GroupByKey]=OutputTable[[#This Row],[GroupByKey]]),(OutputTable[GroupByKey]=OutputTable[[#This Row],[GroupByKey]])*OutputTable[RecordedValue]))</f>
        <v>2306</v>
      </c>
      <c r="P219" cm="1">
        <f t="array" ref="P219">MAX(IF((OutputTable[GroupByKey]=OutputTable[[#This Row],[GroupByKey]]),(OutputTable[GroupByKey]=OutputTable[[#This Row],[GroupByKey]])*OutputTable[RecordedValue]))</f>
        <v>2506</v>
      </c>
    </row>
    <row r="220" spans="1:16" x14ac:dyDescent="0.25">
      <c r="A220" t="s">
        <v>68</v>
      </c>
      <c r="B220" t="s">
        <v>131</v>
      </c>
      <c r="C220">
        <v>13</v>
      </c>
      <c r="D220" t="s">
        <v>125</v>
      </c>
      <c r="E220" t="s">
        <v>123</v>
      </c>
      <c r="F220" t="s">
        <v>99</v>
      </c>
      <c r="G220">
        <v>0.81972602894270996</v>
      </c>
      <c r="H220">
        <v>0</v>
      </c>
      <c r="I220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220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cm="1">
        <f t="array" ref="K220">IFERROR(AVERAGE(IF((OutputTable[GroupByKey]=OutputTable[[#This Row],[GroupByKey]]),(OutputTable[GroupByKey]=OutputTable[[#This Row],[GroupByKey]])*OutputTable[RecordedValue])),0)</f>
        <v>0.82055942038575935</v>
      </c>
      <c r="L220" cm="1">
        <f t="array" ref="L220">IFERROR(_xlfn.STDEV.S(IF((OutputTable[GroupByKey]=OutputTable[[#This Row],[GroupByKey]]),(OutputTable[GroupByKey]=OutputTable[[#This Row],[GroupByKey]])*OutputTable[RecordedValue])),0)</f>
        <v>1.5331755012045719E-2</v>
      </c>
      <c r="M220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220" cm="1">
        <f t="array" ref="O220">MIN(IF((OutputTable[GroupByKey]=OutputTable[[#This Row],[GroupByKey]]),(OutputTable[GroupByKey]=OutputTable[[#This Row],[GroupByKey]])*OutputTable[RecordedValue]))</f>
        <v>0.78705962766536897</v>
      </c>
      <c r="P220" cm="1">
        <f t="array" ref="P220">MAX(IF((OutputTable[GroupByKey]=OutputTable[[#This Row],[GroupByKey]]),(OutputTable[GroupByKey]=OutputTable[[#This Row],[GroupByKey]])*OutputTable[RecordedValue]))</f>
        <v>0.85508719449138504</v>
      </c>
    </row>
    <row r="221" spans="1:16" x14ac:dyDescent="0.25">
      <c r="A221" t="s">
        <v>68</v>
      </c>
      <c r="B221" t="s">
        <v>131</v>
      </c>
      <c r="C221">
        <v>13</v>
      </c>
      <c r="D221" t="s">
        <v>126</v>
      </c>
      <c r="E221" t="s">
        <v>121</v>
      </c>
      <c r="F221" t="s">
        <v>99</v>
      </c>
      <c r="G221">
        <v>2266</v>
      </c>
      <c r="H221">
        <v>0</v>
      </c>
      <c r="I221" t="str">
        <f>OutputTable[[#This Row],[ProjectName]]&amp;OutputTable[[#This Row],[Name]]&amp;OutputTable[[#This Row],[Type]]&amp;OutputTable[[#This Row],[Source]]</f>
        <v>PacientesrRegistradora.NumberSeizedTotal Number SeizedResource</v>
      </c>
      <c r="J221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cm="1">
        <f t="array" ref="K221">IFERROR(AVERAGE(IF((OutputTable[GroupByKey]=OutputTable[[#This Row],[GroupByKey]]),(OutputTable[GroupByKey]=OutputTable[[#This Row],[GroupByKey]])*OutputTable[RecordedValue])),0)</f>
        <v>2263.14</v>
      </c>
      <c r="L221" cm="1">
        <f t="array" ref="L221">IFERROR(_xlfn.STDEV.S(IF((OutputTable[GroupByKey]=OutputTable[[#This Row],[GroupByKey]]),(OutputTable[GroupByKey]=OutputTable[[#This Row],[GroupByKey]])*OutputTable[RecordedValue])),0)</f>
        <v>47.386818971575821</v>
      </c>
      <c r="M221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221" cm="1">
        <f t="array" ref="O221">MIN(IF((OutputTable[GroupByKey]=OutputTable[[#This Row],[GroupByKey]]),(OutputTable[GroupByKey]=OutputTable[[#This Row],[GroupByKey]])*OutputTable[RecordedValue]))</f>
        <v>2172</v>
      </c>
      <c r="P221" cm="1">
        <f t="array" ref="P221">MAX(IF((OutputTable[GroupByKey]=OutputTable[[#This Row],[GroupByKey]]),(OutputTable[GroupByKey]=OutputTable[[#This Row],[GroupByKey]])*OutputTable[RecordedValue]))</f>
        <v>2386</v>
      </c>
    </row>
    <row r="222" spans="1:16" x14ac:dyDescent="0.25">
      <c r="A222" t="s">
        <v>68</v>
      </c>
      <c r="B222" t="s">
        <v>131</v>
      </c>
      <c r="C222">
        <v>13</v>
      </c>
      <c r="D222" t="s">
        <v>127</v>
      </c>
      <c r="E222" t="s">
        <v>123</v>
      </c>
      <c r="F222" t="s">
        <v>99</v>
      </c>
      <c r="G222">
        <v>0.47245312153450197</v>
      </c>
      <c r="H222">
        <v>0</v>
      </c>
      <c r="I222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222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cm="1">
        <f t="array" ref="K222">IFERROR(AVERAGE(IF((OutputTable[GroupByKey]=OutputTable[[#This Row],[GroupByKey]]),(OutputTable[GroupByKey]=OutputTable[[#This Row],[GroupByKey]])*OutputTable[RecordedValue])),0)</f>
        <v>0.47162762933545666</v>
      </c>
      <c r="L222" cm="1">
        <f t="array" ref="L222">IFERROR(_xlfn.STDEV.S(IF((OutputTable[GroupByKey]=OutputTable[[#This Row],[GroupByKey]]),(OutputTable[GroupByKey]=OutputTable[[#This Row],[GroupByKey]])*OutputTable[RecordedValue])),0)</f>
        <v>9.6615227076777797E-3</v>
      </c>
      <c r="M222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222" cm="1">
        <f t="array" ref="O222">MIN(IF((OutputTable[GroupByKey]=OutputTable[[#This Row],[GroupByKey]]),(OutputTable[GroupByKey]=OutputTable[[#This Row],[GroupByKey]])*OutputTable[RecordedValue]))</f>
        <v>0.452397944183905</v>
      </c>
      <c r="P222" cm="1">
        <f t="array" ref="P222">MAX(IF((OutputTable[GroupByKey]=OutputTable[[#This Row],[GroupByKey]]),(OutputTable[GroupByKey]=OutputTable[[#This Row],[GroupByKey]])*OutputTable[RecordedValue]))</f>
        <v>0.49691123629694001</v>
      </c>
    </row>
    <row r="223" spans="1:16" x14ac:dyDescent="0.25">
      <c r="A223" t="s">
        <v>68</v>
      </c>
      <c r="B223" t="s">
        <v>131</v>
      </c>
      <c r="C223">
        <v>14</v>
      </c>
      <c r="D223" t="s">
        <v>104</v>
      </c>
      <c r="E223" t="s">
        <v>105</v>
      </c>
      <c r="F223" t="s">
        <v>72</v>
      </c>
      <c r="G223">
        <v>2383</v>
      </c>
      <c r="H223">
        <v>0</v>
      </c>
      <c r="I223" t="str">
        <f>OutputTable[[#This Row],[ProjectName]]&amp;OutputTable[[#This Row],[Name]]&amp;OutputTable[[#This Row],[Type]]&amp;OutputTable[[#This Row],[Source]]</f>
        <v>PacientesEntity 1.NumberInNumber InEntity</v>
      </c>
      <c r="J223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cm="1">
        <f t="array" ref="K223">IFERROR(AVERAGE(IF((OutputTable[GroupByKey]=OutputTable[[#This Row],[GroupByKey]]),(OutputTable[GroupByKey]=OutputTable[[#This Row],[GroupByKey]])*OutputTable[RecordedValue])),0)</f>
        <v>2404.8200000000002</v>
      </c>
      <c r="L223" cm="1">
        <f t="array" ref="L223">IFERROR(_xlfn.STDEV.S(IF((OutputTable[GroupByKey]=OutputTable[[#This Row],[GroupByKey]]),(OutputTable[GroupByKey]=OutputTable[[#This Row],[GroupByKey]])*OutputTable[RecordedValue])),0)</f>
        <v>46.42953405595474</v>
      </c>
      <c r="M223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223" cm="1">
        <f t="array" ref="O223">MIN(IF((OutputTable[GroupByKey]=OutputTable[[#This Row],[GroupByKey]]),(OutputTable[GroupByKey]=OutputTable[[#This Row],[GroupByKey]])*OutputTable[RecordedValue]))</f>
        <v>2307</v>
      </c>
      <c r="P223" cm="1">
        <f t="array" ref="P223">MAX(IF((OutputTable[GroupByKey]=OutputTable[[#This Row],[GroupByKey]]),(OutputTable[GroupByKey]=OutputTable[[#This Row],[GroupByKey]])*OutputTable[RecordedValue]))</f>
        <v>2518</v>
      </c>
    </row>
    <row r="224" spans="1:16" x14ac:dyDescent="0.25">
      <c r="A224" t="s">
        <v>68</v>
      </c>
      <c r="B224" t="s">
        <v>131</v>
      </c>
      <c r="C224">
        <v>14</v>
      </c>
      <c r="D224" t="s">
        <v>106</v>
      </c>
      <c r="E224" t="s">
        <v>107</v>
      </c>
      <c r="F224" t="s">
        <v>72</v>
      </c>
      <c r="G224">
        <v>2370</v>
      </c>
      <c r="H224">
        <v>0</v>
      </c>
      <c r="I224" t="str">
        <f>OutputTable[[#This Row],[ProjectName]]&amp;OutputTable[[#This Row],[Name]]&amp;OutputTable[[#This Row],[Type]]&amp;OutputTable[[#This Row],[Source]]</f>
        <v>PacientesEntity 1.NumberOutNumber OutEntity</v>
      </c>
      <c r="J224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cm="1">
        <f t="array" ref="K224">IFERROR(AVERAGE(IF((OutputTable[GroupByKey]=OutputTable[[#This Row],[GroupByKey]]),(OutputTable[GroupByKey]=OutputTable[[#This Row],[GroupByKey]])*OutputTable[RecordedValue])),0)</f>
        <v>2400.2800000000002</v>
      </c>
      <c r="L224" cm="1">
        <f t="array" ref="L224">IFERROR(_xlfn.STDEV.S(IF((OutputTable[GroupByKey]=OutputTable[[#This Row],[GroupByKey]]),(OutputTable[GroupByKey]=OutputTable[[#This Row],[GroupByKey]])*OutputTable[RecordedValue])),0)</f>
        <v>46.409024456676619</v>
      </c>
      <c r="M224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24" cm="1">
        <f t="array" ref="O224">MIN(IF((OutputTable[GroupByKey]=OutputTable[[#This Row],[GroupByKey]]),(OutputTable[GroupByKey]=OutputTable[[#This Row],[GroupByKey]])*OutputTable[RecordedValue]))</f>
        <v>2305</v>
      </c>
      <c r="P224" cm="1">
        <f t="array" ref="P224">MAX(IF((OutputTable[GroupByKey]=OutputTable[[#This Row],[GroupByKey]]),(OutputTable[GroupByKey]=OutputTable[[#This Row],[GroupByKey]])*OutputTable[RecordedValue]))</f>
        <v>2504</v>
      </c>
    </row>
    <row r="225" spans="1:16" x14ac:dyDescent="0.25">
      <c r="A225" t="s">
        <v>68</v>
      </c>
      <c r="B225" t="s">
        <v>131</v>
      </c>
      <c r="C225">
        <v>14</v>
      </c>
      <c r="D225" t="s">
        <v>108</v>
      </c>
      <c r="E225" t="s">
        <v>109</v>
      </c>
      <c r="F225" t="s">
        <v>80</v>
      </c>
      <c r="G225">
        <v>1168.8098703949499</v>
      </c>
      <c r="H225">
        <v>0</v>
      </c>
      <c r="I225" t="str">
        <f>OutputTable[[#This Row],[ProjectName]]&amp;OutputTable[[#This Row],[Name]]&amp;OutputTable[[#This Row],[Type]]&amp;OutputTable[[#This Row],[Source]]</f>
        <v>PacientesProcess 2 Accum VA TimeAccum VA TimeProcess</v>
      </c>
      <c r="J22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cm="1">
        <f t="array" ref="K225">IFERROR(AVERAGE(IF((OutputTable[GroupByKey]=OutputTable[[#This Row],[GroupByKey]]),(OutputTable[GroupByKey]=OutputTable[[#This Row],[GroupByKey]])*OutputTable[RecordedValue])),0)</f>
        <v>1181.1234936767919</v>
      </c>
      <c r="L225" cm="1">
        <f t="array" ref="L225">IFERROR(_xlfn.STDEV.S(IF((OutputTable[GroupByKey]=OutputTable[[#This Row],[GroupByKey]]),(OutputTable[GroupByKey]=OutputTable[[#This Row],[GroupByKey]])*OutputTable[RecordedValue])),0)</f>
        <v>22.169313666927575</v>
      </c>
      <c r="M22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225" cm="1">
        <f t="array" ref="O225">MIN(IF((OutputTable[GroupByKey]=OutputTable[[#This Row],[GroupByKey]]),(OutputTable[GroupByKey]=OutputTable[[#This Row],[GroupByKey]])*OutputTable[RecordedValue]))</f>
        <v>1133.24622318414</v>
      </c>
      <c r="P225" cm="1">
        <f t="array" ref="P225">MAX(IF((OutputTable[GroupByKey]=OutputTable[[#This Row],[GroupByKey]]),(OutputTable[GroupByKey]=OutputTable[[#This Row],[GroupByKey]])*OutputTable[RecordedValue]))</f>
        <v>1230.9493287309799</v>
      </c>
    </row>
    <row r="226" spans="1:16" x14ac:dyDescent="0.25">
      <c r="A226" t="s">
        <v>68</v>
      </c>
      <c r="B226" t="s">
        <v>131</v>
      </c>
      <c r="C226">
        <v>14</v>
      </c>
      <c r="D226" t="s">
        <v>110</v>
      </c>
      <c r="E226" t="s">
        <v>111</v>
      </c>
      <c r="F226" t="s">
        <v>80</v>
      </c>
      <c r="G226">
        <v>1656.4565564520101</v>
      </c>
      <c r="H226">
        <v>0</v>
      </c>
      <c r="I226" t="str">
        <f>OutputTable[[#This Row],[ProjectName]]&amp;OutputTable[[#This Row],[Name]]&amp;OutputTable[[#This Row],[Type]]&amp;OutputTable[[#This Row],[Source]]</f>
        <v>PacientesProcess 2 Accum Wait TimeAccum Wait TimeProcess</v>
      </c>
      <c r="J226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cm="1">
        <f t="array" ref="K226">IFERROR(AVERAGE(IF((OutputTable[GroupByKey]=OutputTable[[#This Row],[GroupByKey]]),(OutputTable[GroupByKey]=OutputTable[[#This Row],[GroupByKey]])*OutputTable[RecordedValue])),0)</f>
        <v>1938.7515507466894</v>
      </c>
      <c r="L226" cm="1">
        <f t="array" ref="L226">IFERROR(_xlfn.STDEV.S(IF((OutputTable[GroupByKey]=OutputTable[[#This Row],[GroupByKey]]),(OutputTable[GroupByKey]=OutputTable[[#This Row],[GroupByKey]])*OutputTable[RecordedValue])),0)</f>
        <v>534.03396241838232</v>
      </c>
      <c r="M226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226" cm="1">
        <f t="array" ref="O226">MIN(IF((OutputTable[GroupByKey]=OutputTable[[#This Row],[GroupByKey]]),(OutputTable[GroupByKey]=OutputTable[[#This Row],[GroupByKey]])*OutputTable[RecordedValue]))</f>
        <v>1234.7567994731401</v>
      </c>
      <c r="P226" cm="1">
        <f t="array" ref="P226">MAX(IF((OutputTable[GroupByKey]=OutputTable[[#This Row],[GroupByKey]]),(OutputTable[GroupByKey]=OutputTable[[#This Row],[GroupByKey]])*OutputTable[RecordedValue]))</f>
        <v>3269.0858002883801</v>
      </c>
    </row>
    <row r="227" spans="1:16" x14ac:dyDescent="0.25">
      <c r="A227" t="s">
        <v>68</v>
      </c>
      <c r="B227" t="s">
        <v>131</v>
      </c>
      <c r="C227">
        <v>14</v>
      </c>
      <c r="D227" t="s">
        <v>112</v>
      </c>
      <c r="E227" t="s">
        <v>105</v>
      </c>
      <c r="F227" t="s">
        <v>80</v>
      </c>
      <c r="G227">
        <v>2383</v>
      </c>
      <c r="H227">
        <v>0</v>
      </c>
      <c r="I227" t="str">
        <f>OutputTable[[#This Row],[ProjectName]]&amp;OutputTable[[#This Row],[Name]]&amp;OutputTable[[#This Row],[Type]]&amp;OutputTable[[#This Row],[Source]]</f>
        <v>PacientesProcess 2 Number InNumber InProcess</v>
      </c>
      <c r="J227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cm="1">
        <f t="array" ref="K227">IFERROR(AVERAGE(IF((OutputTable[GroupByKey]=OutputTable[[#This Row],[GroupByKey]]),(OutputTable[GroupByKey]=OutputTable[[#This Row],[GroupByKey]])*OutputTable[RecordedValue])),0)</f>
        <v>2404.2399999999998</v>
      </c>
      <c r="L227" cm="1">
        <f t="array" ref="L227">IFERROR(_xlfn.STDEV.S(IF((OutputTable[GroupByKey]=OutputTable[[#This Row],[GroupByKey]]),(OutputTable[GroupByKey]=OutputTable[[#This Row],[GroupByKey]])*OutputTable[RecordedValue])),0)</f>
        <v>46.574303154053879</v>
      </c>
      <c r="M227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227" cm="1">
        <f t="array" ref="O227">MIN(IF((OutputTable[GroupByKey]=OutputTable[[#This Row],[GroupByKey]]),(OutputTable[GroupByKey]=OutputTable[[#This Row],[GroupByKey]])*OutputTable[RecordedValue]))</f>
        <v>2306</v>
      </c>
      <c r="P227" cm="1">
        <f t="array" ref="P227">MAX(IF((OutputTable[GroupByKey]=OutputTable[[#This Row],[GroupByKey]]),(OutputTable[GroupByKey]=OutputTable[[#This Row],[GroupByKey]])*OutputTable[RecordedValue]))</f>
        <v>2518</v>
      </c>
    </row>
    <row r="228" spans="1:16" x14ac:dyDescent="0.25">
      <c r="A228" t="s">
        <v>68</v>
      </c>
      <c r="B228" t="s">
        <v>131</v>
      </c>
      <c r="C228">
        <v>14</v>
      </c>
      <c r="D228" t="s">
        <v>113</v>
      </c>
      <c r="E228" t="s">
        <v>107</v>
      </c>
      <c r="F228" t="s">
        <v>80</v>
      </c>
      <c r="G228">
        <v>2370</v>
      </c>
      <c r="H228">
        <v>0</v>
      </c>
      <c r="I228" t="str">
        <f>OutputTable[[#This Row],[ProjectName]]&amp;OutputTable[[#This Row],[Name]]&amp;OutputTable[[#This Row],[Type]]&amp;OutputTable[[#This Row],[Source]]</f>
        <v>PacientesProcess 2 Number OutNumber OutProcess</v>
      </c>
      <c r="J228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cm="1">
        <f t="array" ref="K228">IFERROR(AVERAGE(IF((OutputTable[GroupByKey]=OutputTable[[#This Row],[GroupByKey]]),(OutputTable[GroupByKey]=OutputTable[[#This Row],[GroupByKey]])*OutputTable[RecordedValue])),0)</f>
        <v>2400.2800000000002</v>
      </c>
      <c r="L228" cm="1">
        <f t="array" ref="L228">IFERROR(_xlfn.STDEV.S(IF((OutputTable[GroupByKey]=OutputTable[[#This Row],[GroupByKey]]),(OutputTable[GroupByKey]=OutputTable[[#This Row],[GroupByKey]])*OutputTable[RecordedValue])),0)</f>
        <v>46.409024456676619</v>
      </c>
      <c r="M228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28" cm="1">
        <f t="array" ref="O228">MIN(IF((OutputTable[GroupByKey]=OutputTable[[#This Row],[GroupByKey]]),(OutputTable[GroupByKey]=OutputTable[[#This Row],[GroupByKey]])*OutputTable[RecordedValue]))</f>
        <v>2305</v>
      </c>
      <c r="P228" cm="1">
        <f t="array" ref="P228">MAX(IF((OutputTable[GroupByKey]=OutputTable[[#This Row],[GroupByKey]]),(OutputTable[GroupByKey]=OutputTable[[#This Row],[GroupByKey]])*OutputTable[RecordedValue]))</f>
        <v>2504</v>
      </c>
    </row>
    <row r="229" spans="1:16" x14ac:dyDescent="0.25">
      <c r="A229" t="s">
        <v>68</v>
      </c>
      <c r="B229" t="s">
        <v>131</v>
      </c>
      <c r="C229">
        <v>14</v>
      </c>
      <c r="D229" t="s">
        <v>114</v>
      </c>
      <c r="E229" t="s">
        <v>109</v>
      </c>
      <c r="F229" t="s">
        <v>80</v>
      </c>
      <c r="G229">
        <v>340.35612438666499</v>
      </c>
      <c r="H229">
        <v>0</v>
      </c>
      <c r="I229" t="str">
        <f>OutputTable[[#This Row],[ProjectName]]&amp;OutputTable[[#This Row],[Name]]&amp;OutputTable[[#This Row],[Type]]&amp;OutputTable[[#This Row],[Source]]</f>
        <v>PacientesRegistro Accum VA TimeAccum VA TimeProcess</v>
      </c>
      <c r="J229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cm="1">
        <f t="array" ref="K229">IFERROR(AVERAGE(IF((OutputTable[GroupByKey]=OutputTable[[#This Row],[GroupByKey]]),(OutputTable[GroupByKey]=OutputTable[[#This Row],[GroupByKey]])*OutputTable[RecordedValue])),0)</f>
        <v>339.53547737062786</v>
      </c>
      <c r="L229" cm="1">
        <f t="array" ref="L229">IFERROR(_xlfn.STDEV.S(IF((OutputTable[GroupByKey]=OutputTable[[#This Row],[GroupByKey]]),(OutputTable[GroupByKey]=OutputTable[[#This Row],[GroupByKey]])*OutputTable[RecordedValue])),0)</f>
        <v>6.9723666109353193</v>
      </c>
      <c r="M229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229" cm="1">
        <f t="array" ref="O229">MIN(IF((OutputTable[GroupByKey]=OutputTable[[#This Row],[GroupByKey]]),(OutputTable[GroupByKey]=OutputTable[[#This Row],[GroupByKey]])*OutputTable[RecordedValue]))</f>
        <v>325.606879158418</v>
      </c>
      <c r="P229" cm="1">
        <f t="array" ref="P229">MAX(IF((OutputTable[GroupByKey]=OutputTable[[#This Row],[GroupByKey]]),(OutputTable[GroupByKey]=OutputTable[[#This Row],[GroupByKey]])*OutputTable[RecordedValue]))</f>
        <v>357.77609013379703</v>
      </c>
    </row>
    <row r="230" spans="1:16" x14ac:dyDescent="0.25">
      <c r="A230" t="s">
        <v>68</v>
      </c>
      <c r="B230" t="s">
        <v>131</v>
      </c>
      <c r="C230">
        <v>14</v>
      </c>
      <c r="D230" t="s">
        <v>115</v>
      </c>
      <c r="E230" t="s">
        <v>111</v>
      </c>
      <c r="F230" t="s">
        <v>80</v>
      </c>
      <c r="G230">
        <v>170.99779850737801</v>
      </c>
      <c r="H230">
        <v>0</v>
      </c>
      <c r="I230" t="str">
        <f>OutputTable[[#This Row],[ProjectName]]&amp;OutputTable[[#This Row],[Name]]&amp;OutputTable[[#This Row],[Type]]&amp;OutputTable[[#This Row],[Source]]</f>
        <v>PacientesRegistro Accum Wait TimeAccum Wait TimeProcess</v>
      </c>
      <c r="J230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cm="1">
        <f t="array" ref="K230">IFERROR(AVERAGE(IF((OutputTable[GroupByKey]=OutputTable[[#This Row],[GroupByKey]]),(OutputTable[GroupByKey]=OutputTable[[#This Row],[GroupByKey]])*OutputTable[RecordedValue])),0)</f>
        <v>154.15303898127775</v>
      </c>
      <c r="L230" cm="1">
        <f t="array" ref="L230">IFERROR(_xlfn.STDEV.S(IF((OutputTable[GroupByKey]=OutputTable[[#This Row],[GroupByKey]]),(OutputTable[GroupByKey]=OutputTable[[#This Row],[GroupByKey]])*OutputTable[RecordedValue])),0)</f>
        <v>12.141439184615397</v>
      </c>
      <c r="M230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230" cm="1">
        <f t="array" ref="O230">MIN(IF((OutputTable[GroupByKey]=OutputTable[[#This Row],[GroupByKey]]),(OutputTable[GroupByKey]=OutputTable[[#This Row],[GroupByKey]])*OutputTable[RecordedValue]))</f>
        <v>123.901613974094</v>
      </c>
      <c r="P230" cm="1">
        <f t="array" ref="P230">MAX(IF((OutputTable[GroupByKey]=OutputTable[[#This Row],[GroupByKey]]),(OutputTable[GroupByKey]=OutputTable[[#This Row],[GroupByKey]])*OutputTable[RecordedValue]))</f>
        <v>178.441307284473</v>
      </c>
    </row>
    <row r="231" spans="1:16" x14ac:dyDescent="0.25">
      <c r="A231" t="s">
        <v>68</v>
      </c>
      <c r="B231" t="s">
        <v>131</v>
      </c>
      <c r="C231">
        <v>14</v>
      </c>
      <c r="D231" t="s">
        <v>116</v>
      </c>
      <c r="E231" t="s">
        <v>105</v>
      </c>
      <c r="F231" t="s">
        <v>80</v>
      </c>
      <c r="G231">
        <v>2245</v>
      </c>
      <c r="H231">
        <v>0</v>
      </c>
      <c r="I231" t="str">
        <f>OutputTable[[#This Row],[ProjectName]]&amp;OutputTable[[#This Row],[Name]]&amp;OutputTable[[#This Row],[Type]]&amp;OutputTable[[#This Row],[Source]]</f>
        <v>PacientesRegistro Number InNumber InProcess</v>
      </c>
      <c r="J231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cm="1">
        <f t="array" ref="K231">IFERROR(AVERAGE(IF((OutputTable[GroupByKey]=OutputTable[[#This Row],[GroupByKey]]),(OutputTable[GroupByKey]=OutputTable[[#This Row],[GroupByKey]])*OutputTable[RecordedValue])),0)</f>
        <v>2263.2399999999998</v>
      </c>
      <c r="L231" cm="1">
        <f t="array" ref="L231">IFERROR(_xlfn.STDEV.S(IF((OutputTable[GroupByKey]=OutputTable[[#This Row],[GroupByKey]]),(OutputTable[GroupByKey]=OutputTable[[#This Row],[GroupByKey]])*OutputTable[RecordedValue])),0)</f>
        <v>47.331035682472766</v>
      </c>
      <c r="M231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231" cm="1">
        <f t="array" ref="O231">MIN(IF((OutputTable[GroupByKey]=OutputTable[[#This Row],[GroupByKey]]),(OutputTable[GroupByKey]=OutputTable[[#This Row],[GroupByKey]])*OutputTable[RecordedValue]))</f>
        <v>2172</v>
      </c>
      <c r="P231" cm="1">
        <f t="array" ref="P231">MAX(IF((OutputTable[GroupByKey]=OutputTable[[#This Row],[GroupByKey]]),(OutputTable[GroupByKey]=OutputTable[[#This Row],[GroupByKey]])*OutputTable[RecordedValue]))</f>
        <v>2386</v>
      </c>
    </row>
    <row r="232" spans="1:16" x14ac:dyDescent="0.25">
      <c r="A232" t="s">
        <v>68</v>
      </c>
      <c r="B232" t="s">
        <v>131</v>
      </c>
      <c r="C232">
        <v>14</v>
      </c>
      <c r="D232" t="s">
        <v>117</v>
      </c>
      <c r="E232" t="s">
        <v>107</v>
      </c>
      <c r="F232" t="s">
        <v>80</v>
      </c>
      <c r="G232">
        <v>2245</v>
      </c>
      <c r="H232">
        <v>0</v>
      </c>
      <c r="I232" t="str">
        <f>OutputTable[[#This Row],[ProjectName]]&amp;OutputTable[[#This Row],[Name]]&amp;OutputTable[[#This Row],[Type]]&amp;OutputTable[[#This Row],[Source]]</f>
        <v>PacientesRegistro Number OutNumber OutProcess</v>
      </c>
      <c r="J232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cm="1">
        <f t="array" ref="K232">IFERROR(AVERAGE(IF((OutputTable[GroupByKey]=OutputTable[[#This Row],[GroupByKey]]),(OutputTable[GroupByKey]=OutputTable[[#This Row],[GroupByKey]])*OutputTable[RecordedValue])),0)</f>
        <v>2262.66</v>
      </c>
      <c r="L232" cm="1">
        <f t="array" ref="L232">IFERROR(_xlfn.STDEV.S(IF((OutputTable[GroupByKey]=OutputTable[[#This Row],[GroupByKey]]),(OutputTable[GroupByKey]=OutputTable[[#This Row],[GroupByKey]])*OutputTable[RecordedValue])),0)</f>
        <v>47.488176831454687</v>
      </c>
      <c r="M232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232" cm="1">
        <f t="array" ref="O232">MIN(IF((OutputTable[GroupByKey]=OutputTable[[#This Row],[GroupByKey]]),(OutputTable[GroupByKey]=OutputTable[[#This Row],[GroupByKey]])*OutputTable[RecordedValue]))</f>
        <v>2171</v>
      </c>
      <c r="P232" cm="1">
        <f t="array" ref="P232">MAX(IF((OutputTable[GroupByKey]=OutputTable[[#This Row],[GroupByKey]]),(OutputTable[GroupByKey]=OutputTable[[#This Row],[GroupByKey]])*OutputTable[RecordedValue]))</f>
        <v>2386</v>
      </c>
    </row>
    <row r="233" spans="1:16" x14ac:dyDescent="0.25">
      <c r="A233" t="s">
        <v>68</v>
      </c>
      <c r="B233" t="s">
        <v>131</v>
      </c>
      <c r="C233">
        <v>14</v>
      </c>
      <c r="D233" t="s">
        <v>118</v>
      </c>
      <c r="E233" t="s">
        <v>107</v>
      </c>
      <c r="F233" t="s">
        <v>119</v>
      </c>
      <c r="G233">
        <v>2370</v>
      </c>
      <c r="H233">
        <v>0</v>
      </c>
      <c r="I233" t="str">
        <f>OutputTable[[#This Row],[ProjectName]]&amp;OutputTable[[#This Row],[Name]]&amp;OutputTable[[#This Row],[Type]]&amp;OutputTable[[#This Row],[Source]]</f>
        <v>PacientesSystem.NumberOutNumber OutSystem</v>
      </c>
      <c r="J233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cm="1">
        <f t="array" ref="K233">IFERROR(AVERAGE(IF((OutputTable[GroupByKey]=OutputTable[[#This Row],[GroupByKey]]),(OutputTable[GroupByKey]=OutputTable[[#This Row],[GroupByKey]])*OutputTable[RecordedValue])),0)</f>
        <v>2400.2800000000002</v>
      </c>
      <c r="L233" cm="1">
        <f t="array" ref="L233">IFERROR(_xlfn.STDEV.S(IF((OutputTable[GroupByKey]=OutputTable[[#This Row],[GroupByKey]]),(OutputTable[GroupByKey]=OutputTable[[#This Row],[GroupByKey]])*OutputTable[RecordedValue])),0)</f>
        <v>46.409024456676619</v>
      </c>
      <c r="M233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33" cm="1">
        <f t="array" ref="O233">MIN(IF((OutputTable[GroupByKey]=OutputTable[[#This Row],[GroupByKey]]),(OutputTable[GroupByKey]=OutputTable[[#This Row],[GroupByKey]])*OutputTable[RecordedValue]))</f>
        <v>2305</v>
      </c>
      <c r="P233" cm="1">
        <f t="array" ref="P233">MAX(IF((OutputTable[GroupByKey]=OutputTable[[#This Row],[GroupByKey]]),(OutputTable[GroupByKey]=OutputTable[[#This Row],[GroupByKey]])*OutputTable[RecordedValue]))</f>
        <v>2504</v>
      </c>
    </row>
    <row r="234" spans="1:16" x14ac:dyDescent="0.25">
      <c r="A234" t="s">
        <v>68</v>
      </c>
      <c r="B234" t="s">
        <v>131</v>
      </c>
      <c r="C234">
        <v>14</v>
      </c>
      <c r="D234" t="s">
        <v>120</v>
      </c>
      <c r="E234" t="s">
        <v>121</v>
      </c>
      <c r="F234" t="s">
        <v>99</v>
      </c>
      <c r="G234">
        <v>2372</v>
      </c>
      <c r="H234">
        <v>0</v>
      </c>
      <c r="I234" t="str">
        <f>OutputTable[[#This Row],[ProjectName]]&amp;OutputTable[[#This Row],[Name]]&amp;OutputTable[[#This Row],[Type]]&amp;OutputTable[[#This Row],[Source]]</f>
        <v>PacientesrCamas.NumberSeizedTotal Number SeizedResource</v>
      </c>
      <c r="J234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cm="1">
        <f t="array" ref="K234">IFERROR(AVERAGE(IF((OutputTable[GroupByKey]=OutputTable[[#This Row],[GroupByKey]]),(OutputTable[GroupByKey]=OutputTable[[#This Row],[GroupByKey]])*OutputTable[RecordedValue])),0)</f>
        <v>2401.9</v>
      </c>
      <c r="L234" cm="1">
        <f t="array" ref="L234">IFERROR(_xlfn.STDEV.S(IF((OutputTable[GroupByKey]=OutputTable[[#This Row],[GroupByKey]]),(OutputTable[GroupByKey]=OutputTable[[#This Row],[GroupByKey]])*OutputTable[RecordedValue])),0)</f>
        <v>46.417031532903209</v>
      </c>
      <c r="M234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34" cm="1">
        <f t="array" ref="O234">MIN(IF((OutputTable[GroupByKey]=OutputTable[[#This Row],[GroupByKey]]),(OutputTable[GroupByKey]=OutputTable[[#This Row],[GroupByKey]])*OutputTable[RecordedValue]))</f>
        <v>2306</v>
      </c>
      <c r="P234" cm="1">
        <f t="array" ref="P234">MAX(IF((OutputTable[GroupByKey]=OutputTable[[#This Row],[GroupByKey]]),(OutputTable[GroupByKey]=OutputTable[[#This Row],[GroupByKey]])*OutputTable[RecordedValue]))</f>
        <v>2506</v>
      </c>
    </row>
    <row r="235" spans="1:16" x14ac:dyDescent="0.25">
      <c r="A235" t="s">
        <v>68</v>
      </c>
      <c r="B235" t="s">
        <v>131</v>
      </c>
      <c r="C235">
        <v>14</v>
      </c>
      <c r="D235" t="s">
        <v>122</v>
      </c>
      <c r="E235" t="s">
        <v>123</v>
      </c>
      <c r="F235" t="s">
        <v>99</v>
      </c>
      <c r="G235">
        <v>0.541713728812381</v>
      </c>
      <c r="H235">
        <v>0</v>
      </c>
      <c r="I235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23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cm="1">
        <f t="array" ref="K235">IFERROR(AVERAGE(IF((OutputTable[GroupByKey]=OutputTable[[#This Row],[GroupByKey]]),(OutputTable[GroupByKey]=OutputTable[[#This Row],[GroupByKey]])*OutputTable[RecordedValue])),0)</f>
        <v>0.54703961359050601</v>
      </c>
      <c r="L235" cm="1">
        <f t="array" ref="L235">IFERROR(_xlfn.STDEV.S(IF((OutputTable[GroupByKey]=OutputTable[[#This Row],[GroupByKey]]),(OutputTable[GroupByKey]=OutputTable[[#This Row],[GroupByKey]])*OutputTable[RecordedValue])),0)</f>
        <v>1.0221170008030479E-2</v>
      </c>
      <c r="M23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235" cm="1">
        <f t="array" ref="O235">MIN(IF((OutputTable[GroupByKey]=OutputTable[[#This Row],[GroupByKey]]),(OutputTable[GroupByKey]=OutputTable[[#This Row],[GroupByKey]])*OutputTable[RecordedValue]))</f>
        <v>0.52470641844357901</v>
      </c>
      <c r="P235" cm="1">
        <f t="array" ref="P235">MAX(IF((OutputTable[GroupByKey]=OutputTable[[#This Row],[GroupByKey]]),(OutputTable[GroupByKey]=OutputTable[[#This Row],[GroupByKey]])*OutputTable[RecordedValue]))</f>
        <v>0.57005812966092295</v>
      </c>
    </row>
    <row r="236" spans="1:16" x14ac:dyDescent="0.25">
      <c r="A236" t="s">
        <v>68</v>
      </c>
      <c r="B236" t="s">
        <v>131</v>
      </c>
      <c r="C236">
        <v>14</v>
      </c>
      <c r="D236" t="s">
        <v>124</v>
      </c>
      <c r="E236" t="s">
        <v>121</v>
      </c>
      <c r="F236" t="s">
        <v>99</v>
      </c>
      <c r="G236">
        <v>2372</v>
      </c>
      <c r="H236">
        <v>0</v>
      </c>
      <c r="I236" t="str">
        <f>OutputTable[[#This Row],[ProjectName]]&amp;OutputTable[[#This Row],[Name]]&amp;OutputTable[[#This Row],[Type]]&amp;OutputTable[[#This Row],[Source]]</f>
        <v>PacientesrMedico.NumberSeizedTotal Number SeizedResource</v>
      </c>
      <c r="J236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cm="1">
        <f t="array" ref="K236">IFERROR(AVERAGE(IF((OutputTable[GroupByKey]=OutputTable[[#This Row],[GroupByKey]]),(OutputTable[GroupByKey]=OutputTable[[#This Row],[GroupByKey]])*OutputTable[RecordedValue])),0)</f>
        <v>2401.9</v>
      </c>
      <c r="L236" cm="1">
        <f t="array" ref="L236">IFERROR(_xlfn.STDEV.S(IF((OutputTable[GroupByKey]=OutputTable[[#This Row],[GroupByKey]]),(OutputTable[GroupByKey]=OutputTable[[#This Row],[GroupByKey]])*OutputTable[RecordedValue])),0)</f>
        <v>46.417031532903209</v>
      </c>
      <c r="M236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36" cm="1">
        <f t="array" ref="O236">MIN(IF((OutputTable[GroupByKey]=OutputTable[[#This Row],[GroupByKey]]),(OutputTable[GroupByKey]=OutputTable[[#This Row],[GroupByKey]])*OutputTable[RecordedValue]))</f>
        <v>2306</v>
      </c>
      <c r="P236" cm="1">
        <f t="array" ref="P236">MAX(IF((OutputTable[GroupByKey]=OutputTable[[#This Row],[GroupByKey]]),(OutputTable[GroupByKey]=OutputTable[[#This Row],[GroupByKey]])*OutputTable[RecordedValue]))</f>
        <v>2506</v>
      </c>
    </row>
    <row r="237" spans="1:16" x14ac:dyDescent="0.25">
      <c r="A237" t="s">
        <v>68</v>
      </c>
      <c r="B237" t="s">
        <v>131</v>
      </c>
      <c r="C237">
        <v>14</v>
      </c>
      <c r="D237" t="s">
        <v>125</v>
      </c>
      <c r="E237" t="s">
        <v>123</v>
      </c>
      <c r="F237" t="s">
        <v>99</v>
      </c>
      <c r="G237">
        <v>0.81257059321857195</v>
      </c>
      <c r="H237">
        <v>0</v>
      </c>
      <c r="I237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237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cm="1">
        <f t="array" ref="K237">IFERROR(AVERAGE(IF((OutputTable[GroupByKey]=OutputTable[[#This Row],[GroupByKey]]),(OutputTable[GroupByKey]=OutputTable[[#This Row],[GroupByKey]])*OutputTable[RecordedValue])),0)</f>
        <v>0.82055942038575935</v>
      </c>
      <c r="L237" cm="1">
        <f t="array" ref="L237">IFERROR(_xlfn.STDEV.S(IF((OutputTable[GroupByKey]=OutputTable[[#This Row],[GroupByKey]]),(OutputTable[GroupByKey]=OutputTable[[#This Row],[GroupByKey]])*OutputTable[RecordedValue])),0)</f>
        <v>1.5331755012045719E-2</v>
      </c>
      <c r="M237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237" cm="1">
        <f t="array" ref="O237">MIN(IF((OutputTable[GroupByKey]=OutputTable[[#This Row],[GroupByKey]]),(OutputTable[GroupByKey]=OutputTable[[#This Row],[GroupByKey]])*OutputTable[RecordedValue]))</f>
        <v>0.78705962766536897</v>
      </c>
      <c r="P237" cm="1">
        <f t="array" ref="P237">MAX(IF((OutputTable[GroupByKey]=OutputTable[[#This Row],[GroupByKey]]),(OutputTable[GroupByKey]=OutputTable[[#This Row],[GroupByKey]])*OutputTable[RecordedValue]))</f>
        <v>0.85508719449138504</v>
      </c>
    </row>
    <row r="238" spans="1:16" x14ac:dyDescent="0.25">
      <c r="A238" t="s">
        <v>68</v>
      </c>
      <c r="B238" t="s">
        <v>131</v>
      </c>
      <c r="C238">
        <v>14</v>
      </c>
      <c r="D238" t="s">
        <v>126</v>
      </c>
      <c r="E238" t="s">
        <v>121</v>
      </c>
      <c r="F238" t="s">
        <v>99</v>
      </c>
      <c r="G238">
        <v>2245</v>
      </c>
      <c r="H238">
        <v>0</v>
      </c>
      <c r="I238" t="str">
        <f>OutputTable[[#This Row],[ProjectName]]&amp;OutputTable[[#This Row],[Name]]&amp;OutputTable[[#This Row],[Type]]&amp;OutputTable[[#This Row],[Source]]</f>
        <v>PacientesrRegistradora.NumberSeizedTotal Number SeizedResource</v>
      </c>
      <c r="J238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cm="1">
        <f t="array" ref="K238">IFERROR(AVERAGE(IF((OutputTable[GroupByKey]=OutputTable[[#This Row],[GroupByKey]]),(OutputTable[GroupByKey]=OutputTable[[#This Row],[GroupByKey]])*OutputTable[RecordedValue])),0)</f>
        <v>2263.14</v>
      </c>
      <c r="L238" cm="1">
        <f t="array" ref="L238">IFERROR(_xlfn.STDEV.S(IF((OutputTable[GroupByKey]=OutputTable[[#This Row],[GroupByKey]]),(OutputTable[GroupByKey]=OutputTable[[#This Row],[GroupByKey]])*OutputTable[RecordedValue])),0)</f>
        <v>47.386818971575821</v>
      </c>
      <c r="M238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238" cm="1">
        <f t="array" ref="O238">MIN(IF((OutputTable[GroupByKey]=OutputTable[[#This Row],[GroupByKey]]),(OutputTable[GroupByKey]=OutputTable[[#This Row],[GroupByKey]])*OutputTable[RecordedValue]))</f>
        <v>2172</v>
      </c>
      <c r="P238" cm="1">
        <f t="array" ref="P238">MAX(IF((OutputTable[GroupByKey]=OutputTable[[#This Row],[GroupByKey]]),(OutputTable[GroupByKey]=OutputTable[[#This Row],[GroupByKey]])*OutputTable[RecordedValue]))</f>
        <v>2386</v>
      </c>
    </row>
    <row r="239" spans="1:16" x14ac:dyDescent="0.25">
      <c r="A239" t="s">
        <v>68</v>
      </c>
      <c r="B239" t="s">
        <v>131</v>
      </c>
      <c r="C239">
        <v>14</v>
      </c>
      <c r="D239" t="s">
        <v>127</v>
      </c>
      <c r="E239" t="s">
        <v>123</v>
      </c>
      <c r="F239" t="s">
        <v>99</v>
      </c>
      <c r="G239">
        <v>0.47271683942592402</v>
      </c>
      <c r="H239">
        <v>0</v>
      </c>
      <c r="I239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239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cm="1">
        <f t="array" ref="K239">IFERROR(AVERAGE(IF((OutputTable[GroupByKey]=OutputTable[[#This Row],[GroupByKey]]),(OutputTable[GroupByKey]=OutputTable[[#This Row],[GroupByKey]])*OutputTable[RecordedValue])),0)</f>
        <v>0.47162762933545666</v>
      </c>
      <c r="L239" cm="1">
        <f t="array" ref="L239">IFERROR(_xlfn.STDEV.S(IF((OutputTable[GroupByKey]=OutputTable[[#This Row],[GroupByKey]]),(OutputTable[GroupByKey]=OutputTable[[#This Row],[GroupByKey]])*OutputTable[RecordedValue])),0)</f>
        <v>9.6615227076777797E-3</v>
      </c>
      <c r="M239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239" cm="1">
        <f t="array" ref="O239">MIN(IF((OutputTable[GroupByKey]=OutputTable[[#This Row],[GroupByKey]]),(OutputTable[GroupByKey]=OutputTable[[#This Row],[GroupByKey]])*OutputTable[RecordedValue]))</f>
        <v>0.452397944183905</v>
      </c>
      <c r="P239" cm="1">
        <f t="array" ref="P239">MAX(IF((OutputTable[GroupByKey]=OutputTable[[#This Row],[GroupByKey]]),(OutputTable[GroupByKey]=OutputTable[[#This Row],[GroupByKey]])*OutputTable[RecordedValue]))</f>
        <v>0.49691123629694001</v>
      </c>
    </row>
    <row r="240" spans="1:16" x14ac:dyDescent="0.25">
      <c r="A240" t="s">
        <v>68</v>
      </c>
      <c r="B240" t="s">
        <v>131</v>
      </c>
      <c r="C240">
        <v>15</v>
      </c>
      <c r="D240" t="s">
        <v>104</v>
      </c>
      <c r="E240" t="s">
        <v>105</v>
      </c>
      <c r="F240" t="s">
        <v>72</v>
      </c>
      <c r="G240">
        <v>2508</v>
      </c>
      <c r="H240">
        <v>0</v>
      </c>
      <c r="I240" t="str">
        <f>OutputTable[[#This Row],[ProjectName]]&amp;OutputTable[[#This Row],[Name]]&amp;OutputTable[[#This Row],[Type]]&amp;OutputTable[[#This Row],[Source]]</f>
        <v>PacientesEntity 1.NumberInNumber InEntity</v>
      </c>
      <c r="J240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cm="1">
        <f t="array" ref="K240">IFERROR(AVERAGE(IF((OutputTable[GroupByKey]=OutputTable[[#This Row],[GroupByKey]]),(OutputTable[GroupByKey]=OutputTable[[#This Row],[GroupByKey]])*OutputTable[RecordedValue])),0)</f>
        <v>2404.8200000000002</v>
      </c>
      <c r="L240" cm="1">
        <f t="array" ref="L240">IFERROR(_xlfn.STDEV.S(IF((OutputTable[GroupByKey]=OutputTable[[#This Row],[GroupByKey]]),(OutputTable[GroupByKey]=OutputTable[[#This Row],[GroupByKey]])*OutputTable[RecordedValue])),0)</f>
        <v>46.42953405595474</v>
      </c>
      <c r="M240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240" cm="1">
        <f t="array" ref="O240">MIN(IF((OutputTable[GroupByKey]=OutputTable[[#This Row],[GroupByKey]]),(OutputTable[GroupByKey]=OutputTable[[#This Row],[GroupByKey]])*OutputTable[RecordedValue]))</f>
        <v>2307</v>
      </c>
      <c r="P240" cm="1">
        <f t="array" ref="P240">MAX(IF((OutputTable[GroupByKey]=OutputTable[[#This Row],[GroupByKey]]),(OutputTable[GroupByKey]=OutputTable[[#This Row],[GroupByKey]])*OutputTable[RecordedValue]))</f>
        <v>2518</v>
      </c>
    </row>
    <row r="241" spans="1:16" x14ac:dyDescent="0.25">
      <c r="A241" t="s">
        <v>68</v>
      </c>
      <c r="B241" t="s">
        <v>131</v>
      </c>
      <c r="C241">
        <v>15</v>
      </c>
      <c r="D241" t="s">
        <v>106</v>
      </c>
      <c r="E241" t="s">
        <v>107</v>
      </c>
      <c r="F241" t="s">
        <v>72</v>
      </c>
      <c r="G241">
        <v>2503</v>
      </c>
      <c r="H241">
        <v>0</v>
      </c>
      <c r="I241" t="str">
        <f>OutputTable[[#This Row],[ProjectName]]&amp;OutputTable[[#This Row],[Name]]&amp;OutputTable[[#This Row],[Type]]&amp;OutputTable[[#This Row],[Source]]</f>
        <v>PacientesEntity 1.NumberOutNumber OutEntity</v>
      </c>
      <c r="J241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cm="1">
        <f t="array" ref="K241">IFERROR(AVERAGE(IF((OutputTable[GroupByKey]=OutputTable[[#This Row],[GroupByKey]]),(OutputTable[GroupByKey]=OutputTable[[#This Row],[GroupByKey]])*OutputTable[RecordedValue])),0)</f>
        <v>2400.2800000000002</v>
      </c>
      <c r="L241" cm="1">
        <f t="array" ref="L241">IFERROR(_xlfn.STDEV.S(IF((OutputTable[GroupByKey]=OutputTable[[#This Row],[GroupByKey]]),(OutputTable[GroupByKey]=OutputTable[[#This Row],[GroupByKey]])*OutputTable[RecordedValue])),0)</f>
        <v>46.409024456676619</v>
      </c>
      <c r="M241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41" cm="1">
        <f t="array" ref="O241">MIN(IF((OutputTable[GroupByKey]=OutputTable[[#This Row],[GroupByKey]]),(OutputTable[GroupByKey]=OutputTable[[#This Row],[GroupByKey]])*OutputTable[RecordedValue]))</f>
        <v>2305</v>
      </c>
      <c r="P241" cm="1">
        <f t="array" ref="P241">MAX(IF((OutputTable[GroupByKey]=OutputTable[[#This Row],[GroupByKey]]),(OutputTable[GroupByKey]=OutputTable[[#This Row],[GroupByKey]])*OutputTable[RecordedValue]))</f>
        <v>2504</v>
      </c>
    </row>
    <row r="242" spans="1:16" x14ac:dyDescent="0.25">
      <c r="A242" t="s">
        <v>68</v>
      </c>
      <c r="B242" t="s">
        <v>131</v>
      </c>
      <c r="C242">
        <v>15</v>
      </c>
      <c r="D242" t="s">
        <v>108</v>
      </c>
      <c r="E242" t="s">
        <v>109</v>
      </c>
      <c r="F242" t="s">
        <v>80</v>
      </c>
      <c r="G242">
        <v>1225.2251727369701</v>
      </c>
      <c r="H242">
        <v>0</v>
      </c>
      <c r="I242" t="str">
        <f>OutputTable[[#This Row],[ProjectName]]&amp;OutputTable[[#This Row],[Name]]&amp;OutputTable[[#This Row],[Type]]&amp;OutputTable[[#This Row],[Source]]</f>
        <v>PacientesProcess 2 Accum VA TimeAccum VA TimeProcess</v>
      </c>
      <c r="J242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cm="1">
        <f t="array" ref="K242">IFERROR(AVERAGE(IF((OutputTable[GroupByKey]=OutputTable[[#This Row],[GroupByKey]]),(OutputTable[GroupByKey]=OutputTable[[#This Row],[GroupByKey]])*OutputTable[RecordedValue])),0)</f>
        <v>1181.1234936767919</v>
      </c>
      <c r="L242" cm="1">
        <f t="array" ref="L242">IFERROR(_xlfn.STDEV.S(IF((OutputTable[GroupByKey]=OutputTable[[#This Row],[GroupByKey]]),(OutputTable[GroupByKey]=OutputTable[[#This Row],[GroupByKey]])*OutputTable[RecordedValue])),0)</f>
        <v>22.169313666927575</v>
      </c>
      <c r="M242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242" cm="1">
        <f t="array" ref="O242">MIN(IF((OutputTable[GroupByKey]=OutputTable[[#This Row],[GroupByKey]]),(OutputTable[GroupByKey]=OutputTable[[#This Row],[GroupByKey]])*OutputTable[RecordedValue]))</f>
        <v>1133.24622318414</v>
      </c>
      <c r="P242" cm="1">
        <f t="array" ref="P242">MAX(IF((OutputTable[GroupByKey]=OutputTable[[#This Row],[GroupByKey]]),(OutputTable[GroupByKey]=OutputTable[[#This Row],[GroupByKey]])*OutputTable[RecordedValue]))</f>
        <v>1230.9493287309799</v>
      </c>
    </row>
    <row r="243" spans="1:16" x14ac:dyDescent="0.25">
      <c r="A243" t="s">
        <v>68</v>
      </c>
      <c r="B243" t="s">
        <v>131</v>
      </c>
      <c r="C243">
        <v>15</v>
      </c>
      <c r="D243" t="s">
        <v>110</v>
      </c>
      <c r="E243" t="s">
        <v>111</v>
      </c>
      <c r="F243" t="s">
        <v>80</v>
      </c>
      <c r="G243">
        <v>2881.0004834210699</v>
      </c>
      <c r="H243">
        <v>0</v>
      </c>
      <c r="I243" t="str">
        <f>OutputTable[[#This Row],[ProjectName]]&amp;OutputTable[[#This Row],[Name]]&amp;OutputTable[[#This Row],[Type]]&amp;OutputTable[[#This Row],[Source]]</f>
        <v>PacientesProcess 2 Accum Wait TimeAccum Wait TimeProcess</v>
      </c>
      <c r="J243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cm="1">
        <f t="array" ref="K243">IFERROR(AVERAGE(IF((OutputTable[GroupByKey]=OutputTable[[#This Row],[GroupByKey]]),(OutputTable[GroupByKey]=OutputTable[[#This Row],[GroupByKey]])*OutputTable[RecordedValue])),0)</f>
        <v>1938.7515507466894</v>
      </c>
      <c r="L243" cm="1">
        <f t="array" ref="L243">IFERROR(_xlfn.STDEV.S(IF((OutputTable[GroupByKey]=OutputTable[[#This Row],[GroupByKey]]),(OutputTable[GroupByKey]=OutputTable[[#This Row],[GroupByKey]])*OutputTable[RecordedValue])),0)</f>
        <v>534.03396241838232</v>
      </c>
      <c r="M243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243" cm="1">
        <f t="array" ref="O243">MIN(IF((OutputTable[GroupByKey]=OutputTable[[#This Row],[GroupByKey]]),(OutputTable[GroupByKey]=OutputTable[[#This Row],[GroupByKey]])*OutputTable[RecordedValue]))</f>
        <v>1234.7567994731401</v>
      </c>
      <c r="P243" cm="1">
        <f t="array" ref="P243">MAX(IF((OutputTable[GroupByKey]=OutputTable[[#This Row],[GroupByKey]]),(OutputTable[GroupByKey]=OutputTable[[#This Row],[GroupByKey]])*OutputTable[RecordedValue]))</f>
        <v>3269.0858002883801</v>
      </c>
    </row>
    <row r="244" spans="1:16" x14ac:dyDescent="0.25">
      <c r="A244" t="s">
        <v>68</v>
      </c>
      <c r="B244" t="s">
        <v>131</v>
      </c>
      <c r="C244">
        <v>15</v>
      </c>
      <c r="D244" t="s">
        <v>112</v>
      </c>
      <c r="E244" t="s">
        <v>105</v>
      </c>
      <c r="F244" t="s">
        <v>80</v>
      </c>
      <c r="G244">
        <v>2508</v>
      </c>
      <c r="H244">
        <v>0</v>
      </c>
      <c r="I244" t="str">
        <f>OutputTable[[#This Row],[ProjectName]]&amp;OutputTable[[#This Row],[Name]]&amp;OutputTable[[#This Row],[Type]]&amp;OutputTable[[#This Row],[Source]]</f>
        <v>PacientesProcess 2 Number InNumber InProcess</v>
      </c>
      <c r="J244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cm="1">
        <f t="array" ref="K244">IFERROR(AVERAGE(IF((OutputTable[GroupByKey]=OutputTable[[#This Row],[GroupByKey]]),(OutputTable[GroupByKey]=OutputTable[[#This Row],[GroupByKey]])*OutputTable[RecordedValue])),0)</f>
        <v>2404.2399999999998</v>
      </c>
      <c r="L244" cm="1">
        <f t="array" ref="L244">IFERROR(_xlfn.STDEV.S(IF((OutputTable[GroupByKey]=OutputTable[[#This Row],[GroupByKey]]),(OutputTable[GroupByKey]=OutputTable[[#This Row],[GroupByKey]])*OutputTable[RecordedValue])),0)</f>
        <v>46.574303154053879</v>
      </c>
      <c r="M244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244" cm="1">
        <f t="array" ref="O244">MIN(IF((OutputTable[GroupByKey]=OutputTable[[#This Row],[GroupByKey]]),(OutputTable[GroupByKey]=OutputTable[[#This Row],[GroupByKey]])*OutputTable[RecordedValue]))</f>
        <v>2306</v>
      </c>
      <c r="P244" cm="1">
        <f t="array" ref="P244">MAX(IF((OutputTable[GroupByKey]=OutputTable[[#This Row],[GroupByKey]]),(OutputTable[GroupByKey]=OutputTable[[#This Row],[GroupByKey]])*OutputTable[RecordedValue]))</f>
        <v>2518</v>
      </c>
    </row>
    <row r="245" spans="1:16" x14ac:dyDescent="0.25">
      <c r="A245" t="s">
        <v>68</v>
      </c>
      <c r="B245" t="s">
        <v>131</v>
      </c>
      <c r="C245">
        <v>15</v>
      </c>
      <c r="D245" t="s">
        <v>113</v>
      </c>
      <c r="E245" t="s">
        <v>107</v>
      </c>
      <c r="F245" t="s">
        <v>80</v>
      </c>
      <c r="G245">
        <v>2503</v>
      </c>
      <c r="H245">
        <v>0</v>
      </c>
      <c r="I245" t="str">
        <f>OutputTable[[#This Row],[ProjectName]]&amp;OutputTable[[#This Row],[Name]]&amp;OutputTable[[#This Row],[Type]]&amp;OutputTable[[#This Row],[Source]]</f>
        <v>PacientesProcess 2 Number OutNumber OutProcess</v>
      </c>
      <c r="J24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cm="1">
        <f t="array" ref="K245">IFERROR(AVERAGE(IF((OutputTable[GroupByKey]=OutputTable[[#This Row],[GroupByKey]]),(OutputTable[GroupByKey]=OutputTable[[#This Row],[GroupByKey]])*OutputTable[RecordedValue])),0)</f>
        <v>2400.2800000000002</v>
      </c>
      <c r="L245" cm="1">
        <f t="array" ref="L245">IFERROR(_xlfn.STDEV.S(IF((OutputTable[GroupByKey]=OutputTable[[#This Row],[GroupByKey]]),(OutputTable[GroupByKey]=OutputTable[[#This Row],[GroupByKey]])*OutputTable[RecordedValue])),0)</f>
        <v>46.409024456676619</v>
      </c>
      <c r="M24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45" cm="1">
        <f t="array" ref="O245">MIN(IF((OutputTable[GroupByKey]=OutputTable[[#This Row],[GroupByKey]]),(OutputTable[GroupByKey]=OutputTable[[#This Row],[GroupByKey]])*OutputTable[RecordedValue]))</f>
        <v>2305</v>
      </c>
      <c r="P245" cm="1">
        <f t="array" ref="P245">MAX(IF((OutputTable[GroupByKey]=OutputTable[[#This Row],[GroupByKey]]),(OutputTable[GroupByKey]=OutputTable[[#This Row],[GroupByKey]])*OutputTable[RecordedValue]))</f>
        <v>2504</v>
      </c>
    </row>
    <row r="246" spans="1:16" x14ac:dyDescent="0.25">
      <c r="A246" t="s">
        <v>68</v>
      </c>
      <c r="B246" t="s">
        <v>131</v>
      </c>
      <c r="C246">
        <v>15</v>
      </c>
      <c r="D246" t="s">
        <v>114</v>
      </c>
      <c r="E246" t="s">
        <v>109</v>
      </c>
      <c r="F246" t="s">
        <v>80</v>
      </c>
      <c r="G246">
        <v>355.234254331388</v>
      </c>
      <c r="H246">
        <v>0</v>
      </c>
      <c r="I246" t="str">
        <f>OutputTable[[#This Row],[ProjectName]]&amp;OutputTable[[#This Row],[Name]]&amp;OutputTable[[#This Row],[Type]]&amp;OutputTable[[#This Row],[Source]]</f>
        <v>PacientesRegistro Accum VA TimeAccum VA TimeProcess</v>
      </c>
      <c r="J246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cm="1">
        <f t="array" ref="K246">IFERROR(AVERAGE(IF((OutputTable[GroupByKey]=OutputTable[[#This Row],[GroupByKey]]),(OutputTable[GroupByKey]=OutputTable[[#This Row],[GroupByKey]])*OutputTable[RecordedValue])),0)</f>
        <v>339.53547737062786</v>
      </c>
      <c r="L246" cm="1">
        <f t="array" ref="L246">IFERROR(_xlfn.STDEV.S(IF((OutputTable[GroupByKey]=OutputTable[[#This Row],[GroupByKey]]),(OutputTable[GroupByKey]=OutputTable[[#This Row],[GroupByKey]])*OutputTable[RecordedValue])),0)</f>
        <v>6.9723666109353193</v>
      </c>
      <c r="M246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246" cm="1">
        <f t="array" ref="O246">MIN(IF((OutputTable[GroupByKey]=OutputTable[[#This Row],[GroupByKey]]),(OutputTable[GroupByKey]=OutputTable[[#This Row],[GroupByKey]])*OutputTable[RecordedValue]))</f>
        <v>325.606879158418</v>
      </c>
      <c r="P246" cm="1">
        <f t="array" ref="P246">MAX(IF((OutputTable[GroupByKey]=OutputTable[[#This Row],[GroupByKey]]),(OutputTable[GroupByKey]=OutputTable[[#This Row],[GroupByKey]])*OutputTable[RecordedValue]))</f>
        <v>357.77609013379703</v>
      </c>
    </row>
    <row r="247" spans="1:16" x14ac:dyDescent="0.25">
      <c r="A247" t="s">
        <v>68</v>
      </c>
      <c r="B247" t="s">
        <v>131</v>
      </c>
      <c r="C247">
        <v>15</v>
      </c>
      <c r="D247" t="s">
        <v>115</v>
      </c>
      <c r="E247" t="s">
        <v>111</v>
      </c>
      <c r="F247" t="s">
        <v>80</v>
      </c>
      <c r="G247">
        <v>157.524060792612</v>
      </c>
      <c r="H247">
        <v>0</v>
      </c>
      <c r="I247" t="str">
        <f>OutputTable[[#This Row],[ProjectName]]&amp;OutputTable[[#This Row],[Name]]&amp;OutputTable[[#This Row],[Type]]&amp;OutputTable[[#This Row],[Source]]</f>
        <v>PacientesRegistro Accum Wait TimeAccum Wait TimeProcess</v>
      </c>
      <c r="J247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cm="1">
        <f t="array" ref="K247">IFERROR(AVERAGE(IF((OutputTable[GroupByKey]=OutputTable[[#This Row],[GroupByKey]]),(OutputTable[GroupByKey]=OutputTable[[#This Row],[GroupByKey]])*OutputTable[RecordedValue])),0)</f>
        <v>154.15303898127775</v>
      </c>
      <c r="L247" cm="1">
        <f t="array" ref="L247">IFERROR(_xlfn.STDEV.S(IF((OutputTable[GroupByKey]=OutputTable[[#This Row],[GroupByKey]]),(OutputTable[GroupByKey]=OutputTable[[#This Row],[GroupByKey]])*OutputTable[RecordedValue])),0)</f>
        <v>12.141439184615397</v>
      </c>
      <c r="M247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247" cm="1">
        <f t="array" ref="O247">MIN(IF((OutputTable[GroupByKey]=OutputTable[[#This Row],[GroupByKey]]),(OutputTable[GroupByKey]=OutputTable[[#This Row],[GroupByKey]])*OutputTable[RecordedValue]))</f>
        <v>123.901613974094</v>
      </c>
      <c r="P247" cm="1">
        <f t="array" ref="P247">MAX(IF((OutputTable[GroupByKey]=OutputTable[[#This Row],[GroupByKey]]),(OutputTable[GroupByKey]=OutputTable[[#This Row],[GroupByKey]])*OutputTable[RecordedValue]))</f>
        <v>178.441307284473</v>
      </c>
    </row>
    <row r="248" spans="1:16" x14ac:dyDescent="0.25">
      <c r="A248" t="s">
        <v>68</v>
      </c>
      <c r="B248" t="s">
        <v>131</v>
      </c>
      <c r="C248">
        <v>15</v>
      </c>
      <c r="D248" t="s">
        <v>116</v>
      </c>
      <c r="E248" t="s">
        <v>105</v>
      </c>
      <c r="F248" t="s">
        <v>80</v>
      </c>
      <c r="G248">
        <v>2375</v>
      </c>
      <c r="H248">
        <v>0</v>
      </c>
      <c r="I248" t="str">
        <f>OutputTable[[#This Row],[ProjectName]]&amp;OutputTable[[#This Row],[Name]]&amp;OutputTable[[#This Row],[Type]]&amp;OutputTable[[#This Row],[Source]]</f>
        <v>PacientesRegistro Number InNumber InProcess</v>
      </c>
      <c r="J248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cm="1">
        <f t="array" ref="K248">IFERROR(AVERAGE(IF((OutputTable[GroupByKey]=OutputTable[[#This Row],[GroupByKey]]),(OutputTable[GroupByKey]=OutputTable[[#This Row],[GroupByKey]])*OutputTable[RecordedValue])),0)</f>
        <v>2263.2399999999998</v>
      </c>
      <c r="L248" cm="1">
        <f t="array" ref="L248">IFERROR(_xlfn.STDEV.S(IF((OutputTable[GroupByKey]=OutputTable[[#This Row],[GroupByKey]]),(OutputTable[GroupByKey]=OutputTable[[#This Row],[GroupByKey]])*OutputTable[RecordedValue])),0)</f>
        <v>47.331035682472766</v>
      </c>
      <c r="M248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248" cm="1">
        <f t="array" ref="O248">MIN(IF((OutputTable[GroupByKey]=OutputTable[[#This Row],[GroupByKey]]),(OutputTable[GroupByKey]=OutputTable[[#This Row],[GroupByKey]])*OutputTable[RecordedValue]))</f>
        <v>2172</v>
      </c>
      <c r="P248" cm="1">
        <f t="array" ref="P248">MAX(IF((OutputTable[GroupByKey]=OutputTable[[#This Row],[GroupByKey]]),(OutputTable[GroupByKey]=OutputTable[[#This Row],[GroupByKey]])*OutputTable[RecordedValue]))</f>
        <v>2386</v>
      </c>
    </row>
    <row r="249" spans="1:16" x14ac:dyDescent="0.25">
      <c r="A249" t="s">
        <v>68</v>
      </c>
      <c r="B249" t="s">
        <v>131</v>
      </c>
      <c r="C249">
        <v>15</v>
      </c>
      <c r="D249" t="s">
        <v>117</v>
      </c>
      <c r="E249" t="s">
        <v>107</v>
      </c>
      <c r="F249" t="s">
        <v>80</v>
      </c>
      <c r="G249">
        <v>2375</v>
      </c>
      <c r="H249">
        <v>0</v>
      </c>
      <c r="I249" t="str">
        <f>OutputTable[[#This Row],[ProjectName]]&amp;OutputTable[[#This Row],[Name]]&amp;OutputTable[[#This Row],[Type]]&amp;OutputTable[[#This Row],[Source]]</f>
        <v>PacientesRegistro Number OutNumber OutProcess</v>
      </c>
      <c r="J249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cm="1">
        <f t="array" ref="K249">IFERROR(AVERAGE(IF((OutputTable[GroupByKey]=OutputTable[[#This Row],[GroupByKey]]),(OutputTable[GroupByKey]=OutputTable[[#This Row],[GroupByKey]])*OutputTable[RecordedValue])),0)</f>
        <v>2262.66</v>
      </c>
      <c r="L249" cm="1">
        <f t="array" ref="L249">IFERROR(_xlfn.STDEV.S(IF((OutputTable[GroupByKey]=OutputTable[[#This Row],[GroupByKey]]),(OutputTable[GroupByKey]=OutputTable[[#This Row],[GroupByKey]])*OutputTable[RecordedValue])),0)</f>
        <v>47.488176831454687</v>
      </c>
      <c r="M249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249" cm="1">
        <f t="array" ref="O249">MIN(IF((OutputTable[GroupByKey]=OutputTable[[#This Row],[GroupByKey]]),(OutputTable[GroupByKey]=OutputTable[[#This Row],[GroupByKey]])*OutputTable[RecordedValue]))</f>
        <v>2171</v>
      </c>
      <c r="P249" cm="1">
        <f t="array" ref="P249">MAX(IF((OutputTable[GroupByKey]=OutputTable[[#This Row],[GroupByKey]]),(OutputTable[GroupByKey]=OutputTable[[#This Row],[GroupByKey]])*OutputTable[RecordedValue]))</f>
        <v>2386</v>
      </c>
    </row>
    <row r="250" spans="1:16" x14ac:dyDescent="0.25">
      <c r="A250" t="s">
        <v>68</v>
      </c>
      <c r="B250" t="s">
        <v>131</v>
      </c>
      <c r="C250">
        <v>15</v>
      </c>
      <c r="D250" t="s">
        <v>118</v>
      </c>
      <c r="E250" t="s">
        <v>107</v>
      </c>
      <c r="F250" t="s">
        <v>119</v>
      </c>
      <c r="G250">
        <v>2503</v>
      </c>
      <c r="H250">
        <v>0</v>
      </c>
      <c r="I250" t="str">
        <f>OutputTable[[#This Row],[ProjectName]]&amp;OutputTable[[#This Row],[Name]]&amp;OutputTable[[#This Row],[Type]]&amp;OutputTable[[#This Row],[Source]]</f>
        <v>PacientesSystem.NumberOutNumber OutSystem</v>
      </c>
      <c r="J250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cm="1">
        <f t="array" ref="K250">IFERROR(AVERAGE(IF((OutputTable[GroupByKey]=OutputTable[[#This Row],[GroupByKey]]),(OutputTable[GroupByKey]=OutputTable[[#This Row],[GroupByKey]])*OutputTable[RecordedValue])),0)</f>
        <v>2400.2800000000002</v>
      </c>
      <c r="L250" cm="1">
        <f t="array" ref="L250">IFERROR(_xlfn.STDEV.S(IF((OutputTable[GroupByKey]=OutputTable[[#This Row],[GroupByKey]]),(OutputTable[GroupByKey]=OutputTable[[#This Row],[GroupByKey]])*OutputTable[RecordedValue])),0)</f>
        <v>46.409024456676619</v>
      </c>
      <c r="M250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50" cm="1">
        <f t="array" ref="O250">MIN(IF((OutputTable[GroupByKey]=OutputTable[[#This Row],[GroupByKey]]),(OutputTable[GroupByKey]=OutputTable[[#This Row],[GroupByKey]])*OutputTable[RecordedValue]))</f>
        <v>2305</v>
      </c>
      <c r="P250" cm="1">
        <f t="array" ref="P250">MAX(IF((OutputTable[GroupByKey]=OutputTable[[#This Row],[GroupByKey]]),(OutputTable[GroupByKey]=OutputTable[[#This Row],[GroupByKey]])*OutputTable[RecordedValue]))</f>
        <v>2504</v>
      </c>
    </row>
    <row r="251" spans="1:16" x14ac:dyDescent="0.25">
      <c r="A251" t="s">
        <v>68</v>
      </c>
      <c r="B251" t="s">
        <v>131</v>
      </c>
      <c r="C251">
        <v>15</v>
      </c>
      <c r="D251" t="s">
        <v>120</v>
      </c>
      <c r="E251" t="s">
        <v>121</v>
      </c>
      <c r="F251" t="s">
        <v>99</v>
      </c>
      <c r="G251">
        <v>2505</v>
      </c>
      <c r="H251">
        <v>0</v>
      </c>
      <c r="I251" t="str">
        <f>OutputTable[[#This Row],[ProjectName]]&amp;OutputTable[[#This Row],[Name]]&amp;OutputTable[[#This Row],[Type]]&amp;OutputTable[[#This Row],[Source]]</f>
        <v>PacientesrCamas.NumberSeizedTotal Number SeizedResource</v>
      </c>
      <c r="J251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cm="1">
        <f t="array" ref="K251">IFERROR(AVERAGE(IF((OutputTable[GroupByKey]=OutputTable[[#This Row],[GroupByKey]]),(OutputTable[GroupByKey]=OutputTable[[#This Row],[GroupByKey]])*OutputTable[RecordedValue])),0)</f>
        <v>2401.9</v>
      </c>
      <c r="L251" cm="1">
        <f t="array" ref="L251">IFERROR(_xlfn.STDEV.S(IF((OutputTable[GroupByKey]=OutputTable[[#This Row],[GroupByKey]]),(OutputTable[GroupByKey]=OutputTable[[#This Row],[GroupByKey]])*OutputTable[RecordedValue])),0)</f>
        <v>46.417031532903209</v>
      </c>
      <c r="M251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51" cm="1">
        <f t="array" ref="O251">MIN(IF((OutputTable[GroupByKey]=OutputTable[[#This Row],[GroupByKey]]),(OutputTable[GroupByKey]=OutputTable[[#This Row],[GroupByKey]])*OutputTable[RecordedValue]))</f>
        <v>2306</v>
      </c>
      <c r="P251" cm="1">
        <f t="array" ref="P251">MAX(IF((OutputTable[GroupByKey]=OutputTable[[#This Row],[GroupByKey]]),(OutputTable[GroupByKey]=OutputTable[[#This Row],[GroupByKey]])*OutputTable[RecordedValue]))</f>
        <v>2506</v>
      </c>
    </row>
    <row r="252" spans="1:16" x14ac:dyDescent="0.25">
      <c r="A252" t="s">
        <v>68</v>
      </c>
      <c r="B252" t="s">
        <v>131</v>
      </c>
      <c r="C252">
        <v>15</v>
      </c>
      <c r="D252" t="s">
        <v>122</v>
      </c>
      <c r="E252" t="s">
        <v>123</v>
      </c>
      <c r="F252" t="s">
        <v>99</v>
      </c>
      <c r="G252">
        <v>0.56747047867564104</v>
      </c>
      <c r="H252">
        <v>0</v>
      </c>
      <c r="I252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252" cm="1">
        <f t="array" ref="J252">MAX(IF((ProjectInfoTable[ProjectName]=OutputTable[[#This Row],[ProjectName]]),(ProjectInfoTable[ProjectName]=OutputTable[[#This Row],[ProjectName]])*ProjectInfoTable[NumberOfReplications]))</f>
        <v>50</v>
      </c>
      <c r="K252" cm="1">
        <f t="array" ref="K252">IFERROR(AVERAGE(IF((OutputTable[GroupByKey]=OutputTable[[#This Row],[GroupByKey]]),(OutputTable[GroupByKey]=OutputTable[[#This Row],[GroupByKey]])*OutputTable[RecordedValue])),0)</f>
        <v>0.54703961359050601</v>
      </c>
      <c r="L252" cm="1">
        <f t="array" ref="L252">IFERROR(_xlfn.STDEV.S(IF((OutputTable[GroupByKey]=OutputTable[[#This Row],[GroupByKey]]),(OutputTable[GroupByKey]=OutputTable[[#This Row],[GroupByKey]])*OutputTable[RecordedValue])),0)</f>
        <v>1.0221170008030479E-2</v>
      </c>
      <c r="M252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252" cm="1">
        <f t="array" ref="O252">MIN(IF((OutputTable[GroupByKey]=OutputTable[[#This Row],[GroupByKey]]),(OutputTable[GroupByKey]=OutputTable[[#This Row],[GroupByKey]])*OutputTable[RecordedValue]))</f>
        <v>0.52470641844357901</v>
      </c>
      <c r="P252" cm="1">
        <f t="array" ref="P252">MAX(IF((OutputTable[GroupByKey]=OutputTable[[#This Row],[GroupByKey]]),(OutputTable[GroupByKey]=OutputTable[[#This Row],[GroupByKey]])*OutputTable[RecordedValue]))</f>
        <v>0.57005812966092295</v>
      </c>
    </row>
    <row r="253" spans="1:16" x14ac:dyDescent="0.25">
      <c r="A253" t="s">
        <v>68</v>
      </c>
      <c r="B253" t="s">
        <v>131</v>
      </c>
      <c r="C253">
        <v>15</v>
      </c>
      <c r="D253" t="s">
        <v>124</v>
      </c>
      <c r="E253" t="s">
        <v>121</v>
      </c>
      <c r="F253" t="s">
        <v>99</v>
      </c>
      <c r="G253">
        <v>2505</v>
      </c>
      <c r="H253">
        <v>0</v>
      </c>
      <c r="I253" t="str">
        <f>OutputTable[[#This Row],[ProjectName]]&amp;OutputTable[[#This Row],[Name]]&amp;OutputTable[[#This Row],[Type]]&amp;OutputTable[[#This Row],[Source]]</f>
        <v>PacientesrMedico.NumberSeizedTotal Number SeizedResource</v>
      </c>
      <c r="J253" cm="1">
        <f t="array" ref="J253">MAX(IF((ProjectInfoTable[ProjectName]=OutputTable[[#This Row],[ProjectName]]),(ProjectInfoTable[ProjectName]=OutputTable[[#This Row],[ProjectName]])*ProjectInfoTable[NumberOfReplications]))</f>
        <v>50</v>
      </c>
      <c r="K253" cm="1">
        <f t="array" ref="K253">IFERROR(AVERAGE(IF((OutputTable[GroupByKey]=OutputTable[[#This Row],[GroupByKey]]),(OutputTable[GroupByKey]=OutputTable[[#This Row],[GroupByKey]])*OutputTable[RecordedValue])),0)</f>
        <v>2401.9</v>
      </c>
      <c r="L253" cm="1">
        <f t="array" ref="L253">IFERROR(_xlfn.STDEV.S(IF((OutputTable[GroupByKey]=OutputTable[[#This Row],[GroupByKey]]),(OutputTable[GroupByKey]=OutputTable[[#This Row],[GroupByKey]])*OutputTable[RecordedValue])),0)</f>
        <v>46.417031532903209</v>
      </c>
      <c r="M253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53" cm="1">
        <f t="array" ref="O253">MIN(IF((OutputTable[GroupByKey]=OutputTable[[#This Row],[GroupByKey]]),(OutputTable[GroupByKey]=OutputTable[[#This Row],[GroupByKey]])*OutputTable[RecordedValue]))</f>
        <v>2306</v>
      </c>
      <c r="P253" cm="1">
        <f t="array" ref="P253">MAX(IF((OutputTable[GroupByKey]=OutputTable[[#This Row],[GroupByKey]]),(OutputTable[GroupByKey]=OutputTable[[#This Row],[GroupByKey]])*OutputTable[RecordedValue]))</f>
        <v>2506</v>
      </c>
    </row>
    <row r="254" spans="1:16" x14ac:dyDescent="0.25">
      <c r="A254" t="s">
        <v>68</v>
      </c>
      <c r="B254" t="s">
        <v>131</v>
      </c>
      <c r="C254">
        <v>15</v>
      </c>
      <c r="D254" t="s">
        <v>125</v>
      </c>
      <c r="E254" t="s">
        <v>123</v>
      </c>
      <c r="F254" t="s">
        <v>99</v>
      </c>
      <c r="G254">
        <v>0.85120571801346201</v>
      </c>
      <c r="H254">
        <v>0</v>
      </c>
      <c r="I254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254" cm="1">
        <f t="array" ref="J254">MAX(IF((ProjectInfoTable[ProjectName]=OutputTable[[#This Row],[ProjectName]]),(ProjectInfoTable[ProjectName]=OutputTable[[#This Row],[ProjectName]])*ProjectInfoTable[NumberOfReplications]))</f>
        <v>50</v>
      </c>
      <c r="K254" cm="1">
        <f t="array" ref="K254">IFERROR(AVERAGE(IF((OutputTable[GroupByKey]=OutputTable[[#This Row],[GroupByKey]]),(OutputTable[GroupByKey]=OutputTable[[#This Row],[GroupByKey]])*OutputTable[RecordedValue])),0)</f>
        <v>0.82055942038575935</v>
      </c>
      <c r="L254" cm="1">
        <f t="array" ref="L254">IFERROR(_xlfn.STDEV.S(IF((OutputTable[GroupByKey]=OutputTable[[#This Row],[GroupByKey]]),(OutputTable[GroupByKey]=OutputTable[[#This Row],[GroupByKey]])*OutputTable[RecordedValue])),0)</f>
        <v>1.5331755012045719E-2</v>
      </c>
      <c r="M254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254" cm="1">
        <f t="array" ref="O254">MIN(IF((OutputTable[GroupByKey]=OutputTable[[#This Row],[GroupByKey]]),(OutputTable[GroupByKey]=OutputTable[[#This Row],[GroupByKey]])*OutputTable[RecordedValue]))</f>
        <v>0.78705962766536897</v>
      </c>
      <c r="P254" cm="1">
        <f t="array" ref="P254">MAX(IF((OutputTable[GroupByKey]=OutputTable[[#This Row],[GroupByKey]]),(OutputTable[GroupByKey]=OutputTable[[#This Row],[GroupByKey]])*OutputTable[RecordedValue]))</f>
        <v>0.85508719449138504</v>
      </c>
    </row>
    <row r="255" spans="1:16" x14ac:dyDescent="0.25">
      <c r="A255" t="s">
        <v>68</v>
      </c>
      <c r="B255" t="s">
        <v>131</v>
      </c>
      <c r="C255">
        <v>15</v>
      </c>
      <c r="D255" t="s">
        <v>126</v>
      </c>
      <c r="E255" t="s">
        <v>121</v>
      </c>
      <c r="F255" t="s">
        <v>99</v>
      </c>
      <c r="G255">
        <v>2375</v>
      </c>
      <c r="H255">
        <v>0</v>
      </c>
      <c r="I255" t="str">
        <f>OutputTable[[#This Row],[ProjectName]]&amp;OutputTable[[#This Row],[Name]]&amp;OutputTable[[#This Row],[Type]]&amp;OutputTable[[#This Row],[Source]]</f>
        <v>PacientesrRegistradora.NumberSeizedTotal Number SeizedResource</v>
      </c>
      <c r="J255" cm="1">
        <f t="array" ref="J255">MAX(IF((ProjectInfoTable[ProjectName]=OutputTable[[#This Row],[ProjectName]]),(ProjectInfoTable[ProjectName]=OutputTable[[#This Row],[ProjectName]])*ProjectInfoTable[NumberOfReplications]))</f>
        <v>50</v>
      </c>
      <c r="K255" cm="1">
        <f t="array" ref="K255">IFERROR(AVERAGE(IF((OutputTable[GroupByKey]=OutputTable[[#This Row],[GroupByKey]]),(OutputTable[GroupByKey]=OutputTable[[#This Row],[GroupByKey]])*OutputTable[RecordedValue])),0)</f>
        <v>2263.14</v>
      </c>
      <c r="L255" cm="1">
        <f t="array" ref="L255">IFERROR(_xlfn.STDEV.S(IF((OutputTable[GroupByKey]=OutputTable[[#This Row],[GroupByKey]]),(OutputTable[GroupByKey]=OutputTable[[#This Row],[GroupByKey]])*OutputTable[RecordedValue])),0)</f>
        <v>47.386818971575821</v>
      </c>
      <c r="M25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255" cm="1">
        <f t="array" ref="O255">MIN(IF((OutputTable[GroupByKey]=OutputTable[[#This Row],[GroupByKey]]),(OutputTable[GroupByKey]=OutputTable[[#This Row],[GroupByKey]])*OutputTable[RecordedValue]))</f>
        <v>2172</v>
      </c>
      <c r="P255" cm="1">
        <f t="array" ref="P255">MAX(IF((OutputTable[GroupByKey]=OutputTable[[#This Row],[GroupByKey]]),(OutputTable[GroupByKey]=OutputTable[[#This Row],[GroupByKey]])*OutputTable[RecordedValue]))</f>
        <v>2386</v>
      </c>
    </row>
    <row r="256" spans="1:16" x14ac:dyDescent="0.25">
      <c r="A256" t="s">
        <v>68</v>
      </c>
      <c r="B256" t="s">
        <v>131</v>
      </c>
      <c r="C256">
        <v>15</v>
      </c>
      <c r="D256" t="s">
        <v>127</v>
      </c>
      <c r="E256" t="s">
        <v>123</v>
      </c>
      <c r="F256" t="s">
        <v>99</v>
      </c>
      <c r="G256">
        <v>0.49338090879359398</v>
      </c>
      <c r="H256">
        <v>0</v>
      </c>
      <c r="I256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256" cm="1">
        <f t="array" ref="J256">MAX(IF((ProjectInfoTable[ProjectName]=OutputTable[[#This Row],[ProjectName]]),(ProjectInfoTable[ProjectName]=OutputTable[[#This Row],[ProjectName]])*ProjectInfoTable[NumberOfReplications]))</f>
        <v>50</v>
      </c>
      <c r="K256" cm="1">
        <f t="array" ref="K256">IFERROR(AVERAGE(IF((OutputTable[GroupByKey]=OutputTable[[#This Row],[GroupByKey]]),(OutputTable[GroupByKey]=OutputTable[[#This Row],[GroupByKey]])*OutputTable[RecordedValue])),0)</f>
        <v>0.47162762933545666</v>
      </c>
      <c r="L256" cm="1">
        <f t="array" ref="L256">IFERROR(_xlfn.STDEV.S(IF((OutputTable[GroupByKey]=OutputTable[[#This Row],[GroupByKey]]),(OutputTable[GroupByKey]=OutputTable[[#This Row],[GroupByKey]])*OutputTable[RecordedValue])),0)</f>
        <v>9.6615227076777797E-3</v>
      </c>
      <c r="M256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256" cm="1">
        <f t="array" ref="O256">MIN(IF((OutputTable[GroupByKey]=OutputTable[[#This Row],[GroupByKey]]),(OutputTable[GroupByKey]=OutputTable[[#This Row],[GroupByKey]])*OutputTable[RecordedValue]))</f>
        <v>0.452397944183905</v>
      </c>
      <c r="P256" cm="1">
        <f t="array" ref="P256">MAX(IF((OutputTable[GroupByKey]=OutputTable[[#This Row],[GroupByKey]]),(OutputTable[GroupByKey]=OutputTable[[#This Row],[GroupByKey]])*OutputTable[RecordedValue]))</f>
        <v>0.49691123629694001</v>
      </c>
    </row>
    <row r="257" spans="1:16" x14ac:dyDescent="0.25">
      <c r="A257" t="s">
        <v>68</v>
      </c>
      <c r="B257" t="s">
        <v>131</v>
      </c>
      <c r="C257">
        <v>16</v>
      </c>
      <c r="D257" t="s">
        <v>104</v>
      </c>
      <c r="E257" t="s">
        <v>105</v>
      </c>
      <c r="F257" t="s">
        <v>72</v>
      </c>
      <c r="G257">
        <v>2360</v>
      </c>
      <c r="H257">
        <v>0</v>
      </c>
      <c r="I257" t="str">
        <f>OutputTable[[#This Row],[ProjectName]]&amp;OutputTable[[#This Row],[Name]]&amp;OutputTable[[#This Row],[Type]]&amp;OutputTable[[#This Row],[Source]]</f>
        <v>PacientesEntity 1.NumberInNumber InEntity</v>
      </c>
      <c r="J257" cm="1">
        <f t="array" ref="J257">MAX(IF((ProjectInfoTable[ProjectName]=OutputTable[[#This Row],[ProjectName]]),(ProjectInfoTable[ProjectName]=OutputTable[[#This Row],[ProjectName]])*ProjectInfoTable[NumberOfReplications]))</f>
        <v>50</v>
      </c>
      <c r="K257" cm="1">
        <f t="array" ref="K257">IFERROR(AVERAGE(IF((OutputTable[GroupByKey]=OutputTable[[#This Row],[GroupByKey]]),(OutputTable[GroupByKey]=OutputTable[[#This Row],[GroupByKey]])*OutputTable[RecordedValue])),0)</f>
        <v>2404.8200000000002</v>
      </c>
      <c r="L257" cm="1">
        <f t="array" ref="L257">IFERROR(_xlfn.STDEV.S(IF((OutputTable[GroupByKey]=OutputTable[[#This Row],[GroupByKey]]),(OutputTable[GroupByKey]=OutputTable[[#This Row],[GroupByKey]])*OutputTable[RecordedValue])),0)</f>
        <v>46.42953405595474</v>
      </c>
      <c r="M257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257" cm="1">
        <f t="array" ref="O257">MIN(IF((OutputTable[GroupByKey]=OutputTable[[#This Row],[GroupByKey]]),(OutputTable[GroupByKey]=OutputTable[[#This Row],[GroupByKey]])*OutputTable[RecordedValue]))</f>
        <v>2307</v>
      </c>
      <c r="P257" cm="1">
        <f t="array" ref="P257">MAX(IF((OutputTable[GroupByKey]=OutputTable[[#This Row],[GroupByKey]]),(OutputTable[GroupByKey]=OutputTable[[#This Row],[GroupByKey]])*OutputTable[RecordedValue]))</f>
        <v>2518</v>
      </c>
    </row>
    <row r="258" spans="1:16" x14ac:dyDescent="0.25">
      <c r="A258" t="s">
        <v>68</v>
      </c>
      <c r="B258" t="s">
        <v>131</v>
      </c>
      <c r="C258">
        <v>16</v>
      </c>
      <c r="D258" t="s">
        <v>106</v>
      </c>
      <c r="E258" t="s">
        <v>107</v>
      </c>
      <c r="F258" t="s">
        <v>72</v>
      </c>
      <c r="G258">
        <v>2358</v>
      </c>
      <c r="H258">
        <v>0</v>
      </c>
      <c r="I258" t="str">
        <f>OutputTable[[#This Row],[ProjectName]]&amp;OutputTable[[#This Row],[Name]]&amp;OutputTable[[#This Row],[Type]]&amp;OutputTable[[#This Row],[Source]]</f>
        <v>PacientesEntity 1.NumberOutNumber OutEntity</v>
      </c>
      <c r="J258" cm="1">
        <f t="array" ref="J258">MAX(IF((ProjectInfoTable[ProjectName]=OutputTable[[#This Row],[ProjectName]]),(ProjectInfoTable[ProjectName]=OutputTable[[#This Row],[ProjectName]])*ProjectInfoTable[NumberOfReplications]))</f>
        <v>50</v>
      </c>
      <c r="K258" cm="1">
        <f t="array" ref="K258">IFERROR(AVERAGE(IF((OutputTable[GroupByKey]=OutputTable[[#This Row],[GroupByKey]]),(OutputTable[GroupByKey]=OutputTable[[#This Row],[GroupByKey]])*OutputTable[RecordedValue])),0)</f>
        <v>2400.2800000000002</v>
      </c>
      <c r="L258" cm="1">
        <f t="array" ref="L258">IFERROR(_xlfn.STDEV.S(IF((OutputTable[GroupByKey]=OutputTable[[#This Row],[GroupByKey]]),(OutputTable[GroupByKey]=OutputTable[[#This Row],[GroupByKey]])*OutputTable[RecordedValue])),0)</f>
        <v>46.409024456676619</v>
      </c>
      <c r="M258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58" cm="1">
        <f t="array" ref="O258">MIN(IF((OutputTable[GroupByKey]=OutputTable[[#This Row],[GroupByKey]]),(OutputTable[GroupByKey]=OutputTable[[#This Row],[GroupByKey]])*OutputTable[RecordedValue]))</f>
        <v>2305</v>
      </c>
      <c r="P258" cm="1">
        <f t="array" ref="P258">MAX(IF((OutputTable[GroupByKey]=OutputTable[[#This Row],[GroupByKey]]),(OutputTable[GroupByKey]=OutputTable[[#This Row],[GroupByKey]])*OutputTable[RecordedValue]))</f>
        <v>2504</v>
      </c>
    </row>
    <row r="259" spans="1:16" x14ac:dyDescent="0.25">
      <c r="A259" t="s">
        <v>68</v>
      </c>
      <c r="B259" t="s">
        <v>131</v>
      </c>
      <c r="C259">
        <v>16</v>
      </c>
      <c r="D259" t="s">
        <v>108</v>
      </c>
      <c r="E259" t="s">
        <v>109</v>
      </c>
      <c r="F259" t="s">
        <v>80</v>
      </c>
      <c r="G259">
        <v>1158.8153290908499</v>
      </c>
      <c r="H259">
        <v>0</v>
      </c>
      <c r="I259" t="str">
        <f>OutputTable[[#This Row],[ProjectName]]&amp;OutputTable[[#This Row],[Name]]&amp;OutputTable[[#This Row],[Type]]&amp;OutputTable[[#This Row],[Source]]</f>
        <v>PacientesProcess 2 Accum VA TimeAccum VA TimeProcess</v>
      </c>
      <c r="J259" cm="1">
        <f t="array" ref="J259">MAX(IF((ProjectInfoTable[ProjectName]=OutputTable[[#This Row],[ProjectName]]),(ProjectInfoTable[ProjectName]=OutputTable[[#This Row],[ProjectName]])*ProjectInfoTable[NumberOfReplications]))</f>
        <v>50</v>
      </c>
      <c r="K259" cm="1">
        <f t="array" ref="K259">IFERROR(AVERAGE(IF((OutputTable[GroupByKey]=OutputTable[[#This Row],[GroupByKey]]),(OutputTable[GroupByKey]=OutputTable[[#This Row],[GroupByKey]])*OutputTable[RecordedValue])),0)</f>
        <v>1181.1234936767919</v>
      </c>
      <c r="L259" cm="1">
        <f t="array" ref="L259">IFERROR(_xlfn.STDEV.S(IF((OutputTable[GroupByKey]=OutputTable[[#This Row],[GroupByKey]]),(OutputTable[GroupByKey]=OutputTable[[#This Row],[GroupByKey]])*OutputTable[RecordedValue])),0)</f>
        <v>22.169313666927575</v>
      </c>
      <c r="M259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259" cm="1">
        <f t="array" ref="O259">MIN(IF((OutputTable[GroupByKey]=OutputTable[[#This Row],[GroupByKey]]),(OutputTable[GroupByKey]=OutputTable[[#This Row],[GroupByKey]])*OutputTable[RecordedValue]))</f>
        <v>1133.24622318414</v>
      </c>
      <c r="P259" cm="1">
        <f t="array" ref="P259">MAX(IF((OutputTable[GroupByKey]=OutputTable[[#This Row],[GroupByKey]]),(OutputTable[GroupByKey]=OutputTable[[#This Row],[GroupByKey]])*OutputTable[RecordedValue]))</f>
        <v>1230.9493287309799</v>
      </c>
    </row>
    <row r="260" spans="1:16" x14ac:dyDescent="0.25">
      <c r="A260" t="s">
        <v>68</v>
      </c>
      <c r="B260" t="s">
        <v>131</v>
      </c>
      <c r="C260">
        <v>16</v>
      </c>
      <c r="D260" t="s">
        <v>110</v>
      </c>
      <c r="E260" t="s">
        <v>111</v>
      </c>
      <c r="F260" t="s">
        <v>80</v>
      </c>
      <c r="G260">
        <v>2652.9312393591499</v>
      </c>
      <c r="H260">
        <v>0</v>
      </c>
      <c r="I260" t="str">
        <f>OutputTable[[#This Row],[ProjectName]]&amp;OutputTable[[#This Row],[Name]]&amp;OutputTable[[#This Row],[Type]]&amp;OutputTable[[#This Row],[Source]]</f>
        <v>PacientesProcess 2 Accum Wait TimeAccum Wait TimeProcess</v>
      </c>
      <c r="J260" cm="1">
        <f t="array" ref="J260">MAX(IF((ProjectInfoTable[ProjectName]=OutputTable[[#This Row],[ProjectName]]),(ProjectInfoTable[ProjectName]=OutputTable[[#This Row],[ProjectName]])*ProjectInfoTable[NumberOfReplications]))</f>
        <v>50</v>
      </c>
      <c r="K260" cm="1">
        <f t="array" ref="K260">IFERROR(AVERAGE(IF((OutputTable[GroupByKey]=OutputTable[[#This Row],[GroupByKey]]),(OutputTable[GroupByKey]=OutputTable[[#This Row],[GroupByKey]])*OutputTable[RecordedValue])),0)</f>
        <v>1938.7515507466894</v>
      </c>
      <c r="L260" cm="1">
        <f t="array" ref="L260">IFERROR(_xlfn.STDEV.S(IF((OutputTable[GroupByKey]=OutputTable[[#This Row],[GroupByKey]]),(OutputTable[GroupByKey]=OutputTable[[#This Row],[GroupByKey]])*OutputTable[RecordedValue])),0)</f>
        <v>534.03396241838232</v>
      </c>
      <c r="M260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260" cm="1">
        <f t="array" ref="O260">MIN(IF((OutputTable[GroupByKey]=OutputTable[[#This Row],[GroupByKey]]),(OutputTable[GroupByKey]=OutputTable[[#This Row],[GroupByKey]])*OutputTable[RecordedValue]))</f>
        <v>1234.7567994731401</v>
      </c>
      <c r="P260" cm="1">
        <f t="array" ref="P260">MAX(IF((OutputTable[GroupByKey]=OutputTable[[#This Row],[GroupByKey]]),(OutputTable[GroupByKey]=OutputTable[[#This Row],[GroupByKey]])*OutputTable[RecordedValue]))</f>
        <v>3269.0858002883801</v>
      </c>
    </row>
    <row r="261" spans="1:16" x14ac:dyDescent="0.25">
      <c r="A261" t="s">
        <v>68</v>
      </c>
      <c r="B261" t="s">
        <v>131</v>
      </c>
      <c r="C261">
        <v>16</v>
      </c>
      <c r="D261" t="s">
        <v>112</v>
      </c>
      <c r="E261" t="s">
        <v>105</v>
      </c>
      <c r="F261" t="s">
        <v>80</v>
      </c>
      <c r="G261">
        <v>2359</v>
      </c>
      <c r="H261">
        <v>0</v>
      </c>
      <c r="I261" t="str">
        <f>OutputTable[[#This Row],[ProjectName]]&amp;OutputTable[[#This Row],[Name]]&amp;OutputTable[[#This Row],[Type]]&amp;OutputTable[[#This Row],[Source]]</f>
        <v>PacientesProcess 2 Number InNumber InProcess</v>
      </c>
      <c r="J261" cm="1">
        <f t="array" ref="J261">MAX(IF((ProjectInfoTable[ProjectName]=OutputTable[[#This Row],[ProjectName]]),(ProjectInfoTable[ProjectName]=OutputTable[[#This Row],[ProjectName]])*ProjectInfoTable[NumberOfReplications]))</f>
        <v>50</v>
      </c>
      <c r="K261" cm="1">
        <f t="array" ref="K261">IFERROR(AVERAGE(IF((OutputTable[GroupByKey]=OutputTable[[#This Row],[GroupByKey]]),(OutputTable[GroupByKey]=OutputTable[[#This Row],[GroupByKey]])*OutputTable[RecordedValue])),0)</f>
        <v>2404.2399999999998</v>
      </c>
      <c r="L261" cm="1">
        <f t="array" ref="L261">IFERROR(_xlfn.STDEV.S(IF((OutputTable[GroupByKey]=OutputTable[[#This Row],[GroupByKey]]),(OutputTable[GroupByKey]=OutputTable[[#This Row],[GroupByKey]])*OutputTable[RecordedValue])),0)</f>
        <v>46.574303154053879</v>
      </c>
      <c r="M261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261" cm="1">
        <f t="array" ref="O261">MIN(IF((OutputTable[GroupByKey]=OutputTable[[#This Row],[GroupByKey]]),(OutputTable[GroupByKey]=OutputTable[[#This Row],[GroupByKey]])*OutputTable[RecordedValue]))</f>
        <v>2306</v>
      </c>
      <c r="P261" cm="1">
        <f t="array" ref="P261">MAX(IF((OutputTable[GroupByKey]=OutputTable[[#This Row],[GroupByKey]]),(OutputTable[GroupByKey]=OutputTable[[#This Row],[GroupByKey]])*OutputTable[RecordedValue]))</f>
        <v>2518</v>
      </c>
    </row>
    <row r="262" spans="1:16" x14ac:dyDescent="0.25">
      <c r="A262" t="s">
        <v>68</v>
      </c>
      <c r="B262" t="s">
        <v>131</v>
      </c>
      <c r="C262">
        <v>16</v>
      </c>
      <c r="D262" t="s">
        <v>113</v>
      </c>
      <c r="E262" t="s">
        <v>107</v>
      </c>
      <c r="F262" t="s">
        <v>80</v>
      </c>
      <c r="G262">
        <v>2358</v>
      </c>
      <c r="H262">
        <v>0</v>
      </c>
      <c r="I262" t="str">
        <f>OutputTable[[#This Row],[ProjectName]]&amp;OutputTable[[#This Row],[Name]]&amp;OutputTable[[#This Row],[Type]]&amp;OutputTable[[#This Row],[Source]]</f>
        <v>PacientesProcess 2 Number OutNumber OutProcess</v>
      </c>
      <c r="J262" cm="1">
        <f t="array" ref="J262">MAX(IF((ProjectInfoTable[ProjectName]=OutputTable[[#This Row],[ProjectName]]),(ProjectInfoTable[ProjectName]=OutputTable[[#This Row],[ProjectName]])*ProjectInfoTable[NumberOfReplications]))</f>
        <v>50</v>
      </c>
      <c r="K262" cm="1">
        <f t="array" ref="K262">IFERROR(AVERAGE(IF((OutputTable[GroupByKey]=OutputTable[[#This Row],[GroupByKey]]),(OutputTable[GroupByKey]=OutputTable[[#This Row],[GroupByKey]])*OutputTable[RecordedValue])),0)</f>
        <v>2400.2800000000002</v>
      </c>
      <c r="L262" cm="1">
        <f t="array" ref="L262">IFERROR(_xlfn.STDEV.S(IF((OutputTable[GroupByKey]=OutputTable[[#This Row],[GroupByKey]]),(OutputTable[GroupByKey]=OutputTable[[#This Row],[GroupByKey]])*OutputTable[RecordedValue])),0)</f>
        <v>46.409024456676619</v>
      </c>
      <c r="M262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62" cm="1">
        <f t="array" ref="O262">MIN(IF((OutputTable[GroupByKey]=OutputTable[[#This Row],[GroupByKey]]),(OutputTable[GroupByKey]=OutputTable[[#This Row],[GroupByKey]])*OutputTable[RecordedValue]))</f>
        <v>2305</v>
      </c>
      <c r="P262" cm="1">
        <f t="array" ref="P262">MAX(IF((OutputTable[GroupByKey]=OutputTable[[#This Row],[GroupByKey]]),(OutputTable[GroupByKey]=OutputTable[[#This Row],[GroupByKey]])*OutputTable[RecordedValue]))</f>
        <v>2504</v>
      </c>
    </row>
    <row r="263" spans="1:16" x14ac:dyDescent="0.25">
      <c r="A263" t="s">
        <v>68</v>
      </c>
      <c r="B263" t="s">
        <v>131</v>
      </c>
      <c r="C263">
        <v>16</v>
      </c>
      <c r="D263" t="s">
        <v>114</v>
      </c>
      <c r="E263" t="s">
        <v>109</v>
      </c>
      <c r="F263" t="s">
        <v>80</v>
      </c>
      <c r="G263">
        <v>330.23400131105598</v>
      </c>
      <c r="H263">
        <v>0</v>
      </c>
      <c r="I263" t="str">
        <f>OutputTable[[#This Row],[ProjectName]]&amp;OutputTable[[#This Row],[Name]]&amp;OutputTable[[#This Row],[Type]]&amp;OutputTable[[#This Row],[Source]]</f>
        <v>PacientesRegistro Accum VA TimeAccum VA TimeProcess</v>
      </c>
      <c r="J263" cm="1">
        <f t="array" ref="J263">MAX(IF((ProjectInfoTable[ProjectName]=OutputTable[[#This Row],[ProjectName]]),(ProjectInfoTable[ProjectName]=OutputTable[[#This Row],[ProjectName]])*ProjectInfoTable[NumberOfReplications]))</f>
        <v>50</v>
      </c>
      <c r="K263" cm="1">
        <f t="array" ref="K263">IFERROR(AVERAGE(IF((OutputTable[GroupByKey]=OutputTable[[#This Row],[GroupByKey]]),(OutputTable[GroupByKey]=OutputTable[[#This Row],[GroupByKey]])*OutputTable[RecordedValue])),0)</f>
        <v>339.53547737062786</v>
      </c>
      <c r="L263" cm="1">
        <f t="array" ref="L263">IFERROR(_xlfn.STDEV.S(IF((OutputTable[GroupByKey]=OutputTable[[#This Row],[GroupByKey]]),(OutputTable[GroupByKey]=OutputTable[[#This Row],[GroupByKey]])*OutputTable[RecordedValue])),0)</f>
        <v>6.9723666109353193</v>
      </c>
      <c r="M263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263" cm="1">
        <f t="array" ref="O263">MIN(IF((OutputTable[GroupByKey]=OutputTable[[#This Row],[GroupByKey]]),(OutputTable[GroupByKey]=OutputTable[[#This Row],[GroupByKey]])*OutputTable[RecordedValue]))</f>
        <v>325.606879158418</v>
      </c>
      <c r="P263" cm="1">
        <f t="array" ref="P263">MAX(IF((OutputTable[GroupByKey]=OutputTable[[#This Row],[GroupByKey]]),(OutputTable[GroupByKey]=OutputTable[[#This Row],[GroupByKey]])*OutputTable[RecordedValue]))</f>
        <v>357.77609013379703</v>
      </c>
    </row>
    <row r="264" spans="1:16" x14ac:dyDescent="0.25">
      <c r="A264" t="s">
        <v>68</v>
      </c>
      <c r="B264" t="s">
        <v>131</v>
      </c>
      <c r="C264">
        <v>16</v>
      </c>
      <c r="D264" t="s">
        <v>115</v>
      </c>
      <c r="E264" t="s">
        <v>111</v>
      </c>
      <c r="F264" t="s">
        <v>80</v>
      </c>
      <c r="G264">
        <v>151.828234659651</v>
      </c>
      <c r="H264">
        <v>0</v>
      </c>
      <c r="I264" t="str">
        <f>OutputTable[[#This Row],[ProjectName]]&amp;OutputTable[[#This Row],[Name]]&amp;OutputTable[[#This Row],[Type]]&amp;OutputTable[[#This Row],[Source]]</f>
        <v>PacientesRegistro Accum Wait TimeAccum Wait TimeProcess</v>
      </c>
      <c r="J264" cm="1">
        <f t="array" ref="J264">MAX(IF((ProjectInfoTable[ProjectName]=OutputTable[[#This Row],[ProjectName]]),(ProjectInfoTable[ProjectName]=OutputTable[[#This Row],[ProjectName]])*ProjectInfoTable[NumberOfReplications]))</f>
        <v>50</v>
      </c>
      <c r="K264" cm="1">
        <f t="array" ref="K264">IFERROR(AVERAGE(IF((OutputTable[GroupByKey]=OutputTable[[#This Row],[GroupByKey]]),(OutputTable[GroupByKey]=OutputTable[[#This Row],[GroupByKey]])*OutputTable[RecordedValue])),0)</f>
        <v>154.15303898127775</v>
      </c>
      <c r="L264" cm="1">
        <f t="array" ref="L264">IFERROR(_xlfn.STDEV.S(IF((OutputTable[GroupByKey]=OutputTable[[#This Row],[GroupByKey]]),(OutputTable[GroupByKey]=OutputTable[[#This Row],[GroupByKey]])*OutputTable[RecordedValue])),0)</f>
        <v>12.141439184615397</v>
      </c>
      <c r="M264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264" cm="1">
        <f t="array" ref="O264">MIN(IF((OutputTable[GroupByKey]=OutputTable[[#This Row],[GroupByKey]]),(OutputTable[GroupByKey]=OutputTable[[#This Row],[GroupByKey]])*OutputTable[RecordedValue]))</f>
        <v>123.901613974094</v>
      </c>
      <c r="P264" cm="1">
        <f t="array" ref="P264">MAX(IF((OutputTable[GroupByKey]=OutputTable[[#This Row],[GroupByKey]]),(OutputTable[GroupByKey]=OutputTable[[#This Row],[GroupByKey]])*OutputTable[RecordedValue]))</f>
        <v>178.441307284473</v>
      </c>
    </row>
    <row r="265" spans="1:16" x14ac:dyDescent="0.25">
      <c r="A265" t="s">
        <v>68</v>
      </c>
      <c r="B265" t="s">
        <v>131</v>
      </c>
      <c r="C265">
        <v>16</v>
      </c>
      <c r="D265" t="s">
        <v>116</v>
      </c>
      <c r="E265" t="s">
        <v>105</v>
      </c>
      <c r="F265" t="s">
        <v>80</v>
      </c>
      <c r="G265">
        <v>2212</v>
      </c>
      <c r="H265">
        <v>0</v>
      </c>
      <c r="I265" t="str">
        <f>OutputTable[[#This Row],[ProjectName]]&amp;OutputTable[[#This Row],[Name]]&amp;OutputTable[[#This Row],[Type]]&amp;OutputTable[[#This Row],[Source]]</f>
        <v>PacientesRegistro Number InNumber InProcess</v>
      </c>
      <c r="J265" cm="1">
        <f t="array" ref="J265">MAX(IF((ProjectInfoTable[ProjectName]=OutputTable[[#This Row],[ProjectName]]),(ProjectInfoTable[ProjectName]=OutputTable[[#This Row],[ProjectName]])*ProjectInfoTable[NumberOfReplications]))</f>
        <v>50</v>
      </c>
      <c r="K265" cm="1">
        <f t="array" ref="K265">IFERROR(AVERAGE(IF((OutputTable[GroupByKey]=OutputTable[[#This Row],[GroupByKey]]),(OutputTable[GroupByKey]=OutputTable[[#This Row],[GroupByKey]])*OutputTable[RecordedValue])),0)</f>
        <v>2263.2399999999998</v>
      </c>
      <c r="L265" cm="1">
        <f t="array" ref="L265">IFERROR(_xlfn.STDEV.S(IF((OutputTable[GroupByKey]=OutputTable[[#This Row],[GroupByKey]]),(OutputTable[GroupByKey]=OutputTable[[#This Row],[GroupByKey]])*OutputTable[RecordedValue])),0)</f>
        <v>47.331035682472766</v>
      </c>
      <c r="M26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265" cm="1">
        <f t="array" ref="O265">MIN(IF((OutputTable[GroupByKey]=OutputTable[[#This Row],[GroupByKey]]),(OutputTable[GroupByKey]=OutputTable[[#This Row],[GroupByKey]])*OutputTable[RecordedValue]))</f>
        <v>2172</v>
      </c>
      <c r="P265" cm="1">
        <f t="array" ref="P265">MAX(IF((OutputTable[GroupByKey]=OutputTable[[#This Row],[GroupByKey]]),(OutputTable[GroupByKey]=OutputTable[[#This Row],[GroupByKey]])*OutputTable[RecordedValue]))</f>
        <v>2386</v>
      </c>
    </row>
    <row r="266" spans="1:16" x14ac:dyDescent="0.25">
      <c r="A266" t="s">
        <v>68</v>
      </c>
      <c r="B266" t="s">
        <v>131</v>
      </c>
      <c r="C266">
        <v>16</v>
      </c>
      <c r="D266" t="s">
        <v>117</v>
      </c>
      <c r="E266" t="s">
        <v>107</v>
      </c>
      <c r="F266" t="s">
        <v>80</v>
      </c>
      <c r="G266">
        <v>2211</v>
      </c>
      <c r="H266">
        <v>0</v>
      </c>
      <c r="I266" t="str">
        <f>OutputTable[[#This Row],[ProjectName]]&amp;OutputTable[[#This Row],[Name]]&amp;OutputTable[[#This Row],[Type]]&amp;OutputTable[[#This Row],[Source]]</f>
        <v>PacientesRegistro Number OutNumber OutProcess</v>
      </c>
      <c r="J266" cm="1">
        <f t="array" ref="J266">MAX(IF((ProjectInfoTable[ProjectName]=OutputTable[[#This Row],[ProjectName]]),(ProjectInfoTable[ProjectName]=OutputTable[[#This Row],[ProjectName]])*ProjectInfoTable[NumberOfReplications]))</f>
        <v>50</v>
      </c>
      <c r="K266" cm="1">
        <f t="array" ref="K266">IFERROR(AVERAGE(IF((OutputTable[GroupByKey]=OutputTable[[#This Row],[GroupByKey]]),(OutputTable[GroupByKey]=OutputTable[[#This Row],[GroupByKey]])*OutputTable[RecordedValue])),0)</f>
        <v>2262.66</v>
      </c>
      <c r="L266" cm="1">
        <f t="array" ref="L266">IFERROR(_xlfn.STDEV.S(IF((OutputTable[GroupByKey]=OutputTable[[#This Row],[GroupByKey]]),(OutputTable[GroupByKey]=OutputTable[[#This Row],[GroupByKey]])*OutputTable[RecordedValue])),0)</f>
        <v>47.488176831454687</v>
      </c>
      <c r="M266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266" cm="1">
        <f t="array" ref="O266">MIN(IF((OutputTable[GroupByKey]=OutputTable[[#This Row],[GroupByKey]]),(OutputTable[GroupByKey]=OutputTable[[#This Row],[GroupByKey]])*OutputTable[RecordedValue]))</f>
        <v>2171</v>
      </c>
      <c r="P266" cm="1">
        <f t="array" ref="P266">MAX(IF((OutputTable[GroupByKey]=OutputTable[[#This Row],[GroupByKey]]),(OutputTable[GroupByKey]=OutputTable[[#This Row],[GroupByKey]])*OutputTable[RecordedValue]))</f>
        <v>2386</v>
      </c>
    </row>
    <row r="267" spans="1:16" x14ac:dyDescent="0.25">
      <c r="A267" t="s">
        <v>68</v>
      </c>
      <c r="B267" t="s">
        <v>131</v>
      </c>
      <c r="C267">
        <v>16</v>
      </c>
      <c r="D267" t="s">
        <v>118</v>
      </c>
      <c r="E267" t="s">
        <v>107</v>
      </c>
      <c r="F267" t="s">
        <v>119</v>
      </c>
      <c r="G267">
        <v>2358</v>
      </c>
      <c r="H267">
        <v>0</v>
      </c>
      <c r="I267" t="str">
        <f>OutputTable[[#This Row],[ProjectName]]&amp;OutputTable[[#This Row],[Name]]&amp;OutputTable[[#This Row],[Type]]&amp;OutputTable[[#This Row],[Source]]</f>
        <v>PacientesSystem.NumberOutNumber OutSystem</v>
      </c>
      <c r="J267" cm="1">
        <f t="array" ref="J267">MAX(IF((ProjectInfoTable[ProjectName]=OutputTable[[#This Row],[ProjectName]]),(ProjectInfoTable[ProjectName]=OutputTable[[#This Row],[ProjectName]])*ProjectInfoTable[NumberOfReplications]))</f>
        <v>50</v>
      </c>
      <c r="K267" cm="1">
        <f t="array" ref="K267">IFERROR(AVERAGE(IF((OutputTable[GroupByKey]=OutputTable[[#This Row],[GroupByKey]]),(OutputTable[GroupByKey]=OutputTable[[#This Row],[GroupByKey]])*OutputTable[RecordedValue])),0)</f>
        <v>2400.2800000000002</v>
      </c>
      <c r="L267" cm="1">
        <f t="array" ref="L267">IFERROR(_xlfn.STDEV.S(IF((OutputTable[GroupByKey]=OutputTable[[#This Row],[GroupByKey]]),(OutputTable[GroupByKey]=OutputTable[[#This Row],[GroupByKey]])*OutputTable[RecordedValue])),0)</f>
        <v>46.409024456676619</v>
      </c>
      <c r="M267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67" cm="1">
        <f t="array" ref="O267">MIN(IF((OutputTable[GroupByKey]=OutputTable[[#This Row],[GroupByKey]]),(OutputTable[GroupByKey]=OutputTable[[#This Row],[GroupByKey]])*OutputTable[RecordedValue]))</f>
        <v>2305</v>
      </c>
      <c r="P267" cm="1">
        <f t="array" ref="P267">MAX(IF((OutputTable[GroupByKey]=OutputTable[[#This Row],[GroupByKey]]),(OutputTable[GroupByKey]=OutputTable[[#This Row],[GroupByKey]])*OutputTable[RecordedValue]))</f>
        <v>2504</v>
      </c>
    </row>
    <row r="268" spans="1:16" x14ac:dyDescent="0.25">
      <c r="A268" t="s">
        <v>68</v>
      </c>
      <c r="B268" t="s">
        <v>131</v>
      </c>
      <c r="C268">
        <v>16</v>
      </c>
      <c r="D268" t="s">
        <v>120</v>
      </c>
      <c r="E268" t="s">
        <v>121</v>
      </c>
      <c r="F268" t="s">
        <v>99</v>
      </c>
      <c r="G268">
        <v>2359</v>
      </c>
      <c r="H268">
        <v>0</v>
      </c>
      <c r="I268" t="str">
        <f>OutputTable[[#This Row],[ProjectName]]&amp;OutputTable[[#This Row],[Name]]&amp;OutputTable[[#This Row],[Type]]&amp;OutputTable[[#This Row],[Source]]</f>
        <v>PacientesrCamas.NumberSeizedTotal Number SeizedResource</v>
      </c>
      <c r="J268" cm="1">
        <f t="array" ref="J268">MAX(IF((ProjectInfoTable[ProjectName]=OutputTable[[#This Row],[ProjectName]]),(ProjectInfoTable[ProjectName]=OutputTable[[#This Row],[ProjectName]])*ProjectInfoTable[NumberOfReplications]))</f>
        <v>50</v>
      </c>
      <c r="K268" cm="1">
        <f t="array" ref="K268">IFERROR(AVERAGE(IF((OutputTable[GroupByKey]=OutputTable[[#This Row],[GroupByKey]]),(OutputTable[GroupByKey]=OutputTable[[#This Row],[GroupByKey]])*OutputTable[RecordedValue])),0)</f>
        <v>2401.9</v>
      </c>
      <c r="L268" cm="1">
        <f t="array" ref="L268">IFERROR(_xlfn.STDEV.S(IF((OutputTable[GroupByKey]=OutputTable[[#This Row],[GroupByKey]]),(OutputTable[GroupByKey]=OutputTable[[#This Row],[GroupByKey]])*OutputTable[RecordedValue])),0)</f>
        <v>46.417031532903209</v>
      </c>
      <c r="M268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68" cm="1">
        <f t="array" ref="O268">MIN(IF((OutputTable[GroupByKey]=OutputTable[[#This Row],[GroupByKey]]),(OutputTable[GroupByKey]=OutputTable[[#This Row],[GroupByKey]])*OutputTable[RecordedValue]))</f>
        <v>2306</v>
      </c>
      <c r="P268" cm="1">
        <f t="array" ref="P268">MAX(IF((OutputTable[GroupByKey]=OutputTable[[#This Row],[GroupByKey]]),(OutputTable[GroupByKey]=OutputTable[[#This Row],[GroupByKey]])*OutputTable[RecordedValue]))</f>
        <v>2506</v>
      </c>
    </row>
    <row r="269" spans="1:16" x14ac:dyDescent="0.25">
      <c r="A269" t="s">
        <v>68</v>
      </c>
      <c r="B269" t="s">
        <v>131</v>
      </c>
      <c r="C269">
        <v>16</v>
      </c>
      <c r="D269" t="s">
        <v>122</v>
      </c>
      <c r="E269" t="s">
        <v>123</v>
      </c>
      <c r="F269" t="s">
        <v>99</v>
      </c>
      <c r="G269">
        <v>0.53652139538430099</v>
      </c>
      <c r="H269">
        <v>0</v>
      </c>
      <c r="I269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269" cm="1">
        <f t="array" ref="J269">MAX(IF((ProjectInfoTable[ProjectName]=OutputTable[[#This Row],[ProjectName]]),(ProjectInfoTable[ProjectName]=OutputTable[[#This Row],[ProjectName]])*ProjectInfoTable[NumberOfReplications]))</f>
        <v>50</v>
      </c>
      <c r="K269" cm="1">
        <f t="array" ref="K269">IFERROR(AVERAGE(IF((OutputTable[GroupByKey]=OutputTable[[#This Row],[GroupByKey]]),(OutputTable[GroupByKey]=OutputTable[[#This Row],[GroupByKey]])*OutputTable[RecordedValue])),0)</f>
        <v>0.54703961359050601</v>
      </c>
      <c r="L269" cm="1">
        <f t="array" ref="L269">IFERROR(_xlfn.STDEV.S(IF((OutputTable[GroupByKey]=OutputTable[[#This Row],[GroupByKey]]),(OutputTable[GroupByKey]=OutputTable[[#This Row],[GroupByKey]])*OutputTable[RecordedValue])),0)</f>
        <v>1.0221170008030479E-2</v>
      </c>
      <c r="M269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269" cm="1">
        <f t="array" ref="O269">MIN(IF((OutputTable[GroupByKey]=OutputTable[[#This Row],[GroupByKey]]),(OutputTable[GroupByKey]=OutputTable[[#This Row],[GroupByKey]])*OutputTable[RecordedValue]))</f>
        <v>0.52470641844357901</v>
      </c>
      <c r="P269" cm="1">
        <f t="array" ref="P269">MAX(IF((OutputTable[GroupByKey]=OutputTable[[#This Row],[GroupByKey]]),(OutputTable[GroupByKey]=OutputTable[[#This Row],[GroupByKey]])*OutputTable[RecordedValue]))</f>
        <v>0.57005812966092295</v>
      </c>
    </row>
    <row r="270" spans="1:16" x14ac:dyDescent="0.25">
      <c r="A270" t="s">
        <v>68</v>
      </c>
      <c r="B270" t="s">
        <v>131</v>
      </c>
      <c r="C270">
        <v>16</v>
      </c>
      <c r="D270" t="s">
        <v>124</v>
      </c>
      <c r="E270" t="s">
        <v>121</v>
      </c>
      <c r="F270" t="s">
        <v>99</v>
      </c>
      <c r="G270">
        <v>2359</v>
      </c>
      <c r="H270">
        <v>0</v>
      </c>
      <c r="I270" t="str">
        <f>OutputTable[[#This Row],[ProjectName]]&amp;OutputTable[[#This Row],[Name]]&amp;OutputTable[[#This Row],[Type]]&amp;OutputTable[[#This Row],[Source]]</f>
        <v>PacientesrMedico.NumberSeizedTotal Number SeizedResource</v>
      </c>
      <c r="J270" cm="1">
        <f t="array" ref="J270">MAX(IF((ProjectInfoTable[ProjectName]=OutputTable[[#This Row],[ProjectName]]),(ProjectInfoTable[ProjectName]=OutputTable[[#This Row],[ProjectName]])*ProjectInfoTable[NumberOfReplications]))</f>
        <v>50</v>
      </c>
      <c r="K270" cm="1">
        <f t="array" ref="K270">IFERROR(AVERAGE(IF((OutputTable[GroupByKey]=OutputTable[[#This Row],[GroupByKey]]),(OutputTable[GroupByKey]=OutputTable[[#This Row],[GroupByKey]])*OutputTable[RecordedValue])),0)</f>
        <v>2401.9</v>
      </c>
      <c r="L270" cm="1">
        <f t="array" ref="L270">IFERROR(_xlfn.STDEV.S(IF((OutputTable[GroupByKey]=OutputTable[[#This Row],[GroupByKey]]),(OutputTable[GroupByKey]=OutputTable[[#This Row],[GroupByKey]])*OutputTable[RecordedValue])),0)</f>
        <v>46.417031532903209</v>
      </c>
      <c r="M270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70" cm="1">
        <f t="array" ref="O270">MIN(IF((OutputTable[GroupByKey]=OutputTable[[#This Row],[GroupByKey]]),(OutputTable[GroupByKey]=OutputTable[[#This Row],[GroupByKey]])*OutputTable[RecordedValue]))</f>
        <v>2306</v>
      </c>
      <c r="P270" cm="1">
        <f t="array" ref="P270">MAX(IF((OutputTable[GroupByKey]=OutputTable[[#This Row],[GroupByKey]]),(OutputTable[GroupByKey]=OutputTable[[#This Row],[GroupByKey]])*OutputTable[RecordedValue]))</f>
        <v>2506</v>
      </c>
    </row>
    <row r="271" spans="1:16" x14ac:dyDescent="0.25">
      <c r="A271" t="s">
        <v>68</v>
      </c>
      <c r="B271" t="s">
        <v>131</v>
      </c>
      <c r="C271">
        <v>16</v>
      </c>
      <c r="D271" t="s">
        <v>125</v>
      </c>
      <c r="E271" t="s">
        <v>123</v>
      </c>
      <c r="F271" t="s">
        <v>99</v>
      </c>
      <c r="G271">
        <v>0.80478209307645199</v>
      </c>
      <c r="H271">
        <v>0</v>
      </c>
      <c r="I271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271" cm="1">
        <f t="array" ref="J271">MAX(IF((ProjectInfoTable[ProjectName]=OutputTable[[#This Row],[ProjectName]]),(ProjectInfoTable[ProjectName]=OutputTable[[#This Row],[ProjectName]])*ProjectInfoTable[NumberOfReplications]))</f>
        <v>50</v>
      </c>
      <c r="K271" cm="1">
        <f t="array" ref="K271">IFERROR(AVERAGE(IF((OutputTable[GroupByKey]=OutputTable[[#This Row],[GroupByKey]]),(OutputTable[GroupByKey]=OutputTable[[#This Row],[GroupByKey]])*OutputTable[RecordedValue])),0)</f>
        <v>0.82055942038575935</v>
      </c>
      <c r="L271" cm="1">
        <f t="array" ref="L271">IFERROR(_xlfn.STDEV.S(IF((OutputTable[GroupByKey]=OutputTable[[#This Row],[GroupByKey]]),(OutputTable[GroupByKey]=OutputTable[[#This Row],[GroupByKey]])*OutputTable[RecordedValue])),0)</f>
        <v>1.5331755012045719E-2</v>
      </c>
      <c r="M271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271" cm="1">
        <f t="array" ref="O271">MIN(IF((OutputTable[GroupByKey]=OutputTable[[#This Row],[GroupByKey]]),(OutputTable[GroupByKey]=OutputTable[[#This Row],[GroupByKey]])*OutputTable[RecordedValue]))</f>
        <v>0.78705962766536897</v>
      </c>
      <c r="P271" cm="1">
        <f t="array" ref="P271">MAX(IF((OutputTable[GroupByKey]=OutputTable[[#This Row],[GroupByKey]]),(OutputTable[GroupByKey]=OutputTable[[#This Row],[GroupByKey]])*OutputTable[RecordedValue]))</f>
        <v>0.85508719449138504</v>
      </c>
    </row>
    <row r="272" spans="1:16" x14ac:dyDescent="0.25">
      <c r="A272" t="s">
        <v>68</v>
      </c>
      <c r="B272" t="s">
        <v>131</v>
      </c>
      <c r="C272">
        <v>16</v>
      </c>
      <c r="D272" t="s">
        <v>126</v>
      </c>
      <c r="E272" t="s">
        <v>121</v>
      </c>
      <c r="F272" t="s">
        <v>99</v>
      </c>
      <c r="G272">
        <v>2212</v>
      </c>
      <c r="H272">
        <v>0</v>
      </c>
      <c r="I272" t="str">
        <f>OutputTable[[#This Row],[ProjectName]]&amp;OutputTable[[#This Row],[Name]]&amp;OutputTable[[#This Row],[Type]]&amp;OutputTable[[#This Row],[Source]]</f>
        <v>PacientesrRegistradora.NumberSeizedTotal Number SeizedResource</v>
      </c>
      <c r="J272" cm="1">
        <f t="array" ref="J272">MAX(IF((ProjectInfoTable[ProjectName]=OutputTable[[#This Row],[ProjectName]]),(ProjectInfoTable[ProjectName]=OutputTable[[#This Row],[ProjectName]])*ProjectInfoTable[NumberOfReplications]))</f>
        <v>50</v>
      </c>
      <c r="K272" cm="1">
        <f t="array" ref="K272">IFERROR(AVERAGE(IF((OutputTable[GroupByKey]=OutputTable[[#This Row],[GroupByKey]]),(OutputTable[GroupByKey]=OutputTable[[#This Row],[GroupByKey]])*OutputTable[RecordedValue])),0)</f>
        <v>2263.14</v>
      </c>
      <c r="L272" cm="1">
        <f t="array" ref="L272">IFERROR(_xlfn.STDEV.S(IF((OutputTable[GroupByKey]=OutputTable[[#This Row],[GroupByKey]]),(OutputTable[GroupByKey]=OutputTable[[#This Row],[GroupByKey]])*OutputTable[RecordedValue])),0)</f>
        <v>47.386818971575821</v>
      </c>
      <c r="M272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272" cm="1">
        <f t="array" ref="O272">MIN(IF((OutputTable[GroupByKey]=OutputTable[[#This Row],[GroupByKey]]),(OutputTable[GroupByKey]=OutputTable[[#This Row],[GroupByKey]])*OutputTable[RecordedValue]))</f>
        <v>2172</v>
      </c>
      <c r="P272" cm="1">
        <f t="array" ref="P272">MAX(IF((OutputTable[GroupByKey]=OutputTable[[#This Row],[GroupByKey]]),(OutputTable[GroupByKey]=OutputTable[[#This Row],[GroupByKey]])*OutputTable[RecordedValue]))</f>
        <v>2386</v>
      </c>
    </row>
    <row r="273" spans="1:16" x14ac:dyDescent="0.25">
      <c r="A273" t="s">
        <v>68</v>
      </c>
      <c r="B273" t="s">
        <v>131</v>
      </c>
      <c r="C273">
        <v>16</v>
      </c>
      <c r="D273" t="s">
        <v>127</v>
      </c>
      <c r="E273" t="s">
        <v>123</v>
      </c>
      <c r="F273" t="s">
        <v>99</v>
      </c>
      <c r="G273">
        <v>0.45875678645874901</v>
      </c>
      <c r="H273">
        <v>0</v>
      </c>
      <c r="I273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273" cm="1">
        <f t="array" ref="J273">MAX(IF((ProjectInfoTable[ProjectName]=OutputTable[[#This Row],[ProjectName]]),(ProjectInfoTable[ProjectName]=OutputTable[[#This Row],[ProjectName]])*ProjectInfoTable[NumberOfReplications]))</f>
        <v>50</v>
      </c>
      <c r="K273" cm="1">
        <f t="array" ref="K273">IFERROR(AVERAGE(IF((OutputTable[GroupByKey]=OutputTable[[#This Row],[GroupByKey]]),(OutputTable[GroupByKey]=OutputTable[[#This Row],[GroupByKey]])*OutputTable[RecordedValue])),0)</f>
        <v>0.47162762933545666</v>
      </c>
      <c r="L273" cm="1">
        <f t="array" ref="L273">IFERROR(_xlfn.STDEV.S(IF((OutputTable[GroupByKey]=OutputTable[[#This Row],[GroupByKey]]),(OutputTable[GroupByKey]=OutputTable[[#This Row],[GroupByKey]])*OutputTable[RecordedValue])),0)</f>
        <v>9.6615227076777797E-3</v>
      </c>
      <c r="M273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273" cm="1">
        <f t="array" ref="O273">MIN(IF((OutputTable[GroupByKey]=OutputTable[[#This Row],[GroupByKey]]),(OutputTable[GroupByKey]=OutputTable[[#This Row],[GroupByKey]])*OutputTable[RecordedValue]))</f>
        <v>0.452397944183905</v>
      </c>
      <c r="P273" cm="1">
        <f t="array" ref="P273">MAX(IF((OutputTable[GroupByKey]=OutputTable[[#This Row],[GroupByKey]]),(OutputTable[GroupByKey]=OutputTable[[#This Row],[GroupByKey]])*OutputTable[RecordedValue]))</f>
        <v>0.49691123629694001</v>
      </c>
    </row>
    <row r="274" spans="1:16" x14ac:dyDescent="0.25">
      <c r="A274" t="s">
        <v>68</v>
      </c>
      <c r="B274" t="s">
        <v>131</v>
      </c>
      <c r="C274">
        <v>17</v>
      </c>
      <c r="D274" t="s">
        <v>104</v>
      </c>
      <c r="E274" t="s">
        <v>105</v>
      </c>
      <c r="F274" t="s">
        <v>72</v>
      </c>
      <c r="G274">
        <v>2384</v>
      </c>
      <c r="H274">
        <v>0</v>
      </c>
      <c r="I274" t="str">
        <f>OutputTable[[#This Row],[ProjectName]]&amp;OutputTable[[#This Row],[Name]]&amp;OutputTable[[#This Row],[Type]]&amp;OutputTable[[#This Row],[Source]]</f>
        <v>PacientesEntity 1.NumberInNumber InEntity</v>
      </c>
      <c r="J274" cm="1">
        <f t="array" ref="J274">MAX(IF((ProjectInfoTable[ProjectName]=OutputTable[[#This Row],[ProjectName]]),(ProjectInfoTable[ProjectName]=OutputTable[[#This Row],[ProjectName]])*ProjectInfoTable[NumberOfReplications]))</f>
        <v>50</v>
      </c>
      <c r="K274" cm="1">
        <f t="array" ref="K274">IFERROR(AVERAGE(IF((OutputTable[GroupByKey]=OutputTable[[#This Row],[GroupByKey]]),(OutputTable[GroupByKey]=OutputTable[[#This Row],[GroupByKey]])*OutputTable[RecordedValue])),0)</f>
        <v>2404.8200000000002</v>
      </c>
      <c r="L274" cm="1">
        <f t="array" ref="L274">IFERROR(_xlfn.STDEV.S(IF((OutputTable[GroupByKey]=OutputTable[[#This Row],[GroupByKey]]),(OutputTable[GroupByKey]=OutputTable[[#This Row],[GroupByKey]])*OutputTable[RecordedValue])),0)</f>
        <v>46.42953405595474</v>
      </c>
      <c r="M274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274" cm="1">
        <f t="array" ref="O274">MIN(IF((OutputTable[GroupByKey]=OutputTable[[#This Row],[GroupByKey]]),(OutputTable[GroupByKey]=OutputTable[[#This Row],[GroupByKey]])*OutputTable[RecordedValue]))</f>
        <v>2307</v>
      </c>
      <c r="P274" cm="1">
        <f t="array" ref="P274">MAX(IF((OutputTable[GroupByKey]=OutputTable[[#This Row],[GroupByKey]]),(OutputTable[GroupByKey]=OutputTable[[#This Row],[GroupByKey]])*OutputTable[RecordedValue]))</f>
        <v>2518</v>
      </c>
    </row>
    <row r="275" spans="1:16" x14ac:dyDescent="0.25">
      <c r="A275" t="s">
        <v>68</v>
      </c>
      <c r="B275" t="s">
        <v>131</v>
      </c>
      <c r="C275">
        <v>17</v>
      </c>
      <c r="D275" t="s">
        <v>106</v>
      </c>
      <c r="E275" t="s">
        <v>107</v>
      </c>
      <c r="F275" t="s">
        <v>72</v>
      </c>
      <c r="G275">
        <v>2381</v>
      </c>
      <c r="H275">
        <v>0</v>
      </c>
      <c r="I275" t="str">
        <f>OutputTable[[#This Row],[ProjectName]]&amp;OutputTable[[#This Row],[Name]]&amp;OutputTable[[#This Row],[Type]]&amp;OutputTable[[#This Row],[Source]]</f>
        <v>PacientesEntity 1.NumberOutNumber OutEntity</v>
      </c>
      <c r="J275" cm="1">
        <f t="array" ref="J275">MAX(IF((ProjectInfoTable[ProjectName]=OutputTable[[#This Row],[ProjectName]]),(ProjectInfoTable[ProjectName]=OutputTable[[#This Row],[ProjectName]])*ProjectInfoTable[NumberOfReplications]))</f>
        <v>50</v>
      </c>
      <c r="K275" cm="1">
        <f t="array" ref="K275">IFERROR(AVERAGE(IF((OutputTable[GroupByKey]=OutputTable[[#This Row],[GroupByKey]]),(OutputTable[GroupByKey]=OutputTable[[#This Row],[GroupByKey]])*OutputTable[RecordedValue])),0)</f>
        <v>2400.2800000000002</v>
      </c>
      <c r="L275" cm="1">
        <f t="array" ref="L275">IFERROR(_xlfn.STDEV.S(IF((OutputTable[GroupByKey]=OutputTable[[#This Row],[GroupByKey]]),(OutputTable[GroupByKey]=OutputTable[[#This Row],[GroupByKey]])*OutputTable[RecordedValue])),0)</f>
        <v>46.409024456676619</v>
      </c>
      <c r="M27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75" cm="1">
        <f t="array" ref="O275">MIN(IF((OutputTable[GroupByKey]=OutputTable[[#This Row],[GroupByKey]]),(OutputTable[GroupByKey]=OutputTable[[#This Row],[GroupByKey]])*OutputTable[RecordedValue]))</f>
        <v>2305</v>
      </c>
      <c r="P275" cm="1">
        <f t="array" ref="P275">MAX(IF((OutputTable[GroupByKey]=OutputTable[[#This Row],[GroupByKey]]),(OutputTable[GroupByKey]=OutputTable[[#This Row],[GroupByKey]])*OutputTable[RecordedValue]))</f>
        <v>2504</v>
      </c>
    </row>
    <row r="276" spans="1:16" x14ac:dyDescent="0.25">
      <c r="A276" t="s">
        <v>68</v>
      </c>
      <c r="B276" t="s">
        <v>131</v>
      </c>
      <c r="C276">
        <v>17</v>
      </c>
      <c r="D276" t="s">
        <v>108</v>
      </c>
      <c r="E276" t="s">
        <v>109</v>
      </c>
      <c r="F276" t="s">
        <v>80</v>
      </c>
      <c r="G276">
        <v>1174.5115810949401</v>
      </c>
      <c r="H276">
        <v>0</v>
      </c>
      <c r="I276" t="str">
        <f>OutputTable[[#This Row],[ProjectName]]&amp;OutputTable[[#This Row],[Name]]&amp;OutputTable[[#This Row],[Type]]&amp;OutputTable[[#This Row],[Source]]</f>
        <v>PacientesProcess 2 Accum VA TimeAccum VA TimeProcess</v>
      </c>
      <c r="J276" cm="1">
        <f t="array" ref="J276">MAX(IF((ProjectInfoTable[ProjectName]=OutputTable[[#This Row],[ProjectName]]),(ProjectInfoTable[ProjectName]=OutputTable[[#This Row],[ProjectName]])*ProjectInfoTable[NumberOfReplications]))</f>
        <v>50</v>
      </c>
      <c r="K276" cm="1">
        <f t="array" ref="K276">IFERROR(AVERAGE(IF((OutputTable[GroupByKey]=OutputTable[[#This Row],[GroupByKey]]),(OutputTable[GroupByKey]=OutputTable[[#This Row],[GroupByKey]])*OutputTable[RecordedValue])),0)</f>
        <v>1181.1234936767919</v>
      </c>
      <c r="L276" cm="1">
        <f t="array" ref="L276">IFERROR(_xlfn.STDEV.S(IF((OutputTable[GroupByKey]=OutputTable[[#This Row],[GroupByKey]]),(OutputTable[GroupByKey]=OutputTable[[#This Row],[GroupByKey]])*OutputTable[RecordedValue])),0)</f>
        <v>22.169313666927575</v>
      </c>
      <c r="M276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276" cm="1">
        <f t="array" ref="O276">MIN(IF((OutputTable[GroupByKey]=OutputTable[[#This Row],[GroupByKey]]),(OutputTable[GroupByKey]=OutputTable[[#This Row],[GroupByKey]])*OutputTable[RecordedValue]))</f>
        <v>1133.24622318414</v>
      </c>
      <c r="P276" cm="1">
        <f t="array" ref="P276">MAX(IF((OutputTable[GroupByKey]=OutputTable[[#This Row],[GroupByKey]]),(OutputTable[GroupByKey]=OutputTable[[#This Row],[GroupByKey]])*OutputTable[RecordedValue]))</f>
        <v>1230.9493287309799</v>
      </c>
    </row>
    <row r="277" spans="1:16" x14ac:dyDescent="0.25">
      <c r="A277" t="s">
        <v>68</v>
      </c>
      <c r="B277" t="s">
        <v>131</v>
      </c>
      <c r="C277">
        <v>17</v>
      </c>
      <c r="D277" t="s">
        <v>110</v>
      </c>
      <c r="E277" t="s">
        <v>111</v>
      </c>
      <c r="F277" t="s">
        <v>80</v>
      </c>
      <c r="G277">
        <v>1595.21096721508</v>
      </c>
      <c r="H277">
        <v>0</v>
      </c>
      <c r="I277" t="str">
        <f>OutputTable[[#This Row],[ProjectName]]&amp;OutputTable[[#This Row],[Name]]&amp;OutputTable[[#This Row],[Type]]&amp;OutputTable[[#This Row],[Source]]</f>
        <v>PacientesProcess 2 Accum Wait TimeAccum Wait TimeProcess</v>
      </c>
      <c r="J277" cm="1">
        <f t="array" ref="J277">MAX(IF((ProjectInfoTable[ProjectName]=OutputTable[[#This Row],[ProjectName]]),(ProjectInfoTable[ProjectName]=OutputTable[[#This Row],[ProjectName]])*ProjectInfoTable[NumberOfReplications]))</f>
        <v>50</v>
      </c>
      <c r="K277" cm="1">
        <f t="array" ref="K277">IFERROR(AVERAGE(IF((OutputTable[GroupByKey]=OutputTable[[#This Row],[GroupByKey]]),(OutputTable[GroupByKey]=OutputTable[[#This Row],[GroupByKey]])*OutputTable[RecordedValue])),0)</f>
        <v>1938.7515507466894</v>
      </c>
      <c r="L277" cm="1">
        <f t="array" ref="L277">IFERROR(_xlfn.STDEV.S(IF((OutputTable[GroupByKey]=OutputTable[[#This Row],[GroupByKey]]),(OutputTable[GroupByKey]=OutputTable[[#This Row],[GroupByKey]])*OutputTable[RecordedValue])),0)</f>
        <v>534.03396241838232</v>
      </c>
      <c r="M277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277" cm="1">
        <f t="array" ref="O277">MIN(IF((OutputTable[GroupByKey]=OutputTable[[#This Row],[GroupByKey]]),(OutputTable[GroupByKey]=OutputTable[[#This Row],[GroupByKey]])*OutputTable[RecordedValue]))</f>
        <v>1234.7567994731401</v>
      </c>
      <c r="P277" cm="1">
        <f t="array" ref="P277">MAX(IF((OutputTable[GroupByKey]=OutputTable[[#This Row],[GroupByKey]]),(OutputTable[GroupByKey]=OutputTable[[#This Row],[GroupByKey]])*OutputTable[RecordedValue]))</f>
        <v>3269.0858002883801</v>
      </c>
    </row>
    <row r="278" spans="1:16" x14ac:dyDescent="0.25">
      <c r="A278" t="s">
        <v>68</v>
      </c>
      <c r="B278" t="s">
        <v>131</v>
      </c>
      <c r="C278">
        <v>17</v>
      </c>
      <c r="D278" t="s">
        <v>112</v>
      </c>
      <c r="E278" t="s">
        <v>105</v>
      </c>
      <c r="F278" t="s">
        <v>80</v>
      </c>
      <c r="G278">
        <v>2384</v>
      </c>
      <c r="H278">
        <v>0</v>
      </c>
      <c r="I278" t="str">
        <f>OutputTable[[#This Row],[ProjectName]]&amp;OutputTable[[#This Row],[Name]]&amp;OutputTable[[#This Row],[Type]]&amp;OutputTable[[#This Row],[Source]]</f>
        <v>PacientesProcess 2 Number InNumber InProcess</v>
      </c>
      <c r="J278" cm="1">
        <f t="array" ref="J278">MAX(IF((ProjectInfoTable[ProjectName]=OutputTable[[#This Row],[ProjectName]]),(ProjectInfoTable[ProjectName]=OutputTable[[#This Row],[ProjectName]])*ProjectInfoTable[NumberOfReplications]))</f>
        <v>50</v>
      </c>
      <c r="K278" cm="1">
        <f t="array" ref="K278">IFERROR(AVERAGE(IF((OutputTable[GroupByKey]=OutputTable[[#This Row],[GroupByKey]]),(OutputTable[GroupByKey]=OutputTable[[#This Row],[GroupByKey]])*OutputTable[RecordedValue])),0)</f>
        <v>2404.2399999999998</v>
      </c>
      <c r="L278" cm="1">
        <f t="array" ref="L278">IFERROR(_xlfn.STDEV.S(IF((OutputTable[GroupByKey]=OutputTable[[#This Row],[GroupByKey]]),(OutputTable[GroupByKey]=OutputTable[[#This Row],[GroupByKey]])*OutputTable[RecordedValue])),0)</f>
        <v>46.574303154053879</v>
      </c>
      <c r="M278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278" cm="1">
        <f t="array" ref="O278">MIN(IF((OutputTable[GroupByKey]=OutputTable[[#This Row],[GroupByKey]]),(OutputTable[GroupByKey]=OutputTable[[#This Row],[GroupByKey]])*OutputTable[RecordedValue]))</f>
        <v>2306</v>
      </c>
      <c r="P278" cm="1">
        <f t="array" ref="P278">MAX(IF((OutputTable[GroupByKey]=OutputTable[[#This Row],[GroupByKey]]),(OutputTable[GroupByKey]=OutputTable[[#This Row],[GroupByKey]])*OutputTable[RecordedValue]))</f>
        <v>2518</v>
      </c>
    </row>
    <row r="279" spans="1:16" x14ac:dyDescent="0.25">
      <c r="A279" t="s">
        <v>68</v>
      </c>
      <c r="B279" t="s">
        <v>131</v>
      </c>
      <c r="C279">
        <v>17</v>
      </c>
      <c r="D279" t="s">
        <v>113</v>
      </c>
      <c r="E279" t="s">
        <v>107</v>
      </c>
      <c r="F279" t="s">
        <v>80</v>
      </c>
      <c r="G279">
        <v>2381</v>
      </c>
      <c r="H279">
        <v>0</v>
      </c>
      <c r="I279" t="str">
        <f>OutputTable[[#This Row],[ProjectName]]&amp;OutputTable[[#This Row],[Name]]&amp;OutputTable[[#This Row],[Type]]&amp;OutputTable[[#This Row],[Source]]</f>
        <v>PacientesProcess 2 Number OutNumber OutProcess</v>
      </c>
      <c r="J279" cm="1">
        <f t="array" ref="J279">MAX(IF((ProjectInfoTable[ProjectName]=OutputTable[[#This Row],[ProjectName]]),(ProjectInfoTable[ProjectName]=OutputTable[[#This Row],[ProjectName]])*ProjectInfoTable[NumberOfReplications]))</f>
        <v>50</v>
      </c>
      <c r="K279" cm="1">
        <f t="array" ref="K279">IFERROR(AVERAGE(IF((OutputTable[GroupByKey]=OutputTable[[#This Row],[GroupByKey]]),(OutputTable[GroupByKey]=OutputTable[[#This Row],[GroupByKey]])*OutputTable[RecordedValue])),0)</f>
        <v>2400.2800000000002</v>
      </c>
      <c r="L279" cm="1">
        <f t="array" ref="L279">IFERROR(_xlfn.STDEV.S(IF((OutputTable[GroupByKey]=OutputTable[[#This Row],[GroupByKey]]),(OutputTable[GroupByKey]=OutputTable[[#This Row],[GroupByKey]])*OutputTable[RecordedValue])),0)</f>
        <v>46.409024456676619</v>
      </c>
      <c r="M279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79" cm="1">
        <f t="array" ref="O279">MIN(IF((OutputTable[GroupByKey]=OutputTable[[#This Row],[GroupByKey]]),(OutputTable[GroupByKey]=OutputTable[[#This Row],[GroupByKey]])*OutputTable[RecordedValue]))</f>
        <v>2305</v>
      </c>
      <c r="P279" cm="1">
        <f t="array" ref="P279">MAX(IF((OutputTable[GroupByKey]=OutputTable[[#This Row],[GroupByKey]]),(OutputTable[GroupByKey]=OutputTable[[#This Row],[GroupByKey]])*OutputTable[RecordedValue]))</f>
        <v>2504</v>
      </c>
    </row>
    <row r="280" spans="1:16" x14ac:dyDescent="0.25">
      <c r="A280" t="s">
        <v>68</v>
      </c>
      <c r="B280" t="s">
        <v>131</v>
      </c>
      <c r="C280">
        <v>17</v>
      </c>
      <c r="D280" t="s">
        <v>114</v>
      </c>
      <c r="E280" t="s">
        <v>109</v>
      </c>
      <c r="F280" t="s">
        <v>80</v>
      </c>
      <c r="G280">
        <v>337.76760675023002</v>
      </c>
      <c r="H280">
        <v>0</v>
      </c>
      <c r="I280" t="str">
        <f>OutputTable[[#This Row],[ProjectName]]&amp;OutputTable[[#This Row],[Name]]&amp;OutputTable[[#This Row],[Type]]&amp;OutputTable[[#This Row],[Source]]</f>
        <v>PacientesRegistro Accum VA TimeAccum VA TimeProcess</v>
      </c>
      <c r="J280" cm="1">
        <f t="array" ref="J280">MAX(IF((ProjectInfoTable[ProjectName]=OutputTable[[#This Row],[ProjectName]]),(ProjectInfoTable[ProjectName]=OutputTable[[#This Row],[ProjectName]])*ProjectInfoTable[NumberOfReplications]))</f>
        <v>50</v>
      </c>
      <c r="K280" cm="1">
        <f t="array" ref="K280">IFERROR(AVERAGE(IF((OutputTable[GroupByKey]=OutputTable[[#This Row],[GroupByKey]]),(OutputTable[GroupByKey]=OutputTable[[#This Row],[GroupByKey]])*OutputTable[RecordedValue])),0)</f>
        <v>339.53547737062786</v>
      </c>
      <c r="L280" cm="1">
        <f t="array" ref="L280">IFERROR(_xlfn.STDEV.S(IF((OutputTable[GroupByKey]=OutputTable[[#This Row],[GroupByKey]]),(OutputTable[GroupByKey]=OutputTable[[#This Row],[GroupByKey]])*OutputTable[RecordedValue])),0)</f>
        <v>6.9723666109353193</v>
      </c>
      <c r="M280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280" cm="1">
        <f t="array" ref="O280">MIN(IF((OutputTable[GroupByKey]=OutputTable[[#This Row],[GroupByKey]]),(OutputTable[GroupByKey]=OutputTable[[#This Row],[GroupByKey]])*OutputTable[RecordedValue]))</f>
        <v>325.606879158418</v>
      </c>
      <c r="P280" cm="1">
        <f t="array" ref="P280">MAX(IF((OutputTable[GroupByKey]=OutputTable[[#This Row],[GroupByKey]]),(OutputTable[GroupByKey]=OutputTable[[#This Row],[GroupByKey]])*OutputTable[RecordedValue]))</f>
        <v>357.77609013379703</v>
      </c>
    </row>
    <row r="281" spans="1:16" x14ac:dyDescent="0.25">
      <c r="A281" t="s">
        <v>68</v>
      </c>
      <c r="B281" t="s">
        <v>131</v>
      </c>
      <c r="C281">
        <v>17</v>
      </c>
      <c r="D281" t="s">
        <v>115</v>
      </c>
      <c r="E281" t="s">
        <v>111</v>
      </c>
      <c r="F281" t="s">
        <v>80</v>
      </c>
      <c r="G281">
        <v>153.82135230118899</v>
      </c>
      <c r="H281">
        <v>0</v>
      </c>
      <c r="I281" t="str">
        <f>OutputTable[[#This Row],[ProjectName]]&amp;OutputTable[[#This Row],[Name]]&amp;OutputTable[[#This Row],[Type]]&amp;OutputTable[[#This Row],[Source]]</f>
        <v>PacientesRegistro Accum Wait TimeAccum Wait TimeProcess</v>
      </c>
      <c r="J281" cm="1">
        <f t="array" ref="J281">MAX(IF((ProjectInfoTable[ProjectName]=OutputTable[[#This Row],[ProjectName]]),(ProjectInfoTable[ProjectName]=OutputTable[[#This Row],[ProjectName]])*ProjectInfoTable[NumberOfReplications]))</f>
        <v>50</v>
      </c>
      <c r="K281" cm="1">
        <f t="array" ref="K281">IFERROR(AVERAGE(IF((OutputTable[GroupByKey]=OutputTable[[#This Row],[GroupByKey]]),(OutputTable[GroupByKey]=OutputTable[[#This Row],[GroupByKey]])*OutputTable[RecordedValue])),0)</f>
        <v>154.15303898127775</v>
      </c>
      <c r="L281" cm="1">
        <f t="array" ref="L281">IFERROR(_xlfn.STDEV.S(IF((OutputTable[GroupByKey]=OutputTable[[#This Row],[GroupByKey]]),(OutputTable[GroupByKey]=OutputTable[[#This Row],[GroupByKey]])*OutputTable[RecordedValue])),0)</f>
        <v>12.141439184615397</v>
      </c>
      <c r="M281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281" cm="1">
        <f t="array" ref="O281">MIN(IF((OutputTable[GroupByKey]=OutputTable[[#This Row],[GroupByKey]]),(OutputTable[GroupByKey]=OutputTable[[#This Row],[GroupByKey]])*OutputTable[RecordedValue]))</f>
        <v>123.901613974094</v>
      </c>
      <c r="P281" cm="1">
        <f t="array" ref="P281">MAX(IF((OutputTable[GroupByKey]=OutputTable[[#This Row],[GroupByKey]]),(OutputTable[GroupByKey]=OutputTable[[#This Row],[GroupByKey]])*OutputTable[RecordedValue]))</f>
        <v>178.441307284473</v>
      </c>
    </row>
    <row r="282" spans="1:16" x14ac:dyDescent="0.25">
      <c r="A282" t="s">
        <v>68</v>
      </c>
      <c r="B282" t="s">
        <v>131</v>
      </c>
      <c r="C282">
        <v>17</v>
      </c>
      <c r="D282" t="s">
        <v>116</v>
      </c>
      <c r="E282" t="s">
        <v>105</v>
      </c>
      <c r="F282" t="s">
        <v>80</v>
      </c>
      <c r="G282">
        <v>2245</v>
      </c>
      <c r="H282">
        <v>0</v>
      </c>
      <c r="I282" t="str">
        <f>OutputTable[[#This Row],[ProjectName]]&amp;OutputTable[[#This Row],[Name]]&amp;OutputTable[[#This Row],[Type]]&amp;OutputTable[[#This Row],[Source]]</f>
        <v>PacientesRegistro Number InNumber InProcess</v>
      </c>
      <c r="J282" cm="1">
        <f t="array" ref="J282">MAX(IF((ProjectInfoTable[ProjectName]=OutputTable[[#This Row],[ProjectName]]),(ProjectInfoTable[ProjectName]=OutputTable[[#This Row],[ProjectName]])*ProjectInfoTable[NumberOfReplications]))</f>
        <v>50</v>
      </c>
      <c r="K282" cm="1">
        <f t="array" ref="K282">IFERROR(AVERAGE(IF((OutputTable[GroupByKey]=OutputTable[[#This Row],[GroupByKey]]),(OutputTable[GroupByKey]=OutputTable[[#This Row],[GroupByKey]])*OutputTable[RecordedValue])),0)</f>
        <v>2263.2399999999998</v>
      </c>
      <c r="L282" cm="1">
        <f t="array" ref="L282">IFERROR(_xlfn.STDEV.S(IF((OutputTable[GroupByKey]=OutputTable[[#This Row],[GroupByKey]]),(OutputTable[GroupByKey]=OutputTable[[#This Row],[GroupByKey]])*OutputTable[RecordedValue])),0)</f>
        <v>47.331035682472766</v>
      </c>
      <c r="M282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282" cm="1">
        <f t="array" ref="O282">MIN(IF((OutputTable[GroupByKey]=OutputTable[[#This Row],[GroupByKey]]),(OutputTable[GroupByKey]=OutputTable[[#This Row],[GroupByKey]])*OutputTable[RecordedValue]))</f>
        <v>2172</v>
      </c>
      <c r="P282" cm="1">
        <f t="array" ref="P282">MAX(IF((OutputTable[GroupByKey]=OutputTable[[#This Row],[GroupByKey]]),(OutputTable[GroupByKey]=OutputTable[[#This Row],[GroupByKey]])*OutputTable[RecordedValue]))</f>
        <v>2386</v>
      </c>
    </row>
    <row r="283" spans="1:16" x14ac:dyDescent="0.25">
      <c r="A283" t="s">
        <v>68</v>
      </c>
      <c r="B283" t="s">
        <v>131</v>
      </c>
      <c r="C283">
        <v>17</v>
      </c>
      <c r="D283" t="s">
        <v>117</v>
      </c>
      <c r="E283" t="s">
        <v>107</v>
      </c>
      <c r="F283" t="s">
        <v>80</v>
      </c>
      <c r="G283">
        <v>2245</v>
      </c>
      <c r="H283">
        <v>0</v>
      </c>
      <c r="I283" t="str">
        <f>OutputTable[[#This Row],[ProjectName]]&amp;OutputTable[[#This Row],[Name]]&amp;OutputTable[[#This Row],[Type]]&amp;OutputTable[[#This Row],[Source]]</f>
        <v>PacientesRegistro Number OutNumber OutProcess</v>
      </c>
      <c r="J283" cm="1">
        <f t="array" ref="J283">MAX(IF((ProjectInfoTable[ProjectName]=OutputTable[[#This Row],[ProjectName]]),(ProjectInfoTable[ProjectName]=OutputTable[[#This Row],[ProjectName]])*ProjectInfoTable[NumberOfReplications]))</f>
        <v>50</v>
      </c>
      <c r="K283" cm="1">
        <f t="array" ref="K283">IFERROR(AVERAGE(IF((OutputTable[GroupByKey]=OutputTable[[#This Row],[GroupByKey]]),(OutputTable[GroupByKey]=OutputTable[[#This Row],[GroupByKey]])*OutputTable[RecordedValue])),0)</f>
        <v>2262.66</v>
      </c>
      <c r="L283" cm="1">
        <f t="array" ref="L283">IFERROR(_xlfn.STDEV.S(IF((OutputTable[GroupByKey]=OutputTable[[#This Row],[GroupByKey]]),(OutputTable[GroupByKey]=OutputTable[[#This Row],[GroupByKey]])*OutputTable[RecordedValue])),0)</f>
        <v>47.488176831454687</v>
      </c>
      <c r="M283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283" cm="1">
        <f t="array" ref="O283">MIN(IF((OutputTable[GroupByKey]=OutputTable[[#This Row],[GroupByKey]]),(OutputTable[GroupByKey]=OutputTable[[#This Row],[GroupByKey]])*OutputTable[RecordedValue]))</f>
        <v>2171</v>
      </c>
      <c r="P283" cm="1">
        <f t="array" ref="P283">MAX(IF((OutputTable[GroupByKey]=OutputTable[[#This Row],[GroupByKey]]),(OutputTable[GroupByKey]=OutputTable[[#This Row],[GroupByKey]])*OutputTable[RecordedValue]))</f>
        <v>2386</v>
      </c>
    </row>
    <row r="284" spans="1:16" x14ac:dyDescent="0.25">
      <c r="A284" t="s">
        <v>68</v>
      </c>
      <c r="B284" t="s">
        <v>131</v>
      </c>
      <c r="C284">
        <v>17</v>
      </c>
      <c r="D284" t="s">
        <v>118</v>
      </c>
      <c r="E284" t="s">
        <v>107</v>
      </c>
      <c r="F284" t="s">
        <v>119</v>
      </c>
      <c r="G284">
        <v>2381</v>
      </c>
      <c r="H284">
        <v>0</v>
      </c>
      <c r="I284" t="str">
        <f>OutputTable[[#This Row],[ProjectName]]&amp;OutputTable[[#This Row],[Name]]&amp;OutputTable[[#This Row],[Type]]&amp;OutputTable[[#This Row],[Source]]</f>
        <v>PacientesSystem.NumberOutNumber OutSystem</v>
      </c>
      <c r="J284" cm="1">
        <f t="array" ref="J284">MAX(IF((ProjectInfoTable[ProjectName]=OutputTable[[#This Row],[ProjectName]]),(ProjectInfoTable[ProjectName]=OutputTable[[#This Row],[ProjectName]])*ProjectInfoTable[NumberOfReplications]))</f>
        <v>50</v>
      </c>
      <c r="K284" cm="1">
        <f t="array" ref="K284">IFERROR(AVERAGE(IF((OutputTable[GroupByKey]=OutputTable[[#This Row],[GroupByKey]]),(OutputTable[GroupByKey]=OutputTable[[#This Row],[GroupByKey]])*OutputTable[RecordedValue])),0)</f>
        <v>2400.2800000000002</v>
      </c>
      <c r="L284" cm="1">
        <f t="array" ref="L284">IFERROR(_xlfn.STDEV.S(IF((OutputTable[GroupByKey]=OutputTable[[#This Row],[GroupByKey]]),(OutputTable[GroupByKey]=OutputTable[[#This Row],[GroupByKey]])*OutputTable[RecordedValue])),0)</f>
        <v>46.409024456676619</v>
      </c>
      <c r="M284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84" cm="1">
        <f t="array" ref="O284">MIN(IF((OutputTable[GroupByKey]=OutputTable[[#This Row],[GroupByKey]]),(OutputTable[GroupByKey]=OutputTable[[#This Row],[GroupByKey]])*OutputTable[RecordedValue]))</f>
        <v>2305</v>
      </c>
      <c r="P284" cm="1">
        <f t="array" ref="P284">MAX(IF((OutputTable[GroupByKey]=OutputTable[[#This Row],[GroupByKey]]),(OutputTable[GroupByKey]=OutputTable[[#This Row],[GroupByKey]])*OutputTable[RecordedValue]))</f>
        <v>2504</v>
      </c>
    </row>
    <row r="285" spans="1:16" x14ac:dyDescent="0.25">
      <c r="A285" t="s">
        <v>68</v>
      </c>
      <c r="B285" t="s">
        <v>131</v>
      </c>
      <c r="C285">
        <v>17</v>
      </c>
      <c r="D285" t="s">
        <v>120</v>
      </c>
      <c r="E285" t="s">
        <v>121</v>
      </c>
      <c r="F285" t="s">
        <v>99</v>
      </c>
      <c r="G285">
        <v>2383</v>
      </c>
      <c r="H285">
        <v>0</v>
      </c>
      <c r="I285" t="str">
        <f>OutputTable[[#This Row],[ProjectName]]&amp;OutputTable[[#This Row],[Name]]&amp;OutputTable[[#This Row],[Type]]&amp;OutputTable[[#This Row],[Source]]</f>
        <v>PacientesrCamas.NumberSeizedTotal Number SeizedResource</v>
      </c>
      <c r="J285" cm="1">
        <f t="array" ref="J285">MAX(IF((ProjectInfoTable[ProjectName]=OutputTable[[#This Row],[ProjectName]]),(ProjectInfoTable[ProjectName]=OutputTable[[#This Row],[ProjectName]])*ProjectInfoTable[NumberOfReplications]))</f>
        <v>50</v>
      </c>
      <c r="K285" cm="1">
        <f t="array" ref="K285">IFERROR(AVERAGE(IF((OutputTable[GroupByKey]=OutputTable[[#This Row],[GroupByKey]]),(OutputTable[GroupByKey]=OutputTable[[#This Row],[GroupByKey]])*OutputTable[RecordedValue])),0)</f>
        <v>2401.9</v>
      </c>
      <c r="L285" cm="1">
        <f t="array" ref="L285">IFERROR(_xlfn.STDEV.S(IF((OutputTable[GroupByKey]=OutputTable[[#This Row],[GroupByKey]]),(OutputTable[GroupByKey]=OutputTable[[#This Row],[GroupByKey]])*OutputTable[RecordedValue])),0)</f>
        <v>46.417031532903209</v>
      </c>
      <c r="M28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85" cm="1">
        <f t="array" ref="O285">MIN(IF((OutputTable[GroupByKey]=OutputTable[[#This Row],[GroupByKey]]),(OutputTable[GroupByKey]=OutputTable[[#This Row],[GroupByKey]])*OutputTable[RecordedValue]))</f>
        <v>2306</v>
      </c>
      <c r="P285" cm="1">
        <f t="array" ref="P285">MAX(IF((OutputTable[GroupByKey]=OutputTable[[#This Row],[GroupByKey]]),(OutputTable[GroupByKey]=OutputTable[[#This Row],[GroupByKey]])*OutputTable[RecordedValue]))</f>
        <v>2506</v>
      </c>
    </row>
    <row r="286" spans="1:16" x14ac:dyDescent="0.25">
      <c r="A286" t="s">
        <v>68</v>
      </c>
      <c r="B286" t="s">
        <v>131</v>
      </c>
      <c r="C286">
        <v>17</v>
      </c>
      <c r="D286" t="s">
        <v>122</v>
      </c>
      <c r="E286" t="s">
        <v>123</v>
      </c>
      <c r="F286" t="s">
        <v>99</v>
      </c>
      <c r="G286">
        <v>0.54389099707331401</v>
      </c>
      <c r="H286">
        <v>0</v>
      </c>
      <c r="I286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286" cm="1">
        <f t="array" ref="J286">MAX(IF((ProjectInfoTable[ProjectName]=OutputTable[[#This Row],[ProjectName]]),(ProjectInfoTable[ProjectName]=OutputTable[[#This Row],[ProjectName]])*ProjectInfoTable[NumberOfReplications]))</f>
        <v>50</v>
      </c>
      <c r="K286" cm="1">
        <f t="array" ref="K286">IFERROR(AVERAGE(IF((OutputTable[GroupByKey]=OutputTable[[#This Row],[GroupByKey]]),(OutputTable[GroupByKey]=OutputTable[[#This Row],[GroupByKey]])*OutputTable[RecordedValue])),0)</f>
        <v>0.54703961359050601</v>
      </c>
      <c r="L286" cm="1">
        <f t="array" ref="L286">IFERROR(_xlfn.STDEV.S(IF((OutputTable[GroupByKey]=OutputTable[[#This Row],[GroupByKey]]),(OutputTable[GroupByKey]=OutputTable[[#This Row],[GroupByKey]])*OutputTable[RecordedValue])),0)</f>
        <v>1.0221170008030479E-2</v>
      </c>
      <c r="M286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286" cm="1">
        <f t="array" ref="O286">MIN(IF((OutputTable[GroupByKey]=OutputTable[[#This Row],[GroupByKey]]),(OutputTable[GroupByKey]=OutputTable[[#This Row],[GroupByKey]])*OutputTable[RecordedValue]))</f>
        <v>0.52470641844357901</v>
      </c>
      <c r="P286" cm="1">
        <f t="array" ref="P286">MAX(IF((OutputTable[GroupByKey]=OutputTable[[#This Row],[GroupByKey]]),(OutputTable[GroupByKey]=OutputTable[[#This Row],[GroupByKey]])*OutputTable[RecordedValue]))</f>
        <v>0.57005812966092295</v>
      </c>
    </row>
    <row r="287" spans="1:16" x14ac:dyDescent="0.25">
      <c r="A287" t="s">
        <v>68</v>
      </c>
      <c r="B287" t="s">
        <v>131</v>
      </c>
      <c r="C287">
        <v>17</v>
      </c>
      <c r="D287" t="s">
        <v>124</v>
      </c>
      <c r="E287" t="s">
        <v>121</v>
      </c>
      <c r="F287" t="s">
        <v>99</v>
      </c>
      <c r="G287">
        <v>2383</v>
      </c>
      <c r="H287">
        <v>0</v>
      </c>
      <c r="I287" t="str">
        <f>OutputTable[[#This Row],[ProjectName]]&amp;OutputTable[[#This Row],[Name]]&amp;OutputTable[[#This Row],[Type]]&amp;OutputTable[[#This Row],[Source]]</f>
        <v>PacientesrMedico.NumberSeizedTotal Number SeizedResource</v>
      </c>
      <c r="J287" cm="1">
        <f t="array" ref="J287">MAX(IF((ProjectInfoTable[ProjectName]=OutputTable[[#This Row],[ProjectName]]),(ProjectInfoTable[ProjectName]=OutputTable[[#This Row],[ProjectName]])*ProjectInfoTable[NumberOfReplications]))</f>
        <v>50</v>
      </c>
      <c r="K287" cm="1">
        <f t="array" ref="K287">IFERROR(AVERAGE(IF((OutputTable[GroupByKey]=OutputTable[[#This Row],[GroupByKey]]),(OutputTable[GroupByKey]=OutputTable[[#This Row],[GroupByKey]])*OutputTable[RecordedValue])),0)</f>
        <v>2401.9</v>
      </c>
      <c r="L287" cm="1">
        <f t="array" ref="L287">IFERROR(_xlfn.STDEV.S(IF((OutputTable[GroupByKey]=OutputTable[[#This Row],[GroupByKey]]),(OutputTable[GroupByKey]=OutputTable[[#This Row],[GroupByKey]])*OutputTable[RecordedValue])),0)</f>
        <v>46.417031532903209</v>
      </c>
      <c r="M287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287" cm="1">
        <f t="array" ref="O287">MIN(IF((OutputTable[GroupByKey]=OutputTable[[#This Row],[GroupByKey]]),(OutputTable[GroupByKey]=OutputTable[[#This Row],[GroupByKey]])*OutputTable[RecordedValue]))</f>
        <v>2306</v>
      </c>
      <c r="P287" cm="1">
        <f t="array" ref="P287">MAX(IF((OutputTable[GroupByKey]=OutputTable[[#This Row],[GroupByKey]]),(OutputTable[GroupByKey]=OutputTable[[#This Row],[GroupByKey]])*OutputTable[RecordedValue]))</f>
        <v>2506</v>
      </c>
    </row>
    <row r="288" spans="1:16" x14ac:dyDescent="0.25">
      <c r="A288" t="s">
        <v>68</v>
      </c>
      <c r="B288" t="s">
        <v>131</v>
      </c>
      <c r="C288">
        <v>17</v>
      </c>
      <c r="D288" t="s">
        <v>125</v>
      </c>
      <c r="E288" t="s">
        <v>123</v>
      </c>
      <c r="F288" t="s">
        <v>99</v>
      </c>
      <c r="G288">
        <v>0.81583649560997096</v>
      </c>
      <c r="H288">
        <v>0</v>
      </c>
      <c r="I288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288" cm="1">
        <f t="array" ref="J288">MAX(IF((ProjectInfoTable[ProjectName]=OutputTable[[#This Row],[ProjectName]]),(ProjectInfoTable[ProjectName]=OutputTable[[#This Row],[ProjectName]])*ProjectInfoTable[NumberOfReplications]))</f>
        <v>50</v>
      </c>
      <c r="K288" cm="1">
        <f t="array" ref="K288">IFERROR(AVERAGE(IF((OutputTable[GroupByKey]=OutputTable[[#This Row],[GroupByKey]]),(OutputTable[GroupByKey]=OutputTable[[#This Row],[GroupByKey]])*OutputTable[RecordedValue])),0)</f>
        <v>0.82055942038575935</v>
      </c>
      <c r="L288" cm="1">
        <f t="array" ref="L288">IFERROR(_xlfn.STDEV.S(IF((OutputTable[GroupByKey]=OutputTable[[#This Row],[GroupByKey]]),(OutputTable[GroupByKey]=OutputTable[[#This Row],[GroupByKey]])*OutputTable[RecordedValue])),0)</f>
        <v>1.5331755012045719E-2</v>
      </c>
      <c r="M288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288" cm="1">
        <f t="array" ref="O288">MIN(IF((OutputTable[GroupByKey]=OutputTable[[#This Row],[GroupByKey]]),(OutputTable[GroupByKey]=OutputTable[[#This Row],[GroupByKey]])*OutputTable[RecordedValue]))</f>
        <v>0.78705962766536897</v>
      </c>
      <c r="P288" cm="1">
        <f t="array" ref="P288">MAX(IF((OutputTable[GroupByKey]=OutputTable[[#This Row],[GroupByKey]]),(OutputTable[GroupByKey]=OutputTable[[#This Row],[GroupByKey]])*OutputTable[RecordedValue]))</f>
        <v>0.85508719449138504</v>
      </c>
    </row>
    <row r="289" spans="1:16" x14ac:dyDescent="0.25">
      <c r="A289" t="s">
        <v>68</v>
      </c>
      <c r="B289" t="s">
        <v>131</v>
      </c>
      <c r="C289">
        <v>17</v>
      </c>
      <c r="D289" t="s">
        <v>126</v>
      </c>
      <c r="E289" t="s">
        <v>121</v>
      </c>
      <c r="F289" t="s">
        <v>99</v>
      </c>
      <c r="G289">
        <v>2245</v>
      </c>
      <c r="H289">
        <v>0</v>
      </c>
      <c r="I289" t="str">
        <f>OutputTable[[#This Row],[ProjectName]]&amp;OutputTable[[#This Row],[Name]]&amp;OutputTable[[#This Row],[Type]]&amp;OutputTable[[#This Row],[Source]]</f>
        <v>PacientesrRegistradora.NumberSeizedTotal Number SeizedResource</v>
      </c>
      <c r="J289" cm="1">
        <f t="array" ref="J289">MAX(IF((ProjectInfoTable[ProjectName]=OutputTable[[#This Row],[ProjectName]]),(ProjectInfoTable[ProjectName]=OutputTable[[#This Row],[ProjectName]])*ProjectInfoTable[NumberOfReplications]))</f>
        <v>50</v>
      </c>
      <c r="K289" cm="1">
        <f t="array" ref="K289">IFERROR(AVERAGE(IF((OutputTable[GroupByKey]=OutputTable[[#This Row],[GroupByKey]]),(OutputTable[GroupByKey]=OutputTable[[#This Row],[GroupByKey]])*OutputTable[RecordedValue])),0)</f>
        <v>2263.14</v>
      </c>
      <c r="L289" cm="1">
        <f t="array" ref="L289">IFERROR(_xlfn.STDEV.S(IF((OutputTable[GroupByKey]=OutputTable[[#This Row],[GroupByKey]]),(OutputTable[GroupByKey]=OutputTable[[#This Row],[GroupByKey]])*OutputTable[RecordedValue])),0)</f>
        <v>47.386818971575821</v>
      </c>
      <c r="M289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289" cm="1">
        <f t="array" ref="O289">MIN(IF((OutputTable[GroupByKey]=OutputTable[[#This Row],[GroupByKey]]),(OutputTable[GroupByKey]=OutputTable[[#This Row],[GroupByKey]])*OutputTable[RecordedValue]))</f>
        <v>2172</v>
      </c>
      <c r="P289" cm="1">
        <f t="array" ref="P289">MAX(IF((OutputTable[GroupByKey]=OutputTable[[#This Row],[GroupByKey]]),(OutputTable[GroupByKey]=OutputTable[[#This Row],[GroupByKey]])*OutputTable[RecordedValue]))</f>
        <v>2386</v>
      </c>
    </row>
    <row r="290" spans="1:16" x14ac:dyDescent="0.25">
      <c r="A290" t="s">
        <v>68</v>
      </c>
      <c r="B290" t="s">
        <v>131</v>
      </c>
      <c r="C290">
        <v>17</v>
      </c>
      <c r="D290" t="s">
        <v>127</v>
      </c>
      <c r="E290" t="s">
        <v>123</v>
      </c>
      <c r="F290" t="s">
        <v>99</v>
      </c>
      <c r="G290">
        <v>0.46912167604198701</v>
      </c>
      <c r="H290">
        <v>0</v>
      </c>
      <c r="I290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290" cm="1">
        <f t="array" ref="J290">MAX(IF((ProjectInfoTable[ProjectName]=OutputTable[[#This Row],[ProjectName]]),(ProjectInfoTable[ProjectName]=OutputTable[[#This Row],[ProjectName]])*ProjectInfoTable[NumberOfReplications]))</f>
        <v>50</v>
      </c>
      <c r="K290" cm="1">
        <f t="array" ref="K290">IFERROR(AVERAGE(IF((OutputTable[GroupByKey]=OutputTable[[#This Row],[GroupByKey]]),(OutputTable[GroupByKey]=OutputTable[[#This Row],[GroupByKey]])*OutputTable[RecordedValue])),0)</f>
        <v>0.47162762933545666</v>
      </c>
      <c r="L290" cm="1">
        <f t="array" ref="L290">IFERROR(_xlfn.STDEV.S(IF((OutputTable[GroupByKey]=OutputTable[[#This Row],[GroupByKey]]),(OutputTable[GroupByKey]=OutputTable[[#This Row],[GroupByKey]])*OutputTable[RecordedValue])),0)</f>
        <v>9.6615227076777797E-3</v>
      </c>
      <c r="M290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290" cm="1">
        <f t="array" ref="O290">MIN(IF((OutputTable[GroupByKey]=OutputTable[[#This Row],[GroupByKey]]),(OutputTable[GroupByKey]=OutputTable[[#This Row],[GroupByKey]])*OutputTable[RecordedValue]))</f>
        <v>0.452397944183905</v>
      </c>
      <c r="P290" cm="1">
        <f t="array" ref="P290">MAX(IF((OutputTable[GroupByKey]=OutputTable[[#This Row],[GroupByKey]]),(OutputTable[GroupByKey]=OutputTable[[#This Row],[GroupByKey]])*OutputTable[RecordedValue]))</f>
        <v>0.49691123629694001</v>
      </c>
    </row>
    <row r="291" spans="1:16" x14ac:dyDescent="0.25">
      <c r="A291" t="s">
        <v>68</v>
      </c>
      <c r="B291" t="s">
        <v>131</v>
      </c>
      <c r="C291">
        <v>18</v>
      </c>
      <c r="D291" t="s">
        <v>104</v>
      </c>
      <c r="E291" t="s">
        <v>105</v>
      </c>
      <c r="F291" t="s">
        <v>72</v>
      </c>
      <c r="G291">
        <v>2351</v>
      </c>
      <c r="H291">
        <v>0</v>
      </c>
      <c r="I291" t="str">
        <f>OutputTable[[#This Row],[ProjectName]]&amp;OutputTable[[#This Row],[Name]]&amp;OutputTable[[#This Row],[Type]]&amp;OutputTable[[#This Row],[Source]]</f>
        <v>PacientesEntity 1.NumberInNumber InEntity</v>
      </c>
      <c r="J291" cm="1">
        <f t="array" ref="J291">MAX(IF((ProjectInfoTable[ProjectName]=OutputTable[[#This Row],[ProjectName]]),(ProjectInfoTable[ProjectName]=OutputTable[[#This Row],[ProjectName]])*ProjectInfoTable[NumberOfReplications]))</f>
        <v>50</v>
      </c>
      <c r="K291" cm="1">
        <f t="array" ref="K291">IFERROR(AVERAGE(IF((OutputTable[GroupByKey]=OutputTable[[#This Row],[GroupByKey]]),(OutputTable[GroupByKey]=OutputTable[[#This Row],[GroupByKey]])*OutputTable[RecordedValue])),0)</f>
        <v>2404.8200000000002</v>
      </c>
      <c r="L291" cm="1">
        <f t="array" ref="L291">IFERROR(_xlfn.STDEV.S(IF((OutputTable[GroupByKey]=OutputTable[[#This Row],[GroupByKey]]),(OutputTable[GroupByKey]=OutputTable[[#This Row],[GroupByKey]])*OutputTable[RecordedValue])),0)</f>
        <v>46.42953405595474</v>
      </c>
      <c r="M291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291" cm="1">
        <f t="array" ref="O291">MIN(IF((OutputTable[GroupByKey]=OutputTable[[#This Row],[GroupByKey]]),(OutputTable[GroupByKey]=OutputTable[[#This Row],[GroupByKey]])*OutputTable[RecordedValue]))</f>
        <v>2307</v>
      </c>
      <c r="P291" cm="1">
        <f t="array" ref="P291">MAX(IF((OutputTable[GroupByKey]=OutputTable[[#This Row],[GroupByKey]]),(OutputTable[GroupByKey]=OutputTable[[#This Row],[GroupByKey]])*OutputTable[RecordedValue]))</f>
        <v>2518</v>
      </c>
    </row>
    <row r="292" spans="1:16" x14ac:dyDescent="0.25">
      <c r="A292" t="s">
        <v>68</v>
      </c>
      <c r="B292" t="s">
        <v>131</v>
      </c>
      <c r="C292">
        <v>18</v>
      </c>
      <c r="D292" t="s">
        <v>106</v>
      </c>
      <c r="E292" t="s">
        <v>107</v>
      </c>
      <c r="F292" t="s">
        <v>72</v>
      </c>
      <c r="G292">
        <v>2349</v>
      </c>
      <c r="H292">
        <v>0</v>
      </c>
      <c r="I292" t="str">
        <f>OutputTable[[#This Row],[ProjectName]]&amp;OutputTable[[#This Row],[Name]]&amp;OutputTable[[#This Row],[Type]]&amp;OutputTable[[#This Row],[Source]]</f>
        <v>PacientesEntity 1.NumberOutNumber OutEntity</v>
      </c>
      <c r="J292" cm="1">
        <f t="array" ref="J292">MAX(IF((ProjectInfoTable[ProjectName]=OutputTable[[#This Row],[ProjectName]]),(ProjectInfoTable[ProjectName]=OutputTable[[#This Row],[ProjectName]])*ProjectInfoTable[NumberOfReplications]))</f>
        <v>50</v>
      </c>
      <c r="K292" cm="1">
        <f t="array" ref="K292">IFERROR(AVERAGE(IF((OutputTable[GroupByKey]=OutputTable[[#This Row],[GroupByKey]]),(OutputTable[GroupByKey]=OutputTable[[#This Row],[GroupByKey]])*OutputTable[RecordedValue])),0)</f>
        <v>2400.2800000000002</v>
      </c>
      <c r="L292" cm="1">
        <f t="array" ref="L292">IFERROR(_xlfn.STDEV.S(IF((OutputTable[GroupByKey]=OutputTable[[#This Row],[GroupByKey]]),(OutputTable[GroupByKey]=OutputTable[[#This Row],[GroupByKey]])*OutputTable[RecordedValue])),0)</f>
        <v>46.409024456676619</v>
      </c>
      <c r="M292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92" cm="1">
        <f t="array" ref="O292">MIN(IF((OutputTable[GroupByKey]=OutputTable[[#This Row],[GroupByKey]]),(OutputTable[GroupByKey]=OutputTable[[#This Row],[GroupByKey]])*OutputTable[RecordedValue]))</f>
        <v>2305</v>
      </c>
      <c r="P292" cm="1">
        <f t="array" ref="P292">MAX(IF((OutputTable[GroupByKey]=OutputTable[[#This Row],[GroupByKey]]),(OutputTable[GroupByKey]=OutputTable[[#This Row],[GroupByKey]])*OutputTable[RecordedValue]))</f>
        <v>2504</v>
      </c>
    </row>
    <row r="293" spans="1:16" x14ac:dyDescent="0.25">
      <c r="A293" t="s">
        <v>68</v>
      </c>
      <c r="B293" t="s">
        <v>131</v>
      </c>
      <c r="C293">
        <v>18</v>
      </c>
      <c r="D293" t="s">
        <v>108</v>
      </c>
      <c r="E293" t="s">
        <v>109</v>
      </c>
      <c r="F293" t="s">
        <v>80</v>
      </c>
      <c r="G293">
        <v>1157.3869037125801</v>
      </c>
      <c r="H293">
        <v>0</v>
      </c>
      <c r="I293" t="str">
        <f>OutputTable[[#This Row],[ProjectName]]&amp;OutputTable[[#This Row],[Name]]&amp;OutputTable[[#This Row],[Type]]&amp;OutputTable[[#This Row],[Source]]</f>
        <v>PacientesProcess 2 Accum VA TimeAccum VA TimeProcess</v>
      </c>
      <c r="J293" cm="1">
        <f t="array" ref="J293">MAX(IF((ProjectInfoTable[ProjectName]=OutputTable[[#This Row],[ProjectName]]),(ProjectInfoTable[ProjectName]=OutputTable[[#This Row],[ProjectName]])*ProjectInfoTable[NumberOfReplications]))</f>
        <v>50</v>
      </c>
      <c r="K293" cm="1">
        <f t="array" ref="K293">IFERROR(AVERAGE(IF((OutputTable[GroupByKey]=OutputTable[[#This Row],[GroupByKey]]),(OutputTable[GroupByKey]=OutputTable[[#This Row],[GroupByKey]])*OutputTable[RecordedValue])),0)</f>
        <v>1181.1234936767919</v>
      </c>
      <c r="L293" cm="1">
        <f t="array" ref="L293">IFERROR(_xlfn.STDEV.S(IF((OutputTable[GroupByKey]=OutputTable[[#This Row],[GroupByKey]]),(OutputTable[GroupByKey]=OutputTable[[#This Row],[GroupByKey]])*OutputTable[RecordedValue])),0)</f>
        <v>22.169313666927575</v>
      </c>
      <c r="M293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293" cm="1">
        <f t="array" ref="O293">MIN(IF((OutputTable[GroupByKey]=OutputTable[[#This Row],[GroupByKey]]),(OutputTable[GroupByKey]=OutputTable[[#This Row],[GroupByKey]])*OutputTable[RecordedValue]))</f>
        <v>1133.24622318414</v>
      </c>
      <c r="P293" cm="1">
        <f t="array" ref="P293">MAX(IF((OutputTable[GroupByKey]=OutputTable[[#This Row],[GroupByKey]]),(OutputTable[GroupByKey]=OutputTable[[#This Row],[GroupByKey]])*OutputTable[RecordedValue]))</f>
        <v>1230.9493287309799</v>
      </c>
    </row>
    <row r="294" spans="1:16" x14ac:dyDescent="0.25">
      <c r="A294" t="s">
        <v>68</v>
      </c>
      <c r="B294" t="s">
        <v>131</v>
      </c>
      <c r="C294">
        <v>18</v>
      </c>
      <c r="D294" t="s">
        <v>110</v>
      </c>
      <c r="E294" t="s">
        <v>111</v>
      </c>
      <c r="F294" t="s">
        <v>80</v>
      </c>
      <c r="G294">
        <v>1369.35352045337</v>
      </c>
      <c r="H294">
        <v>0</v>
      </c>
      <c r="I294" t="str">
        <f>OutputTable[[#This Row],[ProjectName]]&amp;OutputTable[[#This Row],[Name]]&amp;OutputTable[[#This Row],[Type]]&amp;OutputTable[[#This Row],[Source]]</f>
        <v>PacientesProcess 2 Accum Wait TimeAccum Wait TimeProcess</v>
      </c>
      <c r="J294" cm="1">
        <f t="array" ref="J294">MAX(IF((ProjectInfoTable[ProjectName]=OutputTable[[#This Row],[ProjectName]]),(ProjectInfoTable[ProjectName]=OutputTable[[#This Row],[ProjectName]])*ProjectInfoTable[NumberOfReplications]))</f>
        <v>50</v>
      </c>
      <c r="K294" cm="1">
        <f t="array" ref="K294">IFERROR(AVERAGE(IF((OutputTable[GroupByKey]=OutputTable[[#This Row],[GroupByKey]]),(OutputTable[GroupByKey]=OutputTable[[#This Row],[GroupByKey]])*OutputTable[RecordedValue])),0)</f>
        <v>1938.7515507466894</v>
      </c>
      <c r="L294" cm="1">
        <f t="array" ref="L294">IFERROR(_xlfn.STDEV.S(IF((OutputTable[GroupByKey]=OutputTable[[#This Row],[GroupByKey]]),(OutputTable[GroupByKey]=OutputTable[[#This Row],[GroupByKey]])*OutputTable[RecordedValue])),0)</f>
        <v>534.03396241838232</v>
      </c>
      <c r="M294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294" cm="1">
        <f t="array" ref="O294">MIN(IF((OutputTable[GroupByKey]=OutputTable[[#This Row],[GroupByKey]]),(OutputTable[GroupByKey]=OutputTable[[#This Row],[GroupByKey]])*OutputTable[RecordedValue]))</f>
        <v>1234.7567994731401</v>
      </c>
      <c r="P294" cm="1">
        <f t="array" ref="P294">MAX(IF((OutputTable[GroupByKey]=OutputTable[[#This Row],[GroupByKey]]),(OutputTable[GroupByKey]=OutputTable[[#This Row],[GroupByKey]])*OutputTable[RecordedValue]))</f>
        <v>3269.0858002883801</v>
      </c>
    </row>
    <row r="295" spans="1:16" x14ac:dyDescent="0.25">
      <c r="A295" t="s">
        <v>68</v>
      </c>
      <c r="B295" t="s">
        <v>131</v>
      </c>
      <c r="C295">
        <v>18</v>
      </c>
      <c r="D295" t="s">
        <v>112</v>
      </c>
      <c r="E295" t="s">
        <v>105</v>
      </c>
      <c r="F295" t="s">
        <v>80</v>
      </c>
      <c r="G295">
        <v>2351</v>
      </c>
      <c r="H295">
        <v>0</v>
      </c>
      <c r="I295" t="str">
        <f>OutputTable[[#This Row],[ProjectName]]&amp;OutputTable[[#This Row],[Name]]&amp;OutputTable[[#This Row],[Type]]&amp;OutputTable[[#This Row],[Source]]</f>
        <v>PacientesProcess 2 Number InNumber InProcess</v>
      </c>
      <c r="J295" cm="1">
        <f t="array" ref="J295">MAX(IF((ProjectInfoTable[ProjectName]=OutputTable[[#This Row],[ProjectName]]),(ProjectInfoTable[ProjectName]=OutputTable[[#This Row],[ProjectName]])*ProjectInfoTable[NumberOfReplications]))</f>
        <v>50</v>
      </c>
      <c r="K295" cm="1">
        <f t="array" ref="K295">IFERROR(AVERAGE(IF((OutputTable[GroupByKey]=OutputTable[[#This Row],[GroupByKey]]),(OutputTable[GroupByKey]=OutputTable[[#This Row],[GroupByKey]])*OutputTable[RecordedValue])),0)</f>
        <v>2404.2399999999998</v>
      </c>
      <c r="L295" cm="1">
        <f t="array" ref="L295">IFERROR(_xlfn.STDEV.S(IF((OutputTable[GroupByKey]=OutputTable[[#This Row],[GroupByKey]]),(OutputTable[GroupByKey]=OutputTable[[#This Row],[GroupByKey]])*OutputTable[RecordedValue])),0)</f>
        <v>46.574303154053879</v>
      </c>
      <c r="M29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295" cm="1">
        <f t="array" ref="O295">MIN(IF((OutputTable[GroupByKey]=OutputTable[[#This Row],[GroupByKey]]),(OutputTable[GroupByKey]=OutputTable[[#This Row],[GroupByKey]])*OutputTable[RecordedValue]))</f>
        <v>2306</v>
      </c>
      <c r="P295" cm="1">
        <f t="array" ref="P295">MAX(IF((OutputTable[GroupByKey]=OutputTable[[#This Row],[GroupByKey]]),(OutputTable[GroupByKey]=OutputTable[[#This Row],[GroupByKey]])*OutputTable[RecordedValue]))</f>
        <v>2518</v>
      </c>
    </row>
    <row r="296" spans="1:16" x14ac:dyDescent="0.25">
      <c r="A296" t="s">
        <v>68</v>
      </c>
      <c r="B296" t="s">
        <v>131</v>
      </c>
      <c r="C296">
        <v>18</v>
      </c>
      <c r="D296" t="s">
        <v>113</v>
      </c>
      <c r="E296" t="s">
        <v>107</v>
      </c>
      <c r="F296" t="s">
        <v>80</v>
      </c>
      <c r="G296">
        <v>2349</v>
      </c>
      <c r="H296">
        <v>0</v>
      </c>
      <c r="I296" t="str">
        <f>OutputTable[[#This Row],[ProjectName]]&amp;OutputTable[[#This Row],[Name]]&amp;OutputTable[[#This Row],[Type]]&amp;OutputTable[[#This Row],[Source]]</f>
        <v>PacientesProcess 2 Number OutNumber OutProcess</v>
      </c>
      <c r="J296" cm="1">
        <f t="array" ref="J296">MAX(IF((ProjectInfoTable[ProjectName]=OutputTable[[#This Row],[ProjectName]]),(ProjectInfoTable[ProjectName]=OutputTable[[#This Row],[ProjectName]])*ProjectInfoTable[NumberOfReplications]))</f>
        <v>50</v>
      </c>
      <c r="K296" cm="1">
        <f t="array" ref="K296">IFERROR(AVERAGE(IF((OutputTable[GroupByKey]=OutputTable[[#This Row],[GroupByKey]]),(OutputTable[GroupByKey]=OutputTable[[#This Row],[GroupByKey]])*OutputTable[RecordedValue])),0)</f>
        <v>2400.2800000000002</v>
      </c>
      <c r="L296" cm="1">
        <f t="array" ref="L296">IFERROR(_xlfn.STDEV.S(IF((OutputTable[GroupByKey]=OutputTable[[#This Row],[GroupByKey]]),(OutputTable[GroupByKey]=OutputTable[[#This Row],[GroupByKey]])*OutputTable[RecordedValue])),0)</f>
        <v>46.409024456676619</v>
      </c>
      <c r="M296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296" cm="1">
        <f t="array" ref="O296">MIN(IF((OutputTable[GroupByKey]=OutputTable[[#This Row],[GroupByKey]]),(OutputTable[GroupByKey]=OutputTable[[#This Row],[GroupByKey]])*OutputTable[RecordedValue]))</f>
        <v>2305</v>
      </c>
      <c r="P296" cm="1">
        <f t="array" ref="P296">MAX(IF((OutputTable[GroupByKey]=OutputTable[[#This Row],[GroupByKey]]),(OutputTable[GroupByKey]=OutputTable[[#This Row],[GroupByKey]])*OutputTable[RecordedValue]))</f>
        <v>2504</v>
      </c>
    </row>
    <row r="297" spans="1:16" x14ac:dyDescent="0.25">
      <c r="A297" t="s">
        <v>68</v>
      </c>
      <c r="B297" t="s">
        <v>131</v>
      </c>
      <c r="C297">
        <v>18</v>
      </c>
      <c r="D297" t="s">
        <v>114</v>
      </c>
      <c r="E297" t="s">
        <v>109</v>
      </c>
      <c r="F297" t="s">
        <v>80</v>
      </c>
      <c r="G297">
        <v>332.70788036569598</v>
      </c>
      <c r="H297">
        <v>0</v>
      </c>
      <c r="I297" t="str">
        <f>OutputTable[[#This Row],[ProjectName]]&amp;OutputTable[[#This Row],[Name]]&amp;OutputTable[[#This Row],[Type]]&amp;OutputTable[[#This Row],[Source]]</f>
        <v>PacientesRegistro Accum VA TimeAccum VA TimeProcess</v>
      </c>
      <c r="J297" cm="1">
        <f t="array" ref="J297">MAX(IF((ProjectInfoTable[ProjectName]=OutputTable[[#This Row],[ProjectName]]),(ProjectInfoTable[ProjectName]=OutputTable[[#This Row],[ProjectName]])*ProjectInfoTable[NumberOfReplications]))</f>
        <v>50</v>
      </c>
      <c r="K297" cm="1">
        <f t="array" ref="K297">IFERROR(AVERAGE(IF((OutputTable[GroupByKey]=OutputTable[[#This Row],[GroupByKey]]),(OutputTable[GroupByKey]=OutputTable[[#This Row],[GroupByKey]])*OutputTable[RecordedValue])),0)</f>
        <v>339.53547737062786</v>
      </c>
      <c r="L297" cm="1">
        <f t="array" ref="L297">IFERROR(_xlfn.STDEV.S(IF((OutputTable[GroupByKey]=OutputTable[[#This Row],[GroupByKey]]),(OutputTable[GroupByKey]=OutputTable[[#This Row],[GroupByKey]])*OutputTable[RecordedValue])),0)</f>
        <v>6.9723666109353193</v>
      </c>
      <c r="M297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297" cm="1">
        <f t="array" ref="O297">MIN(IF((OutputTable[GroupByKey]=OutputTable[[#This Row],[GroupByKey]]),(OutputTable[GroupByKey]=OutputTable[[#This Row],[GroupByKey]])*OutputTable[RecordedValue]))</f>
        <v>325.606879158418</v>
      </c>
      <c r="P297" cm="1">
        <f t="array" ref="P297">MAX(IF((OutputTable[GroupByKey]=OutputTable[[#This Row],[GroupByKey]]),(OutputTable[GroupByKey]=OutputTable[[#This Row],[GroupByKey]])*OutputTable[RecordedValue]))</f>
        <v>357.77609013379703</v>
      </c>
    </row>
    <row r="298" spans="1:16" x14ac:dyDescent="0.25">
      <c r="A298" t="s">
        <v>68</v>
      </c>
      <c r="B298" t="s">
        <v>131</v>
      </c>
      <c r="C298">
        <v>18</v>
      </c>
      <c r="D298" t="s">
        <v>115</v>
      </c>
      <c r="E298" t="s">
        <v>111</v>
      </c>
      <c r="F298" t="s">
        <v>80</v>
      </c>
      <c r="G298">
        <v>147.79762235690001</v>
      </c>
      <c r="H298">
        <v>0</v>
      </c>
      <c r="I298" t="str">
        <f>OutputTable[[#This Row],[ProjectName]]&amp;OutputTable[[#This Row],[Name]]&amp;OutputTable[[#This Row],[Type]]&amp;OutputTable[[#This Row],[Source]]</f>
        <v>PacientesRegistro Accum Wait TimeAccum Wait TimeProcess</v>
      </c>
      <c r="J298" cm="1">
        <f t="array" ref="J298">MAX(IF((ProjectInfoTable[ProjectName]=OutputTable[[#This Row],[ProjectName]]),(ProjectInfoTable[ProjectName]=OutputTable[[#This Row],[ProjectName]])*ProjectInfoTable[NumberOfReplications]))</f>
        <v>50</v>
      </c>
      <c r="K298" cm="1">
        <f t="array" ref="K298">IFERROR(AVERAGE(IF((OutputTable[GroupByKey]=OutputTable[[#This Row],[GroupByKey]]),(OutputTable[GroupByKey]=OutputTable[[#This Row],[GroupByKey]])*OutputTable[RecordedValue])),0)</f>
        <v>154.15303898127775</v>
      </c>
      <c r="L298" cm="1">
        <f t="array" ref="L298">IFERROR(_xlfn.STDEV.S(IF((OutputTable[GroupByKey]=OutputTable[[#This Row],[GroupByKey]]),(OutputTable[GroupByKey]=OutputTable[[#This Row],[GroupByKey]])*OutputTable[RecordedValue])),0)</f>
        <v>12.141439184615397</v>
      </c>
      <c r="M298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298" cm="1">
        <f t="array" ref="O298">MIN(IF((OutputTable[GroupByKey]=OutputTable[[#This Row],[GroupByKey]]),(OutputTable[GroupByKey]=OutputTable[[#This Row],[GroupByKey]])*OutputTable[RecordedValue]))</f>
        <v>123.901613974094</v>
      </c>
      <c r="P298" cm="1">
        <f t="array" ref="P298">MAX(IF((OutputTable[GroupByKey]=OutputTable[[#This Row],[GroupByKey]]),(OutputTable[GroupByKey]=OutputTable[[#This Row],[GroupByKey]])*OutputTable[RecordedValue]))</f>
        <v>178.441307284473</v>
      </c>
    </row>
    <row r="299" spans="1:16" x14ac:dyDescent="0.25">
      <c r="A299" t="s">
        <v>68</v>
      </c>
      <c r="B299" t="s">
        <v>131</v>
      </c>
      <c r="C299">
        <v>18</v>
      </c>
      <c r="D299" t="s">
        <v>116</v>
      </c>
      <c r="E299" t="s">
        <v>105</v>
      </c>
      <c r="F299" t="s">
        <v>80</v>
      </c>
      <c r="G299">
        <v>2213</v>
      </c>
      <c r="H299">
        <v>0</v>
      </c>
      <c r="I299" t="str">
        <f>OutputTable[[#This Row],[ProjectName]]&amp;OutputTable[[#This Row],[Name]]&amp;OutputTable[[#This Row],[Type]]&amp;OutputTable[[#This Row],[Source]]</f>
        <v>PacientesRegistro Number InNumber InProcess</v>
      </c>
      <c r="J299" cm="1">
        <f t="array" ref="J299">MAX(IF((ProjectInfoTable[ProjectName]=OutputTable[[#This Row],[ProjectName]]),(ProjectInfoTable[ProjectName]=OutputTable[[#This Row],[ProjectName]])*ProjectInfoTable[NumberOfReplications]))</f>
        <v>50</v>
      </c>
      <c r="K299" cm="1">
        <f t="array" ref="K299">IFERROR(AVERAGE(IF((OutputTable[GroupByKey]=OutputTable[[#This Row],[GroupByKey]]),(OutputTable[GroupByKey]=OutputTable[[#This Row],[GroupByKey]])*OutputTable[RecordedValue])),0)</f>
        <v>2263.2399999999998</v>
      </c>
      <c r="L299" cm="1">
        <f t="array" ref="L299">IFERROR(_xlfn.STDEV.S(IF((OutputTable[GroupByKey]=OutputTable[[#This Row],[GroupByKey]]),(OutputTable[GroupByKey]=OutputTable[[#This Row],[GroupByKey]])*OutputTable[RecordedValue])),0)</f>
        <v>47.331035682472766</v>
      </c>
      <c r="M299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299" cm="1">
        <f t="array" ref="O299">MIN(IF((OutputTable[GroupByKey]=OutputTable[[#This Row],[GroupByKey]]),(OutputTable[GroupByKey]=OutputTable[[#This Row],[GroupByKey]])*OutputTable[RecordedValue]))</f>
        <v>2172</v>
      </c>
      <c r="P299" cm="1">
        <f t="array" ref="P299">MAX(IF((OutputTable[GroupByKey]=OutputTable[[#This Row],[GroupByKey]]),(OutputTable[GroupByKey]=OutputTable[[#This Row],[GroupByKey]])*OutputTable[RecordedValue]))</f>
        <v>2386</v>
      </c>
    </row>
    <row r="300" spans="1:16" x14ac:dyDescent="0.25">
      <c r="A300" t="s">
        <v>68</v>
      </c>
      <c r="B300" t="s">
        <v>131</v>
      </c>
      <c r="C300">
        <v>18</v>
      </c>
      <c r="D300" t="s">
        <v>117</v>
      </c>
      <c r="E300" t="s">
        <v>107</v>
      </c>
      <c r="F300" t="s">
        <v>80</v>
      </c>
      <c r="G300">
        <v>2213</v>
      </c>
      <c r="H300">
        <v>0</v>
      </c>
      <c r="I300" t="str">
        <f>OutputTable[[#This Row],[ProjectName]]&amp;OutputTable[[#This Row],[Name]]&amp;OutputTable[[#This Row],[Type]]&amp;OutputTable[[#This Row],[Source]]</f>
        <v>PacientesRegistro Number OutNumber OutProcess</v>
      </c>
      <c r="J300" cm="1">
        <f t="array" ref="J300">MAX(IF((ProjectInfoTable[ProjectName]=OutputTable[[#This Row],[ProjectName]]),(ProjectInfoTable[ProjectName]=OutputTable[[#This Row],[ProjectName]])*ProjectInfoTable[NumberOfReplications]))</f>
        <v>50</v>
      </c>
      <c r="K300" cm="1">
        <f t="array" ref="K300">IFERROR(AVERAGE(IF((OutputTable[GroupByKey]=OutputTable[[#This Row],[GroupByKey]]),(OutputTable[GroupByKey]=OutputTable[[#This Row],[GroupByKey]])*OutputTable[RecordedValue])),0)</f>
        <v>2262.66</v>
      </c>
      <c r="L300" cm="1">
        <f t="array" ref="L300">IFERROR(_xlfn.STDEV.S(IF((OutputTable[GroupByKey]=OutputTable[[#This Row],[GroupByKey]]),(OutputTable[GroupByKey]=OutputTable[[#This Row],[GroupByKey]])*OutputTable[RecordedValue])),0)</f>
        <v>47.488176831454687</v>
      </c>
      <c r="M300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300" cm="1">
        <f t="array" ref="O300">MIN(IF((OutputTable[GroupByKey]=OutputTable[[#This Row],[GroupByKey]]),(OutputTable[GroupByKey]=OutputTable[[#This Row],[GroupByKey]])*OutputTable[RecordedValue]))</f>
        <v>2171</v>
      </c>
      <c r="P300" cm="1">
        <f t="array" ref="P300">MAX(IF((OutputTable[GroupByKey]=OutputTable[[#This Row],[GroupByKey]]),(OutputTable[GroupByKey]=OutputTable[[#This Row],[GroupByKey]])*OutputTable[RecordedValue]))</f>
        <v>2386</v>
      </c>
    </row>
    <row r="301" spans="1:16" x14ac:dyDescent="0.25">
      <c r="A301" t="s">
        <v>68</v>
      </c>
      <c r="B301" t="s">
        <v>131</v>
      </c>
      <c r="C301">
        <v>18</v>
      </c>
      <c r="D301" t="s">
        <v>118</v>
      </c>
      <c r="E301" t="s">
        <v>107</v>
      </c>
      <c r="F301" t="s">
        <v>119</v>
      </c>
      <c r="G301">
        <v>2349</v>
      </c>
      <c r="H301">
        <v>0</v>
      </c>
      <c r="I301" t="str">
        <f>OutputTable[[#This Row],[ProjectName]]&amp;OutputTable[[#This Row],[Name]]&amp;OutputTable[[#This Row],[Type]]&amp;OutputTable[[#This Row],[Source]]</f>
        <v>PacientesSystem.NumberOutNumber OutSystem</v>
      </c>
      <c r="J301" cm="1">
        <f t="array" ref="J301">MAX(IF((ProjectInfoTable[ProjectName]=OutputTable[[#This Row],[ProjectName]]),(ProjectInfoTable[ProjectName]=OutputTable[[#This Row],[ProjectName]])*ProjectInfoTable[NumberOfReplications]))</f>
        <v>50</v>
      </c>
      <c r="K301" cm="1">
        <f t="array" ref="K301">IFERROR(AVERAGE(IF((OutputTable[GroupByKey]=OutputTable[[#This Row],[GroupByKey]]),(OutputTable[GroupByKey]=OutputTable[[#This Row],[GroupByKey]])*OutputTable[RecordedValue])),0)</f>
        <v>2400.2800000000002</v>
      </c>
      <c r="L301" cm="1">
        <f t="array" ref="L301">IFERROR(_xlfn.STDEV.S(IF((OutputTable[GroupByKey]=OutputTable[[#This Row],[GroupByKey]]),(OutputTable[GroupByKey]=OutputTable[[#This Row],[GroupByKey]])*OutputTable[RecordedValue])),0)</f>
        <v>46.409024456676619</v>
      </c>
      <c r="M301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01" cm="1">
        <f t="array" ref="O301">MIN(IF((OutputTable[GroupByKey]=OutputTable[[#This Row],[GroupByKey]]),(OutputTable[GroupByKey]=OutputTable[[#This Row],[GroupByKey]])*OutputTable[RecordedValue]))</f>
        <v>2305</v>
      </c>
      <c r="P301" cm="1">
        <f t="array" ref="P301">MAX(IF((OutputTable[GroupByKey]=OutputTable[[#This Row],[GroupByKey]]),(OutputTable[GroupByKey]=OutputTable[[#This Row],[GroupByKey]])*OutputTable[RecordedValue]))</f>
        <v>2504</v>
      </c>
    </row>
    <row r="302" spans="1:16" x14ac:dyDescent="0.25">
      <c r="A302" t="s">
        <v>68</v>
      </c>
      <c r="B302" t="s">
        <v>131</v>
      </c>
      <c r="C302">
        <v>18</v>
      </c>
      <c r="D302" t="s">
        <v>120</v>
      </c>
      <c r="E302" t="s">
        <v>121</v>
      </c>
      <c r="F302" t="s">
        <v>99</v>
      </c>
      <c r="G302">
        <v>2351</v>
      </c>
      <c r="H302">
        <v>0</v>
      </c>
      <c r="I302" t="str">
        <f>OutputTable[[#This Row],[ProjectName]]&amp;OutputTable[[#This Row],[Name]]&amp;OutputTable[[#This Row],[Type]]&amp;OutputTable[[#This Row],[Source]]</f>
        <v>PacientesrCamas.NumberSeizedTotal Number SeizedResource</v>
      </c>
      <c r="J302" cm="1">
        <f t="array" ref="J302">MAX(IF((ProjectInfoTable[ProjectName]=OutputTable[[#This Row],[ProjectName]]),(ProjectInfoTable[ProjectName]=OutputTable[[#This Row],[ProjectName]])*ProjectInfoTable[NumberOfReplications]))</f>
        <v>50</v>
      </c>
      <c r="K302" cm="1">
        <f t="array" ref="K302">IFERROR(AVERAGE(IF((OutputTable[GroupByKey]=OutputTable[[#This Row],[GroupByKey]]),(OutputTable[GroupByKey]=OutputTable[[#This Row],[GroupByKey]])*OutputTable[RecordedValue])),0)</f>
        <v>2401.9</v>
      </c>
      <c r="L302" cm="1">
        <f t="array" ref="L302">IFERROR(_xlfn.STDEV.S(IF((OutputTable[GroupByKey]=OutputTable[[#This Row],[GroupByKey]]),(OutputTable[GroupByKey]=OutputTable[[#This Row],[GroupByKey]])*OutputTable[RecordedValue])),0)</f>
        <v>46.417031532903209</v>
      </c>
      <c r="M302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02" cm="1">
        <f t="array" ref="O302">MIN(IF((OutputTable[GroupByKey]=OutputTable[[#This Row],[GroupByKey]]),(OutputTable[GroupByKey]=OutputTable[[#This Row],[GroupByKey]])*OutputTable[RecordedValue]))</f>
        <v>2306</v>
      </c>
      <c r="P302" cm="1">
        <f t="array" ref="P302">MAX(IF((OutputTable[GroupByKey]=OutputTable[[#This Row],[GroupByKey]]),(OutputTable[GroupByKey]=OutputTable[[#This Row],[GroupByKey]])*OutputTable[RecordedValue]))</f>
        <v>2506</v>
      </c>
    </row>
    <row r="303" spans="1:16" x14ac:dyDescent="0.25">
      <c r="A303" t="s">
        <v>68</v>
      </c>
      <c r="B303" t="s">
        <v>131</v>
      </c>
      <c r="C303">
        <v>18</v>
      </c>
      <c r="D303" t="s">
        <v>122</v>
      </c>
      <c r="E303" t="s">
        <v>123</v>
      </c>
      <c r="F303" t="s">
        <v>99</v>
      </c>
      <c r="G303">
        <v>0.53613999991366201</v>
      </c>
      <c r="H303">
        <v>0</v>
      </c>
      <c r="I303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303" cm="1">
        <f t="array" ref="J303">MAX(IF((ProjectInfoTable[ProjectName]=OutputTable[[#This Row],[ProjectName]]),(ProjectInfoTable[ProjectName]=OutputTable[[#This Row],[ProjectName]])*ProjectInfoTable[NumberOfReplications]))</f>
        <v>50</v>
      </c>
      <c r="K303" cm="1">
        <f t="array" ref="K303">IFERROR(AVERAGE(IF((OutputTable[GroupByKey]=OutputTable[[#This Row],[GroupByKey]]),(OutputTable[GroupByKey]=OutputTable[[#This Row],[GroupByKey]])*OutputTable[RecordedValue])),0)</f>
        <v>0.54703961359050601</v>
      </c>
      <c r="L303" cm="1">
        <f t="array" ref="L303">IFERROR(_xlfn.STDEV.S(IF((OutputTable[GroupByKey]=OutputTable[[#This Row],[GroupByKey]]),(OutputTable[GroupByKey]=OutputTable[[#This Row],[GroupByKey]])*OutputTable[RecordedValue])),0)</f>
        <v>1.0221170008030479E-2</v>
      </c>
      <c r="M303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303" cm="1">
        <f t="array" ref="O303">MIN(IF((OutputTable[GroupByKey]=OutputTable[[#This Row],[GroupByKey]]),(OutputTable[GroupByKey]=OutputTable[[#This Row],[GroupByKey]])*OutputTable[RecordedValue]))</f>
        <v>0.52470641844357901</v>
      </c>
      <c r="P303" cm="1">
        <f t="array" ref="P303">MAX(IF((OutputTable[GroupByKey]=OutputTable[[#This Row],[GroupByKey]]),(OutputTable[GroupByKey]=OutputTable[[#This Row],[GroupByKey]])*OutputTable[RecordedValue]))</f>
        <v>0.57005812966092295</v>
      </c>
    </row>
    <row r="304" spans="1:16" x14ac:dyDescent="0.25">
      <c r="A304" t="s">
        <v>68</v>
      </c>
      <c r="B304" t="s">
        <v>131</v>
      </c>
      <c r="C304">
        <v>18</v>
      </c>
      <c r="D304" t="s">
        <v>124</v>
      </c>
      <c r="E304" t="s">
        <v>121</v>
      </c>
      <c r="F304" t="s">
        <v>99</v>
      </c>
      <c r="G304">
        <v>2351</v>
      </c>
      <c r="H304">
        <v>0</v>
      </c>
      <c r="I304" t="str">
        <f>OutputTable[[#This Row],[ProjectName]]&amp;OutputTable[[#This Row],[Name]]&amp;OutputTable[[#This Row],[Type]]&amp;OutputTable[[#This Row],[Source]]</f>
        <v>PacientesrMedico.NumberSeizedTotal Number SeizedResource</v>
      </c>
      <c r="J304" cm="1">
        <f t="array" ref="J304">MAX(IF((ProjectInfoTable[ProjectName]=OutputTable[[#This Row],[ProjectName]]),(ProjectInfoTable[ProjectName]=OutputTable[[#This Row],[ProjectName]])*ProjectInfoTable[NumberOfReplications]))</f>
        <v>50</v>
      </c>
      <c r="K304" cm="1">
        <f t="array" ref="K304">IFERROR(AVERAGE(IF((OutputTable[GroupByKey]=OutputTable[[#This Row],[GroupByKey]]),(OutputTable[GroupByKey]=OutputTable[[#This Row],[GroupByKey]])*OutputTable[RecordedValue])),0)</f>
        <v>2401.9</v>
      </c>
      <c r="L304" cm="1">
        <f t="array" ref="L304">IFERROR(_xlfn.STDEV.S(IF((OutputTable[GroupByKey]=OutputTable[[#This Row],[GroupByKey]]),(OutputTable[GroupByKey]=OutputTable[[#This Row],[GroupByKey]])*OutputTable[RecordedValue])),0)</f>
        <v>46.417031532903209</v>
      </c>
      <c r="M304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04" cm="1">
        <f t="array" ref="O304">MIN(IF((OutputTable[GroupByKey]=OutputTable[[#This Row],[GroupByKey]]),(OutputTable[GroupByKey]=OutputTable[[#This Row],[GroupByKey]])*OutputTable[RecordedValue]))</f>
        <v>2306</v>
      </c>
      <c r="P304" cm="1">
        <f t="array" ref="P304">MAX(IF((OutputTable[GroupByKey]=OutputTable[[#This Row],[GroupByKey]]),(OutputTable[GroupByKey]=OutputTable[[#This Row],[GroupByKey]])*OutputTable[RecordedValue]))</f>
        <v>2506</v>
      </c>
    </row>
    <row r="305" spans="1:16" x14ac:dyDescent="0.25">
      <c r="A305" t="s">
        <v>68</v>
      </c>
      <c r="B305" t="s">
        <v>131</v>
      </c>
      <c r="C305">
        <v>18</v>
      </c>
      <c r="D305" t="s">
        <v>125</v>
      </c>
      <c r="E305" t="s">
        <v>123</v>
      </c>
      <c r="F305" t="s">
        <v>99</v>
      </c>
      <c r="G305">
        <v>0.80420999987049302</v>
      </c>
      <c r="H305">
        <v>0</v>
      </c>
      <c r="I305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305" cm="1">
        <f t="array" ref="J305">MAX(IF((ProjectInfoTable[ProjectName]=OutputTable[[#This Row],[ProjectName]]),(ProjectInfoTable[ProjectName]=OutputTable[[#This Row],[ProjectName]])*ProjectInfoTable[NumberOfReplications]))</f>
        <v>50</v>
      </c>
      <c r="K305" cm="1">
        <f t="array" ref="K305">IFERROR(AVERAGE(IF((OutputTable[GroupByKey]=OutputTable[[#This Row],[GroupByKey]]),(OutputTable[GroupByKey]=OutputTable[[#This Row],[GroupByKey]])*OutputTable[RecordedValue])),0)</f>
        <v>0.82055942038575935</v>
      </c>
      <c r="L305" cm="1">
        <f t="array" ref="L305">IFERROR(_xlfn.STDEV.S(IF((OutputTable[GroupByKey]=OutputTable[[#This Row],[GroupByKey]]),(OutputTable[GroupByKey]=OutputTable[[#This Row],[GroupByKey]])*OutputTable[RecordedValue])),0)</f>
        <v>1.5331755012045719E-2</v>
      </c>
      <c r="M30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305" cm="1">
        <f t="array" ref="O305">MIN(IF((OutputTable[GroupByKey]=OutputTable[[#This Row],[GroupByKey]]),(OutputTable[GroupByKey]=OutputTable[[#This Row],[GroupByKey]])*OutputTable[RecordedValue]))</f>
        <v>0.78705962766536897</v>
      </c>
      <c r="P305" cm="1">
        <f t="array" ref="P305">MAX(IF((OutputTable[GroupByKey]=OutputTable[[#This Row],[GroupByKey]]),(OutputTable[GroupByKey]=OutputTable[[#This Row],[GroupByKey]])*OutputTable[RecordedValue]))</f>
        <v>0.85508719449138504</v>
      </c>
    </row>
    <row r="306" spans="1:16" x14ac:dyDescent="0.25">
      <c r="A306" t="s">
        <v>68</v>
      </c>
      <c r="B306" t="s">
        <v>131</v>
      </c>
      <c r="C306">
        <v>18</v>
      </c>
      <c r="D306" t="s">
        <v>126</v>
      </c>
      <c r="E306" t="s">
        <v>121</v>
      </c>
      <c r="F306" t="s">
        <v>99</v>
      </c>
      <c r="G306">
        <v>2213</v>
      </c>
      <c r="H306">
        <v>0</v>
      </c>
      <c r="I306" t="str">
        <f>OutputTable[[#This Row],[ProjectName]]&amp;OutputTable[[#This Row],[Name]]&amp;OutputTable[[#This Row],[Type]]&amp;OutputTable[[#This Row],[Source]]</f>
        <v>PacientesrRegistradora.NumberSeizedTotal Number SeizedResource</v>
      </c>
      <c r="J306" cm="1">
        <f t="array" ref="J306">MAX(IF((ProjectInfoTable[ProjectName]=OutputTable[[#This Row],[ProjectName]]),(ProjectInfoTable[ProjectName]=OutputTable[[#This Row],[ProjectName]])*ProjectInfoTable[NumberOfReplications]))</f>
        <v>50</v>
      </c>
      <c r="K306" cm="1">
        <f t="array" ref="K306">IFERROR(AVERAGE(IF((OutputTable[GroupByKey]=OutputTable[[#This Row],[GroupByKey]]),(OutputTable[GroupByKey]=OutputTable[[#This Row],[GroupByKey]])*OutputTable[RecordedValue])),0)</f>
        <v>2263.14</v>
      </c>
      <c r="L306" cm="1">
        <f t="array" ref="L306">IFERROR(_xlfn.STDEV.S(IF((OutputTable[GroupByKey]=OutputTable[[#This Row],[GroupByKey]]),(OutputTable[GroupByKey]=OutputTable[[#This Row],[GroupByKey]])*OutputTable[RecordedValue])),0)</f>
        <v>47.386818971575821</v>
      </c>
      <c r="M306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306" cm="1">
        <f t="array" ref="O306">MIN(IF((OutputTable[GroupByKey]=OutputTable[[#This Row],[GroupByKey]]),(OutputTable[GroupByKey]=OutputTable[[#This Row],[GroupByKey]])*OutputTable[RecordedValue]))</f>
        <v>2172</v>
      </c>
      <c r="P306" cm="1">
        <f t="array" ref="P306">MAX(IF((OutputTable[GroupByKey]=OutputTable[[#This Row],[GroupByKey]]),(OutputTable[GroupByKey]=OutputTable[[#This Row],[GroupByKey]])*OutputTable[RecordedValue]))</f>
        <v>2386</v>
      </c>
    </row>
    <row r="307" spans="1:16" x14ac:dyDescent="0.25">
      <c r="A307" t="s">
        <v>68</v>
      </c>
      <c r="B307" t="s">
        <v>131</v>
      </c>
      <c r="C307">
        <v>18</v>
      </c>
      <c r="D307" t="s">
        <v>127</v>
      </c>
      <c r="E307" t="s">
        <v>123</v>
      </c>
      <c r="F307" t="s">
        <v>99</v>
      </c>
      <c r="G307">
        <v>0.462094278285689</v>
      </c>
      <c r="H307">
        <v>0</v>
      </c>
      <c r="I307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307" cm="1">
        <f t="array" ref="J307">MAX(IF((ProjectInfoTable[ProjectName]=OutputTable[[#This Row],[ProjectName]]),(ProjectInfoTable[ProjectName]=OutputTable[[#This Row],[ProjectName]])*ProjectInfoTable[NumberOfReplications]))</f>
        <v>50</v>
      </c>
      <c r="K307" cm="1">
        <f t="array" ref="K307">IFERROR(AVERAGE(IF((OutputTable[GroupByKey]=OutputTable[[#This Row],[GroupByKey]]),(OutputTable[GroupByKey]=OutputTable[[#This Row],[GroupByKey]])*OutputTable[RecordedValue])),0)</f>
        <v>0.47162762933545666</v>
      </c>
      <c r="L307" cm="1">
        <f t="array" ref="L307">IFERROR(_xlfn.STDEV.S(IF((OutputTable[GroupByKey]=OutputTable[[#This Row],[GroupByKey]]),(OutputTable[GroupByKey]=OutputTable[[#This Row],[GroupByKey]])*OutputTable[RecordedValue])),0)</f>
        <v>9.6615227076777797E-3</v>
      </c>
      <c r="M307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307" cm="1">
        <f t="array" ref="O307">MIN(IF((OutputTable[GroupByKey]=OutputTable[[#This Row],[GroupByKey]]),(OutputTable[GroupByKey]=OutputTable[[#This Row],[GroupByKey]])*OutputTable[RecordedValue]))</f>
        <v>0.452397944183905</v>
      </c>
      <c r="P307" cm="1">
        <f t="array" ref="P307">MAX(IF((OutputTable[GroupByKey]=OutputTable[[#This Row],[GroupByKey]]),(OutputTable[GroupByKey]=OutputTable[[#This Row],[GroupByKey]])*OutputTable[RecordedValue]))</f>
        <v>0.49691123629694001</v>
      </c>
    </row>
    <row r="308" spans="1:16" x14ac:dyDescent="0.25">
      <c r="A308" t="s">
        <v>68</v>
      </c>
      <c r="B308" t="s">
        <v>131</v>
      </c>
      <c r="C308">
        <v>19</v>
      </c>
      <c r="D308" t="s">
        <v>104</v>
      </c>
      <c r="E308" t="s">
        <v>105</v>
      </c>
      <c r="F308" t="s">
        <v>72</v>
      </c>
      <c r="G308">
        <v>2364</v>
      </c>
      <c r="H308">
        <v>0</v>
      </c>
      <c r="I308" t="str">
        <f>OutputTable[[#This Row],[ProjectName]]&amp;OutputTable[[#This Row],[Name]]&amp;OutputTable[[#This Row],[Type]]&amp;OutputTable[[#This Row],[Source]]</f>
        <v>PacientesEntity 1.NumberInNumber InEntity</v>
      </c>
      <c r="J308" cm="1">
        <f t="array" ref="J308">MAX(IF((ProjectInfoTable[ProjectName]=OutputTable[[#This Row],[ProjectName]]),(ProjectInfoTable[ProjectName]=OutputTable[[#This Row],[ProjectName]])*ProjectInfoTable[NumberOfReplications]))</f>
        <v>50</v>
      </c>
      <c r="K308" cm="1">
        <f t="array" ref="K308">IFERROR(AVERAGE(IF((OutputTable[GroupByKey]=OutputTable[[#This Row],[GroupByKey]]),(OutputTable[GroupByKey]=OutputTable[[#This Row],[GroupByKey]])*OutputTable[RecordedValue])),0)</f>
        <v>2404.8200000000002</v>
      </c>
      <c r="L308" cm="1">
        <f t="array" ref="L308">IFERROR(_xlfn.STDEV.S(IF((OutputTable[GroupByKey]=OutputTable[[#This Row],[GroupByKey]]),(OutputTable[GroupByKey]=OutputTable[[#This Row],[GroupByKey]])*OutputTable[RecordedValue])),0)</f>
        <v>46.42953405595474</v>
      </c>
      <c r="M308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308" cm="1">
        <f t="array" ref="O308">MIN(IF((OutputTable[GroupByKey]=OutputTable[[#This Row],[GroupByKey]]),(OutputTable[GroupByKey]=OutputTable[[#This Row],[GroupByKey]])*OutputTable[RecordedValue]))</f>
        <v>2307</v>
      </c>
      <c r="P308" cm="1">
        <f t="array" ref="P308">MAX(IF((OutputTable[GroupByKey]=OutputTable[[#This Row],[GroupByKey]]),(OutputTable[GroupByKey]=OutputTable[[#This Row],[GroupByKey]])*OutputTable[RecordedValue]))</f>
        <v>2518</v>
      </c>
    </row>
    <row r="309" spans="1:16" x14ac:dyDescent="0.25">
      <c r="A309" t="s">
        <v>68</v>
      </c>
      <c r="B309" t="s">
        <v>131</v>
      </c>
      <c r="C309">
        <v>19</v>
      </c>
      <c r="D309" t="s">
        <v>106</v>
      </c>
      <c r="E309" t="s">
        <v>107</v>
      </c>
      <c r="F309" t="s">
        <v>72</v>
      </c>
      <c r="G309">
        <v>2352</v>
      </c>
      <c r="H309">
        <v>0</v>
      </c>
      <c r="I309" t="str">
        <f>OutputTable[[#This Row],[ProjectName]]&amp;OutputTable[[#This Row],[Name]]&amp;OutputTable[[#This Row],[Type]]&amp;OutputTable[[#This Row],[Source]]</f>
        <v>PacientesEntity 1.NumberOutNumber OutEntity</v>
      </c>
      <c r="J309" cm="1">
        <f t="array" ref="J309">MAX(IF((ProjectInfoTable[ProjectName]=OutputTable[[#This Row],[ProjectName]]),(ProjectInfoTable[ProjectName]=OutputTable[[#This Row],[ProjectName]])*ProjectInfoTable[NumberOfReplications]))</f>
        <v>50</v>
      </c>
      <c r="K309" cm="1">
        <f t="array" ref="K309">IFERROR(AVERAGE(IF((OutputTable[GroupByKey]=OutputTable[[#This Row],[GroupByKey]]),(OutputTable[GroupByKey]=OutputTable[[#This Row],[GroupByKey]])*OutputTable[RecordedValue])),0)</f>
        <v>2400.2800000000002</v>
      </c>
      <c r="L309" cm="1">
        <f t="array" ref="L309">IFERROR(_xlfn.STDEV.S(IF((OutputTable[GroupByKey]=OutputTable[[#This Row],[GroupByKey]]),(OutputTable[GroupByKey]=OutputTable[[#This Row],[GroupByKey]])*OutputTable[RecordedValue])),0)</f>
        <v>46.409024456676619</v>
      </c>
      <c r="M309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09" cm="1">
        <f t="array" ref="O309">MIN(IF((OutputTable[GroupByKey]=OutputTable[[#This Row],[GroupByKey]]),(OutputTable[GroupByKey]=OutputTable[[#This Row],[GroupByKey]])*OutputTable[RecordedValue]))</f>
        <v>2305</v>
      </c>
      <c r="P309" cm="1">
        <f t="array" ref="P309">MAX(IF((OutputTable[GroupByKey]=OutputTable[[#This Row],[GroupByKey]]),(OutputTable[GroupByKey]=OutputTable[[#This Row],[GroupByKey]])*OutputTable[RecordedValue]))</f>
        <v>2504</v>
      </c>
    </row>
    <row r="310" spans="1:16" x14ac:dyDescent="0.25">
      <c r="A310" t="s">
        <v>68</v>
      </c>
      <c r="B310" t="s">
        <v>131</v>
      </c>
      <c r="C310">
        <v>19</v>
      </c>
      <c r="D310" t="s">
        <v>108</v>
      </c>
      <c r="E310" t="s">
        <v>109</v>
      </c>
      <c r="F310" t="s">
        <v>80</v>
      </c>
      <c r="G310">
        <v>1158.2671698618201</v>
      </c>
      <c r="H310">
        <v>0</v>
      </c>
      <c r="I310" t="str">
        <f>OutputTable[[#This Row],[ProjectName]]&amp;OutputTable[[#This Row],[Name]]&amp;OutputTable[[#This Row],[Type]]&amp;OutputTable[[#This Row],[Source]]</f>
        <v>PacientesProcess 2 Accum VA TimeAccum VA TimeProcess</v>
      </c>
      <c r="J310" cm="1">
        <f t="array" ref="J310">MAX(IF((ProjectInfoTable[ProjectName]=OutputTable[[#This Row],[ProjectName]]),(ProjectInfoTable[ProjectName]=OutputTable[[#This Row],[ProjectName]])*ProjectInfoTable[NumberOfReplications]))</f>
        <v>50</v>
      </c>
      <c r="K310" cm="1">
        <f t="array" ref="K310">IFERROR(AVERAGE(IF((OutputTable[GroupByKey]=OutputTable[[#This Row],[GroupByKey]]),(OutputTable[GroupByKey]=OutputTable[[#This Row],[GroupByKey]])*OutputTable[RecordedValue])),0)</f>
        <v>1181.1234936767919</v>
      </c>
      <c r="L310" cm="1">
        <f t="array" ref="L310">IFERROR(_xlfn.STDEV.S(IF((OutputTable[GroupByKey]=OutputTable[[#This Row],[GroupByKey]]),(OutputTable[GroupByKey]=OutputTable[[#This Row],[GroupByKey]])*OutputTable[RecordedValue])),0)</f>
        <v>22.169313666927575</v>
      </c>
      <c r="M310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310" cm="1">
        <f t="array" ref="O310">MIN(IF((OutputTable[GroupByKey]=OutputTable[[#This Row],[GroupByKey]]),(OutputTable[GroupByKey]=OutputTable[[#This Row],[GroupByKey]])*OutputTable[RecordedValue]))</f>
        <v>1133.24622318414</v>
      </c>
      <c r="P310" cm="1">
        <f t="array" ref="P310">MAX(IF((OutputTable[GroupByKey]=OutputTable[[#This Row],[GroupByKey]]),(OutputTable[GroupByKey]=OutputTable[[#This Row],[GroupByKey]])*OutputTable[RecordedValue]))</f>
        <v>1230.9493287309799</v>
      </c>
    </row>
    <row r="311" spans="1:16" x14ac:dyDescent="0.25">
      <c r="A311" t="s">
        <v>68</v>
      </c>
      <c r="B311" t="s">
        <v>131</v>
      </c>
      <c r="C311">
        <v>19</v>
      </c>
      <c r="D311" t="s">
        <v>110</v>
      </c>
      <c r="E311" t="s">
        <v>111</v>
      </c>
      <c r="F311" t="s">
        <v>80</v>
      </c>
      <c r="G311">
        <v>1582.40783798647</v>
      </c>
      <c r="H311">
        <v>0</v>
      </c>
      <c r="I311" t="str">
        <f>OutputTable[[#This Row],[ProjectName]]&amp;OutputTable[[#This Row],[Name]]&amp;OutputTable[[#This Row],[Type]]&amp;OutputTable[[#This Row],[Source]]</f>
        <v>PacientesProcess 2 Accum Wait TimeAccum Wait TimeProcess</v>
      </c>
      <c r="J311" cm="1">
        <f t="array" ref="J311">MAX(IF((ProjectInfoTable[ProjectName]=OutputTable[[#This Row],[ProjectName]]),(ProjectInfoTable[ProjectName]=OutputTable[[#This Row],[ProjectName]])*ProjectInfoTable[NumberOfReplications]))</f>
        <v>50</v>
      </c>
      <c r="K311" cm="1">
        <f t="array" ref="K311">IFERROR(AVERAGE(IF((OutputTable[GroupByKey]=OutputTable[[#This Row],[GroupByKey]]),(OutputTable[GroupByKey]=OutputTable[[#This Row],[GroupByKey]])*OutputTable[RecordedValue])),0)</f>
        <v>1938.7515507466894</v>
      </c>
      <c r="L311" cm="1">
        <f t="array" ref="L311">IFERROR(_xlfn.STDEV.S(IF((OutputTable[GroupByKey]=OutputTable[[#This Row],[GroupByKey]]),(OutputTable[GroupByKey]=OutputTable[[#This Row],[GroupByKey]])*OutputTable[RecordedValue])),0)</f>
        <v>534.03396241838232</v>
      </c>
      <c r="M311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311" cm="1">
        <f t="array" ref="O311">MIN(IF((OutputTable[GroupByKey]=OutputTable[[#This Row],[GroupByKey]]),(OutputTable[GroupByKey]=OutputTable[[#This Row],[GroupByKey]])*OutputTable[RecordedValue]))</f>
        <v>1234.7567994731401</v>
      </c>
      <c r="P311" cm="1">
        <f t="array" ref="P311">MAX(IF((OutputTable[GroupByKey]=OutputTable[[#This Row],[GroupByKey]]),(OutputTable[GroupByKey]=OutputTable[[#This Row],[GroupByKey]])*OutputTable[RecordedValue]))</f>
        <v>3269.0858002883801</v>
      </c>
    </row>
    <row r="312" spans="1:16" x14ac:dyDescent="0.25">
      <c r="A312" t="s">
        <v>68</v>
      </c>
      <c r="B312" t="s">
        <v>131</v>
      </c>
      <c r="C312">
        <v>19</v>
      </c>
      <c r="D312" t="s">
        <v>112</v>
      </c>
      <c r="E312" t="s">
        <v>105</v>
      </c>
      <c r="F312" t="s">
        <v>80</v>
      </c>
      <c r="G312">
        <v>2364</v>
      </c>
      <c r="H312">
        <v>0</v>
      </c>
      <c r="I312" t="str">
        <f>OutputTable[[#This Row],[ProjectName]]&amp;OutputTable[[#This Row],[Name]]&amp;OutputTable[[#This Row],[Type]]&amp;OutputTable[[#This Row],[Source]]</f>
        <v>PacientesProcess 2 Number InNumber InProcess</v>
      </c>
      <c r="J312" cm="1">
        <f t="array" ref="J312">MAX(IF((ProjectInfoTable[ProjectName]=OutputTable[[#This Row],[ProjectName]]),(ProjectInfoTable[ProjectName]=OutputTable[[#This Row],[ProjectName]])*ProjectInfoTable[NumberOfReplications]))</f>
        <v>50</v>
      </c>
      <c r="K312" cm="1">
        <f t="array" ref="K312">IFERROR(AVERAGE(IF((OutputTable[GroupByKey]=OutputTable[[#This Row],[GroupByKey]]),(OutputTable[GroupByKey]=OutputTable[[#This Row],[GroupByKey]])*OutputTable[RecordedValue])),0)</f>
        <v>2404.2399999999998</v>
      </c>
      <c r="L312" cm="1">
        <f t="array" ref="L312">IFERROR(_xlfn.STDEV.S(IF((OutputTable[GroupByKey]=OutputTable[[#This Row],[GroupByKey]]),(OutputTable[GroupByKey]=OutputTable[[#This Row],[GroupByKey]])*OutputTable[RecordedValue])),0)</f>
        <v>46.574303154053879</v>
      </c>
      <c r="M312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312" cm="1">
        <f t="array" ref="O312">MIN(IF((OutputTable[GroupByKey]=OutputTable[[#This Row],[GroupByKey]]),(OutputTable[GroupByKey]=OutputTable[[#This Row],[GroupByKey]])*OutputTable[RecordedValue]))</f>
        <v>2306</v>
      </c>
      <c r="P312" cm="1">
        <f t="array" ref="P312">MAX(IF((OutputTable[GroupByKey]=OutputTable[[#This Row],[GroupByKey]]),(OutputTable[GroupByKey]=OutputTable[[#This Row],[GroupByKey]])*OutputTable[RecordedValue]))</f>
        <v>2518</v>
      </c>
    </row>
    <row r="313" spans="1:16" x14ac:dyDescent="0.25">
      <c r="A313" t="s">
        <v>68</v>
      </c>
      <c r="B313" t="s">
        <v>131</v>
      </c>
      <c r="C313">
        <v>19</v>
      </c>
      <c r="D313" t="s">
        <v>113</v>
      </c>
      <c r="E313" t="s">
        <v>107</v>
      </c>
      <c r="F313" t="s">
        <v>80</v>
      </c>
      <c r="G313">
        <v>2352</v>
      </c>
      <c r="H313">
        <v>0</v>
      </c>
      <c r="I313" t="str">
        <f>OutputTable[[#This Row],[ProjectName]]&amp;OutputTable[[#This Row],[Name]]&amp;OutputTable[[#This Row],[Type]]&amp;OutputTable[[#This Row],[Source]]</f>
        <v>PacientesProcess 2 Number OutNumber OutProcess</v>
      </c>
      <c r="J313" cm="1">
        <f t="array" ref="J313">MAX(IF((ProjectInfoTable[ProjectName]=OutputTable[[#This Row],[ProjectName]]),(ProjectInfoTable[ProjectName]=OutputTable[[#This Row],[ProjectName]])*ProjectInfoTable[NumberOfReplications]))</f>
        <v>50</v>
      </c>
      <c r="K313" cm="1">
        <f t="array" ref="K313">IFERROR(AVERAGE(IF((OutputTable[GroupByKey]=OutputTable[[#This Row],[GroupByKey]]),(OutputTable[GroupByKey]=OutputTable[[#This Row],[GroupByKey]])*OutputTable[RecordedValue])),0)</f>
        <v>2400.2800000000002</v>
      </c>
      <c r="L313" cm="1">
        <f t="array" ref="L313">IFERROR(_xlfn.STDEV.S(IF((OutputTable[GroupByKey]=OutputTable[[#This Row],[GroupByKey]]),(OutputTable[GroupByKey]=OutputTable[[#This Row],[GroupByKey]])*OutputTable[RecordedValue])),0)</f>
        <v>46.409024456676619</v>
      </c>
      <c r="M313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13" cm="1">
        <f t="array" ref="O313">MIN(IF((OutputTable[GroupByKey]=OutputTable[[#This Row],[GroupByKey]]),(OutputTable[GroupByKey]=OutputTable[[#This Row],[GroupByKey]])*OutputTable[RecordedValue]))</f>
        <v>2305</v>
      </c>
      <c r="P313" cm="1">
        <f t="array" ref="P313">MAX(IF((OutputTable[GroupByKey]=OutputTable[[#This Row],[GroupByKey]]),(OutputTable[GroupByKey]=OutputTable[[#This Row],[GroupByKey]])*OutputTable[RecordedValue]))</f>
        <v>2504</v>
      </c>
    </row>
    <row r="314" spans="1:16" x14ac:dyDescent="0.25">
      <c r="A314" t="s">
        <v>68</v>
      </c>
      <c r="B314" t="s">
        <v>131</v>
      </c>
      <c r="C314">
        <v>19</v>
      </c>
      <c r="D314" t="s">
        <v>114</v>
      </c>
      <c r="E314" t="s">
        <v>109</v>
      </c>
      <c r="F314" t="s">
        <v>80</v>
      </c>
      <c r="G314">
        <v>335.42167342422402</v>
      </c>
      <c r="H314">
        <v>0</v>
      </c>
      <c r="I314" t="str">
        <f>OutputTable[[#This Row],[ProjectName]]&amp;OutputTable[[#This Row],[Name]]&amp;OutputTable[[#This Row],[Type]]&amp;OutputTable[[#This Row],[Source]]</f>
        <v>PacientesRegistro Accum VA TimeAccum VA TimeProcess</v>
      </c>
      <c r="J314" cm="1">
        <f t="array" ref="J314">MAX(IF((ProjectInfoTable[ProjectName]=OutputTable[[#This Row],[ProjectName]]),(ProjectInfoTable[ProjectName]=OutputTable[[#This Row],[ProjectName]])*ProjectInfoTable[NumberOfReplications]))</f>
        <v>50</v>
      </c>
      <c r="K314" cm="1">
        <f t="array" ref="K314">IFERROR(AVERAGE(IF((OutputTable[GroupByKey]=OutputTable[[#This Row],[GroupByKey]]),(OutputTable[GroupByKey]=OutputTable[[#This Row],[GroupByKey]])*OutputTable[RecordedValue])),0)</f>
        <v>339.53547737062786</v>
      </c>
      <c r="L314" cm="1">
        <f t="array" ref="L314">IFERROR(_xlfn.STDEV.S(IF((OutputTable[GroupByKey]=OutputTable[[#This Row],[GroupByKey]]),(OutputTable[GroupByKey]=OutputTable[[#This Row],[GroupByKey]])*OutputTable[RecordedValue])),0)</f>
        <v>6.9723666109353193</v>
      </c>
      <c r="M314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314" cm="1">
        <f t="array" ref="O314">MIN(IF((OutputTable[GroupByKey]=OutputTable[[#This Row],[GroupByKey]]),(OutputTable[GroupByKey]=OutputTable[[#This Row],[GroupByKey]])*OutputTable[RecordedValue]))</f>
        <v>325.606879158418</v>
      </c>
      <c r="P314" cm="1">
        <f t="array" ref="P314">MAX(IF((OutputTable[GroupByKey]=OutputTable[[#This Row],[GroupByKey]]),(OutputTable[GroupByKey]=OutputTable[[#This Row],[GroupByKey]])*OutputTable[RecordedValue]))</f>
        <v>357.77609013379703</v>
      </c>
    </row>
    <row r="315" spans="1:16" x14ac:dyDescent="0.25">
      <c r="A315" t="s">
        <v>68</v>
      </c>
      <c r="B315" t="s">
        <v>131</v>
      </c>
      <c r="C315">
        <v>19</v>
      </c>
      <c r="D315" t="s">
        <v>115</v>
      </c>
      <c r="E315" t="s">
        <v>111</v>
      </c>
      <c r="F315" t="s">
        <v>80</v>
      </c>
      <c r="G315">
        <v>149.539058964943</v>
      </c>
      <c r="H315">
        <v>0</v>
      </c>
      <c r="I315" t="str">
        <f>OutputTable[[#This Row],[ProjectName]]&amp;OutputTable[[#This Row],[Name]]&amp;OutputTable[[#This Row],[Type]]&amp;OutputTable[[#This Row],[Source]]</f>
        <v>PacientesRegistro Accum Wait TimeAccum Wait TimeProcess</v>
      </c>
      <c r="J315" cm="1">
        <f t="array" ref="J315">MAX(IF((ProjectInfoTable[ProjectName]=OutputTable[[#This Row],[ProjectName]]),(ProjectInfoTable[ProjectName]=OutputTable[[#This Row],[ProjectName]])*ProjectInfoTable[NumberOfReplications]))</f>
        <v>50</v>
      </c>
      <c r="K315" cm="1">
        <f t="array" ref="K315">IFERROR(AVERAGE(IF((OutputTable[GroupByKey]=OutputTable[[#This Row],[GroupByKey]]),(OutputTable[GroupByKey]=OutputTable[[#This Row],[GroupByKey]])*OutputTable[RecordedValue])),0)</f>
        <v>154.15303898127775</v>
      </c>
      <c r="L315" cm="1">
        <f t="array" ref="L315">IFERROR(_xlfn.STDEV.S(IF((OutputTable[GroupByKey]=OutputTable[[#This Row],[GroupByKey]]),(OutputTable[GroupByKey]=OutputTable[[#This Row],[GroupByKey]])*OutputTable[RecordedValue])),0)</f>
        <v>12.141439184615397</v>
      </c>
      <c r="M31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315" cm="1">
        <f t="array" ref="O315">MIN(IF((OutputTable[GroupByKey]=OutputTable[[#This Row],[GroupByKey]]),(OutputTable[GroupByKey]=OutputTable[[#This Row],[GroupByKey]])*OutputTable[RecordedValue]))</f>
        <v>123.901613974094</v>
      </c>
      <c r="P315" cm="1">
        <f t="array" ref="P315">MAX(IF((OutputTable[GroupByKey]=OutputTable[[#This Row],[GroupByKey]]),(OutputTable[GroupByKey]=OutputTable[[#This Row],[GroupByKey]])*OutputTable[RecordedValue]))</f>
        <v>178.441307284473</v>
      </c>
    </row>
    <row r="316" spans="1:16" x14ac:dyDescent="0.25">
      <c r="A316" t="s">
        <v>68</v>
      </c>
      <c r="B316" t="s">
        <v>131</v>
      </c>
      <c r="C316">
        <v>19</v>
      </c>
      <c r="D316" t="s">
        <v>116</v>
      </c>
      <c r="E316" t="s">
        <v>105</v>
      </c>
      <c r="F316" t="s">
        <v>80</v>
      </c>
      <c r="G316">
        <v>2236</v>
      </c>
      <c r="H316">
        <v>0</v>
      </c>
      <c r="I316" t="str">
        <f>OutputTable[[#This Row],[ProjectName]]&amp;OutputTable[[#This Row],[Name]]&amp;OutputTable[[#This Row],[Type]]&amp;OutputTable[[#This Row],[Source]]</f>
        <v>PacientesRegistro Number InNumber InProcess</v>
      </c>
      <c r="J316" cm="1">
        <f t="array" ref="J316">MAX(IF((ProjectInfoTable[ProjectName]=OutputTable[[#This Row],[ProjectName]]),(ProjectInfoTable[ProjectName]=OutputTable[[#This Row],[ProjectName]])*ProjectInfoTable[NumberOfReplications]))</f>
        <v>50</v>
      </c>
      <c r="K316" cm="1">
        <f t="array" ref="K316">IFERROR(AVERAGE(IF((OutputTable[GroupByKey]=OutputTable[[#This Row],[GroupByKey]]),(OutputTable[GroupByKey]=OutputTable[[#This Row],[GroupByKey]])*OutputTable[RecordedValue])),0)</f>
        <v>2263.2399999999998</v>
      </c>
      <c r="L316" cm="1">
        <f t="array" ref="L316">IFERROR(_xlfn.STDEV.S(IF((OutputTable[GroupByKey]=OutputTable[[#This Row],[GroupByKey]]),(OutputTable[GroupByKey]=OutputTable[[#This Row],[GroupByKey]])*OutputTable[RecordedValue])),0)</f>
        <v>47.331035682472766</v>
      </c>
      <c r="M316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316" cm="1">
        <f t="array" ref="O316">MIN(IF((OutputTable[GroupByKey]=OutputTable[[#This Row],[GroupByKey]]),(OutputTable[GroupByKey]=OutputTable[[#This Row],[GroupByKey]])*OutputTable[RecordedValue]))</f>
        <v>2172</v>
      </c>
      <c r="P316" cm="1">
        <f t="array" ref="P316">MAX(IF((OutputTable[GroupByKey]=OutputTable[[#This Row],[GroupByKey]]),(OutputTable[GroupByKey]=OutputTable[[#This Row],[GroupByKey]])*OutputTable[RecordedValue]))</f>
        <v>2386</v>
      </c>
    </row>
    <row r="317" spans="1:16" x14ac:dyDescent="0.25">
      <c r="A317" t="s">
        <v>68</v>
      </c>
      <c r="B317" t="s">
        <v>131</v>
      </c>
      <c r="C317">
        <v>19</v>
      </c>
      <c r="D317" t="s">
        <v>117</v>
      </c>
      <c r="E317" t="s">
        <v>107</v>
      </c>
      <c r="F317" t="s">
        <v>80</v>
      </c>
      <c r="G317">
        <v>2236</v>
      </c>
      <c r="H317">
        <v>0</v>
      </c>
      <c r="I317" t="str">
        <f>OutputTable[[#This Row],[ProjectName]]&amp;OutputTable[[#This Row],[Name]]&amp;OutputTable[[#This Row],[Type]]&amp;OutputTable[[#This Row],[Source]]</f>
        <v>PacientesRegistro Number OutNumber OutProcess</v>
      </c>
      <c r="J317" cm="1">
        <f t="array" ref="J317">MAX(IF((ProjectInfoTable[ProjectName]=OutputTable[[#This Row],[ProjectName]]),(ProjectInfoTable[ProjectName]=OutputTable[[#This Row],[ProjectName]])*ProjectInfoTable[NumberOfReplications]))</f>
        <v>50</v>
      </c>
      <c r="K317" cm="1">
        <f t="array" ref="K317">IFERROR(AVERAGE(IF((OutputTable[GroupByKey]=OutputTable[[#This Row],[GroupByKey]]),(OutputTable[GroupByKey]=OutputTable[[#This Row],[GroupByKey]])*OutputTable[RecordedValue])),0)</f>
        <v>2262.66</v>
      </c>
      <c r="L317" cm="1">
        <f t="array" ref="L317">IFERROR(_xlfn.STDEV.S(IF((OutputTable[GroupByKey]=OutputTable[[#This Row],[GroupByKey]]),(OutputTable[GroupByKey]=OutputTable[[#This Row],[GroupByKey]])*OutputTable[RecordedValue])),0)</f>
        <v>47.488176831454687</v>
      </c>
      <c r="M317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317" cm="1">
        <f t="array" ref="O317">MIN(IF((OutputTable[GroupByKey]=OutputTable[[#This Row],[GroupByKey]]),(OutputTable[GroupByKey]=OutputTable[[#This Row],[GroupByKey]])*OutputTable[RecordedValue]))</f>
        <v>2171</v>
      </c>
      <c r="P317" cm="1">
        <f t="array" ref="P317">MAX(IF((OutputTable[GroupByKey]=OutputTable[[#This Row],[GroupByKey]]),(OutputTable[GroupByKey]=OutputTable[[#This Row],[GroupByKey]])*OutputTable[RecordedValue]))</f>
        <v>2386</v>
      </c>
    </row>
    <row r="318" spans="1:16" x14ac:dyDescent="0.25">
      <c r="A318" t="s">
        <v>68</v>
      </c>
      <c r="B318" t="s">
        <v>131</v>
      </c>
      <c r="C318">
        <v>19</v>
      </c>
      <c r="D318" t="s">
        <v>118</v>
      </c>
      <c r="E318" t="s">
        <v>107</v>
      </c>
      <c r="F318" t="s">
        <v>119</v>
      </c>
      <c r="G318">
        <v>2352</v>
      </c>
      <c r="H318">
        <v>0</v>
      </c>
      <c r="I318" t="str">
        <f>OutputTable[[#This Row],[ProjectName]]&amp;OutputTable[[#This Row],[Name]]&amp;OutputTable[[#This Row],[Type]]&amp;OutputTable[[#This Row],[Source]]</f>
        <v>PacientesSystem.NumberOutNumber OutSystem</v>
      </c>
      <c r="J318" cm="1">
        <f t="array" ref="J318">MAX(IF((ProjectInfoTable[ProjectName]=OutputTable[[#This Row],[ProjectName]]),(ProjectInfoTable[ProjectName]=OutputTable[[#This Row],[ProjectName]])*ProjectInfoTable[NumberOfReplications]))</f>
        <v>50</v>
      </c>
      <c r="K318" cm="1">
        <f t="array" ref="K318">IFERROR(AVERAGE(IF((OutputTable[GroupByKey]=OutputTable[[#This Row],[GroupByKey]]),(OutputTable[GroupByKey]=OutputTable[[#This Row],[GroupByKey]])*OutputTable[RecordedValue])),0)</f>
        <v>2400.2800000000002</v>
      </c>
      <c r="L318" cm="1">
        <f t="array" ref="L318">IFERROR(_xlfn.STDEV.S(IF((OutputTable[GroupByKey]=OutputTable[[#This Row],[GroupByKey]]),(OutputTable[GroupByKey]=OutputTable[[#This Row],[GroupByKey]])*OutputTable[RecordedValue])),0)</f>
        <v>46.409024456676619</v>
      </c>
      <c r="M318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18" cm="1">
        <f t="array" ref="O318">MIN(IF((OutputTable[GroupByKey]=OutputTable[[#This Row],[GroupByKey]]),(OutputTable[GroupByKey]=OutputTable[[#This Row],[GroupByKey]])*OutputTable[RecordedValue]))</f>
        <v>2305</v>
      </c>
      <c r="P318" cm="1">
        <f t="array" ref="P318">MAX(IF((OutputTable[GroupByKey]=OutputTable[[#This Row],[GroupByKey]]),(OutputTable[GroupByKey]=OutputTable[[#This Row],[GroupByKey]])*OutputTable[RecordedValue]))</f>
        <v>2504</v>
      </c>
    </row>
    <row r="319" spans="1:16" x14ac:dyDescent="0.25">
      <c r="A319" t="s">
        <v>68</v>
      </c>
      <c r="B319" t="s">
        <v>131</v>
      </c>
      <c r="C319">
        <v>19</v>
      </c>
      <c r="D319" t="s">
        <v>120</v>
      </c>
      <c r="E319" t="s">
        <v>121</v>
      </c>
      <c r="F319" t="s">
        <v>99</v>
      </c>
      <c r="G319">
        <v>2354</v>
      </c>
      <c r="H319">
        <v>0</v>
      </c>
      <c r="I319" t="str">
        <f>OutputTable[[#This Row],[ProjectName]]&amp;OutputTable[[#This Row],[Name]]&amp;OutputTable[[#This Row],[Type]]&amp;OutputTable[[#This Row],[Source]]</f>
        <v>PacientesrCamas.NumberSeizedTotal Number SeizedResource</v>
      </c>
      <c r="J319" cm="1">
        <f t="array" ref="J319">MAX(IF((ProjectInfoTable[ProjectName]=OutputTable[[#This Row],[ProjectName]]),(ProjectInfoTable[ProjectName]=OutputTable[[#This Row],[ProjectName]])*ProjectInfoTable[NumberOfReplications]))</f>
        <v>50</v>
      </c>
      <c r="K319" cm="1">
        <f t="array" ref="K319">IFERROR(AVERAGE(IF((OutputTable[GroupByKey]=OutputTable[[#This Row],[GroupByKey]]),(OutputTable[GroupByKey]=OutputTable[[#This Row],[GroupByKey]])*OutputTable[RecordedValue])),0)</f>
        <v>2401.9</v>
      </c>
      <c r="L319" cm="1">
        <f t="array" ref="L319">IFERROR(_xlfn.STDEV.S(IF((OutputTable[GroupByKey]=OutputTable[[#This Row],[GroupByKey]]),(OutputTable[GroupByKey]=OutputTable[[#This Row],[GroupByKey]])*OutputTable[RecordedValue])),0)</f>
        <v>46.417031532903209</v>
      </c>
      <c r="M319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19" cm="1">
        <f t="array" ref="O319">MIN(IF((OutputTable[GroupByKey]=OutputTable[[#This Row],[GroupByKey]]),(OutputTable[GroupByKey]=OutputTable[[#This Row],[GroupByKey]])*OutputTable[RecordedValue]))</f>
        <v>2306</v>
      </c>
      <c r="P319" cm="1">
        <f t="array" ref="P319">MAX(IF((OutputTable[GroupByKey]=OutputTable[[#This Row],[GroupByKey]]),(OutputTable[GroupByKey]=OutputTable[[#This Row],[GroupByKey]])*OutputTable[RecordedValue]))</f>
        <v>2506</v>
      </c>
    </row>
    <row r="320" spans="1:16" x14ac:dyDescent="0.25">
      <c r="A320" t="s">
        <v>68</v>
      </c>
      <c r="B320" t="s">
        <v>131</v>
      </c>
      <c r="C320">
        <v>19</v>
      </c>
      <c r="D320" t="s">
        <v>122</v>
      </c>
      <c r="E320" t="s">
        <v>123</v>
      </c>
      <c r="F320" t="s">
        <v>99</v>
      </c>
      <c r="G320">
        <v>0.53656337843661295</v>
      </c>
      <c r="H320">
        <v>0</v>
      </c>
      <c r="I320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320" cm="1">
        <f t="array" ref="J320">MAX(IF((ProjectInfoTable[ProjectName]=OutputTable[[#This Row],[ProjectName]]),(ProjectInfoTable[ProjectName]=OutputTable[[#This Row],[ProjectName]])*ProjectInfoTable[NumberOfReplications]))</f>
        <v>50</v>
      </c>
      <c r="K320" cm="1">
        <f t="array" ref="K320">IFERROR(AVERAGE(IF((OutputTable[GroupByKey]=OutputTable[[#This Row],[GroupByKey]]),(OutputTable[GroupByKey]=OutputTable[[#This Row],[GroupByKey]])*OutputTable[RecordedValue])),0)</f>
        <v>0.54703961359050601</v>
      </c>
      <c r="L320" cm="1">
        <f t="array" ref="L320">IFERROR(_xlfn.STDEV.S(IF((OutputTable[GroupByKey]=OutputTable[[#This Row],[GroupByKey]]),(OutputTable[GroupByKey]=OutputTable[[#This Row],[GroupByKey]])*OutputTable[RecordedValue])),0)</f>
        <v>1.0221170008030479E-2</v>
      </c>
      <c r="M320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320" cm="1">
        <f t="array" ref="O320">MIN(IF((OutputTable[GroupByKey]=OutputTable[[#This Row],[GroupByKey]]),(OutputTable[GroupByKey]=OutputTable[[#This Row],[GroupByKey]])*OutputTable[RecordedValue]))</f>
        <v>0.52470641844357901</v>
      </c>
      <c r="P320" cm="1">
        <f t="array" ref="P320">MAX(IF((OutputTable[GroupByKey]=OutputTable[[#This Row],[GroupByKey]]),(OutputTable[GroupByKey]=OutputTable[[#This Row],[GroupByKey]])*OutputTable[RecordedValue]))</f>
        <v>0.57005812966092295</v>
      </c>
    </row>
    <row r="321" spans="1:16" x14ac:dyDescent="0.25">
      <c r="A321" t="s">
        <v>68</v>
      </c>
      <c r="B321" t="s">
        <v>131</v>
      </c>
      <c r="C321">
        <v>19</v>
      </c>
      <c r="D321" t="s">
        <v>124</v>
      </c>
      <c r="E321" t="s">
        <v>121</v>
      </c>
      <c r="F321" t="s">
        <v>99</v>
      </c>
      <c r="G321">
        <v>2354</v>
      </c>
      <c r="H321">
        <v>0</v>
      </c>
      <c r="I321" t="str">
        <f>OutputTable[[#This Row],[ProjectName]]&amp;OutputTable[[#This Row],[Name]]&amp;OutputTable[[#This Row],[Type]]&amp;OutputTable[[#This Row],[Source]]</f>
        <v>PacientesrMedico.NumberSeizedTotal Number SeizedResource</v>
      </c>
      <c r="J321" cm="1">
        <f t="array" ref="J321">MAX(IF((ProjectInfoTable[ProjectName]=OutputTable[[#This Row],[ProjectName]]),(ProjectInfoTable[ProjectName]=OutputTable[[#This Row],[ProjectName]])*ProjectInfoTable[NumberOfReplications]))</f>
        <v>50</v>
      </c>
      <c r="K321" cm="1">
        <f t="array" ref="K321">IFERROR(AVERAGE(IF((OutputTable[GroupByKey]=OutputTable[[#This Row],[GroupByKey]]),(OutputTable[GroupByKey]=OutputTable[[#This Row],[GroupByKey]])*OutputTable[RecordedValue])),0)</f>
        <v>2401.9</v>
      </c>
      <c r="L321" cm="1">
        <f t="array" ref="L321">IFERROR(_xlfn.STDEV.S(IF((OutputTable[GroupByKey]=OutputTable[[#This Row],[GroupByKey]]),(OutputTable[GroupByKey]=OutputTable[[#This Row],[GroupByKey]])*OutputTable[RecordedValue])),0)</f>
        <v>46.417031532903209</v>
      </c>
      <c r="M321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21" cm="1">
        <f t="array" ref="O321">MIN(IF((OutputTable[GroupByKey]=OutputTable[[#This Row],[GroupByKey]]),(OutputTable[GroupByKey]=OutputTable[[#This Row],[GroupByKey]])*OutputTable[RecordedValue]))</f>
        <v>2306</v>
      </c>
      <c r="P321" cm="1">
        <f t="array" ref="P321">MAX(IF((OutputTable[GroupByKey]=OutputTable[[#This Row],[GroupByKey]]),(OutputTable[GroupByKey]=OutputTable[[#This Row],[GroupByKey]])*OutputTable[RecordedValue]))</f>
        <v>2506</v>
      </c>
    </row>
    <row r="322" spans="1:16" x14ac:dyDescent="0.25">
      <c r="A322" t="s">
        <v>68</v>
      </c>
      <c r="B322" t="s">
        <v>131</v>
      </c>
      <c r="C322">
        <v>19</v>
      </c>
      <c r="D322" t="s">
        <v>125</v>
      </c>
      <c r="E322" t="s">
        <v>123</v>
      </c>
      <c r="F322" t="s">
        <v>99</v>
      </c>
      <c r="G322">
        <v>0.80484506765492003</v>
      </c>
      <c r="H322">
        <v>0</v>
      </c>
      <c r="I322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322" cm="1">
        <f t="array" ref="J322">MAX(IF((ProjectInfoTable[ProjectName]=OutputTable[[#This Row],[ProjectName]]),(ProjectInfoTable[ProjectName]=OutputTable[[#This Row],[ProjectName]])*ProjectInfoTable[NumberOfReplications]))</f>
        <v>50</v>
      </c>
      <c r="K322" cm="1">
        <f t="array" ref="K322">IFERROR(AVERAGE(IF((OutputTable[GroupByKey]=OutputTable[[#This Row],[GroupByKey]]),(OutputTable[GroupByKey]=OutputTable[[#This Row],[GroupByKey]])*OutputTable[RecordedValue])),0)</f>
        <v>0.82055942038575935</v>
      </c>
      <c r="L322" cm="1">
        <f t="array" ref="L322">IFERROR(_xlfn.STDEV.S(IF((OutputTable[GroupByKey]=OutputTable[[#This Row],[GroupByKey]]),(OutputTable[GroupByKey]=OutputTable[[#This Row],[GroupByKey]])*OutputTable[RecordedValue])),0)</f>
        <v>1.5331755012045719E-2</v>
      </c>
      <c r="M322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322" cm="1">
        <f t="array" ref="O322">MIN(IF((OutputTable[GroupByKey]=OutputTable[[#This Row],[GroupByKey]]),(OutputTable[GroupByKey]=OutputTable[[#This Row],[GroupByKey]])*OutputTable[RecordedValue]))</f>
        <v>0.78705962766536897</v>
      </c>
      <c r="P322" cm="1">
        <f t="array" ref="P322">MAX(IF((OutputTable[GroupByKey]=OutputTable[[#This Row],[GroupByKey]]),(OutputTable[GroupByKey]=OutputTable[[#This Row],[GroupByKey]])*OutputTable[RecordedValue]))</f>
        <v>0.85508719449138504</v>
      </c>
    </row>
    <row r="323" spans="1:16" x14ac:dyDescent="0.25">
      <c r="A323" t="s">
        <v>68</v>
      </c>
      <c r="B323" t="s">
        <v>131</v>
      </c>
      <c r="C323">
        <v>19</v>
      </c>
      <c r="D323" t="s">
        <v>126</v>
      </c>
      <c r="E323" t="s">
        <v>121</v>
      </c>
      <c r="F323" t="s">
        <v>99</v>
      </c>
      <c r="G323">
        <v>2236</v>
      </c>
      <c r="H323">
        <v>0</v>
      </c>
      <c r="I323" t="str">
        <f>OutputTable[[#This Row],[ProjectName]]&amp;OutputTable[[#This Row],[Name]]&amp;OutputTable[[#This Row],[Type]]&amp;OutputTable[[#This Row],[Source]]</f>
        <v>PacientesrRegistradora.NumberSeizedTotal Number SeizedResource</v>
      </c>
      <c r="J323" cm="1">
        <f t="array" ref="J323">MAX(IF((ProjectInfoTable[ProjectName]=OutputTable[[#This Row],[ProjectName]]),(ProjectInfoTable[ProjectName]=OutputTable[[#This Row],[ProjectName]])*ProjectInfoTable[NumberOfReplications]))</f>
        <v>50</v>
      </c>
      <c r="K323" cm="1">
        <f t="array" ref="K323">IFERROR(AVERAGE(IF((OutputTable[GroupByKey]=OutputTable[[#This Row],[GroupByKey]]),(OutputTable[GroupByKey]=OutputTable[[#This Row],[GroupByKey]])*OutputTable[RecordedValue])),0)</f>
        <v>2263.14</v>
      </c>
      <c r="L323" cm="1">
        <f t="array" ref="L323">IFERROR(_xlfn.STDEV.S(IF((OutputTable[GroupByKey]=OutputTable[[#This Row],[GroupByKey]]),(OutputTable[GroupByKey]=OutputTable[[#This Row],[GroupByKey]])*OutputTable[RecordedValue])),0)</f>
        <v>47.386818971575821</v>
      </c>
      <c r="M323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323" cm="1">
        <f t="array" ref="O323">MIN(IF((OutputTable[GroupByKey]=OutputTable[[#This Row],[GroupByKey]]),(OutputTable[GroupByKey]=OutputTable[[#This Row],[GroupByKey]])*OutputTable[RecordedValue]))</f>
        <v>2172</v>
      </c>
      <c r="P323" cm="1">
        <f t="array" ref="P323">MAX(IF((OutputTable[GroupByKey]=OutputTable[[#This Row],[GroupByKey]]),(OutputTable[GroupByKey]=OutputTable[[#This Row],[GroupByKey]])*OutputTable[RecordedValue]))</f>
        <v>2386</v>
      </c>
    </row>
    <row r="324" spans="1:16" x14ac:dyDescent="0.25">
      <c r="A324" t="s">
        <v>68</v>
      </c>
      <c r="B324" t="s">
        <v>131</v>
      </c>
      <c r="C324">
        <v>19</v>
      </c>
      <c r="D324" t="s">
        <v>127</v>
      </c>
      <c r="E324" t="s">
        <v>123</v>
      </c>
      <c r="F324" t="s">
        <v>99</v>
      </c>
      <c r="G324">
        <v>0.46586343531142199</v>
      </c>
      <c r="H324">
        <v>0</v>
      </c>
      <c r="I324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324" cm="1">
        <f t="array" ref="J324">MAX(IF((ProjectInfoTable[ProjectName]=OutputTable[[#This Row],[ProjectName]]),(ProjectInfoTable[ProjectName]=OutputTable[[#This Row],[ProjectName]])*ProjectInfoTable[NumberOfReplications]))</f>
        <v>50</v>
      </c>
      <c r="K324" cm="1">
        <f t="array" ref="K324">IFERROR(AVERAGE(IF((OutputTable[GroupByKey]=OutputTable[[#This Row],[GroupByKey]]),(OutputTable[GroupByKey]=OutputTable[[#This Row],[GroupByKey]])*OutputTable[RecordedValue])),0)</f>
        <v>0.47162762933545666</v>
      </c>
      <c r="L324" cm="1">
        <f t="array" ref="L324">IFERROR(_xlfn.STDEV.S(IF((OutputTable[GroupByKey]=OutputTable[[#This Row],[GroupByKey]]),(OutputTable[GroupByKey]=OutputTable[[#This Row],[GroupByKey]])*OutputTable[RecordedValue])),0)</f>
        <v>9.6615227076777797E-3</v>
      </c>
      <c r="M324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324" cm="1">
        <f t="array" ref="O324">MIN(IF((OutputTable[GroupByKey]=OutputTable[[#This Row],[GroupByKey]]),(OutputTable[GroupByKey]=OutputTable[[#This Row],[GroupByKey]])*OutputTable[RecordedValue]))</f>
        <v>0.452397944183905</v>
      </c>
      <c r="P324" cm="1">
        <f t="array" ref="P324">MAX(IF((OutputTable[GroupByKey]=OutputTable[[#This Row],[GroupByKey]]),(OutputTable[GroupByKey]=OutputTable[[#This Row],[GroupByKey]])*OutputTable[RecordedValue]))</f>
        <v>0.49691123629694001</v>
      </c>
    </row>
    <row r="325" spans="1:16" x14ac:dyDescent="0.25">
      <c r="A325" t="s">
        <v>68</v>
      </c>
      <c r="B325" t="s">
        <v>131</v>
      </c>
      <c r="C325">
        <v>20</v>
      </c>
      <c r="D325" t="s">
        <v>104</v>
      </c>
      <c r="E325" t="s">
        <v>105</v>
      </c>
      <c r="F325" t="s">
        <v>72</v>
      </c>
      <c r="G325">
        <v>2420</v>
      </c>
      <c r="H325">
        <v>0</v>
      </c>
      <c r="I325" t="str">
        <f>OutputTable[[#This Row],[ProjectName]]&amp;OutputTable[[#This Row],[Name]]&amp;OutputTable[[#This Row],[Type]]&amp;OutputTable[[#This Row],[Source]]</f>
        <v>PacientesEntity 1.NumberInNumber InEntity</v>
      </c>
      <c r="J325" cm="1">
        <f t="array" ref="J325">MAX(IF((ProjectInfoTable[ProjectName]=OutputTable[[#This Row],[ProjectName]]),(ProjectInfoTable[ProjectName]=OutputTable[[#This Row],[ProjectName]])*ProjectInfoTable[NumberOfReplications]))</f>
        <v>50</v>
      </c>
      <c r="K325" cm="1">
        <f t="array" ref="K325">IFERROR(AVERAGE(IF((OutputTable[GroupByKey]=OutputTable[[#This Row],[GroupByKey]]),(OutputTable[GroupByKey]=OutputTable[[#This Row],[GroupByKey]])*OutputTable[RecordedValue])),0)</f>
        <v>2404.8200000000002</v>
      </c>
      <c r="L325" cm="1">
        <f t="array" ref="L325">IFERROR(_xlfn.STDEV.S(IF((OutputTable[GroupByKey]=OutputTable[[#This Row],[GroupByKey]]),(OutputTable[GroupByKey]=OutputTable[[#This Row],[GroupByKey]])*OutputTable[RecordedValue])),0)</f>
        <v>46.42953405595474</v>
      </c>
      <c r="M32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325" cm="1">
        <f t="array" ref="O325">MIN(IF((OutputTable[GroupByKey]=OutputTable[[#This Row],[GroupByKey]]),(OutputTable[GroupByKey]=OutputTable[[#This Row],[GroupByKey]])*OutputTable[RecordedValue]))</f>
        <v>2307</v>
      </c>
      <c r="P325" cm="1">
        <f t="array" ref="P325">MAX(IF((OutputTable[GroupByKey]=OutputTable[[#This Row],[GroupByKey]]),(OutputTable[GroupByKey]=OutputTable[[#This Row],[GroupByKey]])*OutputTable[RecordedValue]))</f>
        <v>2518</v>
      </c>
    </row>
    <row r="326" spans="1:16" x14ac:dyDescent="0.25">
      <c r="A326" t="s">
        <v>68</v>
      </c>
      <c r="B326" t="s">
        <v>131</v>
      </c>
      <c r="C326">
        <v>20</v>
      </c>
      <c r="D326" t="s">
        <v>106</v>
      </c>
      <c r="E326" t="s">
        <v>107</v>
      </c>
      <c r="F326" t="s">
        <v>72</v>
      </c>
      <c r="G326">
        <v>2411</v>
      </c>
      <c r="H326">
        <v>0</v>
      </c>
      <c r="I326" t="str">
        <f>OutputTable[[#This Row],[ProjectName]]&amp;OutputTable[[#This Row],[Name]]&amp;OutputTable[[#This Row],[Type]]&amp;OutputTable[[#This Row],[Source]]</f>
        <v>PacientesEntity 1.NumberOutNumber OutEntity</v>
      </c>
      <c r="J326" cm="1">
        <f t="array" ref="J326">MAX(IF((ProjectInfoTable[ProjectName]=OutputTable[[#This Row],[ProjectName]]),(ProjectInfoTable[ProjectName]=OutputTable[[#This Row],[ProjectName]])*ProjectInfoTable[NumberOfReplications]))</f>
        <v>50</v>
      </c>
      <c r="K326" cm="1">
        <f t="array" ref="K326">IFERROR(AVERAGE(IF((OutputTable[GroupByKey]=OutputTable[[#This Row],[GroupByKey]]),(OutputTable[GroupByKey]=OutputTable[[#This Row],[GroupByKey]])*OutputTable[RecordedValue])),0)</f>
        <v>2400.2800000000002</v>
      </c>
      <c r="L326" cm="1">
        <f t="array" ref="L326">IFERROR(_xlfn.STDEV.S(IF((OutputTable[GroupByKey]=OutputTable[[#This Row],[GroupByKey]]),(OutputTable[GroupByKey]=OutputTable[[#This Row],[GroupByKey]])*OutputTable[RecordedValue])),0)</f>
        <v>46.409024456676619</v>
      </c>
      <c r="M326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26" cm="1">
        <f t="array" ref="O326">MIN(IF((OutputTable[GroupByKey]=OutputTable[[#This Row],[GroupByKey]]),(OutputTable[GroupByKey]=OutputTable[[#This Row],[GroupByKey]])*OutputTable[RecordedValue]))</f>
        <v>2305</v>
      </c>
      <c r="P326" cm="1">
        <f t="array" ref="P326">MAX(IF((OutputTable[GroupByKey]=OutputTable[[#This Row],[GroupByKey]]),(OutputTable[GroupByKey]=OutputTable[[#This Row],[GroupByKey]])*OutputTable[RecordedValue]))</f>
        <v>2504</v>
      </c>
    </row>
    <row r="327" spans="1:16" x14ac:dyDescent="0.25">
      <c r="A327" t="s">
        <v>68</v>
      </c>
      <c r="B327" t="s">
        <v>131</v>
      </c>
      <c r="C327">
        <v>20</v>
      </c>
      <c r="D327" t="s">
        <v>108</v>
      </c>
      <c r="E327" t="s">
        <v>109</v>
      </c>
      <c r="F327" t="s">
        <v>80</v>
      </c>
      <c r="G327">
        <v>1182.7805411249699</v>
      </c>
      <c r="H327">
        <v>0</v>
      </c>
      <c r="I327" t="str">
        <f>OutputTable[[#This Row],[ProjectName]]&amp;OutputTable[[#This Row],[Name]]&amp;OutputTable[[#This Row],[Type]]&amp;OutputTable[[#This Row],[Source]]</f>
        <v>PacientesProcess 2 Accum VA TimeAccum VA TimeProcess</v>
      </c>
      <c r="J327" cm="1">
        <f t="array" ref="J327">MAX(IF((ProjectInfoTable[ProjectName]=OutputTable[[#This Row],[ProjectName]]),(ProjectInfoTable[ProjectName]=OutputTable[[#This Row],[ProjectName]])*ProjectInfoTable[NumberOfReplications]))</f>
        <v>50</v>
      </c>
      <c r="K327" cm="1">
        <f t="array" ref="K327">IFERROR(AVERAGE(IF((OutputTable[GroupByKey]=OutputTable[[#This Row],[GroupByKey]]),(OutputTable[GroupByKey]=OutputTable[[#This Row],[GroupByKey]])*OutputTable[RecordedValue])),0)</f>
        <v>1181.1234936767919</v>
      </c>
      <c r="L327" cm="1">
        <f t="array" ref="L327">IFERROR(_xlfn.STDEV.S(IF((OutputTable[GroupByKey]=OutputTable[[#This Row],[GroupByKey]]),(OutputTable[GroupByKey]=OutputTable[[#This Row],[GroupByKey]])*OutputTable[RecordedValue])),0)</f>
        <v>22.169313666927575</v>
      </c>
      <c r="M327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327" cm="1">
        <f t="array" ref="O327">MIN(IF((OutputTable[GroupByKey]=OutputTable[[#This Row],[GroupByKey]]),(OutputTable[GroupByKey]=OutputTable[[#This Row],[GroupByKey]])*OutputTable[RecordedValue]))</f>
        <v>1133.24622318414</v>
      </c>
      <c r="P327" cm="1">
        <f t="array" ref="P327">MAX(IF((OutputTable[GroupByKey]=OutputTable[[#This Row],[GroupByKey]]),(OutputTable[GroupByKey]=OutputTable[[#This Row],[GroupByKey]])*OutputTable[RecordedValue]))</f>
        <v>1230.9493287309799</v>
      </c>
    </row>
    <row r="328" spans="1:16" x14ac:dyDescent="0.25">
      <c r="A328" t="s">
        <v>68</v>
      </c>
      <c r="B328" t="s">
        <v>131</v>
      </c>
      <c r="C328">
        <v>20</v>
      </c>
      <c r="D328" t="s">
        <v>110</v>
      </c>
      <c r="E328" t="s">
        <v>111</v>
      </c>
      <c r="F328" t="s">
        <v>80</v>
      </c>
      <c r="G328">
        <v>1416.94341237511</v>
      </c>
      <c r="H328">
        <v>0</v>
      </c>
      <c r="I328" t="str">
        <f>OutputTable[[#This Row],[ProjectName]]&amp;OutputTable[[#This Row],[Name]]&amp;OutputTable[[#This Row],[Type]]&amp;OutputTable[[#This Row],[Source]]</f>
        <v>PacientesProcess 2 Accum Wait TimeAccum Wait TimeProcess</v>
      </c>
      <c r="J328" cm="1">
        <f t="array" ref="J328">MAX(IF((ProjectInfoTable[ProjectName]=OutputTable[[#This Row],[ProjectName]]),(ProjectInfoTable[ProjectName]=OutputTable[[#This Row],[ProjectName]])*ProjectInfoTable[NumberOfReplications]))</f>
        <v>50</v>
      </c>
      <c r="K328" cm="1">
        <f t="array" ref="K328">IFERROR(AVERAGE(IF((OutputTable[GroupByKey]=OutputTable[[#This Row],[GroupByKey]]),(OutputTable[GroupByKey]=OutputTable[[#This Row],[GroupByKey]])*OutputTable[RecordedValue])),0)</f>
        <v>1938.7515507466894</v>
      </c>
      <c r="L328" cm="1">
        <f t="array" ref="L328">IFERROR(_xlfn.STDEV.S(IF((OutputTable[GroupByKey]=OutputTable[[#This Row],[GroupByKey]]),(OutputTable[GroupByKey]=OutputTable[[#This Row],[GroupByKey]])*OutputTable[RecordedValue])),0)</f>
        <v>534.03396241838232</v>
      </c>
      <c r="M328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328" cm="1">
        <f t="array" ref="O328">MIN(IF((OutputTable[GroupByKey]=OutputTable[[#This Row],[GroupByKey]]),(OutputTable[GroupByKey]=OutputTable[[#This Row],[GroupByKey]])*OutputTable[RecordedValue]))</f>
        <v>1234.7567994731401</v>
      </c>
      <c r="P328" cm="1">
        <f t="array" ref="P328">MAX(IF((OutputTable[GroupByKey]=OutputTable[[#This Row],[GroupByKey]]),(OutputTable[GroupByKey]=OutputTable[[#This Row],[GroupByKey]])*OutputTable[RecordedValue]))</f>
        <v>3269.0858002883801</v>
      </c>
    </row>
    <row r="329" spans="1:16" x14ac:dyDescent="0.25">
      <c r="A329" t="s">
        <v>68</v>
      </c>
      <c r="B329" t="s">
        <v>131</v>
      </c>
      <c r="C329">
        <v>20</v>
      </c>
      <c r="D329" t="s">
        <v>112</v>
      </c>
      <c r="E329" t="s">
        <v>105</v>
      </c>
      <c r="F329" t="s">
        <v>80</v>
      </c>
      <c r="G329">
        <v>2419</v>
      </c>
      <c r="H329">
        <v>0</v>
      </c>
      <c r="I329" t="str">
        <f>OutputTable[[#This Row],[ProjectName]]&amp;OutputTable[[#This Row],[Name]]&amp;OutputTable[[#This Row],[Type]]&amp;OutputTable[[#This Row],[Source]]</f>
        <v>PacientesProcess 2 Number InNumber InProcess</v>
      </c>
      <c r="J329" cm="1">
        <f t="array" ref="J329">MAX(IF((ProjectInfoTable[ProjectName]=OutputTable[[#This Row],[ProjectName]]),(ProjectInfoTable[ProjectName]=OutputTable[[#This Row],[ProjectName]])*ProjectInfoTable[NumberOfReplications]))</f>
        <v>50</v>
      </c>
      <c r="K329" cm="1">
        <f t="array" ref="K329">IFERROR(AVERAGE(IF((OutputTable[GroupByKey]=OutputTable[[#This Row],[GroupByKey]]),(OutputTable[GroupByKey]=OutputTable[[#This Row],[GroupByKey]])*OutputTable[RecordedValue])),0)</f>
        <v>2404.2399999999998</v>
      </c>
      <c r="L329" cm="1">
        <f t="array" ref="L329">IFERROR(_xlfn.STDEV.S(IF((OutputTable[GroupByKey]=OutputTable[[#This Row],[GroupByKey]]),(OutputTable[GroupByKey]=OutputTable[[#This Row],[GroupByKey]])*OutputTable[RecordedValue])),0)</f>
        <v>46.574303154053879</v>
      </c>
      <c r="M329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329" cm="1">
        <f t="array" ref="O329">MIN(IF((OutputTable[GroupByKey]=OutputTable[[#This Row],[GroupByKey]]),(OutputTable[GroupByKey]=OutputTable[[#This Row],[GroupByKey]])*OutputTable[RecordedValue]))</f>
        <v>2306</v>
      </c>
      <c r="P329" cm="1">
        <f t="array" ref="P329">MAX(IF((OutputTable[GroupByKey]=OutputTable[[#This Row],[GroupByKey]]),(OutputTable[GroupByKey]=OutputTable[[#This Row],[GroupByKey]])*OutputTable[RecordedValue]))</f>
        <v>2518</v>
      </c>
    </row>
    <row r="330" spans="1:16" x14ac:dyDescent="0.25">
      <c r="A330" t="s">
        <v>68</v>
      </c>
      <c r="B330" t="s">
        <v>131</v>
      </c>
      <c r="C330">
        <v>20</v>
      </c>
      <c r="D330" t="s">
        <v>113</v>
      </c>
      <c r="E330" t="s">
        <v>107</v>
      </c>
      <c r="F330" t="s">
        <v>80</v>
      </c>
      <c r="G330">
        <v>2411</v>
      </c>
      <c r="H330">
        <v>0</v>
      </c>
      <c r="I330" t="str">
        <f>OutputTable[[#This Row],[ProjectName]]&amp;OutputTable[[#This Row],[Name]]&amp;OutputTable[[#This Row],[Type]]&amp;OutputTable[[#This Row],[Source]]</f>
        <v>PacientesProcess 2 Number OutNumber OutProcess</v>
      </c>
      <c r="J330" cm="1">
        <f t="array" ref="J330">MAX(IF((ProjectInfoTable[ProjectName]=OutputTable[[#This Row],[ProjectName]]),(ProjectInfoTable[ProjectName]=OutputTable[[#This Row],[ProjectName]])*ProjectInfoTable[NumberOfReplications]))</f>
        <v>50</v>
      </c>
      <c r="K330" cm="1">
        <f t="array" ref="K330">IFERROR(AVERAGE(IF((OutputTable[GroupByKey]=OutputTable[[#This Row],[GroupByKey]]),(OutputTable[GroupByKey]=OutputTable[[#This Row],[GroupByKey]])*OutputTable[RecordedValue])),0)</f>
        <v>2400.2800000000002</v>
      </c>
      <c r="L330" cm="1">
        <f t="array" ref="L330">IFERROR(_xlfn.STDEV.S(IF((OutputTable[GroupByKey]=OutputTable[[#This Row],[GroupByKey]]),(OutputTable[GroupByKey]=OutputTable[[#This Row],[GroupByKey]])*OutputTable[RecordedValue])),0)</f>
        <v>46.409024456676619</v>
      </c>
      <c r="M330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30" cm="1">
        <f t="array" ref="O330">MIN(IF((OutputTable[GroupByKey]=OutputTable[[#This Row],[GroupByKey]]),(OutputTable[GroupByKey]=OutputTable[[#This Row],[GroupByKey]])*OutputTable[RecordedValue]))</f>
        <v>2305</v>
      </c>
      <c r="P330" cm="1">
        <f t="array" ref="P330">MAX(IF((OutputTable[GroupByKey]=OutputTable[[#This Row],[GroupByKey]]),(OutputTable[GroupByKey]=OutputTable[[#This Row],[GroupByKey]])*OutputTable[RecordedValue]))</f>
        <v>2504</v>
      </c>
    </row>
    <row r="331" spans="1:16" x14ac:dyDescent="0.25">
      <c r="A331" t="s">
        <v>68</v>
      </c>
      <c r="B331" t="s">
        <v>131</v>
      </c>
      <c r="C331">
        <v>20</v>
      </c>
      <c r="D331" t="s">
        <v>114</v>
      </c>
      <c r="E331" t="s">
        <v>109</v>
      </c>
      <c r="F331" t="s">
        <v>80</v>
      </c>
      <c r="G331">
        <v>339.27837753076602</v>
      </c>
      <c r="H331">
        <v>0</v>
      </c>
      <c r="I331" t="str">
        <f>OutputTable[[#This Row],[ProjectName]]&amp;OutputTable[[#This Row],[Name]]&amp;OutputTable[[#This Row],[Type]]&amp;OutputTable[[#This Row],[Source]]</f>
        <v>PacientesRegistro Accum VA TimeAccum VA TimeProcess</v>
      </c>
      <c r="J331" cm="1">
        <f t="array" ref="J331">MAX(IF((ProjectInfoTable[ProjectName]=OutputTable[[#This Row],[ProjectName]]),(ProjectInfoTable[ProjectName]=OutputTable[[#This Row],[ProjectName]])*ProjectInfoTable[NumberOfReplications]))</f>
        <v>50</v>
      </c>
      <c r="K331" cm="1">
        <f t="array" ref="K331">IFERROR(AVERAGE(IF((OutputTable[GroupByKey]=OutputTable[[#This Row],[GroupByKey]]),(OutputTable[GroupByKey]=OutputTable[[#This Row],[GroupByKey]])*OutputTable[RecordedValue])),0)</f>
        <v>339.53547737062786</v>
      </c>
      <c r="L331" cm="1">
        <f t="array" ref="L331">IFERROR(_xlfn.STDEV.S(IF((OutputTable[GroupByKey]=OutputTable[[#This Row],[GroupByKey]]),(OutputTable[GroupByKey]=OutputTable[[#This Row],[GroupByKey]])*OutputTable[RecordedValue])),0)</f>
        <v>6.9723666109353193</v>
      </c>
      <c r="M331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331" cm="1">
        <f t="array" ref="O331">MIN(IF((OutputTable[GroupByKey]=OutputTable[[#This Row],[GroupByKey]]),(OutputTable[GroupByKey]=OutputTable[[#This Row],[GroupByKey]])*OutputTable[RecordedValue]))</f>
        <v>325.606879158418</v>
      </c>
      <c r="P331" cm="1">
        <f t="array" ref="P331">MAX(IF((OutputTable[GroupByKey]=OutputTable[[#This Row],[GroupByKey]]),(OutputTable[GroupByKey]=OutputTable[[#This Row],[GroupByKey]])*OutputTable[RecordedValue]))</f>
        <v>357.77609013379703</v>
      </c>
    </row>
    <row r="332" spans="1:16" x14ac:dyDescent="0.25">
      <c r="A332" t="s">
        <v>68</v>
      </c>
      <c r="B332" t="s">
        <v>131</v>
      </c>
      <c r="C332">
        <v>20</v>
      </c>
      <c r="D332" t="s">
        <v>115</v>
      </c>
      <c r="E332" t="s">
        <v>111</v>
      </c>
      <c r="F332" t="s">
        <v>80</v>
      </c>
      <c r="G332">
        <v>140.98698830849</v>
      </c>
      <c r="H332">
        <v>0</v>
      </c>
      <c r="I332" t="str">
        <f>OutputTable[[#This Row],[ProjectName]]&amp;OutputTable[[#This Row],[Name]]&amp;OutputTable[[#This Row],[Type]]&amp;OutputTable[[#This Row],[Source]]</f>
        <v>PacientesRegistro Accum Wait TimeAccum Wait TimeProcess</v>
      </c>
      <c r="J332" cm="1">
        <f t="array" ref="J332">MAX(IF((ProjectInfoTable[ProjectName]=OutputTable[[#This Row],[ProjectName]]),(ProjectInfoTable[ProjectName]=OutputTable[[#This Row],[ProjectName]])*ProjectInfoTable[NumberOfReplications]))</f>
        <v>50</v>
      </c>
      <c r="K332" cm="1">
        <f t="array" ref="K332">IFERROR(AVERAGE(IF((OutputTable[GroupByKey]=OutputTable[[#This Row],[GroupByKey]]),(OutputTable[GroupByKey]=OutputTable[[#This Row],[GroupByKey]])*OutputTable[RecordedValue])),0)</f>
        <v>154.15303898127775</v>
      </c>
      <c r="L332" cm="1">
        <f t="array" ref="L332">IFERROR(_xlfn.STDEV.S(IF((OutputTable[GroupByKey]=OutputTable[[#This Row],[GroupByKey]]),(OutputTable[GroupByKey]=OutputTable[[#This Row],[GroupByKey]])*OutputTable[RecordedValue])),0)</f>
        <v>12.141439184615397</v>
      </c>
      <c r="M332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332" cm="1">
        <f t="array" ref="O332">MIN(IF((OutputTable[GroupByKey]=OutputTable[[#This Row],[GroupByKey]]),(OutputTable[GroupByKey]=OutputTable[[#This Row],[GroupByKey]])*OutputTable[RecordedValue]))</f>
        <v>123.901613974094</v>
      </c>
      <c r="P332" cm="1">
        <f t="array" ref="P332">MAX(IF((OutputTable[GroupByKey]=OutputTable[[#This Row],[GroupByKey]]),(OutputTable[GroupByKey]=OutputTable[[#This Row],[GroupByKey]])*OutputTable[RecordedValue]))</f>
        <v>178.441307284473</v>
      </c>
    </row>
    <row r="333" spans="1:16" x14ac:dyDescent="0.25">
      <c r="A333" t="s">
        <v>68</v>
      </c>
      <c r="B333" t="s">
        <v>131</v>
      </c>
      <c r="C333">
        <v>20</v>
      </c>
      <c r="D333" t="s">
        <v>116</v>
      </c>
      <c r="E333" t="s">
        <v>105</v>
      </c>
      <c r="F333" t="s">
        <v>80</v>
      </c>
      <c r="G333">
        <v>2273</v>
      </c>
      <c r="H333">
        <v>0</v>
      </c>
      <c r="I333" t="str">
        <f>OutputTable[[#This Row],[ProjectName]]&amp;OutputTable[[#This Row],[Name]]&amp;OutputTable[[#This Row],[Type]]&amp;OutputTable[[#This Row],[Source]]</f>
        <v>PacientesRegistro Number InNumber InProcess</v>
      </c>
      <c r="J333" cm="1">
        <f t="array" ref="J333">MAX(IF((ProjectInfoTable[ProjectName]=OutputTable[[#This Row],[ProjectName]]),(ProjectInfoTable[ProjectName]=OutputTable[[#This Row],[ProjectName]])*ProjectInfoTable[NumberOfReplications]))</f>
        <v>50</v>
      </c>
      <c r="K333" cm="1">
        <f t="array" ref="K333">IFERROR(AVERAGE(IF((OutputTable[GroupByKey]=OutputTable[[#This Row],[GroupByKey]]),(OutputTable[GroupByKey]=OutputTable[[#This Row],[GroupByKey]])*OutputTable[RecordedValue])),0)</f>
        <v>2263.2399999999998</v>
      </c>
      <c r="L333" cm="1">
        <f t="array" ref="L333">IFERROR(_xlfn.STDEV.S(IF((OutputTable[GroupByKey]=OutputTable[[#This Row],[GroupByKey]]),(OutputTable[GroupByKey]=OutputTable[[#This Row],[GroupByKey]])*OutputTable[RecordedValue])),0)</f>
        <v>47.331035682472766</v>
      </c>
      <c r="M333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333" cm="1">
        <f t="array" ref="O333">MIN(IF((OutputTable[GroupByKey]=OutputTable[[#This Row],[GroupByKey]]),(OutputTable[GroupByKey]=OutputTable[[#This Row],[GroupByKey]])*OutputTable[RecordedValue]))</f>
        <v>2172</v>
      </c>
      <c r="P333" cm="1">
        <f t="array" ref="P333">MAX(IF((OutputTable[GroupByKey]=OutputTable[[#This Row],[GroupByKey]]),(OutputTable[GroupByKey]=OutputTable[[#This Row],[GroupByKey]])*OutputTable[RecordedValue]))</f>
        <v>2386</v>
      </c>
    </row>
    <row r="334" spans="1:16" x14ac:dyDescent="0.25">
      <c r="A334" t="s">
        <v>68</v>
      </c>
      <c r="B334" t="s">
        <v>131</v>
      </c>
      <c r="C334">
        <v>20</v>
      </c>
      <c r="D334" t="s">
        <v>117</v>
      </c>
      <c r="E334" t="s">
        <v>107</v>
      </c>
      <c r="F334" t="s">
        <v>80</v>
      </c>
      <c r="G334">
        <v>2272</v>
      </c>
      <c r="H334">
        <v>0</v>
      </c>
      <c r="I334" t="str">
        <f>OutputTable[[#This Row],[ProjectName]]&amp;OutputTable[[#This Row],[Name]]&amp;OutputTable[[#This Row],[Type]]&amp;OutputTable[[#This Row],[Source]]</f>
        <v>PacientesRegistro Number OutNumber OutProcess</v>
      </c>
      <c r="J334" cm="1">
        <f t="array" ref="J334">MAX(IF((ProjectInfoTable[ProjectName]=OutputTable[[#This Row],[ProjectName]]),(ProjectInfoTable[ProjectName]=OutputTable[[#This Row],[ProjectName]])*ProjectInfoTable[NumberOfReplications]))</f>
        <v>50</v>
      </c>
      <c r="K334" cm="1">
        <f t="array" ref="K334">IFERROR(AVERAGE(IF((OutputTable[GroupByKey]=OutputTable[[#This Row],[GroupByKey]]),(OutputTable[GroupByKey]=OutputTable[[#This Row],[GroupByKey]])*OutputTable[RecordedValue])),0)</f>
        <v>2262.66</v>
      </c>
      <c r="L334" cm="1">
        <f t="array" ref="L334">IFERROR(_xlfn.STDEV.S(IF((OutputTable[GroupByKey]=OutputTable[[#This Row],[GroupByKey]]),(OutputTable[GroupByKey]=OutputTable[[#This Row],[GroupByKey]])*OutputTable[RecordedValue])),0)</f>
        <v>47.488176831454687</v>
      </c>
      <c r="M334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334" cm="1">
        <f t="array" ref="O334">MIN(IF((OutputTable[GroupByKey]=OutputTable[[#This Row],[GroupByKey]]),(OutputTable[GroupByKey]=OutputTable[[#This Row],[GroupByKey]])*OutputTable[RecordedValue]))</f>
        <v>2171</v>
      </c>
      <c r="P334" cm="1">
        <f t="array" ref="P334">MAX(IF((OutputTable[GroupByKey]=OutputTable[[#This Row],[GroupByKey]]),(OutputTable[GroupByKey]=OutputTable[[#This Row],[GroupByKey]])*OutputTable[RecordedValue]))</f>
        <v>2386</v>
      </c>
    </row>
    <row r="335" spans="1:16" x14ac:dyDescent="0.25">
      <c r="A335" t="s">
        <v>68</v>
      </c>
      <c r="B335" t="s">
        <v>131</v>
      </c>
      <c r="C335">
        <v>20</v>
      </c>
      <c r="D335" t="s">
        <v>118</v>
      </c>
      <c r="E335" t="s">
        <v>107</v>
      </c>
      <c r="F335" t="s">
        <v>119</v>
      </c>
      <c r="G335">
        <v>2411</v>
      </c>
      <c r="H335">
        <v>0</v>
      </c>
      <c r="I335" t="str">
        <f>OutputTable[[#This Row],[ProjectName]]&amp;OutputTable[[#This Row],[Name]]&amp;OutputTable[[#This Row],[Type]]&amp;OutputTable[[#This Row],[Source]]</f>
        <v>PacientesSystem.NumberOutNumber OutSystem</v>
      </c>
      <c r="J335" cm="1">
        <f t="array" ref="J335">MAX(IF((ProjectInfoTable[ProjectName]=OutputTable[[#This Row],[ProjectName]]),(ProjectInfoTable[ProjectName]=OutputTable[[#This Row],[ProjectName]])*ProjectInfoTable[NumberOfReplications]))</f>
        <v>50</v>
      </c>
      <c r="K335" cm="1">
        <f t="array" ref="K335">IFERROR(AVERAGE(IF((OutputTable[GroupByKey]=OutputTable[[#This Row],[GroupByKey]]),(OutputTable[GroupByKey]=OutputTable[[#This Row],[GroupByKey]])*OutputTable[RecordedValue])),0)</f>
        <v>2400.2800000000002</v>
      </c>
      <c r="L335" cm="1">
        <f t="array" ref="L335">IFERROR(_xlfn.STDEV.S(IF((OutputTable[GroupByKey]=OutputTable[[#This Row],[GroupByKey]]),(OutputTable[GroupByKey]=OutputTable[[#This Row],[GroupByKey]])*OutputTable[RecordedValue])),0)</f>
        <v>46.409024456676619</v>
      </c>
      <c r="M33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35" cm="1">
        <f t="array" ref="O335">MIN(IF((OutputTable[GroupByKey]=OutputTable[[#This Row],[GroupByKey]]),(OutputTable[GroupByKey]=OutputTable[[#This Row],[GroupByKey]])*OutputTable[RecordedValue]))</f>
        <v>2305</v>
      </c>
      <c r="P335" cm="1">
        <f t="array" ref="P335">MAX(IF((OutputTable[GroupByKey]=OutputTable[[#This Row],[GroupByKey]]),(OutputTable[GroupByKey]=OutputTable[[#This Row],[GroupByKey]])*OutputTable[RecordedValue]))</f>
        <v>2504</v>
      </c>
    </row>
    <row r="336" spans="1:16" x14ac:dyDescent="0.25">
      <c r="A336" t="s">
        <v>68</v>
      </c>
      <c r="B336" t="s">
        <v>131</v>
      </c>
      <c r="C336">
        <v>20</v>
      </c>
      <c r="D336" t="s">
        <v>120</v>
      </c>
      <c r="E336" t="s">
        <v>121</v>
      </c>
      <c r="F336" t="s">
        <v>99</v>
      </c>
      <c r="G336">
        <v>2413</v>
      </c>
      <c r="H336">
        <v>0</v>
      </c>
      <c r="I336" t="str">
        <f>OutputTable[[#This Row],[ProjectName]]&amp;OutputTable[[#This Row],[Name]]&amp;OutputTable[[#This Row],[Type]]&amp;OutputTable[[#This Row],[Source]]</f>
        <v>PacientesrCamas.NumberSeizedTotal Number SeizedResource</v>
      </c>
      <c r="J336" cm="1">
        <f t="array" ref="J336">MAX(IF((ProjectInfoTable[ProjectName]=OutputTable[[#This Row],[ProjectName]]),(ProjectInfoTable[ProjectName]=OutputTable[[#This Row],[ProjectName]])*ProjectInfoTable[NumberOfReplications]))</f>
        <v>50</v>
      </c>
      <c r="K336" cm="1">
        <f t="array" ref="K336">IFERROR(AVERAGE(IF((OutputTable[GroupByKey]=OutputTable[[#This Row],[GroupByKey]]),(OutputTable[GroupByKey]=OutputTable[[#This Row],[GroupByKey]])*OutputTable[RecordedValue])),0)</f>
        <v>2401.9</v>
      </c>
      <c r="L336" cm="1">
        <f t="array" ref="L336">IFERROR(_xlfn.STDEV.S(IF((OutputTable[GroupByKey]=OutputTable[[#This Row],[GroupByKey]]),(OutputTable[GroupByKey]=OutputTable[[#This Row],[GroupByKey]])*OutputTable[RecordedValue])),0)</f>
        <v>46.417031532903209</v>
      </c>
      <c r="M336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36" cm="1">
        <f t="array" ref="O336">MIN(IF((OutputTable[GroupByKey]=OutputTable[[#This Row],[GroupByKey]]),(OutputTable[GroupByKey]=OutputTable[[#This Row],[GroupByKey]])*OutputTable[RecordedValue]))</f>
        <v>2306</v>
      </c>
      <c r="P336" cm="1">
        <f t="array" ref="P336">MAX(IF((OutputTable[GroupByKey]=OutputTable[[#This Row],[GroupByKey]]),(OutputTable[GroupByKey]=OutputTable[[#This Row],[GroupByKey]])*OutputTable[RecordedValue]))</f>
        <v>2506</v>
      </c>
    </row>
    <row r="337" spans="1:16" x14ac:dyDescent="0.25">
      <c r="A337" t="s">
        <v>68</v>
      </c>
      <c r="B337" t="s">
        <v>131</v>
      </c>
      <c r="C337">
        <v>20</v>
      </c>
      <c r="D337" t="s">
        <v>122</v>
      </c>
      <c r="E337" t="s">
        <v>123</v>
      </c>
      <c r="F337" t="s">
        <v>99</v>
      </c>
      <c r="G337">
        <v>0.54789093462021798</v>
      </c>
      <c r="H337">
        <v>0</v>
      </c>
      <c r="I337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337" cm="1">
        <f t="array" ref="J337">MAX(IF((ProjectInfoTable[ProjectName]=OutputTable[[#This Row],[ProjectName]]),(ProjectInfoTable[ProjectName]=OutputTable[[#This Row],[ProjectName]])*ProjectInfoTable[NumberOfReplications]))</f>
        <v>50</v>
      </c>
      <c r="K337" cm="1">
        <f t="array" ref="K337">IFERROR(AVERAGE(IF((OutputTable[GroupByKey]=OutputTable[[#This Row],[GroupByKey]]),(OutputTable[GroupByKey]=OutputTable[[#This Row],[GroupByKey]])*OutputTable[RecordedValue])),0)</f>
        <v>0.54703961359050601</v>
      </c>
      <c r="L337" cm="1">
        <f t="array" ref="L337">IFERROR(_xlfn.STDEV.S(IF((OutputTable[GroupByKey]=OutputTable[[#This Row],[GroupByKey]]),(OutputTable[GroupByKey]=OutputTable[[#This Row],[GroupByKey]])*OutputTable[RecordedValue])),0)</f>
        <v>1.0221170008030479E-2</v>
      </c>
      <c r="M337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337" cm="1">
        <f t="array" ref="O337">MIN(IF((OutputTable[GroupByKey]=OutputTable[[#This Row],[GroupByKey]]),(OutputTable[GroupByKey]=OutputTable[[#This Row],[GroupByKey]])*OutputTable[RecordedValue]))</f>
        <v>0.52470641844357901</v>
      </c>
      <c r="P337" cm="1">
        <f t="array" ref="P337">MAX(IF((OutputTable[GroupByKey]=OutputTable[[#This Row],[GroupByKey]]),(OutputTable[GroupByKey]=OutputTable[[#This Row],[GroupByKey]])*OutputTable[RecordedValue]))</f>
        <v>0.57005812966092295</v>
      </c>
    </row>
    <row r="338" spans="1:16" x14ac:dyDescent="0.25">
      <c r="A338" t="s">
        <v>68</v>
      </c>
      <c r="B338" t="s">
        <v>131</v>
      </c>
      <c r="C338">
        <v>20</v>
      </c>
      <c r="D338" t="s">
        <v>124</v>
      </c>
      <c r="E338" t="s">
        <v>121</v>
      </c>
      <c r="F338" t="s">
        <v>99</v>
      </c>
      <c r="G338">
        <v>2413</v>
      </c>
      <c r="H338">
        <v>0</v>
      </c>
      <c r="I338" t="str">
        <f>OutputTable[[#This Row],[ProjectName]]&amp;OutputTable[[#This Row],[Name]]&amp;OutputTable[[#This Row],[Type]]&amp;OutputTable[[#This Row],[Source]]</f>
        <v>PacientesrMedico.NumberSeizedTotal Number SeizedResource</v>
      </c>
      <c r="J338" cm="1">
        <f t="array" ref="J338">MAX(IF((ProjectInfoTable[ProjectName]=OutputTable[[#This Row],[ProjectName]]),(ProjectInfoTable[ProjectName]=OutputTable[[#This Row],[ProjectName]])*ProjectInfoTable[NumberOfReplications]))</f>
        <v>50</v>
      </c>
      <c r="K338" cm="1">
        <f t="array" ref="K338">IFERROR(AVERAGE(IF((OutputTable[GroupByKey]=OutputTable[[#This Row],[GroupByKey]]),(OutputTable[GroupByKey]=OutputTable[[#This Row],[GroupByKey]])*OutputTable[RecordedValue])),0)</f>
        <v>2401.9</v>
      </c>
      <c r="L338" cm="1">
        <f t="array" ref="L338">IFERROR(_xlfn.STDEV.S(IF((OutputTable[GroupByKey]=OutputTable[[#This Row],[GroupByKey]]),(OutputTable[GroupByKey]=OutputTable[[#This Row],[GroupByKey]])*OutputTable[RecordedValue])),0)</f>
        <v>46.417031532903209</v>
      </c>
      <c r="M338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38" cm="1">
        <f t="array" ref="O338">MIN(IF((OutputTable[GroupByKey]=OutputTable[[#This Row],[GroupByKey]]),(OutputTable[GroupByKey]=OutputTable[[#This Row],[GroupByKey]])*OutputTable[RecordedValue]))</f>
        <v>2306</v>
      </c>
      <c r="P338" cm="1">
        <f t="array" ref="P338">MAX(IF((OutputTable[GroupByKey]=OutputTable[[#This Row],[GroupByKey]]),(OutputTable[GroupByKey]=OutputTable[[#This Row],[GroupByKey]])*OutputTable[RecordedValue]))</f>
        <v>2506</v>
      </c>
    </row>
    <row r="339" spans="1:16" x14ac:dyDescent="0.25">
      <c r="A339" t="s">
        <v>68</v>
      </c>
      <c r="B339" t="s">
        <v>131</v>
      </c>
      <c r="C339">
        <v>20</v>
      </c>
      <c r="D339" t="s">
        <v>125</v>
      </c>
      <c r="E339" t="s">
        <v>123</v>
      </c>
      <c r="F339" t="s">
        <v>99</v>
      </c>
      <c r="G339">
        <v>0.82183640193032803</v>
      </c>
      <c r="H339">
        <v>0</v>
      </c>
      <c r="I339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339" cm="1">
        <f t="array" ref="J339">MAX(IF((ProjectInfoTable[ProjectName]=OutputTable[[#This Row],[ProjectName]]),(ProjectInfoTable[ProjectName]=OutputTable[[#This Row],[ProjectName]])*ProjectInfoTable[NumberOfReplications]))</f>
        <v>50</v>
      </c>
      <c r="K339" cm="1">
        <f t="array" ref="K339">IFERROR(AVERAGE(IF((OutputTable[GroupByKey]=OutputTable[[#This Row],[GroupByKey]]),(OutputTable[GroupByKey]=OutputTable[[#This Row],[GroupByKey]])*OutputTable[RecordedValue])),0)</f>
        <v>0.82055942038575935</v>
      </c>
      <c r="L339" cm="1">
        <f t="array" ref="L339">IFERROR(_xlfn.STDEV.S(IF((OutputTable[GroupByKey]=OutputTable[[#This Row],[GroupByKey]]),(OutputTable[GroupByKey]=OutputTable[[#This Row],[GroupByKey]])*OutputTable[RecordedValue])),0)</f>
        <v>1.5331755012045719E-2</v>
      </c>
      <c r="M339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339" cm="1">
        <f t="array" ref="O339">MIN(IF((OutputTable[GroupByKey]=OutputTable[[#This Row],[GroupByKey]]),(OutputTable[GroupByKey]=OutputTable[[#This Row],[GroupByKey]])*OutputTable[RecordedValue]))</f>
        <v>0.78705962766536897</v>
      </c>
      <c r="P339" cm="1">
        <f t="array" ref="P339">MAX(IF((OutputTable[GroupByKey]=OutputTable[[#This Row],[GroupByKey]]),(OutputTable[GroupByKey]=OutputTable[[#This Row],[GroupByKey]])*OutputTable[RecordedValue]))</f>
        <v>0.85508719449138504</v>
      </c>
    </row>
    <row r="340" spans="1:16" x14ac:dyDescent="0.25">
      <c r="A340" t="s">
        <v>68</v>
      </c>
      <c r="B340" t="s">
        <v>131</v>
      </c>
      <c r="C340">
        <v>20</v>
      </c>
      <c r="D340" t="s">
        <v>126</v>
      </c>
      <c r="E340" t="s">
        <v>121</v>
      </c>
      <c r="F340" t="s">
        <v>99</v>
      </c>
      <c r="G340">
        <v>2273</v>
      </c>
      <c r="H340">
        <v>0</v>
      </c>
      <c r="I340" t="str">
        <f>OutputTable[[#This Row],[ProjectName]]&amp;OutputTable[[#This Row],[Name]]&amp;OutputTable[[#This Row],[Type]]&amp;OutputTable[[#This Row],[Source]]</f>
        <v>PacientesrRegistradora.NumberSeizedTotal Number SeizedResource</v>
      </c>
      <c r="J340" cm="1">
        <f t="array" ref="J340">MAX(IF((ProjectInfoTable[ProjectName]=OutputTable[[#This Row],[ProjectName]]),(ProjectInfoTable[ProjectName]=OutputTable[[#This Row],[ProjectName]])*ProjectInfoTable[NumberOfReplications]))</f>
        <v>50</v>
      </c>
      <c r="K340" cm="1">
        <f t="array" ref="K340">IFERROR(AVERAGE(IF((OutputTable[GroupByKey]=OutputTable[[#This Row],[GroupByKey]]),(OutputTable[GroupByKey]=OutputTable[[#This Row],[GroupByKey]])*OutputTable[RecordedValue])),0)</f>
        <v>2263.14</v>
      </c>
      <c r="L340" cm="1">
        <f t="array" ref="L340">IFERROR(_xlfn.STDEV.S(IF((OutputTable[GroupByKey]=OutputTable[[#This Row],[GroupByKey]]),(OutputTable[GroupByKey]=OutputTable[[#This Row],[GroupByKey]])*OutputTable[RecordedValue])),0)</f>
        <v>47.386818971575821</v>
      </c>
      <c r="M340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340" cm="1">
        <f t="array" ref="O340">MIN(IF((OutputTable[GroupByKey]=OutputTable[[#This Row],[GroupByKey]]),(OutputTable[GroupByKey]=OutputTable[[#This Row],[GroupByKey]])*OutputTable[RecordedValue]))</f>
        <v>2172</v>
      </c>
      <c r="P340" cm="1">
        <f t="array" ref="P340">MAX(IF((OutputTable[GroupByKey]=OutputTable[[#This Row],[GroupByKey]]),(OutputTable[GroupByKey]=OutputTable[[#This Row],[GroupByKey]])*OutputTable[RecordedValue]))</f>
        <v>2386</v>
      </c>
    </row>
    <row r="341" spans="1:16" x14ac:dyDescent="0.25">
      <c r="A341" t="s">
        <v>68</v>
      </c>
      <c r="B341" t="s">
        <v>131</v>
      </c>
      <c r="C341">
        <v>20</v>
      </c>
      <c r="D341" t="s">
        <v>127</v>
      </c>
      <c r="E341" t="s">
        <v>123</v>
      </c>
      <c r="F341" t="s">
        <v>99</v>
      </c>
      <c r="G341">
        <v>0.47124583201987402</v>
      </c>
      <c r="H341">
        <v>0</v>
      </c>
      <c r="I341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341" cm="1">
        <f t="array" ref="J341">MAX(IF((ProjectInfoTable[ProjectName]=OutputTable[[#This Row],[ProjectName]]),(ProjectInfoTable[ProjectName]=OutputTable[[#This Row],[ProjectName]])*ProjectInfoTable[NumberOfReplications]))</f>
        <v>50</v>
      </c>
      <c r="K341" cm="1">
        <f t="array" ref="K341">IFERROR(AVERAGE(IF((OutputTable[GroupByKey]=OutputTable[[#This Row],[GroupByKey]]),(OutputTable[GroupByKey]=OutputTable[[#This Row],[GroupByKey]])*OutputTable[RecordedValue])),0)</f>
        <v>0.47162762933545666</v>
      </c>
      <c r="L341" cm="1">
        <f t="array" ref="L341">IFERROR(_xlfn.STDEV.S(IF((OutputTable[GroupByKey]=OutputTable[[#This Row],[GroupByKey]]),(OutputTable[GroupByKey]=OutputTable[[#This Row],[GroupByKey]])*OutputTable[RecordedValue])),0)</f>
        <v>9.6615227076777797E-3</v>
      </c>
      <c r="M341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341" cm="1">
        <f t="array" ref="O341">MIN(IF((OutputTable[GroupByKey]=OutputTable[[#This Row],[GroupByKey]]),(OutputTable[GroupByKey]=OutputTable[[#This Row],[GroupByKey]])*OutputTable[RecordedValue]))</f>
        <v>0.452397944183905</v>
      </c>
      <c r="P341" cm="1">
        <f t="array" ref="P341">MAX(IF((OutputTable[GroupByKey]=OutputTable[[#This Row],[GroupByKey]]),(OutputTable[GroupByKey]=OutputTable[[#This Row],[GroupByKey]])*OutputTable[RecordedValue]))</f>
        <v>0.49691123629694001</v>
      </c>
    </row>
    <row r="342" spans="1:16" x14ac:dyDescent="0.25">
      <c r="A342" t="s">
        <v>68</v>
      </c>
      <c r="B342" t="s">
        <v>131</v>
      </c>
      <c r="C342">
        <v>21</v>
      </c>
      <c r="D342" t="s">
        <v>104</v>
      </c>
      <c r="E342" t="s">
        <v>105</v>
      </c>
      <c r="F342" t="s">
        <v>72</v>
      </c>
      <c r="G342">
        <v>2307</v>
      </c>
      <c r="H342">
        <v>0</v>
      </c>
      <c r="I342" t="str">
        <f>OutputTable[[#This Row],[ProjectName]]&amp;OutputTable[[#This Row],[Name]]&amp;OutputTable[[#This Row],[Type]]&amp;OutputTable[[#This Row],[Source]]</f>
        <v>PacientesEntity 1.NumberInNumber InEntity</v>
      </c>
      <c r="J342" cm="1">
        <f t="array" ref="J342">MAX(IF((ProjectInfoTable[ProjectName]=OutputTable[[#This Row],[ProjectName]]),(ProjectInfoTable[ProjectName]=OutputTable[[#This Row],[ProjectName]])*ProjectInfoTable[NumberOfReplications]))</f>
        <v>50</v>
      </c>
      <c r="K342" cm="1">
        <f t="array" ref="K342">IFERROR(AVERAGE(IF((OutputTable[GroupByKey]=OutputTable[[#This Row],[GroupByKey]]),(OutputTable[GroupByKey]=OutputTable[[#This Row],[GroupByKey]])*OutputTable[RecordedValue])),0)</f>
        <v>2404.8200000000002</v>
      </c>
      <c r="L342" cm="1">
        <f t="array" ref="L342">IFERROR(_xlfn.STDEV.S(IF((OutputTable[GroupByKey]=OutputTable[[#This Row],[GroupByKey]]),(OutputTable[GroupByKey]=OutputTable[[#This Row],[GroupByKey]])*OutputTable[RecordedValue])),0)</f>
        <v>46.42953405595474</v>
      </c>
      <c r="M342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342" cm="1">
        <f t="array" ref="O342">MIN(IF((OutputTable[GroupByKey]=OutputTable[[#This Row],[GroupByKey]]),(OutputTable[GroupByKey]=OutputTable[[#This Row],[GroupByKey]])*OutputTable[RecordedValue]))</f>
        <v>2307</v>
      </c>
      <c r="P342" cm="1">
        <f t="array" ref="P342">MAX(IF((OutputTable[GroupByKey]=OutputTable[[#This Row],[GroupByKey]]),(OutputTable[GroupByKey]=OutputTable[[#This Row],[GroupByKey]])*OutputTable[RecordedValue]))</f>
        <v>2518</v>
      </c>
    </row>
    <row r="343" spans="1:16" x14ac:dyDescent="0.25">
      <c r="A343" t="s">
        <v>68</v>
      </c>
      <c r="B343" t="s">
        <v>131</v>
      </c>
      <c r="C343">
        <v>21</v>
      </c>
      <c r="D343" t="s">
        <v>106</v>
      </c>
      <c r="E343" t="s">
        <v>107</v>
      </c>
      <c r="F343" t="s">
        <v>72</v>
      </c>
      <c r="G343">
        <v>2305</v>
      </c>
      <c r="H343">
        <v>0</v>
      </c>
      <c r="I343" t="str">
        <f>OutputTable[[#This Row],[ProjectName]]&amp;OutputTable[[#This Row],[Name]]&amp;OutputTable[[#This Row],[Type]]&amp;OutputTable[[#This Row],[Source]]</f>
        <v>PacientesEntity 1.NumberOutNumber OutEntity</v>
      </c>
      <c r="J343" cm="1">
        <f t="array" ref="J343">MAX(IF((ProjectInfoTable[ProjectName]=OutputTable[[#This Row],[ProjectName]]),(ProjectInfoTable[ProjectName]=OutputTable[[#This Row],[ProjectName]])*ProjectInfoTable[NumberOfReplications]))</f>
        <v>50</v>
      </c>
      <c r="K343" cm="1">
        <f t="array" ref="K343">IFERROR(AVERAGE(IF((OutputTable[GroupByKey]=OutputTable[[#This Row],[GroupByKey]]),(OutputTable[GroupByKey]=OutputTable[[#This Row],[GroupByKey]])*OutputTable[RecordedValue])),0)</f>
        <v>2400.2800000000002</v>
      </c>
      <c r="L343" cm="1">
        <f t="array" ref="L343">IFERROR(_xlfn.STDEV.S(IF((OutputTable[GroupByKey]=OutputTable[[#This Row],[GroupByKey]]),(OutputTable[GroupByKey]=OutputTable[[#This Row],[GroupByKey]])*OutputTable[RecordedValue])),0)</f>
        <v>46.409024456676619</v>
      </c>
      <c r="M343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43" cm="1">
        <f t="array" ref="O343">MIN(IF((OutputTable[GroupByKey]=OutputTable[[#This Row],[GroupByKey]]),(OutputTable[GroupByKey]=OutputTable[[#This Row],[GroupByKey]])*OutputTable[RecordedValue]))</f>
        <v>2305</v>
      </c>
      <c r="P343" cm="1">
        <f t="array" ref="P343">MAX(IF((OutputTable[GroupByKey]=OutputTable[[#This Row],[GroupByKey]]),(OutputTable[GroupByKey]=OutputTable[[#This Row],[GroupByKey]])*OutputTable[RecordedValue]))</f>
        <v>2504</v>
      </c>
    </row>
    <row r="344" spans="1:16" x14ac:dyDescent="0.25">
      <c r="A344" t="s">
        <v>68</v>
      </c>
      <c r="B344" t="s">
        <v>131</v>
      </c>
      <c r="C344">
        <v>21</v>
      </c>
      <c r="D344" t="s">
        <v>108</v>
      </c>
      <c r="E344" t="s">
        <v>109</v>
      </c>
      <c r="F344" t="s">
        <v>80</v>
      </c>
      <c r="G344">
        <v>1133.24622318414</v>
      </c>
      <c r="H344">
        <v>0</v>
      </c>
      <c r="I344" t="str">
        <f>OutputTable[[#This Row],[ProjectName]]&amp;OutputTable[[#This Row],[Name]]&amp;OutputTable[[#This Row],[Type]]&amp;OutputTable[[#This Row],[Source]]</f>
        <v>PacientesProcess 2 Accum VA TimeAccum VA TimeProcess</v>
      </c>
      <c r="J344" cm="1">
        <f t="array" ref="J344">MAX(IF((ProjectInfoTable[ProjectName]=OutputTable[[#This Row],[ProjectName]]),(ProjectInfoTable[ProjectName]=OutputTable[[#This Row],[ProjectName]])*ProjectInfoTable[NumberOfReplications]))</f>
        <v>50</v>
      </c>
      <c r="K344" cm="1">
        <f t="array" ref="K344">IFERROR(AVERAGE(IF((OutputTable[GroupByKey]=OutputTable[[#This Row],[GroupByKey]]),(OutputTable[GroupByKey]=OutputTable[[#This Row],[GroupByKey]])*OutputTable[RecordedValue])),0)</f>
        <v>1181.1234936767919</v>
      </c>
      <c r="L344" cm="1">
        <f t="array" ref="L344">IFERROR(_xlfn.STDEV.S(IF((OutputTable[GroupByKey]=OutputTable[[#This Row],[GroupByKey]]),(OutputTable[GroupByKey]=OutputTable[[#This Row],[GroupByKey]])*OutputTable[RecordedValue])),0)</f>
        <v>22.169313666927575</v>
      </c>
      <c r="M344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344" cm="1">
        <f t="array" ref="O344">MIN(IF((OutputTable[GroupByKey]=OutputTable[[#This Row],[GroupByKey]]),(OutputTable[GroupByKey]=OutputTable[[#This Row],[GroupByKey]])*OutputTable[RecordedValue]))</f>
        <v>1133.24622318414</v>
      </c>
      <c r="P344" cm="1">
        <f t="array" ref="P344">MAX(IF((OutputTable[GroupByKey]=OutputTable[[#This Row],[GroupByKey]]),(OutputTable[GroupByKey]=OutputTable[[#This Row],[GroupByKey]])*OutputTable[RecordedValue]))</f>
        <v>1230.9493287309799</v>
      </c>
    </row>
    <row r="345" spans="1:16" x14ac:dyDescent="0.25">
      <c r="A345" t="s">
        <v>68</v>
      </c>
      <c r="B345" t="s">
        <v>131</v>
      </c>
      <c r="C345">
        <v>21</v>
      </c>
      <c r="D345" t="s">
        <v>110</v>
      </c>
      <c r="E345" t="s">
        <v>111</v>
      </c>
      <c r="F345" t="s">
        <v>80</v>
      </c>
      <c r="G345">
        <v>1419.82408721972</v>
      </c>
      <c r="H345">
        <v>0</v>
      </c>
      <c r="I345" t="str">
        <f>OutputTable[[#This Row],[ProjectName]]&amp;OutputTable[[#This Row],[Name]]&amp;OutputTable[[#This Row],[Type]]&amp;OutputTable[[#This Row],[Source]]</f>
        <v>PacientesProcess 2 Accum Wait TimeAccum Wait TimeProcess</v>
      </c>
      <c r="J345" cm="1">
        <f t="array" ref="J345">MAX(IF((ProjectInfoTable[ProjectName]=OutputTable[[#This Row],[ProjectName]]),(ProjectInfoTable[ProjectName]=OutputTable[[#This Row],[ProjectName]])*ProjectInfoTable[NumberOfReplications]))</f>
        <v>50</v>
      </c>
      <c r="K345" cm="1">
        <f t="array" ref="K345">IFERROR(AVERAGE(IF((OutputTable[GroupByKey]=OutputTable[[#This Row],[GroupByKey]]),(OutputTable[GroupByKey]=OutputTable[[#This Row],[GroupByKey]])*OutputTable[RecordedValue])),0)</f>
        <v>1938.7515507466894</v>
      </c>
      <c r="L345" cm="1">
        <f t="array" ref="L345">IFERROR(_xlfn.STDEV.S(IF((OutputTable[GroupByKey]=OutputTable[[#This Row],[GroupByKey]]),(OutputTable[GroupByKey]=OutputTable[[#This Row],[GroupByKey]])*OutputTable[RecordedValue])),0)</f>
        <v>534.03396241838232</v>
      </c>
      <c r="M34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345" cm="1">
        <f t="array" ref="O345">MIN(IF((OutputTable[GroupByKey]=OutputTable[[#This Row],[GroupByKey]]),(OutputTable[GroupByKey]=OutputTable[[#This Row],[GroupByKey]])*OutputTable[RecordedValue]))</f>
        <v>1234.7567994731401</v>
      </c>
      <c r="P345" cm="1">
        <f t="array" ref="P345">MAX(IF((OutputTable[GroupByKey]=OutputTable[[#This Row],[GroupByKey]]),(OutputTable[GroupByKey]=OutputTable[[#This Row],[GroupByKey]])*OutputTable[RecordedValue]))</f>
        <v>3269.0858002883801</v>
      </c>
    </row>
    <row r="346" spans="1:16" x14ac:dyDescent="0.25">
      <c r="A346" t="s">
        <v>68</v>
      </c>
      <c r="B346" t="s">
        <v>131</v>
      </c>
      <c r="C346">
        <v>21</v>
      </c>
      <c r="D346" t="s">
        <v>112</v>
      </c>
      <c r="E346" t="s">
        <v>105</v>
      </c>
      <c r="F346" t="s">
        <v>80</v>
      </c>
      <c r="G346">
        <v>2306</v>
      </c>
      <c r="H346">
        <v>0</v>
      </c>
      <c r="I346" t="str">
        <f>OutputTable[[#This Row],[ProjectName]]&amp;OutputTable[[#This Row],[Name]]&amp;OutputTable[[#This Row],[Type]]&amp;OutputTable[[#This Row],[Source]]</f>
        <v>PacientesProcess 2 Number InNumber InProcess</v>
      </c>
      <c r="J346" cm="1">
        <f t="array" ref="J346">MAX(IF((ProjectInfoTable[ProjectName]=OutputTable[[#This Row],[ProjectName]]),(ProjectInfoTable[ProjectName]=OutputTable[[#This Row],[ProjectName]])*ProjectInfoTable[NumberOfReplications]))</f>
        <v>50</v>
      </c>
      <c r="K346" cm="1">
        <f t="array" ref="K346">IFERROR(AVERAGE(IF((OutputTable[GroupByKey]=OutputTable[[#This Row],[GroupByKey]]),(OutputTable[GroupByKey]=OutputTable[[#This Row],[GroupByKey]])*OutputTable[RecordedValue])),0)</f>
        <v>2404.2399999999998</v>
      </c>
      <c r="L346" cm="1">
        <f t="array" ref="L346">IFERROR(_xlfn.STDEV.S(IF((OutputTable[GroupByKey]=OutputTable[[#This Row],[GroupByKey]]),(OutputTable[GroupByKey]=OutputTable[[#This Row],[GroupByKey]])*OutputTable[RecordedValue])),0)</f>
        <v>46.574303154053879</v>
      </c>
      <c r="M346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346" cm="1">
        <f t="array" ref="O346">MIN(IF((OutputTable[GroupByKey]=OutputTable[[#This Row],[GroupByKey]]),(OutputTable[GroupByKey]=OutputTable[[#This Row],[GroupByKey]])*OutputTable[RecordedValue]))</f>
        <v>2306</v>
      </c>
      <c r="P346" cm="1">
        <f t="array" ref="P346">MAX(IF((OutputTable[GroupByKey]=OutputTable[[#This Row],[GroupByKey]]),(OutputTable[GroupByKey]=OutputTable[[#This Row],[GroupByKey]])*OutputTable[RecordedValue]))</f>
        <v>2518</v>
      </c>
    </row>
    <row r="347" spans="1:16" x14ac:dyDescent="0.25">
      <c r="A347" t="s">
        <v>68</v>
      </c>
      <c r="B347" t="s">
        <v>131</v>
      </c>
      <c r="C347">
        <v>21</v>
      </c>
      <c r="D347" t="s">
        <v>113</v>
      </c>
      <c r="E347" t="s">
        <v>107</v>
      </c>
      <c r="F347" t="s">
        <v>80</v>
      </c>
      <c r="G347">
        <v>2305</v>
      </c>
      <c r="H347">
        <v>0</v>
      </c>
      <c r="I347" t="str">
        <f>OutputTable[[#This Row],[ProjectName]]&amp;OutputTable[[#This Row],[Name]]&amp;OutputTable[[#This Row],[Type]]&amp;OutputTable[[#This Row],[Source]]</f>
        <v>PacientesProcess 2 Number OutNumber OutProcess</v>
      </c>
      <c r="J347" cm="1">
        <f t="array" ref="J347">MAX(IF((ProjectInfoTable[ProjectName]=OutputTable[[#This Row],[ProjectName]]),(ProjectInfoTable[ProjectName]=OutputTable[[#This Row],[ProjectName]])*ProjectInfoTable[NumberOfReplications]))</f>
        <v>50</v>
      </c>
      <c r="K347" cm="1">
        <f t="array" ref="K347">IFERROR(AVERAGE(IF((OutputTable[GroupByKey]=OutputTable[[#This Row],[GroupByKey]]),(OutputTable[GroupByKey]=OutputTable[[#This Row],[GroupByKey]])*OutputTable[RecordedValue])),0)</f>
        <v>2400.2800000000002</v>
      </c>
      <c r="L347" cm="1">
        <f t="array" ref="L347">IFERROR(_xlfn.STDEV.S(IF((OutputTable[GroupByKey]=OutputTable[[#This Row],[GroupByKey]]),(OutputTable[GroupByKey]=OutputTable[[#This Row],[GroupByKey]])*OutputTable[RecordedValue])),0)</f>
        <v>46.409024456676619</v>
      </c>
      <c r="M347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47" cm="1">
        <f t="array" ref="O347">MIN(IF((OutputTable[GroupByKey]=OutputTable[[#This Row],[GroupByKey]]),(OutputTable[GroupByKey]=OutputTable[[#This Row],[GroupByKey]])*OutputTable[RecordedValue]))</f>
        <v>2305</v>
      </c>
      <c r="P347" cm="1">
        <f t="array" ref="P347">MAX(IF((OutputTable[GroupByKey]=OutputTable[[#This Row],[GroupByKey]]),(OutputTable[GroupByKey]=OutputTable[[#This Row],[GroupByKey]])*OutputTable[RecordedValue]))</f>
        <v>2504</v>
      </c>
    </row>
    <row r="348" spans="1:16" x14ac:dyDescent="0.25">
      <c r="A348" t="s">
        <v>68</v>
      </c>
      <c r="B348" t="s">
        <v>131</v>
      </c>
      <c r="C348">
        <v>21</v>
      </c>
      <c r="D348" t="s">
        <v>114</v>
      </c>
      <c r="E348" t="s">
        <v>109</v>
      </c>
      <c r="F348" t="s">
        <v>80</v>
      </c>
      <c r="G348">
        <v>325.606879158418</v>
      </c>
      <c r="H348">
        <v>0</v>
      </c>
      <c r="I348" t="str">
        <f>OutputTable[[#This Row],[ProjectName]]&amp;OutputTable[[#This Row],[Name]]&amp;OutputTable[[#This Row],[Type]]&amp;OutputTable[[#This Row],[Source]]</f>
        <v>PacientesRegistro Accum VA TimeAccum VA TimeProcess</v>
      </c>
      <c r="J348" cm="1">
        <f t="array" ref="J348">MAX(IF((ProjectInfoTable[ProjectName]=OutputTable[[#This Row],[ProjectName]]),(ProjectInfoTable[ProjectName]=OutputTable[[#This Row],[ProjectName]])*ProjectInfoTable[NumberOfReplications]))</f>
        <v>50</v>
      </c>
      <c r="K348" cm="1">
        <f t="array" ref="K348">IFERROR(AVERAGE(IF((OutputTable[GroupByKey]=OutputTable[[#This Row],[GroupByKey]]),(OutputTable[GroupByKey]=OutputTable[[#This Row],[GroupByKey]])*OutputTable[RecordedValue])),0)</f>
        <v>339.53547737062786</v>
      </c>
      <c r="L348" cm="1">
        <f t="array" ref="L348">IFERROR(_xlfn.STDEV.S(IF((OutputTable[GroupByKey]=OutputTable[[#This Row],[GroupByKey]]),(OutputTable[GroupByKey]=OutputTable[[#This Row],[GroupByKey]])*OutputTable[RecordedValue])),0)</f>
        <v>6.9723666109353193</v>
      </c>
      <c r="M348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348" cm="1">
        <f t="array" ref="O348">MIN(IF((OutputTable[GroupByKey]=OutputTable[[#This Row],[GroupByKey]]),(OutputTable[GroupByKey]=OutputTable[[#This Row],[GroupByKey]])*OutputTable[RecordedValue]))</f>
        <v>325.606879158418</v>
      </c>
      <c r="P348" cm="1">
        <f t="array" ref="P348">MAX(IF((OutputTable[GroupByKey]=OutputTable[[#This Row],[GroupByKey]]),(OutputTable[GroupByKey]=OutputTable[[#This Row],[GroupByKey]])*OutputTable[RecordedValue]))</f>
        <v>357.77609013379703</v>
      </c>
    </row>
    <row r="349" spans="1:16" x14ac:dyDescent="0.25">
      <c r="A349" t="s">
        <v>68</v>
      </c>
      <c r="B349" t="s">
        <v>131</v>
      </c>
      <c r="C349">
        <v>21</v>
      </c>
      <c r="D349" t="s">
        <v>115</v>
      </c>
      <c r="E349" t="s">
        <v>111</v>
      </c>
      <c r="F349" t="s">
        <v>80</v>
      </c>
      <c r="G349">
        <v>142.24264758409601</v>
      </c>
      <c r="H349">
        <v>0</v>
      </c>
      <c r="I349" t="str">
        <f>OutputTable[[#This Row],[ProjectName]]&amp;OutputTable[[#This Row],[Name]]&amp;OutputTable[[#This Row],[Type]]&amp;OutputTable[[#This Row],[Source]]</f>
        <v>PacientesRegistro Accum Wait TimeAccum Wait TimeProcess</v>
      </c>
      <c r="J349" cm="1">
        <f t="array" ref="J349">MAX(IF((ProjectInfoTable[ProjectName]=OutputTable[[#This Row],[ProjectName]]),(ProjectInfoTable[ProjectName]=OutputTable[[#This Row],[ProjectName]])*ProjectInfoTable[NumberOfReplications]))</f>
        <v>50</v>
      </c>
      <c r="K349" cm="1">
        <f t="array" ref="K349">IFERROR(AVERAGE(IF((OutputTable[GroupByKey]=OutputTable[[#This Row],[GroupByKey]]),(OutputTable[GroupByKey]=OutputTable[[#This Row],[GroupByKey]])*OutputTable[RecordedValue])),0)</f>
        <v>154.15303898127775</v>
      </c>
      <c r="L349" cm="1">
        <f t="array" ref="L349">IFERROR(_xlfn.STDEV.S(IF((OutputTable[GroupByKey]=OutputTable[[#This Row],[GroupByKey]]),(OutputTable[GroupByKey]=OutputTable[[#This Row],[GroupByKey]])*OutputTable[RecordedValue])),0)</f>
        <v>12.141439184615397</v>
      </c>
      <c r="M349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349" cm="1">
        <f t="array" ref="O349">MIN(IF((OutputTable[GroupByKey]=OutputTable[[#This Row],[GroupByKey]]),(OutputTable[GroupByKey]=OutputTable[[#This Row],[GroupByKey]])*OutputTable[RecordedValue]))</f>
        <v>123.901613974094</v>
      </c>
      <c r="P349" cm="1">
        <f t="array" ref="P349">MAX(IF((OutputTable[GroupByKey]=OutputTable[[#This Row],[GroupByKey]]),(OutputTable[GroupByKey]=OutputTable[[#This Row],[GroupByKey]])*OutputTable[RecordedValue]))</f>
        <v>178.441307284473</v>
      </c>
    </row>
    <row r="350" spans="1:16" x14ac:dyDescent="0.25">
      <c r="A350" t="s">
        <v>68</v>
      </c>
      <c r="B350" t="s">
        <v>131</v>
      </c>
      <c r="C350">
        <v>21</v>
      </c>
      <c r="D350" t="s">
        <v>116</v>
      </c>
      <c r="E350" t="s">
        <v>105</v>
      </c>
      <c r="F350" t="s">
        <v>80</v>
      </c>
      <c r="G350">
        <v>2172</v>
      </c>
      <c r="H350">
        <v>0</v>
      </c>
      <c r="I350" t="str">
        <f>OutputTable[[#This Row],[ProjectName]]&amp;OutputTable[[#This Row],[Name]]&amp;OutputTable[[#This Row],[Type]]&amp;OutputTable[[#This Row],[Source]]</f>
        <v>PacientesRegistro Number InNumber InProcess</v>
      </c>
      <c r="J350" cm="1">
        <f t="array" ref="J350">MAX(IF((ProjectInfoTable[ProjectName]=OutputTable[[#This Row],[ProjectName]]),(ProjectInfoTable[ProjectName]=OutputTable[[#This Row],[ProjectName]])*ProjectInfoTable[NumberOfReplications]))</f>
        <v>50</v>
      </c>
      <c r="K350" cm="1">
        <f t="array" ref="K350">IFERROR(AVERAGE(IF((OutputTable[GroupByKey]=OutputTable[[#This Row],[GroupByKey]]),(OutputTable[GroupByKey]=OutputTable[[#This Row],[GroupByKey]])*OutputTable[RecordedValue])),0)</f>
        <v>2263.2399999999998</v>
      </c>
      <c r="L350" cm="1">
        <f t="array" ref="L350">IFERROR(_xlfn.STDEV.S(IF((OutputTable[GroupByKey]=OutputTable[[#This Row],[GroupByKey]]),(OutputTable[GroupByKey]=OutputTable[[#This Row],[GroupByKey]])*OutputTable[RecordedValue])),0)</f>
        <v>47.331035682472766</v>
      </c>
      <c r="M350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350" cm="1">
        <f t="array" ref="O350">MIN(IF((OutputTable[GroupByKey]=OutputTable[[#This Row],[GroupByKey]]),(OutputTable[GroupByKey]=OutputTable[[#This Row],[GroupByKey]])*OutputTable[RecordedValue]))</f>
        <v>2172</v>
      </c>
      <c r="P350" cm="1">
        <f t="array" ref="P350">MAX(IF((OutputTable[GroupByKey]=OutputTable[[#This Row],[GroupByKey]]),(OutputTable[GroupByKey]=OutputTable[[#This Row],[GroupByKey]])*OutputTable[RecordedValue]))</f>
        <v>2386</v>
      </c>
    </row>
    <row r="351" spans="1:16" x14ac:dyDescent="0.25">
      <c r="A351" t="s">
        <v>68</v>
      </c>
      <c r="B351" t="s">
        <v>131</v>
      </c>
      <c r="C351">
        <v>21</v>
      </c>
      <c r="D351" t="s">
        <v>117</v>
      </c>
      <c r="E351" t="s">
        <v>107</v>
      </c>
      <c r="F351" t="s">
        <v>80</v>
      </c>
      <c r="G351">
        <v>2171</v>
      </c>
      <c r="H351">
        <v>0</v>
      </c>
      <c r="I351" t="str">
        <f>OutputTable[[#This Row],[ProjectName]]&amp;OutputTable[[#This Row],[Name]]&amp;OutputTable[[#This Row],[Type]]&amp;OutputTable[[#This Row],[Source]]</f>
        <v>PacientesRegistro Number OutNumber OutProcess</v>
      </c>
      <c r="J351" cm="1">
        <f t="array" ref="J351">MAX(IF((ProjectInfoTable[ProjectName]=OutputTable[[#This Row],[ProjectName]]),(ProjectInfoTable[ProjectName]=OutputTable[[#This Row],[ProjectName]])*ProjectInfoTable[NumberOfReplications]))</f>
        <v>50</v>
      </c>
      <c r="K351" cm="1">
        <f t="array" ref="K351">IFERROR(AVERAGE(IF((OutputTable[GroupByKey]=OutputTable[[#This Row],[GroupByKey]]),(OutputTable[GroupByKey]=OutputTable[[#This Row],[GroupByKey]])*OutputTable[RecordedValue])),0)</f>
        <v>2262.66</v>
      </c>
      <c r="L351" cm="1">
        <f t="array" ref="L351">IFERROR(_xlfn.STDEV.S(IF((OutputTable[GroupByKey]=OutputTable[[#This Row],[GroupByKey]]),(OutputTable[GroupByKey]=OutputTable[[#This Row],[GroupByKey]])*OutputTable[RecordedValue])),0)</f>
        <v>47.488176831454687</v>
      </c>
      <c r="M351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351" cm="1">
        <f t="array" ref="O351">MIN(IF((OutputTable[GroupByKey]=OutputTable[[#This Row],[GroupByKey]]),(OutputTable[GroupByKey]=OutputTable[[#This Row],[GroupByKey]])*OutputTable[RecordedValue]))</f>
        <v>2171</v>
      </c>
      <c r="P351" cm="1">
        <f t="array" ref="P351">MAX(IF((OutputTable[GroupByKey]=OutputTable[[#This Row],[GroupByKey]]),(OutputTable[GroupByKey]=OutputTable[[#This Row],[GroupByKey]])*OutputTable[RecordedValue]))</f>
        <v>2386</v>
      </c>
    </row>
    <row r="352" spans="1:16" x14ac:dyDescent="0.25">
      <c r="A352" t="s">
        <v>68</v>
      </c>
      <c r="B352" t="s">
        <v>131</v>
      </c>
      <c r="C352">
        <v>21</v>
      </c>
      <c r="D352" t="s">
        <v>118</v>
      </c>
      <c r="E352" t="s">
        <v>107</v>
      </c>
      <c r="F352" t="s">
        <v>119</v>
      </c>
      <c r="G352">
        <v>2305</v>
      </c>
      <c r="H352">
        <v>0</v>
      </c>
      <c r="I352" t="str">
        <f>OutputTable[[#This Row],[ProjectName]]&amp;OutputTable[[#This Row],[Name]]&amp;OutputTable[[#This Row],[Type]]&amp;OutputTable[[#This Row],[Source]]</f>
        <v>PacientesSystem.NumberOutNumber OutSystem</v>
      </c>
      <c r="J352" cm="1">
        <f t="array" ref="J352">MAX(IF((ProjectInfoTable[ProjectName]=OutputTable[[#This Row],[ProjectName]]),(ProjectInfoTable[ProjectName]=OutputTable[[#This Row],[ProjectName]])*ProjectInfoTable[NumberOfReplications]))</f>
        <v>50</v>
      </c>
      <c r="K352" cm="1">
        <f t="array" ref="K352">IFERROR(AVERAGE(IF((OutputTable[GroupByKey]=OutputTable[[#This Row],[GroupByKey]]),(OutputTable[GroupByKey]=OutputTable[[#This Row],[GroupByKey]])*OutputTable[RecordedValue])),0)</f>
        <v>2400.2800000000002</v>
      </c>
      <c r="L352" cm="1">
        <f t="array" ref="L352">IFERROR(_xlfn.STDEV.S(IF((OutputTable[GroupByKey]=OutputTable[[#This Row],[GroupByKey]]),(OutputTable[GroupByKey]=OutputTable[[#This Row],[GroupByKey]])*OutputTable[RecordedValue])),0)</f>
        <v>46.409024456676619</v>
      </c>
      <c r="M352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52" cm="1">
        <f t="array" ref="O352">MIN(IF((OutputTable[GroupByKey]=OutputTable[[#This Row],[GroupByKey]]),(OutputTable[GroupByKey]=OutputTable[[#This Row],[GroupByKey]])*OutputTable[RecordedValue]))</f>
        <v>2305</v>
      </c>
      <c r="P352" cm="1">
        <f t="array" ref="P352">MAX(IF((OutputTable[GroupByKey]=OutputTable[[#This Row],[GroupByKey]]),(OutputTable[GroupByKey]=OutputTable[[#This Row],[GroupByKey]])*OutputTable[RecordedValue]))</f>
        <v>2504</v>
      </c>
    </row>
    <row r="353" spans="1:16" x14ac:dyDescent="0.25">
      <c r="A353" t="s">
        <v>68</v>
      </c>
      <c r="B353" t="s">
        <v>131</v>
      </c>
      <c r="C353">
        <v>21</v>
      </c>
      <c r="D353" t="s">
        <v>120</v>
      </c>
      <c r="E353" t="s">
        <v>121</v>
      </c>
      <c r="F353" t="s">
        <v>99</v>
      </c>
      <c r="G353">
        <v>2306</v>
      </c>
      <c r="H353">
        <v>0</v>
      </c>
      <c r="I353" t="str">
        <f>OutputTable[[#This Row],[ProjectName]]&amp;OutputTable[[#This Row],[Name]]&amp;OutputTable[[#This Row],[Type]]&amp;OutputTable[[#This Row],[Source]]</f>
        <v>PacientesrCamas.NumberSeizedTotal Number SeizedResource</v>
      </c>
      <c r="J353" cm="1">
        <f t="array" ref="J353">MAX(IF((ProjectInfoTable[ProjectName]=OutputTable[[#This Row],[ProjectName]]),(ProjectInfoTable[ProjectName]=OutputTable[[#This Row],[ProjectName]])*ProjectInfoTable[NumberOfReplications]))</f>
        <v>50</v>
      </c>
      <c r="K353" cm="1">
        <f t="array" ref="K353">IFERROR(AVERAGE(IF((OutputTable[GroupByKey]=OutputTable[[#This Row],[GroupByKey]]),(OutputTable[GroupByKey]=OutputTable[[#This Row],[GroupByKey]])*OutputTable[RecordedValue])),0)</f>
        <v>2401.9</v>
      </c>
      <c r="L353" cm="1">
        <f t="array" ref="L353">IFERROR(_xlfn.STDEV.S(IF((OutputTable[GroupByKey]=OutputTable[[#This Row],[GroupByKey]]),(OutputTable[GroupByKey]=OutputTable[[#This Row],[GroupByKey]])*OutputTable[RecordedValue])),0)</f>
        <v>46.417031532903209</v>
      </c>
      <c r="M353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53" cm="1">
        <f t="array" ref="O353">MIN(IF((OutputTable[GroupByKey]=OutputTable[[#This Row],[GroupByKey]]),(OutputTable[GroupByKey]=OutputTable[[#This Row],[GroupByKey]])*OutputTable[RecordedValue]))</f>
        <v>2306</v>
      </c>
      <c r="P353" cm="1">
        <f t="array" ref="P353">MAX(IF((OutputTable[GroupByKey]=OutputTable[[#This Row],[GroupByKey]]),(OutputTable[GroupByKey]=OutputTable[[#This Row],[GroupByKey]])*OutputTable[RecordedValue]))</f>
        <v>2506</v>
      </c>
    </row>
    <row r="354" spans="1:16" x14ac:dyDescent="0.25">
      <c r="A354" t="s">
        <v>68</v>
      </c>
      <c r="B354" t="s">
        <v>131</v>
      </c>
      <c r="C354">
        <v>21</v>
      </c>
      <c r="D354" t="s">
        <v>122</v>
      </c>
      <c r="E354" t="s">
        <v>123</v>
      </c>
      <c r="F354" t="s">
        <v>99</v>
      </c>
      <c r="G354">
        <v>0.52470641844357901</v>
      </c>
      <c r="H354">
        <v>0</v>
      </c>
      <c r="I354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354" cm="1">
        <f t="array" ref="J354">MAX(IF((ProjectInfoTable[ProjectName]=OutputTable[[#This Row],[ProjectName]]),(ProjectInfoTable[ProjectName]=OutputTable[[#This Row],[ProjectName]])*ProjectInfoTable[NumberOfReplications]))</f>
        <v>50</v>
      </c>
      <c r="K354" cm="1">
        <f t="array" ref="K354">IFERROR(AVERAGE(IF((OutputTable[GroupByKey]=OutputTable[[#This Row],[GroupByKey]]),(OutputTable[GroupByKey]=OutputTable[[#This Row],[GroupByKey]])*OutputTable[RecordedValue])),0)</f>
        <v>0.54703961359050601</v>
      </c>
      <c r="L354" cm="1">
        <f t="array" ref="L354">IFERROR(_xlfn.STDEV.S(IF((OutputTable[GroupByKey]=OutputTable[[#This Row],[GroupByKey]]),(OutputTable[GroupByKey]=OutputTable[[#This Row],[GroupByKey]])*OutputTable[RecordedValue])),0)</f>
        <v>1.0221170008030479E-2</v>
      </c>
      <c r="M354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354" cm="1">
        <f t="array" ref="O354">MIN(IF((OutputTable[GroupByKey]=OutputTable[[#This Row],[GroupByKey]]),(OutputTable[GroupByKey]=OutputTable[[#This Row],[GroupByKey]])*OutputTable[RecordedValue]))</f>
        <v>0.52470641844357901</v>
      </c>
      <c r="P354" cm="1">
        <f t="array" ref="P354">MAX(IF((OutputTable[GroupByKey]=OutputTable[[#This Row],[GroupByKey]]),(OutputTable[GroupByKey]=OutputTable[[#This Row],[GroupByKey]])*OutputTable[RecordedValue]))</f>
        <v>0.57005812966092295</v>
      </c>
    </row>
    <row r="355" spans="1:16" x14ac:dyDescent="0.25">
      <c r="A355" t="s">
        <v>68</v>
      </c>
      <c r="B355" t="s">
        <v>131</v>
      </c>
      <c r="C355">
        <v>21</v>
      </c>
      <c r="D355" t="s">
        <v>124</v>
      </c>
      <c r="E355" t="s">
        <v>121</v>
      </c>
      <c r="F355" t="s">
        <v>99</v>
      </c>
      <c r="G355">
        <v>2306</v>
      </c>
      <c r="H355">
        <v>0</v>
      </c>
      <c r="I355" t="str">
        <f>OutputTable[[#This Row],[ProjectName]]&amp;OutputTable[[#This Row],[Name]]&amp;OutputTable[[#This Row],[Type]]&amp;OutputTable[[#This Row],[Source]]</f>
        <v>PacientesrMedico.NumberSeizedTotal Number SeizedResource</v>
      </c>
      <c r="J355" cm="1">
        <f t="array" ref="J355">MAX(IF((ProjectInfoTable[ProjectName]=OutputTable[[#This Row],[ProjectName]]),(ProjectInfoTable[ProjectName]=OutputTable[[#This Row],[ProjectName]])*ProjectInfoTable[NumberOfReplications]))</f>
        <v>50</v>
      </c>
      <c r="K355" cm="1">
        <f t="array" ref="K355">IFERROR(AVERAGE(IF((OutputTable[GroupByKey]=OutputTable[[#This Row],[GroupByKey]]),(OutputTable[GroupByKey]=OutputTable[[#This Row],[GroupByKey]])*OutputTable[RecordedValue])),0)</f>
        <v>2401.9</v>
      </c>
      <c r="L355" cm="1">
        <f t="array" ref="L355">IFERROR(_xlfn.STDEV.S(IF((OutputTable[GroupByKey]=OutputTable[[#This Row],[GroupByKey]]),(OutputTable[GroupByKey]=OutputTable[[#This Row],[GroupByKey]])*OutputTable[RecordedValue])),0)</f>
        <v>46.417031532903209</v>
      </c>
      <c r="M35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55" cm="1">
        <f t="array" ref="O355">MIN(IF((OutputTable[GroupByKey]=OutputTable[[#This Row],[GroupByKey]]),(OutputTable[GroupByKey]=OutputTable[[#This Row],[GroupByKey]])*OutputTable[RecordedValue]))</f>
        <v>2306</v>
      </c>
      <c r="P355" cm="1">
        <f t="array" ref="P355">MAX(IF((OutputTable[GroupByKey]=OutputTable[[#This Row],[GroupByKey]]),(OutputTable[GroupByKey]=OutputTable[[#This Row],[GroupByKey]])*OutputTable[RecordedValue]))</f>
        <v>2506</v>
      </c>
    </row>
    <row r="356" spans="1:16" x14ac:dyDescent="0.25">
      <c r="A356" t="s">
        <v>68</v>
      </c>
      <c r="B356" t="s">
        <v>131</v>
      </c>
      <c r="C356">
        <v>21</v>
      </c>
      <c r="D356" t="s">
        <v>125</v>
      </c>
      <c r="E356" t="s">
        <v>123</v>
      </c>
      <c r="F356" t="s">
        <v>99</v>
      </c>
      <c r="G356">
        <v>0.78705962766536897</v>
      </c>
      <c r="H356">
        <v>0</v>
      </c>
      <c r="I356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356" cm="1">
        <f t="array" ref="J356">MAX(IF((ProjectInfoTable[ProjectName]=OutputTable[[#This Row],[ProjectName]]),(ProjectInfoTable[ProjectName]=OutputTable[[#This Row],[ProjectName]])*ProjectInfoTable[NumberOfReplications]))</f>
        <v>50</v>
      </c>
      <c r="K356" cm="1">
        <f t="array" ref="K356">IFERROR(AVERAGE(IF((OutputTable[GroupByKey]=OutputTable[[#This Row],[GroupByKey]]),(OutputTable[GroupByKey]=OutputTable[[#This Row],[GroupByKey]])*OutputTable[RecordedValue])),0)</f>
        <v>0.82055942038575935</v>
      </c>
      <c r="L356" cm="1">
        <f t="array" ref="L356">IFERROR(_xlfn.STDEV.S(IF((OutputTable[GroupByKey]=OutputTable[[#This Row],[GroupByKey]]),(OutputTable[GroupByKey]=OutputTable[[#This Row],[GroupByKey]])*OutputTable[RecordedValue])),0)</f>
        <v>1.5331755012045719E-2</v>
      </c>
      <c r="M356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356" cm="1">
        <f t="array" ref="O356">MIN(IF((OutputTable[GroupByKey]=OutputTable[[#This Row],[GroupByKey]]),(OutputTable[GroupByKey]=OutputTable[[#This Row],[GroupByKey]])*OutputTable[RecordedValue]))</f>
        <v>0.78705962766536897</v>
      </c>
      <c r="P356" cm="1">
        <f t="array" ref="P356">MAX(IF((OutputTable[GroupByKey]=OutputTable[[#This Row],[GroupByKey]]),(OutputTable[GroupByKey]=OutputTable[[#This Row],[GroupByKey]])*OutputTable[RecordedValue]))</f>
        <v>0.85508719449138504</v>
      </c>
    </row>
    <row r="357" spans="1:16" x14ac:dyDescent="0.25">
      <c r="A357" t="s">
        <v>68</v>
      </c>
      <c r="B357" t="s">
        <v>131</v>
      </c>
      <c r="C357">
        <v>21</v>
      </c>
      <c r="D357" t="s">
        <v>126</v>
      </c>
      <c r="E357" t="s">
        <v>121</v>
      </c>
      <c r="F357" t="s">
        <v>99</v>
      </c>
      <c r="G357">
        <v>2172</v>
      </c>
      <c r="H357">
        <v>0</v>
      </c>
      <c r="I357" t="str">
        <f>OutputTable[[#This Row],[ProjectName]]&amp;OutputTable[[#This Row],[Name]]&amp;OutputTable[[#This Row],[Type]]&amp;OutputTable[[#This Row],[Source]]</f>
        <v>PacientesrRegistradora.NumberSeizedTotal Number SeizedResource</v>
      </c>
      <c r="J357" cm="1">
        <f t="array" ref="J357">MAX(IF((ProjectInfoTable[ProjectName]=OutputTable[[#This Row],[ProjectName]]),(ProjectInfoTable[ProjectName]=OutputTable[[#This Row],[ProjectName]])*ProjectInfoTable[NumberOfReplications]))</f>
        <v>50</v>
      </c>
      <c r="K357" cm="1">
        <f t="array" ref="K357">IFERROR(AVERAGE(IF((OutputTable[GroupByKey]=OutputTable[[#This Row],[GroupByKey]]),(OutputTable[GroupByKey]=OutputTable[[#This Row],[GroupByKey]])*OutputTable[RecordedValue])),0)</f>
        <v>2263.14</v>
      </c>
      <c r="L357" cm="1">
        <f t="array" ref="L357">IFERROR(_xlfn.STDEV.S(IF((OutputTable[GroupByKey]=OutputTable[[#This Row],[GroupByKey]]),(OutputTable[GroupByKey]=OutputTable[[#This Row],[GroupByKey]])*OutputTable[RecordedValue])),0)</f>
        <v>47.386818971575821</v>
      </c>
      <c r="M357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357" cm="1">
        <f t="array" ref="O357">MIN(IF((OutputTable[GroupByKey]=OutputTable[[#This Row],[GroupByKey]]),(OutputTable[GroupByKey]=OutputTable[[#This Row],[GroupByKey]])*OutputTable[RecordedValue]))</f>
        <v>2172</v>
      </c>
      <c r="P357" cm="1">
        <f t="array" ref="P357">MAX(IF((OutputTable[GroupByKey]=OutputTable[[#This Row],[GroupByKey]]),(OutputTable[GroupByKey]=OutputTable[[#This Row],[GroupByKey]])*OutputTable[RecordedValue]))</f>
        <v>2386</v>
      </c>
    </row>
    <row r="358" spans="1:16" x14ac:dyDescent="0.25">
      <c r="A358" t="s">
        <v>68</v>
      </c>
      <c r="B358" t="s">
        <v>131</v>
      </c>
      <c r="C358">
        <v>21</v>
      </c>
      <c r="D358" t="s">
        <v>127</v>
      </c>
      <c r="E358" t="s">
        <v>123</v>
      </c>
      <c r="F358" t="s">
        <v>99</v>
      </c>
      <c r="G358">
        <v>0.452397944183905</v>
      </c>
      <c r="H358">
        <v>0</v>
      </c>
      <c r="I358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358" cm="1">
        <f t="array" ref="J358">MAX(IF((ProjectInfoTable[ProjectName]=OutputTable[[#This Row],[ProjectName]]),(ProjectInfoTable[ProjectName]=OutputTable[[#This Row],[ProjectName]])*ProjectInfoTable[NumberOfReplications]))</f>
        <v>50</v>
      </c>
      <c r="K358" cm="1">
        <f t="array" ref="K358">IFERROR(AVERAGE(IF((OutputTable[GroupByKey]=OutputTable[[#This Row],[GroupByKey]]),(OutputTable[GroupByKey]=OutputTable[[#This Row],[GroupByKey]])*OutputTable[RecordedValue])),0)</f>
        <v>0.47162762933545666</v>
      </c>
      <c r="L358" cm="1">
        <f t="array" ref="L358">IFERROR(_xlfn.STDEV.S(IF((OutputTable[GroupByKey]=OutputTable[[#This Row],[GroupByKey]]),(OutputTable[GroupByKey]=OutputTable[[#This Row],[GroupByKey]])*OutputTable[RecordedValue])),0)</f>
        <v>9.6615227076777797E-3</v>
      </c>
      <c r="M358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358" cm="1">
        <f t="array" ref="O358">MIN(IF((OutputTable[GroupByKey]=OutputTable[[#This Row],[GroupByKey]]),(OutputTable[GroupByKey]=OutputTable[[#This Row],[GroupByKey]])*OutputTable[RecordedValue]))</f>
        <v>0.452397944183905</v>
      </c>
      <c r="P358" cm="1">
        <f t="array" ref="P358">MAX(IF((OutputTable[GroupByKey]=OutputTable[[#This Row],[GroupByKey]]),(OutputTable[GroupByKey]=OutputTable[[#This Row],[GroupByKey]])*OutputTable[RecordedValue]))</f>
        <v>0.49691123629694001</v>
      </c>
    </row>
    <row r="359" spans="1:16" x14ac:dyDescent="0.25">
      <c r="A359" t="s">
        <v>68</v>
      </c>
      <c r="B359" t="s">
        <v>131</v>
      </c>
      <c r="C359">
        <v>22</v>
      </c>
      <c r="D359" t="s">
        <v>104</v>
      </c>
      <c r="E359" t="s">
        <v>105</v>
      </c>
      <c r="F359" t="s">
        <v>72</v>
      </c>
      <c r="G359">
        <v>2431</v>
      </c>
      <c r="H359">
        <v>0</v>
      </c>
      <c r="I359" t="str">
        <f>OutputTable[[#This Row],[ProjectName]]&amp;OutputTable[[#This Row],[Name]]&amp;OutputTable[[#This Row],[Type]]&amp;OutputTable[[#This Row],[Source]]</f>
        <v>PacientesEntity 1.NumberInNumber InEntity</v>
      </c>
      <c r="J359" cm="1">
        <f t="array" ref="J359">MAX(IF((ProjectInfoTable[ProjectName]=OutputTable[[#This Row],[ProjectName]]),(ProjectInfoTable[ProjectName]=OutputTable[[#This Row],[ProjectName]])*ProjectInfoTable[NumberOfReplications]))</f>
        <v>50</v>
      </c>
      <c r="K359" cm="1">
        <f t="array" ref="K359">IFERROR(AVERAGE(IF((OutputTable[GroupByKey]=OutputTable[[#This Row],[GroupByKey]]),(OutputTable[GroupByKey]=OutputTable[[#This Row],[GroupByKey]])*OutputTable[RecordedValue])),0)</f>
        <v>2404.8200000000002</v>
      </c>
      <c r="L359" cm="1">
        <f t="array" ref="L359">IFERROR(_xlfn.STDEV.S(IF((OutputTable[GroupByKey]=OutputTable[[#This Row],[GroupByKey]]),(OutputTable[GroupByKey]=OutputTable[[#This Row],[GroupByKey]])*OutputTable[RecordedValue])),0)</f>
        <v>46.42953405595474</v>
      </c>
      <c r="M359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359" cm="1">
        <f t="array" ref="O359">MIN(IF((OutputTable[GroupByKey]=OutputTable[[#This Row],[GroupByKey]]),(OutputTable[GroupByKey]=OutputTable[[#This Row],[GroupByKey]])*OutputTable[RecordedValue]))</f>
        <v>2307</v>
      </c>
      <c r="P359" cm="1">
        <f t="array" ref="P359">MAX(IF((OutputTable[GroupByKey]=OutputTable[[#This Row],[GroupByKey]]),(OutputTable[GroupByKey]=OutputTable[[#This Row],[GroupByKey]])*OutputTable[RecordedValue]))</f>
        <v>2518</v>
      </c>
    </row>
    <row r="360" spans="1:16" x14ac:dyDescent="0.25">
      <c r="A360" t="s">
        <v>68</v>
      </c>
      <c r="B360" t="s">
        <v>131</v>
      </c>
      <c r="C360">
        <v>22</v>
      </c>
      <c r="D360" t="s">
        <v>106</v>
      </c>
      <c r="E360" t="s">
        <v>107</v>
      </c>
      <c r="F360" t="s">
        <v>72</v>
      </c>
      <c r="G360">
        <v>2428</v>
      </c>
      <c r="H360">
        <v>0</v>
      </c>
      <c r="I360" t="str">
        <f>OutputTable[[#This Row],[ProjectName]]&amp;OutputTable[[#This Row],[Name]]&amp;OutputTable[[#This Row],[Type]]&amp;OutputTable[[#This Row],[Source]]</f>
        <v>PacientesEntity 1.NumberOutNumber OutEntity</v>
      </c>
      <c r="J360" cm="1">
        <f t="array" ref="J360">MAX(IF((ProjectInfoTable[ProjectName]=OutputTable[[#This Row],[ProjectName]]),(ProjectInfoTable[ProjectName]=OutputTable[[#This Row],[ProjectName]])*ProjectInfoTable[NumberOfReplications]))</f>
        <v>50</v>
      </c>
      <c r="K360" cm="1">
        <f t="array" ref="K360">IFERROR(AVERAGE(IF((OutputTable[GroupByKey]=OutputTable[[#This Row],[GroupByKey]]),(OutputTable[GroupByKey]=OutputTable[[#This Row],[GroupByKey]])*OutputTable[RecordedValue])),0)</f>
        <v>2400.2800000000002</v>
      </c>
      <c r="L360" cm="1">
        <f t="array" ref="L360">IFERROR(_xlfn.STDEV.S(IF((OutputTable[GroupByKey]=OutputTable[[#This Row],[GroupByKey]]),(OutputTable[GroupByKey]=OutputTable[[#This Row],[GroupByKey]])*OutputTable[RecordedValue])),0)</f>
        <v>46.409024456676619</v>
      </c>
      <c r="M360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60" cm="1">
        <f t="array" ref="O360">MIN(IF((OutputTable[GroupByKey]=OutputTable[[#This Row],[GroupByKey]]),(OutputTable[GroupByKey]=OutputTable[[#This Row],[GroupByKey]])*OutputTable[RecordedValue]))</f>
        <v>2305</v>
      </c>
      <c r="P360" cm="1">
        <f t="array" ref="P360">MAX(IF((OutputTable[GroupByKey]=OutputTable[[#This Row],[GroupByKey]]),(OutputTable[GroupByKey]=OutputTable[[#This Row],[GroupByKey]])*OutputTable[RecordedValue]))</f>
        <v>2504</v>
      </c>
    </row>
    <row r="361" spans="1:16" x14ac:dyDescent="0.25">
      <c r="A361" t="s">
        <v>68</v>
      </c>
      <c r="B361" t="s">
        <v>131</v>
      </c>
      <c r="C361">
        <v>22</v>
      </c>
      <c r="D361" t="s">
        <v>108</v>
      </c>
      <c r="E361" t="s">
        <v>109</v>
      </c>
      <c r="F361" t="s">
        <v>80</v>
      </c>
      <c r="G361">
        <v>1208.1418810421801</v>
      </c>
      <c r="H361">
        <v>0</v>
      </c>
      <c r="I361" t="str">
        <f>OutputTable[[#This Row],[ProjectName]]&amp;OutputTable[[#This Row],[Name]]&amp;OutputTable[[#This Row],[Type]]&amp;OutputTable[[#This Row],[Source]]</f>
        <v>PacientesProcess 2 Accum VA TimeAccum VA TimeProcess</v>
      </c>
      <c r="J361" cm="1">
        <f t="array" ref="J361">MAX(IF((ProjectInfoTable[ProjectName]=OutputTable[[#This Row],[ProjectName]]),(ProjectInfoTable[ProjectName]=OutputTable[[#This Row],[ProjectName]])*ProjectInfoTable[NumberOfReplications]))</f>
        <v>50</v>
      </c>
      <c r="K361" cm="1">
        <f t="array" ref="K361">IFERROR(AVERAGE(IF((OutputTable[GroupByKey]=OutputTable[[#This Row],[GroupByKey]]),(OutputTable[GroupByKey]=OutputTable[[#This Row],[GroupByKey]])*OutputTable[RecordedValue])),0)</f>
        <v>1181.1234936767919</v>
      </c>
      <c r="L361" cm="1">
        <f t="array" ref="L361">IFERROR(_xlfn.STDEV.S(IF((OutputTable[GroupByKey]=OutputTable[[#This Row],[GroupByKey]]),(OutputTable[GroupByKey]=OutputTable[[#This Row],[GroupByKey]])*OutputTable[RecordedValue])),0)</f>
        <v>22.169313666927575</v>
      </c>
      <c r="M361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361" cm="1">
        <f t="array" ref="O361">MIN(IF((OutputTable[GroupByKey]=OutputTable[[#This Row],[GroupByKey]]),(OutputTable[GroupByKey]=OutputTable[[#This Row],[GroupByKey]])*OutputTable[RecordedValue]))</f>
        <v>1133.24622318414</v>
      </c>
      <c r="P361" cm="1">
        <f t="array" ref="P361">MAX(IF((OutputTable[GroupByKey]=OutputTable[[#This Row],[GroupByKey]]),(OutputTable[GroupByKey]=OutputTable[[#This Row],[GroupByKey]])*OutputTable[RecordedValue]))</f>
        <v>1230.9493287309799</v>
      </c>
    </row>
    <row r="362" spans="1:16" x14ac:dyDescent="0.25">
      <c r="A362" t="s">
        <v>68</v>
      </c>
      <c r="B362" t="s">
        <v>131</v>
      </c>
      <c r="C362">
        <v>22</v>
      </c>
      <c r="D362" t="s">
        <v>110</v>
      </c>
      <c r="E362" t="s">
        <v>111</v>
      </c>
      <c r="F362" t="s">
        <v>80</v>
      </c>
      <c r="G362">
        <v>2480.8896346420902</v>
      </c>
      <c r="H362">
        <v>0</v>
      </c>
      <c r="I362" t="str">
        <f>OutputTable[[#This Row],[ProjectName]]&amp;OutputTable[[#This Row],[Name]]&amp;OutputTable[[#This Row],[Type]]&amp;OutputTable[[#This Row],[Source]]</f>
        <v>PacientesProcess 2 Accum Wait TimeAccum Wait TimeProcess</v>
      </c>
      <c r="J362" cm="1">
        <f t="array" ref="J362">MAX(IF((ProjectInfoTable[ProjectName]=OutputTable[[#This Row],[ProjectName]]),(ProjectInfoTable[ProjectName]=OutputTable[[#This Row],[ProjectName]])*ProjectInfoTable[NumberOfReplications]))</f>
        <v>50</v>
      </c>
      <c r="K362" cm="1">
        <f t="array" ref="K362">IFERROR(AVERAGE(IF((OutputTable[GroupByKey]=OutputTable[[#This Row],[GroupByKey]]),(OutputTable[GroupByKey]=OutputTable[[#This Row],[GroupByKey]])*OutputTable[RecordedValue])),0)</f>
        <v>1938.7515507466894</v>
      </c>
      <c r="L362" cm="1">
        <f t="array" ref="L362">IFERROR(_xlfn.STDEV.S(IF((OutputTable[GroupByKey]=OutputTable[[#This Row],[GroupByKey]]),(OutputTable[GroupByKey]=OutputTable[[#This Row],[GroupByKey]])*OutputTable[RecordedValue])),0)</f>
        <v>534.03396241838232</v>
      </c>
      <c r="M362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362" cm="1">
        <f t="array" ref="O362">MIN(IF((OutputTable[GroupByKey]=OutputTable[[#This Row],[GroupByKey]]),(OutputTable[GroupByKey]=OutputTable[[#This Row],[GroupByKey]])*OutputTable[RecordedValue]))</f>
        <v>1234.7567994731401</v>
      </c>
      <c r="P362" cm="1">
        <f t="array" ref="P362">MAX(IF((OutputTable[GroupByKey]=OutputTable[[#This Row],[GroupByKey]]),(OutputTable[GroupByKey]=OutputTable[[#This Row],[GroupByKey]])*OutputTable[RecordedValue]))</f>
        <v>3269.0858002883801</v>
      </c>
    </row>
    <row r="363" spans="1:16" x14ac:dyDescent="0.25">
      <c r="A363" t="s">
        <v>68</v>
      </c>
      <c r="B363" t="s">
        <v>131</v>
      </c>
      <c r="C363">
        <v>22</v>
      </c>
      <c r="D363" t="s">
        <v>112</v>
      </c>
      <c r="E363" t="s">
        <v>105</v>
      </c>
      <c r="F363" t="s">
        <v>80</v>
      </c>
      <c r="G363">
        <v>2431</v>
      </c>
      <c r="H363">
        <v>0</v>
      </c>
      <c r="I363" t="str">
        <f>OutputTable[[#This Row],[ProjectName]]&amp;OutputTable[[#This Row],[Name]]&amp;OutputTable[[#This Row],[Type]]&amp;OutputTable[[#This Row],[Source]]</f>
        <v>PacientesProcess 2 Number InNumber InProcess</v>
      </c>
      <c r="J363" cm="1">
        <f t="array" ref="J363">MAX(IF((ProjectInfoTable[ProjectName]=OutputTable[[#This Row],[ProjectName]]),(ProjectInfoTable[ProjectName]=OutputTable[[#This Row],[ProjectName]])*ProjectInfoTable[NumberOfReplications]))</f>
        <v>50</v>
      </c>
      <c r="K363" cm="1">
        <f t="array" ref="K363">IFERROR(AVERAGE(IF((OutputTable[GroupByKey]=OutputTable[[#This Row],[GroupByKey]]),(OutputTable[GroupByKey]=OutputTable[[#This Row],[GroupByKey]])*OutputTable[RecordedValue])),0)</f>
        <v>2404.2399999999998</v>
      </c>
      <c r="L363" cm="1">
        <f t="array" ref="L363">IFERROR(_xlfn.STDEV.S(IF((OutputTable[GroupByKey]=OutputTable[[#This Row],[GroupByKey]]),(OutputTable[GroupByKey]=OutputTable[[#This Row],[GroupByKey]])*OutputTable[RecordedValue])),0)</f>
        <v>46.574303154053879</v>
      </c>
      <c r="M363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363" cm="1">
        <f t="array" ref="O363">MIN(IF((OutputTable[GroupByKey]=OutputTable[[#This Row],[GroupByKey]]),(OutputTable[GroupByKey]=OutputTable[[#This Row],[GroupByKey]])*OutputTable[RecordedValue]))</f>
        <v>2306</v>
      </c>
      <c r="P363" cm="1">
        <f t="array" ref="P363">MAX(IF((OutputTable[GroupByKey]=OutputTable[[#This Row],[GroupByKey]]),(OutputTable[GroupByKey]=OutputTable[[#This Row],[GroupByKey]])*OutputTable[RecordedValue]))</f>
        <v>2518</v>
      </c>
    </row>
    <row r="364" spans="1:16" x14ac:dyDescent="0.25">
      <c r="A364" t="s">
        <v>68</v>
      </c>
      <c r="B364" t="s">
        <v>131</v>
      </c>
      <c r="C364">
        <v>22</v>
      </c>
      <c r="D364" t="s">
        <v>113</v>
      </c>
      <c r="E364" t="s">
        <v>107</v>
      </c>
      <c r="F364" t="s">
        <v>80</v>
      </c>
      <c r="G364">
        <v>2428</v>
      </c>
      <c r="H364">
        <v>0</v>
      </c>
      <c r="I364" t="str">
        <f>OutputTable[[#This Row],[ProjectName]]&amp;OutputTable[[#This Row],[Name]]&amp;OutputTable[[#This Row],[Type]]&amp;OutputTable[[#This Row],[Source]]</f>
        <v>PacientesProcess 2 Number OutNumber OutProcess</v>
      </c>
      <c r="J364" cm="1">
        <f t="array" ref="J364">MAX(IF((ProjectInfoTable[ProjectName]=OutputTable[[#This Row],[ProjectName]]),(ProjectInfoTable[ProjectName]=OutputTable[[#This Row],[ProjectName]])*ProjectInfoTable[NumberOfReplications]))</f>
        <v>50</v>
      </c>
      <c r="K364" cm="1">
        <f t="array" ref="K364">IFERROR(AVERAGE(IF((OutputTable[GroupByKey]=OutputTable[[#This Row],[GroupByKey]]),(OutputTable[GroupByKey]=OutputTable[[#This Row],[GroupByKey]])*OutputTable[RecordedValue])),0)</f>
        <v>2400.2800000000002</v>
      </c>
      <c r="L364" cm="1">
        <f t="array" ref="L364">IFERROR(_xlfn.STDEV.S(IF((OutputTable[GroupByKey]=OutputTable[[#This Row],[GroupByKey]]),(OutputTable[GroupByKey]=OutputTable[[#This Row],[GroupByKey]])*OutputTable[RecordedValue])),0)</f>
        <v>46.409024456676619</v>
      </c>
      <c r="M364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64" cm="1">
        <f t="array" ref="O364">MIN(IF((OutputTable[GroupByKey]=OutputTable[[#This Row],[GroupByKey]]),(OutputTable[GroupByKey]=OutputTable[[#This Row],[GroupByKey]])*OutputTable[RecordedValue]))</f>
        <v>2305</v>
      </c>
      <c r="P364" cm="1">
        <f t="array" ref="P364">MAX(IF((OutputTable[GroupByKey]=OutputTable[[#This Row],[GroupByKey]]),(OutputTable[GroupByKey]=OutputTable[[#This Row],[GroupByKey]])*OutputTable[RecordedValue]))</f>
        <v>2504</v>
      </c>
    </row>
    <row r="365" spans="1:16" x14ac:dyDescent="0.25">
      <c r="A365" t="s">
        <v>68</v>
      </c>
      <c r="B365" t="s">
        <v>131</v>
      </c>
      <c r="C365">
        <v>22</v>
      </c>
      <c r="D365" t="s">
        <v>114</v>
      </c>
      <c r="E365" t="s">
        <v>109</v>
      </c>
      <c r="F365" t="s">
        <v>80</v>
      </c>
      <c r="G365">
        <v>340.91084905845798</v>
      </c>
      <c r="H365">
        <v>0</v>
      </c>
      <c r="I365" t="str">
        <f>OutputTable[[#This Row],[ProjectName]]&amp;OutputTable[[#This Row],[Name]]&amp;OutputTable[[#This Row],[Type]]&amp;OutputTable[[#This Row],[Source]]</f>
        <v>PacientesRegistro Accum VA TimeAccum VA TimeProcess</v>
      </c>
      <c r="J365" cm="1">
        <f t="array" ref="J365">MAX(IF((ProjectInfoTable[ProjectName]=OutputTable[[#This Row],[ProjectName]]),(ProjectInfoTable[ProjectName]=OutputTable[[#This Row],[ProjectName]])*ProjectInfoTable[NumberOfReplications]))</f>
        <v>50</v>
      </c>
      <c r="K365" cm="1">
        <f t="array" ref="K365">IFERROR(AVERAGE(IF((OutputTable[GroupByKey]=OutputTable[[#This Row],[GroupByKey]]),(OutputTable[GroupByKey]=OutputTable[[#This Row],[GroupByKey]])*OutputTable[RecordedValue])),0)</f>
        <v>339.53547737062786</v>
      </c>
      <c r="L365" cm="1">
        <f t="array" ref="L365">IFERROR(_xlfn.STDEV.S(IF((OutputTable[GroupByKey]=OutputTable[[#This Row],[GroupByKey]]),(OutputTable[GroupByKey]=OutputTable[[#This Row],[GroupByKey]])*OutputTable[RecordedValue])),0)</f>
        <v>6.9723666109353193</v>
      </c>
      <c r="M36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365" cm="1">
        <f t="array" ref="O365">MIN(IF((OutputTable[GroupByKey]=OutputTable[[#This Row],[GroupByKey]]),(OutputTable[GroupByKey]=OutputTable[[#This Row],[GroupByKey]])*OutputTable[RecordedValue]))</f>
        <v>325.606879158418</v>
      </c>
      <c r="P365" cm="1">
        <f t="array" ref="P365">MAX(IF((OutputTable[GroupByKey]=OutputTable[[#This Row],[GroupByKey]]),(OutputTable[GroupByKey]=OutputTable[[#This Row],[GroupByKey]])*OutputTable[RecordedValue]))</f>
        <v>357.77609013379703</v>
      </c>
    </row>
    <row r="366" spans="1:16" x14ac:dyDescent="0.25">
      <c r="A366" t="s">
        <v>68</v>
      </c>
      <c r="B366" t="s">
        <v>131</v>
      </c>
      <c r="C366">
        <v>22</v>
      </c>
      <c r="D366" t="s">
        <v>115</v>
      </c>
      <c r="E366" t="s">
        <v>111</v>
      </c>
      <c r="F366" t="s">
        <v>80</v>
      </c>
      <c r="G366">
        <v>155.15365459794899</v>
      </c>
      <c r="H366">
        <v>0</v>
      </c>
      <c r="I366" t="str">
        <f>OutputTable[[#This Row],[ProjectName]]&amp;OutputTable[[#This Row],[Name]]&amp;OutputTable[[#This Row],[Type]]&amp;OutputTable[[#This Row],[Source]]</f>
        <v>PacientesRegistro Accum Wait TimeAccum Wait TimeProcess</v>
      </c>
      <c r="J366" cm="1">
        <f t="array" ref="J366">MAX(IF((ProjectInfoTable[ProjectName]=OutputTable[[#This Row],[ProjectName]]),(ProjectInfoTable[ProjectName]=OutputTable[[#This Row],[ProjectName]])*ProjectInfoTable[NumberOfReplications]))</f>
        <v>50</v>
      </c>
      <c r="K366" cm="1">
        <f t="array" ref="K366">IFERROR(AVERAGE(IF((OutputTable[GroupByKey]=OutputTable[[#This Row],[GroupByKey]]),(OutputTable[GroupByKey]=OutputTable[[#This Row],[GroupByKey]])*OutputTable[RecordedValue])),0)</f>
        <v>154.15303898127775</v>
      </c>
      <c r="L366" cm="1">
        <f t="array" ref="L366">IFERROR(_xlfn.STDEV.S(IF((OutputTable[GroupByKey]=OutputTable[[#This Row],[GroupByKey]]),(OutputTable[GroupByKey]=OutputTable[[#This Row],[GroupByKey]])*OutputTable[RecordedValue])),0)</f>
        <v>12.141439184615397</v>
      </c>
      <c r="M366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366" cm="1">
        <f t="array" ref="O366">MIN(IF((OutputTable[GroupByKey]=OutputTable[[#This Row],[GroupByKey]]),(OutputTable[GroupByKey]=OutputTable[[#This Row],[GroupByKey]])*OutputTable[RecordedValue]))</f>
        <v>123.901613974094</v>
      </c>
      <c r="P366" cm="1">
        <f t="array" ref="P366">MAX(IF((OutputTable[GroupByKey]=OutputTable[[#This Row],[GroupByKey]]),(OutputTable[GroupByKey]=OutputTable[[#This Row],[GroupByKey]])*OutputTable[RecordedValue]))</f>
        <v>178.441307284473</v>
      </c>
    </row>
    <row r="367" spans="1:16" x14ac:dyDescent="0.25">
      <c r="A367" t="s">
        <v>68</v>
      </c>
      <c r="B367" t="s">
        <v>131</v>
      </c>
      <c r="C367">
        <v>22</v>
      </c>
      <c r="D367" t="s">
        <v>116</v>
      </c>
      <c r="E367" t="s">
        <v>105</v>
      </c>
      <c r="F367" t="s">
        <v>80</v>
      </c>
      <c r="G367">
        <v>2281</v>
      </c>
      <c r="H367">
        <v>0</v>
      </c>
      <c r="I367" t="str">
        <f>OutputTable[[#This Row],[ProjectName]]&amp;OutputTable[[#This Row],[Name]]&amp;OutputTable[[#This Row],[Type]]&amp;OutputTable[[#This Row],[Source]]</f>
        <v>PacientesRegistro Number InNumber InProcess</v>
      </c>
      <c r="J367" cm="1">
        <f t="array" ref="J367">MAX(IF((ProjectInfoTable[ProjectName]=OutputTable[[#This Row],[ProjectName]]),(ProjectInfoTable[ProjectName]=OutputTable[[#This Row],[ProjectName]])*ProjectInfoTable[NumberOfReplications]))</f>
        <v>50</v>
      </c>
      <c r="K367" cm="1">
        <f t="array" ref="K367">IFERROR(AVERAGE(IF((OutputTable[GroupByKey]=OutputTable[[#This Row],[GroupByKey]]),(OutputTable[GroupByKey]=OutputTable[[#This Row],[GroupByKey]])*OutputTable[RecordedValue])),0)</f>
        <v>2263.2399999999998</v>
      </c>
      <c r="L367" cm="1">
        <f t="array" ref="L367">IFERROR(_xlfn.STDEV.S(IF((OutputTable[GroupByKey]=OutputTable[[#This Row],[GroupByKey]]),(OutputTable[GroupByKey]=OutputTable[[#This Row],[GroupByKey]])*OutputTable[RecordedValue])),0)</f>
        <v>47.331035682472766</v>
      </c>
      <c r="M367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367" cm="1">
        <f t="array" ref="O367">MIN(IF((OutputTable[GroupByKey]=OutputTable[[#This Row],[GroupByKey]]),(OutputTable[GroupByKey]=OutputTable[[#This Row],[GroupByKey]])*OutputTable[RecordedValue]))</f>
        <v>2172</v>
      </c>
      <c r="P367" cm="1">
        <f t="array" ref="P367">MAX(IF((OutputTable[GroupByKey]=OutputTable[[#This Row],[GroupByKey]]),(OutputTable[GroupByKey]=OutputTable[[#This Row],[GroupByKey]])*OutputTable[RecordedValue]))</f>
        <v>2386</v>
      </c>
    </row>
    <row r="368" spans="1:16" x14ac:dyDescent="0.25">
      <c r="A368" t="s">
        <v>68</v>
      </c>
      <c r="B368" t="s">
        <v>131</v>
      </c>
      <c r="C368">
        <v>22</v>
      </c>
      <c r="D368" t="s">
        <v>117</v>
      </c>
      <c r="E368" t="s">
        <v>107</v>
      </c>
      <c r="F368" t="s">
        <v>80</v>
      </c>
      <c r="G368">
        <v>2281</v>
      </c>
      <c r="H368">
        <v>0</v>
      </c>
      <c r="I368" t="str">
        <f>OutputTable[[#This Row],[ProjectName]]&amp;OutputTable[[#This Row],[Name]]&amp;OutputTable[[#This Row],[Type]]&amp;OutputTable[[#This Row],[Source]]</f>
        <v>PacientesRegistro Number OutNumber OutProcess</v>
      </c>
      <c r="J368" cm="1">
        <f t="array" ref="J368">MAX(IF((ProjectInfoTable[ProjectName]=OutputTable[[#This Row],[ProjectName]]),(ProjectInfoTable[ProjectName]=OutputTable[[#This Row],[ProjectName]])*ProjectInfoTable[NumberOfReplications]))</f>
        <v>50</v>
      </c>
      <c r="K368" cm="1">
        <f t="array" ref="K368">IFERROR(AVERAGE(IF((OutputTable[GroupByKey]=OutputTable[[#This Row],[GroupByKey]]),(OutputTable[GroupByKey]=OutputTable[[#This Row],[GroupByKey]])*OutputTable[RecordedValue])),0)</f>
        <v>2262.66</v>
      </c>
      <c r="L368" cm="1">
        <f t="array" ref="L368">IFERROR(_xlfn.STDEV.S(IF((OutputTable[GroupByKey]=OutputTable[[#This Row],[GroupByKey]]),(OutputTable[GroupByKey]=OutputTable[[#This Row],[GroupByKey]])*OutputTable[RecordedValue])),0)</f>
        <v>47.488176831454687</v>
      </c>
      <c r="M368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368" cm="1">
        <f t="array" ref="O368">MIN(IF((OutputTable[GroupByKey]=OutputTable[[#This Row],[GroupByKey]]),(OutputTable[GroupByKey]=OutputTable[[#This Row],[GroupByKey]])*OutputTable[RecordedValue]))</f>
        <v>2171</v>
      </c>
      <c r="P368" cm="1">
        <f t="array" ref="P368">MAX(IF((OutputTable[GroupByKey]=OutputTable[[#This Row],[GroupByKey]]),(OutputTable[GroupByKey]=OutputTable[[#This Row],[GroupByKey]])*OutputTable[RecordedValue]))</f>
        <v>2386</v>
      </c>
    </row>
    <row r="369" spans="1:16" x14ac:dyDescent="0.25">
      <c r="A369" t="s">
        <v>68</v>
      </c>
      <c r="B369" t="s">
        <v>131</v>
      </c>
      <c r="C369">
        <v>22</v>
      </c>
      <c r="D369" t="s">
        <v>118</v>
      </c>
      <c r="E369" t="s">
        <v>107</v>
      </c>
      <c r="F369" t="s">
        <v>119</v>
      </c>
      <c r="G369">
        <v>2428</v>
      </c>
      <c r="H369">
        <v>0</v>
      </c>
      <c r="I369" t="str">
        <f>OutputTable[[#This Row],[ProjectName]]&amp;OutputTable[[#This Row],[Name]]&amp;OutputTable[[#This Row],[Type]]&amp;OutputTable[[#This Row],[Source]]</f>
        <v>PacientesSystem.NumberOutNumber OutSystem</v>
      </c>
      <c r="J369" cm="1">
        <f t="array" ref="J369">MAX(IF((ProjectInfoTable[ProjectName]=OutputTable[[#This Row],[ProjectName]]),(ProjectInfoTable[ProjectName]=OutputTable[[#This Row],[ProjectName]])*ProjectInfoTable[NumberOfReplications]))</f>
        <v>50</v>
      </c>
      <c r="K369" cm="1">
        <f t="array" ref="K369">IFERROR(AVERAGE(IF((OutputTable[GroupByKey]=OutputTable[[#This Row],[GroupByKey]]),(OutputTable[GroupByKey]=OutputTable[[#This Row],[GroupByKey]])*OutputTable[RecordedValue])),0)</f>
        <v>2400.2800000000002</v>
      </c>
      <c r="L369" cm="1">
        <f t="array" ref="L369">IFERROR(_xlfn.STDEV.S(IF((OutputTable[GroupByKey]=OutputTable[[#This Row],[GroupByKey]]),(OutputTable[GroupByKey]=OutputTable[[#This Row],[GroupByKey]])*OutputTable[RecordedValue])),0)</f>
        <v>46.409024456676619</v>
      </c>
      <c r="M369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69" cm="1">
        <f t="array" ref="O369">MIN(IF((OutputTable[GroupByKey]=OutputTable[[#This Row],[GroupByKey]]),(OutputTable[GroupByKey]=OutputTable[[#This Row],[GroupByKey]])*OutputTable[RecordedValue]))</f>
        <v>2305</v>
      </c>
      <c r="P369" cm="1">
        <f t="array" ref="P369">MAX(IF((OutputTable[GroupByKey]=OutputTable[[#This Row],[GroupByKey]]),(OutputTable[GroupByKey]=OutputTable[[#This Row],[GroupByKey]])*OutputTable[RecordedValue]))</f>
        <v>2504</v>
      </c>
    </row>
    <row r="370" spans="1:16" x14ac:dyDescent="0.25">
      <c r="A370" t="s">
        <v>68</v>
      </c>
      <c r="B370" t="s">
        <v>131</v>
      </c>
      <c r="C370">
        <v>22</v>
      </c>
      <c r="D370" t="s">
        <v>120</v>
      </c>
      <c r="E370" t="s">
        <v>121</v>
      </c>
      <c r="F370" t="s">
        <v>99</v>
      </c>
      <c r="G370">
        <v>2430</v>
      </c>
      <c r="H370">
        <v>0</v>
      </c>
      <c r="I370" t="str">
        <f>OutputTable[[#This Row],[ProjectName]]&amp;OutputTable[[#This Row],[Name]]&amp;OutputTable[[#This Row],[Type]]&amp;OutputTable[[#This Row],[Source]]</f>
        <v>PacientesrCamas.NumberSeizedTotal Number SeizedResource</v>
      </c>
      <c r="J370" cm="1">
        <f t="array" ref="J370">MAX(IF((ProjectInfoTable[ProjectName]=OutputTable[[#This Row],[ProjectName]]),(ProjectInfoTable[ProjectName]=OutputTable[[#This Row],[ProjectName]])*ProjectInfoTable[NumberOfReplications]))</f>
        <v>50</v>
      </c>
      <c r="K370" cm="1">
        <f t="array" ref="K370">IFERROR(AVERAGE(IF((OutputTable[GroupByKey]=OutputTable[[#This Row],[GroupByKey]]),(OutputTable[GroupByKey]=OutputTable[[#This Row],[GroupByKey]])*OutputTable[RecordedValue])),0)</f>
        <v>2401.9</v>
      </c>
      <c r="L370" cm="1">
        <f t="array" ref="L370">IFERROR(_xlfn.STDEV.S(IF((OutputTable[GroupByKey]=OutputTable[[#This Row],[GroupByKey]]),(OutputTable[GroupByKey]=OutputTable[[#This Row],[GroupByKey]])*OutputTable[RecordedValue])),0)</f>
        <v>46.417031532903209</v>
      </c>
      <c r="M370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70" cm="1">
        <f t="array" ref="O370">MIN(IF((OutputTable[GroupByKey]=OutputTable[[#This Row],[GroupByKey]]),(OutputTable[GroupByKey]=OutputTable[[#This Row],[GroupByKey]])*OutputTable[RecordedValue]))</f>
        <v>2306</v>
      </c>
      <c r="P370" cm="1">
        <f t="array" ref="P370">MAX(IF((OutputTable[GroupByKey]=OutputTable[[#This Row],[GroupByKey]]),(OutputTable[GroupByKey]=OutputTable[[#This Row],[GroupByKey]])*OutputTable[RecordedValue]))</f>
        <v>2506</v>
      </c>
    </row>
    <row r="371" spans="1:16" x14ac:dyDescent="0.25">
      <c r="A371" t="s">
        <v>68</v>
      </c>
      <c r="B371" t="s">
        <v>131</v>
      </c>
      <c r="C371">
        <v>22</v>
      </c>
      <c r="D371" t="s">
        <v>122</v>
      </c>
      <c r="E371" t="s">
        <v>123</v>
      </c>
      <c r="F371" t="s">
        <v>99</v>
      </c>
      <c r="G371">
        <v>0.55953771135449504</v>
      </c>
      <c r="H371">
        <v>0</v>
      </c>
      <c r="I371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371" cm="1">
        <f t="array" ref="J371">MAX(IF((ProjectInfoTable[ProjectName]=OutputTable[[#This Row],[ProjectName]]),(ProjectInfoTable[ProjectName]=OutputTable[[#This Row],[ProjectName]])*ProjectInfoTable[NumberOfReplications]))</f>
        <v>50</v>
      </c>
      <c r="K371" cm="1">
        <f t="array" ref="K371">IFERROR(AVERAGE(IF((OutputTable[GroupByKey]=OutputTable[[#This Row],[GroupByKey]]),(OutputTable[GroupByKey]=OutputTable[[#This Row],[GroupByKey]])*OutputTable[RecordedValue])),0)</f>
        <v>0.54703961359050601</v>
      </c>
      <c r="L371" cm="1">
        <f t="array" ref="L371">IFERROR(_xlfn.STDEV.S(IF((OutputTable[GroupByKey]=OutputTable[[#This Row],[GroupByKey]]),(OutputTable[GroupByKey]=OutputTable[[#This Row],[GroupByKey]])*OutputTable[RecordedValue])),0)</f>
        <v>1.0221170008030479E-2</v>
      </c>
      <c r="M371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371" cm="1">
        <f t="array" ref="O371">MIN(IF((OutputTable[GroupByKey]=OutputTable[[#This Row],[GroupByKey]]),(OutputTable[GroupByKey]=OutputTable[[#This Row],[GroupByKey]])*OutputTable[RecordedValue]))</f>
        <v>0.52470641844357901</v>
      </c>
      <c r="P371" cm="1">
        <f t="array" ref="P371">MAX(IF((OutputTable[GroupByKey]=OutputTable[[#This Row],[GroupByKey]]),(OutputTable[GroupByKey]=OutputTable[[#This Row],[GroupByKey]])*OutputTable[RecordedValue]))</f>
        <v>0.57005812966092295</v>
      </c>
    </row>
    <row r="372" spans="1:16" x14ac:dyDescent="0.25">
      <c r="A372" t="s">
        <v>68</v>
      </c>
      <c r="B372" t="s">
        <v>131</v>
      </c>
      <c r="C372">
        <v>22</v>
      </c>
      <c r="D372" t="s">
        <v>124</v>
      </c>
      <c r="E372" t="s">
        <v>121</v>
      </c>
      <c r="F372" t="s">
        <v>99</v>
      </c>
      <c r="G372">
        <v>2430</v>
      </c>
      <c r="H372">
        <v>0</v>
      </c>
      <c r="I372" t="str">
        <f>OutputTable[[#This Row],[ProjectName]]&amp;OutputTable[[#This Row],[Name]]&amp;OutputTable[[#This Row],[Type]]&amp;OutputTable[[#This Row],[Source]]</f>
        <v>PacientesrMedico.NumberSeizedTotal Number SeizedResource</v>
      </c>
      <c r="J372" cm="1">
        <f t="array" ref="J372">MAX(IF((ProjectInfoTable[ProjectName]=OutputTable[[#This Row],[ProjectName]]),(ProjectInfoTable[ProjectName]=OutputTable[[#This Row],[ProjectName]])*ProjectInfoTable[NumberOfReplications]))</f>
        <v>50</v>
      </c>
      <c r="K372" cm="1">
        <f t="array" ref="K372">IFERROR(AVERAGE(IF((OutputTable[GroupByKey]=OutputTable[[#This Row],[GroupByKey]]),(OutputTable[GroupByKey]=OutputTable[[#This Row],[GroupByKey]])*OutputTable[RecordedValue])),0)</f>
        <v>2401.9</v>
      </c>
      <c r="L372" cm="1">
        <f t="array" ref="L372">IFERROR(_xlfn.STDEV.S(IF((OutputTable[GroupByKey]=OutputTable[[#This Row],[GroupByKey]]),(OutputTable[GroupByKey]=OutputTable[[#This Row],[GroupByKey]])*OutputTable[RecordedValue])),0)</f>
        <v>46.417031532903209</v>
      </c>
      <c r="M372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72" cm="1">
        <f t="array" ref="O372">MIN(IF((OutputTable[GroupByKey]=OutputTable[[#This Row],[GroupByKey]]),(OutputTable[GroupByKey]=OutputTable[[#This Row],[GroupByKey]])*OutputTable[RecordedValue]))</f>
        <v>2306</v>
      </c>
      <c r="P372" cm="1">
        <f t="array" ref="P372">MAX(IF((OutputTable[GroupByKey]=OutputTable[[#This Row],[GroupByKey]]),(OutputTable[GroupByKey]=OutputTable[[#This Row],[GroupByKey]])*OutputTable[RecordedValue]))</f>
        <v>2506</v>
      </c>
    </row>
    <row r="373" spans="1:16" x14ac:dyDescent="0.25">
      <c r="A373" t="s">
        <v>68</v>
      </c>
      <c r="B373" t="s">
        <v>131</v>
      </c>
      <c r="C373">
        <v>22</v>
      </c>
      <c r="D373" t="s">
        <v>125</v>
      </c>
      <c r="E373" t="s">
        <v>123</v>
      </c>
      <c r="F373" t="s">
        <v>99</v>
      </c>
      <c r="G373">
        <v>0.839306567031743</v>
      </c>
      <c r="H373">
        <v>0</v>
      </c>
      <c r="I373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373" cm="1">
        <f t="array" ref="J373">MAX(IF((ProjectInfoTable[ProjectName]=OutputTable[[#This Row],[ProjectName]]),(ProjectInfoTable[ProjectName]=OutputTable[[#This Row],[ProjectName]])*ProjectInfoTable[NumberOfReplications]))</f>
        <v>50</v>
      </c>
      <c r="K373" cm="1">
        <f t="array" ref="K373">IFERROR(AVERAGE(IF((OutputTable[GroupByKey]=OutputTable[[#This Row],[GroupByKey]]),(OutputTable[GroupByKey]=OutputTable[[#This Row],[GroupByKey]])*OutputTable[RecordedValue])),0)</f>
        <v>0.82055942038575935</v>
      </c>
      <c r="L373" cm="1">
        <f t="array" ref="L373">IFERROR(_xlfn.STDEV.S(IF((OutputTable[GroupByKey]=OutputTable[[#This Row],[GroupByKey]]),(OutputTable[GroupByKey]=OutputTable[[#This Row],[GroupByKey]])*OutputTable[RecordedValue])),0)</f>
        <v>1.5331755012045719E-2</v>
      </c>
      <c r="M373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373" cm="1">
        <f t="array" ref="O373">MIN(IF((OutputTable[GroupByKey]=OutputTable[[#This Row],[GroupByKey]]),(OutputTable[GroupByKey]=OutputTable[[#This Row],[GroupByKey]])*OutputTable[RecordedValue]))</f>
        <v>0.78705962766536897</v>
      </c>
      <c r="P373" cm="1">
        <f t="array" ref="P373">MAX(IF((OutputTable[GroupByKey]=OutputTable[[#This Row],[GroupByKey]]),(OutputTable[GroupByKey]=OutputTable[[#This Row],[GroupByKey]])*OutputTable[RecordedValue]))</f>
        <v>0.85508719449138504</v>
      </c>
    </row>
    <row r="374" spans="1:16" x14ac:dyDescent="0.25">
      <c r="A374" t="s">
        <v>68</v>
      </c>
      <c r="B374" t="s">
        <v>131</v>
      </c>
      <c r="C374">
        <v>22</v>
      </c>
      <c r="D374" t="s">
        <v>126</v>
      </c>
      <c r="E374" t="s">
        <v>121</v>
      </c>
      <c r="F374" t="s">
        <v>99</v>
      </c>
      <c r="G374">
        <v>2281</v>
      </c>
      <c r="H374">
        <v>0</v>
      </c>
      <c r="I374" t="str">
        <f>OutputTable[[#This Row],[ProjectName]]&amp;OutputTable[[#This Row],[Name]]&amp;OutputTable[[#This Row],[Type]]&amp;OutputTable[[#This Row],[Source]]</f>
        <v>PacientesrRegistradora.NumberSeizedTotal Number SeizedResource</v>
      </c>
      <c r="J374" cm="1">
        <f t="array" ref="J374">MAX(IF((ProjectInfoTable[ProjectName]=OutputTable[[#This Row],[ProjectName]]),(ProjectInfoTable[ProjectName]=OutputTable[[#This Row],[ProjectName]])*ProjectInfoTable[NumberOfReplications]))</f>
        <v>50</v>
      </c>
      <c r="K374" cm="1">
        <f t="array" ref="K374">IFERROR(AVERAGE(IF((OutputTable[GroupByKey]=OutputTable[[#This Row],[GroupByKey]]),(OutputTable[GroupByKey]=OutputTable[[#This Row],[GroupByKey]])*OutputTable[RecordedValue])),0)</f>
        <v>2263.14</v>
      </c>
      <c r="L374" cm="1">
        <f t="array" ref="L374">IFERROR(_xlfn.STDEV.S(IF((OutputTable[GroupByKey]=OutputTable[[#This Row],[GroupByKey]]),(OutputTable[GroupByKey]=OutputTable[[#This Row],[GroupByKey]])*OutputTable[RecordedValue])),0)</f>
        <v>47.386818971575821</v>
      </c>
      <c r="M374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374" cm="1">
        <f t="array" ref="O374">MIN(IF((OutputTable[GroupByKey]=OutputTable[[#This Row],[GroupByKey]]),(OutputTable[GroupByKey]=OutputTable[[#This Row],[GroupByKey]])*OutputTable[RecordedValue]))</f>
        <v>2172</v>
      </c>
      <c r="P374" cm="1">
        <f t="array" ref="P374">MAX(IF((OutputTable[GroupByKey]=OutputTable[[#This Row],[GroupByKey]]),(OutputTable[GroupByKey]=OutputTable[[#This Row],[GroupByKey]])*OutputTable[RecordedValue]))</f>
        <v>2386</v>
      </c>
    </row>
    <row r="375" spans="1:16" x14ac:dyDescent="0.25">
      <c r="A375" t="s">
        <v>68</v>
      </c>
      <c r="B375" t="s">
        <v>131</v>
      </c>
      <c r="C375">
        <v>22</v>
      </c>
      <c r="D375" t="s">
        <v>127</v>
      </c>
      <c r="E375" t="s">
        <v>123</v>
      </c>
      <c r="F375" t="s">
        <v>99</v>
      </c>
      <c r="G375">
        <v>0.47348729035896903</v>
      </c>
      <c r="H375">
        <v>0</v>
      </c>
      <c r="I375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375" cm="1">
        <f t="array" ref="J375">MAX(IF((ProjectInfoTable[ProjectName]=OutputTable[[#This Row],[ProjectName]]),(ProjectInfoTable[ProjectName]=OutputTable[[#This Row],[ProjectName]])*ProjectInfoTable[NumberOfReplications]))</f>
        <v>50</v>
      </c>
      <c r="K375" cm="1">
        <f t="array" ref="K375">IFERROR(AVERAGE(IF((OutputTable[GroupByKey]=OutputTable[[#This Row],[GroupByKey]]),(OutputTable[GroupByKey]=OutputTable[[#This Row],[GroupByKey]])*OutputTable[RecordedValue])),0)</f>
        <v>0.47162762933545666</v>
      </c>
      <c r="L375" cm="1">
        <f t="array" ref="L375">IFERROR(_xlfn.STDEV.S(IF((OutputTable[GroupByKey]=OutputTable[[#This Row],[GroupByKey]]),(OutputTable[GroupByKey]=OutputTable[[#This Row],[GroupByKey]])*OutputTable[RecordedValue])),0)</f>
        <v>9.6615227076777797E-3</v>
      </c>
      <c r="M37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375" cm="1">
        <f t="array" ref="O375">MIN(IF((OutputTable[GroupByKey]=OutputTable[[#This Row],[GroupByKey]]),(OutputTable[GroupByKey]=OutputTable[[#This Row],[GroupByKey]])*OutputTable[RecordedValue]))</f>
        <v>0.452397944183905</v>
      </c>
      <c r="P375" cm="1">
        <f t="array" ref="P375">MAX(IF((OutputTable[GroupByKey]=OutputTable[[#This Row],[GroupByKey]]),(OutputTable[GroupByKey]=OutputTable[[#This Row],[GroupByKey]])*OutputTable[RecordedValue]))</f>
        <v>0.49691123629694001</v>
      </c>
    </row>
    <row r="376" spans="1:16" x14ac:dyDescent="0.25">
      <c r="A376" t="s">
        <v>68</v>
      </c>
      <c r="B376" t="s">
        <v>131</v>
      </c>
      <c r="C376">
        <v>23</v>
      </c>
      <c r="D376" t="s">
        <v>104</v>
      </c>
      <c r="E376" t="s">
        <v>105</v>
      </c>
      <c r="F376" t="s">
        <v>72</v>
      </c>
      <c r="G376">
        <v>2382</v>
      </c>
      <c r="H376">
        <v>0</v>
      </c>
      <c r="I376" t="str">
        <f>OutputTable[[#This Row],[ProjectName]]&amp;OutputTable[[#This Row],[Name]]&amp;OutputTable[[#This Row],[Type]]&amp;OutputTable[[#This Row],[Source]]</f>
        <v>PacientesEntity 1.NumberInNumber InEntity</v>
      </c>
      <c r="J376" cm="1">
        <f t="array" ref="J376">MAX(IF((ProjectInfoTable[ProjectName]=OutputTable[[#This Row],[ProjectName]]),(ProjectInfoTable[ProjectName]=OutputTable[[#This Row],[ProjectName]])*ProjectInfoTable[NumberOfReplications]))</f>
        <v>50</v>
      </c>
      <c r="K376" cm="1">
        <f t="array" ref="K376">IFERROR(AVERAGE(IF((OutputTable[GroupByKey]=OutputTable[[#This Row],[GroupByKey]]),(OutputTable[GroupByKey]=OutputTable[[#This Row],[GroupByKey]])*OutputTable[RecordedValue])),0)</f>
        <v>2404.8200000000002</v>
      </c>
      <c r="L376" cm="1">
        <f t="array" ref="L376">IFERROR(_xlfn.STDEV.S(IF((OutputTable[GroupByKey]=OutputTable[[#This Row],[GroupByKey]]),(OutputTable[GroupByKey]=OutputTable[[#This Row],[GroupByKey]])*OutputTable[RecordedValue])),0)</f>
        <v>46.42953405595474</v>
      </c>
      <c r="M376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376" cm="1">
        <f t="array" ref="O376">MIN(IF((OutputTable[GroupByKey]=OutputTable[[#This Row],[GroupByKey]]),(OutputTable[GroupByKey]=OutputTable[[#This Row],[GroupByKey]])*OutputTable[RecordedValue]))</f>
        <v>2307</v>
      </c>
      <c r="P376" cm="1">
        <f t="array" ref="P376">MAX(IF((OutputTable[GroupByKey]=OutputTable[[#This Row],[GroupByKey]]),(OutputTable[GroupByKey]=OutputTable[[#This Row],[GroupByKey]])*OutputTable[RecordedValue]))</f>
        <v>2518</v>
      </c>
    </row>
    <row r="377" spans="1:16" x14ac:dyDescent="0.25">
      <c r="A377" t="s">
        <v>68</v>
      </c>
      <c r="B377" t="s">
        <v>131</v>
      </c>
      <c r="C377">
        <v>23</v>
      </c>
      <c r="D377" t="s">
        <v>106</v>
      </c>
      <c r="E377" t="s">
        <v>107</v>
      </c>
      <c r="F377" t="s">
        <v>72</v>
      </c>
      <c r="G377">
        <v>2377</v>
      </c>
      <c r="H377">
        <v>0</v>
      </c>
      <c r="I377" t="str">
        <f>OutputTable[[#This Row],[ProjectName]]&amp;OutputTable[[#This Row],[Name]]&amp;OutputTable[[#This Row],[Type]]&amp;OutputTable[[#This Row],[Source]]</f>
        <v>PacientesEntity 1.NumberOutNumber OutEntity</v>
      </c>
      <c r="J377" cm="1">
        <f t="array" ref="J377">MAX(IF((ProjectInfoTable[ProjectName]=OutputTable[[#This Row],[ProjectName]]),(ProjectInfoTable[ProjectName]=OutputTable[[#This Row],[ProjectName]])*ProjectInfoTable[NumberOfReplications]))</f>
        <v>50</v>
      </c>
      <c r="K377" cm="1">
        <f t="array" ref="K377">IFERROR(AVERAGE(IF((OutputTable[GroupByKey]=OutputTable[[#This Row],[GroupByKey]]),(OutputTable[GroupByKey]=OutputTable[[#This Row],[GroupByKey]])*OutputTable[RecordedValue])),0)</f>
        <v>2400.2800000000002</v>
      </c>
      <c r="L377" cm="1">
        <f t="array" ref="L377">IFERROR(_xlfn.STDEV.S(IF((OutputTable[GroupByKey]=OutputTable[[#This Row],[GroupByKey]]),(OutputTable[GroupByKey]=OutputTable[[#This Row],[GroupByKey]])*OutputTable[RecordedValue])),0)</f>
        <v>46.409024456676619</v>
      </c>
      <c r="M377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77" cm="1">
        <f t="array" ref="O377">MIN(IF((OutputTable[GroupByKey]=OutputTable[[#This Row],[GroupByKey]]),(OutputTable[GroupByKey]=OutputTable[[#This Row],[GroupByKey]])*OutputTable[RecordedValue]))</f>
        <v>2305</v>
      </c>
      <c r="P377" cm="1">
        <f t="array" ref="P377">MAX(IF((OutputTable[GroupByKey]=OutputTable[[#This Row],[GroupByKey]]),(OutputTable[GroupByKey]=OutputTable[[#This Row],[GroupByKey]])*OutputTable[RecordedValue]))</f>
        <v>2504</v>
      </c>
    </row>
    <row r="378" spans="1:16" x14ac:dyDescent="0.25">
      <c r="A378" t="s">
        <v>68</v>
      </c>
      <c r="B378" t="s">
        <v>131</v>
      </c>
      <c r="C378">
        <v>23</v>
      </c>
      <c r="D378" t="s">
        <v>108</v>
      </c>
      <c r="E378" t="s">
        <v>109</v>
      </c>
      <c r="F378" t="s">
        <v>80</v>
      </c>
      <c r="G378">
        <v>1181.00335504749</v>
      </c>
      <c r="H378">
        <v>0</v>
      </c>
      <c r="I378" t="str">
        <f>OutputTable[[#This Row],[ProjectName]]&amp;OutputTable[[#This Row],[Name]]&amp;OutputTable[[#This Row],[Type]]&amp;OutputTable[[#This Row],[Source]]</f>
        <v>PacientesProcess 2 Accum VA TimeAccum VA TimeProcess</v>
      </c>
      <c r="J378" cm="1">
        <f t="array" ref="J378">MAX(IF((ProjectInfoTable[ProjectName]=OutputTable[[#This Row],[ProjectName]]),(ProjectInfoTable[ProjectName]=OutputTable[[#This Row],[ProjectName]])*ProjectInfoTable[NumberOfReplications]))</f>
        <v>50</v>
      </c>
      <c r="K378" cm="1">
        <f t="array" ref="K378">IFERROR(AVERAGE(IF((OutputTable[GroupByKey]=OutputTable[[#This Row],[GroupByKey]]),(OutputTable[GroupByKey]=OutputTable[[#This Row],[GroupByKey]])*OutputTable[RecordedValue])),0)</f>
        <v>1181.1234936767919</v>
      </c>
      <c r="L378" cm="1">
        <f t="array" ref="L378">IFERROR(_xlfn.STDEV.S(IF((OutputTable[GroupByKey]=OutputTable[[#This Row],[GroupByKey]]),(OutputTable[GroupByKey]=OutputTable[[#This Row],[GroupByKey]])*OutputTable[RecordedValue])),0)</f>
        <v>22.169313666927575</v>
      </c>
      <c r="M378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378" cm="1">
        <f t="array" ref="O378">MIN(IF((OutputTable[GroupByKey]=OutputTable[[#This Row],[GroupByKey]]),(OutputTable[GroupByKey]=OutputTable[[#This Row],[GroupByKey]])*OutputTable[RecordedValue]))</f>
        <v>1133.24622318414</v>
      </c>
      <c r="P378" cm="1">
        <f t="array" ref="P378">MAX(IF((OutputTable[GroupByKey]=OutputTable[[#This Row],[GroupByKey]]),(OutputTable[GroupByKey]=OutputTable[[#This Row],[GroupByKey]])*OutputTable[RecordedValue]))</f>
        <v>1230.9493287309799</v>
      </c>
    </row>
    <row r="379" spans="1:16" x14ac:dyDescent="0.25">
      <c r="A379" t="s">
        <v>68</v>
      </c>
      <c r="B379" t="s">
        <v>131</v>
      </c>
      <c r="C379">
        <v>23</v>
      </c>
      <c r="D379" t="s">
        <v>110</v>
      </c>
      <c r="E379" t="s">
        <v>111</v>
      </c>
      <c r="F379" t="s">
        <v>80</v>
      </c>
      <c r="G379">
        <v>1959.3041999746099</v>
      </c>
      <c r="H379">
        <v>0</v>
      </c>
      <c r="I379" t="str">
        <f>OutputTable[[#This Row],[ProjectName]]&amp;OutputTable[[#This Row],[Name]]&amp;OutputTable[[#This Row],[Type]]&amp;OutputTable[[#This Row],[Source]]</f>
        <v>PacientesProcess 2 Accum Wait TimeAccum Wait TimeProcess</v>
      </c>
      <c r="J379" cm="1">
        <f t="array" ref="J379">MAX(IF((ProjectInfoTable[ProjectName]=OutputTable[[#This Row],[ProjectName]]),(ProjectInfoTable[ProjectName]=OutputTable[[#This Row],[ProjectName]])*ProjectInfoTable[NumberOfReplications]))</f>
        <v>50</v>
      </c>
      <c r="K379" cm="1">
        <f t="array" ref="K379">IFERROR(AVERAGE(IF((OutputTable[GroupByKey]=OutputTable[[#This Row],[GroupByKey]]),(OutputTable[GroupByKey]=OutputTable[[#This Row],[GroupByKey]])*OutputTable[RecordedValue])),0)</f>
        <v>1938.7515507466894</v>
      </c>
      <c r="L379" cm="1">
        <f t="array" ref="L379">IFERROR(_xlfn.STDEV.S(IF((OutputTable[GroupByKey]=OutputTable[[#This Row],[GroupByKey]]),(OutputTable[GroupByKey]=OutputTable[[#This Row],[GroupByKey]])*OutputTable[RecordedValue])),0)</f>
        <v>534.03396241838232</v>
      </c>
      <c r="M379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379" cm="1">
        <f t="array" ref="O379">MIN(IF((OutputTable[GroupByKey]=OutputTable[[#This Row],[GroupByKey]]),(OutputTable[GroupByKey]=OutputTable[[#This Row],[GroupByKey]])*OutputTable[RecordedValue]))</f>
        <v>1234.7567994731401</v>
      </c>
      <c r="P379" cm="1">
        <f t="array" ref="P379">MAX(IF((OutputTable[GroupByKey]=OutputTable[[#This Row],[GroupByKey]]),(OutputTable[GroupByKey]=OutputTable[[#This Row],[GroupByKey]])*OutputTable[RecordedValue]))</f>
        <v>3269.0858002883801</v>
      </c>
    </row>
    <row r="380" spans="1:16" x14ac:dyDescent="0.25">
      <c r="A380" t="s">
        <v>68</v>
      </c>
      <c r="B380" t="s">
        <v>131</v>
      </c>
      <c r="C380">
        <v>23</v>
      </c>
      <c r="D380" t="s">
        <v>112</v>
      </c>
      <c r="E380" t="s">
        <v>105</v>
      </c>
      <c r="F380" t="s">
        <v>80</v>
      </c>
      <c r="G380">
        <v>2381</v>
      </c>
      <c r="H380">
        <v>0</v>
      </c>
      <c r="I380" t="str">
        <f>OutputTable[[#This Row],[ProjectName]]&amp;OutputTable[[#This Row],[Name]]&amp;OutputTable[[#This Row],[Type]]&amp;OutputTable[[#This Row],[Source]]</f>
        <v>PacientesProcess 2 Number InNumber InProcess</v>
      </c>
      <c r="J380" cm="1">
        <f t="array" ref="J380">MAX(IF((ProjectInfoTable[ProjectName]=OutputTable[[#This Row],[ProjectName]]),(ProjectInfoTable[ProjectName]=OutputTable[[#This Row],[ProjectName]])*ProjectInfoTable[NumberOfReplications]))</f>
        <v>50</v>
      </c>
      <c r="K380" cm="1">
        <f t="array" ref="K380">IFERROR(AVERAGE(IF((OutputTable[GroupByKey]=OutputTable[[#This Row],[GroupByKey]]),(OutputTable[GroupByKey]=OutputTable[[#This Row],[GroupByKey]])*OutputTable[RecordedValue])),0)</f>
        <v>2404.2399999999998</v>
      </c>
      <c r="L380" cm="1">
        <f t="array" ref="L380">IFERROR(_xlfn.STDEV.S(IF((OutputTable[GroupByKey]=OutputTable[[#This Row],[GroupByKey]]),(OutputTable[GroupByKey]=OutputTable[[#This Row],[GroupByKey]])*OutputTable[RecordedValue])),0)</f>
        <v>46.574303154053879</v>
      </c>
      <c r="M380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380" cm="1">
        <f t="array" ref="O380">MIN(IF((OutputTable[GroupByKey]=OutputTable[[#This Row],[GroupByKey]]),(OutputTable[GroupByKey]=OutputTable[[#This Row],[GroupByKey]])*OutputTable[RecordedValue]))</f>
        <v>2306</v>
      </c>
      <c r="P380" cm="1">
        <f t="array" ref="P380">MAX(IF((OutputTable[GroupByKey]=OutputTable[[#This Row],[GroupByKey]]),(OutputTable[GroupByKey]=OutputTable[[#This Row],[GroupByKey]])*OutputTable[RecordedValue]))</f>
        <v>2518</v>
      </c>
    </row>
    <row r="381" spans="1:16" x14ac:dyDescent="0.25">
      <c r="A381" t="s">
        <v>68</v>
      </c>
      <c r="B381" t="s">
        <v>131</v>
      </c>
      <c r="C381">
        <v>23</v>
      </c>
      <c r="D381" t="s">
        <v>113</v>
      </c>
      <c r="E381" t="s">
        <v>107</v>
      </c>
      <c r="F381" t="s">
        <v>80</v>
      </c>
      <c r="G381">
        <v>2377</v>
      </c>
      <c r="H381">
        <v>0</v>
      </c>
      <c r="I381" t="str">
        <f>OutputTable[[#This Row],[ProjectName]]&amp;OutputTable[[#This Row],[Name]]&amp;OutputTable[[#This Row],[Type]]&amp;OutputTable[[#This Row],[Source]]</f>
        <v>PacientesProcess 2 Number OutNumber OutProcess</v>
      </c>
      <c r="J381" cm="1">
        <f t="array" ref="J381">MAX(IF((ProjectInfoTable[ProjectName]=OutputTable[[#This Row],[ProjectName]]),(ProjectInfoTable[ProjectName]=OutputTable[[#This Row],[ProjectName]])*ProjectInfoTable[NumberOfReplications]))</f>
        <v>50</v>
      </c>
      <c r="K381" cm="1">
        <f t="array" ref="K381">IFERROR(AVERAGE(IF((OutputTable[GroupByKey]=OutputTable[[#This Row],[GroupByKey]]),(OutputTable[GroupByKey]=OutputTable[[#This Row],[GroupByKey]])*OutputTable[RecordedValue])),0)</f>
        <v>2400.2800000000002</v>
      </c>
      <c r="L381" cm="1">
        <f t="array" ref="L381">IFERROR(_xlfn.STDEV.S(IF((OutputTable[GroupByKey]=OutputTable[[#This Row],[GroupByKey]]),(OutputTable[GroupByKey]=OutputTable[[#This Row],[GroupByKey]])*OutputTable[RecordedValue])),0)</f>
        <v>46.409024456676619</v>
      </c>
      <c r="M381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81" cm="1">
        <f t="array" ref="O381">MIN(IF((OutputTable[GroupByKey]=OutputTable[[#This Row],[GroupByKey]]),(OutputTable[GroupByKey]=OutputTable[[#This Row],[GroupByKey]])*OutputTable[RecordedValue]))</f>
        <v>2305</v>
      </c>
      <c r="P381" cm="1">
        <f t="array" ref="P381">MAX(IF((OutputTable[GroupByKey]=OutputTable[[#This Row],[GroupByKey]]),(OutputTable[GroupByKey]=OutputTable[[#This Row],[GroupByKey]])*OutputTable[RecordedValue]))</f>
        <v>2504</v>
      </c>
    </row>
    <row r="382" spans="1:16" x14ac:dyDescent="0.25">
      <c r="A382" t="s">
        <v>68</v>
      </c>
      <c r="B382" t="s">
        <v>131</v>
      </c>
      <c r="C382">
        <v>23</v>
      </c>
      <c r="D382" t="s">
        <v>114</v>
      </c>
      <c r="E382" t="s">
        <v>109</v>
      </c>
      <c r="F382" t="s">
        <v>80</v>
      </c>
      <c r="G382">
        <v>335.76959478369798</v>
      </c>
      <c r="H382">
        <v>0</v>
      </c>
      <c r="I382" t="str">
        <f>OutputTable[[#This Row],[ProjectName]]&amp;OutputTable[[#This Row],[Name]]&amp;OutputTable[[#This Row],[Type]]&amp;OutputTable[[#This Row],[Source]]</f>
        <v>PacientesRegistro Accum VA TimeAccum VA TimeProcess</v>
      </c>
      <c r="J382" cm="1">
        <f t="array" ref="J382">MAX(IF((ProjectInfoTable[ProjectName]=OutputTable[[#This Row],[ProjectName]]),(ProjectInfoTable[ProjectName]=OutputTable[[#This Row],[ProjectName]])*ProjectInfoTable[NumberOfReplications]))</f>
        <v>50</v>
      </c>
      <c r="K382" cm="1">
        <f t="array" ref="K382">IFERROR(AVERAGE(IF((OutputTable[GroupByKey]=OutputTable[[#This Row],[GroupByKey]]),(OutputTable[GroupByKey]=OutputTable[[#This Row],[GroupByKey]])*OutputTable[RecordedValue])),0)</f>
        <v>339.53547737062786</v>
      </c>
      <c r="L382" cm="1">
        <f t="array" ref="L382">IFERROR(_xlfn.STDEV.S(IF((OutputTable[GroupByKey]=OutputTable[[#This Row],[GroupByKey]]),(OutputTable[GroupByKey]=OutputTable[[#This Row],[GroupByKey]])*OutputTable[RecordedValue])),0)</f>
        <v>6.9723666109353193</v>
      </c>
      <c r="M382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382" cm="1">
        <f t="array" ref="O382">MIN(IF((OutputTable[GroupByKey]=OutputTable[[#This Row],[GroupByKey]]),(OutputTable[GroupByKey]=OutputTable[[#This Row],[GroupByKey]])*OutputTable[RecordedValue]))</f>
        <v>325.606879158418</v>
      </c>
      <c r="P382" cm="1">
        <f t="array" ref="P382">MAX(IF((OutputTable[GroupByKey]=OutputTable[[#This Row],[GroupByKey]]),(OutputTable[GroupByKey]=OutputTable[[#This Row],[GroupByKey]])*OutputTable[RecordedValue]))</f>
        <v>357.77609013379703</v>
      </c>
    </row>
    <row r="383" spans="1:16" x14ac:dyDescent="0.25">
      <c r="A383" t="s">
        <v>68</v>
      </c>
      <c r="B383" t="s">
        <v>131</v>
      </c>
      <c r="C383">
        <v>23</v>
      </c>
      <c r="D383" t="s">
        <v>115</v>
      </c>
      <c r="E383" t="s">
        <v>111</v>
      </c>
      <c r="F383" t="s">
        <v>80</v>
      </c>
      <c r="G383">
        <v>149.28287855015799</v>
      </c>
      <c r="H383">
        <v>0</v>
      </c>
      <c r="I383" t="str">
        <f>OutputTable[[#This Row],[ProjectName]]&amp;OutputTable[[#This Row],[Name]]&amp;OutputTable[[#This Row],[Type]]&amp;OutputTable[[#This Row],[Source]]</f>
        <v>PacientesRegistro Accum Wait TimeAccum Wait TimeProcess</v>
      </c>
      <c r="J383" cm="1">
        <f t="array" ref="J383">MAX(IF((ProjectInfoTable[ProjectName]=OutputTable[[#This Row],[ProjectName]]),(ProjectInfoTable[ProjectName]=OutputTable[[#This Row],[ProjectName]])*ProjectInfoTable[NumberOfReplications]))</f>
        <v>50</v>
      </c>
      <c r="K383" cm="1">
        <f t="array" ref="K383">IFERROR(AVERAGE(IF((OutputTable[GroupByKey]=OutputTable[[#This Row],[GroupByKey]]),(OutputTable[GroupByKey]=OutputTable[[#This Row],[GroupByKey]])*OutputTable[RecordedValue])),0)</f>
        <v>154.15303898127775</v>
      </c>
      <c r="L383" cm="1">
        <f t="array" ref="L383">IFERROR(_xlfn.STDEV.S(IF((OutputTable[GroupByKey]=OutputTable[[#This Row],[GroupByKey]]),(OutputTable[GroupByKey]=OutputTable[[#This Row],[GroupByKey]])*OutputTable[RecordedValue])),0)</f>
        <v>12.141439184615397</v>
      </c>
      <c r="M383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383" cm="1">
        <f t="array" ref="O383">MIN(IF((OutputTable[GroupByKey]=OutputTable[[#This Row],[GroupByKey]]),(OutputTable[GroupByKey]=OutputTable[[#This Row],[GroupByKey]])*OutputTable[RecordedValue]))</f>
        <v>123.901613974094</v>
      </c>
      <c r="P383" cm="1">
        <f t="array" ref="P383">MAX(IF((OutputTable[GroupByKey]=OutputTable[[#This Row],[GroupByKey]]),(OutputTable[GroupByKey]=OutputTable[[#This Row],[GroupByKey]])*OutputTable[RecordedValue]))</f>
        <v>178.441307284473</v>
      </c>
    </row>
    <row r="384" spans="1:16" x14ac:dyDescent="0.25">
      <c r="A384" t="s">
        <v>68</v>
      </c>
      <c r="B384" t="s">
        <v>131</v>
      </c>
      <c r="C384">
        <v>23</v>
      </c>
      <c r="D384" t="s">
        <v>116</v>
      </c>
      <c r="E384" t="s">
        <v>105</v>
      </c>
      <c r="F384" t="s">
        <v>80</v>
      </c>
      <c r="G384">
        <v>2234</v>
      </c>
      <c r="H384">
        <v>0</v>
      </c>
      <c r="I384" t="str">
        <f>OutputTable[[#This Row],[ProjectName]]&amp;OutputTable[[#This Row],[Name]]&amp;OutputTable[[#This Row],[Type]]&amp;OutputTable[[#This Row],[Source]]</f>
        <v>PacientesRegistro Number InNumber InProcess</v>
      </c>
      <c r="J384" cm="1">
        <f t="array" ref="J384">MAX(IF((ProjectInfoTable[ProjectName]=OutputTable[[#This Row],[ProjectName]]),(ProjectInfoTable[ProjectName]=OutputTable[[#This Row],[ProjectName]])*ProjectInfoTable[NumberOfReplications]))</f>
        <v>50</v>
      </c>
      <c r="K384" cm="1">
        <f t="array" ref="K384">IFERROR(AVERAGE(IF((OutputTable[GroupByKey]=OutputTable[[#This Row],[GroupByKey]]),(OutputTable[GroupByKey]=OutputTable[[#This Row],[GroupByKey]])*OutputTable[RecordedValue])),0)</f>
        <v>2263.2399999999998</v>
      </c>
      <c r="L384" cm="1">
        <f t="array" ref="L384">IFERROR(_xlfn.STDEV.S(IF((OutputTable[GroupByKey]=OutputTable[[#This Row],[GroupByKey]]),(OutputTable[GroupByKey]=OutputTable[[#This Row],[GroupByKey]])*OutputTable[RecordedValue])),0)</f>
        <v>47.331035682472766</v>
      </c>
      <c r="M384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384" cm="1">
        <f t="array" ref="O384">MIN(IF((OutputTable[GroupByKey]=OutputTable[[#This Row],[GroupByKey]]),(OutputTable[GroupByKey]=OutputTable[[#This Row],[GroupByKey]])*OutputTable[RecordedValue]))</f>
        <v>2172</v>
      </c>
      <c r="P384" cm="1">
        <f t="array" ref="P384">MAX(IF((OutputTable[GroupByKey]=OutputTable[[#This Row],[GroupByKey]]),(OutputTable[GroupByKey]=OutputTable[[#This Row],[GroupByKey]])*OutputTable[RecordedValue]))</f>
        <v>2386</v>
      </c>
    </row>
    <row r="385" spans="1:16" x14ac:dyDescent="0.25">
      <c r="A385" t="s">
        <v>68</v>
      </c>
      <c r="B385" t="s">
        <v>131</v>
      </c>
      <c r="C385">
        <v>23</v>
      </c>
      <c r="D385" t="s">
        <v>117</v>
      </c>
      <c r="E385" t="s">
        <v>107</v>
      </c>
      <c r="F385" t="s">
        <v>80</v>
      </c>
      <c r="G385">
        <v>2233</v>
      </c>
      <c r="H385">
        <v>0</v>
      </c>
      <c r="I385" t="str">
        <f>OutputTable[[#This Row],[ProjectName]]&amp;OutputTable[[#This Row],[Name]]&amp;OutputTable[[#This Row],[Type]]&amp;OutputTable[[#This Row],[Source]]</f>
        <v>PacientesRegistro Number OutNumber OutProcess</v>
      </c>
      <c r="J385" cm="1">
        <f t="array" ref="J385">MAX(IF((ProjectInfoTable[ProjectName]=OutputTable[[#This Row],[ProjectName]]),(ProjectInfoTable[ProjectName]=OutputTable[[#This Row],[ProjectName]])*ProjectInfoTable[NumberOfReplications]))</f>
        <v>50</v>
      </c>
      <c r="K385" cm="1">
        <f t="array" ref="K385">IFERROR(AVERAGE(IF((OutputTable[GroupByKey]=OutputTable[[#This Row],[GroupByKey]]),(OutputTable[GroupByKey]=OutputTable[[#This Row],[GroupByKey]])*OutputTable[RecordedValue])),0)</f>
        <v>2262.66</v>
      </c>
      <c r="L385" cm="1">
        <f t="array" ref="L385">IFERROR(_xlfn.STDEV.S(IF((OutputTable[GroupByKey]=OutputTable[[#This Row],[GroupByKey]]),(OutputTable[GroupByKey]=OutputTable[[#This Row],[GroupByKey]])*OutputTable[RecordedValue])),0)</f>
        <v>47.488176831454687</v>
      </c>
      <c r="M38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385" cm="1">
        <f t="array" ref="O385">MIN(IF((OutputTable[GroupByKey]=OutputTable[[#This Row],[GroupByKey]]),(OutputTable[GroupByKey]=OutputTable[[#This Row],[GroupByKey]])*OutputTable[RecordedValue]))</f>
        <v>2171</v>
      </c>
      <c r="P385" cm="1">
        <f t="array" ref="P385">MAX(IF((OutputTable[GroupByKey]=OutputTable[[#This Row],[GroupByKey]]),(OutputTable[GroupByKey]=OutputTable[[#This Row],[GroupByKey]])*OutputTable[RecordedValue]))</f>
        <v>2386</v>
      </c>
    </row>
    <row r="386" spans="1:16" x14ac:dyDescent="0.25">
      <c r="A386" t="s">
        <v>68</v>
      </c>
      <c r="B386" t="s">
        <v>131</v>
      </c>
      <c r="C386">
        <v>23</v>
      </c>
      <c r="D386" t="s">
        <v>118</v>
      </c>
      <c r="E386" t="s">
        <v>107</v>
      </c>
      <c r="F386" t="s">
        <v>119</v>
      </c>
      <c r="G386">
        <v>2377</v>
      </c>
      <c r="H386">
        <v>0</v>
      </c>
      <c r="I386" t="str">
        <f>OutputTable[[#This Row],[ProjectName]]&amp;OutputTable[[#This Row],[Name]]&amp;OutputTable[[#This Row],[Type]]&amp;OutputTable[[#This Row],[Source]]</f>
        <v>PacientesSystem.NumberOutNumber OutSystem</v>
      </c>
      <c r="J386" cm="1">
        <f t="array" ref="J386">MAX(IF((ProjectInfoTable[ProjectName]=OutputTable[[#This Row],[ProjectName]]),(ProjectInfoTable[ProjectName]=OutputTable[[#This Row],[ProjectName]])*ProjectInfoTable[NumberOfReplications]))</f>
        <v>50</v>
      </c>
      <c r="K386" cm="1">
        <f t="array" ref="K386">IFERROR(AVERAGE(IF((OutputTable[GroupByKey]=OutputTable[[#This Row],[GroupByKey]]),(OutputTable[GroupByKey]=OutputTable[[#This Row],[GroupByKey]])*OutputTable[RecordedValue])),0)</f>
        <v>2400.2800000000002</v>
      </c>
      <c r="L386" cm="1">
        <f t="array" ref="L386">IFERROR(_xlfn.STDEV.S(IF((OutputTable[GroupByKey]=OutputTable[[#This Row],[GroupByKey]]),(OutputTable[GroupByKey]=OutputTable[[#This Row],[GroupByKey]])*OutputTable[RecordedValue])),0)</f>
        <v>46.409024456676619</v>
      </c>
      <c r="M386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86" cm="1">
        <f t="array" ref="O386">MIN(IF((OutputTable[GroupByKey]=OutputTable[[#This Row],[GroupByKey]]),(OutputTable[GroupByKey]=OutputTable[[#This Row],[GroupByKey]])*OutputTable[RecordedValue]))</f>
        <v>2305</v>
      </c>
      <c r="P386" cm="1">
        <f t="array" ref="P386">MAX(IF((OutputTable[GroupByKey]=OutputTable[[#This Row],[GroupByKey]]),(OutputTable[GroupByKey]=OutputTable[[#This Row],[GroupByKey]])*OutputTable[RecordedValue]))</f>
        <v>2504</v>
      </c>
    </row>
    <row r="387" spans="1:16" x14ac:dyDescent="0.25">
      <c r="A387" t="s">
        <v>68</v>
      </c>
      <c r="B387" t="s">
        <v>131</v>
      </c>
      <c r="C387">
        <v>23</v>
      </c>
      <c r="D387" t="s">
        <v>120</v>
      </c>
      <c r="E387" t="s">
        <v>121</v>
      </c>
      <c r="F387" t="s">
        <v>99</v>
      </c>
      <c r="G387">
        <v>2379</v>
      </c>
      <c r="H387">
        <v>0</v>
      </c>
      <c r="I387" t="str">
        <f>OutputTable[[#This Row],[ProjectName]]&amp;OutputTable[[#This Row],[Name]]&amp;OutputTable[[#This Row],[Type]]&amp;OutputTable[[#This Row],[Source]]</f>
        <v>PacientesrCamas.NumberSeizedTotal Number SeizedResource</v>
      </c>
      <c r="J387" cm="1">
        <f t="array" ref="J387">MAX(IF((ProjectInfoTable[ProjectName]=OutputTable[[#This Row],[ProjectName]]),(ProjectInfoTable[ProjectName]=OutputTable[[#This Row],[ProjectName]])*ProjectInfoTable[NumberOfReplications]))</f>
        <v>50</v>
      </c>
      <c r="K387" cm="1">
        <f t="array" ref="K387">IFERROR(AVERAGE(IF((OutputTable[GroupByKey]=OutputTable[[#This Row],[GroupByKey]]),(OutputTable[GroupByKey]=OutputTable[[#This Row],[GroupByKey]])*OutputTable[RecordedValue])),0)</f>
        <v>2401.9</v>
      </c>
      <c r="L387" cm="1">
        <f t="array" ref="L387">IFERROR(_xlfn.STDEV.S(IF((OutputTable[GroupByKey]=OutputTable[[#This Row],[GroupByKey]]),(OutputTable[GroupByKey]=OutputTable[[#This Row],[GroupByKey]])*OutputTable[RecordedValue])),0)</f>
        <v>46.417031532903209</v>
      </c>
      <c r="M387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87" cm="1">
        <f t="array" ref="O387">MIN(IF((OutputTable[GroupByKey]=OutputTable[[#This Row],[GroupByKey]]),(OutputTable[GroupByKey]=OutputTable[[#This Row],[GroupByKey]])*OutputTable[RecordedValue]))</f>
        <v>2306</v>
      </c>
      <c r="P387" cm="1">
        <f t="array" ref="P387">MAX(IF((OutputTable[GroupByKey]=OutputTable[[#This Row],[GroupByKey]]),(OutputTable[GroupByKey]=OutputTable[[#This Row],[GroupByKey]])*OutputTable[RecordedValue]))</f>
        <v>2506</v>
      </c>
    </row>
    <row r="388" spans="1:16" x14ac:dyDescent="0.25">
      <c r="A388" t="s">
        <v>68</v>
      </c>
      <c r="B388" t="s">
        <v>131</v>
      </c>
      <c r="C388">
        <v>23</v>
      </c>
      <c r="D388" t="s">
        <v>122</v>
      </c>
      <c r="E388" t="s">
        <v>123</v>
      </c>
      <c r="F388" t="s">
        <v>99</v>
      </c>
      <c r="G388">
        <v>0.547173311687846</v>
      </c>
      <c r="H388">
        <v>0</v>
      </c>
      <c r="I388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388" cm="1">
        <f t="array" ref="J388">MAX(IF((ProjectInfoTable[ProjectName]=OutputTable[[#This Row],[ProjectName]]),(ProjectInfoTable[ProjectName]=OutputTable[[#This Row],[ProjectName]])*ProjectInfoTable[NumberOfReplications]))</f>
        <v>50</v>
      </c>
      <c r="K388" cm="1">
        <f t="array" ref="K388">IFERROR(AVERAGE(IF((OutputTable[GroupByKey]=OutputTable[[#This Row],[GroupByKey]]),(OutputTable[GroupByKey]=OutputTable[[#This Row],[GroupByKey]])*OutputTable[RecordedValue])),0)</f>
        <v>0.54703961359050601</v>
      </c>
      <c r="L388" cm="1">
        <f t="array" ref="L388">IFERROR(_xlfn.STDEV.S(IF((OutputTable[GroupByKey]=OutputTable[[#This Row],[GroupByKey]]),(OutputTable[GroupByKey]=OutputTable[[#This Row],[GroupByKey]])*OutputTable[RecordedValue])),0)</f>
        <v>1.0221170008030479E-2</v>
      </c>
      <c r="M388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388" cm="1">
        <f t="array" ref="O388">MIN(IF((OutputTable[GroupByKey]=OutputTable[[#This Row],[GroupByKey]]),(OutputTable[GroupByKey]=OutputTable[[#This Row],[GroupByKey]])*OutputTable[RecordedValue]))</f>
        <v>0.52470641844357901</v>
      </c>
      <c r="P388" cm="1">
        <f t="array" ref="P388">MAX(IF((OutputTable[GroupByKey]=OutputTable[[#This Row],[GroupByKey]]),(OutputTable[GroupByKey]=OutputTable[[#This Row],[GroupByKey]])*OutputTable[RecordedValue]))</f>
        <v>0.57005812966092295</v>
      </c>
    </row>
    <row r="389" spans="1:16" x14ac:dyDescent="0.25">
      <c r="A389" t="s">
        <v>68</v>
      </c>
      <c r="B389" t="s">
        <v>131</v>
      </c>
      <c r="C389">
        <v>23</v>
      </c>
      <c r="D389" t="s">
        <v>124</v>
      </c>
      <c r="E389" t="s">
        <v>121</v>
      </c>
      <c r="F389" t="s">
        <v>99</v>
      </c>
      <c r="G389">
        <v>2379</v>
      </c>
      <c r="H389">
        <v>0</v>
      </c>
      <c r="I389" t="str">
        <f>OutputTable[[#This Row],[ProjectName]]&amp;OutputTable[[#This Row],[Name]]&amp;OutputTable[[#This Row],[Type]]&amp;OutputTable[[#This Row],[Source]]</f>
        <v>PacientesrMedico.NumberSeizedTotal Number SeizedResource</v>
      </c>
      <c r="J389" cm="1">
        <f t="array" ref="J389">MAX(IF((ProjectInfoTable[ProjectName]=OutputTable[[#This Row],[ProjectName]]),(ProjectInfoTable[ProjectName]=OutputTable[[#This Row],[ProjectName]])*ProjectInfoTable[NumberOfReplications]))</f>
        <v>50</v>
      </c>
      <c r="K389" cm="1">
        <f t="array" ref="K389">IFERROR(AVERAGE(IF((OutputTable[GroupByKey]=OutputTable[[#This Row],[GroupByKey]]),(OutputTable[GroupByKey]=OutputTable[[#This Row],[GroupByKey]])*OutputTable[RecordedValue])),0)</f>
        <v>2401.9</v>
      </c>
      <c r="L389" cm="1">
        <f t="array" ref="L389">IFERROR(_xlfn.STDEV.S(IF((OutputTable[GroupByKey]=OutputTable[[#This Row],[GroupByKey]]),(OutputTable[GroupByKey]=OutputTable[[#This Row],[GroupByKey]])*OutputTable[RecordedValue])),0)</f>
        <v>46.417031532903209</v>
      </c>
      <c r="M389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389" cm="1">
        <f t="array" ref="O389">MIN(IF((OutputTable[GroupByKey]=OutputTable[[#This Row],[GroupByKey]]),(OutputTable[GroupByKey]=OutputTable[[#This Row],[GroupByKey]])*OutputTable[RecordedValue]))</f>
        <v>2306</v>
      </c>
      <c r="P389" cm="1">
        <f t="array" ref="P389">MAX(IF((OutputTable[GroupByKey]=OutputTable[[#This Row],[GroupByKey]]),(OutputTable[GroupByKey]=OutputTable[[#This Row],[GroupByKey]])*OutputTable[RecordedValue]))</f>
        <v>2506</v>
      </c>
    </row>
    <row r="390" spans="1:16" x14ac:dyDescent="0.25">
      <c r="A390" t="s">
        <v>68</v>
      </c>
      <c r="B390" t="s">
        <v>131</v>
      </c>
      <c r="C390">
        <v>23</v>
      </c>
      <c r="D390" t="s">
        <v>125</v>
      </c>
      <c r="E390" t="s">
        <v>123</v>
      </c>
      <c r="F390" t="s">
        <v>99</v>
      </c>
      <c r="G390">
        <v>0.82075996753176805</v>
      </c>
      <c r="H390">
        <v>0</v>
      </c>
      <c r="I390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390" cm="1">
        <f t="array" ref="J390">MAX(IF((ProjectInfoTable[ProjectName]=OutputTable[[#This Row],[ProjectName]]),(ProjectInfoTable[ProjectName]=OutputTable[[#This Row],[ProjectName]])*ProjectInfoTable[NumberOfReplications]))</f>
        <v>50</v>
      </c>
      <c r="K390" cm="1">
        <f t="array" ref="K390">IFERROR(AVERAGE(IF((OutputTable[GroupByKey]=OutputTable[[#This Row],[GroupByKey]]),(OutputTable[GroupByKey]=OutputTable[[#This Row],[GroupByKey]])*OutputTable[RecordedValue])),0)</f>
        <v>0.82055942038575935</v>
      </c>
      <c r="L390" cm="1">
        <f t="array" ref="L390">IFERROR(_xlfn.STDEV.S(IF((OutputTable[GroupByKey]=OutputTable[[#This Row],[GroupByKey]]),(OutputTable[GroupByKey]=OutputTable[[#This Row],[GroupByKey]])*OutputTable[RecordedValue])),0)</f>
        <v>1.5331755012045719E-2</v>
      </c>
      <c r="M390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390" cm="1">
        <f t="array" ref="O390">MIN(IF((OutputTable[GroupByKey]=OutputTable[[#This Row],[GroupByKey]]),(OutputTable[GroupByKey]=OutputTable[[#This Row],[GroupByKey]])*OutputTable[RecordedValue]))</f>
        <v>0.78705962766536897</v>
      </c>
      <c r="P390" cm="1">
        <f t="array" ref="P390">MAX(IF((OutputTable[GroupByKey]=OutputTable[[#This Row],[GroupByKey]]),(OutputTable[GroupByKey]=OutputTable[[#This Row],[GroupByKey]])*OutputTable[RecordedValue]))</f>
        <v>0.85508719449138504</v>
      </c>
    </row>
    <row r="391" spans="1:16" x14ac:dyDescent="0.25">
      <c r="A391" t="s">
        <v>68</v>
      </c>
      <c r="B391" t="s">
        <v>131</v>
      </c>
      <c r="C391">
        <v>23</v>
      </c>
      <c r="D391" t="s">
        <v>126</v>
      </c>
      <c r="E391" t="s">
        <v>121</v>
      </c>
      <c r="F391" t="s">
        <v>99</v>
      </c>
      <c r="G391">
        <v>2234</v>
      </c>
      <c r="H391">
        <v>0</v>
      </c>
      <c r="I391" t="str">
        <f>OutputTable[[#This Row],[ProjectName]]&amp;OutputTable[[#This Row],[Name]]&amp;OutputTable[[#This Row],[Type]]&amp;OutputTable[[#This Row],[Source]]</f>
        <v>PacientesrRegistradora.NumberSeizedTotal Number SeizedResource</v>
      </c>
      <c r="J391" cm="1">
        <f t="array" ref="J391">MAX(IF((ProjectInfoTable[ProjectName]=OutputTable[[#This Row],[ProjectName]]),(ProjectInfoTable[ProjectName]=OutputTable[[#This Row],[ProjectName]])*ProjectInfoTable[NumberOfReplications]))</f>
        <v>50</v>
      </c>
      <c r="K391" cm="1">
        <f t="array" ref="K391">IFERROR(AVERAGE(IF((OutputTable[GroupByKey]=OutputTable[[#This Row],[GroupByKey]]),(OutputTable[GroupByKey]=OutputTable[[#This Row],[GroupByKey]])*OutputTable[RecordedValue])),0)</f>
        <v>2263.14</v>
      </c>
      <c r="L391" cm="1">
        <f t="array" ref="L391">IFERROR(_xlfn.STDEV.S(IF((OutputTable[GroupByKey]=OutputTable[[#This Row],[GroupByKey]]),(OutputTable[GroupByKey]=OutputTable[[#This Row],[GroupByKey]])*OutputTable[RecordedValue])),0)</f>
        <v>47.386818971575821</v>
      </c>
      <c r="M391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391" cm="1">
        <f t="array" ref="O391">MIN(IF((OutputTable[GroupByKey]=OutputTable[[#This Row],[GroupByKey]]),(OutputTable[GroupByKey]=OutputTable[[#This Row],[GroupByKey]])*OutputTable[RecordedValue]))</f>
        <v>2172</v>
      </c>
      <c r="P391" cm="1">
        <f t="array" ref="P391">MAX(IF((OutputTable[GroupByKey]=OutputTable[[#This Row],[GroupByKey]]),(OutputTable[GroupByKey]=OutputTable[[#This Row],[GroupByKey]])*OutputTable[RecordedValue]))</f>
        <v>2386</v>
      </c>
    </row>
    <row r="392" spans="1:16" x14ac:dyDescent="0.25">
      <c r="A392" t="s">
        <v>68</v>
      </c>
      <c r="B392" t="s">
        <v>131</v>
      </c>
      <c r="C392">
        <v>23</v>
      </c>
      <c r="D392" t="s">
        <v>127</v>
      </c>
      <c r="E392" t="s">
        <v>123</v>
      </c>
      <c r="F392" t="s">
        <v>99</v>
      </c>
      <c r="G392">
        <v>0.46635718290189099</v>
      </c>
      <c r="H392">
        <v>0</v>
      </c>
      <c r="I392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392" cm="1">
        <f t="array" ref="J392">MAX(IF((ProjectInfoTable[ProjectName]=OutputTable[[#This Row],[ProjectName]]),(ProjectInfoTable[ProjectName]=OutputTable[[#This Row],[ProjectName]])*ProjectInfoTable[NumberOfReplications]))</f>
        <v>50</v>
      </c>
      <c r="K392" cm="1">
        <f t="array" ref="K392">IFERROR(AVERAGE(IF((OutputTable[GroupByKey]=OutputTable[[#This Row],[GroupByKey]]),(OutputTable[GroupByKey]=OutputTable[[#This Row],[GroupByKey]])*OutputTable[RecordedValue])),0)</f>
        <v>0.47162762933545666</v>
      </c>
      <c r="L392" cm="1">
        <f t="array" ref="L392">IFERROR(_xlfn.STDEV.S(IF((OutputTable[GroupByKey]=OutputTable[[#This Row],[GroupByKey]]),(OutputTable[GroupByKey]=OutputTable[[#This Row],[GroupByKey]])*OutputTable[RecordedValue])),0)</f>
        <v>9.6615227076777797E-3</v>
      </c>
      <c r="M392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392" cm="1">
        <f t="array" ref="O392">MIN(IF((OutputTable[GroupByKey]=OutputTable[[#This Row],[GroupByKey]]),(OutputTable[GroupByKey]=OutputTable[[#This Row],[GroupByKey]])*OutputTable[RecordedValue]))</f>
        <v>0.452397944183905</v>
      </c>
      <c r="P392" cm="1">
        <f t="array" ref="P392">MAX(IF((OutputTable[GroupByKey]=OutputTable[[#This Row],[GroupByKey]]),(OutputTable[GroupByKey]=OutputTable[[#This Row],[GroupByKey]])*OutputTable[RecordedValue]))</f>
        <v>0.49691123629694001</v>
      </c>
    </row>
    <row r="393" spans="1:16" x14ac:dyDescent="0.25">
      <c r="A393" t="s">
        <v>68</v>
      </c>
      <c r="B393" t="s">
        <v>131</v>
      </c>
      <c r="C393">
        <v>24</v>
      </c>
      <c r="D393" t="s">
        <v>104</v>
      </c>
      <c r="E393" t="s">
        <v>105</v>
      </c>
      <c r="F393" t="s">
        <v>72</v>
      </c>
      <c r="G393">
        <v>2423</v>
      </c>
      <c r="H393">
        <v>0</v>
      </c>
      <c r="I393" t="str">
        <f>OutputTable[[#This Row],[ProjectName]]&amp;OutputTable[[#This Row],[Name]]&amp;OutputTable[[#This Row],[Type]]&amp;OutputTable[[#This Row],[Source]]</f>
        <v>PacientesEntity 1.NumberInNumber InEntity</v>
      </c>
      <c r="J393" cm="1">
        <f t="array" ref="J393">MAX(IF((ProjectInfoTable[ProjectName]=OutputTable[[#This Row],[ProjectName]]),(ProjectInfoTable[ProjectName]=OutputTable[[#This Row],[ProjectName]])*ProjectInfoTable[NumberOfReplications]))</f>
        <v>50</v>
      </c>
      <c r="K393" cm="1">
        <f t="array" ref="K393">IFERROR(AVERAGE(IF((OutputTable[GroupByKey]=OutputTable[[#This Row],[GroupByKey]]),(OutputTable[GroupByKey]=OutputTable[[#This Row],[GroupByKey]])*OutputTable[RecordedValue])),0)</f>
        <v>2404.8200000000002</v>
      </c>
      <c r="L393" cm="1">
        <f t="array" ref="L393">IFERROR(_xlfn.STDEV.S(IF((OutputTable[GroupByKey]=OutputTable[[#This Row],[GroupByKey]]),(OutputTable[GroupByKey]=OutputTable[[#This Row],[GroupByKey]])*OutputTable[RecordedValue])),0)</f>
        <v>46.42953405595474</v>
      </c>
      <c r="M393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393" cm="1">
        <f t="array" ref="O393">MIN(IF((OutputTable[GroupByKey]=OutputTable[[#This Row],[GroupByKey]]),(OutputTable[GroupByKey]=OutputTable[[#This Row],[GroupByKey]])*OutputTable[RecordedValue]))</f>
        <v>2307</v>
      </c>
      <c r="P393" cm="1">
        <f t="array" ref="P393">MAX(IF((OutputTable[GroupByKey]=OutputTable[[#This Row],[GroupByKey]]),(OutputTable[GroupByKey]=OutputTable[[#This Row],[GroupByKey]])*OutputTable[RecordedValue]))</f>
        <v>2518</v>
      </c>
    </row>
    <row r="394" spans="1:16" x14ac:dyDescent="0.25">
      <c r="A394" t="s">
        <v>68</v>
      </c>
      <c r="B394" t="s">
        <v>131</v>
      </c>
      <c r="C394">
        <v>24</v>
      </c>
      <c r="D394" t="s">
        <v>106</v>
      </c>
      <c r="E394" t="s">
        <v>107</v>
      </c>
      <c r="F394" t="s">
        <v>72</v>
      </c>
      <c r="G394">
        <v>2420</v>
      </c>
      <c r="H394">
        <v>0</v>
      </c>
      <c r="I394" t="str">
        <f>OutputTable[[#This Row],[ProjectName]]&amp;OutputTable[[#This Row],[Name]]&amp;OutputTable[[#This Row],[Type]]&amp;OutputTable[[#This Row],[Source]]</f>
        <v>PacientesEntity 1.NumberOutNumber OutEntity</v>
      </c>
      <c r="J394" cm="1">
        <f t="array" ref="J394">MAX(IF((ProjectInfoTable[ProjectName]=OutputTable[[#This Row],[ProjectName]]),(ProjectInfoTable[ProjectName]=OutputTable[[#This Row],[ProjectName]])*ProjectInfoTable[NumberOfReplications]))</f>
        <v>50</v>
      </c>
      <c r="K394" cm="1">
        <f t="array" ref="K394">IFERROR(AVERAGE(IF((OutputTable[GroupByKey]=OutputTable[[#This Row],[GroupByKey]]),(OutputTable[GroupByKey]=OutputTable[[#This Row],[GroupByKey]])*OutputTable[RecordedValue])),0)</f>
        <v>2400.2800000000002</v>
      </c>
      <c r="L394" cm="1">
        <f t="array" ref="L394">IFERROR(_xlfn.STDEV.S(IF((OutputTable[GroupByKey]=OutputTable[[#This Row],[GroupByKey]]),(OutputTable[GroupByKey]=OutputTable[[#This Row],[GroupByKey]])*OutputTable[RecordedValue])),0)</f>
        <v>46.409024456676619</v>
      </c>
      <c r="M394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94" cm="1">
        <f t="array" ref="O394">MIN(IF((OutputTable[GroupByKey]=OutputTable[[#This Row],[GroupByKey]]),(OutputTable[GroupByKey]=OutputTable[[#This Row],[GroupByKey]])*OutputTable[RecordedValue]))</f>
        <v>2305</v>
      </c>
      <c r="P394" cm="1">
        <f t="array" ref="P394">MAX(IF((OutputTable[GroupByKey]=OutputTable[[#This Row],[GroupByKey]]),(OutputTable[GroupByKey]=OutputTable[[#This Row],[GroupByKey]])*OutputTable[RecordedValue]))</f>
        <v>2504</v>
      </c>
    </row>
    <row r="395" spans="1:16" x14ac:dyDescent="0.25">
      <c r="A395" t="s">
        <v>68</v>
      </c>
      <c r="B395" t="s">
        <v>131</v>
      </c>
      <c r="C395">
        <v>24</v>
      </c>
      <c r="D395" t="s">
        <v>108</v>
      </c>
      <c r="E395" t="s">
        <v>109</v>
      </c>
      <c r="F395" t="s">
        <v>80</v>
      </c>
      <c r="G395">
        <v>1190.94390280891</v>
      </c>
      <c r="H395">
        <v>0</v>
      </c>
      <c r="I395" t="str">
        <f>OutputTable[[#This Row],[ProjectName]]&amp;OutputTable[[#This Row],[Name]]&amp;OutputTable[[#This Row],[Type]]&amp;OutputTable[[#This Row],[Source]]</f>
        <v>PacientesProcess 2 Accum VA TimeAccum VA TimeProcess</v>
      </c>
      <c r="J395" cm="1">
        <f t="array" ref="J395">MAX(IF((ProjectInfoTable[ProjectName]=OutputTable[[#This Row],[ProjectName]]),(ProjectInfoTable[ProjectName]=OutputTable[[#This Row],[ProjectName]])*ProjectInfoTable[NumberOfReplications]))</f>
        <v>50</v>
      </c>
      <c r="K395" cm="1">
        <f t="array" ref="K395">IFERROR(AVERAGE(IF((OutputTable[GroupByKey]=OutputTable[[#This Row],[GroupByKey]]),(OutputTable[GroupByKey]=OutputTable[[#This Row],[GroupByKey]])*OutputTable[RecordedValue])),0)</f>
        <v>1181.1234936767919</v>
      </c>
      <c r="L395" cm="1">
        <f t="array" ref="L395">IFERROR(_xlfn.STDEV.S(IF((OutputTable[GroupByKey]=OutputTable[[#This Row],[GroupByKey]]),(OutputTable[GroupByKey]=OutputTable[[#This Row],[GroupByKey]])*OutputTable[RecordedValue])),0)</f>
        <v>22.169313666927575</v>
      </c>
      <c r="M39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395" cm="1">
        <f t="array" ref="O395">MIN(IF((OutputTable[GroupByKey]=OutputTable[[#This Row],[GroupByKey]]),(OutputTable[GroupByKey]=OutputTable[[#This Row],[GroupByKey]])*OutputTable[RecordedValue]))</f>
        <v>1133.24622318414</v>
      </c>
      <c r="P395" cm="1">
        <f t="array" ref="P395">MAX(IF((OutputTable[GroupByKey]=OutputTable[[#This Row],[GroupByKey]]),(OutputTable[GroupByKey]=OutputTable[[#This Row],[GroupByKey]])*OutputTable[RecordedValue]))</f>
        <v>1230.9493287309799</v>
      </c>
    </row>
    <row r="396" spans="1:16" x14ac:dyDescent="0.25">
      <c r="A396" t="s">
        <v>68</v>
      </c>
      <c r="B396" t="s">
        <v>131</v>
      </c>
      <c r="C396">
        <v>24</v>
      </c>
      <c r="D396" t="s">
        <v>110</v>
      </c>
      <c r="E396" t="s">
        <v>111</v>
      </c>
      <c r="F396" t="s">
        <v>80</v>
      </c>
      <c r="G396">
        <v>3119.3494399857</v>
      </c>
      <c r="H396">
        <v>0</v>
      </c>
      <c r="I396" t="str">
        <f>OutputTable[[#This Row],[ProjectName]]&amp;OutputTable[[#This Row],[Name]]&amp;OutputTable[[#This Row],[Type]]&amp;OutputTable[[#This Row],[Source]]</f>
        <v>PacientesProcess 2 Accum Wait TimeAccum Wait TimeProcess</v>
      </c>
      <c r="J396" cm="1">
        <f t="array" ref="J396">MAX(IF((ProjectInfoTable[ProjectName]=OutputTable[[#This Row],[ProjectName]]),(ProjectInfoTable[ProjectName]=OutputTable[[#This Row],[ProjectName]])*ProjectInfoTable[NumberOfReplications]))</f>
        <v>50</v>
      </c>
      <c r="K396" cm="1">
        <f t="array" ref="K396">IFERROR(AVERAGE(IF((OutputTable[GroupByKey]=OutputTable[[#This Row],[GroupByKey]]),(OutputTable[GroupByKey]=OutputTable[[#This Row],[GroupByKey]])*OutputTable[RecordedValue])),0)</f>
        <v>1938.7515507466894</v>
      </c>
      <c r="L396" cm="1">
        <f t="array" ref="L396">IFERROR(_xlfn.STDEV.S(IF((OutputTable[GroupByKey]=OutputTable[[#This Row],[GroupByKey]]),(OutputTable[GroupByKey]=OutputTable[[#This Row],[GroupByKey]])*OutputTable[RecordedValue])),0)</f>
        <v>534.03396241838232</v>
      </c>
      <c r="M396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396" cm="1">
        <f t="array" ref="O396">MIN(IF((OutputTable[GroupByKey]=OutputTable[[#This Row],[GroupByKey]]),(OutputTable[GroupByKey]=OutputTable[[#This Row],[GroupByKey]])*OutputTable[RecordedValue]))</f>
        <v>1234.7567994731401</v>
      </c>
      <c r="P396" cm="1">
        <f t="array" ref="P396">MAX(IF((OutputTable[GroupByKey]=OutputTable[[#This Row],[GroupByKey]]),(OutputTable[GroupByKey]=OutputTable[[#This Row],[GroupByKey]])*OutputTable[RecordedValue]))</f>
        <v>3269.0858002883801</v>
      </c>
    </row>
    <row r="397" spans="1:16" x14ac:dyDescent="0.25">
      <c r="A397" t="s">
        <v>68</v>
      </c>
      <c r="B397" t="s">
        <v>131</v>
      </c>
      <c r="C397">
        <v>24</v>
      </c>
      <c r="D397" t="s">
        <v>112</v>
      </c>
      <c r="E397" t="s">
        <v>105</v>
      </c>
      <c r="F397" t="s">
        <v>80</v>
      </c>
      <c r="G397">
        <v>2422</v>
      </c>
      <c r="H397">
        <v>0</v>
      </c>
      <c r="I397" t="str">
        <f>OutputTable[[#This Row],[ProjectName]]&amp;OutputTable[[#This Row],[Name]]&amp;OutputTable[[#This Row],[Type]]&amp;OutputTable[[#This Row],[Source]]</f>
        <v>PacientesProcess 2 Number InNumber InProcess</v>
      </c>
      <c r="J397" cm="1">
        <f t="array" ref="J397">MAX(IF((ProjectInfoTable[ProjectName]=OutputTable[[#This Row],[ProjectName]]),(ProjectInfoTable[ProjectName]=OutputTable[[#This Row],[ProjectName]])*ProjectInfoTable[NumberOfReplications]))</f>
        <v>50</v>
      </c>
      <c r="K397" cm="1">
        <f t="array" ref="K397">IFERROR(AVERAGE(IF((OutputTable[GroupByKey]=OutputTable[[#This Row],[GroupByKey]]),(OutputTable[GroupByKey]=OutputTable[[#This Row],[GroupByKey]])*OutputTable[RecordedValue])),0)</f>
        <v>2404.2399999999998</v>
      </c>
      <c r="L397" cm="1">
        <f t="array" ref="L397">IFERROR(_xlfn.STDEV.S(IF((OutputTable[GroupByKey]=OutputTable[[#This Row],[GroupByKey]]),(OutputTable[GroupByKey]=OutputTable[[#This Row],[GroupByKey]])*OutputTable[RecordedValue])),0)</f>
        <v>46.574303154053879</v>
      </c>
      <c r="M397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397" cm="1">
        <f t="array" ref="O397">MIN(IF((OutputTable[GroupByKey]=OutputTable[[#This Row],[GroupByKey]]),(OutputTable[GroupByKey]=OutputTable[[#This Row],[GroupByKey]])*OutputTable[RecordedValue]))</f>
        <v>2306</v>
      </c>
      <c r="P397" cm="1">
        <f t="array" ref="P397">MAX(IF((OutputTable[GroupByKey]=OutputTable[[#This Row],[GroupByKey]]),(OutputTable[GroupByKey]=OutputTable[[#This Row],[GroupByKey]])*OutputTable[RecordedValue]))</f>
        <v>2518</v>
      </c>
    </row>
    <row r="398" spans="1:16" x14ac:dyDescent="0.25">
      <c r="A398" t="s">
        <v>68</v>
      </c>
      <c r="B398" t="s">
        <v>131</v>
      </c>
      <c r="C398">
        <v>24</v>
      </c>
      <c r="D398" t="s">
        <v>113</v>
      </c>
      <c r="E398" t="s">
        <v>107</v>
      </c>
      <c r="F398" t="s">
        <v>80</v>
      </c>
      <c r="G398">
        <v>2420</v>
      </c>
      <c r="H398">
        <v>0</v>
      </c>
      <c r="I398" t="str">
        <f>OutputTable[[#This Row],[ProjectName]]&amp;OutputTable[[#This Row],[Name]]&amp;OutputTable[[#This Row],[Type]]&amp;OutputTable[[#This Row],[Source]]</f>
        <v>PacientesProcess 2 Number OutNumber OutProcess</v>
      </c>
      <c r="J398" cm="1">
        <f t="array" ref="J398">MAX(IF((ProjectInfoTable[ProjectName]=OutputTable[[#This Row],[ProjectName]]),(ProjectInfoTable[ProjectName]=OutputTable[[#This Row],[ProjectName]])*ProjectInfoTable[NumberOfReplications]))</f>
        <v>50</v>
      </c>
      <c r="K398" cm="1">
        <f t="array" ref="K398">IFERROR(AVERAGE(IF((OutputTable[GroupByKey]=OutputTable[[#This Row],[GroupByKey]]),(OutputTable[GroupByKey]=OutputTable[[#This Row],[GroupByKey]])*OutputTable[RecordedValue])),0)</f>
        <v>2400.2800000000002</v>
      </c>
      <c r="L398" cm="1">
        <f t="array" ref="L398">IFERROR(_xlfn.STDEV.S(IF((OutputTable[GroupByKey]=OutputTable[[#This Row],[GroupByKey]]),(OutputTable[GroupByKey]=OutputTable[[#This Row],[GroupByKey]])*OutputTable[RecordedValue])),0)</f>
        <v>46.409024456676619</v>
      </c>
      <c r="M398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398" cm="1">
        <f t="array" ref="O398">MIN(IF((OutputTable[GroupByKey]=OutputTable[[#This Row],[GroupByKey]]),(OutputTable[GroupByKey]=OutputTable[[#This Row],[GroupByKey]])*OutputTable[RecordedValue]))</f>
        <v>2305</v>
      </c>
      <c r="P398" cm="1">
        <f t="array" ref="P398">MAX(IF((OutputTable[GroupByKey]=OutputTable[[#This Row],[GroupByKey]]),(OutputTable[GroupByKey]=OutputTable[[#This Row],[GroupByKey]])*OutputTable[RecordedValue]))</f>
        <v>2504</v>
      </c>
    </row>
    <row r="399" spans="1:16" x14ac:dyDescent="0.25">
      <c r="A399" t="s">
        <v>68</v>
      </c>
      <c r="B399" t="s">
        <v>131</v>
      </c>
      <c r="C399">
        <v>24</v>
      </c>
      <c r="D399" t="s">
        <v>114</v>
      </c>
      <c r="E399" t="s">
        <v>109</v>
      </c>
      <c r="F399" t="s">
        <v>80</v>
      </c>
      <c r="G399">
        <v>342.90219487029901</v>
      </c>
      <c r="H399">
        <v>0</v>
      </c>
      <c r="I399" t="str">
        <f>OutputTable[[#This Row],[ProjectName]]&amp;OutputTable[[#This Row],[Name]]&amp;OutputTable[[#This Row],[Type]]&amp;OutputTable[[#This Row],[Source]]</f>
        <v>PacientesRegistro Accum VA TimeAccum VA TimeProcess</v>
      </c>
      <c r="J399" cm="1">
        <f t="array" ref="J399">MAX(IF((ProjectInfoTable[ProjectName]=OutputTable[[#This Row],[ProjectName]]),(ProjectInfoTable[ProjectName]=OutputTable[[#This Row],[ProjectName]])*ProjectInfoTable[NumberOfReplications]))</f>
        <v>50</v>
      </c>
      <c r="K399" cm="1">
        <f t="array" ref="K399">IFERROR(AVERAGE(IF((OutputTable[GroupByKey]=OutputTable[[#This Row],[GroupByKey]]),(OutputTable[GroupByKey]=OutputTable[[#This Row],[GroupByKey]])*OutputTable[RecordedValue])),0)</f>
        <v>339.53547737062786</v>
      </c>
      <c r="L399" cm="1">
        <f t="array" ref="L399">IFERROR(_xlfn.STDEV.S(IF((OutputTable[GroupByKey]=OutputTable[[#This Row],[GroupByKey]]),(OutputTable[GroupByKey]=OutputTable[[#This Row],[GroupByKey]])*OutputTable[RecordedValue])),0)</f>
        <v>6.9723666109353193</v>
      </c>
      <c r="M399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399" cm="1">
        <f t="array" ref="O399">MIN(IF((OutputTable[GroupByKey]=OutputTable[[#This Row],[GroupByKey]]),(OutputTable[GroupByKey]=OutputTable[[#This Row],[GroupByKey]])*OutputTable[RecordedValue]))</f>
        <v>325.606879158418</v>
      </c>
      <c r="P399" cm="1">
        <f t="array" ref="P399">MAX(IF((OutputTable[GroupByKey]=OutputTable[[#This Row],[GroupByKey]]),(OutputTable[GroupByKey]=OutputTable[[#This Row],[GroupByKey]])*OutputTable[RecordedValue]))</f>
        <v>357.77609013379703</v>
      </c>
    </row>
    <row r="400" spans="1:16" x14ac:dyDescent="0.25">
      <c r="A400" t="s">
        <v>68</v>
      </c>
      <c r="B400" t="s">
        <v>131</v>
      </c>
      <c r="C400">
        <v>24</v>
      </c>
      <c r="D400" t="s">
        <v>115</v>
      </c>
      <c r="E400" t="s">
        <v>111</v>
      </c>
      <c r="F400" t="s">
        <v>80</v>
      </c>
      <c r="G400">
        <v>162.30163013722901</v>
      </c>
      <c r="H400">
        <v>0</v>
      </c>
      <c r="I400" t="str">
        <f>OutputTable[[#This Row],[ProjectName]]&amp;OutputTable[[#This Row],[Name]]&amp;OutputTable[[#This Row],[Type]]&amp;OutputTable[[#This Row],[Source]]</f>
        <v>PacientesRegistro Accum Wait TimeAccum Wait TimeProcess</v>
      </c>
      <c r="J400" cm="1">
        <f t="array" ref="J400">MAX(IF((ProjectInfoTable[ProjectName]=OutputTable[[#This Row],[ProjectName]]),(ProjectInfoTable[ProjectName]=OutputTable[[#This Row],[ProjectName]])*ProjectInfoTable[NumberOfReplications]))</f>
        <v>50</v>
      </c>
      <c r="K400" cm="1">
        <f t="array" ref="K400">IFERROR(AVERAGE(IF((OutputTable[GroupByKey]=OutputTable[[#This Row],[GroupByKey]]),(OutputTable[GroupByKey]=OutputTable[[#This Row],[GroupByKey]])*OutputTable[RecordedValue])),0)</f>
        <v>154.15303898127775</v>
      </c>
      <c r="L400" cm="1">
        <f t="array" ref="L400">IFERROR(_xlfn.STDEV.S(IF((OutputTable[GroupByKey]=OutputTable[[#This Row],[GroupByKey]]),(OutputTable[GroupByKey]=OutputTable[[#This Row],[GroupByKey]])*OutputTable[RecordedValue])),0)</f>
        <v>12.141439184615397</v>
      </c>
      <c r="M400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400" cm="1">
        <f t="array" ref="O400">MIN(IF((OutputTable[GroupByKey]=OutputTable[[#This Row],[GroupByKey]]),(OutputTable[GroupByKey]=OutputTable[[#This Row],[GroupByKey]])*OutputTable[RecordedValue]))</f>
        <v>123.901613974094</v>
      </c>
      <c r="P400" cm="1">
        <f t="array" ref="P400">MAX(IF((OutputTable[GroupByKey]=OutputTable[[#This Row],[GroupByKey]]),(OutputTable[GroupByKey]=OutputTable[[#This Row],[GroupByKey]])*OutputTable[RecordedValue]))</f>
        <v>178.441307284473</v>
      </c>
    </row>
    <row r="401" spans="1:16" x14ac:dyDescent="0.25">
      <c r="A401" t="s">
        <v>68</v>
      </c>
      <c r="B401" t="s">
        <v>131</v>
      </c>
      <c r="C401">
        <v>24</v>
      </c>
      <c r="D401" t="s">
        <v>116</v>
      </c>
      <c r="E401" t="s">
        <v>105</v>
      </c>
      <c r="F401" t="s">
        <v>80</v>
      </c>
      <c r="G401">
        <v>2283</v>
      </c>
      <c r="H401">
        <v>0</v>
      </c>
      <c r="I401" t="str">
        <f>OutputTable[[#This Row],[ProjectName]]&amp;OutputTable[[#This Row],[Name]]&amp;OutputTable[[#This Row],[Type]]&amp;OutputTable[[#This Row],[Source]]</f>
        <v>PacientesRegistro Number InNumber InProcess</v>
      </c>
      <c r="J401" cm="1">
        <f t="array" ref="J401">MAX(IF((ProjectInfoTable[ProjectName]=OutputTable[[#This Row],[ProjectName]]),(ProjectInfoTable[ProjectName]=OutputTable[[#This Row],[ProjectName]])*ProjectInfoTable[NumberOfReplications]))</f>
        <v>50</v>
      </c>
      <c r="K401" cm="1">
        <f t="array" ref="K401">IFERROR(AVERAGE(IF((OutputTable[GroupByKey]=OutputTable[[#This Row],[GroupByKey]]),(OutputTable[GroupByKey]=OutputTable[[#This Row],[GroupByKey]])*OutputTable[RecordedValue])),0)</f>
        <v>2263.2399999999998</v>
      </c>
      <c r="L401" cm="1">
        <f t="array" ref="L401">IFERROR(_xlfn.STDEV.S(IF((OutputTable[GroupByKey]=OutputTable[[#This Row],[GroupByKey]]),(OutputTable[GroupByKey]=OutputTable[[#This Row],[GroupByKey]])*OutputTable[RecordedValue])),0)</f>
        <v>47.331035682472766</v>
      </c>
      <c r="M401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401" cm="1">
        <f t="array" ref="O401">MIN(IF((OutputTable[GroupByKey]=OutputTable[[#This Row],[GroupByKey]]),(OutputTable[GroupByKey]=OutputTable[[#This Row],[GroupByKey]])*OutputTable[RecordedValue]))</f>
        <v>2172</v>
      </c>
      <c r="P401" cm="1">
        <f t="array" ref="P401">MAX(IF((OutputTable[GroupByKey]=OutputTable[[#This Row],[GroupByKey]]),(OutputTable[GroupByKey]=OutputTable[[#This Row],[GroupByKey]])*OutputTable[RecordedValue]))</f>
        <v>2386</v>
      </c>
    </row>
    <row r="402" spans="1:16" x14ac:dyDescent="0.25">
      <c r="A402" t="s">
        <v>68</v>
      </c>
      <c r="B402" t="s">
        <v>131</v>
      </c>
      <c r="C402">
        <v>24</v>
      </c>
      <c r="D402" t="s">
        <v>117</v>
      </c>
      <c r="E402" t="s">
        <v>107</v>
      </c>
      <c r="F402" t="s">
        <v>80</v>
      </c>
      <c r="G402">
        <v>2282</v>
      </c>
      <c r="H402">
        <v>0</v>
      </c>
      <c r="I402" t="str">
        <f>OutputTable[[#This Row],[ProjectName]]&amp;OutputTable[[#This Row],[Name]]&amp;OutputTable[[#This Row],[Type]]&amp;OutputTable[[#This Row],[Source]]</f>
        <v>PacientesRegistro Number OutNumber OutProcess</v>
      </c>
      <c r="J402" cm="1">
        <f t="array" ref="J402">MAX(IF((ProjectInfoTable[ProjectName]=OutputTable[[#This Row],[ProjectName]]),(ProjectInfoTable[ProjectName]=OutputTable[[#This Row],[ProjectName]])*ProjectInfoTable[NumberOfReplications]))</f>
        <v>50</v>
      </c>
      <c r="K402" cm="1">
        <f t="array" ref="K402">IFERROR(AVERAGE(IF((OutputTable[GroupByKey]=OutputTable[[#This Row],[GroupByKey]]),(OutputTable[GroupByKey]=OutputTable[[#This Row],[GroupByKey]])*OutputTable[RecordedValue])),0)</f>
        <v>2262.66</v>
      </c>
      <c r="L402" cm="1">
        <f t="array" ref="L402">IFERROR(_xlfn.STDEV.S(IF((OutputTable[GroupByKey]=OutputTable[[#This Row],[GroupByKey]]),(OutputTable[GroupByKey]=OutputTable[[#This Row],[GroupByKey]])*OutputTable[RecordedValue])),0)</f>
        <v>47.488176831454687</v>
      </c>
      <c r="M402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402" cm="1">
        <f t="array" ref="O402">MIN(IF((OutputTable[GroupByKey]=OutputTable[[#This Row],[GroupByKey]]),(OutputTable[GroupByKey]=OutputTable[[#This Row],[GroupByKey]])*OutputTable[RecordedValue]))</f>
        <v>2171</v>
      </c>
      <c r="P402" cm="1">
        <f t="array" ref="P402">MAX(IF((OutputTable[GroupByKey]=OutputTable[[#This Row],[GroupByKey]]),(OutputTable[GroupByKey]=OutputTable[[#This Row],[GroupByKey]])*OutputTable[RecordedValue]))</f>
        <v>2386</v>
      </c>
    </row>
    <row r="403" spans="1:16" x14ac:dyDescent="0.25">
      <c r="A403" t="s">
        <v>68</v>
      </c>
      <c r="B403" t="s">
        <v>131</v>
      </c>
      <c r="C403">
        <v>24</v>
      </c>
      <c r="D403" t="s">
        <v>118</v>
      </c>
      <c r="E403" t="s">
        <v>107</v>
      </c>
      <c r="F403" t="s">
        <v>119</v>
      </c>
      <c r="G403">
        <v>2420</v>
      </c>
      <c r="H403">
        <v>0</v>
      </c>
      <c r="I403" t="str">
        <f>OutputTable[[#This Row],[ProjectName]]&amp;OutputTable[[#This Row],[Name]]&amp;OutputTable[[#This Row],[Type]]&amp;OutputTable[[#This Row],[Source]]</f>
        <v>PacientesSystem.NumberOutNumber OutSystem</v>
      </c>
      <c r="J403" cm="1">
        <f t="array" ref="J403">MAX(IF((ProjectInfoTable[ProjectName]=OutputTable[[#This Row],[ProjectName]]),(ProjectInfoTable[ProjectName]=OutputTable[[#This Row],[ProjectName]])*ProjectInfoTable[NumberOfReplications]))</f>
        <v>50</v>
      </c>
      <c r="K403" cm="1">
        <f t="array" ref="K403">IFERROR(AVERAGE(IF((OutputTable[GroupByKey]=OutputTable[[#This Row],[GroupByKey]]),(OutputTable[GroupByKey]=OutputTable[[#This Row],[GroupByKey]])*OutputTable[RecordedValue])),0)</f>
        <v>2400.2800000000002</v>
      </c>
      <c r="L403" cm="1">
        <f t="array" ref="L403">IFERROR(_xlfn.STDEV.S(IF((OutputTable[GroupByKey]=OutputTable[[#This Row],[GroupByKey]]),(OutputTable[GroupByKey]=OutputTable[[#This Row],[GroupByKey]])*OutputTable[RecordedValue])),0)</f>
        <v>46.409024456676619</v>
      </c>
      <c r="M403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03" cm="1">
        <f t="array" ref="O403">MIN(IF((OutputTable[GroupByKey]=OutputTable[[#This Row],[GroupByKey]]),(OutputTable[GroupByKey]=OutputTable[[#This Row],[GroupByKey]])*OutputTable[RecordedValue]))</f>
        <v>2305</v>
      </c>
      <c r="P403" cm="1">
        <f t="array" ref="P403">MAX(IF((OutputTable[GroupByKey]=OutputTable[[#This Row],[GroupByKey]]),(OutputTable[GroupByKey]=OutputTable[[#This Row],[GroupByKey]])*OutputTable[RecordedValue]))</f>
        <v>2504</v>
      </c>
    </row>
    <row r="404" spans="1:16" x14ac:dyDescent="0.25">
      <c r="A404" t="s">
        <v>68</v>
      </c>
      <c r="B404" t="s">
        <v>131</v>
      </c>
      <c r="C404">
        <v>24</v>
      </c>
      <c r="D404" t="s">
        <v>120</v>
      </c>
      <c r="E404" t="s">
        <v>121</v>
      </c>
      <c r="F404" t="s">
        <v>99</v>
      </c>
      <c r="G404">
        <v>2422</v>
      </c>
      <c r="H404">
        <v>0</v>
      </c>
      <c r="I404" t="str">
        <f>OutputTable[[#This Row],[ProjectName]]&amp;OutputTable[[#This Row],[Name]]&amp;OutputTable[[#This Row],[Type]]&amp;OutputTable[[#This Row],[Source]]</f>
        <v>PacientesrCamas.NumberSeizedTotal Number SeizedResource</v>
      </c>
      <c r="J404" cm="1">
        <f t="array" ref="J404">MAX(IF((ProjectInfoTable[ProjectName]=OutputTable[[#This Row],[ProjectName]]),(ProjectInfoTable[ProjectName]=OutputTable[[#This Row],[ProjectName]])*ProjectInfoTable[NumberOfReplications]))</f>
        <v>50</v>
      </c>
      <c r="K404" cm="1">
        <f t="array" ref="K404">IFERROR(AVERAGE(IF((OutputTable[GroupByKey]=OutputTable[[#This Row],[GroupByKey]]),(OutputTable[GroupByKey]=OutputTable[[#This Row],[GroupByKey]])*OutputTable[RecordedValue])),0)</f>
        <v>2401.9</v>
      </c>
      <c r="L404" cm="1">
        <f t="array" ref="L404">IFERROR(_xlfn.STDEV.S(IF((OutputTable[GroupByKey]=OutputTable[[#This Row],[GroupByKey]]),(OutputTable[GroupByKey]=OutputTable[[#This Row],[GroupByKey]])*OutputTable[RecordedValue])),0)</f>
        <v>46.417031532903209</v>
      </c>
      <c r="M404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04" cm="1">
        <f t="array" ref="O404">MIN(IF((OutputTable[GroupByKey]=OutputTable[[#This Row],[GroupByKey]]),(OutputTable[GroupByKey]=OutputTable[[#This Row],[GroupByKey]])*OutputTable[RecordedValue]))</f>
        <v>2306</v>
      </c>
      <c r="P404" cm="1">
        <f t="array" ref="P404">MAX(IF((OutputTable[GroupByKey]=OutputTable[[#This Row],[GroupByKey]]),(OutputTable[GroupByKey]=OutputTable[[#This Row],[GroupByKey]])*OutputTable[RecordedValue]))</f>
        <v>2506</v>
      </c>
    </row>
    <row r="405" spans="1:16" x14ac:dyDescent="0.25">
      <c r="A405" t="s">
        <v>68</v>
      </c>
      <c r="B405" t="s">
        <v>131</v>
      </c>
      <c r="C405">
        <v>24</v>
      </c>
      <c r="D405" t="s">
        <v>122</v>
      </c>
      <c r="E405" t="s">
        <v>123</v>
      </c>
      <c r="F405" t="s">
        <v>99</v>
      </c>
      <c r="G405">
        <v>0.55149324326831894</v>
      </c>
      <c r="H405">
        <v>0</v>
      </c>
      <c r="I405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405" cm="1">
        <f t="array" ref="J405">MAX(IF((ProjectInfoTable[ProjectName]=OutputTable[[#This Row],[ProjectName]]),(ProjectInfoTable[ProjectName]=OutputTable[[#This Row],[ProjectName]])*ProjectInfoTable[NumberOfReplications]))</f>
        <v>50</v>
      </c>
      <c r="K405" cm="1">
        <f t="array" ref="K405">IFERROR(AVERAGE(IF((OutputTable[GroupByKey]=OutputTable[[#This Row],[GroupByKey]]),(OutputTable[GroupByKey]=OutputTable[[#This Row],[GroupByKey]])*OutputTable[RecordedValue])),0)</f>
        <v>0.54703961359050601</v>
      </c>
      <c r="L405" cm="1">
        <f t="array" ref="L405">IFERROR(_xlfn.STDEV.S(IF((OutputTable[GroupByKey]=OutputTable[[#This Row],[GroupByKey]]),(OutputTable[GroupByKey]=OutputTable[[#This Row],[GroupByKey]])*OutputTable[RecordedValue])),0)</f>
        <v>1.0221170008030479E-2</v>
      </c>
      <c r="M40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405" cm="1">
        <f t="array" ref="O405">MIN(IF((OutputTable[GroupByKey]=OutputTable[[#This Row],[GroupByKey]]),(OutputTable[GroupByKey]=OutputTable[[#This Row],[GroupByKey]])*OutputTable[RecordedValue]))</f>
        <v>0.52470641844357901</v>
      </c>
      <c r="P405" cm="1">
        <f t="array" ref="P405">MAX(IF((OutputTable[GroupByKey]=OutputTable[[#This Row],[GroupByKey]]),(OutputTable[GroupByKey]=OutputTable[[#This Row],[GroupByKey]])*OutputTable[RecordedValue]))</f>
        <v>0.57005812966092295</v>
      </c>
    </row>
    <row r="406" spans="1:16" x14ac:dyDescent="0.25">
      <c r="A406" t="s">
        <v>68</v>
      </c>
      <c r="B406" t="s">
        <v>131</v>
      </c>
      <c r="C406">
        <v>24</v>
      </c>
      <c r="D406" t="s">
        <v>124</v>
      </c>
      <c r="E406" t="s">
        <v>121</v>
      </c>
      <c r="F406" t="s">
        <v>99</v>
      </c>
      <c r="G406">
        <v>2422</v>
      </c>
      <c r="H406">
        <v>0</v>
      </c>
      <c r="I406" t="str">
        <f>OutputTable[[#This Row],[ProjectName]]&amp;OutputTable[[#This Row],[Name]]&amp;OutputTable[[#This Row],[Type]]&amp;OutputTable[[#This Row],[Source]]</f>
        <v>PacientesrMedico.NumberSeizedTotal Number SeizedResource</v>
      </c>
      <c r="J406" cm="1">
        <f t="array" ref="J406">MAX(IF((ProjectInfoTable[ProjectName]=OutputTable[[#This Row],[ProjectName]]),(ProjectInfoTable[ProjectName]=OutputTable[[#This Row],[ProjectName]])*ProjectInfoTable[NumberOfReplications]))</f>
        <v>50</v>
      </c>
      <c r="K406" cm="1">
        <f t="array" ref="K406">IFERROR(AVERAGE(IF((OutputTable[GroupByKey]=OutputTable[[#This Row],[GroupByKey]]),(OutputTable[GroupByKey]=OutputTable[[#This Row],[GroupByKey]])*OutputTable[RecordedValue])),0)</f>
        <v>2401.9</v>
      </c>
      <c r="L406" cm="1">
        <f t="array" ref="L406">IFERROR(_xlfn.STDEV.S(IF((OutputTable[GroupByKey]=OutputTable[[#This Row],[GroupByKey]]),(OutputTable[GroupByKey]=OutputTable[[#This Row],[GroupByKey]])*OutputTable[RecordedValue])),0)</f>
        <v>46.417031532903209</v>
      </c>
      <c r="M406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06" cm="1">
        <f t="array" ref="O406">MIN(IF((OutputTable[GroupByKey]=OutputTable[[#This Row],[GroupByKey]]),(OutputTable[GroupByKey]=OutputTable[[#This Row],[GroupByKey]])*OutputTable[RecordedValue]))</f>
        <v>2306</v>
      </c>
      <c r="P406" cm="1">
        <f t="array" ref="P406">MAX(IF((OutputTable[GroupByKey]=OutputTable[[#This Row],[GroupByKey]]),(OutputTable[GroupByKey]=OutputTable[[#This Row],[GroupByKey]])*OutputTable[RecordedValue]))</f>
        <v>2506</v>
      </c>
    </row>
    <row r="407" spans="1:16" x14ac:dyDescent="0.25">
      <c r="A407" t="s">
        <v>68</v>
      </c>
      <c r="B407" t="s">
        <v>131</v>
      </c>
      <c r="C407">
        <v>24</v>
      </c>
      <c r="D407" t="s">
        <v>125</v>
      </c>
      <c r="E407" t="s">
        <v>123</v>
      </c>
      <c r="F407" t="s">
        <v>99</v>
      </c>
      <c r="G407">
        <v>0.82723986490247903</v>
      </c>
      <c r="H407">
        <v>0</v>
      </c>
      <c r="I407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407" cm="1">
        <f t="array" ref="J407">MAX(IF((ProjectInfoTable[ProjectName]=OutputTable[[#This Row],[ProjectName]]),(ProjectInfoTable[ProjectName]=OutputTable[[#This Row],[ProjectName]])*ProjectInfoTable[NumberOfReplications]))</f>
        <v>50</v>
      </c>
      <c r="K407" cm="1">
        <f t="array" ref="K407">IFERROR(AVERAGE(IF((OutputTable[GroupByKey]=OutputTable[[#This Row],[GroupByKey]]),(OutputTable[GroupByKey]=OutputTable[[#This Row],[GroupByKey]])*OutputTable[RecordedValue])),0)</f>
        <v>0.82055942038575935</v>
      </c>
      <c r="L407" cm="1">
        <f t="array" ref="L407">IFERROR(_xlfn.STDEV.S(IF((OutputTable[GroupByKey]=OutputTable[[#This Row],[GroupByKey]]),(OutputTable[GroupByKey]=OutputTable[[#This Row],[GroupByKey]])*OutputTable[RecordedValue])),0)</f>
        <v>1.5331755012045719E-2</v>
      </c>
      <c r="M407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407" cm="1">
        <f t="array" ref="O407">MIN(IF((OutputTable[GroupByKey]=OutputTable[[#This Row],[GroupByKey]]),(OutputTable[GroupByKey]=OutputTable[[#This Row],[GroupByKey]])*OutputTable[RecordedValue]))</f>
        <v>0.78705962766536897</v>
      </c>
      <c r="P407" cm="1">
        <f t="array" ref="P407">MAX(IF((OutputTable[GroupByKey]=OutputTable[[#This Row],[GroupByKey]]),(OutputTable[GroupByKey]=OutputTable[[#This Row],[GroupByKey]])*OutputTable[RecordedValue]))</f>
        <v>0.85508719449138504</v>
      </c>
    </row>
    <row r="408" spans="1:16" x14ac:dyDescent="0.25">
      <c r="A408" t="s">
        <v>68</v>
      </c>
      <c r="B408" t="s">
        <v>131</v>
      </c>
      <c r="C408">
        <v>24</v>
      </c>
      <c r="D408" t="s">
        <v>126</v>
      </c>
      <c r="E408" t="s">
        <v>121</v>
      </c>
      <c r="F408" t="s">
        <v>99</v>
      </c>
      <c r="G408">
        <v>2283</v>
      </c>
      <c r="H408">
        <v>0</v>
      </c>
      <c r="I408" t="str">
        <f>OutputTable[[#This Row],[ProjectName]]&amp;OutputTable[[#This Row],[Name]]&amp;OutputTable[[#This Row],[Type]]&amp;OutputTable[[#This Row],[Source]]</f>
        <v>PacientesrRegistradora.NumberSeizedTotal Number SeizedResource</v>
      </c>
      <c r="J408" cm="1">
        <f t="array" ref="J408">MAX(IF((ProjectInfoTable[ProjectName]=OutputTable[[#This Row],[ProjectName]]),(ProjectInfoTable[ProjectName]=OutputTable[[#This Row],[ProjectName]])*ProjectInfoTable[NumberOfReplications]))</f>
        <v>50</v>
      </c>
      <c r="K408" cm="1">
        <f t="array" ref="K408">IFERROR(AVERAGE(IF((OutputTable[GroupByKey]=OutputTable[[#This Row],[GroupByKey]]),(OutputTable[GroupByKey]=OutputTable[[#This Row],[GroupByKey]])*OutputTable[RecordedValue])),0)</f>
        <v>2263.14</v>
      </c>
      <c r="L408" cm="1">
        <f t="array" ref="L408">IFERROR(_xlfn.STDEV.S(IF((OutputTable[GroupByKey]=OutputTable[[#This Row],[GroupByKey]]),(OutputTable[GroupByKey]=OutputTable[[#This Row],[GroupByKey]])*OutputTable[RecordedValue])),0)</f>
        <v>47.386818971575821</v>
      </c>
      <c r="M408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408" cm="1">
        <f t="array" ref="O408">MIN(IF((OutputTable[GroupByKey]=OutputTable[[#This Row],[GroupByKey]]),(OutputTable[GroupByKey]=OutputTable[[#This Row],[GroupByKey]])*OutputTable[RecordedValue]))</f>
        <v>2172</v>
      </c>
      <c r="P408" cm="1">
        <f t="array" ref="P408">MAX(IF((OutputTable[GroupByKey]=OutputTable[[#This Row],[GroupByKey]]),(OutputTable[GroupByKey]=OutputTable[[#This Row],[GroupByKey]])*OutputTable[RecordedValue]))</f>
        <v>2386</v>
      </c>
    </row>
    <row r="409" spans="1:16" x14ac:dyDescent="0.25">
      <c r="A409" t="s">
        <v>68</v>
      </c>
      <c r="B409" t="s">
        <v>131</v>
      </c>
      <c r="C409">
        <v>24</v>
      </c>
      <c r="D409" t="s">
        <v>127</v>
      </c>
      <c r="E409" t="s">
        <v>123</v>
      </c>
      <c r="F409" t="s">
        <v>99</v>
      </c>
      <c r="G409">
        <v>0.47626965680515199</v>
      </c>
      <c r="H409">
        <v>0</v>
      </c>
      <c r="I409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409" cm="1">
        <f t="array" ref="J409">MAX(IF((ProjectInfoTable[ProjectName]=OutputTable[[#This Row],[ProjectName]]),(ProjectInfoTable[ProjectName]=OutputTable[[#This Row],[ProjectName]])*ProjectInfoTable[NumberOfReplications]))</f>
        <v>50</v>
      </c>
      <c r="K409" cm="1">
        <f t="array" ref="K409">IFERROR(AVERAGE(IF((OutputTable[GroupByKey]=OutputTable[[#This Row],[GroupByKey]]),(OutputTable[GroupByKey]=OutputTable[[#This Row],[GroupByKey]])*OutputTable[RecordedValue])),0)</f>
        <v>0.47162762933545666</v>
      </c>
      <c r="L409" cm="1">
        <f t="array" ref="L409">IFERROR(_xlfn.STDEV.S(IF((OutputTable[GroupByKey]=OutputTable[[#This Row],[GroupByKey]]),(OutputTable[GroupByKey]=OutputTable[[#This Row],[GroupByKey]])*OutputTable[RecordedValue])),0)</f>
        <v>9.6615227076777797E-3</v>
      </c>
      <c r="M409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409" cm="1">
        <f t="array" ref="O409">MIN(IF((OutputTable[GroupByKey]=OutputTable[[#This Row],[GroupByKey]]),(OutputTable[GroupByKey]=OutputTable[[#This Row],[GroupByKey]])*OutputTable[RecordedValue]))</f>
        <v>0.452397944183905</v>
      </c>
      <c r="P409" cm="1">
        <f t="array" ref="P409">MAX(IF((OutputTable[GroupByKey]=OutputTable[[#This Row],[GroupByKey]]),(OutputTable[GroupByKey]=OutputTable[[#This Row],[GroupByKey]])*OutputTable[RecordedValue]))</f>
        <v>0.49691123629694001</v>
      </c>
    </row>
    <row r="410" spans="1:16" x14ac:dyDescent="0.25">
      <c r="A410" t="s">
        <v>68</v>
      </c>
      <c r="B410" t="s">
        <v>131</v>
      </c>
      <c r="C410">
        <v>25</v>
      </c>
      <c r="D410" t="s">
        <v>104</v>
      </c>
      <c r="E410" t="s">
        <v>105</v>
      </c>
      <c r="F410" t="s">
        <v>72</v>
      </c>
      <c r="G410">
        <v>2509</v>
      </c>
      <c r="H410">
        <v>0</v>
      </c>
      <c r="I410" t="str">
        <f>OutputTable[[#This Row],[ProjectName]]&amp;OutputTable[[#This Row],[Name]]&amp;OutputTable[[#This Row],[Type]]&amp;OutputTable[[#This Row],[Source]]</f>
        <v>PacientesEntity 1.NumberInNumber InEntity</v>
      </c>
      <c r="J410" cm="1">
        <f t="array" ref="J410">MAX(IF((ProjectInfoTable[ProjectName]=OutputTable[[#This Row],[ProjectName]]),(ProjectInfoTable[ProjectName]=OutputTable[[#This Row],[ProjectName]])*ProjectInfoTable[NumberOfReplications]))</f>
        <v>50</v>
      </c>
      <c r="K410" cm="1">
        <f t="array" ref="K410">IFERROR(AVERAGE(IF((OutputTable[GroupByKey]=OutputTable[[#This Row],[GroupByKey]]),(OutputTable[GroupByKey]=OutputTable[[#This Row],[GroupByKey]])*OutputTable[RecordedValue])),0)</f>
        <v>2404.8200000000002</v>
      </c>
      <c r="L410" cm="1">
        <f t="array" ref="L410">IFERROR(_xlfn.STDEV.S(IF((OutputTable[GroupByKey]=OutputTable[[#This Row],[GroupByKey]]),(OutputTable[GroupByKey]=OutputTable[[#This Row],[GroupByKey]])*OutputTable[RecordedValue])),0)</f>
        <v>46.42953405595474</v>
      </c>
      <c r="M410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410" cm="1">
        <f t="array" ref="O410">MIN(IF((OutputTable[GroupByKey]=OutputTable[[#This Row],[GroupByKey]]),(OutputTable[GroupByKey]=OutputTable[[#This Row],[GroupByKey]])*OutputTable[RecordedValue]))</f>
        <v>2307</v>
      </c>
      <c r="P410" cm="1">
        <f t="array" ref="P410">MAX(IF((OutputTable[GroupByKey]=OutputTable[[#This Row],[GroupByKey]]),(OutputTable[GroupByKey]=OutputTable[[#This Row],[GroupByKey]])*OutputTable[RecordedValue]))</f>
        <v>2518</v>
      </c>
    </row>
    <row r="411" spans="1:16" x14ac:dyDescent="0.25">
      <c r="A411" t="s">
        <v>68</v>
      </c>
      <c r="B411" t="s">
        <v>131</v>
      </c>
      <c r="C411">
        <v>25</v>
      </c>
      <c r="D411" t="s">
        <v>106</v>
      </c>
      <c r="E411" t="s">
        <v>107</v>
      </c>
      <c r="F411" t="s">
        <v>72</v>
      </c>
      <c r="G411">
        <v>2504</v>
      </c>
      <c r="H411">
        <v>0</v>
      </c>
      <c r="I411" t="str">
        <f>OutputTable[[#This Row],[ProjectName]]&amp;OutputTable[[#This Row],[Name]]&amp;OutputTable[[#This Row],[Type]]&amp;OutputTable[[#This Row],[Source]]</f>
        <v>PacientesEntity 1.NumberOutNumber OutEntity</v>
      </c>
      <c r="J411" cm="1">
        <f t="array" ref="J411">MAX(IF((ProjectInfoTable[ProjectName]=OutputTable[[#This Row],[ProjectName]]),(ProjectInfoTable[ProjectName]=OutputTable[[#This Row],[ProjectName]])*ProjectInfoTable[NumberOfReplications]))</f>
        <v>50</v>
      </c>
      <c r="K411" cm="1">
        <f t="array" ref="K411">IFERROR(AVERAGE(IF((OutputTable[GroupByKey]=OutputTable[[#This Row],[GroupByKey]]),(OutputTable[GroupByKey]=OutputTable[[#This Row],[GroupByKey]])*OutputTable[RecordedValue])),0)</f>
        <v>2400.2800000000002</v>
      </c>
      <c r="L411" cm="1">
        <f t="array" ref="L411">IFERROR(_xlfn.STDEV.S(IF((OutputTable[GroupByKey]=OutputTable[[#This Row],[GroupByKey]]),(OutputTable[GroupByKey]=OutputTable[[#This Row],[GroupByKey]])*OutputTable[RecordedValue])),0)</f>
        <v>46.409024456676619</v>
      </c>
      <c r="M411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11" cm="1">
        <f t="array" ref="O411">MIN(IF((OutputTable[GroupByKey]=OutputTable[[#This Row],[GroupByKey]]),(OutputTable[GroupByKey]=OutputTable[[#This Row],[GroupByKey]])*OutputTable[RecordedValue]))</f>
        <v>2305</v>
      </c>
      <c r="P411" cm="1">
        <f t="array" ref="P411">MAX(IF((OutputTable[GroupByKey]=OutputTable[[#This Row],[GroupByKey]]),(OutputTable[GroupByKey]=OutputTable[[#This Row],[GroupByKey]])*OutputTable[RecordedValue]))</f>
        <v>2504</v>
      </c>
    </row>
    <row r="412" spans="1:16" x14ac:dyDescent="0.25">
      <c r="A412" t="s">
        <v>68</v>
      </c>
      <c r="B412" t="s">
        <v>131</v>
      </c>
      <c r="C412">
        <v>25</v>
      </c>
      <c r="D412" t="s">
        <v>108</v>
      </c>
      <c r="E412" t="s">
        <v>109</v>
      </c>
      <c r="F412" t="s">
        <v>80</v>
      </c>
      <c r="G412">
        <v>1230.9493287309799</v>
      </c>
      <c r="H412">
        <v>0</v>
      </c>
      <c r="I412" t="str">
        <f>OutputTable[[#This Row],[ProjectName]]&amp;OutputTable[[#This Row],[Name]]&amp;OutputTable[[#This Row],[Type]]&amp;OutputTable[[#This Row],[Source]]</f>
        <v>PacientesProcess 2 Accum VA TimeAccum VA TimeProcess</v>
      </c>
      <c r="J412" cm="1">
        <f t="array" ref="J412">MAX(IF((ProjectInfoTable[ProjectName]=OutputTable[[#This Row],[ProjectName]]),(ProjectInfoTable[ProjectName]=OutputTable[[#This Row],[ProjectName]])*ProjectInfoTable[NumberOfReplications]))</f>
        <v>50</v>
      </c>
      <c r="K412" cm="1">
        <f t="array" ref="K412">IFERROR(AVERAGE(IF((OutputTable[GroupByKey]=OutputTable[[#This Row],[GroupByKey]]),(OutputTable[GroupByKey]=OutputTable[[#This Row],[GroupByKey]])*OutputTable[RecordedValue])),0)</f>
        <v>1181.1234936767919</v>
      </c>
      <c r="L412" cm="1">
        <f t="array" ref="L412">IFERROR(_xlfn.STDEV.S(IF((OutputTable[GroupByKey]=OutputTable[[#This Row],[GroupByKey]]),(OutputTable[GroupByKey]=OutputTable[[#This Row],[GroupByKey]])*OutputTable[RecordedValue])),0)</f>
        <v>22.169313666927575</v>
      </c>
      <c r="M412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412" cm="1">
        <f t="array" ref="O412">MIN(IF((OutputTable[GroupByKey]=OutputTable[[#This Row],[GroupByKey]]),(OutputTable[GroupByKey]=OutputTable[[#This Row],[GroupByKey]])*OutputTable[RecordedValue]))</f>
        <v>1133.24622318414</v>
      </c>
      <c r="P412" cm="1">
        <f t="array" ref="P412">MAX(IF((OutputTable[GroupByKey]=OutputTable[[#This Row],[GroupByKey]]),(OutputTable[GroupByKey]=OutputTable[[#This Row],[GroupByKey]])*OutputTable[RecordedValue]))</f>
        <v>1230.9493287309799</v>
      </c>
    </row>
    <row r="413" spans="1:16" x14ac:dyDescent="0.25">
      <c r="A413" t="s">
        <v>68</v>
      </c>
      <c r="B413" t="s">
        <v>131</v>
      </c>
      <c r="C413">
        <v>25</v>
      </c>
      <c r="D413" t="s">
        <v>110</v>
      </c>
      <c r="E413" t="s">
        <v>111</v>
      </c>
      <c r="F413" t="s">
        <v>80</v>
      </c>
      <c r="G413">
        <v>2915.67863409748</v>
      </c>
      <c r="H413">
        <v>0</v>
      </c>
      <c r="I413" t="str">
        <f>OutputTable[[#This Row],[ProjectName]]&amp;OutputTable[[#This Row],[Name]]&amp;OutputTable[[#This Row],[Type]]&amp;OutputTable[[#This Row],[Source]]</f>
        <v>PacientesProcess 2 Accum Wait TimeAccum Wait TimeProcess</v>
      </c>
      <c r="J413" cm="1">
        <f t="array" ref="J413">MAX(IF((ProjectInfoTable[ProjectName]=OutputTable[[#This Row],[ProjectName]]),(ProjectInfoTable[ProjectName]=OutputTable[[#This Row],[ProjectName]])*ProjectInfoTable[NumberOfReplications]))</f>
        <v>50</v>
      </c>
      <c r="K413" cm="1">
        <f t="array" ref="K413">IFERROR(AVERAGE(IF((OutputTable[GroupByKey]=OutputTable[[#This Row],[GroupByKey]]),(OutputTable[GroupByKey]=OutputTable[[#This Row],[GroupByKey]])*OutputTable[RecordedValue])),0)</f>
        <v>1938.7515507466894</v>
      </c>
      <c r="L413" cm="1">
        <f t="array" ref="L413">IFERROR(_xlfn.STDEV.S(IF((OutputTable[GroupByKey]=OutputTable[[#This Row],[GroupByKey]]),(OutputTable[GroupByKey]=OutputTable[[#This Row],[GroupByKey]])*OutputTable[RecordedValue])),0)</f>
        <v>534.03396241838232</v>
      </c>
      <c r="M413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413" cm="1">
        <f t="array" ref="O413">MIN(IF((OutputTable[GroupByKey]=OutputTable[[#This Row],[GroupByKey]]),(OutputTable[GroupByKey]=OutputTable[[#This Row],[GroupByKey]])*OutputTable[RecordedValue]))</f>
        <v>1234.7567994731401</v>
      </c>
      <c r="P413" cm="1">
        <f t="array" ref="P413">MAX(IF((OutputTable[GroupByKey]=OutputTable[[#This Row],[GroupByKey]]),(OutputTable[GroupByKey]=OutputTable[[#This Row],[GroupByKey]])*OutputTable[RecordedValue]))</f>
        <v>3269.0858002883801</v>
      </c>
    </row>
    <row r="414" spans="1:16" x14ac:dyDescent="0.25">
      <c r="A414" t="s">
        <v>68</v>
      </c>
      <c r="B414" t="s">
        <v>131</v>
      </c>
      <c r="C414">
        <v>25</v>
      </c>
      <c r="D414" t="s">
        <v>112</v>
      </c>
      <c r="E414" t="s">
        <v>105</v>
      </c>
      <c r="F414" t="s">
        <v>80</v>
      </c>
      <c r="G414">
        <v>2509</v>
      </c>
      <c r="H414">
        <v>0</v>
      </c>
      <c r="I414" t="str">
        <f>OutputTable[[#This Row],[ProjectName]]&amp;OutputTable[[#This Row],[Name]]&amp;OutputTable[[#This Row],[Type]]&amp;OutputTable[[#This Row],[Source]]</f>
        <v>PacientesProcess 2 Number InNumber InProcess</v>
      </c>
      <c r="J414" cm="1">
        <f t="array" ref="J414">MAX(IF((ProjectInfoTable[ProjectName]=OutputTable[[#This Row],[ProjectName]]),(ProjectInfoTable[ProjectName]=OutputTable[[#This Row],[ProjectName]])*ProjectInfoTable[NumberOfReplications]))</f>
        <v>50</v>
      </c>
      <c r="K414" cm="1">
        <f t="array" ref="K414">IFERROR(AVERAGE(IF((OutputTable[GroupByKey]=OutputTable[[#This Row],[GroupByKey]]),(OutputTable[GroupByKey]=OutputTable[[#This Row],[GroupByKey]])*OutputTable[RecordedValue])),0)</f>
        <v>2404.2399999999998</v>
      </c>
      <c r="L414" cm="1">
        <f t="array" ref="L414">IFERROR(_xlfn.STDEV.S(IF((OutputTable[GroupByKey]=OutputTable[[#This Row],[GroupByKey]]),(OutputTable[GroupByKey]=OutputTable[[#This Row],[GroupByKey]])*OutputTable[RecordedValue])),0)</f>
        <v>46.574303154053879</v>
      </c>
      <c r="M414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414" cm="1">
        <f t="array" ref="O414">MIN(IF((OutputTable[GroupByKey]=OutputTable[[#This Row],[GroupByKey]]),(OutputTable[GroupByKey]=OutputTable[[#This Row],[GroupByKey]])*OutputTable[RecordedValue]))</f>
        <v>2306</v>
      </c>
      <c r="P414" cm="1">
        <f t="array" ref="P414">MAX(IF((OutputTable[GroupByKey]=OutputTable[[#This Row],[GroupByKey]]),(OutputTable[GroupByKey]=OutputTable[[#This Row],[GroupByKey]])*OutputTable[RecordedValue]))</f>
        <v>2518</v>
      </c>
    </row>
    <row r="415" spans="1:16" x14ac:dyDescent="0.25">
      <c r="A415" t="s">
        <v>68</v>
      </c>
      <c r="B415" t="s">
        <v>131</v>
      </c>
      <c r="C415">
        <v>25</v>
      </c>
      <c r="D415" t="s">
        <v>113</v>
      </c>
      <c r="E415" t="s">
        <v>107</v>
      </c>
      <c r="F415" t="s">
        <v>80</v>
      </c>
      <c r="G415">
        <v>2504</v>
      </c>
      <c r="H415">
        <v>0</v>
      </c>
      <c r="I415" t="str">
        <f>OutputTable[[#This Row],[ProjectName]]&amp;OutputTable[[#This Row],[Name]]&amp;OutputTable[[#This Row],[Type]]&amp;OutputTable[[#This Row],[Source]]</f>
        <v>PacientesProcess 2 Number OutNumber OutProcess</v>
      </c>
      <c r="J415" cm="1">
        <f t="array" ref="J415">MAX(IF((ProjectInfoTable[ProjectName]=OutputTable[[#This Row],[ProjectName]]),(ProjectInfoTable[ProjectName]=OutputTable[[#This Row],[ProjectName]])*ProjectInfoTable[NumberOfReplications]))</f>
        <v>50</v>
      </c>
      <c r="K415" cm="1">
        <f t="array" ref="K415">IFERROR(AVERAGE(IF((OutputTable[GroupByKey]=OutputTable[[#This Row],[GroupByKey]]),(OutputTable[GroupByKey]=OutputTable[[#This Row],[GroupByKey]])*OutputTable[RecordedValue])),0)</f>
        <v>2400.2800000000002</v>
      </c>
      <c r="L415" cm="1">
        <f t="array" ref="L415">IFERROR(_xlfn.STDEV.S(IF((OutputTable[GroupByKey]=OutputTable[[#This Row],[GroupByKey]]),(OutputTable[GroupByKey]=OutputTable[[#This Row],[GroupByKey]])*OutputTable[RecordedValue])),0)</f>
        <v>46.409024456676619</v>
      </c>
      <c r="M41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15" cm="1">
        <f t="array" ref="O415">MIN(IF((OutputTable[GroupByKey]=OutputTable[[#This Row],[GroupByKey]]),(OutputTable[GroupByKey]=OutputTable[[#This Row],[GroupByKey]])*OutputTable[RecordedValue]))</f>
        <v>2305</v>
      </c>
      <c r="P415" cm="1">
        <f t="array" ref="P415">MAX(IF((OutputTable[GroupByKey]=OutputTable[[#This Row],[GroupByKey]]),(OutputTable[GroupByKey]=OutputTable[[#This Row],[GroupByKey]])*OutputTable[RecordedValue]))</f>
        <v>2504</v>
      </c>
    </row>
    <row r="416" spans="1:16" x14ac:dyDescent="0.25">
      <c r="A416" t="s">
        <v>68</v>
      </c>
      <c r="B416" t="s">
        <v>131</v>
      </c>
      <c r="C416">
        <v>25</v>
      </c>
      <c r="D416" t="s">
        <v>114</v>
      </c>
      <c r="E416" t="s">
        <v>109</v>
      </c>
      <c r="F416" t="s">
        <v>80</v>
      </c>
      <c r="G416">
        <v>353.61734349809501</v>
      </c>
      <c r="H416">
        <v>0</v>
      </c>
      <c r="I416" t="str">
        <f>OutputTable[[#This Row],[ProjectName]]&amp;OutputTable[[#This Row],[Name]]&amp;OutputTable[[#This Row],[Type]]&amp;OutputTable[[#This Row],[Source]]</f>
        <v>PacientesRegistro Accum VA TimeAccum VA TimeProcess</v>
      </c>
      <c r="J416" cm="1">
        <f t="array" ref="J416">MAX(IF((ProjectInfoTable[ProjectName]=OutputTable[[#This Row],[ProjectName]]),(ProjectInfoTable[ProjectName]=OutputTable[[#This Row],[ProjectName]])*ProjectInfoTable[NumberOfReplications]))</f>
        <v>50</v>
      </c>
      <c r="K416" cm="1">
        <f t="array" ref="K416">IFERROR(AVERAGE(IF((OutputTable[GroupByKey]=OutputTable[[#This Row],[GroupByKey]]),(OutputTable[GroupByKey]=OutputTable[[#This Row],[GroupByKey]])*OutputTable[RecordedValue])),0)</f>
        <v>339.53547737062786</v>
      </c>
      <c r="L416" cm="1">
        <f t="array" ref="L416">IFERROR(_xlfn.STDEV.S(IF((OutputTable[GroupByKey]=OutputTable[[#This Row],[GroupByKey]]),(OutputTable[GroupByKey]=OutputTable[[#This Row],[GroupByKey]])*OutputTable[RecordedValue])),0)</f>
        <v>6.9723666109353193</v>
      </c>
      <c r="M416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416" cm="1">
        <f t="array" ref="O416">MIN(IF((OutputTable[GroupByKey]=OutputTable[[#This Row],[GroupByKey]]),(OutputTable[GroupByKey]=OutputTable[[#This Row],[GroupByKey]])*OutputTable[RecordedValue]))</f>
        <v>325.606879158418</v>
      </c>
      <c r="P416" cm="1">
        <f t="array" ref="P416">MAX(IF((OutputTable[GroupByKey]=OutputTable[[#This Row],[GroupByKey]]),(OutputTable[GroupByKey]=OutputTable[[#This Row],[GroupByKey]])*OutputTable[RecordedValue]))</f>
        <v>357.77609013379703</v>
      </c>
    </row>
    <row r="417" spans="1:16" x14ac:dyDescent="0.25">
      <c r="A417" t="s">
        <v>68</v>
      </c>
      <c r="B417" t="s">
        <v>131</v>
      </c>
      <c r="C417">
        <v>25</v>
      </c>
      <c r="D417" t="s">
        <v>115</v>
      </c>
      <c r="E417" t="s">
        <v>111</v>
      </c>
      <c r="F417" t="s">
        <v>80</v>
      </c>
      <c r="G417">
        <v>176.52114795597399</v>
      </c>
      <c r="H417">
        <v>0</v>
      </c>
      <c r="I417" t="str">
        <f>OutputTable[[#This Row],[ProjectName]]&amp;OutputTable[[#This Row],[Name]]&amp;OutputTable[[#This Row],[Type]]&amp;OutputTable[[#This Row],[Source]]</f>
        <v>PacientesRegistro Accum Wait TimeAccum Wait TimeProcess</v>
      </c>
      <c r="J417" cm="1">
        <f t="array" ref="J417">MAX(IF((ProjectInfoTable[ProjectName]=OutputTable[[#This Row],[ProjectName]]),(ProjectInfoTable[ProjectName]=OutputTable[[#This Row],[ProjectName]])*ProjectInfoTable[NumberOfReplications]))</f>
        <v>50</v>
      </c>
      <c r="K417" cm="1">
        <f t="array" ref="K417">IFERROR(AVERAGE(IF((OutputTable[GroupByKey]=OutputTable[[#This Row],[GroupByKey]]),(OutputTable[GroupByKey]=OutputTable[[#This Row],[GroupByKey]])*OutputTable[RecordedValue])),0)</f>
        <v>154.15303898127775</v>
      </c>
      <c r="L417" cm="1">
        <f t="array" ref="L417">IFERROR(_xlfn.STDEV.S(IF((OutputTable[GroupByKey]=OutputTable[[#This Row],[GroupByKey]]),(OutputTable[GroupByKey]=OutputTable[[#This Row],[GroupByKey]])*OutputTable[RecordedValue])),0)</f>
        <v>12.141439184615397</v>
      </c>
      <c r="M417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417" cm="1">
        <f t="array" ref="O417">MIN(IF((OutputTable[GroupByKey]=OutputTable[[#This Row],[GroupByKey]]),(OutputTable[GroupByKey]=OutputTable[[#This Row],[GroupByKey]])*OutputTable[RecordedValue]))</f>
        <v>123.901613974094</v>
      </c>
      <c r="P417" cm="1">
        <f t="array" ref="P417">MAX(IF((OutputTable[GroupByKey]=OutputTable[[#This Row],[GroupByKey]]),(OutputTable[GroupByKey]=OutputTable[[#This Row],[GroupByKey]])*OutputTable[RecordedValue]))</f>
        <v>178.441307284473</v>
      </c>
    </row>
    <row r="418" spans="1:16" x14ac:dyDescent="0.25">
      <c r="A418" t="s">
        <v>68</v>
      </c>
      <c r="B418" t="s">
        <v>131</v>
      </c>
      <c r="C418">
        <v>25</v>
      </c>
      <c r="D418" t="s">
        <v>116</v>
      </c>
      <c r="E418" t="s">
        <v>105</v>
      </c>
      <c r="F418" t="s">
        <v>80</v>
      </c>
      <c r="G418">
        <v>2363</v>
      </c>
      <c r="H418">
        <v>0</v>
      </c>
      <c r="I418" t="str">
        <f>OutputTable[[#This Row],[ProjectName]]&amp;OutputTable[[#This Row],[Name]]&amp;OutputTable[[#This Row],[Type]]&amp;OutputTable[[#This Row],[Source]]</f>
        <v>PacientesRegistro Number InNumber InProcess</v>
      </c>
      <c r="J418" cm="1">
        <f t="array" ref="J418">MAX(IF((ProjectInfoTable[ProjectName]=OutputTable[[#This Row],[ProjectName]]),(ProjectInfoTable[ProjectName]=OutputTable[[#This Row],[ProjectName]])*ProjectInfoTable[NumberOfReplications]))</f>
        <v>50</v>
      </c>
      <c r="K418" cm="1">
        <f t="array" ref="K418">IFERROR(AVERAGE(IF((OutputTable[GroupByKey]=OutputTable[[#This Row],[GroupByKey]]),(OutputTable[GroupByKey]=OutputTable[[#This Row],[GroupByKey]])*OutputTable[RecordedValue])),0)</f>
        <v>2263.2399999999998</v>
      </c>
      <c r="L418" cm="1">
        <f t="array" ref="L418">IFERROR(_xlfn.STDEV.S(IF((OutputTable[GroupByKey]=OutputTable[[#This Row],[GroupByKey]]),(OutputTable[GroupByKey]=OutputTable[[#This Row],[GroupByKey]])*OutputTable[RecordedValue])),0)</f>
        <v>47.331035682472766</v>
      </c>
      <c r="M418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418" cm="1">
        <f t="array" ref="O418">MIN(IF((OutputTable[GroupByKey]=OutputTable[[#This Row],[GroupByKey]]),(OutputTable[GroupByKey]=OutputTable[[#This Row],[GroupByKey]])*OutputTable[RecordedValue]))</f>
        <v>2172</v>
      </c>
      <c r="P418" cm="1">
        <f t="array" ref="P418">MAX(IF((OutputTable[GroupByKey]=OutputTable[[#This Row],[GroupByKey]]),(OutputTable[GroupByKey]=OutputTable[[#This Row],[GroupByKey]])*OutputTable[RecordedValue]))</f>
        <v>2386</v>
      </c>
    </row>
    <row r="419" spans="1:16" x14ac:dyDescent="0.25">
      <c r="A419" t="s">
        <v>68</v>
      </c>
      <c r="B419" t="s">
        <v>131</v>
      </c>
      <c r="C419">
        <v>25</v>
      </c>
      <c r="D419" t="s">
        <v>117</v>
      </c>
      <c r="E419" t="s">
        <v>107</v>
      </c>
      <c r="F419" t="s">
        <v>80</v>
      </c>
      <c r="G419">
        <v>2363</v>
      </c>
      <c r="H419">
        <v>0</v>
      </c>
      <c r="I419" t="str">
        <f>OutputTable[[#This Row],[ProjectName]]&amp;OutputTable[[#This Row],[Name]]&amp;OutputTable[[#This Row],[Type]]&amp;OutputTable[[#This Row],[Source]]</f>
        <v>PacientesRegistro Number OutNumber OutProcess</v>
      </c>
      <c r="J419" cm="1">
        <f t="array" ref="J419">MAX(IF((ProjectInfoTable[ProjectName]=OutputTable[[#This Row],[ProjectName]]),(ProjectInfoTable[ProjectName]=OutputTable[[#This Row],[ProjectName]])*ProjectInfoTable[NumberOfReplications]))</f>
        <v>50</v>
      </c>
      <c r="K419" cm="1">
        <f t="array" ref="K419">IFERROR(AVERAGE(IF((OutputTable[GroupByKey]=OutputTable[[#This Row],[GroupByKey]]),(OutputTable[GroupByKey]=OutputTable[[#This Row],[GroupByKey]])*OutputTable[RecordedValue])),0)</f>
        <v>2262.66</v>
      </c>
      <c r="L419" cm="1">
        <f t="array" ref="L419">IFERROR(_xlfn.STDEV.S(IF((OutputTable[GroupByKey]=OutputTable[[#This Row],[GroupByKey]]),(OutputTable[GroupByKey]=OutputTable[[#This Row],[GroupByKey]])*OutputTable[RecordedValue])),0)</f>
        <v>47.488176831454687</v>
      </c>
      <c r="M419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419" cm="1">
        <f t="array" ref="O419">MIN(IF((OutputTable[GroupByKey]=OutputTable[[#This Row],[GroupByKey]]),(OutputTable[GroupByKey]=OutputTable[[#This Row],[GroupByKey]])*OutputTable[RecordedValue]))</f>
        <v>2171</v>
      </c>
      <c r="P419" cm="1">
        <f t="array" ref="P419">MAX(IF((OutputTable[GroupByKey]=OutputTable[[#This Row],[GroupByKey]]),(OutputTable[GroupByKey]=OutputTable[[#This Row],[GroupByKey]])*OutputTable[RecordedValue]))</f>
        <v>2386</v>
      </c>
    </row>
    <row r="420" spans="1:16" x14ac:dyDescent="0.25">
      <c r="A420" t="s">
        <v>68</v>
      </c>
      <c r="B420" t="s">
        <v>131</v>
      </c>
      <c r="C420">
        <v>25</v>
      </c>
      <c r="D420" t="s">
        <v>118</v>
      </c>
      <c r="E420" t="s">
        <v>107</v>
      </c>
      <c r="F420" t="s">
        <v>119</v>
      </c>
      <c r="G420">
        <v>2504</v>
      </c>
      <c r="H420">
        <v>0</v>
      </c>
      <c r="I420" t="str">
        <f>OutputTable[[#This Row],[ProjectName]]&amp;OutputTable[[#This Row],[Name]]&amp;OutputTable[[#This Row],[Type]]&amp;OutputTable[[#This Row],[Source]]</f>
        <v>PacientesSystem.NumberOutNumber OutSystem</v>
      </c>
      <c r="J420" cm="1">
        <f t="array" ref="J420">MAX(IF((ProjectInfoTable[ProjectName]=OutputTable[[#This Row],[ProjectName]]),(ProjectInfoTable[ProjectName]=OutputTable[[#This Row],[ProjectName]])*ProjectInfoTable[NumberOfReplications]))</f>
        <v>50</v>
      </c>
      <c r="K420" cm="1">
        <f t="array" ref="K420">IFERROR(AVERAGE(IF((OutputTable[GroupByKey]=OutputTable[[#This Row],[GroupByKey]]),(OutputTable[GroupByKey]=OutputTable[[#This Row],[GroupByKey]])*OutputTable[RecordedValue])),0)</f>
        <v>2400.2800000000002</v>
      </c>
      <c r="L420" cm="1">
        <f t="array" ref="L420">IFERROR(_xlfn.STDEV.S(IF((OutputTable[GroupByKey]=OutputTable[[#This Row],[GroupByKey]]),(OutputTable[GroupByKey]=OutputTable[[#This Row],[GroupByKey]])*OutputTable[RecordedValue])),0)</f>
        <v>46.409024456676619</v>
      </c>
      <c r="M420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20" cm="1">
        <f t="array" ref="O420">MIN(IF((OutputTable[GroupByKey]=OutputTable[[#This Row],[GroupByKey]]),(OutputTable[GroupByKey]=OutputTable[[#This Row],[GroupByKey]])*OutputTable[RecordedValue]))</f>
        <v>2305</v>
      </c>
      <c r="P420" cm="1">
        <f t="array" ref="P420">MAX(IF((OutputTable[GroupByKey]=OutputTable[[#This Row],[GroupByKey]]),(OutputTable[GroupByKey]=OutputTable[[#This Row],[GroupByKey]])*OutputTable[RecordedValue]))</f>
        <v>2504</v>
      </c>
    </row>
    <row r="421" spans="1:16" x14ac:dyDescent="0.25">
      <c r="A421" t="s">
        <v>68</v>
      </c>
      <c r="B421" t="s">
        <v>131</v>
      </c>
      <c r="C421">
        <v>25</v>
      </c>
      <c r="D421" t="s">
        <v>120</v>
      </c>
      <c r="E421" t="s">
        <v>121</v>
      </c>
      <c r="F421" t="s">
        <v>99</v>
      </c>
      <c r="G421">
        <v>2506</v>
      </c>
      <c r="H421">
        <v>0</v>
      </c>
      <c r="I421" t="str">
        <f>OutputTable[[#This Row],[ProjectName]]&amp;OutputTable[[#This Row],[Name]]&amp;OutputTable[[#This Row],[Type]]&amp;OutputTable[[#This Row],[Source]]</f>
        <v>PacientesrCamas.NumberSeizedTotal Number SeizedResource</v>
      </c>
      <c r="J421" cm="1">
        <f t="array" ref="J421">MAX(IF((ProjectInfoTable[ProjectName]=OutputTable[[#This Row],[ProjectName]]),(ProjectInfoTable[ProjectName]=OutputTable[[#This Row],[ProjectName]])*ProjectInfoTable[NumberOfReplications]))</f>
        <v>50</v>
      </c>
      <c r="K421" cm="1">
        <f t="array" ref="K421">IFERROR(AVERAGE(IF((OutputTable[GroupByKey]=OutputTable[[#This Row],[GroupByKey]]),(OutputTable[GroupByKey]=OutputTable[[#This Row],[GroupByKey]])*OutputTable[RecordedValue])),0)</f>
        <v>2401.9</v>
      </c>
      <c r="L421" cm="1">
        <f t="array" ref="L421">IFERROR(_xlfn.STDEV.S(IF((OutputTable[GroupByKey]=OutputTable[[#This Row],[GroupByKey]]),(OutputTable[GroupByKey]=OutputTable[[#This Row],[GroupByKey]])*OutputTable[RecordedValue])),0)</f>
        <v>46.417031532903209</v>
      </c>
      <c r="M421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21" cm="1">
        <f t="array" ref="O421">MIN(IF((OutputTable[GroupByKey]=OutputTable[[#This Row],[GroupByKey]]),(OutputTable[GroupByKey]=OutputTable[[#This Row],[GroupByKey]])*OutputTable[RecordedValue]))</f>
        <v>2306</v>
      </c>
      <c r="P421" cm="1">
        <f t="array" ref="P421">MAX(IF((OutputTable[GroupByKey]=OutputTable[[#This Row],[GroupByKey]]),(OutputTable[GroupByKey]=OutputTable[[#This Row],[GroupByKey]])*OutputTable[RecordedValue]))</f>
        <v>2506</v>
      </c>
    </row>
    <row r="422" spans="1:16" x14ac:dyDescent="0.25">
      <c r="A422" t="s">
        <v>68</v>
      </c>
      <c r="B422" t="s">
        <v>131</v>
      </c>
      <c r="C422">
        <v>25</v>
      </c>
      <c r="D422" t="s">
        <v>122</v>
      </c>
      <c r="E422" t="s">
        <v>123</v>
      </c>
      <c r="F422" t="s">
        <v>99</v>
      </c>
      <c r="G422">
        <v>0.57005812966092295</v>
      </c>
      <c r="H422">
        <v>0</v>
      </c>
      <c r="I422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422" cm="1">
        <f t="array" ref="J422">MAX(IF((ProjectInfoTable[ProjectName]=OutputTable[[#This Row],[ProjectName]]),(ProjectInfoTable[ProjectName]=OutputTable[[#This Row],[ProjectName]])*ProjectInfoTable[NumberOfReplications]))</f>
        <v>50</v>
      </c>
      <c r="K422" cm="1">
        <f t="array" ref="K422">IFERROR(AVERAGE(IF((OutputTable[GroupByKey]=OutputTable[[#This Row],[GroupByKey]]),(OutputTable[GroupByKey]=OutputTable[[#This Row],[GroupByKey]])*OutputTable[RecordedValue])),0)</f>
        <v>0.54703961359050601</v>
      </c>
      <c r="L422" cm="1">
        <f t="array" ref="L422">IFERROR(_xlfn.STDEV.S(IF((OutputTable[GroupByKey]=OutputTable[[#This Row],[GroupByKey]]),(OutputTable[GroupByKey]=OutputTable[[#This Row],[GroupByKey]])*OutputTable[RecordedValue])),0)</f>
        <v>1.0221170008030479E-2</v>
      </c>
      <c r="M422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422" cm="1">
        <f t="array" ref="O422">MIN(IF((OutputTable[GroupByKey]=OutputTable[[#This Row],[GroupByKey]]),(OutputTable[GroupByKey]=OutputTable[[#This Row],[GroupByKey]])*OutputTable[RecordedValue]))</f>
        <v>0.52470641844357901</v>
      </c>
      <c r="P422" cm="1">
        <f t="array" ref="P422">MAX(IF((OutputTable[GroupByKey]=OutputTable[[#This Row],[GroupByKey]]),(OutputTable[GroupByKey]=OutputTable[[#This Row],[GroupByKey]])*OutputTable[RecordedValue]))</f>
        <v>0.57005812966092295</v>
      </c>
    </row>
    <row r="423" spans="1:16" x14ac:dyDescent="0.25">
      <c r="A423" t="s">
        <v>68</v>
      </c>
      <c r="B423" t="s">
        <v>131</v>
      </c>
      <c r="C423">
        <v>25</v>
      </c>
      <c r="D423" t="s">
        <v>124</v>
      </c>
      <c r="E423" t="s">
        <v>121</v>
      </c>
      <c r="F423" t="s">
        <v>99</v>
      </c>
      <c r="G423">
        <v>2506</v>
      </c>
      <c r="H423">
        <v>0</v>
      </c>
      <c r="I423" t="str">
        <f>OutputTable[[#This Row],[ProjectName]]&amp;OutputTable[[#This Row],[Name]]&amp;OutputTable[[#This Row],[Type]]&amp;OutputTable[[#This Row],[Source]]</f>
        <v>PacientesrMedico.NumberSeizedTotal Number SeizedResource</v>
      </c>
      <c r="J423" cm="1">
        <f t="array" ref="J423">MAX(IF((ProjectInfoTable[ProjectName]=OutputTable[[#This Row],[ProjectName]]),(ProjectInfoTable[ProjectName]=OutputTable[[#This Row],[ProjectName]])*ProjectInfoTable[NumberOfReplications]))</f>
        <v>50</v>
      </c>
      <c r="K423" cm="1">
        <f t="array" ref="K423">IFERROR(AVERAGE(IF((OutputTable[GroupByKey]=OutputTable[[#This Row],[GroupByKey]]),(OutputTable[GroupByKey]=OutputTable[[#This Row],[GroupByKey]])*OutputTable[RecordedValue])),0)</f>
        <v>2401.9</v>
      </c>
      <c r="L423" cm="1">
        <f t="array" ref="L423">IFERROR(_xlfn.STDEV.S(IF((OutputTable[GroupByKey]=OutputTable[[#This Row],[GroupByKey]]),(OutputTable[GroupByKey]=OutputTable[[#This Row],[GroupByKey]])*OutputTable[RecordedValue])),0)</f>
        <v>46.417031532903209</v>
      </c>
      <c r="M423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23" cm="1">
        <f t="array" ref="O423">MIN(IF((OutputTable[GroupByKey]=OutputTable[[#This Row],[GroupByKey]]),(OutputTable[GroupByKey]=OutputTable[[#This Row],[GroupByKey]])*OutputTable[RecordedValue]))</f>
        <v>2306</v>
      </c>
      <c r="P423" cm="1">
        <f t="array" ref="P423">MAX(IF((OutputTable[GroupByKey]=OutputTable[[#This Row],[GroupByKey]]),(OutputTable[GroupByKey]=OutputTable[[#This Row],[GroupByKey]])*OutputTable[RecordedValue]))</f>
        <v>2506</v>
      </c>
    </row>
    <row r="424" spans="1:16" x14ac:dyDescent="0.25">
      <c r="A424" t="s">
        <v>68</v>
      </c>
      <c r="B424" t="s">
        <v>131</v>
      </c>
      <c r="C424">
        <v>25</v>
      </c>
      <c r="D424" t="s">
        <v>125</v>
      </c>
      <c r="E424" t="s">
        <v>123</v>
      </c>
      <c r="F424" t="s">
        <v>99</v>
      </c>
      <c r="G424">
        <v>0.85508719449138504</v>
      </c>
      <c r="H424">
        <v>0</v>
      </c>
      <c r="I424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424" cm="1">
        <f t="array" ref="J424">MAX(IF((ProjectInfoTable[ProjectName]=OutputTable[[#This Row],[ProjectName]]),(ProjectInfoTable[ProjectName]=OutputTable[[#This Row],[ProjectName]])*ProjectInfoTable[NumberOfReplications]))</f>
        <v>50</v>
      </c>
      <c r="K424" cm="1">
        <f t="array" ref="K424">IFERROR(AVERAGE(IF((OutputTable[GroupByKey]=OutputTable[[#This Row],[GroupByKey]]),(OutputTable[GroupByKey]=OutputTable[[#This Row],[GroupByKey]])*OutputTable[RecordedValue])),0)</f>
        <v>0.82055942038575935</v>
      </c>
      <c r="L424" cm="1">
        <f t="array" ref="L424">IFERROR(_xlfn.STDEV.S(IF((OutputTable[GroupByKey]=OutputTable[[#This Row],[GroupByKey]]),(OutputTable[GroupByKey]=OutputTable[[#This Row],[GroupByKey]])*OutputTable[RecordedValue])),0)</f>
        <v>1.5331755012045719E-2</v>
      </c>
      <c r="M424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424" cm="1">
        <f t="array" ref="O424">MIN(IF((OutputTable[GroupByKey]=OutputTable[[#This Row],[GroupByKey]]),(OutputTable[GroupByKey]=OutputTable[[#This Row],[GroupByKey]])*OutputTable[RecordedValue]))</f>
        <v>0.78705962766536897</v>
      </c>
      <c r="P424" cm="1">
        <f t="array" ref="P424">MAX(IF((OutputTable[GroupByKey]=OutputTable[[#This Row],[GroupByKey]]),(OutputTable[GroupByKey]=OutputTable[[#This Row],[GroupByKey]])*OutputTable[RecordedValue]))</f>
        <v>0.85508719449138504</v>
      </c>
    </row>
    <row r="425" spans="1:16" x14ac:dyDescent="0.25">
      <c r="A425" t="s">
        <v>68</v>
      </c>
      <c r="B425" t="s">
        <v>131</v>
      </c>
      <c r="C425">
        <v>25</v>
      </c>
      <c r="D425" t="s">
        <v>126</v>
      </c>
      <c r="E425" t="s">
        <v>121</v>
      </c>
      <c r="F425" t="s">
        <v>99</v>
      </c>
      <c r="G425">
        <v>2363</v>
      </c>
      <c r="H425">
        <v>0</v>
      </c>
      <c r="I425" t="str">
        <f>OutputTable[[#This Row],[ProjectName]]&amp;OutputTable[[#This Row],[Name]]&amp;OutputTable[[#This Row],[Type]]&amp;OutputTable[[#This Row],[Source]]</f>
        <v>PacientesrRegistradora.NumberSeizedTotal Number SeizedResource</v>
      </c>
      <c r="J425" cm="1">
        <f t="array" ref="J425">MAX(IF((ProjectInfoTable[ProjectName]=OutputTable[[#This Row],[ProjectName]]),(ProjectInfoTable[ProjectName]=OutputTable[[#This Row],[ProjectName]])*ProjectInfoTable[NumberOfReplications]))</f>
        <v>50</v>
      </c>
      <c r="K425" cm="1">
        <f t="array" ref="K425">IFERROR(AVERAGE(IF((OutputTable[GroupByKey]=OutputTable[[#This Row],[GroupByKey]]),(OutputTable[GroupByKey]=OutputTable[[#This Row],[GroupByKey]])*OutputTable[RecordedValue])),0)</f>
        <v>2263.14</v>
      </c>
      <c r="L425" cm="1">
        <f t="array" ref="L425">IFERROR(_xlfn.STDEV.S(IF((OutputTable[GroupByKey]=OutputTable[[#This Row],[GroupByKey]]),(OutputTable[GroupByKey]=OutputTable[[#This Row],[GroupByKey]])*OutputTable[RecordedValue])),0)</f>
        <v>47.386818971575821</v>
      </c>
      <c r="M42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425" cm="1">
        <f t="array" ref="O425">MIN(IF((OutputTable[GroupByKey]=OutputTable[[#This Row],[GroupByKey]]),(OutputTable[GroupByKey]=OutputTable[[#This Row],[GroupByKey]])*OutputTable[RecordedValue]))</f>
        <v>2172</v>
      </c>
      <c r="P425" cm="1">
        <f t="array" ref="P425">MAX(IF((OutputTable[GroupByKey]=OutputTable[[#This Row],[GroupByKey]]),(OutputTable[GroupByKey]=OutputTable[[#This Row],[GroupByKey]])*OutputTable[RecordedValue]))</f>
        <v>2386</v>
      </c>
    </row>
    <row r="426" spans="1:16" x14ac:dyDescent="0.25">
      <c r="A426" t="s">
        <v>68</v>
      </c>
      <c r="B426" t="s">
        <v>131</v>
      </c>
      <c r="C426">
        <v>25</v>
      </c>
      <c r="D426" t="s">
        <v>127</v>
      </c>
      <c r="E426" t="s">
        <v>123</v>
      </c>
      <c r="F426" t="s">
        <v>99</v>
      </c>
      <c r="G426">
        <v>0.49113519930291</v>
      </c>
      <c r="H426">
        <v>0</v>
      </c>
      <c r="I426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426" cm="1">
        <f t="array" ref="J426">MAX(IF((ProjectInfoTable[ProjectName]=OutputTable[[#This Row],[ProjectName]]),(ProjectInfoTable[ProjectName]=OutputTable[[#This Row],[ProjectName]])*ProjectInfoTable[NumberOfReplications]))</f>
        <v>50</v>
      </c>
      <c r="K426" cm="1">
        <f t="array" ref="K426">IFERROR(AVERAGE(IF((OutputTable[GroupByKey]=OutputTable[[#This Row],[GroupByKey]]),(OutputTable[GroupByKey]=OutputTable[[#This Row],[GroupByKey]])*OutputTable[RecordedValue])),0)</f>
        <v>0.47162762933545666</v>
      </c>
      <c r="L426" cm="1">
        <f t="array" ref="L426">IFERROR(_xlfn.STDEV.S(IF((OutputTable[GroupByKey]=OutputTable[[#This Row],[GroupByKey]]),(OutputTable[GroupByKey]=OutputTable[[#This Row],[GroupByKey]])*OutputTable[RecordedValue])),0)</f>
        <v>9.6615227076777797E-3</v>
      </c>
      <c r="M426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426" cm="1">
        <f t="array" ref="O426">MIN(IF((OutputTable[GroupByKey]=OutputTable[[#This Row],[GroupByKey]]),(OutputTable[GroupByKey]=OutputTable[[#This Row],[GroupByKey]])*OutputTable[RecordedValue]))</f>
        <v>0.452397944183905</v>
      </c>
      <c r="P426" cm="1">
        <f t="array" ref="P426">MAX(IF((OutputTable[GroupByKey]=OutputTable[[#This Row],[GroupByKey]]),(OutputTable[GroupByKey]=OutputTable[[#This Row],[GroupByKey]])*OutputTable[RecordedValue]))</f>
        <v>0.49691123629694001</v>
      </c>
    </row>
    <row r="427" spans="1:16" x14ac:dyDescent="0.25">
      <c r="A427" t="s">
        <v>68</v>
      </c>
      <c r="B427" t="s">
        <v>131</v>
      </c>
      <c r="C427">
        <v>26</v>
      </c>
      <c r="D427" t="s">
        <v>104</v>
      </c>
      <c r="E427" t="s">
        <v>105</v>
      </c>
      <c r="F427" t="s">
        <v>72</v>
      </c>
      <c r="G427">
        <v>2366</v>
      </c>
      <c r="H427">
        <v>0</v>
      </c>
      <c r="I427" t="str">
        <f>OutputTable[[#This Row],[ProjectName]]&amp;OutputTable[[#This Row],[Name]]&amp;OutputTable[[#This Row],[Type]]&amp;OutputTable[[#This Row],[Source]]</f>
        <v>PacientesEntity 1.NumberInNumber InEntity</v>
      </c>
      <c r="J427" cm="1">
        <f t="array" ref="J427">MAX(IF((ProjectInfoTable[ProjectName]=OutputTable[[#This Row],[ProjectName]]),(ProjectInfoTable[ProjectName]=OutputTable[[#This Row],[ProjectName]])*ProjectInfoTable[NumberOfReplications]))</f>
        <v>50</v>
      </c>
      <c r="K427" cm="1">
        <f t="array" ref="K427">IFERROR(AVERAGE(IF((OutputTable[GroupByKey]=OutputTable[[#This Row],[GroupByKey]]),(OutputTable[GroupByKey]=OutputTable[[#This Row],[GroupByKey]])*OutputTable[RecordedValue])),0)</f>
        <v>2404.8200000000002</v>
      </c>
      <c r="L427" cm="1">
        <f t="array" ref="L427">IFERROR(_xlfn.STDEV.S(IF((OutputTable[GroupByKey]=OutputTable[[#This Row],[GroupByKey]]),(OutputTable[GroupByKey]=OutputTable[[#This Row],[GroupByKey]])*OutputTable[RecordedValue])),0)</f>
        <v>46.42953405595474</v>
      </c>
      <c r="M427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427" cm="1">
        <f t="array" ref="O427">MIN(IF((OutputTable[GroupByKey]=OutputTable[[#This Row],[GroupByKey]]),(OutputTable[GroupByKey]=OutputTable[[#This Row],[GroupByKey]])*OutputTable[RecordedValue]))</f>
        <v>2307</v>
      </c>
      <c r="P427" cm="1">
        <f t="array" ref="P427">MAX(IF((OutputTable[GroupByKey]=OutputTable[[#This Row],[GroupByKey]]),(OutputTable[GroupByKey]=OutputTable[[#This Row],[GroupByKey]])*OutputTable[RecordedValue]))</f>
        <v>2518</v>
      </c>
    </row>
    <row r="428" spans="1:16" x14ac:dyDescent="0.25">
      <c r="A428" t="s">
        <v>68</v>
      </c>
      <c r="B428" t="s">
        <v>131</v>
      </c>
      <c r="C428">
        <v>26</v>
      </c>
      <c r="D428" t="s">
        <v>106</v>
      </c>
      <c r="E428" t="s">
        <v>107</v>
      </c>
      <c r="F428" t="s">
        <v>72</v>
      </c>
      <c r="G428">
        <v>2350</v>
      </c>
      <c r="H428">
        <v>0</v>
      </c>
      <c r="I428" t="str">
        <f>OutputTable[[#This Row],[ProjectName]]&amp;OutputTable[[#This Row],[Name]]&amp;OutputTable[[#This Row],[Type]]&amp;OutputTable[[#This Row],[Source]]</f>
        <v>PacientesEntity 1.NumberOutNumber OutEntity</v>
      </c>
      <c r="J428" cm="1">
        <f t="array" ref="J428">MAX(IF((ProjectInfoTable[ProjectName]=OutputTable[[#This Row],[ProjectName]]),(ProjectInfoTable[ProjectName]=OutputTable[[#This Row],[ProjectName]])*ProjectInfoTable[NumberOfReplications]))</f>
        <v>50</v>
      </c>
      <c r="K428" cm="1">
        <f t="array" ref="K428">IFERROR(AVERAGE(IF((OutputTable[GroupByKey]=OutputTable[[#This Row],[GroupByKey]]),(OutputTable[GroupByKey]=OutputTable[[#This Row],[GroupByKey]])*OutputTable[RecordedValue])),0)</f>
        <v>2400.2800000000002</v>
      </c>
      <c r="L428" cm="1">
        <f t="array" ref="L428">IFERROR(_xlfn.STDEV.S(IF((OutputTable[GroupByKey]=OutputTable[[#This Row],[GroupByKey]]),(OutputTable[GroupByKey]=OutputTable[[#This Row],[GroupByKey]])*OutputTable[RecordedValue])),0)</f>
        <v>46.409024456676619</v>
      </c>
      <c r="M428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28" cm="1">
        <f t="array" ref="O428">MIN(IF((OutputTable[GroupByKey]=OutputTable[[#This Row],[GroupByKey]]),(OutputTable[GroupByKey]=OutputTable[[#This Row],[GroupByKey]])*OutputTable[RecordedValue]))</f>
        <v>2305</v>
      </c>
      <c r="P428" cm="1">
        <f t="array" ref="P428">MAX(IF((OutputTable[GroupByKey]=OutputTable[[#This Row],[GroupByKey]]),(OutputTable[GroupByKey]=OutputTable[[#This Row],[GroupByKey]])*OutputTable[RecordedValue]))</f>
        <v>2504</v>
      </c>
    </row>
    <row r="429" spans="1:16" x14ac:dyDescent="0.25">
      <c r="A429" t="s">
        <v>68</v>
      </c>
      <c r="B429" t="s">
        <v>131</v>
      </c>
      <c r="C429">
        <v>26</v>
      </c>
      <c r="D429" t="s">
        <v>108</v>
      </c>
      <c r="E429" t="s">
        <v>109</v>
      </c>
      <c r="F429" t="s">
        <v>80</v>
      </c>
      <c r="G429">
        <v>1165.34169614129</v>
      </c>
      <c r="H429">
        <v>0</v>
      </c>
      <c r="I429" t="str">
        <f>OutputTable[[#This Row],[ProjectName]]&amp;OutputTable[[#This Row],[Name]]&amp;OutputTable[[#This Row],[Type]]&amp;OutputTable[[#This Row],[Source]]</f>
        <v>PacientesProcess 2 Accum VA TimeAccum VA TimeProcess</v>
      </c>
      <c r="J429" cm="1">
        <f t="array" ref="J429">MAX(IF((ProjectInfoTable[ProjectName]=OutputTable[[#This Row],[ProjectName]]),(ProjectInfoTable[ProjectName]=OutputTable[[#This Row],[ProjectName]])*ProjectInfoTable[NumberOfReplications]))</f>
        <v>50</v>
      </c>
      <c r="K429" cm="1">
        <f t="array" ref="K429">IFERROR(AVERAGE(IF((OutputTable[GroupByKey]=OutputTable[[#This Row],[GroupByKey]]),(OutputTable[GroupByKey]=OutputTable[[#This Row],[GroupByKey]])*OutputTable[RecordedValue])),0)</f>
        <v>1181.1234936767919</v>
      </c>
      <c r="L429" cm="1">
        <f t="array" ref="L429">IFERROR(_xlfn.STDEV.S(IF((OutputTable[GroupByKey]=OutputTable[[#This Row],[GroupByKey]]),(OutputTable[GroupByKey]=OutputTable[[#This Row],[GroupByKey]])*OutputTable[RecordedValue])),0)</f>
        <v>22.169313666927575</v>
      </c>
      <c r="M429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429" cm="1">
        <f t="array" ref="O429">MIN(IF((OutputTable[GroupByKey]=OutputTable[[#This Row],[GroupByKey]]),(OutputTable[GroupByKey]=OutputTable[[#This Row],[GroupByKey]])*OutputTable[RecordedValue]))</f>
        <v>1133.24622318414</v>
      </c>
      <c r="P429" cm="1">
        <f t="array" ref="P429">MAX(IF((OutputTable[GroupByKey]=OutputTable[[#This Row],[GroupByKey]]),(OutputTable[GroupByKey]=OutputTable[[#This Row],[GroupByKey]])*OutputTable[RecordedValue]))</f>
        <v>1230.9493287309799</v>
      </c>
    </row>
    <row r="430" spans="1:16" x14ac:dyDescent="0.25">
      <c r="A430" t="s">
        <v>68</v>
      </c>
      <c r="B430" t="s">
        <v>131</v>
      </c>
      <c r="C430">
        <v>26</v>
      </c>
      <c r="D430" t="s">
        <v>110</v>
      </c>
      <c r="E430" t="s">
        <v>111</v>
      </c>
      <c r="F430" t="s">
        <v>80</v>
      </c>
      <c r="G430">
        <v>1595.74442130592</v>
      </c>
      <c r="H430">
        <v>0</v>
      </c>
      <c r="I430" t="str">
        <f>OutputTable[[#This Row],[ProjectName]]&amp;OutputTable[[#This Row],[Name]]&amp;OutputTable[[#This Row],[Type]]&amp;OutputTable[[#This Row],[Source]]</f>
        <v>PacientesProcess 2 Accum Wait TimeAccum Wait TimeProcess</v>
      </c>
      <c r="J430" cm="1">
        <f t="array" ref="J430">MAX(IF((ProjectInfoTable[ProjectName]=OutputTable[[#This Row],[ProjectName]]),(ProjectInfoTable[ProjectName]=OutputTable[[#This Row],[ProjectName]])*ProjectInfoTable[NumberOfReplications]))</f>
        <v>50</v>
      </c>
      <c r="K430" cm="1">
        <f t="array" ref="K430">IFERROR(AVERAGE(IF((OutputTable[GroupByKey]=OutputTable[[#This Row],[GroupByKey]]),(OutputTable[GroupByKey]=OutputTable[[#This Row],[GroupByKey]])*OutputTable[RecordedValue])),0)</f>
        <v>1938.7515507466894</v>
      </c>
      <c r="L430" cm="1">
        <f t="array" ref="L430">IFERROR(_xlfn.STDEV.S(IF((OutputTable[GroupByKey]=OutputTable[[#This Row],[GroupByKey]]),(OutputTable[GroupByKey]=OutputTable[[#This Row],[GroupByKey]])*OutputTable[RecordedValue])),0)</f>
        <v>534.03396241838232</v>
      </c>
      <c r="M430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430" cm="1">
        <f t="array" ref="O430">MIN(IF((OutputTable[GroupByKey]=OutputTable[[#This Row],[GroupByKey]]),(OutputTable[GroupByKey]=OutputTable[[#This Row],[GroupByKey]])*OutputTable[RecordedValue]))</f>
        <v>1234.7567994731401</v>
      </c>
      <c r="P430" cm="1">
        <f t="array" ref="P430">MAX(IF((OutputTable[GroupByKey]=OutputTable[[#This Row],[GroupByKey]]),(OutputTable[GroupByKey]=OutputTable[[#This Row],[GroupByKey]])*OutputTable[RecordedValue]))</f>
        <v>3269.0858002883801</v>
      </c>
    </row>
    <row r="431" spans="1:16" x14ac:dyDescent="0.25">
      <c r="A431" t="s">
        <v>68</v>
      </c>
      <c r="B431" t="s">
        <v>131</v>
      </c>
      <c r="C431">
        <v>26</v>
      </c>
      <c r="D431" t="s">
        <v>112</v>
      </c>
      <c r="E431" t="s">
        <v>105</v>
      </c>
      <c r="F431" t="s">
        <v>80</v>
      </c>
      <c r="G431">
        <v>2365</v>
      </c>
      <c r="H431">
        <v>0</v>
      </c>
      <c r="I431" t="str">
        <f>OutputTable[[#This Row],[ProjectName]]&amp;OutputTable[[#This Row],[Name]]&amp;OutputTable[[#This Row],[Type]]&amp;OutputTable[[#This Row],[Source]]</f>
        <v>PacientesProcess 2 Number InNumber InProcess</v>
      </c>
      <c r="J431" cm="1">
        <f t="array" ref="J431">MAX(IF((ProjectInfoTable[ProjectName]=OutputTable[[#This Row],[ProjectName]]),(ProjectInfoTable[ProjectName]=OutputTable[[#This Row],[ProjectName]])*ProjectInfoTable[NumberOfReplications]))</f>
        <v>50</v>
      </c>
      <c r="K431" cm="1">
        <f t="array" ref="K431">IFERROR(AVERAGE(IF((OutputTable[GroupByKey]=OutputTable[[#This Row],[GroupByKey]]),(OutputTable[GroupByKey]=OutputTable[[#This Row],[GroupByKey]])*OutputTable[RecordedValue])),0)</f>
        <v>2404.2399999999998</v>
      </c>
      <c r="L431" cm="1">
        <f t="array" ref="L431">IFERROR(_xlfn.STDEV.S(IF((OutputTable[GroupByKey]=OutputTable[[#This Row],[GroupByKey]]),(OutputTable[GroupByKey]=OutputTable[[#This Row],[GroupByKey]])*OutputTable[RecordedValue])),0)</f>
        <v>46.574303154053879</v>
      </c>
      <c r="M431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431" cm="1">
        <f t="array" ref="O431">MIN(IF((OutputTable[GroupByKey]=OutputTable[[#This Row],[GroupByKey]]),(OutputTable[GroupByKey]=OutputTable[[#This Row],[GroupByKey]])*OutputTable[RecordedValue]))</f>
        <v>2306</v>
      </c>
      <c r="P431" cm="1">
        <f t="array" ref="P431">MAX(IF((OutputTable[GroupByKey]=OutputTable[[#This Row],[GroupByKey]]),(OutputTable[GroupByKey]=OutputTable[[#This Row],[GroupByKey]])*OutputTable[RecordedValue]))</f>
        <v>2518</v>
      </c>
    </row>
    <row r="432" spans="1:16" x14ac:dyDescent="0.25">
      <c r="A432" t="s">
        <v>68</v>
      </c>
      <c r="B432" t="s">
        <v>131</v>
      </c>
      <c r="C432">
        <v>26</v>
      </c>
      <c r="D432" t="s">
        <v>113</v>
      </c>
      <c r="E432" t="s">
        <v>107</v>
      </c>
      <c r="F432" t="s">
        <v>80</v>
      </c>
      <c r="G432">
        <v>2350</v>
      </c>
      <c r="H432">
        <v>0</v>
      </c>
      <c r="I432" t="str">
        <f>OutputTable[[#This Row],[ProjectName]]&amp;OutputTable[[#This Row],[Name]]&amp;OutputTable[[#This Row],[Type]]&amp;OutputTable[[#This Row],[Source]]</f>
        <v>PacientesProcess 2 Number OutNumber OutProcess</v>
      </c>
      <c r="J432" cm="1">
        <f t="array" ref="J432">MAX(IF((ProjectInfoTable[ProjectName]=OutputTable[[#This Row],[ProjectName]]),(ProjectInfoTable[ProjectName]=OutputTable[[#This Row],[ProjectName]])*ProjectInfoTable[NumberOfReplications]))</f>
        <v>50</v>
      </c>
      <c r="K432" cm="1">
        <f t="array" ref="K432">IFERROR(AVERAGE(IF((OutputTable[GroupByKey]=OutputTable[[#This Row],[GroupByKey]]),(OutputTable[GroupByKey]=OutputTable[[#This Row],[GroupByKey]])*OutputTable[RecordedValue])),0)</f>
        <v>2400.2800000000002</v>
      </c>
      <c r="L432" cm="1">
        <f t="array" ref="L432">IFERROR(_xlfn.STDEV.S(IF((OutputTable[GroupByKey]=OutputTable[[#This Row],[GroupByKey]]),(OutputTable[GroupByKey]=OutputTable[[#This Row],[GroupByKey]])*OutputTable[RecordedValue])),0)</f>
        <v>46.409024456676619</v>
      </c>
      <c r="M432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32" cm="1">
        <f t="array" ref="O432">MIN(IF((OutputTable[GroupByKey]=OutputTable[[#This Row],[GroupByKey]]),(OutputTable[GroupByKey]=OutputTable[[#This Row],[GroupByKey]])*OutputTable[RecordedValue]))</f>
        <v>2305</v>
      </c>
      <c r="P432" cm="1">
        <f t="array" ref="P432">MAX(IF((OutputTable[GroupByKey]=OutputTable[[#This Row],[GroupByKey]]),(OutputTable[GroupByKey]=OutputTable[[#This Row],[GroupByKey]])*OutputTable[RecordedValue]))</f>
        <v>2504</v>
      </c>
    </row>
    <row r="433" spans="1:16" x14ac:dyDescent="0.25">
      <c r="A433" t="s">
        <v>68</v>
      </c>
      <c r="B433" t="s">
        <v>131</v>
      </c>
      <c r="C433">
        <v>26</v>
      </c>
      <c r="D433" t="s">
        <v>114</v>
      </c>
      <c r="E433" t="s">
        <v>109</v>
      </c>
      <c r="F433" t="s">
        <v>80</v>
      </c>
      <c r="G433">
        <v>335.94122482100897</v>
      </c>
      <c r="H433">
        <v>0</v>
      </c>
      <c r="I433" t="str">
        <f>OutputTable[[#This Row],[ProjectName]]&amp;OutputTable[[#This Row],[Name]]&amp;OutputTable[[#This Row],[Type]]&amp;OutputTable[[#This Row],[Source]]</f>
        <v>PacientesRegistro Accum VA TimeAccum VA TimeProcess</v>
      </c>
      <c r="J433" cm="1">
        <f t="array" ref="J433">MAX(IF((ProjectInfoTable[ProjectName]=OutputTable[[#This Row],[ProjectName]]),(ProjectInfoTable[ProjectName]=OutputTable[[#This Row],[ProjectName]])*ProjectInfoTable[NumberOfReplications]))</f>
        <v>50</v>
      </c>
      <c r="K433" cm="1">
        <f t="array" ref="K433">IFERROR(AVERAGE(IF((OutputTable[GroupByKey]=OutputTable[[#This Row],[GroupByKey]]),(OutputTable[GroupByKey]=OutputTable[[#This Row],[GroupByKey]])*OutputTable[RecordedValue])),0)</f>
        <v>339.53547737062786</v>
      </c>
      <c r="L433" cm="1">
        <f t="array" ref="L433">IFERROR(_xlfn.STDEV.S(IF((OutputTable[GroupByKey]=OutputTable[[#This Row],[GroupByKey]]),(OutputTable[GroupByKey]=OutputTable[[#This Row],[GroupByKey]])*OutputTable[RecordedValue])),0)</f>
        <v>6.9723666109353193</v>
      </c>
      <c r="M433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433" cm="1">
        <f t="array" ref="O433">MIN(IF((OutputTable[GroupByKey]=OutputTable[[#This Row],[GroupByKey]]),(OutputTable[GroupByKey]=OutputTable[[#This Row],[GroupByKey]])*OutputTable[RecordedValue]))</f>
        <v>325.606879158418</v>
      </c>
      <c r="P433" cm="1">
        <f t="array" ref="P433">MAX(IF((OutputTable[GroupByKey]=OutputTable[[#This Row],[GroupByKey]]),(OutputTable[GroupByKey]=OutputTable[[#This Row],[GroupByKey]])*OutputTable[RecordedValue]))</f>
        <v>357.77609013379703</v>
      </c>
    </row>
    <row r="434" spans="1:16" x14ac:dyDescent="0.25">
      <c r="A434" t="s">
        <v>68</v>
      </c>
      <c r="B434" t="s">
        <v>131</v>
      </c>
      <c r="C434">
        <v>26</v>
      </c>
      <c r="D434" t="s">
        <v>115</v>
      </c>
      <c r="E434" t="s">
        <v>111</v>
      </c>
      <c r="F434" t="s">
        <v>80</v>
      </c>
      <c r="G434">
        <v>145.993060836534</v>
      </c>
      <c r="H434">
        <v>0</v>
      </c>
      <c r="I434" t="str">
        <f>OutputTable[[#This Row],[ProjectName]]&amp;OutputTable[[#This Row],[Name]]&amp;OutputTable[[#This Row],[Type]]&amp;OutputTable[[#This Row],[Source]]</f>
        <v>PacientesRegistro Accum Wait TimeAccum Wait TimeProcess</v>
      </c>
      <c r="J434" cm="1">
        <f t="array" ref="J434">MAX(IF((ProjectInfoTable[ProjectName]=OutputTable[[#This Row],[ProjectName]]),(ProjectInfoTable[ProjectName]=OutputTable[[#This Row],[ProjectName]])*ProjectInfoTable[NumberOfReplications]))</f>
        <v>50</v>
      </c>
      <c r="K434" cm="1">
        <f t="array" ref="K434">IFERROR(AVERAGE(IF((OutputTable[GroupByKey]=OutputTable[[#This Row],[GroupByKey]]),(OutputTable[GroupByKey]=OutputTable[[#This Row],[GroupByKey]])*OutputTable[RecordedValue])),0)</f>
        <v>154.15303898127775</v>
      </c>
      <c r="L434" cm="1">
        <f t="array" ref="L434">IFERROR(_xlfn.STDEV.S(IF((OutputTable[GroupByKey]=OutputTable[[#This Row],[GroupByKey]]),(OutputTable[GroupByKey]=OutputTable[[#This Row],[GroupByKey]])*OutputTable[RecordedValue])),0)</f>
        <v>12.141439184615397</v>
      </c>
      <c r="M434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434" cm="1">
        <f t="array" ref="O434">MIN(IF((OutputTable[GroupByKey]=OutputTable[[#This Row],[GroupByKey]]),(OutputTable[GroupByKey]=OutputTable[[#This Row],[GroupByKey]])*OutputTable[RecordedValue]))</f>
        <v>123.901613974094</v>
      </c>
      <c r="P434" cm="1">
        <f t="array" ref="P434">MAX(IF((OutputTable[GroupByKey]=OutputTable[[#This Row],[GroupByKey]]),(OutputTable[GroupByKey]=OutputTable[[#This Row],[GroupByKey]])*OutputTable[RecordedValue]))</f>
        <v>178.441307284473</v>
      </c>
    </row>
    <row r="435" spans="1:16" x14ac:dyDescent="0.25">
      <c r="A435" t="s">
        <v>68</v>
      </c>
      <c r="B435" t="s">
        <v>131</v>
      </c>
      <c r="C435">
        <v>26</v>
      </c>
      <c r="D435" t="s">
        <v>116</v>
      </c>
      <c r="E435" t="s">
        <v>105</v>
      </c>
      <c r="F435" t="s">
        <v>80</v>
      </c>
      <c r="G435">
        <v>2223</v>
      </c>
      <c r="H435">
        <v>0</v>
      </c>
      <c r="I435" t="str">
        <f>OutputTable[[#This Row],[ProjectName]]&amp;OutputTable[[#This Row],[Name]]&amp;OutputTable[[#This Row],[Type]]&amp;OutputTable[[#This Row],[Source]]</f>
        <v>PacientesRegistro Number InNumber InProcess</v>
      </c>
      <c r="J435" cm="1">
        <f t="array" ref="J435">MAX(IF((ProjectInfoTable[ProjectName]=OutputTable[[#This Row],[ProjectName]]),(ProjectInfoTable[ProjectName]=OutputTable[[#This Row],[ProjectName]])*ProjectInfoTable[NumberOfReplications]))</f>
        <v>50</v>
      </c>
      <c r="K435" cm="1">
        <f t="array" ref="K435">IFERROR(AVERAGE(IF((OutputTable[GroupByKey]=OutputTable[[#This Row],[GroupByKey]]),(OutputTable[GroupByKey]=OutputTable[[#This Row],[GroupByKey]])*OutputTable[RecordedValue])),0)</f>
        <v>2263.2399999999998</v>
      </c>
      <c r="L435" cm="1">
        <f t="array" ref="L435">IFERROR(_xlfn.STDEV.S(IF((OutputTable[GroupByKey]=OutputTable[[#This Row],[GroupByKey]]),(OutputTable[GroupByKey]=OutputTable[[#This Row],[GroupByKey]])*OutputTable[RecordedValue])),0)</f>
        <v>47.331035682472766</v>
      </c>
      <c r="M43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435" cm="1">
        <f t="array" ref="O435">MIN(IF((OutputTable[GroupByKey]=OutputTable[[#This Row],[GroupByKey]]),(OutputTable[GroupByKey]=OutputTable[[#This Row],[GroupByKey]])*OutputTable[RecordedValue]))</f>
        <v>2172</v>
      </c>
      <c r="P435" cm="1">
        <f t="array" ref="P435">MAX(IF((OutputTable[GroupByKey]=OutputTable[[#This Row],[GroupByKey]]),(OutputTable[GroupByKey]=OutputTable[[#This Row],[GroupByKey]])*OutputTable[RecordedValue]))</f>
        <v>2386</v>
      </c>
    </row>
    <row r="436" spans="1:16" x14ac:dyDescent="0.25">
      <c r="A436" t="s">
        <v>68</v>
      </c>
      <c r="B436" t="s">
        <v>131</v>
      </c>
      <c r="C436">
        <v>26</v>
      </c>
      <c r="D436" t="s">
        <v>117</v>
      </c>
      <c r="E436" t="s">
        <v>107</v>
      </c>
      <c r="F436" t="s">
        <v>80</v>
      </c>
      <c r="G436">
        <v>2222</v>
      </c>
      <c r="H436">
        <v>0</v>
      </c>
      <c r="I436" t="str">
        <f>OutputTable[[#This Row],[ProjectName]]&amp;OutputTable[[#This Row],[Name]]&amp;OutputTable[[#This Row],[Type]]&amp;OutputTable[[#This Row],[Source]]</f>
        <v>PacientesRegistro Number OutNumber OutProcess</v>
      </c>
      <c r="J436" cm="1">
        <f t="array" ref="J436">MAX(IF((ProjectInfoTable[ProjectName]=OutputTable[[#This Row],[ProjectName]]),(ProjectInfoTable[ProjectName]=OutputTable[[#This Row],[ProjectName]])*ProjectInfoTable[NumberOfReplications]))</f>
        <v>50</v>
      </c>
      <c r="K436" cm="1">
        <f t="array" ref="K436">IFERROR(AVERAGE(IF((OutputTable[GroupByKey]=OutputTable[[#This Row],[GroupByKey]]),(OutputTable[GroupByKey]=OutputTable[[#This Row],[GroupByKey]])*OutputTable[RecordedValue])),0)</f>
        <v>2262.66</v>
      </c>
      <c r="L436" cm="1">
        <f t="array" ref="L436">IFERROR(_xlfn.STDEV.S(IF((OutputTable[GroupByKey]=OutputTable[[#This Row],[GroupByKey]]),(OutputTable[GroupByKey]=OutputTable[[#This Row],[GroupByKey]])*OutputTable[RecordedValue])),0)</f>
        <v>47.488176831454687</v>
      </c>
      <c r="M436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436" cm="1">
        <f t="array" ref="O436">MIN(IF((OutputTable[GroupByKey]=OutputTable[[#This Row],[GroupByKey]]),(OutputTable[GroupByKey]=OutputTable[[#This Row],[GroupByKey]])*OutputTable[RecordedValue]))</f>
        <v>2171</v>
      </c>
      <c r="P436" cm="1">
        <f t="array" ref="P436">MAX(IF((OutputTable[GroupByKey]=OutputTable[[#This Row],[GroupByKey]]),(OutputTable[GroupByKey]=OutputTable[[#This Row],[GroupByKey]])*OutputTable[RecordedValue]))</f>
        <v>2386</v>
      </c>
    </row>
    <row r="437" spans="1:16" x14ac:dyDescent="0.25">
      <c r="A437" t="s">
        <v>68</v>
      </c>
      <c r="B437" t="s">
        <v>131</v>
      </c>
      <c r="C437">
        <v>26</v>
      </c>
      <c r="D437" t="s">
        <v>118</v>
      </c>
      <c r="E437" t="s">
        <v>107</v>
      </c>
      <c r="F437" t="s">
        <v>119</v>
      </c>
      <c r="G437">
        <v>2350</v>
      </c>
      <c r="H437">
        <v>0</v>
      </c>
      <c r="I437" t="str">
        <f>OutputTable[[#This Row],[ProjectName]]&amp;OutputTable[[#This Row],[Name]]&amp;OutputTable[[#This Row],[Type]]&amp;OutputTable[[#This Row],[Source]]</f>
        <v>PacientesSystem.NumberOutNumber OutSystem</v>
      </c>
      <c r="J437" cm="1">
        <f t="array" ref="J437">MAX(IF((ProjectInfoTable[ProjectName]=OutputTable[[#This Row],[ProjectName]]),(ProjectInfoTable[ProjectName]=OutputTable[[#This Row],[ProjectName]])*ProjectInfoTable[NumberOfReplications]))</f>
        <v>50</v>
      </c>
      <c r="K437" cm="1">
        <f t="array" ref="K437">IFERROR(AVERAGE(IF((OutputTable[GroupByKey]=OutputTable[[#This Row],[GroupByKey]]),(OutputTable[GroupByKey]=OutputTable[[#This Row],[GroupByKey]])*OutputTable[RecordedValue])),0)</f>
        <v>2400.2800000000002</v>
      </c>
      <c r="L437" cm="1">
        <f t="array" ref="L437">IFERROR(_xlfn.STDEV.S(IF((OutputTable[GroupByKey]=OutputTable[[#This Row],[GroupByKey]]),(OutputTable[GroupByKey]=OutputTable[[#This Row],[GroupByKey]])*OutputTable[RecordedValue])),0)</f>
        <v>46.409024456676619</v>
      </c>
      <c r="M437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37" cm="1">
        <f t="array" ref="O437">MIN(IF((OutputTable[GroupByKey]=OutputTable[[#This Row],[GroupByKey]]),(OutputTable[GroupByKey]=OutputTable[[#This Row],[GroupByKey]])*OutputTable[RecordedValue]))</f>
        <v>2305</v>
      </c>
      <c r="P437" cm="1">
        <f t="array" ref="P437">MAX(IF((OutputTable[GroupByKey]=OutputTable[[#This Row],[GroupByKey]]),(OutputTable[GroupByKey]=OutputTable[[#This Row],[GroupByKey]])*OutputTable[RecordedValue]))</f>
        <v>2504</v>
      </c>
    </row>
    <row r="438" spans="1:16" x14ac:dyDescent="0.25">
      <c r="A438" t="s">
        <v>68</v>
      </c>
      <c r="B438" t="s">
        <v>131</v>
      </c>
      <c r="C438">
        <v>26</v>
      </c>
      <c r="D438" t="s">
        <v>120</v>
      </c>
      <c r="E438" t="s">
        <v>121</v>
      </c>
      <c r="F438" t="s">
        <v>99</v>
      </c>
      <c r="G438">
        <v>2352</v>
      </c>
      <c r="H438">
        <v>0</v>
      </c>
      <c r="I438" t="str">
        <f>OutputTable[[#This Row],[ProjectName]]&amp;OutputTable[[#This Row],[Name]]&amp;OutputTable[[#This Row],[Type]]&amp;OutputTable[[#This Row],[Source]]</f>
        <v>PacientesrCamas.NumberSeizedTotal Number SeizedResource</v>
      </c>
      <c r="J438" cm="1">
        <f t="array" ref="J438">MAX(IF((ProjectInfoTable[ProjectName]=OutputTable[[#This Row],[ProjectName]]),(ProjectInfoTable[ProjectName]=OutputTable[[#This Row],[ProjectName]])*ProjectInfoTable[NumberOfReplications]))</f>
        <v>50</v>
      </c>
      <c r="K438" cm="1">
        <f t="array" ref="K438">IFERROR(AVERAGE(IF((OutputTable[GroupByKey]=OutputTable[[#This Row],[GroupByKey]]),(OutputTable[GroupByKey]=OutputTable[[#This Row],[GroupByKey]])*OutputTable[RecordedValue])),0)</f>
        <v>2401.9</v>
      </c>
      <c r="L438" cm="1">
        <f t="array" ref="L438">IFERROR(_xlfn.STDEV.S(IF((OutputTable[GroupByKey]=OutputTable[[#This Row],[GroupByKey]]),(OutputTable[GroupByKey]=OutputTable[[#This Row],[GroupByKey]])*OutputTable[RecordedValue])),0)</f>
        <v>46.417031532903209</v>
      </c>
      <c r="M438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38" cm="1">
        <f t="array" ref="O438">MIN(IF((OutputTable[GroupByKey]=OutputTable[[#This Row],[GroupByKey]]),(OutputTable[GroupByKey]=OutputTable[[#This Row],[GroupByKey]])*OutputTable[RecordedValue]))</f>
        <v>2306</v>
      </c>
      <c r="P438" cm="1">
        <f t="array" ref="P438">MAX(IF((OutputTable[GroupByKey]=OutputTable[[#This Row],[GroupByKey]]),(OutputTable[GroupByKey]=OutputTable[[#This Row],[GroupByKey]])*OutputTable[RecordedValue]))</f>
        <v>2506</v>
      </c>
    </row>
    <row r="439" spans="1:16" x14ac:dyDescent="0.25">
      <c r="A439" t="s">
        <v>68</v>
      </c>
      <c r="B439" t="s">
        <v>131</v>
      </c>
      <c r="C439">
        <v>26</v>
      </c>
      <c r="D439" t="s">
        <v>122</v>
      </c>
      <c r="E439" t="s">
        <v>123</v>
      </c>
      <c r="F439" t="s">
        <v>99</v>
      </c>
      <c r="G439">
        <v>0.53968806803205105</v>
      </c>
      <c r="H439">
        <v>0</v>
      </c>
      <c r="I439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439" cm="1">
        <f t="array" ref="J439">MAX(IF((ProjectInfoTable[ProjectName]=OutputTable[[#This Row],[ProjectName]]),(ProjectInfoTable[ProjectName]=OutputTable[[#This Row],[ProjectName]])*ProjectInfoTable[NumberOfReplications]))</f>
        <v>50</v>
      </c>
      <c r="K439" cm="1">
        <f t="array" ref="K439">IFERROR(AVERAGE(IF((OutputTable[GroupByKey]=OutputTable[[#This Row],[GroupByKey]]),(OutputTable[GroupByKey]=OutputTable[[#This Row],[GroupByKey]])*OutputTable[RecordedValue])),0)</f>
        <v>0.54703961359050601</v>
      </c>
      <c r="L439" cm="1">
        <f t="array" ref="L439">IFERROR(_xlfn.STDEV.S(IF((OutputTable[GroupByKey]=OutputTable[[#This Row],[GroupByKey]]),(OutputTable[GroupByKey]=OutputTable[[#This Row],[GroupByKey]])*OutputTable[RecordedValue])),0)</f>
        <v>1.0221170008030479E-2</v>
      </c>
      <c r="M439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439" cm="1">
        <f t="array" ref="O439">MIN(IF((OutputTable[GroupByKey]=OutputTable[[#This Row],[GroupByKey]]),(OutputTable[GroupByKey]=OutputTable[[#This Row],[GroupByKey]])*OutputTable[RecordedValue]))</f>
        <v>0.52470641844357901</v>
      </c>
      <c r="P439" cm="1">
        <f t="array" ref="P439">MAX(IF((OutputTable[GroupByKey]=OutputTable[[#This Row],[GroupByKey]]),(OutputTable[GroupByKey]=OutputTable[[#This Row],[GroupByKey]])*OutputTable[RecordedValue]))</f>
        <v>0.57005812966092295</v>
      </c>
    </row>
    <row r="440" spans="1:16" x14ac:dyDescent="0.25">
      <c r="A440" t="s">
        <v>68</v>
      </c>
      <c r="B440" t="s">
        <v>131</v>
      </c>
      <c r="C440">
        <v>26</v>
      </c>
      <c r="D440" t="s">
        <v>124</v>
      </c>
      <c r="E440" t="s">
        <v>121</v>
      </c>
      <c r="F440" t="s">
        <v>99</v>
      </c>
      <c r="G440">
        <v>2352</v>
      </c>
      <c r="H440">
        <v>0</v>
      </c>
      <c r="I440" t="str">
        <f>OutputTable[[#This Row],[ProjectName]]&amp;OutputTable[[#This Row],[Name]]&amp;OutputTable[[#This Row],[Type]]&amp;OutputTable[[#This Row],[Source]]</f>
        <v>PacientesrMedico.NumberSeizedTotal Number SeizedResource</v>
      </c>
      <c r="J440" cm="1">
        <f t="array" ref="J440">MAX(IF((ProjectInfoTable[ProjectName]=OutputTable[[#This Row],[ProjectName]]),(ProjectInfoTable[ProjectName]=OutputTable[[#This Row],[ProjectName]])*ProjectInfoTable[NumberOfReplications]))</f>
        <v>50</v>
      </c>
      <c r="K440" cm="1">
        <f t="array" ref="K440">IFERROR(AVERAGE(IF((OutputTable[GroupByKey]=OutputTable[[#This Row],[GroupByKey]]),(OutputTable[GroupByKey]=OutputTable[[#This Row],[GroupByKey]])*OutputTable[RecordedValue])),0)</f>
        <v>2401.9</v>
      </c>
      <c r="L440" cm="1">
        <f t="array" ref="L440">IFERROR(_xlfn.STDEV.S(IF((OutputTable[GroupByKey]=OutputTable[[#This Row],[GroupByKey]]),(OutputTable[GroupByKey]=OutputTable[[#This Row],[GroupByKey]])*OutputTable[RecordedValue])),0)</f>
        <v>46.417031532903209</v>
      </c>
      <c r="M440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40" cm="1">
        <f t="array" ref="O440">MIN(IF((OutputTable[GroupByKey]=OutputTable[[#This Row],[GroupByKey]]),(OutputTable[GroupByKey]=OutputTable[[#This Row],[GroupByKey]])*OutputTable[RecordedValue]))</f>
        <v>2306</v>
      </c>
      <c r="P440" cm="1">
        <f t="array" ref="P440">MAX(IF((OutputTable[GroupByKey]=OutputTable[[#This Row],[GroupByKey]]),(OutputTable[GroupByKey]=OutputTable[[#This Row],[GroupByKey]])*OutputTable[RecordedValue]))</f>
        <v>2506</v>
      </c>
    </row>
    <row r="441" spans="1:16" x14ac:dyDescent="0.25">
      <c r="A441" t="s">
        <v>68</v>
      </c>
      <c r="B441" t="s">
        <v>131</v>
      </c>
      <c r="C441">
        <v>26</v>
      </c>
      <c r="D441" t="s">
        <v>125</v>
      </c>
      <c r="E441" t="s">
        <v>123</v>
      </c>
      <c r="F441" t="s">
        <v>99</v>
      </c>
      <c r="G441">
        <v>0.80953210204807702</v>
      </c>
      <c r="H441">
        <v>0</v>
      </c>
      <c r="I441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441" cm="1">
        <f t="array" ref="J441">MAX(IF((ProjectInfoTable[ProjectName]=OutputTable[[#This Row],[ProjectName]]),(ProjectInfoTable[ProjectName]=OutputTable[[#This Row],[ProjectName]])*ProjectInfoTable[NumberOfReplications]))</f>
        <v>50</v>
      </c>
      <c r="K441" cm="1">
        <f t="array" ref="K441">IFERROR(AVERAGE(IF((OutputTable[GroupByKey]=OutputTable[[#This Row],[GroupByKey]]),(OutputTable[GroupByKey]=OutputTable[[#This Row],[GroupByKey]])*OutputTable[RecordedValue])),0)</f>
        <v>0.82055942038575935</v>
      </c>
      <c r="L441" cm="1">
        <f t="array" ref="L441">IFERROR(_xlfn.STDEV.S(IF((OutputTable[GroupByKey]=OutputTable[[#This Row],[GroupByKey]]),(OutputTable[GroupByKey]=OutputTable[[#This Row],[GroupByKey]])*OutputTable[RecordedValue])),0)</f>
        <v>1.5331755012045719E-2</v>
      </c>
      <c r="M441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441" cm="1">
        <f t="array" ref="O441">MIN(IF((OutputTable[GroupByKey]=OutputTable[[#This Row],[GroupByKey]]),(OutputTable[GroupByKey]=OutputTable[[#This Row],[GroupByKey]])*OutputTable[RecordedValue]))</f>
        <v>0.78705962766536897</v>
      </c>
      <c r="P441" cm="1">
        <f t="array" ref="P441">MAX(IF((OutputTable[GroupByKey]=OutputTable[[#This Row],[GroupByKey]]),(OutputTable[GroupByKey]=OutputTable[[#This Row],[GroupByKey]])*OutputTable[RecordedValue]))</f>
        <v>0.85508719449138504</v>
      </c>
    </row>
    <row r="442" spans="1:16" x14ac:dyDescent="0.25">
      <c r="A442" t="s">
        <v>68</v>
      </c>
      <c r="B442" t="s">
        <v>131</v>
      </c>
      <c r="C442">
        <v>26</v>
      </c>
      <c r="D442" t="s">
        <v>126</v>
      </c>
      <c r="E442" t="s">
        <v>121</v>
      </c>
      <c r="F442" t="s">
        <v>99</v>
      </c>
      <c r="G442">
        <v>2223</v>
      </c>
      <c r="H442">
        <v>0</v>
      </c>
      <c r="I442" t="str">
        <f>OutputTable[[#This Row],[ProjectName]]&amp;OutputTable[[#This Row],[Name]]&amp;OutputTable[[#This Row],[Type]]&amp;OutputTable[[#This Row],[Source]]</f>
        <v>PacientesrRegistradora.NumberSeizedTotal Number SeizedResource</v>
      </c>
      <c r="J442" cm="1">
        <f t="array" ref="J442">MAX(IF((ProjectInfoTable[ProjectName]=OutputTable[[#This Row],[ProjectName]]),(ProjectInfoTable[ProjectName]=OutputTable[[#This Row],[ProjectName]])*ProjectInfoTable[NumberOfReplications]))</f>
        <v>50</v>
      </c>
      <c r="K442" cm="1">
        <f t="array" ref="K442">IFERROR(AVERAGE(IF((OutputTable[GroupByKey]=OutputTable[[#This Row],[GroupByKey]]),(OutputTable[GroupByKey]=OutputTable[[#This Row],[GroupByKey]])*OutputTable[RecordedValue])),0)</f>
        <v>2263.14</v>
      </c>
      <c r="L442" cm="1">
        <f t="array" ref="L442">IFERROR(_xlfn.STDEV.S(IF((OutputTable[GroupByKey]=OutputTable[[#This Row],[GroupByKey]]),(OutputTable[GroupByKey]=OutputTable[[#This Row],[GroupByKey]])*OutputTable[RecordedValue])),0)</f>
        <v>47.386818971575821</v>
      </c>
      <c r="M442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442" cm="1">
        <f t="array" ref="O442">MIN(IF((OutputTable[GroupByKey]=OutputTable[[#This Row],[GroupByKey]]),(OutputTable[GroupByKey]=OutputTable[[#This Row],[GroupByKey]])*OutputTable[RecordedValue]))</f>
        <v>2172</v>
      </c>
      <c r="P442" cm="1">
        <f t="array" ref="P442">MAX(IF((OutputTable[GroupByKey]=OutputTable[[#This Row],[GroupByKey]]),(OutputTable[GroupByKey]=OutputTable[[#This Row],[GroupByKey]])*OutputTable[RecordedValue]))</f>
        <v>2386</v>
      </c>
    </row>
    <row r="443" spans="1:16" x14ac:dyDescent="0.25">
      <c r="A443" t="s">
        <v>68</v>
      </c>
      <c r="B443" t="s">
        <v>131</v>
      </c>
      <c r="C443">
        <v>26</v>
      </c>
      <c r="D443" t="s">
        <v>127</v>
      </c>
      <c r="E443" t="s">
        <v>123</v>
      </c>
      <c r="F443" t="s">
        <v>99</v>
      </c>
      <c r="G443">
        <v>0.46670421348638402</v>
      </c>
      <c r="H443">
        <v>0</v>
      </c>
      <c r="I443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443" cm="1">
        <f t="array" ref="J443">MAX(IF((ProjectInfoTable[ProjectName]=OutputTable[[#This Row],[ProjectName]]),(ProjectInfoTable[ProjectName]=OutputTable[[#This Row],[ProjectName]])*ProjectInfoTable[NumberOfReplications]))</f>
        <v>50</v>
      </c>
      <c r="K443" cm="1">
        <f t="array" ref="K443">IFERROR(AVERAGE(IF((OutputTable[GroupByKey]=OutputTable[[#This Row],[GroupByKey]]),(OutputTable[GroupByKey]=OutputTable[[#This Row],[GroupByKey]])*OutputTable[RecordedValue])),0)</f>
        <v>0.47162762933545666</v>
      </c>
      <c r="L443" cm="1">
        <f t="array" ref="L443">IFERROR(_xlfn.STDEV.S(IF((OutputTable[GroupByKey]=OutputTable[[#This Row],[GroupByKey]]),(OutputTable[GroupByKey]=OutputTable[[#This Row],[GroupByKey]])*OutputTable[RecordedValue])),0)</f>
        <v>9.6615227076777797E-3</v>
      </c>
      <c r="M443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443" cm="1">
        <f t="array" ref="O443">MIN(IF((OutputTable[GroupByKey]=OutputTable[[#This Row],[GroupByKey]]),(OutputTable[GroupByKey]=OutputTable[[#This Row],[GroupByKey]])*OutputTable[RecordedValue]))</f>
        <v>0.452397944183905</v>
      </c>
      <c r="P443" cm="1">
        <f t="array" ref="P443">MAX(IF((OutputTable[GroupByKey]=OutputTable[[#This Row],[GroupByKey]]),(OutputTable[GroupByKey]=OutputTable[[#This Row],[GroupByKey]])*OutputTable[RecordedValue]))</f>
        <v>0.49691123629694001</v>
      </c>
    </row>
    <row r="444" spans="1:16" x14ac:dyDescent="0.25">
      <c r="A444" t="s">
        <v>68</v>
      </c>
      <c r="B444" t="s">
        <v>131</v>
      </c>
      <c r="C444">
        <v>27</v>
      </c>
      <c r="D444" t="s">
        <v>104</v>
      </c>
      <c r="E444" t="s">
        <v>105</v>
      </c>
      <c r="F444" t="s">
        <v>72</v>
      </c>
      <c r="G444">
        <v>2424</v>
      </c>
      <c r="H444">
        <v>0</v>
      </c>
      <c r="I444" t="str">
        <f>OutputTable[[#This Row],[ProjectName]]&amp;OutputTable[[#This Row],[Name]]&amp;OutputTable[[#This Row],[Type]]&amp;OutputTable[[#This Row],[Source]]</f>
        <v>PacientesEntity 1.NumberInNumber InEntity</v>
      </c>
      <c r="J444" cm="1">
        <f t="array" ref="J444">MAX(IF((ProjectInfoTable[ProjectName]=OutputTable[[#This Row],[ProjectName]]),(ProjectInfoTable[ProjectName]=OutputTable[[#This Row],[ProjectName]])*ProjectInfoTable[NumberOfReplications]))</f>
        <v>50</v>
      </c>
      <c r="K444" cm="1">
        <f t="array" ref="K444">IFERROR(AVERAGE(IF((OutputTable[GroupByKey]=OutputTable[[#This Row],[GroupByKey]]),(OutputTable[GroupByKey]=OutputTable[[#This Row],[GroupByKey]])*OutputTable[RecordedValue])),0)</f>
        <v>2404.8200000000002</v>
      </c>
      <c r="L444" cm="1">
        <f t="array" ref="L444">IFERROR(_xlfn.STDEV.S(IF((OutputTable[GroupByKey]=OutputTable[[#This Row],[GroupByKey]]),(OutputTable[GroupByKey]=OutputTable[[#This Row],[GroupByKey]])*OutputTable[RecordedValue])),0)</f>
        <v>46.42953405595474</v>
      </c>
      <c r="M444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444" cm="1">
        <f t="array" ref="O444">MIN(IF((OutputTable[GroupByKey]=OutputTable[[#This Row],[GroupByKey]]),(OutputTable[GroupByKey]=OutputTable[[#This Row],[GroupByKey]])*OutputTable[RecordedValue]))</f>
        <v>2307</v>
      </c>
      <c r="P444" cm="1">
        <f t="array" ref="P444">MAX(IF((OutputTable[GroupByKey]=OutputTable[[#This Row],[GroupByKey]]),(OutputTable[GroupByKey]=OutputTable[[#This Row],[GroupByKey]])*OutputTable[RecordedValue]))</f>
        <v>2518</v>
      </c>
    </row>
    <row r="445" spans="1:16" x14ac:dyDescent="0.25">
      <c r="A445" t="s">
        <v>68</v>
      </c>
      <c r="B445" t="s">
        <v>131</v>
      </c>
      <c r="C445">
        <v>27</v>
      </c>
      <c r="D445" t="s">
        <v>106</v>
      </c>
      <c r="E445" t="s">
        <v>107</v>
      </c>
      <c r="F445" t="s">
        <v>72</v>
      </c>
      <c r="G445">
        <v>2414</v>
      </c>
      <c r="H445">
        <v>0</v>
      </c>
      <c r="I445" t="str">
        <f>OutputTable[[#This Row],[ProjectName]]&amp;OutputTable[[#This Row],[Name]]&amp;OutputTable[[#This Row],[Type]]&amp;OutputTable[[#This Row],[Source]]</f>
        <v>PacientesEntity 1.NumberOutNumber OutEntity</v>
      </c>
      <c r="J445" cm="1">
        <f t="array" ref="J445">MAX(IF((ProjectInfoTable[ProjectName]=OutputTable[[#This Row],[ProjectName]]),(ProjectInfoTable[ProjectName]=OutputTable[[#This Row],[ProjectName]])*ProjectInfoTable[NumberOfReplications]))</f>
        <v>50</v>
      </c>
      <c r="K445" cm="1">
        <f t="array" ref="K445">IFERROR(AVERAGE(IF((OutputTable[GroupByKey]=OutputTable[[#This Row],[GroupByKey]]),(OutputTable[GroupByKey]=OutputTable[[#This Row],[GroupByKey]])*OutputTable[RecordedValue])),0)</f>
        <v>2400.2800000000002</v>
      </c>
      <c r="L445" cm="1">
        <f t="array" ref="L445">IFERROR(_xlfn.STDEV.S(IF((OutputTable[GroupByKey]=OutputTable[[#This Row],[GroupByKey]]),(OutputTable[GroupByKey]=OutputTable[[#This Row],[GroupByKey]])*OutputTable[RecordedValue])),0)</f>
        <v>46.409024456676619</v>
      </c>
      <c r="M44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45" cm="1">
        <f t="array" ref="O445">MIN(IF((OutputTable[GroupByKey]=OutputTable[[#This Row],[GroupByKey]]),(OutputTable[GroupByKey]=OutputTable[[#This Row],[GroupByKey]])*OutputTable[RecordedValue]))</f>
        <v>2305</v>
      </c>
      <c r="P445" cm="1">
        <f t="array" ref="P445">MAX(IF((OutputTable[GroupByKey]=OutputTable[[#This Row],[GroupByKey]]),(OutputTable[GroupByKey]=OutputTable[[#This Row],[GroupByKey]])*OutputTable[RecordedValue]))</f>
        <v>2504</v>
      </c>
    </row>
    <row r="446" spans="1:16" x14ac:dyDescent="0.25">
      <c r="A446" t="s">
        <v>68</v>
      </c>
      <c r="B446" t="s">
        <v>131</v>
      </c>
      <c r="C446">
        <v>27</v>
      </c>
      <c r="D446" t="s">
        <v>108</v>
      </c>
      <c r="E446" t="s">
        <v>109</v>
      </c>
      <c r="F446" t="s">
        <v>80</v>
      </c>
      <c r="G446">
        <v>1211.05276820176</v>
      </c>
      <c r="H446">
        <v>0</v>
      </c>
      <c r="I446" t="str">
        <f>OutputTable[[#This Row],[ProjectName]]&amp;OutputTable[[#This Row],[Name]]&amp;OutputTable[[#This Row],[Type]]&amp;OutputTable[[#This Row],[Source]]</f>
        <v>PacientesProcess 2 Accum VA TimeAccum VA TimeProcess</v>
      </c>
      <c r="J446" cm="1">
        <f t="array" ref="J446">MAX(IF((ProjectInfoTable[ProjectName]=OutputTable[[#This Row],[ProjectName]]),(ProjectInfoTable[ProjectName]=OutputTable[[#This Row],[ProjectName]])*ProjectInfoTable[NumberOfReplications]))</f>
        <v>50</v>
      </c>
      <c r="K446" cm="1">
        <f t="array" ref="K446">IFERROR(AVERAGE(IF((OutputTable[GroupByKey]=OutputTable[[#This Row],[GroupByKey]]),(OutputTable[GroupByKey]=OutputTable[[#This Row],[GroupByKey]])*OutputTable[RecordedValue])),0)</f>
        <v>1181.1234936767919</v>
      </c>
      <c r="L446" cm="1">
        <f t="array" ref="L446">IFERROR(_xlfn.STDEV.S(IF((OutputTable[GroupByKey]=OutputTable[[#This Row],[GroupByKey]]),(OutputTable[GroupByKey]=OutputTable[[#This Row],[GroupByKey]])*OutputTable[RecordedValue])),0)</f>
        <v>22.169313666927575</v>
      </c>
      <c r="M446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446" cm="1">
        <f t="array" ref="O446">MIN(IF((OutputTable[GroupByKey]=OutputTable[[#This Row],[GroupByKey]]),(OutputTable[GroupByKey]=OutputTable[[#This Row],[GroupByKey]])*OutputTable[RecordedValue]))</f>
        <v>1133.24622318414</v>
      </c>
      <c r="P446" cm="1">
        <f t="array" ref="P446">MAX(IF((OutputTable[GroupByKey]=OutputTable[[#This Row],[GroupByKey]]),(OutputTable[GroupByKey]=OutputTable[[#This Row],[GroupByKey]])*OutputTable[RecordedValue]))</f>
        <v>1230.9493287309799</v>
      </c>
    </row>
    <row r="447" spans="1:16" x14ac:dyDescent="0.25">
      <c r="A447" t="s">
        <v>68</v>
      </c>
      <c r="B447" t="s">
        <v>131</v>
      </c>
      <c r="C447">
        <v>27</v>
      </c>
      <c r="D447" t="s">
        <v>110</v>
      </c>
      <c r="E447" t="s">
        <v>111</v>
      </c>
      <c r="F447" t="s">
        <v>80</v>
      </c>
      <c r="G447">
        <v>3269.0858002883801</v>
      </c>
      <c r="H447">
        <v>0</v>
      </c>
      <c r="I447" t="str">
        <f>OutputTable[[#This Row],[ProjectName]]&amp;OutputTable[[#This Row],[Name]]&amp;OutputTable[[#This Row],[Type]]&amp;OutputTable[[#This Row],[Source]]</f>
        <v>PacientesProcess 2 Accum Wait TimeAccum Wait TimeProcess</v>
      </c>
      <c r="J447" cm="1">
        <f t="array" ref="J447">MAX(IF((ProjectInfoTable[ProjectName]=OutputTable[[#This Row],[ProjectName]]),(ProjectInfoTable[ProjectName]=OutputTable[[#This Row],[ProjectName]])*ProjectInfoTable[NumberOfReplications]))</f>
        <v>50</v>
      </c>
      <c r="K447" cm="1">
        <f t="array" ref="K447">IFERROR(AVERAGE(IF((OutputTable[GroupByKey]=OutputTable[[#This Row],[GroupByKey]]),(OutputTable[GroupByKey]=OutputTable[[#This Row],[GroupByKey]])*OutputTable[RecordedValue])),0)</f>
        <v>1938.7515507466894</v>
      </c>
      <c r="L447" cm="1">
        <f t="array" ref="L447">IFERROR(_xlfn.STDEV.S(IF((OutputTable[GroupByKey]=OutputTable[[#This Row],[GroupByKey]]),(OutputTable[GroupByKey]=OutputTable[[#This Row],[GroupByKey]])*OutputTable[RecordedValue])),0)</f>
        <v>534.03396241838232</v>
      </c>
      <c r="M447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447" cm="1">
        <f t="array" ref="O447">MIN(IF((OutputTable[GroupByKey]=OutputTable[[#This Row],[GroupByKey]]),(OutputTable[GroupByKey]=OutputTable[[#This Row],[GroupByKey]])*OutputTable[RecordedValue]))</f>
        <v>1234.7567994731401</v>
      </c>
      <c r="P447" cm="1">
        <f t="array" ref="P447">MAX(IF((OutputTable[GroupByKey]=OutputTable[[#This Row],[GroupByKey]]),(OutputTable[GroupByKey]=OutputTable[[#This Row],[GroupByKey]])*OutputTable[RecordedValue]))</f>
        <v>3269.0858002883801</v>
      </c>
    </row>
    <row r="448" spans="1:16" x14ac:dyDescent="0.25">
      <c r="A448" t="s">
        <v>68</v>
      </c>
      <c r="B448" t="s">
        <v>131</v>
      </c>
      <c r="C448">
        <v>27</v>
      </c>
      <c r="D448" t="s">
        <v>112</v>
      </c>
      <c r="E448" t="s">
        <v>105</v>
      </c>
      <c r="F448" t="s">
        <v>80</v>
      </c>
      <c r="G448">
        <v>2423</v>
      </c>
      <c r="H448">
        <v>0</v>
      </c>
      <c r="I448" t="str">
        <f>OutputTable[[#This Row],[ProjectName]]&amp;OutputTable[[#This Row],[Name]]&amp;OutputTable[[#This Row],[Type]]&amp;OutputTable[[#This Row],[Source]]</f>
        <v>PacientesProcess 2 Number InNumber InProcess</v>
      </c>
      <c r="J448" cm="1">
        <f t="array" ref="J448">MAX(IF((ProjectInfoTable[ProjectName]=OutputTable[[#This Row],[ProjectName]]),(ProjectInfoTable[ProjectName]=OutputTable[[#This Row],[ProjectName]])*ProjectInfoTable[NumberOfReplications]))</f>
        <v>50</v>
      </c>
      <c r="K448" cm="1">
        <f t="array" ref="K448">IFERROR(AVERAGE(IF((OutputTable[GroupByKey]=OutputTable[[#This Row],[GroupByKey]]),(OutputTable[GroupByKey]=OutputTable[[#This Row],[GroupByKey]])*OutputTable[RecordedValue])),0)</f>
        <v>2404.2399999999998</v>
      </c>
      <c r="L448" cm="1">
        <f t="array" ref="L448">IFERROR(_xlfn.STDEV.S(IF((OutputTable[GroupByKey]=OutputTable[[#This Row],[GroupByKey]]),(OutputTable[GroupByKey]=OutputTable[[#This Row],[GroupByKey]])*OutputTable[RecordedValue])),0)</f>
        <v>46.574303154053879</v>
      </c>
      <c r="M448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448" cm="1">
        <f t="array" ref="O448">MIN(IF((OutputTable[GroupByKey]=OutputTable[[#This Row],[GroupByKey]]),(OutputTable[GroupByKey]=OutputTable[[#This Row],[GroupByKey]])*OutputTable[RecordedValue]))</f>
        <v>2306</v>
      </c>
      <c r="P448" cm="1">
        <f t="array" ref="P448">MAX(IF((OutputTable[GroupByKey]=OutputTable[[#This Row],[GroupByKey]]),(OutputTable[GroupByKey]=OutputTable[[#This Row],[GroupByKey]])*OutputTable[RecordedValue]))</f>
        <v>2518</v>
      </c>
    </row>
    <row r="449" spans="1:16" x14ac:dyDescent="0.25">
      <c r="A449" t="s">
        <v>68</v>
      </c>
      <c r="B449" t="s">
        <v>131</v>
      </c>
      <c r="C449">
        <v>27</v>
      </c>
      <c r="D449" t="s">
        <v>113</v>
      </c>
      <c r="E449" t="s">
        <v>107</v>
      </c>
      <c r="F449" t="s">
        <v>80</v>
      </c>
      <c r="G449">
        <v>2414</v>
      </c>
      <c r="H449">
        <v>0</v>
      </c>
      <c r="I449" t="str">
        <f>OutputTable[[#This Row],[ProjectName]]&amp;OutputTable[[#This Row],[Name]]&amp;OutputTable[[#This Row],[Type]]&amp;OutputTable[[#This Row],[Source]]</f>
        <v>PacientesProcess 2 Number OutNumber OutProcess</v>
      </c>
      <c r="J449" cm="1">
        <f t="array" ref="J449">MAX(IF((ProjectInfoTable[ProjectName]=OutputTable[[#This Row],[ProjectName]]),(ProjectInfoTable[ProjectName]=OutputTable[[#This Row],[ProjectName]])*ProjectInfoTable[NumberOfReplications]))</f>
        <v>50</v>
      </c>
      <c r="K449" cm="1">
        <f t="array" ref="K449">IFERROR(AVERAGE(IF((OutputTable[GroupByKey]=OutputTable[[#This Row],[GroupByKey]]),(OutputTable[GroupByKey]=OutputTable[[#This Row],[GroupByKey]])*OutputTable[RecordedValue])),0)</f>
        <v>2400.2800000000002</v>
      </c>
      <c r="L449" cm="1">
        <f t="array" ref="L449">IFERROR(_xlfn.STDEV.S(IF((OutputTable[GroupByKey]=OutputTable[[#This Row],[GroupByKey]]),(OutputTable[GroupByKey]=OutputTable[[#This Row],[GroupByKey]])*OutputTable[RecordedValue])),0)</f>
        <v>46.409024456676619</v>
      </c>
      <c r="M449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49" cm="1">
        <f t="array" ref="O449">MIN(IF((OutputTable[GroupByKey]=OutputTable[[#This Row],[GroupByKey]]),(OutputTable[GroupByKey]=OutputTable[[#This Row],[GroupByKey]])*OutputTable[RecordedValue]))</f>
        <v>2305</v>
      </c>
      <c r="P449" cm="1">
        <f t="array" ref="P449">MAX(IF((OutputTable[GroupByKey]=OutputTable[[#This Row],[GroupByKey]]),(OutputTable[GroupByKey]=OutputTable[[#This Row],[GroupByKey]])*OutputTable[RecordedValue]))</f>
        <v>2504</v>
      </c>
    </row>
    <row r="450" spans="1:16" x14ac:dyDescent="0.25">
      <c r="A450" t="s">
        <v>68</v>
      </c>
      <c r="B450" t="s">
        <v>131</v>
      </c>
      <c r="C450">
        <v>27</v>
      </c>
      <c r="D450" t="s">
        <v>114</v>
      </c>
      <c r="E450" t="s">
        <v>109</v>
      </c>
      <c r="F450" t="s">
        <v>80</v>
      </c>
      <c r="G450">
        <v>341.36749066326399</v>
      </c>
      <c r="H450">
        <v>0</v>
      </c>
      <c r="I450" t="str">
        <f>OutputTable[[#This Row],[ProjectName]]&amp;OutputTable[[#This Row],[Name]]&amp;OutputTable[[#This Row],[Type]]&amp;OutputTable[[#This Row],[Source]]</f>
        <v>PacientesRegistro Accum VA TimeAccum VA TimeProcess</v>
      </c>
      <c r="J450" cm="1">
        <f t="array" ref="J450">MAX(IF((ProjectInfoTable[ProjectName]=OutputTable[[#This Row],[ProjectName]]),(ProjectInfoTable[ProjectName]=OutputTable[[#This Row],[ProjectName]])*ProjectInfoTable[NumberOfReplications]))</f>
        <v>50</v>
      </c>
      <c r="K450" cm="1">
        <f t="array" ref="K450">IFERROR(AVERAGE(IF((OutputTable[GroupByKey]=OutputTable[[#This Row],[GroupByKey]]),(OutputTable[GroupByKey]=OutputTable[[#This Row],[GroupByKey]])*OutputTable[RecordedValue])),0)</f>
        <v>339.53547737062786</v>
      </c>
      <c r="L450" cm="1">
        <f t="array" ref="L450">IFERROR(_xlfn.STDEV.S(IF((OutputTable[GroupByKey]=OutputTable[[#This Row],[GroupByKey]]),(OutputTable[GroupByKey]=OutputTable[[#This Row],[GroupByKey]])*OutputTable[RecordedValue])),0)</f>
        <v>6.9723666109353193</v>
      </c>
      <c r="M450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450" cm="1">
        <f t="array" ref="O450">MIN(IF((OutputTable[GroupByKey]=OutputTable[[#This Row],[GroupByKey]]),(OutputTable[GroupByKey]=OutputTable[[#This Row],[GroupByKey]])*OutputTable[RecordedValue]))</f>
        <v>325.606879158418</v>
      </c>
      <c r="P450" cm="1">
        <f t="array" ref="P450">MAX(IF((OutputTable[GroupByKey]=OutputTable[[#This Row],[GroupByKey]]),(OutputTable[GroupByKey]=OutputTable[[#This Row],[GroupByKey]])*OutputTable[RecordedValue]))</f>
        <v>357.77609013379703</v>
      </c>
    </row>
    <row r="451" spans="1:16" x14ac:dyDescent="0.25">
      <c r="A451" t="s">
        <v>68</v>
      </c>
      <c r="B451" t="s">
        <v>131</v>
      </c>
      <c r="C451">
        <v>27</v>
      </c>
      <c r="D451" t="s">
        <v>115</v>
      </c>
      <c r="E451" t="s">
        <v>111</v>
      </c>
      <c r="F451" t="s">
        <v>80</v>
      </c>
      <c r="G451">
        <v>163.786103550984</v>
      </c>
      <c r="H451">
        <v>0</v>
      </c>
      <c r="I451" t="str">
        <f>OutputTable[[#This Row],[ProjectName]]&amp;OutputTable[[#This Row],[Name]]&amp;OutputTable[[#This Row],[Type]]&amp;OutputTable[[#This Row],[Source]]</f>
        <v>PacientesRegistro Accum Wait TimeAccum Wait TimeProcess</v>
      </c>
      <c r="J451" cm="1">
        <f t="array" ref="J451">MAX(IF((ProjectInfoTable[ProjectName]=OutputTable[[#This Row],[ProjectName]]),(ProjectInfoTable[ProjectName]=OutputTable[[#This Row],[ProjectName]])*ProjectInfoTable[NumberOfReplications]))</f>
        <v>50</v>
      </c>
      <c r="K451" cm="1">
        <f t="array" ref="K451">IFERROR(AVERAGE(IF((OutputTable[GroupByKey]=OutputTable[[#This Row],[GroupByKey]]),(OutputTable[GroupByKey]=OutputTable[[#This Row],[GroupByKey]])*OutputTable[RecordedValue])),0)</f>
        <v>154.15303898127775</v>
      </c>
      <c r="L451" cm="1">
        <f t="array" ref="L451">IFERROR(_xlfn.STDEV.S(IF((OutputTable[GroupByKey]=OutputTable[[#This Row],[GroupByKey]]),(OutputTable[GroupByKey]=OutputTable[[#This Row],[GroupByKey]])*OutputTable[RecordedValue])),0)</f>
        <v>12.141439184615397</v>
      </c>
      <c r="M451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451" cm="1">
        <f t="array" ref="O451">MIN(IF((OutputTable[GroupByKey]=OutputTable[[#This Row],[GroupByKey]]),(OutputTable[GroupByKey]=OutputTable[[#This Row],[GroupByKey]])*OutputTable[RecordedValue]))</f>
        <v>123.901613974094</v>
      </c>
      <c r="P451" cm="1">
        <f t="array" ref="P451">MAX(IF((OutputTable[GroupByKey]=OutputTable[[#This Row],[GroupByKey]]),(OutputTable[GroupByKey]=OutputTable[[#This Row],[GroupByKey]])*OutputTable[RecordedValue]))</f>
        <v>178.441307284473</v>
      </c>
    </row>
    <row r="452" spans="1:16" x14ac:dyDescent="0.25">
      <c r="A452" t="s">
        <v>68</v>
      </c>
      <c r="B452" t="s">
        <v>131</v>
      </c>
      <c r="C452">
        <v>27</v>
      </c>
      <c r="D452" t="s">
        <v>116</v>
      </c>
      <c r="E452" t="s">
        <v>105</v>
      </c>
      <c r="F452" t="s">
        <v>80</v>
      </c>
      <c r="G452">
        <v>2273</v>
      </c>
      <c r="H452">
        <v>0</v>
      </c>
      <c r="I452" t="str">
        <f>OutputTable[[#This Row],[ProjectName]]&amp;OutputTable[[#This Row],[Name]]&amp;OutputTable[[#This Row],[Type]]&amp;OutputTable[[#This Row],[Source]]</f>
        <v>PacientesRegistro Number InNumber InProcess</v>
      </c>
      <c r="J452" cm="1">
        <f t="array" ref="J452">MAX(IF((ProjectInfoTable[ProjectName]=OutputTable[[#This Row],[ProjectName]]),(ProjectInfoTable[ProjectName]=OutputTable[[#This Row],[ProjectName]])*ProjectInfoTable[NumberOfReplications]))</f>
        <v>50</v>
      </c>
      <c r="K452" cm="1">
        <f t="array" ref="K452">IFERROR(AVERAGE(IF((OutputTable[GroupByKey]=OutputTable[[#This Row],[GroupByKey]]),(OutputTable[GroupByKey]=OutputTable[[#This Row],[GroupByKey]])*OutputTable[RecordedValue])),0)</f>
        <v>2263.2399999999998</v>
      </c>
      <c r="L452" cm="1">
        <f t="array" ref="L452">IFERROR(_xlfn.STDEV.S(IF((OutputTable[GroupByKey]=OutputTable[[#This Row],[GroupByKey]]),(OutputTable[GroupByKey]=OutputTable[[#This Row],[GroupByKey]])*OutputTable[RecordedValue])),0)</f>
        <v>47.331035682472766</v>
      </c>
      <c r="M452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452" cm="1">
        <f t="array" ref="O452">MIN(IF((OutputTable[GroupByKey]=OutputTable[[#This Row],[GroupByKey]]),(OutputTable[GroupByKey]=OutputTable[[#This Row],[GroupByKey]])*OutputTable[RecordedValue]))</f>
        <v>2172</v>
      </c>
      <c r="P452" cm="1">
        <f t="array" ref="P452">MAX(IF((OutputTable[GroupByKey]=OutputTable[[#This Row],[GroupByKey]]),(OutputTable[GroupByKey]=OutputTable[[#This Row],[GroupByKey]])*OutputTable[RecordedValue]))</f>
        <v>2386</v>
      </c>
    </row>
    <row r="453" spans="1:16" x14ac:dyDescent="0.25">
      <c r="A453" t="s">
        <v>68</v>
      </c>
      <c r="B453" t="s">
        <v>131</v>
      </c>
      <c r="C453">
        <v>27</v>
      </c>
      <c r="D453" t="s">
        <v>117</v>
      </c>
      <c r="E453" t="s">
        <v>107</v>
      </c>
      <c r="F453" t="s">
        <v>80</v>
      </c>
      <c r="G453">
        <v>2272</v>
      </c>
      <c r="H453">
        <v>0</v>
      </c>
      <c r="I453" t="str">
        <f>OutputTable[[#This Row],[ProjectName]]&amp;OutputTable[[#This Row],[Name]]&amp;OutputTable[[#This Row],[Type]]&amp;OutputTable[[#This Row],[Source]]</f>
        <v>PacientesRegistro Number OutNumber OutProcess</v>
      </c>
      <c r="J453" cm="1">
        <f t="array" ref="J453">MAX(IF((ProjectInfoTable[ProjectName]=OutputTable[[#This Row],[ProjectName]]),(ProjectInfoTable[ProjectName]=OutputTable[[#This Row],[ProjectName]])*ProjectInfoTable[NumberOfReplications]))</f>
        <v>50</v>
      </c>
      <c r="K453" cm="1">
        <f t="array" ref="K453">IFERROR(AVERAGE(IF((OutputTable[GroupByKey]=OutputTable[[#This Row],[GroupByKey]]),(OutputTable[GroupByKey]=OutputTable[[#This Row],[GroupByKey]])*OutputTable[RecordedValue])),0)</f>
        <v>2262.66</v>
      </c>
      <c r="L453" cm="1">
        <f t="array" ref="L453">IFERROR(_xlfn.STDEV.S(IF((OutputTable[GroupByKey]=OutputTable[[#This Row],[GroupByKey]]),(OutputTable[GroupByKey]=OutputTable[[#This Row],[GroupByKey]])*OutputTable[RecordedValue])),0)</f>
        <v>47.488176831454687</v>
      </c>
      <c r="M453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453" cm="1">
        <f t="array" ref="O453">MIN(IF((OutputTable[GroupByKey]=OutputTable[[#This Row],[GroupByKey]]),(OutputTable[GroupByKey]=OutputTable[[#This Row],[GroupByKey]])*OutputTable[RecordedValue]))</f>
        <v>2171</v>
      </c>
      <c r="P453" cm="1">
        <f t="array" ref="P453">MAX(IF((OutputTable[GroupByKey]=OutputTable[[#This Row],[GroupByKey]]),(OutputTable[GroupByKey]=OutputTable[[#This Row],[GroupByKey]])*OutputTable[RecordedValue]))</f>
        <v>2386</v>
      </c>
    </row>
    <row r="454" spans="1:16" x14ac:dyDescent="0.25">
      <c r="A454" t="s">
        <v>68</v>
      </c>
      <c r="B454" t="s">
        <v>131</v>
      </c>
      <c r="C454">
        <v>27</v>
      </c>
      <c r="D454" t="s">
        <v>118</v>
      </c>
      <c r="E454" t="s">
        <v>107</v>
      </c>
      <c r="F454" t="s">
        <v>119</v>
      </c>
      <c r="G454">
        <v>2414</v>
      </c>
      <c r="H454">
        <v>0</v>
      </c>
      <c r="I454" t="str">
        <f>OutputTable[[#This Row],[ProjectName]]&amp;OutputTable[[#This Row],[Name]]&amp;OutputTable[[#This Row],[Type]]&amp;OutputTable[[#This Row],[Source]]</f>
        <v>PacientesSystem.NumberOutNumber OutSystem</v>
      </c>
      <c r="J454" cm="1">
        <f t="array" ref="J454">MAX(IF((ProjectInfoTable[ProjectName]=OutputTable[[#This Row],[ProjectName]]),(ProjectInfoTable[ProjectName]=OutputTable[[#This Row],[ProjectName]])*ProjectInfoTable[NumberOfReplications]))</f>
        <v>50</v>
      </c>
      <c r="K454" cm="1">
        <f t="array" ref="K454">IFERROR(AVERAGE(IF((OutputTable[GroupByKey]=OutputTable[[#This Row],[GroupByKey]]),(OutputTable[GroupByKey]=OutputTable[[#This Row],[GroupByKey]])*OutputTable[RecordedValue])),0)</f>
        <v>2400.2800000000002</v>
      </c>
      <c r="L454" cm="1">
        <f t="array" ref="L454">IFERROR(_xlfn.STDEV.S(IF((OutputTable[GroupByKey]=OutputTable[[#This Row],[GroupByKey]]),(OutputTable[GroupByKey]=OutputTable[[#This Row],[GroupByKey]])*OutputTable[RecordedValue])),0)</f>
        <v>46.409024456676619</v>
      </c>
      <c r="M454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54" cm="1">
        <f t="array" ref="O454">MIN(IF((OutputTable[GroupByKey]=OutputTable[[#This Row],[GroupByKey]]),(OutputTable[GroupByKey]=OutputTable[[#This Row],[GroupByKey]])*OutputTable[RecordedValue]))</f>
        <v>2305</v>
      </c>
      <c r="P454" cm="1">
        <f t="array" ref="P454">MAX(IF((OutputTable[GroupByKey]=OutputTable[[#This Row],[GroupByKey]]),(OutputTable[GroupByKey]=OutputTable[[#This Row],[GroupByKey]])*OutputTable[RecordedValue]))</f>
        <v>2504</v>
      </c>
    </row>
    <row r="455" spans="1:16" x14ac:dyDescent="0.25">
      <c r="A455" t="s">
        <v>68</v>
      </c>
      <c r="B455" t="s">
        <v>131</v>
      </c>
      <c r="C455">
        <v>27</v>
      </c>
      <c r="D455" t="s">
        <v>120</v>
      </c>
      <c r="E455" t="s">
        <v>121</v>
      </c>
      <c r="F455" t="s">
        <v>99</v>
      </c>
      <c r="G455">
        <v>2416</v>
      </c>
      <c r="H455">
        <v>0</v>
      </c>
      <c r="I455" t="str">
        <f>OutputTable[[#This Row],[ProjectName]]&amp;OutputTable[[#This Row],[Name]]&amp;OutputTable[[#This Row],[Type]]&amp;OutputTable[[#This Row],[Source]]</f>
        <v>PacientesrCamas.NumberSeizedTotal Number SeizedResource</v>
      </c>
      <c r="J455" cm="1">
        <f t="array" ref="J455">MAX(IF((ProjectInfoTable[ProjectName]=OutputTable[[#This Row],[ProjectName]]),(ProjectInfoTable[ProjectName]=OutputTable[[#This Row],[ProjectName]])*ProjectInfoTable[NumberOfReplications]))</f>
        <v>50</v>
      </c>
      <c r="K455" cm="1">
        <f t="array" ref="K455">IFERROR(AVERAGE(IF((OutputTable[GroupByKey]=OutputTable[[#This Row],[GroupByKey]]),(OutputTable[GroupByKey]=OutputTable[[#This Row],[GroupByKey]])*OutputTable[RecordedValue])),0)</f>
        <v>2401.9</v>
      </c>
      <c r="L455" cm="1">
        <f t="array" ref="L455">IFERROR(_xlfn.STDEV.S(IF((OutputTable[GroupByKey]=OutputTable[[#This Row],[GroupByKey]]),(OutputTable[GroupByKey]=OutputTable[[#This Row],[GroupByKey]])*OutputTable[RecordedValue])),0)</f>
        <v>46.417031532903209</v>
      </c>
      <c r="M45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55" cm="1">
        <f t="array" ref="O455">MIN(IF((OutputTable[GroupByKey]=OutputTable[[#This Row],[GroupByKey]]),(OutputTable[GroupByKey]=OutputTable[[#This Row],[GroupByKey]])*OutputTable[RecordedValue]))</f>
        <v>2306</v>
      </c>
      <c r="P455" cm="1">
        <f t="array" ref="P455">MAX(IF((OutputTable[GroupByKey]=OutputTable[[#This Row],[GroupByKey]]),(OutputTable[GroupByKey]=OutputTable[[#This Row],[GroupByKey]])*OutputTable[RecordedValue]))</f>
        <v>2506</v>
      </c>
    </row>
    <row r="456" spans="1:16" x14ac:dyDescent="0.25">
      <c r="A456" t="s">
        <v>68</v>
      </c>
      <c r="B456" t="s">
        <v>131</v>
      </c>
      <c r="C456">
        <v>27</v>
      </c>
      <c r="D456" t="s">
        <v>122</v>
      </c>
      <c r="E456" t="s">
        <v>123</v>
      </c>
      <c r="F456" t="s">
        <v>99</v>
      </c>
      <c r="G456">
        <v>0.56090856573397396</v>
      </c>
      <c r="H456">
        <v>0</v>
      </c>
      <c r="I456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456" cm="1">
        <f t="array" ref="J456">MAX(IF((ProjectInfoTable[ProjectName]=OutputTable[[#This Row],[ProjectName]]),(ProjectInfoTable[ProjectName]=OutputTable[[#This Row],[ProjectName]])*ProjectInfoTable[NumberOfReplications]))</f>
        <v>50</v>
      </c>
      <c r="K456" cm="1">
        <f t="array" ref="K456">IFERROR(AVERAGE(IF((OutputTable[GroupByKey]=OutputTable[[#This Row],[GroupByKey]]),(OutputTable[GroupByKey]=OutputTable[[#This Row],[GroupByKey]])*OutputTable[RecordedValue])),0)</f>
        <v>0.54703961359050601</v>
      </c>
      <c r="L456" cm="1">
        <f t="array" ref="L456">IFERROR(_xlfn.STDEV.S(IF((OutputTable[GroupByKey]=OutputTable[[#This Row],[GroupByKey]]),(OutputTable[GroupByKey]=OutputTable[[#This Row],[GroupByKey]])*OutputTable[RecordedValue])),0)</f>
        <v>1.0221170008030479E-2</v>
      </c>
      <c r="M456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456" cm="1">
        <f t="array" ref="O456">MIN(IF((OutputTable[GroupByKey]=OutputTable[[#This Row],[GroupByKey]]),(OutputTable[GroupByKey]=OutputTable[[#This Row],[GroupByKey]])*OutputTable[RecordedValue]))</f>
        <v>0.52470641844357901</v>
      </c>
      <c r="P456" cm="1">
        <f t="array" ref="P456">MAX(IF((OutputTable[GroupByKey]=OutputTable[[#This Row],[GroupByKey]]),(OutputTable[GroupByKey]=OutputTable[[#This Row],[GroupByKey]])*OutputTable[RecordedValue]))</f>
        <v>0.57005812966092295</v>
      </c>
    </row>
    <row r="457" spans="1:16" x14ac:dyDescent="0.25">
      <c r="A457" t="s">
        <v>68</v>
      </c>
      <c r="B457" t="s">
        <v>131</v>
      </c>
      <c r="C457">
        <v>27</v>
      </c>
      <c r="D457" t="s">
        <v>124</v>
      </c>
      <c r="E457" t="s">
        <v>121</v>
      </c>
      <c r="F457" t="s">
        <v>99</v>
      </c>
      <c r="G457">
        <v>2416</v>
      </c>
      <c r="H457">
        <v>0</v>
      </c>
      <c r="I457" t="str">
        <f>OutputTable[[#This Row],[ProjectName]]&amp;OutputTable[[#This Row],[Name]]&amp;OutputTable[[#This Row],[Type]]&amp;OutputTable[[#This Row],[Source]]</f>
        <v>PacientesrMedico.NumberSeizedTotal Number SeizedResource</v>
      </c>
      <c r="J457" cm="1">
        <f t="array" ref="J457">MAX(IF((ProjectInfoTable[ProjectName]=OutputTable[[#This Row],[ProjectName]]),(ProjectInfoTable[ProjectName]=OutputTable[[#This Row],[ProjectName]])*ProjectInfoTable[NumberOfReplications]))</f>
        <v>50</v>
      </c>
      <c r="K457" cm="1">
        <f t="array" ref="K457">IFERROR(AVERAGE(IF((OutputTable[GroupByKey]=OutputTable[[#This Row],[GroupByKey]]),(OutputTable[GroupByKey]=OutputTable[[#This Row],[GroupByKey]])*OutputTable[RecordedValue])),0)</f>
        <v>2401.9</v>
      </c>
      <c r="L457" cm="1">
        <f t="array" ref="L457">IFERROR(_xlfn.STDEV.S(IF((OutputTable[GroupByKey]=OutputTable[[#This Row],[GroupByKey]]),(OutputTable[GroupByKey]=OutputTable[[#This Row],[GroupByKey]])*OutputTable[RecordedValue])),0)</f>
        <v>46.417031532903209</v>
      </c>
      <c r="M457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57" cm="1">
        <f t="array" ref="O457">MIN(IF((OutputTable[GroupByKey]=OutputTable[[#This Row],[GroupByKey]]),(OutputTable[GroupByKey]=OutputTable[[#This Row],[GroupByKey]])*OutputTable[RecordedValue]))</f>
        <v>2306</v>
      </c>
      <c r="P457" cm="1">
        <f t="array" ref="P457">MAX(IF((OutputTable[GroupByKey]=OutputTable[[#This Row],[GroupByKey]]),(OutputTable[GroupByKey]=OutputTable[[#This Row],[GroupByKey]])*OutputTable[RecordedValue]))</f>
        <v>2506</v>
      </c>
    </row>
    <row r="458" spans="1:16" x14ac:dyDescent="0.25">
      <c r="A458" t="s">
        <v>68</v>
      </c>
      <c r="B458" t="s">
        <v>131</v>
      </c>
      <c r="C458">
        <v>27</v>
      </c>
      <c r="D458" t="s">
        <v>125</v>
      </c>
      <c r="E458" t="s">
        <v>123</v>
      </c>
      <c r="F458" t="s">
        <v>99</v>
      </c>
      <c r="G458">
        <v>0.841362848600961</v>
      </c>
      <c r="H458">
        <v>0</v>
      </c>
      <c r="I458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458" cm="1">
        <f t="array" ref="J458">MAX(IF((ProjectInfoTable[ProjectName]=OutputTable[[#This Row],[ProjectName]]),(ProjectInfoTable[ProjectName]=OutputTable[[#This Row],[ProjectName]])*ProjectInfoTable[NumberOfReplications]))</f>
        <v>50</v>
      </c>
      <c r="K458" cm="1">
        <f t="array" ref="K458">IFERROR(AVERAGE(IF((OutputTable[GroupByKey]=OutputTable[[#This Row],[GroupByKey]]),(OutputTable[GroupByKey]=OutputTable[[#This Row],[GroupByKey]])*OutputTable[RecordedValue])),0)</f>
        <v>0.82055942038575935</v>
      </c>
      <c r="L458" cm="1">
        <f t="array" ref="L458">IFERROR(_xlfn.STDEV.S(IF((OutputTable[GroupByKey]=OutputTable[[#This Row],[GroupByKey]]),(OutputTable[GroupByKey]=OutputTable[[#This Row],[GroupByKey]])*OutputTable[RecordedValue])),0)</f>
        <v>1.5331755012045719E-2</v>
      </c>
      <c r="M458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458" cm="1">
        <f t="array" ref="O458">MIN(IF((OutputTable[GroupByKey]=OutputTable[[#This Row],[GroupByKey]]),(OutputTable[GroupByKey]=OutputTable[[#This Row],[GroupByKey]])*OutputTable[RecordedValue]))</f>
        <v>0.78705962766536897</v>
      </c>
      <c r="P458" cm="1">
        <f t="array" ref="P458">MAX(IF((OutputTable[GroupByKey]=OutputTable[[#This Row],[GroupByKey]]),(OutputTable[GroupByKey]=OutputTable[[#This Row],[GroupByKey]])*OutputTable[RecordedValue]))</f>
        <v>0.85508719449138504</v>
      </c>
    </row>
    <row r="459" spans="1:16" x14ac:dyDescent="0.25">
      <c r="A459" t="s">
        <v>68</v>
      </c>
      <c r="B459" t="s">
        <v>131</v>
      </c>
      <c r="C459">
        <v>27</v>
      </c>
      <c r="D459" t="s">
        <v>126</v>
      </c>
      <c r="E459" t="s">
        <v>121</v>
      </c>
      <c r="F459" t="s">
        <v>99</v>
      </c>
      <c r="G459">
        <v>2273</v>
      </c>
      <c r="H459">
        <v>0</v>
      </c>
      <c r="I459" t="str">
        <f>OutputTable[[#This Row],[ProjectName]]&amp;OutputTable[[#This Row],[Name]]&amp;OutputTable[[#This Row],[Type]]&amp;OutputTable[[#This Row],[Source]]</f>
        <v>PacientesrRegistradora.NumberSeizedTotal Number SeizedResource</v>
      </c>
      <c r="J459" cm="1">
        <f t="array" ref="J459">MAX(IF((ProjectInfoTable[ProjectName]=OutputTable[[#This Row],[ProjectName]]),(ProjectInfoTable[ProjectName]=OutputTable[[#This Row],[ProjectName]])*ProjectInfoTable[NumberOfReplications]))</f>
        <v>50</v>
      </c>
      <c r="K459" cm="1">
        <f t="array" ref="K459">IFERROR(AVERAGE(IF((OutputTable[GroupByKey]=OutputTable[[#This Row],[GroupByKey]]),(OutputTable[GroupByKey]=OutputTable[[#This Row],[GroupByKey]])*OutputTable[RecordedValue])),0)</f>
        <v>2263.14</v>
      </c>
      <c r="L459" cm="1">
        <f t="array" ref="L459">IFERROR(_xlfn.STDEV.S(IF((OutputTable[GroupByKey]=OutputTable[[#This Row],[GroupByKey]]),(OutputTable[GroupByKey]=OutputTable[[#This Row],[GroupByKey]])*OutputTable[RecordedValue])),0)</f>
        <v>47.386818971575821</v>
      </c>
      <c r="M459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459" cm="1">
        <f t="array" ref="O459">MIN(IF((OutputTable[GroupByKey]=OutputTable[[#This Row],[GroupByKey]]),(OutputTable[GroupByKey]=OutputTable[[#This Row],[GroupByKey]])*OutputTable[RecordedValue]))</f>
        <v>2172</v>
      </c>
      <c r="P459" cm="1">
        <f t="array" ref="P459">MAX(IF((OutputTable[GroupByKey]=OutputTable[[#This Row],[GroupByKey]]),(OutputTable[GroupByKey]=OutputTable[[#This Row],[GroupByKey]])*OutputTable[RecordedValue]))</f>
        <v>2386</v>
      </c>
    </row>
    <row r="460" spans="1:16" x14ac:dyDescent="0.25">
      <c r="A460" t="s">
        <v>68</v>
      </c>
      <c r="B460" t="s">
        <v>131</v>
      </c>
      <c r="C460">
        <v>27</v>
      </c>
      <c r="D460" t="s">
        <v>127</v>
      </c>
      <c r="E460" t="s">
        <v>123</v>
      </c>
      <c r="F460" t="s">
        <v>99</v>
      </c>
      <c r="G460">
        <v>0.47412638864444301</v>
      </c>
      <c r="H460">
        <v>0</v>
      </c>
      <c r="I460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460" cm="1">
        <f t="array" ref="J460">MAX(IF((ProjectInfoTable[ProjectName]=OutputTable[[#This Row],[ProjectName]]),(ProjectInfoTable[ProjectName]=OutputTable[[#This Row],[ProjectName]])*ProjectInfoTable[NumberOfReplications]))</f>
        <v>50</v>
      </c>
      <c r="K460" cm="1">
        <f t="array" ref="K460">IFERROR(AVERAGE(IF((OutputTable[GroupByKey]=OutputTable[[#This Row],[GroupByKey]]),(OutputTable[GroupByKey]=OutputTable[[#This Row],[GroupByKey]])*OutputTable[RecordedValue])),0)</f>
        <v>0.47162762933545666</v>
      </c>
      <c r="L460" cm="1">
        <f t="array" ref="L460">IFERROR(_xlfn.STDEV.S(IF((OutputTable[GroupByKey]=OutputTable[[#This Row],[GroupByKey]]),(OutputTable[GroupByKey]=OutputTable[[#This Row],[GroupByKey]])*OutputTable[RecordedValue])),0)</f>
        <v>9.6615227076777797E-3</v>
      </c>
      <c r="M460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460" cm="1">
        <f t="array" ref="O460">MIN(IF((OutputTable[GroupByKey]=OutputTable[[#This Row],[GroupByKey]]),(OutputTable[GroupByKey]=OutputTable[[#This Row],[GroupByKey]])*OutputTable[RecordedValue]))</f>
        <v>0.452397944183905</v>
      </c>
      <c r="P460" cm="1">
        <f t="array" ref="P460">MAX(IF((OutputTable[GroupByKey]=OutputTable[[#This Row],[GroupByKey]]),(OutputTable[GroupByKey]=OutputTable[[#This Row],[GroupByKey]])*OutputTable[RecordedValue]))</f>
        <v>0.49691123629694001</v>
      </c>
    </row>
    <row r="461" spans="1:16" x14ac:dyDescent="0.25">
      <c r="A461" t="s">
        <v>68</v>
      </c>
      <c r="B461" t="s">
        <v>131</v>
      </c>
      <c r="C461">
        <v>28</v>
      </c>
      <c r="D461" t="s">
        <v>104</v>
      </c>
      <c r="E461" t="s">
        <v>105</v>
      </c>
      <c r="F461" t="s">
        <v>72</v>
      </c>
      <c r="G461">
        <v>2340</v>
      </c>
      <c r="H461">
        <v>0</v>
      </c>
      <c r="I461" t="str">
        <f>OutputTable[[#This Row],[ProjectName]]&amp;OutputTable[[#This Row],[Name]]&amp;OutputTable[[#This Row],[Type]]&amp;OutputTable[[#This Row],[Source]]</f>
        <v>PacientesEntity 1.NumberInNumber InEntity</v>
      </c>
      <c r="J461" cm="1">
        <f t="array" ref="J461">MAX(IF((ProjectInfoTable[ProjectName]=OutputTable[[#This Row],[ProjectName]]),(ProjectInfoTable[ProjectName]=OutputTable[[#This Row],[ProjectName]])*ProjectInfoTable[NumberOfReplications]))</f>
        <v>50</v>
      </c>
      <c r="K461" cm="1">
        <f t="array" ref="K461">IFERROR(AVERAGE(IF((OutputTable[GroupByKey]=OutputTable[[#This Row],[GroupByKey]]),(OutputTable[GroupByKey]=OutputTable[[#This Row],[GroupByKey]])*OutputTable[RecordedValue])),0)</f>
        <v>2404.8200000000002</v>
      </c>
      <c r="L461" cm="1">
        <f t="array" ref="L461">IFERROR(_xlfn.STDEV.S(IF((OutputTable[GroupByKey]=OutputTable[[#This Row],[GroupByKey]]),(OutputTable[GroupByKey]=OutputTable[[#This Row],[GroupByKey]])*OutputTable[RecordedValue])),0)</f>
        <v>46.42953405595474</v>
      </c>
      <c r="M461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461" cm="1">
        <f t="array" ref="O461">MIN(IF((OutputTable[GroupByKey]=OutputTable[[#This Row],[GroupByKey]]),(OutputTable[GroupByKey]=OutputTable[[#This Row],[GroupByKey]])*OutputTable[RecordedValue]))</f>
        <v>2307</v>
      </c>
      <c r="P461" cm="1">
        <f t="array" ref="P461">MAX(IF((OutputTable[GroupByKey]=OutputTable[[#This Row],[GroupByKey]]),(OutputTable[GroupByKey]=OutputTable[[#This Row],[GroupByKey]])*OutputTable[RecordedValue]))</f>
        <v>2518</v>
      </c>
    </row>
    <row r="462" spans="1:16" x14ac:dyDescent="0.25">
      <c r="A462" t="s">
        <v>68</v>
      </c>
      <c r="B462" t="s">
        <v>131</v>
      </c>
      <c r="C462">
        <v>28</v>
      </c>
      <c r="D462" t="s">
        <v>106</v>
      </c>
      <c r="E462" t="s">
        <v>107</v>
      </c>
      <c r="F462" t="s">
        <v>72</v>
      </c>
      <c r="G462">
        <v>2339</v>
      </c>
      <c r="H462">
        <v>0</v>
      </c>
      <c r="I462" t="str">
        <f>OutputTable[[#This Row],[ProjectName]]&amp;OutputTable[[#This Row],[Name]]&amp;OutputTable[[#This Row],[Type]]&amp;OutputTable[[#This Row],[Source]]</f>
        <v>PacientesEntity 1.NumberOutNumber OutEntity</v>
      </c>
      <c r="J462" cm="1">
        <f t="array" ref="J462">MAX(IF((ProjectInfoTable[ProjectName]=OutputTable[[#This Row],[ProjectName]]),(ProjectInfoTable[ProjectName]=OutputTable[[#This Row],[ProjectName]])*ProjectInfoTable[NumberOfReplications]))</f>
        <v>50</v>
      </c>
      <c r="K462" cm="1">
        <f t="array" ref="K462">IFERROR(AVERAGE(IF((OutputTable[GroupByKey]=OutputTable[[#This Row],[GroupByKey]]),(OutputTable[GroupByKey]=OutputTable[[#This Row],[GroupByKey]])*OutputTable[RecordedValue])),0)</f>
        <v>2400.2800000000002</v>
      </c>
      <c r="L462" cm="1">
        <f t="array" ref="L462">IFERROR(_xlfn.STDEV.S(IF((OutputTable[GroupByKey]=OutputTable[[#This Row],[GroupByKey]]),(OutputTable[GroupByKey]=OutputTable[[#This Row],[GroupByKey]])*OutputTable[RecordedValue])),0)</f>
        <v>46.409024456676619</v>
      </c>
      <c r="M462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62" cm="1">
        <f t="array" ref="O462">MIN(IF((OutputTable[GroupByKey]=OutputTable[[#This Row],[GroupByKey]]),(OutputTable[GroupByKey]=OutputTable[[#This Row],[GroupByKey]])*OutputTable[RecordedValue]))</f>
        <v>2305</v>
      </c>
      <c r="P462" cm="1">
        <f t="array" ref="P462">MAX(IF((OutputTable[GroupByKey]=OutputTable[[#This Row],[GroupByKey]]),(OutputTable[GroupByKey]=OutputTable[[#This Row],[GroupByKey]])*OutputTable[RecordedValue]))</f>
        <v>2504</v>
      </c>
    </row>
    <row r="463" spans="1:16" x14ac:dyDescent="0.25">
      <c r="A463" t="s">
        <v>68</v>
      </c>
      <c r="B463" t="s">
        <v>131</v>
      </c>
      <c r="C463">
        <v>28</v>
      </c>
      <c r="D463" t="s">
        <v>108</v>
      </c>
      <c r="E463" t="s">
        <v>109</v>
      </c>
      <c r="F463" t="s">
        <v>80</v>
      </c>
      <c r="G463">
        <v>1169.8346055376401</v>
      </c>
      <c r="H463">
        <v>0</v>
      </c>
      <c r="I463" t="str">
        <f>OutputTable[[#This Row],[ProjectName]]&amp;OutputTable[[#This Row],[Name]]&amp;OutputTable[[#This Row],[Type]]&amp;OutputTable[[#This Row],[Source]]</f>
        <v>PacientesProcess 2 Accum VA TimeAccum VA TimeProcess</v>
      </c>
      <c r="J463" cm="1">
        <f t="array" ref="J463">MAX(IF((ProjectInfoTable[ProjectName]=OutputTable[[#This Row],[ProjectName]]),(ProjectInfoTable[ProjectName]=OutputTable[[#This Row],[ProjectName]])*ProjectInfoTable[NumberOfReplications]))</f>
        <v>50</v>
      </c>
      <c r="K463" cm="1">
        <f t="array" ref="K463">IFERROR(AVERAGE(IF((OutputTable[GroupByKey]=OutputTable[[#This Row],[GroupByKey]]),(OutputTable[GroupByKey]=OutputTable[[#This Row],[GroupByKey]])*OutputTable[RecordedValue])),0)</f>
        <v>1181.1234936767919</v>
      </c>
      <c r="L463" cm="1">
        <f t="array" ref="L463">IFERROR(_xlfn.STDEV.S(IF((OutputTable[GroupByKey]=OutputTable[[#This Row],[GroupByKey]]),(OutputTable[GroupByKey]=OutputTable[[#This Row],[GroupByKey]])*OutputTable[RecordedValue])),0)</f>
        <v>22.169313666927575</v>
      </c>
      <c r="M463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463" cm="1">
        <f t="array" ref="O463">MIN(IF((OutputTable[GroupByKey]=OutputTable[[#This Row],[GroupByKey]]),(OutputTable[GroupByKey]=OutputTable[[#This Row],[GroupByKey]])*OutputTable[RecordedValue]))</f>
        <v>1133.24622318414</v>
      </c>
      <c r="P463" cm="1">
        <f t="array" ref="P463">MAX(IF((OutputTable[GroupByKey]=OutputTable[[#This Row],[GroupByKey]]),(OutputTable[GroupByKey]=OutputTable[[#This Row],[GroupByKey]])*OutputTable[RecordedValue]))</f>
        <v>1230.9493287309799</v>
      </c>
    </row>
    <row r="464" spans="1:16" x14ac:dyDescent="0.25">
      <c r="A464" t="s">
        <v>68</v>
      </c>
      <c r="B464" t="s">
        <v>131</v>
      </c>
      <c r="C464">
        <v>28</v>
      </c>
      <c r="D464" t="s">
        <v>110</v>
      </c>
      <c r="E464" t="s">
        <v>111</v>
      </c>
      <c r="F464" t="s">
        <v>80</v>
      </c>
      <c r="G464">
        <v>2107.26580577902</v>
      </c>
      <c r="H464">
        <v>0</v>
      </c>
      <c r="I464" t="str">
        <f>OutputTable[[#This Row],[ProjectName]]&amp;OutputTable[[#This Row],[Name]]&amp;OutputTable[[#This Row],[Type]]&amp;OutputTable[[#This Row],[Source]]</f>
        <v>PacientesProcess 2 Accum Wait TimeAccum Wait TimeProcess</v>
      </c>
      <c r="J464" cm="1">
        <f t="array" ref="J464">MAX(IF((ProjectInfoTable[ProjectName]=OutputTable[[#This Row],[ProjectName]]),(ProjectInfoTable[ProjectName]=OutputTable[[#This Row],[ProjectName]])*ProjectInfoTable[NumberOfReplications]))</f>
        <v>50</v>
      </c>
      <c r="K464" cm="1">
        <f t="array" ref="K464">IFERROR(AVERAGE(IF((OutputTable[GroupByKey]=OutputTable[[#This Row],[GroupByKey]]),(OutputTable[GroupByKey]=OutputTable[[#This Row],[GroupByKey]])*OutputTable[RecordedValue])),0)</f>
        <v>1938.7515507466894</v>
      </c>
      <c r="L464" cm="1">
        <f t="array" ref="L464">IFERROR(_xlfn.STDEV.S(IF((OutputTable[GroupByKey]=OutputTable[[#This Row],[GroupByKey]]),(OutputTable[GroupByKey]=OutputTable[[#This Row],[GroupByKey]])*OutputTable[RecordedValue])),0)</f>
        <v>534.03396241838232</v>
      </c>
      <c r="M464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464" cm="1">
        <f t="array" ref="O464">MIN(IF((OutputTable[GroupByKey]=OutputTable[[#This Row],[GroupByKey]]),(OutputTable[GroupByKey]=OutputTable[[#This Row],[GroupByKey]])*OutputTable[RecordedValue]))</f>
        <v>1234.7567994731401</v>
      </c>
      <c r="P464" cm="1">
        <f t="array" ref="P464">MAX(IF((OutputTable[GroupByKey]=OutputTable[[#This Row],[GroupByKey]]),(OutputTable[GroupByKey]=OutputTable[[#This Row],[GroupByKey]])*OutputTable[RecordedValue]))</f>
        <v>3269.0858002883801</v>
      </c>
    </row>
    <row r="465" spans="1:16" x14ac:dyDescent="0.25">
      <c r="A465" t="s">
        <v>68</v>
      </c>
      <c r="B465" t="s">
        <v>131</v>
      </c>
      <c r="C465">
        <v>28</v>
      </c>
      <c r="D465" t="s">
        <v>112</v>
      </c>
      <c r="E465" t="s">
        <v>105</v>
      </c>
      <c r="F465" t="s">
        <v>80</v>
      </c>
      <c r="G465">
        <v>2340</v>
      </c>
      <c r="H465">
        <v>0</v>
      </c>
      <c r="I465" t="str">
        <f>OutputTable[[#This Row],[ProjectName]]&amp;OutputTable[[#This Row],[Name]]&amp;OutputTable[[#This Row],[Type]]&amp;OutputTable[[#This Row],[Source]]</f>
        <v>PacientesProcess 2 Number InNumber InProcess</v>
      </c>
      <c r="J465" cm="1">
        <f t="array" ref="J465">MAX(IF((ProjectInfoTable[ProjectName]=OutputTable[[#This Row],[ProjectName]]),(ProjectInfoTable[ProjectName]=OutputTable[[#This Row],[ProjectName]])*ProjectInfoTable[NumberOfReplications]))</f>
        <v>50</v>
      </c>
      <c r="K465" cm="1">
        <f t="array" ref="K465">IFERROR(AVERAGE(IF((OutputTable[GroupByKey]=OutputTable[[#This Row],[GroupByKey]]),(OutputTable[GroupByKey]=OutputTable[[#This Row],[GroupByKey]])*OutputTable[RecordedValue])),0)</f>
        <v>2404.2399999999998</v>
      </c>
      <c r="L465" cm="1">
        <f t="array" ref="L465">IFERROR(_xlfn.STDEV.S(IF((OutputTable[GroupByKey]=OutputTable[[#This Row],[GroupByKey]]),(OutputTable[GroupByKey]=OutputTable[[#This Row],[GroupByKey]])*OutputTable[RecordedValue])),0)</f>
        <v>46.574303154053879</v>
      </c>
      <c r="M46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465" cm="1">
        <f t="array" ref="O465">MIN(IF((OutputTable[GroupByKey]=OutputTable[[#This Row],[GroupByKey]]),(OutputTable[GroupByKey]=OutputTable[[#This Row],[GroupByKey]])*OutputTable[RecordedValue]))</f>
        <v>2306</v>
      </c>
      <c r="P465" cm="1">
        <f t="array" ref="P465">MAX(IF((OutputTable[GroupByKey]=OutputTable[[#This Row],[GroupByKey]]),(OutputTable[GroupByKey]=OutputTable[[#This Row],[GroupByKey]])*OutputTable[RecordedValue]))</f>
        <v>2518</v>
      </c>
    </row>
    <row r="466" spans="1:16" x14ac:dyDescent="0.25">
      <c r="A466" t="s">
        <v>68</v>
      </c>
      <c r="B466" t="s">
        <v>131</v>
      </c>
      <c r="C466">
        <v>28</v>
      </c>
      <c r="D466" t="s">
        <v>113</v>
      </c>
      <c r="E466" t="s">
        <v>107</v>
      </c>
      <c r="F466" t="s">
        <v>80</v>
      </c>
      <c r="G466">
        <v>2339</v>
      </c>
      <c r="H466">
        <v>0</v>
      </c>
      <c r="I466" t="str">
        <f>OutputTable[[#This Row],[ProjectName]]&amp;OutputTable[[#This Row],[Name]]&amp;OutputTable[[#This Row],[Type]]&amp;OutputTable[[#This Row],[Source]]</f>
        <v>PacientesProcess 2 Number OutNumber OutProcess</v>
      </c>
      <c r="J466" cm="1">
        <f t="array" ref="J466">MAX(IF((ProjectInfoTable[ProjectName]=OutputTable[[#This Row],[ProjectName]]),(ProjectInfoTable[ProjectName]=OutputTable[[#This Row],[ProjectName]])*ProjectInfoTable[NumberOfReplications]))</f>
        <v>50</v>
      </c>
      <c r="K466" cm="1">
        <f t="array" ref="K466">IFERROR(AVERAGE(IF((OutputTable[GroupByKey]=OutputTable[[#This Row],[GroupByKey]]),(OutputTable[GroupByKey]=OutputTable[[#This Row],[GroupByKey]])*OutputTable[RecordedValue])),0)</f>
        <v>2400.2800000000002</v>
      </c>
      <c r="L466" cm="1">
        <f t="array" ref="L466">IFERROR(_xlfn.STDEV.S(IF((OutputTable[GroupByKey]=OutputTable[[#This Row],[GroupByKey]]),(OutputTable[GroupByKey]=OutputTable[[#This Row],[GroupByKey]])*OutputTable[RecordedValue])),0)</f>
        <v>46.409024456676619</v>
      </c>
      <c r="M466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66" cm="1">
        <f t="array" ref="O466">MIN(IF((OutputTable[GroupByKey]=OutputTable[[#This Row],[GroupByKey]]),(OutputTable[GroupByKey]=OutputTable[[#This Row],[GroupByKey]])*OutputTable[RecordedValue]))</f>
        <v>2305</v>
      </c>
      <c r="P466" cm="1">
        <f t="array" ref="P466">MAX(IF((OutputTable[GroupByKey]=OutputTable[[#This Row],[GroupByKey]]),(OutputTable[GroupByKey]=OutputTable[[#This Row],[GroupByKey]])*OutputTable[RecordedValue]))</f>
        <v>2504</v>
      </c>
    </row>
    <row r="467" spans="1:16" x14ac:dyDescent="0.25">
      <c r="A467" t="s">
        <v>68</v>
      </c>
      <c r="B467" t="s">
        <v>131</v>
      </c>
      <c r="C467">
        <v>28</v>
      </c>
      <c r="D467" t="s">
        <v>114</v>
      </c>
      <c r="E467" t="s">
        <v>109</v>
      </c>
      <c r="F467" t="s">
        <v>80</v>
      </c>
      <c r="G467">
        <v>329.604031458995</v>
      </c>
      <c r="H467">
        <v>0</v>
      </c>
      <c r="I467" t="str">
        <f>OutputTable[[#This Row],[ProjectName]]&amp;OutputTable[[#This Row],[Name]]&amp;OutputTable[[#This Row],[Type]]&amp;OutputTable[[#This Row],[Source]]</f>
        <v>PacientesRegistro Accum VA TimeAccum VA TimeProcess</v>
      </c>
      <c r="J467" cm="1">
        <f t="array" ref="J467">MAX(IF((ProjectInfoTable[ProjectName]=OutputTable[[#This Row],[ProjectName]]),(ProjectInfoTable[ProjectName]=OutputTable[[#This Row],[ProjectName]])*ProjectInfoTable[NumberOfReplications]))</f>
        <v>50</v>
      </c>
      <c r="K467" cm="1">
        <f t="array" ref="K467">IFERROR(AVERAGE(IF((OutputTable[GroupByKey]=OutputTable[[#This Row],[GroupByKey]]),(OutputTable[GroupByKey]=OutputTable[[#This Row],[GroupByKey]])*OutputTable[RecordedValue])),0)</f>
        <v>339.53547737062786</v>
      </c>
      <c r="L467" cm="1">
        <f t="array" ref="L467">IFERROR(_xlfn.STDEV.S(IF((OutputTable[GroupByKey]=OutputTable[[#This Row],[GroupByKey]]),(OutputTable[GroupByKey]=OutputTable[[#This Row],[GroupByKey]])*OutputTable[RecordedValue])),0)</f>
        <v>6.9723666109353193</v>
      </c>
      <c r="M467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467" cm="1">
        <f t="array" ref="O467">MIN(IF((OutputTable[GroupByKey]=OutputTable[[#This Row],[GroupByKey]]),(OutputTable[GroupByKey]=OutputTable[[#This Row],[GroupByKey]])*OutputTable[RecordedValue]))</f>
        <v>325.606879158418</v>
      </c>
      <c r="P467" cm="1">
        <f t="array" ref="P467">MAX(IF((OutputTable[GroupByKey]=OutputTable[[#This Row],[GroupByKey]]),(OutputTable[GroupByKey]=OutputTable[[#This Row],[GroupByKey]])*OutputTable[RecordedValue]))</f>
        <v>357.77609013379703</v>
      </c>
    </row>
    <row r="468" spans="1:16" x14ac:dyDescent="0.25">
      <c r="A468" t="s">
        <v>68</v>
      </c>
      <c r="B468" t="s">
        <v>131</v>
      </c>
      <c r="C468">
        <v>28</v>
      </c>
      <c r="D468" t="s">
        <v>115</v>
      </c>
      <c r="E468" t="s">
        <v>111</v>
      </c>
      <c r="F468" t="s">
        <v>80</v>
      </c>
      <c r="G468">
        <v>155.18099528907001</v>
      </c>
      <c r="H468">
        <v>0</v>
      </c>
      <c r="I468" t="str">
        <f>OutputTable[[#This Row],[ProjectName]]&amp;OutputTable[[#This Row],[Name]]&amp;OutputTable[[#This Row],[Type]]&amp;OutputTable[[#This Row],[Source]]</f>
        <v>PacientesRegistro Accum Wait TimeAccum Wait TimeProcess</v>
      </c>
      <c r="J468" cm="1">
        <f t="array" ref="J468">MAX(IF((ProjectInfoTable[ProjectName]=OutputTable[[#This Row],[ProjectName]]),(ProjectInfoTable[ProjectName]=OutputTable[[#This Row],[ProjectName]])*ProjectInfoTable[NumberOfReplications]))</f>
        <v>50</v>
      </c>
      <c r="K468" cm="1">
        <f t="array" ref="K468">IFERROR(AVERAGE(IF((OutputTable[GroupByKey]=OutputTable[[#This Row],[GroupByKey]]),(OutputTable[GroupByKey]=OutputTable[[#This Row],[GroupByKey]])*OutputTable[RecordedValue])),0)</f>
        <v>154.15303898127775</v>
      </c>
      <c r="L468" cm="1">
        <f t="array" ref="L468">IFERROR(_xlfn.STDEV.S(IF((OutputTable[GroupByKey]=OutputTable[[#This Row],[GroupByKey]]),(OutputTable[GroupByKey]=OutputTable[[#This Row],[GroupByKey]])*OutputTable[RecordedValue])),0)</f>
        <v>12.141439184615397</v>
      </c>
      <c r="M468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468" cm="1">
        <f t="array" ref="O468">MIN(IF((OutputTable[GroupByKey]=OutputTable[[#This Row],[GroupByKey]]),(OutputTable[GroupByKey]=OutputTable[[#This Row],[GroupByKey]])*OutputTable[RecordedValue]))</f>
        <v>123.901613974094</v>
      </c>
      <c r="P468" cm="1">
        <f t="array" ref="P468">MAX(IF((OutputTable[GroupByKey]=OutputTable[[#This Row],[GroupByKey]]),(OutputTable[GroupByKey]=OutputTable[[#This Row],[GroupByKey]])*OutputTable[RecordedValue]))</f>
        <v>178.441307284473</v>
      </c>
    </row>
    <row r="469" spans="1:16" x14ac:dyDescent="0.25">
      <c r="A469" t="s">
        <v>68</v>
      </c>
      <c r="B469" t="s">
        <v>131</v>
      </c>
      <c r="C469">
        <v>28</v>
      </c>
      <c r="D469" t="s">
        <v>116</v>
      </c>
      <c r="E469" t="s">
        <v>105</v>
      </c>
      <c r="F469" t="s">
        <v>80</v>
      </c>
      <c r="G469">
        <v>2192</v>
      </c>
      <c r="H469">
        <v>0</v>
      </c>
      <c r="I469" t="str">
        <f>OutputTable[[#This Row],[ProjectName]]&amp;OutputTable[[#This Row],[Name]]&amp;OutputTable[[#This Row],[Type]]&amp;OutputTable[[#This Row],[Source]]</f>
        <v>PacientesRegistro Number InNumber InProcess</v>
      </c>
      <c r="J469" cm="1">
        <f t="array" ref="J469">MAX(IF((ProjectInfoTable[ProjectName]=OutputTable[[#This Row],[ProjectName]]),(ProjectInfoTable[ProjectName]=OutputTable[[#This Row],[ProjectName]])*ProjectInfoTable[NumberOfReplications]))</f>
        <v>50</v>
      </c>
      <c r="K469" cm="1">
        <f t="array" ref="K469">IFERROR(AVERAGE(IF((OutputTable[GroupByKey]=OutputTable[[#This Row],[GroupByKey]]),(OutputTable[GroupByKey]=OutputTable[[#This Row],[GroupByKey]])*OutputTable[RecordedValue])),0)</f>
        <v>2263.2399999999998</v>
      </c>
      <c r="L469" cm="1">
        <f t="array" ref="L469">IFERROR(_xlfn.STDEV.S(IF((OutputTable[GroupByKey]=OutputTable[[#This Row],[GroupByKey]]),(OutputTable[GroupByKey]=OutputTable[[#This Row],[GroupByKey]])*OutputTable[RecordedValue])),0)</f>
        <v>47.331035682472766</v>
      </c>
      <c r="M469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469" cm="1">
        <f t="array" ref="O469">MIN(IF((OutputTable[GroupByKey]=OutputTable[[#This Row],[GroupByKey]]),(OutputTable[GroupByKey]=OutputTable[[#This Row],[GroupByKey]])*OutputTable[RecordedValue]))</f>
        <v>2172</v>
      </c>
      <c r="P469" cm="1">
        <f t="array" ref="P469">MAX(IF((OutputTable[GroupByKey]=OutputTable[[#This Row],[GroupByKey]]),(OutputTable[GroupByKey]=OutputTable[[#This Row],[GroupByKey]])*OutputTable[RecordedValue]))</f>
        <v>2386</v>
      </c>
    </row>
    <row r="470" spans="1:16" x14ac:dyDescent="0.25">
      <c r="A470" t="s">
        <v>68</v>
      </c>
      <c r="B470" t="s">
        <v>131</v>
      </c>
      <c r="C470">
        <v>28</v>
      </c>
      <c r="D470" t="s">
        <v>117</v>
      </c>
      <c r="E470" t="s">
        <v>107</v>
      </c>
      <c r="F470" t="s">
        <v>80</v>
      </c>
      <c r="G470">
        <v>2192</v>
      </c>
      <c r="H470">
        <v>0</v>
      </c>
      <c r="I470" t="str">
        <f>OutputTable[[#This Row],[ProjectName]]&amp;OutputTable[[#This Row],[Name]]&amp;OutputTable[[#This Row],[Type]]&amp;OutputTable[[#This Row],[Source]]</f>
        <v>PacientesRegistro Number OutNumber OutProcess</v>
      </c>
      <c r="J470" cm="1">
        <f t="array" ref="J470">MAX(IF((ProjectInfoTable[ProjectName]=OutputTable[[#This Row],[ProjectName]]),(ProjectInfoTable[ProjectName]=OutputTable[[#This Row],[ProjectName]])*ProjectInfoTable[NumberOfReplications]))</f>
        <v>50</v>
      </c>
      <c r="K470" cm="1">
        <f t="array" ref="K470">IFERROR(AVERAGE(IF((OutputTable[GroupByKey]=OutputTable[[#This Row],[GroupByKey]]),(OutputTable[GroupByKey]=OutputTable[[#This Row],[GroupByKey]])*OutputTable[RecordedValue])),0)</f>
        <v>2262.66</v>
      </c>
      <c r="L470" cm="1">
        <f t="array" ref="L470">IFERROR(_xlfn.STDEV.S(IF((OutputTable[GroupByKey]=OutputTable[[#This Row],[GroupByKey]]),(OutputTable[GroupByKey]=OutputTable[[#This Row],[GroupByKey]])*OutputTable[RecordedValue])),0)</f>
        <v>47.488176831454687</v>
      </c>
      <c r="M470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470" cm="1">
        <f t="array" ref="O470">MIN(IF((OutputTable[GroupByKey]=OutputTable[[#This Row],[GroupByKey]]),(OutputTable[GroupByKey]=OutputTable[[#This Row],[GroupByKey]])*OutputTable[RecordedValue]))</f>
        <v>2171</v>
      </c>
      <c r="P470" cm="1">
        <f t="array" ref="P470">MAX(IF((OutputTable[GroupByKey]=OutputTable[[#This Row],[GroupByKey]]),(OutputTable[GroupByKey]=OutputTable[[#This Row],[GroupByKey]])*OutputTable[RecordedValue]))</f>
        <v>2386</v>
      </c>
    </row>
    <row r="471" spans="1:16" x14ac:dyDescent="0.25">
      <c r="A471" t="s">
        <v>68</v>
      </c>
      <c r="B471" t="s">
        <v>131</v>
      </c>
      <c r="C471">
        <v>28</v>
      </c>
      <c r="D471" t="s">
        <v>118</v>
      </c>
      <c r="E471" t="s">
        <v>107</v>
      </c>
      <c r="F471" t="s">
        <v>119</v>
      </c>
      <c r="G471">
        <v>2339</v>
      </c>
      <c r="H471">
        <v>0</v>
      </c>
      <c r="I471" t="str">
        <f>OutputTable[[#This Row],[ProjectName]]&amp;OutputTable[[#This Row],[Name]]&amp;OutputTable[[#This Row],[Type]]&amp;OutputTable[[#This Row],[Source]]</f>
        <v>PacientesSystem.NumberOutNumber OutSystem</v>
      </c>
      <c r="J471" cm="1">
        <f t="array" ref="J471">MAX(IF((ProjectInfoTable[ProjectName]=OutputTable[[#This Row],[ProjectName]]),(ProjectInfoTable[ProjectName]=OutputTable[[#This Row],[ProjectName]])*ProjectInfoTable[NumberOfReplications]))</f>
        <v>50</v>
      </c>
      <c r="K471" cm="1">
        <f t="array" ref="K471">IFERROR(AVERAGE(IF((OutputTable[GroupByKey]=OutputTable[[#This Row],[GroupByKey]]),(OutputTable[GroupByKey]=OutputTable[[#This Row],[GroupByKey]])*OutputTable[RecordedValue])),0)</f>
        <v>2400.2800000000002</v>
      </c>
      <c r="L471" cm="1">
        <f t="array" ref="L471">IFERROR(_xlfn.STDEV.S(IF((OutputTable[GroupByKey]=OutputTable[[#This Row],[GroupByKey]]),(OutputTable[GroupByKey]=OutputTable[[#This Row],[GroupByKey]])*OutputTable[RecordedValue])),0)</f>
        <v>46.409024456676619</v>
      </c>
      <c r="M471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71" cm="1">
        <f t="array" ref="O471">MIN(IF((OutputTable[GroupByKey]=OutputTable[[#This Row],[GroupByKey]]),(OutputTable[GroupByKey]=OutputTable[[#This Row],[GroupByKey]])*OutputTable[RecordedValue]))</f>
        <v>2305</v>
      </c>
      <c r="P471" cm="1">
        <f t="array" ref="P471">MAX(IF((OutputTable[GroupByKey]=OutputTable[[#This Row],[GroupByKey]]),(OutputTable[GroupByKey]=OutputTable[[#This Row],[GroupByKey]])*OutputTable[RecordedValue]))</f>
        <v>2504</v>
      </c>
    </row>
    <row r="472" spans="1:16" x14ac:dyDescent="0.25">
      <c r="A472" t="s">
        <v>68</v>
      </c>
      <c r="B472" t="s">
        <v>131</v>
      </c>
      <c r="C472">
        <v>28</v>
      </c>
      <c r="D472" t="s">
        <v>120</v>
      </c>
      <c r="E472" t="s">
        <v>121</v>
      </c>
      <c r="F472" t="s">
        <v>99</v>
      </c>
      <c r="G472">
        <v>2340</v>
      </c>
      <c r="H472">
        <v>0</v>
      </c>
      <c r="I472" t="str">
        <f>OutputTable[[#This Row],[ProjectName]]&amp;OutputTable[[#This Row],[Name]]&amp;OutputTable[[#This Row],[Type]]&amp;OutputTable[[#This Row],[Source]]</f>
        <v>PacientesrCamas.NumberSeizedTotal Number SeizedResource</v>
      </c>
      <c r="J472" cm="1">
        <f t="array" ref="J472">MAX(IF((ProjectInfoTable[ProjectName]=OutputTable[[#This Row],[ProjectName]]),(ProjectInfoTable[ProjectName]=OutputTable[[#This Row],[ProjectName]])*ProjectInfoTable[NumberOfReplications]))</f>
        <v>50</v>
      </c>
      <c r="K472" cm="1">
        <f t="array" ref="K472">IFERROR(AVERAGE(IF((OutputTable[GroupByKey]=OutputTable[[#This Row],[GroupByKey]]),(OutputTable[GroupByKey]=OutputTable[[#This Row],[GroupByKey]])*OutputTable[RecordedValue])),0)</f>
        <v>2401.9</v>
      </c>
      <c r="L472" cm="1">
        <f t="array" ref="L472">IFERROR(_xlfn.STDEV.S(IF((OutputTable[GroupByKey]=OutputTable[[#This Row],[GroupByKey]]),(OutputTable[GroupByKey]=OutputTable[[#This Row],[GroupByKey]])*OutputTable[RecordedValue])),0)</f>
        <v>46.417031532903209</v>
      </c>
      <c r="M472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72" cm="1">
        <f t="array" ref="O472">MIN(IF((OutputTable[GroupByKey]=OutputTable[[#This Row],[GroupByKey]]),(OutputTable[GroupByKey]=OutputTable[[#This Row],[GroupByKey]])*OutputTable[RecordedValue]))</f>
        <v>2306</v>
      </c>
      <c r="P472" cm="1">
        <f t="array" ref="P472">MAX(IF((OutputTable[GroupByKey]=OutputTable[[#This Row],[GroupByKey]]),(OutputTable[GroupByKey]=OutputTable[[#This Row],[GroupByKey]])*OutputTable[RecordedValue]))</f>
        <v>2506</v>
      </c>
    </row>
    <row r="473" spans="1:16" x14ac:dyDescent="0.25">
      <c r="A473" t="s">
        <v>68</v>
      </c>
      <c r="B473" t="s">
        <v>131</v>
      </c>
      <c r="C473">
        <v>28</v>
      </c>
      <c r="D473" t="s">
        <v>122</v>
      </c>
      <c r="E473" t="s">
        <v>123</v>
      </c>
      <c r="F473" t="s">
        <v>99</v>
      </c>
      <c r="G473">
        <v>0.54166771731551699</v>
      </c>
      <c r="H473">
        <v>0</v>
      </c>
      <c r="I473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473" cm="1">
        <f t="array" ref="J473">MAX(IF((ProjectInfoTable[ProjectName]=OutputTable[[#This Row],[ProjectName]]),(ProjectInfoTable[ProjectName]=OutputTable[[#This Row],[ProjectName]])*ProjectInfoTable[NumberOfReplications]))</f>
        <v>50</v>
      </c>
      <c r="K473" cm="1">
        <f t="array" ref="K473">IFERROR(AVERAGE(IF((OutputTable[GroupByKey]=OutputTable[[#This Row],[GroupByKey]]),(OutputTable[GroupByKey]=OutputTable[[#This Row],[GroupByKey]])*OutputTable[RecordedValue])),0)</f>
        <v>0.54703961359050601</v>
      </c>
      <c r="L473" cm="1">
        <f t="array" ref="L473">IFERROR(_xlfn.STDEV.S(IF((OutputTable[GroupByKey]=OutputTable[[#This Row],[GroupByKey]]),(OutputTable[GroupByKey]=OutputTable[[#This Row],[GroupByKey]])*OutputTable[RecordedValue])),0)</f>
        <v>1.0221170008030479E-2</v>
      </c>
      <c r="M473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473" cm="1">
        <f t="array" ref="O473">MIN(IF((OutputTable[GroupByKey]=OutputTable[[#This Row],[GroupByKey]]),(OutputTable[GroupByKey]=OutputTable[[#This Row],[GroupByKey]])*OutputTable[RecordedValue]))</f>
        <v>0.52470641844357901</v>
      </c>
      <c r="P473" cm="1">
        <f t="array" ref="P473">MAX(IF((OutputTable[GroupByKey]=OutputTable[[#This Row],[GroupByKey]]),(OutputTable[GroupByKey]=OutputTable[[#This Row],[GroupByKey]])*OutputTable[RecordedValue]))</f>
        <v>0.57005812966092295</v>
      </c>
    </row>
    <row r="474" spans="1:16" x14ac:dyDescent="0.25">
      <c r="A474" t="s">
        <v>68</v>
      </c>
      <c r="B474" t="s">
        <v>131</v>
      </c>
      <c r="C474">
        <v>28</v>
      </c>
      <c r="D474" t="s">
        <v>124</v>
      </c>
      <c r="E474" t="s">
        <v>121</v>
      </c>
      <c r="F474" t="s">
        <v>99</v>
      </c>
      <c r="G474">
        <v>2340</v>
      </c>
      <c r="H474">
        <v>0</v>
      </c>
      <c r="I474" t="str">
        <f>OutputTable[[#This Row],[ProjectName]]&amp;OutputTable[[#This Row],[Name]]&amp;OutputTable[[#This Row],[Type]]&amp;OutputTable[[#This Row],[Source]]</f>
        <v>PacientesrMedico.NumberSeizedTotal Number SeizedResource</v>
      </c>
      <c r="J474" cm="1">
        <f t="array" ref="J474">MAX(IF((ProjectInfoTable[ProjectName]=OutputTable[[#This Row],[ProjectName]]),(ProjectInfoTable[ProjectName]=OutputTable[[#This Row],[ProjectName]])*ProjectInfoTable[NumberOfReplications]))</f>
        <v>50</v>
      </c>
      <c r="K474" cm="1">
        <f t="array" ref="K474">IFERROR(AVERAGE(IF((OutputTable[GroupByKey]=OutputTable[[#This Row],[GroupByKey]]),(OutputTable[GroupByKey]=OutputTable[[#This Row],[GroupByKey]])*OutputTable[RecordedValue])),0)</f>
        <v>2401.9</v>
      </c>
      <c r="L474" cm="1">
        <f t="array" ref="L474">IFERROR(_xlfn.STDEV.S(IF((OutputTable[GroupByKey]=OutputTable[[#This Row],[GroupByKey]]),(OutputTable[GroupByKey]=OutputTable[[#This Row],[GroupByKey]])*OutputTable[RecordedValue])),0)</f>
        <v>46.417031532903209</v>
      </c>
      <c r="M474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74" cm="1">
        <f t="array" ref="O474">MIN(IF((OutputTable[GroupByKey]=OutputTable[[#This Row],[GroupByKey]]),(OutputTable[GroupByKey]=OutputTable[[#This Row],[GroupByKey]])*OutputTable[RecordedValue]))</f>
        <v>2306</v>
      </c>
      <c r="P474" cm="1">
        <f t="array" ref="P474">MAX(IF((OutputTable[GroupByKey]=OutputTable[[#This Row],[GroupByKey]]),(OutputTable[GroupByKey]=OutputTable[[#This Row],[GroupByKey]])*OutputTable[RecordedValue]))</f>
        <v>2506</v>
      </c>
    </row>
    <row r="475" spans="1:16" x14ac:dyDescent="0.25">
      <c r="A475" t="s">
        <v>68</v>
      </c>
      <c r="B475" t="s">
        <v>131</v>
      </c>
      <c r="C475">
        <v>28</v>
      </c>
      <c r="D475" t="s">
        <v>125</v>
      </c>
      <c r="E475" t="s">
        <v>123</v>
      </c>
      <c r="F475" t="s">
        <v>99</v>
      </c>
      <c r="G475">
        <v>0.81250157597327599</v>
      </c>
      <c r="H475">
        <v>0</v>
      </c>
      <c r="I475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475" cm="1">
        <f t="array" ref="J475">MAX(IF((ProjectInfoTable[ProjectName]=OutputTable[[#This Row],[ProjectName]]),(ProjectInfoTable[ProjectName]=OutputTable[[#This Row],[ProjectName]])*ProjectInfoTable[NumberOfReplications]))</f>
        <v>50</v>
      </c>
      <c r="K475" cm="1">
        <f t="array" ref="K475">IFERROR(AVERAGE(IF((OutputTable[GroupByKey]=OutputTable[[#This Row],[GroupByKey]]),(OutputTable[GroupByKey]=OutputTable[[#This Row],[GroupByKey]])*OutputTable[RecordedValue])),0)</f>
        <v>0.82055942038575935</v>
      </c>
      <c r="L475" cm="1">
        <f t="array" ref="L475">IFERROR(_xlfn.STDEV.S(IF((OutputTable[GroupByKey]=OutputTable[[#This Row],[GroupByKey]]),(OutputTable[GroupByKey]=OutputTable[[#This Row],[GroupByKey]])*OutputTable[RecordedValue])),0)</f>
        <v>1.5331755012045719E-2</v>
      </c>
      <c r="M47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475" cm="1">
        <f t="array" ref="O475">MIN(IF((OutputTable[GroupByKey]=OutputTable[[#This Row],[GroupByKey]]),(OutputTable[GroupByKey]=OutputTable[[#This Row],[GroupByKey]])*OutputTable[RecordedValue]))</f>
        <v>0.78705962766536897</v>
      </c>
      <c r="P475" cm="1">
        <f t="array" ref="P475">MAX(IF((OutputTable[GroupByKey]=OutputTable[[#This Row],[GroupByKey]]),(OutputTable[GroupByKey]=OutputTable[[#This Row],[GroupByKey]])*OutputTable[RecordedValue]))</f>
        <v>0.85508719449138504</v>
      </c>
    </row>
    <row r="476" spans="1:16" x14ac:dyDescent="0.25">
      <c r="A476" t="s">
        <v>68</v>
      </c>
      <c r="B476" t="s">
        <v>131</v>
      </c>
      <c r="C476">
        <v>28</v>
      </c>
      <c r="D476" t="s">
        <v>126</v>
      </c>
      <c r="E476" t="s">
        <v>121</v>
      </c>
      <c r="F476" t="s">
        <v>99</v>
      </c>
      <c r="G476">
        <v>2192</v>
      </c>
      <c r="H476">
        <v>0</v>
      </c>
      <c r="I476" t="str">
        <f>OutputTable[[#This Row],[ProjectName]]&amp;OutputTable[[#This Row],[Name]]&amp;OutputTable[[#This Row],[Type]]&amp;OutputTable[[#This Row],[Source]]</f>
        <v>PacientesrRegistradora.NumberSeizedTotal Number SeizedResource</v>
      </c>
      <c r="J476" cm="1">
        <f t="array" ref="J476">MAX(IF((ProjectInfoTable[ProjectName]=OutputTable[[#This Row],[ProjectName]]),(ProjectInfoTable[ProjectName]=OutputTable[[#This Row],[ProjectName]])*ProjectInfoTable[NumberOfReplications]))</f>
        <v>50</v>
      </c>
      <c r="K476" cm="1">
        <f t="array" ref="K476">IFERROR(AVERAGE(IF((OutputTable[GroupByKey]=OutputTable[[#This Row],[GroupByKey]]),(OutputTable[GroupByKey]=OutputTable[[#This Row],[GroupByKey]])*OutputTable[RecordedValue])),0)</f>
        <v>2263.14</v>
      </c>
      <c r="L476" cm="1">
        <f t="array" ref="L476">IFERROR(_xlfn.STDEV.S(IF((OutputTable[GroupByKey]=OutputTable[[#This Row],[GroupByKey]]),(OutputTable[GroupByKey]=OutputTable[[#This Row],[GroupByKey]])*OutputTable[RecordedValue])),0)</f>
        <v>47.386818971575821</v>
      </c>
      <c r="M476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476" cm="1">
        <f t="array" ref="O476">MIN(IF((OutputTable[GroupByKey]=OutputTable[[#This Row],[GroupByKey]]),(OutputTable[GroupByKey]=OutputTable[[#This Row],[GroupByKey]])*OutputTable[RecordedValue]))</f>
        <v>2172</v>
      </c>
      <c r="P476" cm="1">
        <f t="array" ref="P476">MAX(IF((OutputTable[GroupByKey]=OutputTable[[#This Row],[GroupByKey]]),(OutputTable[GroupByKey]=OutputTable[[#This Row],[GroupByKey]])*OutputTable[RecordedValue]))</f>
        <v>2386</v>
      </c>
    </row>
    <row r="477" spans="1:16" x14ac:dyDescent="0.25">
      <c r="A477" t="s">
        <v>68</v>
      </c>
      <c r="B477" t="s">
        <v>131</v>
      </c>
      <c r="C477">
        <v>28</v>
      </c>
      <c r="D477" t="s">
        <v>127</v>
      </c>
      <c r="E477" t="s">
        <v>123</v>
      </c>
      <c r="F477" t="s">
        <v>99</v>
      </c>
      <c r="G477">
        <v>0.457783377026382</v>
      </c>
      <c r="H477">
        <v>0</v>
      </c>
      <c r="I477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477" cm="1">
        <f t="array" ref="J477">MAX(IF((ProjectInfoTable[ProjectName]=OutputTable[[#This Row],[ProjectName]]),(ProjectInfoTable[ProjectName]=OutputTable[[#This Row],[ProjectName]])*ProjectInfoTable[NumberOfReplications]))</f>
        <v>50</v>
      </c>
      <c r="K477" cm="1">
        <f t="array" ref="K477">IFERROR(AVERAGE(IF((OutputTable[GroupByKey]=OutputTable[[#This Row],[GroupByKey]]),(OutputTable[GroupByKey]=OutputTable[[#This Row],[GroupByKey]])*OutputTable[RecordedValue])),0)</f>
        <v>0.47162762933545666</v>
      </c>
      <c r="L477" cm="1">
        <f t="array" ref="L477">IFERROR(_xlfn.STDEV.S(IF((OutputTable[GroupByKey]=OutputTable[[#This Row],[GroupByKey]]),(OutputTable[GroupByKey]=OutputTable[[#This Row],[GroupByKey]])*OutputTable[RecordedValue])),0)</f>
        <v>9.6615227076777797E-3</v>
      </c>
      <c r="M477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477" cm="1">
        <f t="array" ref="O477">MIN(IF((OutputTable[GroupByKey]=OutputTable[[#This Row],[GroupByKey]]),(OutputTable[GroupByKey]=OutputTable[[#This Row],[GroupByKey]])*OutputTable[RecordedValue]))</f>
        <v>0.452397944183905</v>
      </c>
      <c r="P477" cm="1">
        <f t="array" ref="P477">MAX(IF((OutputTable[GroupByKey]=OutputTable[[#This Row],[GroupByKey]]),(OutputTable[GroupByKey]=OutputTable[[#This Row],[GroupByKey]])*OutputTable[RecordedValue]))</f>
        <v>0.49691123629694001</v>
      </c>
    </row>
    <row r="478" spans="1:16" x14ac:dyDescent="0.25">
      <c r="A478" t="s">
        <v>68</v>
      </c>
      <c r="B478" t="s">
        <v>131</v>
      </c>
      <c r="C478">
        <v>29</v>
      </c>
      <c r="D478" t="s">
        <v>104</v>
      </c>
      <c r="E478" t="s">
        <v>105</v>
      </c>
      <c r="F478" t="s">
        <v>72</v>
      </c>
      <c r="G478">
        <v>2447</v>
      </c>
      <c r="H478">
        <v>0</v>
      </c>
      <c r="I478" t="str">
        <f>OutputTable[[#This Row],[ProjectName]]&amp;OutputTable[[#This Row],[Name]]&amp;OutputTable[[#This Row],[Type]]&amp;OutputTable[[#This Row],[Source]]</f>
        <v>PacientesEntity 1.NumberInNumber InEntity</v>
      </c>
      <c r="J478" cm="1">
        <f t="array" ref="J478">MAX(IF((ProjectInfoTable[ProjectName]=OutputTable[[#This Row],[ProjectName]]),(ProjectInfoTable[ProjectName]=OutputTable[[#This Row],[ProjectName]])*ProjectInfoTable[NumberOfReplications]))</f>
        <v>50</v>
      </c>
      <c r="K478" cm="1">
        <f t="array" ref="K478">IFERROR(AVERAGE(IF((OutputTable[GroupByKey]=OutputTable[[#This Row],[GroupByKey]]),(OutputTable[GroupByKey]=OutputTable[[#This Row],[GroupByKey]])*OutputTable[RecordedValue])),0)</f>
        <v>2404.8200000000002</v>
      </c>
      <c r="L478" cm="1">
        <f t="array" ref="L478">IFERROR(_xlfn.STDEV.S(IF((OutputTable[GroupByKey]=OutputTable[[#This Row],[GroupByKey]]),(OutputTable[GroupByKey]=OutputTable[[#This Row],[GroupByKey]])*OutputTable[RecordedValue])),0)</f>
        <v>46.42953405595474</v>
      </c>
      <c r="M478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478" cm="1">
        <f t="array" ref="O478">MIN(IF((OutputTable[GroupByKey]=OutputTable[[#This Row],[GroupByKey]]),(OutputTable[GroupByKey]=OutputTable[[#This Row],[GroupByKey]])*OutputTable[RecordedValue]))</f>
        <v>2307</v>
      </c>
      <c r="P478" cm="1">
        <f t="array" ref="P478">MAX(IF((OutputTable[GroupByKey]=OutputTable[[#This Row],[GroupByKey]]),(OutputTable[GroupByKey]=OutputTable[[#This Row],[GroupByKey]])*OutputTable[RecordedValue]))</f>
        <v>2518</v>
      </c>
    </row>
    <row r="479" spans="1:16" x14ac:dyDescent="0.25">
      <c r="A479" t="s">
        <v>68</v>
      </c>
      <c r="B479" t="s">
        <v>131</v>
      </c>
      <c r="C479">
        <v>29</v>
      </c>
      <c r="D479" t="s">
        <v>106</v>
      </c>
      <c r="E479" t="s">
        <v>107</v>
      </c>
      <c r="F479" t="s">
        <v>72</v>
      </c>
      <c r="G479">
        <v>2440</v>
      </c>
      <c r="H479">
        <v>0</v>
      </c>
      <c r="I479" t="str">
        <f>OutputTable[[#This Row],[ProjectName]]&amp;OutputTable[[#This Row],[Name]]&amp;OutputTable[[#This Row],[Type]]&amp;OutputTable[[#This Row],[Source]]</f>
        <v>PacientesEntity 1.NumberOutNumber OutEntity</v>
      </c>
      <c r="J479" cm="1">
        <f t="array" ref="J479">MAX(IF((ProjectInfoTable[ProjectName]=OutputTable[[#This Row],[ProjectName]]),(ProjectInfoTable[ProjectName]=OutputTable[[#This Row],[ProjectName]])*ProjectInfoTable[NumberOfReplications]))</f>
        <v>50</v>
      </c>
      <c r="K479" cm="1">
        <f t="array" ref="K479">IFERROR(AVERAGE(IF((OutputTable[GroupByKey]=OutputTable[[#This Row],[GroupByKey]]),(OutputTable[GroupByKey]=OutputTable[[#This Row],[GroupByKey]])*OutputTable[RecordedValue])),0)</f>
        <v>2400.2800000000002</v>
      </c>
      <c r="L479" cm="1">
        <f t="array" ref="L479">IFERROR(_xlfn.STDEV.S(IF((OutputTable[GroupByKey]=OutputTable[[#This Row],[GroupByKey]]),(OutputTable[GroupByKey]=OutputTable[[#This Row],[GroupByKey]])*OutputTable[RecordedValue])),0)</f>
        <v>46.409024456676619</v>
      </c>
      <c r="M479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79" cm="1">
        <f t="array" ref="O479">MIN(IF((OutputTable[GroupByKey]=OutputTable[[#This Row],[GroupByKey]]),(OutputTable[GroupByKey]=OutputTable[[#This Row],[GroupByKey]])*OutputTable[RecordedValue]))</f>
        <v>2305</v>
      </c>
      <c r="P479" cm="1">
        <f t="array" ref="P479">MAX(IF((OutputTable[GroupByKey]=OutputTable[[#This Row],[GroupByKey]]),(OutputTable[GroupByKey]=OutputTable[[#This Row],[GroupByKey]])*OutputTable[RecordedValue]))</f>
        <v>2504</v>
      </c>
    </row>
    <row r="480" spans="1:16" x14ac:dyDescent="0.25">
      <c r="A480" t="s">
        <v>68</v>
      </c>
      <c r="B480" t="s">
        <v>131</v>
      </c>
      <c r="C480">
        <v>29</v>
      </c>
      <c r="D480" t="s">
        <v>108</v>
      </c>
      <c r="E480" t="s">
        <v>109</v>
      </c>
      <c r="F480" t="s">
        <v>80</v>
      </c>
      <c r="G480">
        <v>1183.7895130296799</v>
      </c>
      <c r="H480">
        <v>0</v>
      </c>
      <c r="I480" t="str">
        <f>OutputTable[[#This Row],[ProjectName]]&amp;OutputTable[[#This Row],[Name]]&amp;OutputTable[[#This Row],[Type]]&amp;OutputTable[[#This Row],[Source]]</f>
        <v>PacientesProcess 2 Accum VA TimeAccum VA TimeProcess</v>
      </c>
      <c r="J480" cm="1">
        <f t="array" ref="J480">MAX(IF((ProjectInfoTable[ProjectName]=OutputTable[[#This Row],[ProjectName]]),(ProjectInfoTable[ProjectName]=OutputTable[[#This Row],[ProjectName]])*ProjectInfoTable[NumberOfReplications]))</f>
        <v>50</v>
      </c>
      <c r="K480" cm="1">
        <f t="array" ref="K480">IFERROR(AVERAGE(IF((OutputTable[GroupByKey]=OutputTable[[#This Row],[GroupByKey]]),(OutputTable[GroupByKey]=OutputTable[[#This Row],[GroupByKey]])*OutputTable[RecordedValue])),0)</f>
        <v>1181.1234936767919</v>
      </c>
      <c r="L480" cm="1">
        <f t="array" ref="L480">IFERROR(_xlfn.STDEV.S(IF((OutputTable[GroupByKey]=OutputTable[[#This Row],[GroupByKey]]),(OutputTable[GroupByKey]=OutputTable[[#This Row],[GroupByKey]])*OutputTable[RecordedValue])),0)</f>
        <v>22.169313666927575</v>
      </c>
      <c r="M480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480" cm="1">
        <f t="array" ref="O480">MIN(IF((OutputTable[GroupByKey]=OutputTable[[#This Row],[GroupByKey]]),(OutputTable[GroupByKey]=OutputTable[[#This Row],[GroupByKey]])*OutputTable[RecordedValue]))</f>
        <v>1133.24622318414</v>
      </c>
      <c r="P480" cm="1">
        <f t="array" ref="P480">MAX(IF((OutputTable[GroupByKey]=OutputTable[[#This Row],[GroupByKey]]),(OutputTable[GroupByKey]=OutputTable[[#This Row],[GroupByKey]])*OutputTable[RecordedValue]))</f>
        <v>1230.9493287309799</v>
      </c>
    </row>
    <row r="481" spans="1:16" x14ac:dyDescent="0.25">
      <c r="A481" t="s">
        <v>68</v>
      </c>
      <c r="B481" t="s">
        <v>131</v>
      </c>
      <c r="C481">
        <v>29</v>
      </c>
      <c r="D481" t="s">
        <v>110</v>
      </c>
      <c r="E481" t="s">
        <v>111</v>
      </c>
      <c r="F481" t="s">
        <v>80</v>
      </c>
      <c r="G481">
        <v>2266.2190666875799</v>
      </c>
      <c r="H481">
        <v>0</v>
      </c>
      <c r="I481" t="str">
        <f>OutputTable[[#This Row],[ProjectName]]&amp;OutputTable[[#This Row],[Name]]&amp;OutputTable[[#This Row],[Type]]&amp;OutputTable[[#This Row],[Source]]</f>
        <v>PacientesProcess 2 Accum Wait TimeAccum Wait TimeProcess</v>
      </c>
      <c r="J481" cm="1">
        <f t="array" ref="J481">MAX(IF((ProjectInfoTable[ProjectName]=OutputTable[[#This Row],[ProjectName]]),(ProjectInfoTable[ProjectName]=OutputTable[[#This Row],[ProjectName]])*ProjectInfoTable[NumberOfReplications]))</f>
        <v>50</v>
      </c>
      <c r="K481" cm="1">
        <f t="array" ref="K481">IFERROR(AVERAGE(IF((OutputTable[GroupByKey]=OutputTable[[#This Row],[GroupByKey]]),(OutputTable[GroupByKey]=OutputTable[[#This Row],[GroupByKey]])*OutputTable[RecordedValue])),0)</f>
        <v>1938.7515507466894</v>
      </c>
      <c r="L481" cm="1">
        <f t="array" ref="L481">IFERROR(_xlfn.STDEV.S(IF((OutputTable[GroupByKey]=OutputTable[[#This Row],[GroupByKey]]),(OutputTable[GroupByKey]=OutputTable[[#This Row],[GroupByKey]])*OutputTable[RecordedValue])),0)</f>
        <v>534.03396241838232</v>
      </c>
      <c r="M481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481" cm="1">
        <f t="array" ref="O481">MIN(IF((OutputTable[GroupByKey]=OutputTable[[#This Row],[GroupByKey]]),(OutputTable[GroupByKey]=OutputTable[[#This Row],[GroupByKey]])*OutputTable[RecordedValue]))</f>
        <v>1234.7567994731401</v>
      </c>
      <c r="P481" cm="1">
        <f t="array" ref="P481">MAX(IF((OutputTable[GroupByKey]=OutputTable[[#This Row],[GroupByKey]]),(OutputTable[GroupByKey]=OutputTable[[#This Row],[GroupByKey]])*OutputTable[RecordedValue]))</f>
        <v>3269.0858002883801</v>
      </c>
    </row>
    <row r="482" spans="1:16" x14ac:dyDescent="0.25">
      <c r="A482" t="s">
        <v>68</v>
      </c>
      <c r="B482" t="s">
        <v>131</v>
      </c>
      <c r="C482">
        <v>29</v>
      </c>
      <c r="D482" t="s">
        <v>112</v>
      </c>
      <c r="E482" t="s">
        <v>105</v>
      </c>
      <c r="F482" t="s">
        <v>80</v>
      </c>
      <c r="G482">
        <v>2446</v>
      </c>
      <c r="H482">
        <v>0</v>
      </c>
      <c r="I482" t="str">
        <f>OutputTable[[#This Row],[ProjectName]]&amp;OutputTable[[#This Row],[Name]]&amp;OutputTable[[#This Row],[Type]]&amp;OutputTable[[#This Row],[Source]]</f>
        <v>PacientesProcess 2 Number InNumber InProcess</v>
      </c>
      <c r="J482" cm="1">
        <f t="array" ref="J482">MAX(IF((ProjectInfoTable[ProjectName]=OutputTable[[#This Row],[ProjectName]]),(ProjectInfoTable[ProjectName]=OutputTable[[#This Row],[ProjectName]])*ProjectInfoTable[NumberOfReplications]))</f>
        <v>50</v>
      </c>
      <c r="K482" cm="1">
        <f t="array" ref="K482">IFERROR(AVERAGE(IF((OutputTable[GroupByKey]=OutputTable[[#This Row],[GroupByKey]]),(OutputTable[GroupByKey]=OutputTable[[#This Row],[GroupByKey]])*OutputTable[RecordedValue])),0)</f>
        <v>2404.2399999999998</v>
      </c>
      <c r="L482" cm="1">
        <f t="array" ref="L482">IFERROR(_xlfn.STDEV.S(IF((OutputTable[GroupByKey]=OutputTable[[#This Row],[GroupByKey]]),(OutputTable[GroupByKey]=OutputTable[[#This Row],[GroupByKey]])*OutputTable[RecordedValue])),0)</f>
        <v>46.574303154053879</v>
      </c>
      <c r="M482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482" cm="1">
        <f t="array" ref="O482">MIN(IF((OutputTable[GroupByKey]=OutputTable[[#This Row],[GroupByKey]]),(OutputTable[GroupByKey]=OutputTable[[#This Row],[GroupByKey]])*OutputTable[RecordedValue]))</f>
        <v>2306</v>
      </c>
      <c r="P482" cm="1">
        <f t="array" ref="P482">MAX(IF((OutputTable[GroupByKey]=OutputTable[[#This Row],[GroupByKey]]),(OutputTable[GroupByKey]=OutputTable[[#This Row],[GroupByKey]])*OutputTable[RecordedValue]))</f>
        <v>2518</v>
      </c>
    </row>
    <row r="483" spans="1:16" x14ac:dyDescent="0.25">
      <c r="A483" t="s">
        <v>68</v>
      </c>
      <c r="B483" t="s">
        <v>131</v>
      </c>
      <c r="C483">
        <v>29</v>
      </c>
      <c r="D483" t="s">
        <v>113</v>
      </c>
      <c r="E483" t="s">
        <v>107</v>
      </c>
      <c r="F483" t="s">
        <v>80</v>
      </c>
      <c r="G483">
        <v>2440</v>
      </c>
      <c r="H483">
        <v>0</v>
      </c>
      <c r="I483" t="str">
        <f>OutputTable[[#This Row],[ProjectName]]&amp;OutputTable[[#This Row],[Name]]&amp;OutputTable[[#This Row],[Type]]&amp;OutputTable[[#This Row],[Source]]</f>
        <v>PacientesProcess 2 Number OutNumber OutProcess</v>
      </c>
      <c r="J483" cm="1">
        <f t="array" ref="J483">MAX(IF((ProjectInfoTable[ProjectName]=OutputTable[[#This Row],[ProjectName]]),(ProjectInfoTable[ProjectName]=OutputTable[[#This Row],[ProjectName]])*ProjectInfoTable[NumberOfReplications]))</f>
        <v>50</v>
      </c>
      <c r="K483" cm="1">
        <f t="array" ref="K483">IFERROR(AVERAGE(IF((OutputTable[GroupByKey]=OutputTable[[#This Row],[GroupByKey]]),(OutputTable[GroupByKey]=OutputTable[[#This Row],[GroupByKey]])*OutputTable[RecordedValue])),0)</f>
        <v>2400.2800000000002</v>
      </c>
      <c r="L483" cm="1">
        <f t="array" ref="L483">IFERROR(_xlfn.STDEV.S(IF((OutputTable[GroupByKey]=OutputTable[[#This Row],[GroupByKey]]),(OutputTable[GroupByKey]=OutputTable[[#This Row],[GroupByKey]])*OutputTable[RecordedValue])),0)</f>
        <v>46.409024456676619</v>
      </c>
      <c r="M483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83" cm="1">
        <f t="array" ref="O483">MIN(IF((OutputTable[GroupByKey]=OutputTable[[#This Row],[GroupByKey]]),(OutputTable[GroupByKey]=OutputTable[[#This Row],[GroupByKey]])*OutputTable[RecordedValue]))</f>
        <v>2305</v>
      </c>
      <c r="P483" cm="1">
        <f t="array" ref="P483">MAX(IF((OutputTable[GroupByKey]=OutputTable[[#This Row],[GroupByKey]]),(OutputTable[GroupByKey]=OutputTable[[#This Row],[GroupByKey]])*OutputTable[RecordedValue]))</f>
        <v>2504</v>
      </c>
    </row>
    <row r="484" spans="1:16" x14ac:dyDescent="0.25">
      <c r="A484" t="s">
        <v>68</v>
      </c>
      <c r="B484" t="s">
        <v>131</v>
      </c>
      <c r="C484">
        <v>29</v>
      </c>
      <c r="D484" t="s">
        <v>114</v>
      </c>
      <c r="E484" t="s">
        <v>109</v>
      </c>
      <c r="F484" t="s">
        <v>80</v>
      </c>
      <c r="G484">
        <v>348.55546166871</v>
      </c>
      <c r="H484">
        <v>0</v>
      </c>
      <c r="I484" t="str">
        <f>OutputTable[[#This Row],[ProjectName]]&amp;OutputTable[[#This Row],[Name]]&amp;OutputTable[[#This Row],[Type]]&amp;OutputTable[[#This Row],[Source]]</f>
        <v>PacientesRegistro Accum VA TimeAccum VA TimeProcess</v>
      </c>
      <c r="J484" cm="1">
        <f t="array" ref="J484">MAX(IF((ProjectInfoTable[ProjectName]=OutputTable[[#This Row],[ProjectName]]),(ProjectInfoTable[ProjectName]=OutputTable[[#This Row],[ProjectName]])*ProjectInfoTable[NumberOfReplications]))</f>
        <v>50</v>
      </c>
      <c r="K484" cm="1">
        <f t="array" ref="K484">IFERROR(AVERAGE(IF((OutputTable[GroupByKey]=OutputTable[[#This Row],[GroupByKey]]),(OutputTable[GroupByKey]=OutputTable[[#This Row],[GroupByKey]])*OutputTable[RecordedValue])),0)</f>
        <v>339.53547737062786</v>
      </c>
      <c r="L484" cm="1">
        <f t="array" ref="L484">IFERROR(_xlfn.STDEV.S(IF((OutputTable[GroupByKey]=OutputTable[[#This Row],[GroupByKey]]),(OutputTable[GroupByKey]=OutputTable[[#This Row],[GroupByKey]])*OutputTable[RecordedValue])),0)</f>
        <v>6.9723666109353193</v>
      </c>
      <c r="M484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484" cm="1">
        <f t="array" ref="O484">MIN(IF((OutputTable[GroupByKey]=OutputTable[[#This Row],[GroupByKey]]),(OutputTable[GroupByKey]=OutputTable[[#This Row],[GroupByKey]])*OutputTable[RecordedValue]))</f>
        <v>325.606879158418</v>
      </c>
      <c r="P484" cm="1">
        <f t="array" ref="P484">MAX(IF((OutputTable[GroupByKey]=OutputTable[[#This Row],[GroupByKey]]),(OutputTable[GroupByKey]=OutputTable[[#This Row],[GroupByKey]])*OutputTable[RecordedValue]))</f>
        <v>357.77609013379703</v>
      </c>
    </row>
    <row r="485" spans="1:16" x14ac:dyDescent="0.25">
      <c r="A485" t="s">
        <v>68</v>
      </c>
      <c r="B485" t="s">
        <v>131</v>
      </c>
      <c r="C485">
        <v>29</v>
      </c>
      <c r="D485" t="s">
        <v>115</v>
      </c>
      <c r="E485" t="s">
        <v>111</v>
      </c>
      <c r="F485" t="s">
        <v>80</v>
      </c>
      <c r="G485">
        <v>162.98036860494801</v>
      </c>
      <c r="H485">
        <v>0</v>
      </c>
      <c r="I485" t="str">
        <f>OutputTable[[#This Row],[ProjectName]]&amp;OutputTable[[#This Row],[Name]]&amp;OutputTable[[#This Row],[Type]]&amp;OutputTable[[#This Row],[Source]]</f>
        <v>PacientesRegistro Accum Wait TimeAccum Wait TimeProcess</v>
      </c>
      <c r="J485" cm="1">
        <f t="array" ref="J485">MAX(IF((ProjectInfoTable[ProjectName]=OutputTable[[#This Row],[ProjectName]]),(ProjectInfoTable[ProjectName]=OutputTable[[#This Row],[ProjectName]])*ProjectInfoTable[NumberOfReplications]))</f>
        <v>50</v>
      </c>
      <c r="K485" cm="1">
        <f t="array" ref="K485">IFERROR(AVERAGE(IF((OutputTable[GroupByKey]=OutputTable[[#This Row],[GroupByKey]]),(OutputTable[GroupByKey]=OutputTable[[#This Row],[GroupByKey]])*OutputTable[RecordedValue])),0)</f>
        <v>154.15303898127775</v>
      </c>
      <c r="L485" cm="1">
        <f t="array" ref="L485">IFERROR(_xlfn.STDEV.S(IF((OutputTable[GroupByKey]=OutputTable[[#This Row],[GroupByKey]]),(OutputTable[GroupByKey]=OutputTable[[#This Row],[GroupByKey]])*OutputTable[RecordedValue])),0)</f>
        <v>12.141439184615397</v>
      </c>
      <c r="M48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485" cm="1">
        <f t="array" ref="O485">MIN(IF((OutputTable[GroupByKey]=OutputTable[[#This Row],[GroupByKey]]),(OutputTable[GroupByKey]=OutputTable[[#This Row],[GroupByKey]])*OutputTable[RecordedValue]))</f>
        <v>123.901613974094</v>
      </c>
      <c r="P485" cm="1">
        <f t="array" ref="P485">MAX(IF((OutputTable[GroupByKey]=OutputTable[[#This Row],[GroupByKey]]),(OutputTable[GroupByKey]=OutputTable[[#This Row],[GroupByKey]])*OutputTable[RecordedValue]))</f>
        <v>178.441307284473</v>
      </c>
    </row>
    <row r="486" spans="1:16" x14ac:dyDescent="0.25">
      <c r="A486" t="s">
        <v>68</v>
      </c>
      <c r="B486" t="s">
        <v>131</v>
      </c>
      <c r="C486">
        <v>29</v>
      </c>
      <c r="D486" t="s">
        <v>116</v>
      </c>
      <c r="E486" t="s">
        <v>105</v>
      </c>
      <c r="F486" t="s">
        <v>80</v>
      </c>
      <c r="G486">
        <v>2314</v>
      </c>
      <c r="H486">
        <v>0</v>
      </c>
      <c r="I486" t="str">
        <f>OutputTable[[#This Row],[ProjectName]]&amp;OutputTable[[#This Row],[Name]]&amp;OutputTable[[#This Row],[Type]]&amp;OutputTable[[#This Row],[Source]]</f>
        <v>PacientesRegistro Number InNumber InProcess</v>
      </c>
      <c r="J486" cm="1">
        <f t="array" ref="J486">MAX(IF((ProjectInfoTable[ProjectName]=OutputTable[[#This Row],[ProjectName]]),(ProjectInfoTable[ProjectName]=OutputTable[[#This Row],[ProjectName]])*ProjectInfoTable[NumberOfReplications]))</f>
        <v>50</v>
      </c>
      <c r="K486" cm="1">
        <f t="array" ref="K486">IFERROR(AVERAGE(IF((OutputTable[GroupByKey]=OutputTable[[#This Row],[GroupByKey]]),(OutputTable[GroupByKey]=OutputTable[[#This Row],[GroupByKey]])*OutputTable[RecordedValue])),0)</f>
        <v>2263.2399999999998</v>
      </c>
      <c r="L486" cm="1">
        <f t="array" ref="L486">IFERROR(_xlfn.STDEV.S(IF((OutputTable[GroupByKey]=OutputTable[[#This Row],[GroupByKey]]),(OutputTable[GroupByKey]=OutputTable[[#This Row],[GroupByKey]])*OutputTable[RecordedValue])),0)</f>
        <v>47.331035682472766</v>
      </c>
      <c r="M486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486" cm="1">
        <f t="array" ref="O486">MIN(IF((OutputTable[GroupByKey]=OutputTable[[#This Row],[GroupByKey]]),(OutputTable[GroupByKey]=OutputTable[[#This Row],[GroupByKey]])*OutputTable[RecordedValue]))</f>
        <v>2172</v>
      </c>
      <c r="P486" cm="1">
        <f t="array" ref="P486">MAX(IF((OutputTable[GroupByKey]=OutputTable[[#This Row],[GroupByKey]]),(OutputTable[GroupByKey]=OutputTable[[#This Row],[GroupByKey]])*OutputTable[RecordedValue]))</f>
        <v>2386</v>
      </c>
    </row>
    <row r="487" spans="1:16" x14ac:dyDescent="0.25">
      <c r="A487" t="s">
        <v>68</v>
      </c>
      <c r="B487" t="s">
        <v>131</v>
      </c>
      <c r="C487">
        <v>29</v>
      </c>
      <c r="D487" t="s">
        <v>117</v>
      </c>
      <c r="E487" t="s">
        <v>107</v>
      </c>
      <c r="F487" t="s">
        <v>80</v>
      </c>
      <c r="G487">
        <v>2313</v>
      </c>
      <c r="H487">
        <v>0</v>
      </c>
      <c r="I487" t="str">
        <f>OutputTable[[#This Row],[ProjectName]]&amp;OutputTable[[#This Row],[Name]]&amp;OutputTable[[#This Row],[Type]]&amp;OutputTable[[#This Row],[Source]]</f>
        <v>PacientesRegistro Number OutNumber OutProcess</v>
      </c>
      <c r="J487" cm="1">
        <f t="array" ref="J487">MAX(IF((ProjectInfoTable[ProjectName]=OutputTable[[#This Row],[ProjectName]]),(ProjectInfoTable[ProjectName]=OutputTable[[#This Row],[ProjectName]])*ProjectInfoTable[NumberOfReplications]))</f>
        <v>50</v>
      </c>
      <c r="K487" cm="1">
        <f t="array" ref="K487">IFERROR(AVERAGE(IF((OutputTable[GroupByKey]=OutputTable[[#This Row],[GroupByKey]]),(OutputTable[GroupByKey]=OutputTable[[#This Row],[GroupByKey]])*OutputTable[RecordedValue])),0)</f>
        <v>2262.66</v>
      </c>
      <c r="L487" cm="1">
        <f t="array" ref="L487">IFERROR(_xlfn.STDEV.S(IF((OutputTable[GroupByKey]=OutputTable[[#This Row],[GroupByKey]]),(OutputTable[GroupByKey]=OutputTable[[#This Row],[GroupByKey]])*OutputTable[RecordedValue])),0)</f>
        <v>47.488176831454687</v>
      </c>
      <c r="M487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487" cm="1">
        <f t="array" ref="O487">MIN(IF((OutputTable[GroupByKey]=OutputTable[[#This Row],[GroupByKey]]),(OutputTable[GroupByKey]=OutputTable[[#This Row],[GroupByKey]])*OutputTable[RecordedValue]))</f>
        <v>2171</v>
      </c>
      <c r="P487" cm="1">
        <f t="array" ref="P487">MAX(IF((OutputTable[GroupByKey]=OutputTable[[#This Row],[GroupByKey]]),(OutputTable[GroupByKey]=OutputTable[[#This Row],[GroupByKey]])*OutputTable[RecordedValue]))</f>
        <v>2386</v>
      </c>
    </row>
    <row r="488" spans="1:16" x14ac:dyDescent="0.25">
      <c r="A488" t="s">
        <v>68</v>
      </c>
      <c r="B488" t="s">
        <v>131</v>
      </c>
      <c r="C488">
        <v>29</v>
      </c>
      <c r="D488" t="s">
        <v>118</v>
      </c>
      <c r="E488" t="s">
        <v>107</v>
      </c>
      <c r="F488" t="s">
        <v>119</v>
      </c>
      <c r="G488">
        <v>2440</v>
      </c>
      <c r="H488">
        <v>0</v>
      </c>
      <c r="I488" t="str">
        <f>OutputTable[[#This Row],[ProjectName]]&amp;OutputTable[[#This Row],[Name]]&amp;OutputTable[[#This Row],[Type]]&amp;OutputTable[[#This Row],[Source]]</f>
        <v>PacientesSystem.NumberOutNumber OutSystem</v>
      </c>
      <c r="J488" cm="1">
        <f t="array" ref="J488">MAX(IF((ProjectInfoTable[ProjectName]=OutputTable[[#This Row],[ProjectName]]),(ProjectInfoTable[ProjectName]=OutputTable[[#This Row],[ProjectName]])*ProjectInfoTable[NumberOfReplications]))</f>
        <v>50</v>
      </c>
      <c r="K488" cm="1">
        <f t="array" ref="K488">IFERROR(AVERAGE(IF((OutputTable[GroupByKey]=OutputTable[[#This Row],[GroupByKey]]),(OutputTable[GroupByKey]=OutputTable[[#This Row],[GroupByKey]])*OutputTable[RecordedValue])),0)</f>
        <v>2400.2800000000002</v>
      </c>
      <c r="L488" cm="1">
        <f t="array" ref="L488">IFERROR(_xlfn.STDEV.S(IF((OutputTable[GroupByKey]=OutputTable[[#This Row],[GroupByKey]]),(OutputTable[GroupByKey]=OutputTable[[#This Row],[GroupByKey]])*OutputTable[RecordedValue])),0)</f>
        <v>46.409024456676619</v>
      </c>
      <c r="M488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88" cm="1">
        <f t="array" ref="O488">MIN(IF((OutputTable[GroupByKey]=OutputTable[[#This Row],[GroupByKey]]),(OutputTable[GroupByKey]=OutputTable[[#This Row],[GroupByKey]])*OutputTable[RecordedValue]))</f>
        <v>2305</v>
      </c>
      <c r="P488" cm="1">
        <f t="array" ref="P488">MAX(IF((OutputTable[GroupByKey]=OutputTable[[#This Row],[GroupByKey]]),(OutputTable[GroupByKey]=OutputTable[[#This Row],[GroupByKey]])*OutputTable[RecordedValue]))</f>
        <v>2504</v>
      </c>
    </row>
    <row r="489" spans="1:16" x14ac:dyDescent="0.25">
      <c r="A489" t="s">
        <v>68</v>
      </c>
      <c r="B489" t="s">
        <v>131</v>
      </c>
      <c r="C489">
        <v>29</v>
      </c>
      <c r="D489" t="s">
        <v>120</v>
      </c>
      <c r="E489" t="s">
        <v>121</v>
      </c>
      <c r="F489" t="s">
        <v>99</v>
      </c>
      <c r="G489">
        <v>2442</v>
      </c>
      <c r="H489">
        <v>0</v>
      </c>
      <c r="I489" t="str">
        <f>OutputTable[[#This Row],[ProjectName]]&amp;OutputTable[[#This Row],[Name]]&amp;OutputTable[[#This Row],[Type]]&amp;OutputTable[[#This Row],[Source]]</f>
        <v>PacientesrCamas.NumberSeizedTotal Number SeizedResource</v>
      </c>
      <c r="J489" cm="1">
        <f t="array" ref="J489">MAX(IF((ProjectInfoTable[ProjectName]=OutputTable[[#This Row],[ProjectName]]),(ProjectInfoTable[ProjectName]=OutputTable[[#This Row],[ProjectName]])*ProjectInfoTable[NumberOfReplications]))</f>
        <v>50</v>
      </c>
      <c r="K489" cm="1">
        <f t="array" ref="K489">IFERROR(AVERAGE(IF((OutputTable[GroupByKey]=OutputTable[[#This Row],[GroupByKey]]),(OutputTable[GroupByKey]=OutputTable[[#This Row],[GroupByKey]])*OutputTable[RecordedValue])),0)</f>
        <v>2401.9</v>
      </c>
      <c r="L489" cm="1">
        <f t="array" ref="L489">IFERROR(_xlfn.STDEV.S(IF((OutputTable[GroupByKey]=OutputTable[[#This Row],[GroupByKey]]),(OutputTable[GroupByKey]=OutputTable[[#This Row],[GroupByKey]])*OutputTable[RecordedValue])),0)</f>
        <v>46.417031532903209</v>
      </c>
      <c r="M489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89" cm="1">
        <f t="array" ref="O489">MIN(IF((OutputTable[GroupByKey]=OutputTable[[#This Row],[GroupByKey]]),(OutputTable[GroupByKey]=OutputTable[[#This Row],[GroupByKey]])*OutputTable[RecordedValue]))</f>
        <v>2306</v>
      </c>
      <c r="P489" cm="1">
        <f t="array" ref="P489">MAX(IF((OutputTable[GroupByKey]=OutputTable[[#This Row],[GroupByKey]]),(OutputTable[GroupByKey]=OutputTable[[#This Row],[GroupByKey]])*OutputTable[RecordedValue]))</f>
        <v>2506</v>
      </c>
    </row>
    <row r="490" spans="1:16" x14ac:dyDescent="0.25">
      <c r="A490" t="s">
        <v>68</v>
      </c>
      <c r="B490" t="s">
        <v>131</v>
      </c>
      <c r="C490">
        <v>29</v>
      </c>
      <c r="D490" t="s">
        <v>122</v>
      </c>
      <c r="E490" t="s">
        <v>123</v>
      </c>
      <c r="F490" t="s">
        <v>99</v>
      </c>
      <c r="G490">
        <v>0.54841394856834103</v>
      </c>
      <c r="H490">
        <v>0</v>
      </c>
      <c r="I490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490" cm="1">
        <f t="array" ref="J490">MAX(IF((ProjectInfoTable[ProjectName]=OutputTable[[#This Row],[ProjectName]]),(ProjectInfoTable[ProjectName]=OutputTable[[#This Row],[ProjectName]])*ProjectInfoTable[NumberOfReplications]))</f>
        <v>50</v>
      </c>
      <c r="K490" cm="1">
        <f t="array" ref="K490">IFERROR(AVERAGE(IF((OutputTable[GroupByKey]=OutputTable[[#This Row],[GroupByKey]]),(OutputTable[GroupByKey]=OutputTable[[#This Row],[GroupByKey]])*OutputTable[RecordedValue])),0)</f>
        <v>0.54703961359050601</v>
      </c>
      <c r="L490" cm="1">
        <f t="array" ref="L490">IFERROR(_xlfn.STDEV.S(IF((OutputTable[GroupByKey]=OutputTable[[#This Row],[GroupByKey]]),(OutputTable[GroupByKey]=OutputTable[[#This Row],[GroupByKey]])*OutputTable[RecordedValue])),0)</f>
        <v>1.0221170008030479E-2</v>
      </c>
      <c r="M490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490" cm="1">
        <f t="array" ref="O490">MIN(IF((OutputTable[GroupByKey]=OutputTable[[#This Row],[GroupByKey]]),(OutputTable[GroupByKey]=OutputTable[[#This Row],[GroupByKey]])*OutputTable[RecordedValue]))</f>
        <v>0.52470641844357901</v>
      </c>
      <c r="P490" cm="1">
        <f t="array" ref="P490">MAX(IF((OutputTable[GroupByKey]=OutputTable[[#This Row],[GroupByKey]]),(OutputTable[GroupByKey]=OutputTable[[#This Row],[GroupByKey]])*OutputTable[RecordedValue]))</f>
        <v>0.57005812966092295</v>
      </c>
    </row>
    <row r="491" spans="1:16" x14ac:dyDescent="0.25">
      <c r="A491" t="s">
        <v>68</v>
      </c>
      <c r="B491" t="s">
        <v>131</v>
      </c>
      <c r="C491">
        <v>29</v>
      </c>
      <c r="D491" t="s">
        <v>124</v>
      </c>
      <c r="E491" t="s">
        <v>121</v>
      </c>
      <c r="F491" t="s">
        <v>99</v>
      </c>
      <c r="G491">
        <v>2442</v>
      </c>
      <c r="H491">
        <v>0</v>
      </c>
      <c r="I491" t="str">
        <f>OutputTable[[#This Row],[ProjectName]]&amp;OutputTable[[#This Row],[Name]]&amp;OutputTable[[#This Row],[Type]]&amp;OutputTable[[#This Row],[Source]]</f>
        <v>PacientesrMedico.NumberSeizedTotal Number SeizedResource</v>
      </c>
      <c r="J491" cm="1">
        <f t="array" ref="J491">MAX(IF((ProjectInfoTable[ProjectName]=OutputTable[[#This Row],[ProjectName]]),(ProjectInfoTable[ProjectName]=OutputTable[[#This Row],[ProjectName]])*ProjectInfoTable[NumberOfReplications]))</f>
        <v>50</v>
      </c>
      <c r="K491" cm="1">
        <f t="array" ref="K491">IFERROR(AVERAGE(IF((OutputTable[GroupByKey]=OutputTable[[#This Row],[GroupByKey]]),(OutputTable[GroupByKey]=OutputTable[[#This Row],[GroupByKey]])*OutputTable[RecordedValue])),0)</f>
        <v>2401.9</v>
      </c>
      <c r="L491" cm="1">
        <f t="array" ref="L491">IFERROR(_xlfn.STDEV.S(IF((OutputTable[GroupByKey]=OutputTable[[#This Row],[GroupByKey]]),(OutputTable[GroupByKey]=OutputTable[[#This Row],[GroupByKey]])*OutputTable[RecordedValue])),0)</f>
        <v>46.417031532903209</v>
      </c>
      <c r="M491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491" cm="1">
        <f t="array" ref="O491">MIN(IF((OutputTable[GroupByKey]=OutputTable[[#This Row],[GroupByKey]]),(OutputTable[GroupByKey]=OutputTable[[#This Row],[GroupByKey]])*OutputTable[RecordedValue]))</f>
        <v>2306</v>
      </c>
      <c r="P491" cm="1">
        <f t="array" ref="P491">MAX(IF((OutputTable[GroupByKey]=OutputTable[[#This Row],[GroupByKey]]),(OutputTable[GroupByKey]=OutputTable[[#This Row],[GroupByKey]])*OutputTable[RecordedValue]))</f>
        <v>2506</v>
      </c>
    </row>
    <row r="492" spans="1:16" x14ac:dyDescent="0.25">
      <c r="A492" t="s">
        <v>68</v>
      </c>
      <c r="B492" t="s">
        <v>131</v>
      </c>
      <c r="C492">
        <v>29</v>
      </c>
      <c r="D492" t="s">
        <v>125</v>
      </c>
      <c r="E492" t="s">
        <v>123</v>
      </c>
      <c r="F492" t="s">
        <v>99</v>
      </c>
      <c r="G492">
        <v>0.82262092285251198</v>
      </c>
      <c r="H492">
        <v>0</v>
      </c>
      <c r="I492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492" cm="1">
        <f t="array" ref="J492">MAX(IF((ProjectInfoTable[ProjectName]=OutputTable[[#This Row],[ProjectName]]),(ProjectInfoTable[ProjectName]=OutputTable[[#This Row],[ProjectName]])*ProjectInfoTable[NumberOfReplications]))</f>
        <v>50</v>
      </c>
      <c r="K492" cm="1">
        <f t="array" ref="K492">IFERROR(AVERAGE(IF((OutputTable[GroupByKey]=OutputTable[[#This Row],[GroupByKey]]),(OutputTable[GroupByKey]=OutputTable[[#This Row],[GroupByKey]])*OutputTable[RecordedValue])),0)</f>
        <v>0.82055942038575935</v>
      </c>
      <c r="L492" cm="1">
        <f t="array" ref="L492">IFERROR(_xlfn.STDEV.S(IF((OutputTable[GroupByKey]=OutputTable[[#This Row],[GroupByKey]]),(OutputTable[GroupByKey]=OutputTable[[#This Row],[GroupByKey]])*OutputTable[RecordedValue])),0)</f>
        <v>1.5331755012045719E-2</v>
      </c>
      <c r="M492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492" cm="1">
        <f t="array" ref="O492">MIN(IF((OutputTable[GroupByKey]=OutputTable[[#This Row],[GroupByKey]]),(OutputTable[GroupByKey]=OutputTable[[#This Row],[GroupByKey]])*OutputTable[RecordedValue]))</f>
        <v>0.78705962766536897</v>
      </c>
      <c r="P492" cm="1">
        <f t="array" ref="P492">MAX(IF((OutputTable[GroupByKey]=OutputTable[[#This Row],[GroupByKey]]),(OutputTable[GroupByKey]=OutputTable[[#This Row],[GroupByKey]])*OutputTable[RecordedValue]))</f>
        <v>0.85508719449138504</v>
      </c>
    </row>
    <row r="493" spans="1:16" x14ac:dyDescent="0.25">
      <c r="A493" t="s">
        <v>68</v>
      </c>
      <c r="B493" t="s">
        <v>131</v>
      </c>
      <c r="C493">
        <v>29</v>
      </c>
      <c r="D493" t="s">
        <v>126</v>
      </c>
      <c r="E493" t="s">
        <v>121</v>
      </c>
      <c r="F493" t="s">
        <v>99</v>
      </c>
      <c r="G493">
        <v>2314</v>
      </c>
      <c r="H493">
        <v>0</v>
      </c>
      <c r="I493" t="str">
        <f>OutputTable[[#This Row],[ProjectName]]&amp;OutputTable[[#This Row],[Name]]&amp;OutputTable[[#This Row],[Type]]&amp;OutputTable[[#This Row],[Source]]</f>
        <v>PacientesrRegistradora.NumberSeizedTotal Number SeizedResource</v>
      </c>
      <c r="J493" cm="1">
        <f t="array" ref="J493">MAX(IF((ProjectInfoTable[ProjectName]=OutputTable[[#This Row],[ProjectName]]),(ProjectInfoTable[ProjectName]=OutputTable[[#This Row],[ProjectName]])*ProjectInfoTable[NumberOfReplications]))</f>
        <v>50</v>
      </c>
      <c r="K493" cm="1">
        <f t="array" ref="K493">IFERROR(AVERAGE(IF((OutputTable[GroupByKey]=OutputTable[[#This Row],[GroupByKey]]),(OutputTable[GroupByKey]=OutputTable[[#This Row],[GroupByKey]])*OutputTable[RecordedValue])),0)</f>
        <v>2263.14</v>
      </c>
      <c r="L493" cm="1">
        <f t="array" ref="L493">IFERROR(_xlfn.STDEV.S(IF((OutputTable[GroupByKey]=OutputTable[[#This Row],[GroupByKey]]),(OutputTable[GroupByKey]=OutputTable[[#This Row],[GroupByKey]])*OutputTable[RecordedValue])),0)</f>
        <v>47.386818971575821</v>
      </c>
      <c r="M493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493" cm="1">
        <f t="array" ref="O493">MIN(IF((OutputTable[GroupByKey]=OutputTable[[#This Row],[GroupByKey]]),(OutputTable[GroupByKey]=OutputTable[[#This Row],[GroupByKey]])*OutputTable[RecordedValue]))</f>
        <v>2172</v>
      </c>
      <c r="P493" cm="1">
        <f t="array" ref="P493">MAX(IF((OutputTable[GroupByKey]=OutputTable[[#This Row],[GroupByKey]]),(OutputTable[GroupByKey]=OutputTable[[#This Row],[GroupByKey]])*OutputTable[RecordedValue]))</f>
        <v>2386</v>
      </c>
    </row>
    <row r="494" spans="1:16" x14ac:dyDescent="0.25">
      <c r="A494" t="s">
        <v>68</v>
      </c>
      <c r="B494" t="s">
        <v>131</v>
      </c>
      <c r="C494">
        <v>29</v>
      </c>
      <c r="D494" t="s">
        <v>127</v>
      </c>
      <c r="E494" t="s">
        <v>123</v>
      </c>
      <c r="F494" t="s">
        <v>99</v>
      </c>
      <c r="G494">
        <v>0.484184072545007</v>
      </c>
      <c r="H494">
        <v>0</v>
      </c>
      <c r="I494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494" cm="1">
        <f t="array" ref="J494">MAX(IF((ProjectInfoTable[ProjectName]=OutputTable[[#This Row],[ProjectName]]),(ProjectInfoTable[ProjectName]=OutputTable[[#This Row],[ProjectName]])*ProjectInfoTable[NumberOfReplications]))</f>
        <v>50</v>
      </c>
      <c r="K494" cm="1">
        <f t="array" ref="K494">IFERROR(AVERAGE(IF((OutputTable[GroupByKey]=OutputTable[[#This Row],[GroupByKey]]),(OutputTable[GroupByKey]=OutputTable[[#This Row],[GroupByKey]])*OutputTable[RecordedValue])),0)</f>
        <v>0.47162762933545666</v>
      </c>
      <c r="L494" cm="1">
        <f t="array" ref="L494">IFERROR(_xlfn.STDEV.S(IF((OutputTable[GroupByKey]=OutputTable[[#This Row],[GroupByKey]]),(OutputTable[GroupByKey]=OutputTable[[#This Row],[GroupByKey]])*OutputTable[RecordedValue])),0)</f>
        <v>9.6615227076777797E-3</v>
      </c>
      <c r="M494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494" cm="1">
        <f t="array" ref="O494">MIN(IF((OutputTable[GroupByKey]=OutputTable[[#This Row],[GroupByKey]]),(OutputTable[GroupByKey]=OutputTable[[#This Row],[GroupByKey]])*OutputTable[RecordedValue]))</f>
        <v>0.452397944183905</v>
      </c>
      <c r="P494" cm="1">
        <f t="array" ref="P494">MAX(IF((OutputTable[GroupByKey]=OutputTable[[#This Row],[GroupByKey]]),(OutputTable[GroupByKey]=OutputTable[[#This Row],[GroupByKey]])*OutputTable[RecordedValue]))</f>
        <v>0.49691123629694001</v>
      </c>
    </row>
    <row r="495" spans="1:16" x14ac:dyDescent="0.25">
      <c r="A495" t="s">
        <v>68</v>
      </c>
      <c r="B495" t="s">
        <v>131</v>
      </c>
      <c r="C495">
        <v>30</v>
      </c>
      <c r="D495" t="s">
        <v>104</v>
      </c>
      <c r="E495" t="s">
        <v>105</v>
      </c>
      <c r="F495" t="s">
        <v>72</v>
      </c>
      <c r="G495">
        <v>2417</v>
      </c>
      <c r="H495">
        <v>0</v>
      </c>
      <c r="I495" t="str">
        <f>OutputTable[[#This Row],[ProjectName]]&amp;OutputTable[[#This Row],[Name]]&amp;OutputTable[[#This Row],[Type]]&amp;OutputTable[[#This Row],[Source]]</f>
        <v>PacientesEntity 1.NumberInNumber InEntity</v>
      </c>
      <c r="J495" cm="1">
        <f t="array" ref="J495">MAX(IF((ProjectInfoTable[ProjectName]=OutputTable[[#This Row],[ProjectName]]),(ProjectInfoTable[ProjectName]=OutputTable[[#This Row],[ProjectName]])*ProjectInfoTable[NumberOfReplications]))</f>
        <v>50</v>
      </c>
      <c r="K495" cm="1">
        <f t="array" ref="K495">IFERROR(AVERAGE(IF((OutputTable[GroupByKey]=OutputTable[[#This Row],[GroupByKey]]),(OutputTable[GroupByKey]=OutputTable[[#This Row],[GroupByKey]])*OutputTable[RecordedValue])),0)</f>
        <v>2404.8200000000002</v>
      </c>
      <c r="L495" cm="1">
        <f t="array" ref="L495">IFERROR(_xlfn.STDEV.S(IF((OutputTable[GroupByKey]=OutputTable[[#This Row],[GroupByKey]]),(OutputTable[GroupByKey]=OutputTable[[#This Row],[GroupByKey]])*OutputTable[RecordedValue])),0)</f>
        <v>46.42953405595474</v>
      </c>
      <c r="M49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495" cm="1">
        <f t="array" ref="O495">MIN(IF((OutputTable[GroupByKey]=OutputTable[[#This Row],[GroupByKey]]),(OutputTable[GroupByKey]=OutputTable[[#This Row],[GroupByKey]])*OutputTable[RecordedValue]))</f>
        <v>2307</v>
      </c>
      <c r="P495" cm="1">
        <f t="array" ref="P495">MAX(IF((OutputTable[GroupByKey]=OutputTable[[#This Row],[GroupByKey]]),(OutputTable[GroupByKey]=OutputTable[[#This Row],[GroupByKey]])*OutputTable[RecordedValue]))</f>
        <v>2518</v>
      </c>
    </row>
    <row r="496" spans="1:16" x14ac:dyDescent="0.25">
      <c r="A496" t="s">
        <v>68</v>
      </c>
      <c r="B496" t="s">
        <v>131</v>
      </c>
      <c r="C496">
        <v>30</v>
      </c>
      <c r="D496" t="s">
        <v>106</v>
      </c>
      <c r="E496" t="s">
        <v>107</v>
      </c>
      <c r="F496" t="s">
        <v>72</v>
      </c>
      <c r="G496">
        <v>2416</v>
      </c>
      <c r="H496">
        <v>0</v>
      </c>
      <c r="I496" t="str">
        <f>OutputTable[[#This Row],[ProjectName]]&amp;OutputTable[[#This Row],[Name]]&amp;OutputTable[[#This Row],[Type]]&amp;OutputTable[[#This Row],[Source]]</f>
        <v>PacientesEntity 1.NumberOutNumber OutEntity</v>
      </c>
      <c r="J496" cm="1">
        <f t="array" ref="J496">MAX(IF((ProjectInfoTable[ProjectName]=OutputTable[[#This Row],[ProjectName]]),(ProjectInfoTable[ProjectName]=OutputTable[[#This Row],[ProjectName]])*ProjectInfoTable[NumberOfReplications]))</f>
        <v>50</v>
      </c>
      <c r="K496" cm="1">
        <f t="array" ref="K496">IFERROR(AVERAGE(IF((OutputTable[GroupByKey]=OutputTable[[#This Row],[GroupByKey]]),(OutputTable[GroupByKey]=OutputTable[[#This Row],[GroupByKey]])*OutputTable[RecordedValue])),0)</f>
        <v>2400.2800000000002</v>
      </c>
      <c r="L496" cm="1">
        <f t="array" ref="L496">IFERROR(_xlfn.STDEV.S(IF((OutputTable[GroupByKey]=OutputTable[[#This Row],[GroupByKey]]),(OutputTable[GroupByKey]=OutputTable[[#This Row],[GroupByKey]])*OutputTable[RecordedValue])),0)</f>
        <v>46.409024456676619</v>
      </c>
      <c r="M496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496" cm="1">
        <f t="array" ref="O496">MIN(IF((OutputTable[GroupByKey]=OutputTable[[#This Row],[GroupByKey]]),(OutputTable[GroupByKey]=OutputTable[[#This Row],[GroupByKey]])*OutputTable[RecordedValue]))</f>
        <v>2305</v>
      </c>
      <c r="P496" cm="1">
        <f t="array" ref="P496">MAX(IF((OutputTable[GroupByKey]=OutputTable[[#This Row],[GroupByKey]]),(OutputTable[GroupByKey]=OutputTable[[#This Row],[GroupByKey]])*OutputTable[RecordedValue]))</f>
        <v>2504</v>
      </c>
    </row>
    <row r="497" spans="1:16" x14ac:dyDescent="0.25">
      <c r="A497" t="s">
        <v>68</v>
      </c>
      <c r="B497" t="s">
        <v>131</v>
      </c>
      <c r="C497">
        <v>30</v>
      </c>
      <c r="D497" t="s">
        <v>108</v>
      </c>
      <c r="E497" t="s">
        <v>109</v>
      </c>
      <c r="F497" t="s">
        <v>80</v>
      </c>
      <c r="G497">
        <v>1197.87730213751</v>
      </c>
      <c r="H497">
        <v>0</v>
      </c>
      <c r="I497" t="str">
        <f>OutputTable[[#This Row],[ProjectName]]&amp;OutputTable[[#This Row],[Name]]&amp;OutputTable[[#This Row],[Type]]&amp;OutputTable[[#This Row],[Source]]</f>
        <v>PacientesProcess 2 Accum VA TimeAccum VA TimeProcess</v>
      </c>
      <c r="J497" cm="1">
        <f t="array" ref="J497">MAX(IF((ProjectInfoTable[ProjectName]=OutputTable[[#This Row],[ProjectName]]),(ProjectInfoTable[ProjectName]=OutputTable[[#This Row],[ProjectName]])*ProjectInfoTable[NumberOfReplications]))</f>
        <v>50</v>
      </c>
      <c r="K497" cm="1">
        <f t="array" ref="K497">IFERROR(AVERAGE(IF((OutputTable[GroupByKey]=OutputTable[[#This Row],[GroupByKey]]),(OutputTable[GroupByKey]=OutputTable[[#This Row],[GroupByKey]])*OutputTable[RecordedValue])),0)</f>
        <v>1181.1234936767919</v>
      </c>
      <c r="L497" cm="1">
        <f t="array" ref="L497">IFERROR(_xlfn.STDEV.S(IF((OutputTable[GroupByKey]=OutputTable[[#This Row],[GroupByKey]]),(OutputTable[GroupByKey]=OutputTable[[#This Row],[GroupByKey]])*OutputTable[RecordedValue])),0)</f>
        <v>22.169313666927575</v>
      </c>
      <c r="M497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497" cm="1">
        <f t="array" ref="O497">MIN(IF((OutputTable[GroupByKey]=OutputTable[[#This Row],[GroupByKey]]),(OutputTable[GroupByKey]=OutputTable[[#This Row],[GroupByKey]])*OutputTable[RecordedValue]))</f>
        <v>1133.24622318414</v>
      </c>
      <c r="P497" cm="1">
        <f t="array" ref="P497">MAX(IF((OutputTable[GroupByKey]=OutputTable[[#This Row],[GroupByKey]]),(OutputTable[GroupByKey]=OutputTable[[#This Row],[GroupByKey]])*OutputTable[RecordedValue]))</f>
        <v>1230.9493287309799</v>
      </c>
    </row>
    <row r="498" spans="1:16" x14ac:dyDescent="0.25">
      <c r="A498" t="s">
        <v>68</v>
      </c>
      <c r="B498" t="s">
        <v>131</v>
      </c>
      <c r="C498">
        <v>30</v>
      </c>
      <c r="D498" t="s">
        <v>110</v>
      </c>
      <c r="E498" t="s">
        <v>111</v>
      </c>
      <c r="F498" t="s">
        <v>80</v>
      </c>
      <c r="G498">
        <v>2518.5028845254901</v>
      </c>
      <c r="H498">
        <v>0</v>
      </c>
      <c r="I498" t="str">
        <f>OutputTable[[#This Row],[ProjectName]]&amp;OutputTable[[#This Row],[Name]]&amp;OutputTable[[#This Row],[Type]]&amp;OutputTable[[#This Row],[Source]]</f>
        <v>PacientesProcess 2 Accum Wait TimeAccum Wait TimeProcess</v>
      </c>
      <c r="J498" cm="1">
        <f t="array" ref="J498">MAX(IF((ProjectInfoTable[ProjectName]=OutputTable[[#This Row],[ProjectName]]),(ProjectInfoTable[ProjectName]=OutputTable[[#This Row],[ProjectName]])*ProjectInfoTable[NumberOfReplications]))</f>
        <v>50</v>
      </c>
      <c r="K498" cm="1">
        <f t="array" ref="K498">IFERROR(AVERAGE(IF((OutputTable[GroupByKey]=OutputTable[[#This Row],[GroupByKey]]),(OutputTable[GroupByKey]=OutputTable[[#This Row],[GroupByKey]])*OutputTable[RecordedValue])),0)</f>
        <v>1938.7515507466894</v>
      </c>
      <c r="L498" cm="1">
        <f t="array" ref="L498">IFERROR(_xlfn.STDEV.S(IF((OutputTable[GroupByKey]=OutputTable[[#This Row],[GroupByKey]]),(OutputTable[GroupByKey]=OutputTable[[#This Row],[GroupByKey]])*OutputTable[RecordedValue])),0)</f>
        <v>534.03396241838232</v>
      </c>
      <c r="M498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498" cm="1">
        <f t="array" ref="O498">MIN(IF((OutputTable[GroupByKey]=OutputTable[[#This Row],[GroupByKey]]),(OutputTable[GroupByKey]=OutputTable[[#This Row],[GroupByKey]])*OutputTable[RecordedValue]))</f>
        <v>1234.7567994731401</v>
      </c>
      <c r="P498" cm="1">
        <f t="array" ref="P498">MAX(IF((OutputTable[GroupByKey]=OutputTable[[#This Row],[GroupByKey]]),(OutputTable[GroupByKey]=OutputTable[[#This Row],[GroupByKey]])*OutputTable[RecordedValue]))</f>
        <v>3269.0858002883801</v>
      </c>
    </row>
    <row r="499" spans="1:16" x14ac:dyDescent="0.25">
      <c r="A499" t="s">
        <v>68</v>
      </c>
      <c r="B499" t="s">
        <v>131</v>
      </c>
      <c r="C499">
        <v>30</v>
      </c>
      <c r="D499" t="s">
        <v>112</v>
      </c>
      <c r="E499" t="s">
        <v>105</v>
      </c>
      <c r="F499" t="s">
        <v>80</v>
      </c>
      <c r="G499">
        <v>2417</v>
      </c>
      <c r="H499">
        <v>0</v>
      </c>
      <c r="I499" t="str">
        <f>OutputTable[[#This Row],[ProjectName]]&amp;OutputTable[[#This Row],[Name]]&amp;OutputTable[[#This Row],[Type]]&amp;OutputTable[[#This Row],[Source]]</f>
        <v>PacientesProcess 2 Number InNumber InProcess</v>
      </c>
      <c r="J499" cm="1">
        <f t="array" ref="J499">MAX(IF((ProjectInfoTable[ProjectName]=OutputTable[[#This Row],[ProjectName]]),(ProjectInfoTable[ProjectName]=OutputTable[[#This Row],[ProjectName]])*ProjectInfoTable[NumberOfReplications]))</f>
        <v>50</v>
      </c>
      <c r="K499" cm="1">
        <f t="array" ref="K499">IFERROR(AVERAGE(IF((OutputTable[GroupByKey]=OutputTable[[#This Row],[GroupByKey]]),(OutputTable[GroupByKey]=OutputTable[[#This Row],[GroupByKey]])*OutputTable[RecordedValue])),0)</f>
        <v>2404.2399999999998</v>
      </c>
      <c r="L499" cm="1">
        <f t="array" ref="L499">IFERROR(_xlfn.STDEV.S(IF((OutputTable[GroupByKey]=OutputTable[[#This Row],[GroupByKey]]),(OutputTable[GroupByKey]=OutputTable[[#This Row],[GroupByKey]])*OutputTable[RecordedValue])),0)</f>
        <v>46.574303154053879</v>
      </c>
      <c r="M499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499" cm="1">
        <f t="array" ref="O499">MIN(IF((OutputTable[GroupByKey]=OutputTable[[#This Row],[GroupByKey]]),(OutputTable[GroupByKey]=OutputTable[[#This Row],[GroupByKey]])*OutputTable[RecordedValue]))</f>
        <v>2306</v>
      </c>
      <c r="P499" cm="1">
        <f t="array" ref="P499">MAX(IF((OutputTable[GroupByKey]=OutputTable[[#This Row],[GroupByKey]]),(OutputTable[GroupByKey]=OutputTable[[#This Row],[GroupByKey]])*OutputTable[RecordedValue]))</f>
        <v>2518</v>
      </c>
    </row>
    <row r="500" spans="1:16" x14ac:dyDescent="0.25">
      <c r="A500" t="s">
        <v>68</v>
      </c>
      <c r="B500" t="s">
        <v>131</v>
      </c>
      <c r="C500">
        <v>30</v>
      </c>
      <c r="D500" t="s">
        <v>113</v>
      </c>
      <c r="E500" t="s">
        <v>107</v>
      </c>
      <c r="F500" t="s">
        <v>80</v>
      </c>
      <c r="G500">
        <v>2416</v>
      </c>
      <c r="H500">
        <v>0</v>
      </c>
      <c r="I500" t="str">
        <f>OutputTable[[#This Row],[ProjectName]]&amp;OutputTable[[#This Row],[Name]]&amp;OutputTable[[#This Row],[Type]]&amp;OutputTable[[#This Row],[Source]]</f>
        <v>PacientesProcess 2 Number OutNumber OutProcess</v>
      </c>
      <c r="J500" cm="1">
        <f t="array" ref="J500">MAX(IF((ProjectInfoTable[ProjectName]=OutputTable[[#This Row],[ProjectName]]),(ProjectInfoTable[ProjectName]=OutputTable[[#This Row],[ProjectName]])*ProjectInfoTable[NumberOfReplications]))</f>
        <v>50</v>
      </c>
      <c r="K500" cm="1">
        <f t="array" ref="K500">IFERROR(AVERAGE(IF((OutputTable[GroupByKey]=OutputTable[[#This Row],[GroupByKey]]),(OutputTable[GroupByKey]=OutputTable[[#This Row],[GroupByKey]])*OutputTable[RecordedValue])),0)</f>
        <v>2400.2800000000002</v>
      </c>
      <c r="L500" cm="1">
        <f t="array" ref="L500">IFERROR(_xlfn.STDEV.S(IF((OutputTable[GroupByKey]=OutputTable[[#This Row],[GroupByKey]]),(OutputTable[GroupByKey]=OutputTable[[#This Row],[GroupByKey]])*OutputTable[RecordedValue])),0)</f>
        <v>46.409024456676619</v>
      </c>
      <c r="M500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00" cm="1">
        <f t="array" ref="O500">MIN(IF((OutputTable[GroupByKey]=OutputTable[[#This Row],[GroupByKey]]),(OutputTable[GroupByKey]=OutputTable[[#This Row],[GroupByKey]])*OutputTable[RecordedValue]))</f>
        <v>2305</v>
      </c>
      <c r="P500" cm="1">
        <f t="array" ref="P500">MAX(IF((OutputTable[GroupByKey]=OutputTable[[#This Row],[GroupByKey]]),(OutputTable[GroupByKey]=OutputTable[[#This Row],[GroupByKey]])*OutputTable[RecordedValue]))</f>
        <v>2504</v>
      </c>
    </row>
    <row r="501" spans="1:16" x14ac:dyDescent="0.25">
      <c r="A501" t="s">
        <v>68</v>
      </c>
      <c r="B501" t="s">
        <v>131</v>
      </c>
      <c r="C501">
        <v>30</v>
      </c>
      <c r="D501" t="s">
        <v>114</v>
      </c>
      <c r="E501" t="s">
        <v>109</v>
      </c>
      <c r="F501" t="s">
        <v>80</v>
      </c>
      <c r="G501">
        <v>339.745518516007</v>
      </c>
      <c r="H501">
        <v>0</v>
      </c>
      <c r="I501" t="str">
        <f>OutputTable[[#This Row],[ProjectName]]&amp;OutputTable[[#This Row],[Name]]&amp;OutputTable[[#This Row],[Type]]&amp;OutputTable[[#This Row],[Source]]</f>
        <v>PacientesRegistro Accum VA TimeAccum VA TimeProcess</v>
      </c>
      <c r="J501" cm="1">
        <f t="array" ref="J501">MAX(IF((ProjectInfoTable[ProjectName]=OutputTable[[#This Row],[ProjectName]]),(ProjectInfoTable[ProjectName]=OutputTable[[#This Row],[ProjectName]])*ProjectInfoTable[NumberOfReplications]))</f>
        <v>50</v>
      </c>
      <c r="K501" cm="1">
        <f t="array" ref="K501">IFERROR(AVERAGE(IF((OutputTable[GroupByKey]=OutputTable[[#This Row],[GroupByKey]]),(OutputTable[GroupByKey]=OutputTable[[#This Row],[GroupByKey]])*OutputTable[RecordedValue])),0)</f>
        <v>339.53547737062786</v>
      </c>
      <c r="L501" cm="1">
        <f t="array" ref="L501">IFERROR(_xlfn.STDEV.S(IF((OutputTable[GroupByKey]=OutputTable[[#This Row],[GroupByKey]]),(OutputTable[GroupByKey]=OutputTable[[#This Row],[GroupByKey]])*OutputTable[RecordedValue])),0)</f>
        <v>6.9723666109353193</v>
      </c>
      <c r="M501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501" cm="1">
        <f t="array" ref="O501">MIN(IF((OutputTable[GroupByKey]=OutputTable[[#This Row],[GroupByKey]]),(OutputTable[GroupByKey]=OutputTable[[#This Row],[GroupByKey]])*OutputTable[RecordedValue]))</f>
        <v>325.606879158418</v>
      </c>
      <c r="P501" cm="1">
        <f t="array" ref="P501">MAX(IF((OutputTable[GroupByKey]=OutputTable[[#This Row],[GroupByKey]]),(OutputTable[GroupByKey]=OutputTable[[#This Row],[GroupByKey]])*OutputTable[RecordedValue]))</f>
        <v>357.77609013379703</v>
      </c>
    </row>
    <row r="502" spans="1:16" x14ac:dyDescent="0.25">
      <c r="A502" t="s">
        <v>68</v>
      </c>
      <c r="B502" t="s">
        <v>131</v>
      </c>
      <c r="C502">
        <v>30</v>
      </c>
      <c r="D502" t="s">
        <v>115</v>
      </c>
      <c r="E502" t="s">
        <v>111</v>
      </c>
      <c r="F502" t="s">
        <v>80</v>
      </c>
      <c r="G502">
        <v>150.210267385452</v>
      </c>
      <c r="H502">
        <v>0</v>
      </c>
      <c r="I502" t="str">
        <f>OutputTable[[#This Row],[ProjectName]]&amp;OutputTable[[#This Row],[Name]]&amp;OutputTable[[#This Row],[Type]]&amp;OutputTable[[#This Row],[Source]]</f>
        <v>PacientesRegistro Accum Wait TimeAccum Wait TimeProcess</v>
      </c>
      <c r="J502" cm="1">
        <f t="array" ref="J502">MAX(IF((ProjectInfoTable[ProjectName]=OutputTable[[#This Row],[ProjectName]]),(ProjectInfoTable[ProjectName]=OutputTable[[#This Row],[ProjectName]])*ProjectInfoTable[NumberOfReplications]))</f>
        <v>50</v>
      </c>
      <c r="K502" cm="1">
        <f t="array" ref="K502">IFERROR(AVERAGE(IF((OutputTable[GroupByKey]=OutputTable[[#This Row],[GroupByKey]]),(OutputTable[GroupByKey]=OutputTable[[#This Row],[GroupByKey]])*OutputTable[RecordedValue])),0)</f>
        <v>154.15303898127775</v>
      </c>
      <c r="L502" cm="1">
        <f t="array" ref="L502">IFERROR(_xlfn.STDEV.S(IF((OutputTable[GroupByKey]=OutputTable[[#This Row],[GroupByKey]]),(OutputTable[GroupByKey]=OutputTable[[#This Row],[GroupByKey]])*OutputTable[RecordedValue])),0)</f>
        <v>12.141439184615397</v>
      </c>
      <c r="M502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502" cm="1">
        <f t="array" ref="O502">MIN(IF((OutputTable[GroupByKey]=OutputTable[[#This Row],[GroupByKey]]),(OutputTable[GroupByKey]=OutputTable[[#This Row],[GroupByKey]])*OutputTable[RecordedValue]))</f>
        <v>123.901613974094</v>
      </c>
      <c r="P502" cm="1">
        <f t="array" ref="P502">MAX(IF((OutputTable[GroupByKey]=OutputTable[[#This Row],[GroupByKey]]),(OutputTable[GroupByKey]=OutputTable[[#This Row],[GroupByKey]])*OutputTable[RecordedValue]))</f>
        <v>178.441307284473</v>
      </c>
    </row>
    <row r="503" spans="1:16" x14ac:dyDescent="0.25">
      <c r="A503" t="s">
        <v>68</v>
      </c>
      <c r="B503" t="s">
        <v>131</v>
      </c>
      <c r="C503">
        <v>30</v>
      </c>
      <c r="D503" t="s">
        <v>116</v>
      </c>
      <c r="E503" t="s">
        <v>105</v>
      </c>
      <c r="F503" t="s">
        <v>80</v>
      </c>
      <c r="G503">
        <v>2263</v>
      </c>
      <c r="H503">
        <v>0</v>
      </c>
      <c r="I503" t="str">
        <f>OutputTable[[#This Row],[ProjectName]]&amp;OutputTable[[#This Row],[Name]]&amp;OutputTable[[#This Row],[Type]]&amp;OutputTable[[#This Row],[Source]]</f>
        <v>PacientesRegistro Number InNumber InProcess</v>
      </c>
      <c r="J503" cm="1">
        <f t="array" ref="J503">MAX(IF((ProjectInfoTable[ProjectName]=OutputTable[[#This Row],[ProjectName]]),(ProjectInfoTable[ProjectName]=OutputTable[[#This Row],[ProjectName]])*ProjectInfoTable[NumberOfReplications]))</f>
        <v>50</v>
      </c>
      <c r="K503" cm="1">
        <f t="array" ref="K503">IFERROR(AVERAGE(IF((OutputTable[GroupByKey]=OutputTable[[#This Row],[GroupByKey]]),(OutputTable[GroupByKey]=OutputTable[[#This Row],[GroupByKey]])*OutputTable[RecordedValue])),0)</f>
        <v>2263.2399999999998</v>
      </c>
      <c r="L503" cm="1">
        <f t="array" ref="L503">IFERROR(_xlfn.STDEV.S(IF((OutputTable[GroupByKey]=OutputTable[[#This Row],[GroupByKey]]),(OutputTable[GroupByKey]=OutputTable[[#This Row],[GroupByKey]])*OutputTable[RecordedValue])),0)</f>
        <v>47.331035682472766</v>
      </c>
      <c r="M503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503" cm="1">
        <f t="array" ref="O503">MIN(IF((OutputTable[GroupByKey]=OutputTable[[#This Row],[GroupByKey]]),(OutputTable[GroupByKey]=OutputTable[[#This Row],[GroupByKey]])*OutputTable[RecordedValue]))</f>
        <v>2172</v>
      </c>
      <c r="P503" cm="1">
        <f t="array" ref="P503">MAX(IF((OutputTable[GroupByKey]=OutputTable[[#This Row],[GroupByKey]]),(OutputTable[GroupByKey]=OutputTable[[#This Row],[GroupByKey]])*OutputTable[RecordedValue]))</f>
        <v>2386</v>
      </c>
    </row>
    <row r="504" spans="1:16" x14ac:dyDescent="0.25">
      <c r="A504" t="s">
        <v>68</v>
      </c>
      <c r="B504" t="s">
        <v>131</v>
      </c>
      <c r="C504">
        <v>30</v>
      </c>
      <c r="D504" t="s">
        <v>117</v>
      </c>
      <c r="E504" t="s">
        <v>107</v>
      </c>
      <c r="F504" t="s">
        <v>80</v>
      </c>
      <c r="G504">
        <v>2263</v>
      </c>
      <c r="H504">
        <v>0</v>
      </c>
      <c r="I504" t="str">
        <f>OutputTable[[#This Row],[ProjectName]]&amp;OutputTable[[#This Row],[Name]]&amp;OutputTable[[#This Row],[Type]]&amp;OutputTable[[#This Row],[Source]]</f>
        <v>PacientesRegistro Number OutNumber OutProcess</v>
      </c>
      <c r="J504" cm="1">
        <f t="array" ref="J504">MAX(IF((ProjectInfoTable[ProjectName]=OutputTable[[#This Row],[ProjectName]]),(ProjectInfoTable[ProjectName]=OutputTable[[#This Row],[ProjectName]])*ProjectInfoTable[NumberOfReplications]))</f>
        <v>50</v>
      </c>
      <c r="K504" cm="1">
        <f t="array" ref="K504">IFERROR(AVERAGE(IF((OutputTable[GroupByKey]=OutputTable[[#This Row],[GroupByKey]]),(OutputTable[GroupByKey]=OutputTable[[#This Row],[GroupByKey]])*OutputTable[RecordedValue])),0)</f>
        <v>2262.66</v>
      </c>
      <c r="L504" cm="1">
        <f t="array" ref="L504">IFERROR(_xlfn.STDEV.S(IF((OutputTable[GroupByKey]=OutputTable[[#This Row],[GroupByKey]]),(OutputTable[GroupByKey]=OutputTable[[#This Row],[GroupByKey]])*OutputTable[RecordedValue])),0)</f>
        <v>47.488176831454687</v>
      </c>
      <c r="M504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504" cm="1">
        <f t="array" ref="O504">MIN(IF((OutputTable[GroupByKey]=OutputTable[[#This Row],[GroupByKey]]),(OutputTable[GroupByKey]=OutputTable[[#This Row],[GroupByKey]])*OutputTable[RecordedValue]))</f>
        <v>2171</v>
      </c>
      <c r="P504" cm="1">
        <f t="array" ref="P504">MAX(IF((OutputTable[GroupByKey]=OutputTable[[#This Row],[GroupByKey]]),(OutputTable[GroupByKey]=OutputTable[[#This Row],[GroupByKey]])*OutputTable[RecordedValue]))</f>
        <v>2386</v>
      </c>
    </row>
    <row r="505" spans="1:16" x14ac:dyDescent="0.25">
      <c r="A505" t="s">
        <v>68</v>
      </c>
      <c r="B505" t="s">
        <v>131</v>
      </c>
      <c r="C505">
        <v>30</v>
      </c>
      <c r="D505" t="s">
        <v>118</v>
      </c>
      <c r="E505" t="s">
        <v>107</v>
      </c>
      <c r="F505" t="s">
        <v>119</v>
      </c>
      <c r="G505">
        <v>2416</v>
      </c>
      <c r="H505">
        <v>0</v>
      </c>
      <c r="I505" t="str">
        <f>OutputTable[[#This Row],[ProjectName]]&amp;OutputTable[[#This Row],[Name]]&amp;OutputTable[[#This Row],[Type]]&amp;OutputTable[[#This Row],[Source]]</f>
        <v>PacientesSystem.NumberOutNumber OutSystem</v>
      </c>
      <c r="J505" cm="1">
        <f t="array" ref="J505">MAX(IF((ProjectInfoTable[ProjectName]=OutputTable[[#This Row],[ProjectName]]),(ProjectInfoTable[ProjectName]=OutputTable[[#This Row],[ProjectName]])*ProjectInfoTable[NumberOfReplications]))</f>
        <v>50</v>
      </c>
      <c r="K505" cm="1">
        <f t="array" ref="K505">IFERROR(AVERAGE(IF((OutputTable[GroupByKey]=OutputTable[[#This Row],[GroupByKey]]),(OutputTable[GroupByKey]=OutputTable[[#This Row],[GroupByKey]])*OutputTable[RecordedValue])),0)</f>
        <v>2400.2800000000002</v>
      </c>
      <c r="L505" cm="1">
        <f t="array" ref="L505">IFERROR(_xlfn.STDEV.S(IF((OutputTable[GroupByKey]=OutputTable[[#This Row],[GroupByKey]]),(OutputTable[GroupByKey]=OutputTable[[#This Row],[GroupByKey]])*OutputTable[RecordedValue])),0)</f>
        <v>46.409024456676619</v>
      </c>
      <c r="M50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05" cm="1">
        <f t="array" ref="O505">MIN(IF((OutputTable[GroupByKey]=OutputTable[[#This Row],[GroupByKey]]),(OutputTable[GroupByKey]=OutputTable[[#This Row],[GroupByKey]])*OutputTable[RecordedValue]))</f>
        <v>2305</v>
      </c>
      <c r="P505" cm="1">
        <f t="array" ref="P505">MAX(IF((OutputTable[GroupByKey]=OutputTable[[#This Row],[GroupByKey]]),(OutputTable[GroupByKey]=OutputTable[[#This Row],[GroupByKey]])*OutputTable[RecordedValue]))</f>
        <v>2504</v>
      </c>
    </row>
    <row r="506" spans="1:16" x14ac:dyDescent="0.25">
      <c r="A506" t="s">
        <v>68</v>
      </c>
      <c r="B506" t="s">
        <v>131</v>
      </c>
      <c r="C506">
        <v>30</v>
      </c>
      <c r="D506" t="s">
        <v>120</v>
      </c>
      <c r="E506" t="s">
        <v>121</v>
      </c>
      <c r="F506" t="s">
        <v>99</v>
      </c>
      <c r="G506">
        <v>2417</v>
      </c>
      <c r="H506">
        <v>0</v>
      </c>
      <c r="I506" t="str">
        <f>OutputTable[[#This Row],[ProjectName]]&amp;OutputTable[[#This Row],[Name]]&amp;OutputTable[[#This Row],[Type]]&amp;OutputTable[[#This Row],[Source]]</f>
        <v>PacientesrCamas.NumberSeizedTotal Number SeizedResource</v>
      </c>
      <c r="J506" cm="1">
        <f t="array" ref="J506">MAX(IF((ProjectInfoTable[ProjectName]=OutputTable[[#This Row],[ProjectName]]),(ProjectInfoTable[ProjectName]=OutputTable[[#This Row],[ProjectName]])*ProjectInfoTable[NumberOfReplications]))</f>
        <v>50</v>
      </c>
      <c r="K506" cm="1">
        <f t="array" ref="K506">IFERROR(AVERAGE(IF((OutputTable[GroupByKey]=OutputTable[[#This Row],[GroupByKey]]),(OutputTable[GroupByKey]=OutputTable[[#This Row],[GroupByKey]])*OutputTable[RecordedValue])),0)</f>
        <v>2401.9</v>
      </c>
      <c r="L506" cm="1">
        <f t="array" ref="L506">IFERROR(_xlfn.STDEV.S(IF((OutputTable[GroupByKey]=OutputTable[[#This Row],[GroupByKey]]),(OutputTable[GroupByKey]=OutputTable[[#This Row],[GroupByKey]])*OutputTable[RecordedValue])),0)</f>
        <v>46.417031532903209</v>
      </c>
      <c r="M506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06" cm="1">
        <f t="array" ref="O506">MIN(IF((OutputTable[GroupByKey]=OutputTable[[#This Row],[GroupByKey]]),(OutputTable[GroupByKey]=OutputTable[[#This Row],[GroupByKey]])*OutputTable[RecordedValue]))</f>
        <v>2306</v>
      </c>
      <c r="P506" cm="1">
        <f t="array" ref="P506">MAX(IF((OutputTable[GroupByKey]=OutputTable[[#This Row],[GroupByKey]]),(OutputTable[GroupByKey]=OutputTable[[#This Row],[GroupByKey]])*OutputTable[RecordedValue]))</f>
        <v>2506</v>
      </c>
    </row>
    <row r="507" spans="1:16" x14ac:dyDescent="0.25">
      <c r="A507" t="s">
        <v>68</v>
      </c>
      <c r="B507" t="s">
        <v>131</v>
      </c>
      <c r="C507">
        <v>30</v>
      </c>
      <c r="D507" t="s">
        <v>122</v>
      </c>
      <c r="E507" t="s">
        <v>123</v>
      </c>
      <c r="F507" t="s">
        <v>99</v>
      </c>
      <c r="G507">
        <v>0.55485137541002505</v>
      </c>
      <c r="H507">
        <v>0</v>
      </c>
      <c r="I507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507" cm="1">
        <f t="array" ref="J507">MAX(IF((ProjectInfoTable[ProjectName]=OutputTable[[#This Row],[ProjectName]]),(ProjectInfoTable[ProjectName]=OutputTable[[#This Row],[ProjectName]])*ProjectInfoTable[NumberOfReplications]))</f>
        <v>50</v>
      </c>
      <c r="K507" cm="1">
        <f t="array" ref="K507">IFERROR(AVERAGE(IF((OutputTable[GroupByKey]=OutputTable[[#This Row],[GroupByKey]]),(OutputTable[GroupByKey]=OutputTable[[#This Row],[GroupByKey]])*OutputTable[RecordedValue])),0)</f>
        <v>0.54703961359050601</v>
      </c>
      <c r="L507" cm="1">
        <f t="array" ref="L507">IFERROR(_xlfn.STDEV.S(IF((OutputTable[GroupByKey]=OutputTable[[#This Row],[GroupByKey]]),(OutputTable[GroupByKey]=OutputTable[[#This Row],[GroupByKey]])*OutputTable[RecordedValue])),0)</f>
        <v>1.0221170008030479E-2</v>
      </c>
      <c r="M507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507" cm="1">
        <f t="array" ref="O507">MIN(IF((OutputTable[GroupByKey]=OutputTable[[#This Row],[GroupByKey]]),(OutputTable[GroupByKey]=OutputTable[[#This Row],[GroupByKey]])*OutputTable[RecordedValue]))</f>
        <v>0.52470641844357901</v>
      </c>
      <c r="P507" cm="1">
        <f t="array" ref="P507">MAX(IF((OutputTable[GroupByKey]=OutputTable[[#This Row],[GroupByKey]]),(OutputTable[GroupByKey]=OutputTable[[#This Row],[GroupByKey]])*OutputTable[RecordedValue]))</f>
        <v>0.57005812966092295</v>
      </c>
    </row>
    <row r="508" spans="1:16" x14ac:dyDescent="0.25">
      <c r="A508" t="s">
        <v>68</v>
      </c>
      <c r="B508" t="s">
        <v>131</v>
      </c>
      <c r="C508">
        <v>30</v>
      </c>
      <c r="D508" t="s">
        <v>124</v>
      </c>
      <c r="E508" t="s">
        <v>121</v>
      </c>
      <c r="F508" t="s">
        <v>99</v>
      </c>
      <c r="G508">
        <v>2417</v>
      </c>
      <c r="H508">
        <v>0</v>
      </c>
      <c r="I508" t="str">
        <f>OutputTable[[#This Row],[ProjectName]]&amp;OutputTable[[#This Row],[Name]]&amp;OutputTable[[#This Row],[Type]]&amp;OutputTable[[#This Row],[Source]]</f>
        <v>PacientesrMedico.NumberSeizedTotal Number SeizedResource</v>
      </c>
      <c r="J508" cm="1">
        <f t="array" ref="J508">MAX(IF((ProjectInfoTable[ProjectName]=OutputTable[[#This Row],[ProjectName]]),(ProjectInfoTable[ProjectName]=OutputTable[[#This Row],[ProjectName]])*ProjectInfoTable[NumberOfReplications]))</f>
        <v>50</v>
      </c>
      <c r="K508" cm="1">
        <f t="array" ref="K508">IFERROR(AVERAGE(IF((OutputTable[GroupByKey]=OutputTable[[#This Row],[GroupByKey]]),(OutputTable[GroupByKey]=OutputTable[[#This Row],[GroupByKey]])*OutputTable[RecordedValue])),0)</f>
        <v>2401.9</v>
      </c>
      <c r="L508" cm="1">
        <f t="array" ref="L508">IFERROR(_xlfn.STDEV.S(IF((OutputTable[GroupByKey]=OutputTable[[#This Row],[GroupByKey]]),(OutputTable[GroupByKey]=OutputTable[[#This Row],[GroupByKey]])*OutputTable[RecordedValue])),0)</f>
        <v>46.417031532903209</v>
      </c>
      <c r="M508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08" cm="1">
        <f t="array" ref="O508">MIN(IF((OutputTable[GroupByKey]=OutputTable[[#This Row],[GroupByKey]]),(OutputTable[GroupByKey]=OutputTable[[#This Row],[GroupByKey]])*OutputTable[RecordedValue]))</f>
        <v>2306</v>
      </c>
      <c r="P508" cm="1">
        <f t="array" ref="P508">MAX(IF((OutputTable[GroupByKey]=OutputTable[[#This Row],[GroupByKey]]),(OutputTable[GroupByKey]=OutputTable[[#This Row],[GroupByKey]])*OutputTable[RecordedValue]))</f>
        <v>2506</v>
      </c>
    </row>
    <row r="509" spans="1:16" x14ac:dyDescent="0.25">
      <c r="A509" t="s">
        <v>68</v>
      </c>
      <c r="B509" t="s">
        <v>131</v>
      </c>
      <c r="C509">
        <v>30</v>
      </c>
      <c r="D509" t="s">
        <v>125</v>
      </c>
      <c r="E509" t="s">
        <v>123</v>
      </c>
      <c r="F509" t="s">
        <v>99</v>
      </c>
      <c r="G509">
        <v>0.83227706311503802</v>
      </c>
      <c r="H509">
        <v>0</v>
      </c>
      <c r="I509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509" cm="1">
        <f t="array" ref="J509">MAX(IF((ProjectInfoTable[ProjectName]=OutputTable[[#This Row],[ProjectName]]),(ProjectInfoTable[ProjectName]=OutputTable[[#This Row],[ProjectName]])*ProjectInfoTable[NumberOfReplications]))</f>
        <v>50</v>
      </c>
      <c r="K509" cm="1">
        <f t="array" ref="K509">IFERROR(AVERAGE(IF((OutputTable[GroupByKey]=OutputTable[[#This Row],[GroupByKey]]),(OutputTable[GroupByKey]=OutputTable[[#This Row],[GroupByKey]])*OutputTable[RecordedValue])),0)</f>
        <v>0.82055942038575935</v>
      </c>
      <c r="L509" cm="1">
        <f t="array" ref="L509">IFERROR(_xlfn.STDEV.S(IF((OutputTable[GroupByKey]=OutputTable[[#This Row],[GroupByKey]]),(OutputTable[GroupByKey]=OutputTable[[#This Row],[GroupByKey]])*OutputTable[RecordedValue])),0)</f>
        <v>1.5331755012045719E-2</v>
      </c>
      <c r="M509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509" cm="1">
        <f t="array" ref="O509">MIN(IF((OutputTable[GroupByKey]=OutputTable[[#This Row],[GroupByKey]]),(OutputTable[GroupByKey]=OutputTable[[#This Row],[GroupByKey]])*OutputTable[RecordedValue]))</f>
        <v>0.78705962766536897</v>
      </c>
      <c r="P509" cm="1">
        <f t="array" ref="P509">MAX(IF((OutputTable[GroupByKey]=OutputTable[[#This Row],[GroupByKey]]),(OutputTable[GroupByKey]=OutputTable[[#This Row],[GroupByKey]])*OutputTable[RecordedValue]))</f>
        <v>0.85508719449138504</v>
      </c>
    </row>
    <row r="510" spans="1:16" x14ac:dyDescent="0.25">
      <c r="A510" t="s">
        <v>68</v>
      </c>
      <c r="B510" t="s">
        <v>131</v>
      </c>
      <c r="C510">
        <v>30</v>
      </c>
      <c r="D510" t="s">
        <v>126</v>
      </c>
      <c r="E510" t="s">
        <v>121</v>
      </c>
      <c r="F510" t="s">
        <v>99</v>
      </c>
      <c r="G510">
        <v>2263</v>
      </c>
      <c r="H510">
        <v>0</v>
      </c>
      <c r="I510" t="str">
        <f>OutputTable[[#This Row],[ProjectName]]&amp;OutputTable[[#This Row],[Name]]&amp;OutputTable[[#This Row],[Type]]&amp;OutputTable[[#This Row],[Source]]</f>
        <v>PacientesrRegistradora.NumberSeizedTotal Number SeizedResource</v>
      </c>
      <c r="J510" cm="1">
        <f t="array" ref="J510">MAX(IF((ProjectInfoTable[ProjectName]=OutputTable[[#This Row],[ProjectName]]),(ProjectInfoTable[ProjectName]=OutputTable[[#This Row],[ProjectName]])*ProjectInfoTable[NumberOfReplications]))</f>
        <v>50</v>
      </c>
      <c r="K510" cm="1">
        <f t="array" ref="K510">IFERROR(AVERAGE(IF((OutputTable[GroupByKey]=OutputTable[[#This Row],[GroupByKey]]),(OutputTable[GroupByKey]=OutputTable[[#This Row],[GroupByKey]])*OutputTable[RecordedValue])),0)</f>
        <v>2263.14</v>
      </c>
      <c r="L510" cm="1">
        <f t="array" ref="L510">IFERROR(_xlfn.STDEV.S(IF((OutputTable[GroupByKey]=OutputTable[[#This Row],[GroupByKey]]),(OutputTable[GroupByKey]=OutputTable[[#This Row],[GroupByKey]])*OutputTable[RecordedValue])),0)</f>
        <v>47.386818971575821</v>
      </c>
      <c r="M510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510" cm="1">
        <f t="array" ref="O510">MIN(IF((OutputTable[GroupByKey]=OutputTable[[#This Row],[GroupByKey]]),(OutputTable[GroupByKey]=OutputTable[[#This Row],[GroupByKey]])*OutputTable[RecordedValue]))</f>
        <v>2172</v>
      </c>
      <c r="P510" cm="1">
        <f t="array" ref="P510">MAX(IF((OutputTable[GroupByKey]=OutputTable[[#This Row],[GroupByKey]]),(OutputTable[GroupByKey]=OutputTable[[#This Row],[GroupByKey]])*OutputTable[RecordedValue]))</f>
        <v>2386</v>
      </c>
    </row>
    <row r="511" spans="1:16" x14ac:dyDescent="0.25">
      <c r="A511" t="s">
        <v>68</v>
      </c>
      <c r="B511" t="s">
        <v>131</v>
      </c>
      <c r="C511">
        <v>30</v>
      </c>
      <c r="D511" t="s">
        <v>127</v>
      </c>
      <c r="E511" t="s">
        <v>123</v>
      </c>
      <c r="F511" t="s">
        <v>99</v>
      </c>
      <c r="G511">
        <v>0.47186877571667701</v>
      </c>
      <c r="H511">
        <v>0</v>
      </c>
      <c r="I511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511" cm="1">
        <f t="array" ref="J511">MAX(IF((ProjectInfoTable[ProjectName]=OutputTable[[#This Row],[ProjectName]]),(ProjectInfoTable[ProjectName]=OutputTable[[#This Row],[ProjectName]])*ProjectInfoTable[NumberOfReplications]))</f>
        <v>50</v>
      </c>
      <c r="K511" cm="1">
        <f t="array" ref="K511">IFERROR(AVERAGE(IF((OutputTable[GroupByKey]=OutputTable[[#This Row],[GroupByKey]]),(OutputTable[GroupByKey]=OutputTable[[#This Row],[GroupByKey]])*OutputTable[RecordedValue])),0)</f>
        <v>0.47162762933545666</v>
      </c>
      <c r="L511" cm="1">
        <f t="array" ref="L511">IFERROR(_xlfn.STDEV.S(IF((OutputTable[GroupByKey]=OutputTable[[#This Row],[GroupByKey]]),(OutputTable[GroupByKey]=OutputTable[[#This Row],[GroupByKey]])*OutputTable[RecordedValue])),0)</f>
        <v>9.6615227076777797E-3</v>
      </c>
      <c r="M511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511" cm="1">
        <f t="array" ref="O511">MIN(IF((OutputTable[GroupByKey]=OutputTable[[#This Row],[GroupByKey]]),(OutputTable[GroupByKey]=OutputTable[[#This Row],[GroupByKey]])*OutputTable[RecordedValue]))</f>
        <v>0.452397944183905</v>
      </c>
      <c r="P511" cm="1">
        <f t="array" ref="P511">MAX(IF((OutputTable[GroupByKey]=OutputTable[[#This Row],[GroupByKey]]),(OutputTable[GroupByKey]=OutputTable[[#This Row],[GroupByKey]])*OutputTable[RecordedValue]))</f>
        <v>0.49691123629694001</v>
      </c>
    </row>
    <row r="512" spans="1:16" x14ac:dyDescent="0.25">
      <c r="A512" t="s">
        <v>68</v>
      </c>
      <c r="B512" t="s">
        <v>131</v>
      </c>
      <c r="C512">
        <v>31</v>
      </c>
      <c r="D512" t="s">
        <v>104</v>
      </c>
      <c r="E512" t="s">
        <v>105</v>
      </c>
      <c r="F512" t="s">
        <v>72</v>
      </c>
      <c r="G512">
        <v>2349</v>
      </c>
      <c r="H512">
        <v>0</v>
      </c>
      <c r="I512" t="str">
        <f>OutputTable[[#This Row],[ProjectName]]&amp;OutputTable[[#This Row],[Name]]&amp;OutputTable[[#This Row],[Type]]&amp;OutputTable[[#This Row],[Source]]</f>
        <v>PacientesEntity 1.NumberInNumber InEntity</v>
      </c>
      <c r="J512" cm="1">
        <f t="array" ref="J512">MAX(IF((ProjectInfoTable[ProjectName]=OutputTable[[#This Row],[ProjectName]]),(ProjectInfoTable[ProjectName]=OutputTable[[#This Row],[ProjectName]])*ProjectInfoTable[NumberOfReplications]))</f>
        <v>50</v>
      </c>
      <c r="K512" cm="1">
        <f t="array" ref="K512">IFERROR(AVERAGE(IF((OutputTable[GroupByKey]=OutputTable[[#This Row],[GroupByKey]]),(OutputTable[GroupByKey]=OutputTable[[#This Row],[GroupByKey]])*OutputTable[RecordedValue])),0)</f>
        <v>2404.8200000000002</v>
      </c>
      <c r="L512" cm="1">
        <f t="array" ref="L512">IFERROR(_xlfn.STDEV.S(IF((OutputTable[GroupByKey]=OutputTable[[#This Row],[GroupByKey]]),(OutputTable[GroupByKey]=OutputTable[[#This Row],[GroupByKey]])*OutputTable[RecordedValue])),0)</f>
        <v>46.42953405595474</v>
      </c>
      <c r="M512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512" cm="1">
        <f t="array" ref="O512">MIN(IF((OutputTable[GroupByKey]=OutputTable[[#This Row],[GroupByKey]]),(OutputTable[GroupByKey]=OutputTable[[#This Row],[GroupByKey]])*OutputTable[RecordedValue]))</f>
        <v>2307</v>
      </c>
      <c r="P512" cm="1">
        <f t="array" ref="P512">MAX(IF((OutputTable[GroupByKey]=OutputTable[[#This Row],[GroupByKey]]),(OutputTable[GroupByKey]=OutputTable[[#This Row],[GroupByKey]])*OutputTable[RecordedValue]))</f>
        <v>2518</v>
      </c>
    </row>
    <row r="513" spans="1:16" x14ac:dyDescent="0.25">
      <c r="A513" t="s">
        <v>68</v>
      </c>
      <c r="B513" t="s">
        <v>131</v>
      </c>
      <c r="C513">
        <v>31</v>
      </c>
      <c r="D513" t="s">
        <v>106</v>
      </c>
      <c r="E513" t="s">
        <v>107</v>
      </c>
      <c r="F513" t="s">
        <v>72</v>
      </c>
      <c r="G513">
        <v>2344</v>
      </c>
      <c r="H513">
        <v>0</v>
      </c>
      <c r="I513" t="str">
        <f>OutputTable[[#This Row],[ProjectName]]&amp;OutputTable[[#This Row],[Name]]&amp;OutputTable[[#This Row],[Type]]&amp;OutputTable[[#This Row],[Source]]</f>
        <v>PacientesEntity 1.NumberOutNumber OutEntity</v>
      </c>
      <c r="J513" cm="1">
        <f t="array" ref="J513">MAX(IF((ProjectInfoTable[ProjectName]=OutputTable[[#This Row],[ProjectName]]),(ProjectInfoTable[ProjectName]=OutputTable[[#This Row],[ProjectName]])*ProjectInfoTable[NumberOfReplications]))</f>
        <v>50</v>
      </c>
      <c r="K513" cm="1">
        <f t="array" ref="K513">IFERROR(AVERAGE(IF((OutputTable[GroupByKey]=OutputTable[[#This Row],[GroupByKey]]),(OutputTable[GroupByKey]=OutputTable[[#This Row],[GroupByKey]])*OutputTable[RecordedValue])),0)</f>
        <v>2400.2800000000002</v>
      </c>
      <c r="L513" cm="1">
        <f t="array" ref="L513">IFERROR(_xlfn.STDEV.S(IF((OutputTable[GroupByKey]=OutputTable[[#This Row],[GroupByKey]]),(OutputTable[GroupByKey]=OutputTable[[#This Row],[GroupByKey]])*OutputTable[RecordedValue])),0)</f>
        <v>46.409024456676619</v>
      </c>
      <c r="M513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13" cm="1">
        <f t="array" ref="O513">MIN(IF((OutputTable[GroupByKey]=OutputTable[[#This Row],[GroupByKey]]),(OutputTable[GroupByKey]=OutputTable[[#This Row],[GroupByKey]])*OutputTable[RecordedValue]))</f>
        <v>2305</v>
      </c>
      <c r="P513" cm="1">
        <f t="array" ref="P513">MAX(IF((OutputTable[GroupByKey]=OutputTable[[#This Row],[GroupByKey]]),(OutputTable[GroupByKey]=OutputTable[[#This Row],[GroupByKey]])*OutputTable[RecordedValue]))</f>
        <v>2504</v>
      </c>
    </row>
    <row r="514" spans="1:16" x14ac:dyDescent="0.25">
      <c r="A514" t="s">
        <v>68</v>
      </c>
      <c r="B514" t="s">
        <v>131</v>
      </c>
      <c r="C514">
        <v>31</v>
      </c>
      <c r="D514" t="s">
        <v>108</v>
      </c>
      <c r="E514" t="s">
        <v>109</v>
      </c>
      <c r="F514" t="s">
        <v>80</v>
      </c>
      <c r="G514">
        <v>1145.2899867413701</v>
      </c>
      <c r="H514">
        <v>0</v>
      </c>
      <c r="I514" t="str">
        <f>OutputTable[[#This Row],[ProjectName]]&amp;OutputTable[[#This Row],[Name]]&amp;OutputTable[[#This Row],[Type]]&amp;OutputTable[[#This Row],[Source]]</f>
        <v>PacientesProcess 2 Accum VA TimeAccum VA TimeProcess</v>
      </c>
      <c r="J514" cm="1">
        <f t="array" ref="J514">MAX(IF((ProjectInfoTable[ProjectName]=OutputTable[[#This Row],[ProjectName]]),(ProjectInfoTable[ProjectName]=OutputTable[[#This Row],[ProjectName]])*ProjectInfoTable[NumberOfReplications]))</f>
        <v>50</v>
      </c>
      <c r="K514" cm="1">
        <f t="array" ref="K514">IFERROR(AVERAGE(IF((OutputTable[GroupByKey]=OutputTable[[#This Row],[GroupByKey]]),(OutputTable[GroupByKey]=OutputTable[[#This Row],[GroupByKey]])*OutputTable[RecordedValue])),0)</f>
        <v>1181.1234936767919</v>
      </c>
      <c r="L514" cm="1">
        <f t="array" ref="L514">IFERROR(_xlfn.STDEV.S(IF((OutputTable[GroupByKey]=OutputTable[[#This Row],[GroupByKey]]),(OutputTable[GroupByKey]=OutputTable[[#This Row],[GroupByKey]])*OutputTable[RecordedValue])),0)</f>
        <v>22.169313666927575</v>
      </c>
      <c r="M514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514" cm="1">
        <f t="array" ref="O514">MIN(IF((OutputTable[GroupByKey]=OutputTable[[#This Row],[GroupByKey]]),(OutputTable[GroupByKey]=OutputTable[[#This Row],[GroupByKey]])*OutputTable[RecordedValue]))</f>
        <v>1133.24622318414</v>
      </c>
      <c r="P514" cm="1">
        <f t="array" ref="P514">MAX(IF((OutputTable[GroupByKey]=OutputTable[[#This Row],[GroupByKey]]),(OutputTable[GroupByKey]=OutputTable[[#This Row],[GroupByKey]])*OutputTable[RecordedValue]))</f>
        <v>1230.9493287309799</v>
      </c>
    </row>
    <row r="515" spans="1:16" x14ac:dyDescent="0.25">
      <c r="A515" t="s">
        <v>68</v>
      </c>
      <c r="B515" t="s">
        <v>131</v>
      </c>
      <c r="C515">
        <v>31</v>
      </c>
      <c r="D515" t="s">
        <v>110</v>
      </c>
      <c r="E515" t="s">
        <v>111</v>
      </c>
      <c r="F515" t="s">
        <v>80</v>
      </c>
      <c r="G515">
        <v>1239.26629935035</v>
      </c>
      <c r="H515">
        <v>0</v>
      </c>
      <c r="I515" t="str">
        <f>OutputTable[[#This Row],[ProjectName]]&amp;OutputTable[[#This Row],[Name]]&amp;OutputTable[[#This Row],[Type]]&amp;OutputTable[[#This Row],[Source]]</f>
        <v>PacientesProcess 2 Accum Wait TimeAccum Wait TimeProcess</v>
      </c>
      <c r="J515" cm="1">
        <f t="array" ref="J515">MAX(IF((ProjectInfoTable[ProjectName]=OutputTable[[#This Row],[ProjectName]]),(ProjectInfoTable[ProjectName]=OutputTable[[#This Row],[ProjectName]])*ProjectInfoTable[NumberOfReplications]))</f>
        <v>50</v>
      </c>
      <c r="K515" cm="1">
        <f t="array" ref="K515">IFERROR(AVERAGE(IF((OutputTable[GroupByKey]=OutputTable[[#This Row],[GroupByKey]]),(OutputTable[GroupByKey]=OutputTable[[#This Row],[GroupByKey]])*OutputTable[RecordedValue])),0)</f>
        <v>1938.7515507466894</v>
      </c>
      <c r="L515" cm="1">
        <f t="array" ref="L515">IFERROR(_xlfn.STDEV.S(IF((OutputTable[GroupByKey]=OutputTable[[#This Row],[GroupByKey]]),(OutputTable[GroupByKey]=OutputTable[[#This Row],[GroupByKey]])*OutputTable[RecordedValue])),0)</f>
        <v>534.03396241838232</v>
      </c>
      <c r="M51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515" cm="1">
        <f t="array" ref="O515">MIN(IF((OutputTable[GroupByKey]=OutputTable[[#This Row],[GroupByKey]]),(OutputTable[GroupByKey]=OutputTable[[#This Row],[GroupByKey]])*OutputTable[RecordedValue]))</f>
        <v>1234.7567994731401</v>
      </c>
      <c r="P515" cm="1">
        <f t="array" ref="P515">MAX(IF((OutputTable[GroupByKey]=OutputTable[[#This Row],[GroupByKey]]),(OutputTable[GroupByKey]=OutputTable[[#This Row],[GroupByKey]])*OutputTable[RecordedValue]))</f>
        <v>3269.0858002883801</v>
      </c>
    </row>
    <row r="516" spans="1:16" x14ac:dyDescent="0.25">
      <c r="A516" t="s">
        <v>68</v>
      </c>
      <c r="B516" t="s">
        <v>131</v>
      </c>
      <c r="C516">
        <v>31</v>
      </c>
      <c r="D516" t="s">
        <v>112</v>
      </c>
      <c r="E516" t="s">
        <v>105</v>
      </c>
      <c r="F516" t="s">
        <v>80</v>
      </c>
      <c r="G516">
        <v>2349</v>
      </c>
      <c r="H516">
        <v>0</v>
      </c>
      <c r="I516" t="str">
        <f>OutputTable[[#This Row],[ProjectName]]&amp;OutputTable[[#This Row],[Name]]&amp;OutputTable[[#This Row],[Type]]&amp;OutputTable[[#This Row],[Source]]</f>
        <v>PacientesProcess 2 Number InNumber InProcess</v>
      </c>
      <c r="J516" cm="1">
        <f t="array" ref="J516">MAX(IF((ProjectInfoTable[ProjectName]=OutputTable[[#This Row],[ProjectName]]),(ProjectInfoTable[ProjectName]=OutputTable[[#This Row],[ProjectName]])*ProjectInfoTable[NumberOfReplications]))</f>
        <v>50</v>
      </c>
      <c r="K516" cm="1">
        <f t="array" ref="K516">IFERROR(AVERAGE(IF((OutputTable[GroupByKey]=OutputTable[[#This Row],[GroupByKey]]),(OutputTable[GroupByKey]=OutputTable[[#This Row],[GroupByKey]])*OutputTable[RecordedValue])),0)</f>
        <v>2404.2399999999998</v>
      </c>
      <c r="L516" cm="1">
        <f t="array" ref="L516">IFERROR(_xlfn.STDEV.S(IF((OutputTable[GroupByKey]=OutputTable[[#This Row],[GroupByKey]]),(OutputTable[GroupByKey]=OutputTable[[#This Row],[GroupByKey]])*OutputTable[RecordedValue])),0)</f>
        <v>46.574303154053879</v>
      </c>
      <c r="M516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516" cm="1">
        <f t="array" ref="O516">MIN(IF((OutputTable[GroupByKey]=OutputTable[[#This Row],[GroupByKey]]),(OutputTable[GroupByKey]=OutputTable[[#This Row],[GroupByKey]])*OutputTable[RecordedValue]))</f>
        <v>2306</v>
      </c>
      <c r="P516" cm="1">
        <f t="array" ref="P516">MAX(IF((OutputTable[GroupByKey]=OutputTable[[#This Row],[GroupByKey]]),(OutputTable[GroupByKey]=OutputTable[[#This Row],[GroupByKey]])*OutputTable[RecordedValue]))</f>
        <v>2518</v>
      </c>
    </row>
    <row r="517" spans="1:16" x14ac:dyDescent="0.25">
      <c r="A517" t="s">
        <v>68</v>
      </c>
      <c r="B517" t="s">
        <v>131</v>
      </c>
      <c r="C517">
        <v>31</v>
      </c>
      <c r="D517" t="s">
        <v>113</v>
      </c>
      <c r="E517" t="s">
        <v>107</v>
      </c>
      <c r="F517" t="s">
        <v>80</v>
      </c>
      <c r="G517">
        <v>2344</v>
      </c>
      <c r="H517">
        <v>0</v>
      </c>
      <c r="I517" t="str">
        <f>OutputTable[[#This Row],[ProjectName]]&amp;OutputTable[[#This Row],[Name]]&amp;OutputTable[[#This Row],[Type]]&amp;OutputTable[[#This Row],[Source]]</f>
        <v>PacientesProcess 2 Number OutNumber OutProcess</v>
      </c>
      <c r="J517" cm="1">
        <f t="array" ref="J517">MAX(IF((ProjectInfoTable[ProjectName]=OutputTable[[#This Row],[ProjectName]]),(ProjectInfoTable[ProjectName]=OutputTable[[#This Row],[ProjectName]])*ProjectInfoTable[NumberOfReplications]))</f>
        <v>50</v>
      </c>
      <c r="K517" cm="1">
        <f t="array" ref="K517">IFERROR(AVERAGE(IF((OutputTable[GroupByKey]=OutputTable[[#This Row],[GroupByKey]]),(OutputTable[GroupByKey]=OutputTable[[#This Row],[GroupByKey]])*OutputTable[RecordedValue])),0)</f>
        <v>2400.2800000000002</v>
      </c>
      <c r="L517" cm="1">
        <f t="array" ref="L517">IFERROR(_xlfn.STDEV.S(IF((OutputTable[GroupByKey]=OutputTable[[#This Row],[GroupByKey]]),(OutputTable[GroupByKey]=OutputTable[[#This Row],[GroupByKey]])*OutputTable[RecordedValue])),0)</f>
        <v>46.409024456676619</v>
      </c>
      <c r="M517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17" cm="1">
        <f t="array" ref="O517">MIN(IF((OutputTable[GroupByKey]=OutputTable[[#This Row],[GroupByKey]]),(OutputTable[GroupByKey]=OutputTable[[#This Row],[GroupByKey]])*OutputTable[RecordedValue]))</f>
        <v>2305</v>
      </c>
      <c r="P517" cm="1">
        <f t="array" ref="P517">MAX(IF((OutputTable[GroupByKey]=OutputTable[[#This Row],[GroupByKey]]),(OutputTable[GroupByKey]=OutputTable[[#This Row],[GroupByKey]])*OutputTable[RecordedValue]))</f>
        <v>2504</v>
      </c>
    </row>
    <row r="518" spans="1:16" x14ac:dyDescent="0.25">
      <c r="A518" t="s">
        <v>68</v>
      </c>
      <c r="B518" t="s">
        <v>131</v>
      </c>
      <c r="C518">
        <v>31</v>
      </c>
      <c r="D518" t="s">
        <v>114</v>
      </c>
      <c r="E518" t="s">
        <v>109</v>
      </c>
      <c r="F518" t="s">
        <v>80</v>
      </c>
      <c r="G518">
        <v>333.63465213525399</v>
      </c>
      <c r="H518">
        <v>0</v>
      </c>
      <c r="I518" t="str">
        <f>OutputTable[[#This Row],[ProjectName]]&amp;OutputTable[[#This Row],[Name]]&amp;OutputTable[[#This Row],[Type]]&amp;OutputTable[[#This Row],[Source]]</f>
        <v>PacientesRegistro Accum VA TimeAccum VA TimeProcess</v>
      </c>
      <c r="J518" cm="1">
        <f t="array" ref="J518">MAX(IF((ProjectInfoTable[ProjectName]=OutputTable[[#This Row],[ProjectName]]),(ProjectInfoTable[ProjectName]=OutputTable[[#This Row],[ProjectName]])*ProjectInfoTable[NumberOfReplications]))</f>
        <v>50</v>
      </c>
      <c r="K518" cm="1">
        <f t="array" ref="K518">IFERROR(AVERAGE(IF((OutputTable[GroupByKey]=OutputTable[[#This Row],[GroupByKey]]),(OutputTable[GroupByKey]=OutputTable[[#This Row],[GroupByKey]])*OutputTable[RecordedValue])),0)</f>
        <v>339.53547737062786</v>
      </c>
      <c r="L518" cm="1">
        <f t="array" ref="L518">IFERROR(_xlfn.STDEV.S(IF((OutputTable[GroupByKey]=OutputTable[[#This Row],[GroupByKey]]),(OutputTable[GroupByKey]=OutputTable[[#This Row],[GroupByKey]])*OutputTable[RecordedValue])),0)</f>
        <v>6.9723666109353193</v>
      </c>
      <c r="M518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518" cm="1">
        <f t="array" ref="O518">MIN(IF((OutputTable[GroupByKey]=OutputTable[[#This Row],[GroupByKey]]),(OutputTable[GroupByKey]=OutputTable[[#This Row],[GroupByKey]])*OutputTable[RecordedValue]))</f>
        <v>325.606879158418</v>
      </c>
      <c r="P518" cm="1">
        <f t="array" ref="P518">MAX(IF((OutputTable[GroupByKey]=OutputTable[[#This Row],[GroupByKey]]),(OutputTable[GroupByKey]=OutputTable[[#This Row],[GroupByKey]])*OutputTable[RecordedValue]))</f>
        <v>357.77609013379703</v>
      </c>
    </row>
    <row r="519" spans="1:16" x14ac:dyDescent="0.25">
      <c r="A519" t="s">
        <v>68</v>
      </c>
      <c r="B519" t="s">
        <v>131</v>
      </c>
      <c r="C519">
        <v>31</v>
      </c>
      <c r="D519" t="s">
        <v>115</v>
      </c>
      <c r="E519" t="s">
        <v>111</v>
      </c>
      <c r="F519" t="s">
        <v>80</v>
      </c>
      <c r="G519">
        <v>139.81792990640599</v>
      </c>
      <c r="H519">
        <v>0</v>
      </c>
      <c r="I519" t="str">
        <f>OutputTable[[#This Row],[ProjectName]]&amp;OutputTable[[#This Row],[Name]]&amp;OutputTable[[#This Row],[Type]]&amp;OutputTable[[#This Row],[Source]]</f>
        <v>PacientesRegistro Accum Wait TimeAccum Wait TimeProcess</v>
      </c>
      <c r="J519" cm="1">
        <f t="array" ref="J519">MAX(IF((ProjectInfoTable[ProjectName]=OutputTable[[#This Row],[ProjectName]]),(ProjectInfoTable[ProjectName]=OutputTable[[#This Row],[ProjectName]])*ProjectInfoTable[NumberOfReplications]))</f>
        <v>50</v>
      </c>
      <c r="K519" cm="1">
        <f t="array" ref="K519">IFERROR(AVERAGE(IF((OutputTable[GroupByKey]=OutputTable[[#This Row],[GroupByKey]]),(OutputTable[GroupByKey]=OutputTable[[#This Row],[GroupByKey]])*OutputTable[RecordedValue])),0)</f>
        <v>154.15303898127775</v>
      </c>
      <c r="L519" cm="1">
        <f t="array" ref="L519">IFERROR(_xlfn.STDEV.S(IF((OutputTable[GroupByKey]=OutputTable[[#This Row],[GroupByKey]]),(OutputTable[GroupByKey]=OutputTable[[#This Row],[GroupByKey]])*OutputTable[RecordedValue])),0)</f>
        <v>12.141439184615397</v>
      </c>
      <c r="M519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519" cm="1">
        <f t="array" ref="O519">MIN(IF((OutputTable[GroupByKey]=OutputTable[[#This Row],[GroupByKey]]),(OutputTable[GroupByKey]=OutputTable[[#This Row],[GroupByKey]])*OutputTable[RecordedValue]))</f>
        <v>123.901613974094</v>
      </c>
      <c r="P519" cm="1">
        <f t="array" ref="P519">MAX(IF((OutputTable[GroupByKey]=OutputTable[[#This Row],[GroupByKey]]),(OutputTable[GroupByKey]=OutputTable[[#This Row],[GroupByKey]])*OutputTable[RecordedValue]))</f>
        <v>178.441307284473</v>
      </c>
    </row>
    <row r="520" spans="1:16" x14ac:dyDescent="0.25">
      <c r="A520" t="s">
        <v>68</v>
      </c>
      <c r="B520" t="s">
        <v>131</v>
      </c>
      <c r="C520">
        <v>31</v>
      </c>
      <c r="D520" t="s">
        <v>116</v>
      </c>
      <c r="E520" t="s">
        <v>105</v>
      </c>
      <c r="F520" t="s">
        <v>80</v>
      </c>
      <c r="G520">
        <v>2218</v>
      </c>
      <c r="H520">
        <v>0</v>
      </c>
      <c r="I520" t="str">
        <f>OutputTable[[#This Row],[ProjectName]]&amp;OutputTable[[#This Row],[Name]]&amp;OutputTable[[#This Row],[Type]]&amp;OutputTable[[#This Row],[Source]]</f>
        <v>PacientesRegistro Number InNumber InProcess</v>
      </c>
      <c r="J520" cm="1">
        <f t="array" ref="J520">MAX(IF((ProjectInfoTable[ProjectName]=OutputTable[[#This Row],[ProjectName]]),(ProjectInfoTable[ProjectName]=OutputTable[[#This Row],[ProjectName]])*ProjectInfoTable[NumberOfReplications]))</f>
        <v>50</v>
      </c>
      <c r="K520" cm="1">
        <f t="array" ref="K520">IFERROR(AVERAGE(IF((OutputTable[GroupByKey]=OutputTable[[#This Row],[GroupByKey]]),(OutputTable[GroupByKey]=OutputTable[[#This Row],[GroupByKey]])*OutputTable[RecordedValue])),0)</f>
        <v>2263.2399999999998</v>
      </c>
      <c r="L520" cm="1">
        <f t="array" ref="L520">IFERROR(_xlfn.STDEV.S(IF((OutputTable[GroupByKey]=OutputTable[[#This Row],[GroupByKey]]),(OutputTable[GroupByKey]=OutputTable[[#This Row],[GroupByKey]])*OutputTable[RecordedValue])),0)</f>
        <v>47.331035682472766</v>
      </c>
      <c r="M520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520" cm="1">
        <f t="array" ref="O520">MIN(IF((OutputTable[GroupByKey]=OutputTable[[#This Row],[GroupByKey]]),(OutputTable[GroupByKey]=OutputTable[[#This Row],[GroupByKey]])*OutputTable[RecordedValue]))</f>
        <v>2172</v>
      </c>
      <c r="P520" cm="1">
        <f t="array" ref="P520">MAX(IF((OutputTable[GroupByKey]=OutputTable[[#This Row],[GroupByKey]]),(OutputTable[GroupByKey]=OutputTable[[#This Row],[GroupByKey]])*OutputTable[RecordedValue]))</f>
        <v>2386</v>
      </c>
    </row>
    <row r="521" spans="1:16" x14ac:dyDescent="0.25">
      <c r="A521" t="s">
        <v>68</v>
      </c>
      <c r="B521" t="s">
        <v>131</v>
      </c>
      <c r="C521">
        <v>31</v>
      </c>
      <c r="D521" t="s">
        <v>117</v>
      </c>
      <c r="E521" t="s">
        <v>107</v>
      </c>
      <c r="F521" t="s">
        <v>80</v>
      </c>
      <c r="G521">
        <v>2218</v>
      </c>
      <c r="H521">
        <v>0</v>
      </c>
      <c r="I521" t="str">
        <f>OutputTable[[#This Row],[ProjectName]]&amp;OutputTable[[#This Row],[Name]]&amp;OutputTable[[#This Row],[Type]]&amp;OutputTable[[#This Row],[Source]]</f>
        <v>PacientesRegistro Number OutNumber OutProcess</v>
      </c>
      <c r="J521" cm="1">
        <f t="array" ref="J521">MAX(IF((ProjectInfoTable[ProjectName]=OutputTable[[#This Row],[ProjectName]]),(ProjectInfoTable[ProjectName]=OutputTable[[#This Row],[ProjectName]])*ProjectInfoTable[NumberOfReplications]))</f>
        <v>50</v>
      </c>
      <c r="K521" cm="1">
        <f t="array" ref="K521">IFERROR(AVERAGE(IF((OutputTable[GroupByKey]=OutputTable[[#This Row],[GroupByKey]]),(OutputTable[GroupByKey]=OutputTable[[#This Row],[GroupByKey]])*OutputTable[RecordedValue])),0)</f>
        <v>2262.66</v>
      </c>
      <c r="L521" cm="1">
        <f t="array" ref="L521">IFERROR(_xlfn.STDEV.S(IF((OutputTable[GroupByKey]=OutputTable[[#This Row],[GroupByKey]]),(OutputTable[GroupByKey]=OutputTable[[#This Row],[GroupByKey]])*OutputTable[RecordedValue])),0)</f>
        <v>47.488176831454687</v>
      </c>
      <c r="M521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521" cm="1">
        <f t="array" ref="O521">MIN(IF((OutputTable[GroupByKey]=OutputTable[[#This Row],[GroupByKey]]),(OutputTable[GroupByKey]=OutputTable[[#This Row],[GroupByKey]])*OutputTable[RecordedValue]))</f>
        <v>2171</v>
      </c>
      <c r="P521" cm="1">
        <f t="array" ref="P521">MAX(IF((OutputTable[GroupByKey]=OutputTable[[#This Row],[GroupByKey]]),(OutputTable[GroupByKey]=OutputTable[[#This Row],[GroupByKey]])*OutputTable[RecordedValue]))</f>
        <v>2386</v>
      </c>
    </row>
    <row r="522" spans="1:16" x14ac:dyDescent="0.25">
      <c r="A522" t="s">
        <v>68</v>
      </c>
      <c r="B522" t="s">
        <v>131</v>
      </c>
      <c r="C522">
        <v>31</v>
      </c>
      <c r="D522" t="s">
        <v>118</v>
      </c>
      <c r="E522" t="s">
        <v>107</v>
      </c>
      <c r="F522" t="s">
        <v>119</v>
      </c>
      <c r="G522">
        <v>2344</v>
      </c>
      <c r="H522">
        <v>0</v>
      </c>
      <c r="I522" t="str">
        <f>OutputTable[[#This Row],[ProjectName]]&amp;OutputTable[[#This Row],[Name]]&amp;OutputTable[[#This Row],[Type]]&amp;OutputTable[[#This Row],[Source]]</f>
        <v>PacientesSystem.NumberOutNumber OutSystem</v>
      </c>
      <c r="J522" cm="1">
        <f t="array" ref="J522">MAX(IF((ProjectInfoTable[ProjectName]=OutputTable[[#This Row],[ProjectName]]),(ProjectInfoTable[ProjectName]=OutputTable[[#This Row],[ProjectName]])*ProjectInfoTable[NumberOfReplications]))</f>
        <v>50</v>
      </c>
      <c r="K522" cm="1">
        <f t="array" ref="K522">IFERROR(AVERAGE(IF((OutputTable[GroupByKey]=OutputTable[[#This Row],[GroupByKey]]),(OutputTable[GroupByKey]=OutputTable[[#This Row],[GroupByKey]])*OutputTable[RecordedValue])),0)</f>
        <v>2400.2800000000002</v>
      </c>
      <c r="L522" cm="1">
        <f t="array" ref="L522">IFERROR(_xlfn.STDEV.S(IF((OutputTable[GroupByKey]=OutputTable[[#This Row],[GroupByKey]]),(OutputTable[GroupByKey]=OutputTable[[#This Row],[GroupByKey]])*OutputTable[RecordedValue])),0)</f>
        <v>46.409024456676619</v>
      </c>
      <c r="M522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22" cm="1">
        <f t="array" ref="O522">MIN(IF((OutputTable[GroupByKey]=OutputTable[[#This Row],[GroupByKey]]),(OutputTable[GroupByKey]=OutputTable[[#This Row],[GroupByKey]])*OutputTable[RecordedValue]))</f>
        <v>2305</v>
      </c>
      <c r="P522" cm="1">
        <f t="array" ref="P522">MAX(IF((OutputTable[GroupByKey]=OutputTable[[#This Row],[GroupByKey]]),(OutputTable[GroupByKey]=OutputTable[[#This Row],[GroupByKey]])*OutputTable[RecordedValue]))</f>
        <v>2504</v>
      </c>
    </row>
    <row r="523" spans="1:16" x14ac:dyDescent="0.25">
      <c r="A523" t="s">
        <v>68</v>
      </c>
      <c r="B523" t="s">
        <v>131</v>
      </c>
      <c r="C523">
        <v>31</v>
      </c>
      <c r="D523" t="s">
        <v>120</v>
      </c>
      <c r="E523" t="s">
        <v>121</v>
      </c>
      <c r="F523" t="s">
        <v>99</v>
      </c>
      <c r="G523">
        <v>2346</v>
      </c>
      <c r="H523">
        <v>0</v>
      </c>
      <c r="I523" t="str">
        <f>OutputTable[[#This Row],[ProjectName]]&amp;OutputTable[[#This Row],[Name]]&amp;OutputTable[[#This Row],[Type]]&amp;OutputTable[[#This Row],[Source]]</f>
        <v>PacientesrCamas.NumberSeizedTotal Number SeizedResource</v>
      </c>
      <c r="J523" cm="1">
        <f t="array" ref="J523">MAX(IF((ProjectInfoTable[ProjectName]=OutputTable[[#This Row],[ProjectName]]),(ProjectInfoTable[ProjectName]=OutputTable[[#This Row],[ProjectName]])*ProjectInfoTable[NumberOfReplications]))</f>
        <v>50</v>
      </c>
      <c r="K523" cm="1">
        <f t="array" ref="K523">IFERROR(AVERAGE(IF((OutputTable[GroupByKey]=OutputTable[[#This Row],[GroupByKey]]),(OutputTable[GroupByKey]=OutputTable[[#This Row],[GroupByKey]])*OutputTable[RecordedValue])),0)</f>
        <v>2401.9</v>
      </c>
      <c r="L523" cm="1">
        <f t="array" ref="L523">IFERROR(_xlfn.STDEV.S(IF((OutputTable[GroupByKey]=OutputTable[[#This Row],[GroupByKey]]),(OutputTable[GroupByKey]=OutputTable[[#This Row],[GroupByKey]])*OutputTable[RecordedValue])),0)</f>
        <v>46.417031532903209</v>
      </c>
      <c r="M523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23" cm="1">
        <f t="array" ref="O523">MIN(IF((OutputTable[GroupByKey]=OutputTable[[#This Row],[GroupByKey]]),(OutputTable[GroupByKey]=OutputTable[[#This Row],[GroupByKey]])*OutputTable[RecordedValue]))</f>
        <v>2306</v>
      </c>
      <c r="P523" cm="1">
        <f t="array" ref="P523">MAX(IF((OutputTable[GroupByKey]=OutputTable[[#This Row],[GroupByKey]]),(OutputTable[GroupByKey]=OutputTable[[#This Row],[GroupByKey]])*OutputTable[RecordedValue]))</f>
        <v>2506</v>
      </c>
    </row>
    <row r="524" spans="1:16" x14ac:dyDescent="0.25">
      <c r="A524" t="s">
        <v>68</v>
      </c>
      <c r="B524" t="s">
        <v>131</v>
      </c>
      <c r="C524">
        <v>31</v>
      </c>
      <c r="D524" t="s">
        <v>122</v>
      </c>
      <c r="E524" t="s">
        <v>123</v>
      </c>
      <c r="F524" t="s">
        <v>99</v>
      </c>
      <c r="G524">
        <v>0.53082203310107701</v>
      </c>
      <c r="H524">
        <v>0</v>
      </c>
      <c r="I524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524" cm="1">
        <f t="array" ref="J524">MAX(IF((ProjectInfoTable[ProjectName]=OutputTable[[#This Row],[ProjectName]]),(ProjectInfoTable[ProjectName]=OutputTable[[#This Row],[ProjectName]])*ProjectInfoTable[NumberOfReplications]))</f>
        <v>50</v>
      </c>
      <c r="K524" cm="1">
        <f t="array" ref="K524">IFERROR(AVERAGE(IF((OutputTable[GroupByKey]=OutputTable[[#This Row],[GroupByKey]]),(OutputTable[GroupByKey]=OutputTable[[#This Row],[GroupByKey]])*OutputTable[RecordedValue])),0)</f>
        <v>0.54703961359050601</v>
      </c>
      <c r="L524" cm="1">
        <f t="array" ref="L524">IFERROR(_xlfn.STDEV.S(IF((OutputTable[GroupByKey]=OutputTable[[#This Row],[GroupByKey]]),(OutputTable[GroupByKey]=OutputTable[[#This Row],[GroupByKey]])*OutputTable[RecordedValue])),0)</f>
        <v>1.0221170008030479E-2</v>
      </c>
      <c r="M524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524" cm="1">
        <f t="array" ref="O524">MIN(IF((OutputTable[GroupByKey]=OutputTable[[#This Row],[GroupByKey]]),(OutputTable[GroupByKey]=OutputTable[[#This Row],[GroupByKey]])*OutputTable[RecordedValue]))</f>
        <v>0.52470641844357901</v>
      </c>
      <c r="P524" cm="1">
        <f t="array" ref="P524">MAX(IF((OutputTable[GroupByKey]=OutputTable[[#This Row],[GroupByKey]]),(OutputTable[GroupByKey]=OutputTable[[#This Row],[GroupByKey]])*OutputTable[RecordedValue]))</f>
        <v>0.57005812966092295</v>
      </c>
    </row>
    <row r="525" spans="1:16" x14ac:dyDescent="0.25">
      <c r="A525" t="s">
        <v>68</v>
      </c>
      <c r="B525" t="s">
        <v>131</v>
      </c>
      <c r="C525">
        <v>31</v>
      </c>
      <c r="D525" t="s">
        <v>124</v>
      </c>
      <c r="E525" t="s">
        <v>121</v>
      </c>
      <c r="F525" t="s">
        <v>99</v>
      </c>
      <c r="G525">
        <v>2346</v>
      </c>
      <c r="H525">
        <v>0</v>
      </c>
      <c r="I525" t="str">
        <f>OutputTable[[#This Row],[ProjectName]]&amp;OutputTable[[#This Row],[Name]]&amp;OutputTable[[#This Row],[Type]]&amp;OutputTable[[#This Row],[Source]]</f>
        <v>PacientesrMedico.NumberSeizedTotal Number SeizedResource</v>
      </c>
      <c r="J525" cm="1">
        <f t="array" ref="J525">MAX(IF((ProjectInfoTable[ProjectName]=OutputTable[[#This Row],[ProjectName]]),(ProjectInfoTable[ProjectName]=OutputTable[[#This Row],[ProjectName]])*ProjectInfoTable[NumberOfReplications]))</f>
        <v>50</v>
      </c>
      <c r="K525" cm="1">
        <f t="array" ref="K525">IFERROR(AVERAGE(IF((OutputTable[GroupByKey]=OutputTable[[#This Row],[GroupByKey]]),(OutputTable[GroupByKey]=OutputTable[[#This Row],[GroupByKey]])*OutputTable[RecordedValue])),0)</f>
        <v>2401.9</v>
      </c>
      <c r="L525" cm="1">
        <f t="array" ref="L525">IFERROR(_xlfn.STDEV.S(IF((OutputTable[GroupByKey]=OutputTable[[#This Row],[GroupByKey]]),(OutputTable[GroupByKey]=OutputTable[[#This Row],[GroupByKey]])*OutputTable[RecordedValue])),0)</f>
        <v>46.417031532903209</v>
      </c>
      <c r="M52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25" cm="1">
        <f t="array" ref="O525">MIN(IF((OutputTable[GroupByKey]=OutputTable[[#This Row],[GroupByKey]]),(OutputTable[GroupByKey]=OutputTable[[#This Row],[GroupByKey]])*OutputTable[RecordedValue]))</f>
        <v>2306</v>
      </c>
      <c r="P525" cm="1">
        <f t="array" ref="P525">MAX(IF((OutputTable[GroupByKey]=OutputTable[[#This Row],[GroupByKey]]),(OutputTable[GroupByKey]=OutputTable[[#This Row],[GroupByKey]])*OutputTable[RecordedValue]))</f>
        <v>2506</v>
      </c>
    </row>
    <row r="526" spans="1:16" x14ac:dyDescent="0.25">
      <c r="A526" t="s">
        <v>68</v>
      </c>
      <c r="B526" t="s">
        <v>131</v>
      </c>
      <c r="C526">
        <v>31</v>
      </c>
      <c r="D526" t="s">
        <v>125</v>
      </c>
      <c r="E526" t="s">
        <v>123</v>
      </c>
      <c r="F526" t="s">
        <v>99</v>
      </c>
      <c r="G526">
        <v>0.79623304965161501</v>
      </c>
      <c r="H526">
        <v>0</v>
      </c>
      <c r="I526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526" cm="1">
        <f t="array" ref="J526">MAX(IF((ProjectInfoTable[ProjectName]=OutputTable[[#This Row],[ProjectName]]),(ProjectInfoTable[ProjectName]=OutputTable[[#This Row],[ProjectName]])*ProjectInfoTable[NumberOfReplications]))</f>
        <v>50</v>
      </c>
      <c r="K526" cm="1">
        <f t="array" ref="K526">IFERROR(AVERAGE(IF((OutputTable[GroupByKey]=OutputTable[[#This Row],[GroupByKey]]),(OutputTable[GroupByKey]=OutputTable[[#This Row],[GroupByKey]])*OutputTable[RecordedValue])),0)</f>
        <v>0.82055942038575935</v>
      </c>
      <c r="L526" cm="1">
        <f t="array" ref="L526">IFERROR(_xlfn.STDEV.S(IF((OutputTable[GroupByKey]=OutputTable[[#This Row],[GroupByKey]]),(OutputTable[GroupByKey]=OutputTable[[#This Row],[GroupByKey]])*OutputTable[RecordedValue])),0)</f>
        <v>1.5331755012045719E-2</v>
      </c>
      <c r="M526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526" cm="1">
        <f t="array" ref="O526">MIN(IF((OutputTable[GroupByKey]=OutputTable[[#This Row],[GroupByKey]]),(OutputTable[GroupByKey]=OutputTable[[#This Row],[GroupByKey]])*OutputTable[RecordedValue]))</f>
        <v>0.78705962766536897</v>
      </c>
      <c r="P526" cm="1">
        <f t="array" ref="P526">MAX(IF((OutputTable[GroupByKey]=OutputTable[[#This Row],[GroupByKey]]),(OutputTable[GroupByKey]=OutputTable[[#This Row],[GroupByKey]])*OutputTable[RecordedValue]))</f>
        <v>0.85508719449138504</v>
      </c>
    </row>
    <row r="527" spans="1:16" x14ac:dyDescent="0.25">
      <c r="A527" t="s">
        <v>68</v>
      </c>
      <c r="B527" t="s">
        <v>131</v>
      </c>
      <c r="C527">
        <v>31</v>
      </c>
      <c r="D527" t="s">
        <v>126</v>
      </c>
      <c r="E527" t="s">
        <v>121</v>
      </c>
      <c r="F527" t="s">
        <v>99</v>
      </c>
      <c r="G527">
        <v>2218</v>
      </c>
      <c r="H527">
        <v>0</v>
      </c>
      <c r="I527" t="str">
        <f>OutputTable[[#This Row],[ProjectName]]&amp;OutputTable[[#This Row],[Name]]&amp;OutputTable[[#This Row],[Type]]&amp;OutputTable[[#This Row],[Source]]</f>
        <v>PacientesrRegistradora.NumberSeizedTotal Number SeizedResource</v>
      </c>
      <c r="J527" cm="1">
        <f t="array" ref="J527">MAX(IF((ProjectInfoTable[ProjectName]=OutputTable[[#This Row],[ProjectName]]),(ProjectInfoTable[ProjectName]=OutputTable[[#This Row],[ProjectName]])*ProjectInfoTable[NumberOfReplications]))</f>
        <v>50</v>
      </c>
      <c r="K527" cm="1">
        <f t="array" ref="K527">IFERROR(AVERAGE(IF((OutputTable[GroupByKey]=OutputTable[[#This Row],[GroupByKey]]),(OutputTable[GroupByKey]=OutputTable[[#This Row],[GroupByKey]])*OutputTable[RecordedValue])),0)</f>
        <v>2263.14</v>
      </c>
      <c r="L527" cm="1">
        <f t="array" ref="L527">IFERROR(_xlfn.STDEV.S(IF((OutputTable[GroupByKey]=OutputTable[[#This Row],[GroupByKey]]),(OutputTable[GroupByKey]=OutputTable[[#This Row],[GroupByKey]])*OutputTable[RecordedValue])),0)</f>
        <v>47.386818971575821</v>
      </c>
      <c r="M527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527" cm="1">
        <f t="array" ref="O527">MIN(IF((OutputTable[GroupByKey]=OutputTable[[#This Row],[GroupByKey]]),(OutputTable[GroupByKey]=OutputTable[[#This Row],[GroupByKey]])*OutputTable[RecordedValue]))</f>
        <v>2172</v>
      </c>
      <c r="P527" cm="1">
        <f t="array" ref="P527">MAX(IF((OutputTable[GroupByKey]=OutputTable[[#This Row],[GroupByKey]]),(OutputTable[GroupByKey]=OutputTable[[#This Row],[GroupByKey]])*OutputTable[RecordedValue]))</f>
        <v>2386</v>
      </c>
    </row>
    <row r="528" spans="1:16" x14ac:dyDescent="0.25">
      <c r="A528" t="s">
        <v>68</v>
      </c>
      <c r="B528" t="s">
        <v>131</v>
      </c>
      <c r="C528">
        <v>31</v>
      </c>
      <c r="D528" t="s">
        <v>127</v>
      </c>
      <c r="E528" t="s">
        <v>123</v>
      </c>
      <c r="F528" t="s">
        <v>99</v>
      </c>
      <c r="G528">
        <v>0.46338146129896401</v>
      </c>
      <c r="H528">
        <v>0</v>
      </c>
      <c r="I528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528" cm="1">
        <f t="array" ref="J528">MAX(IF((ProjectInfoTable[ProjectName]=OutputTable[[#This Row],[ProjectName]]),(ProjectInfoTable[ProjectName]=OutputTable[[#This Row],[ProjectName]])*ProjectInfoTable[NumberOfReplications]))</f>
        <v>50</v>
      </c>
      <c r="K528" cm="1">
        <f t="array" ref="K528">IFERROR(AVERAGE(IF((OutputTable[GroupByKey]=OutputTable[[#This Row],[GroupByKey]]),(OutputTable[GroupByKey]=OutputTable[[#This Row],[GroupByKey]])*OutputTable[RecordedValue])),0)</f>
        <v>0.47162762933545666</v>
      </c>
      <c r="L528" cm="1">
        <f t="array" ref="L528">IFERROR(_xlfn.STDEV.S(IF((OutputTable[GroupByKey]=OutputTable[[#This Row],[GroupByKey]]),(OutputTable[GroupByKey]=OutputTable[[#This Row],[GroupByKey]])*OutputTable[RecordedValue])),0)</f>
        <v>9.6615227076777797E-3</v>
      </c>
      <c r="M528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528" cm="1">
        <f t="array" ref="O528">MIN(IF((OutputTable[GroupByKey]=OutputTable[[#This Row],[GroupByKey]]),(OutputTable[GroupByKey]=OutputTable[[#This Row],[GroupByKey]])*OutputTable[RecordedValue]))</f>
        <v>0.452397944183905</v>
      </c>
      <c r="P528" cm="1">
        <f t="array" ref="P528">MAX(IF((OutputTable[GroupByKey]=OutputTable[[#This Row],[GroupByKey]]),(OutputTable[GroupByKey]=OutputTable[[#This Row],[GroupByKey]])*OutputTable[RecordedValue]))</f>
        <v>0.49691123629694001</v>
      </c>
    </row>
    <row r="529" spans="1:16" x14ac:dyDescent="0.25">
      <c r="A529" t="s">
        <v>68</v>
      </c>
      <c r="B529" t="s">
        <v>131</v>
      </c>
      <c r="C529">
        <v>32</v>
      </c>
      <c r="D529" t="s">
        <v>104</v>
      </c>
      <c r="E529" t="s">
        <v>105</v>
      </c>
      <c r="F529" t="s">
        <v>72</v>
      </c>
      <c r="G529">
        <v>2338</v>
      </c>
      <c r="H529">
        <v>0</v>
      </c>
      <c r="I529" t="str">
        <f>OutputTable[[#This Row],[ProjectName]]&amp;OutputTable[[#This Row],[Name]]&amp;OutputTable[[#This Row],[Type]]&amp;OutputTable[[#This Row],[Source]]</f>
        <v>PacientesEntity 1.NumberInNumber InEntity</v>
      </c>
      <c r="J529" cm="1">
        <f t="array" ref="J529">MAX(IF((ProjectInfoTable[ProjectName]=OutputTable[[#This Row],[ProjectName]]),(ProjectInfoTable[ProjectName]=OutputTable[[#This Row],[ProjectName]])*ProjectInfoTable[NumberOfReplications]))</f>
        <v>50</v>
      </c>
      <c r="K529" cm="1">
        <f t="array" ref="K529">IFERROR(AVERAGE(IF((OutputTable[GroupByKey]=OutputTable[[#This Row],[GroupByKey]]),(OutputTable[GroupByKey]=OutputTable[[#This Row],[GroupByKey]])*OutputTable[RecordedValue])),0)</f>
        <v>2404.8200000000002</v>
      </c>
      <c r="L529" cm="1">
        <f t="array" ref="L529">IFERROR(_xlfn.STDEV.S(IF((OutputTable[GroupByKey]=OutputTable[[#This Row],[GroupByKey]]),(OutputTable[GroupByKey]=OutputTable[[#This Row],[GroupByKey]])*OutputTable[RecordedValue])),0)</f>
        <v>46.42953405595474</v>
      </c>
      <c r="M529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529" cm="1">
        <f t="array" ref="O529">MIN(IF((OutputTable[GroupByKey]=OutputTable[[#This Row],[GroupByKey]]),(OutputTable[GroupByKey]=OutputTable[[#This Row],[GroupByKey]])*OutputTable[RecordedValue]))</f>
        <v>2307</v>
      </c>
      <c r="P529" cm="1">
        <f t="array" ref="P529">MAX(IF((OutputTable[GroupByKey]=OutputTable[[#This Row],[GroupByKey]]),(OutputTable[GroupByKey]=OutputTable[[#This Row],[GroupByKey]])*OutputTable[RecordedValue]))</f>
        <v>2518</v>
      </c>
    </row>
    <row r="530" spans="1:16" x14ac:dyDescent="0.25">
      <c r="A530" t="s">
        <v>68</v>
      </c>
      <c r="B530" t="s">
        <v>131</v>
      </c>
      <c r="C530">
        <v>32</v>
      </c>
      <c r="D530" t="s">
        <v>106</v>
      </c>
      <c r="E530" t="s">
        <v>107</v>
      </c>
      <c r="F530" t="s">
        <v>72</v>
      </c>
      <c r="G530">
        <v>2331</v>
      </c>
      <c r="H530">
        <v>0</v>
      </c>
      <c r="I530" t="str">
        <f>OutputTable[[#This Row],[ProjectName]]&amp;OutputTable[[#This Row],[Name]]&amp;OutputTable[[#This Row],[Type]]&amp;OutputTable[[#This Row],[Source]]</f>
        <v>PacientesEntity 1.NumberOutNumber OutEntity</v>
      </c>
      <c r="J530" cm="1">
        <f t="array" ref="J530">MAX(IF((ProjectInfoTable[ProjectName]=OutputTable[[#This Row],[ProjectName]]),(ProjectInfoTable[ProjectName]=OutputTable[[#This Row],[ProjectName]])*ProjectInfoTable[NumberOfReplications]))</f>
        <v>50</v>
      </c>
      <c r="K530" cm="1">
        <f t="array" ref="K530">IFERROR(AVERAGE(IF((OutputTable[GroupByKey]=OutputTable[[#This Row],[GroupByKey]]),(OutputTable[GroupByKey]=OutputTable[[#This Row],[GroupByKey]])*OutputTable[RecordedValue])),0)</f>
        <v>2400.2800000000002</v>
      </c>
      <c r="L530" cm="1">
        <f t="array" ref="L530">IFERROR(_xlfn.STDEV.S(IF((OutputTable[GroupByKey]=OutputTable[[#This Row],[GroupByKey]]),(OutputTable[GroupByKey]=OutputTable[[#This Row],[GroupByKey]])*OutputTable[RecordedValue])),0)</f>
        <v>46.409024456676619</v>
      </c>
      <c r="M530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30" cm="1">
        <f t="array" ref="O530">MIN(IF((OutputTable[GroupByKey]=OutputTable[[#This Row],[GroupByKey]]),(OutputTable[GroupByKey]=OutputTable[[#This Row],[GroupByKey]])*OutputTable[RecordedValue]))</f>
        <v>2305</v>
      </c>
      <c r="P530" cm="1">
        <f t="array" ref="P530">MAX(IF((OutputTable[GroupByKey]=OutputTable[[#This Row],[GroupByKey]]),(OutputTable[GroupByKey]=OutputTable[[#This Row],[GroupByKey]])*OutputTable[RecordedValue]))</f>
        <v>2504</v>
      </c>
    </row>
    <row r="531" spans="1:16" x14ac:dyDescent="0.25">
      <c r="A531" t="s">
        <v>68</v>
      </c>
      <c r="B531" t="s">
        <v>131</v>
      </c>
      <c r="C531">
        <v>32</v>
      </c>
      <c r="D531" t="s">
        <v>108</v>
      </c>
      <c r="E531" t="s">
        <v>109</v>
      </c>
      <c r="F531" t="s">
        <v>80</v>
      </c>
      <c r="G531">
        <v>1173.06195561507</v>
      </c>
      <c r="H531">
        <v>0</v>
      </c>
      <c r="I531" t="str">
        <f>OutputTable[[#This Row],[ProjectName]]&amp;OutputTable[[#This Row],[Name]]&amp;OutputTable[[#This Row],[Type]]&amp;OutputTable[[#This Row],[Source]]</f>
        <v>PacientesProcess 2 Accum VA TimeAccum VA TimeProcess</v>
      </c>
      <c r="J531" cm="1">
        <f t="array" ref="J531">MAX(IF((ProjectInfoTable[ProjectName]=OutputTable[[#This Row],[ProjectName]]),(ProjectInfoTable[ProjectName]=OutputTable[[#This Row],[ProjectName]])*ProjectInfoTable[NumberOfReplications]))</f>
        <v>50</v>
      </c>
      <c r="K531" cm="1">
        <f t="array" ref="K531">IFERROR(AVERAGE(IF((OutputTable[GroupByKey]=OutputTable[[#This Row],[GroupByKey]]),(OutputTable[GroupByKey]=OutputTable[[#This Row],[GroupByKey]])*OutputTable[RecordedValue])),0)</f>
        <v>1181.1234936767919</v>
      </c>
      <c r="L531" cm="1">
        <f t="array" ref="L531">IFERROR(_xlfn.STDEV.S(IF((OutputTable[GroupByKey]=OutputTable[[#This Row],[GroupByKey]]),(OutputTable[GroupByKey]=OutputTable[[#This Row],[GroupByKey]])*OutputTable[RecordedValue])),0)</f>
        <v>22.169313666927575</v>
      </c>
      <c r="M531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531" cm="1">
        <f t="array" ref="O531">MIN(IF((OutputTable[GroupByKey]=OutputTable[[#This Row],[GroupByKey]]),(OutputTable[GroupByKey]=OutputTable[[#This Row],[GroupByKey]])*OutputTable[RecordedValue]))</f>
        <v>1133.24622318414</v>
      </c>
      <c r="P531" cm="1">
        <f t="array" ref="P531">MAX(IF((OutputTable[GroupByKey]=OutputTable[[#This Row],[GroupByKey]]),(OutputTable[GroupByKey]=OutputTable[[#This Row],[GroupByKey]])*OutputTable[RecordedValue]))</f>
        <v>1230.9493287309799</v>
      </c>
    </row>
    <row r="532" spans="1:16" x14ac:dyDescent="0.25">
      <c r="A532" t="s">
        <v>68</v>
      </c>
      <c r="B532" t="s">
        <v>131</v>
      </c>
      <c r="C532">
        <v>32</v>
      </c>
      <c r="D532" t="s">
        <v>110</v>
      </c>
      <c r="E532" t="s">
        <v>111</v>
      </c>
      <c r="F532" t="s">
        <v>80</v>
      </c>
      <c r="G532">
        <v>1347.9608789568399</v>
      </c>
      <c r="H532">
        <v>0</v>
      </c>
      <c r="I532" t="str">
        <f>OutputTable[[#This Row],[ProjectName]]&amp;OutputTable[[#This Row],[Name]]&amp;OutputTable[[#This Row],[Type]]&amp;OutputTable[[#This Row],[Source]]</f>
        <v>PacientesProcess 2 Accum Wait TimeAccum Wait TimeProcess</v>
      </c>
      <c r="J532" cm="1">
        <f t="array" ref="J532">MAX(IF((ProjectInfoTable[ProjectName]=OutputTable[[#This Row],[ProjectName]]),(ProjectInfoTable[ProjectName]=OutputTable[[#This Row],[ProjectName]])*ProjectInfoTable[NumberOfReplications]))</f>
        <v>50</v>
      </c>
      <c r="K532" cm="1">
        <f t="array" ref="K532">IFERROR(AVERAGE(IF((OutputTable[GroupByKey]=OutputTable[[#This Row],[GroupByKey]]),(OutputTable[GroupByKey]=OutputTable[[#This Row],[GroupByKey]])*OutputTable[RecordedValue])),0)</f>
        <v>1938.7515507466894</v>
      </c>
      <c r="L532" cm="1">
        <f t="array" ref="L532">IFERROR(_xlfn.STDEV.S(IF((OutputTable[GroupByKey]=OutputTable[[#This Row],[GroupByKey]]),(OutputTable[GroupByKey]=OutputTable[[#This Row],[GroupByKey]])*OutputTable[RecordedValue])),0)</f>
        <v>534.03396241838232</v>
      </c>
      <c r="M532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532" cm="1">
        <f t="array" ref="O532">MIN(IF((OutputTable[GroupByKey]=OutputTable[[#This Row],[GroupByKey]]),(OutputTable[GroupByKey]=OutputTable[[#This Row],[GroupByKey]])*OutputTable[RecordedValue]))</f>
        <v>1234.7567994731401</v>
      </c>
      <c r="P532" cm="1">
        <f t="array" ref="P532">MAX(IF((OutputTable[GroupByKey]=OutputTable[[#This Row],[GroupByKey]]),(OutputTable[GroupByKey]=OutputTable[[#This Row],[GroupByKey]])*OutputTable[RecordedValue]))</f>
        <v>3269.0858002883801</v>
      </c>
    </row>
    <row r="533" spans="1:16" x14ac:dyDescent="0.25">
      <c r="A533" t="s">
        <v>68</v>
      </c>
      <c r="B533" t="s">
        <v>131</v>
      </c>
      <c r="C533">
        <v>32</v>
      </c>
      <c r="D533" t="s">
        <v>112</v>
      </c>
      <c r="E533" t="s">
        <v>105</v>
      </c>
      <c r="F533" t="s">
        <v>80</v>
      </c>
      <c r="G533">
        <v>2335</v>
      </c>
      <c r="H533">
        <v>0</v>
      </c>
      <c r="I533" t="str">
        <f>OutputTable[[#This Row],[ProjectName]]&amp;OutputTable[[#This Row],[Name]]&amp;OutputTable[[#This Row],[Type]]&amp;OutputTable[[#This Row],[Source]]</f>
        <v>PacientesProcess 2 Number InNumber InProcess</v>
      </c>
      <c r="J533" cm="1">
        <f t="array" ref="J533">MAX(IF((ProjectInfoTable[ProjectName]=OutputTable[[#This Row],[ProjectName]]),(ProjectInfoTable[ProjectName]=OutputTable[[#This Row],[ProjectName]])*ProjectInfoTable[NumberOfReplications]))</f>
        <v>50</v>
      </c>
      <c r="K533" cm="1">
        <f t="array" ref="K533">IFERROR(AVERAGE(IF((OutputTable[GroupByKey]=OutputTable[[#This Row],[GroupByKey]]),(OutputTable[GroupByKey]=OutputTable[[#This Row],[GroupByKey]])*OutputTable[RecordedValue])),0)</f>
        <v>2404.2399999999998</v>
      </c>
      <c r="L533" cm="1">
        <f t="array" ref="L533">IFERROR(_xlfn.STDEV.S(IF((OutputTable[GroupByKey]=OutputTable[[#This Row],[GroupByKey]]),(OutputTable[GroupByKey]=OutputTable[[#This Row],[GroupByKey]])*OutputTable[RecordedValue])),0)</f>
        <v>46.574303154053879</v>
      </c>
      <c r="M533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533" cm="1">
        <f t="array" ref="O533">MIN(IF((OutputTable[GroupByKey]=OutputTable[[#This Row],[GroupByKey]]),(OutputTable[GroupByKey]=OutputTable[[#This Row],[GroupByKey]])*OutputTable[RecordedValue]))</f>
        <v>2306</v>
      </c>
      <c r="P533" cm="1">
        <f t="array" ref="P533">MAX(IF((OutputTable[GroupByKey]=OutputTable[[#This Row],[GroupByKey]]),(OutputTable[GroupByKey]=OutputTable[[#This Row],[GroupByKey]])*OutputTable[RecordedValue]))</f>
        <v>2518</v>
      </c>
    </row>
    <row r="534" spans="1:16" x14ac:dyDescent="0.25">
      <c r="A534" t="s">
        <v>68</v>
      </c>
      <c r="B534" t="s">
        <v>131</v>
      </c>
      <c r="C534">
        <v>32</v>
      </c>
      <c r="D534" t="s">
        <v>113</v>
      </c>
      <c r="E534" t="s">
        <v>107</v>
      </c>
      <c r="F534" t="s">
        <v>80</v>
      </c>
      <c r="G534">
        <v>2331</v>
      </c>
      <c r="H534">
        <v>0</v>
      </c>
      <c r="I534" t="str">
        <f>OutputTable[[#This Row],[ProjectName]]&amp;OutputTable[[#This Row],[Name]]&amp;OutputTable[[#This Row],[Type]]&amp;OutputTable[[#This Row],[Source]]</f>
        <v>PacientesProcess 2 Number OutNumber OutProcess</v>
      </c>
      <c r="J534" cm="1">
        <f t="array" ref="J534">MAX(IF((ProjectInfoTable[ProjectName]=OutputTable[[#This Row],[ProjectName]]),(ProjectInfoTable[ProjectName]=OutputTable[[#This Row],[ProjectName]])*ProjectInfoTable[NumberOfReplications]))</f>
        <v>50</v>
      </c>
      <c r="K534" cm="1">
        <f t="array" ref="K534">IFERROR(AVERAGE(IF((OutputTable[GroupByKey]=OutputTable[[#This Row],[GroupByKey]]),(OutputTable[GroupByKey]=OutputTable[[#This Row],[GroupByKey]])*OutputTable[RecordedValue])),0)</f>
        <v>2400.2800000000002</v>
      </c>
      <c r="L534" cm="1">
        <f t="array" ref="L534">IFERROR(_xlfn.STDEV.S(IF((OutputTable[GroupByKey]=OutputTable[[#This Row],[GroupByKey]]),(OutputTable[GroupByKey]=OutputTable[[#This Row],[GroupByKey]])*OutputTable[RecordedValue])),0)</f>
        <v>46.409024456676619</v>
      </c>
      <c r="M534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34" cm="1">
        <f t="array" ref="O534">MIN(IF((OutputTable[GroupByKey]=OutputTable[[#This Row],[GroupByKey]]),(OutputTable[GroupByKey]=OutputTable[[#This Row],[GroupByKey]])*OutputTable[RecordedValue]))</f>
        <v>2305</v>
      </c>
      <c r="P534" cm="1">
        <f t="array" ref="P534">MAX(IF((OutputTable[GroupByKey]=OutputTable[[#This Row],[GroupByKey]]),(OutputTable[GroupByKey]=OutputTable[[#This Row],[GroupByKey]])*OutputTable[RecordedValue]))</f>
        <v>2504</v>
      </c>
    </row>
    <row r="535" spans="1:16" x14ac:dyDescent="0.25">
      <c r="A535" t="s">
        <v>68</v>
      </c>
      <c r="B535" t="s">
        <v>131</v>
      </c>
      <c r="C535">
        <v>32</v>
      </c>
      <c r="D535" t="s">
        <v>114</v>
      </c>
      <c r="E535" t="s">
        <v>109</v>
      </c>
      <c r="F535" t="s">
        <v>80</v>
      </c>
      <c r="G535">
        <v>329.836726530379</v>
      </c>
      <c r="H535">
        <v>0</v>
      </c>
      <c r="I535" t="str">
        <f>OutputTable[[#This Row],[ProjectName]]&amp;OutputTable[[#This Row],[Name]]&amp;OutputTable[[#This Row],[Type]]&amp;OutputTable[[#This Row],[Source]]</f>
        <v>PacientesRegistro Accum VA TimeAccum VA TimeProcess</v>
      </c>
      <c r="J535" cm="1">
        <f t="array" ref="J535">MAX(IF((ProjectInfoTable[ProjectName]=OutputTable[[#This Row],[ProjectName]]),(ProjectInfoTable[ProjectName]=OutputTable[[#This Row],[ProjectName]])*ProjectInfoTable[NumberOfReplications]))</f>
        <v>50</v>
      </c>
      <c r="K535" cm="1">
        <f t="array" ref="K535">IFERROR(AVERAGE(IF((OutputTable[GroupByKey]=OutputTable[[#This Row],[GroupByKey]]),(OutputTable[GroupByKey]=OutputTable[[#This Row],[GroupByKey]])*OutputTable[RecordedValue])),0)</f>
        <v>339.53547737062786</v>
      </c>
      <c r="L535" cm="1">
        <f t="array" ref="L535">IFERROR(_xlfn.STDEV.S(IF((OutputTable[GroupByKey]=OutputTable[[#This Row],[GroupByKey]]),(OutputTable[GroupByKey]=OutputTable[[#This Row],[GroupByKey]])*OutputTable[RecordedValue])),0)</f>
        <v>6.9723666109353193</v>
      </c>
      <c r="M53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535" cm="1">
        <f t="array" ref="O535">MIN(IF((OutputTable[GroupByKey]=OutputTable[[#This Row],[GroupByKey]]),(OutputTable[GroupByKey]=OutputTable[[#This Row],[GroupByKey]])*OutputTable[RecordedValue]))</f>
        <v>325.606879158418</v>
      </c>
      <c r="P535" cm="1">
        <f t="array" ref="P535">MAX(IF((OutputTable[GroupByKey]=OutputTable[[#This Row],[GroupByKey]]),(OutputTable[GroupByKey]=OutputTable[[#This Row],[GroupByKey]])*OutputTable[RecordedValue]))</f>
        <v>357.77609013379703</v>
      </c>
    </row>
    <row r="536" spans="1:16" x14ac:dyDescent="0.25">
      <c r="A536" t="s">
        <v>68</v>
      </c>
      <c r="B536" t="s">
        <v>131</v>
      </c>
      <c r="C536">
        <v>32</v>
      </c>
      <c r="D536" t="s">
        <v>115</v>
      </c>
      <c r="E536" t="s">
        <v>111</v>
      </c>
      <c r="F536" t="s">
        <v>80</v>
      </c>
      <c r="G536">
        <v>148.612229460951</v>
      </c>
      <c r="H536">
        <v>0</v>
      </c>
      <c r="I536" t="str">
        <f>OutputTable[[#This Row],[ProjectName]]&amp;OutputTable[[#This Row],[Name]]&amp;OutputTable[[#This Row],[Type]]&amp;OutputTable[[#This Row],[Source]]</f>
        <v>PacientesRegistro Accum Wait TimeAccum Wait TimeProcess</v>
      </c>
      <c r="J536" cm="1">
        <f t="array" ref="J536">MAX(IF((ProjectInfoTable[ProjectName]=OutputTable[[#This Row],[ProjectName]]),(ProjectInfoTable[ProjectName]=OutputTable[[#This Row],[ProjectName]])*ProjectInfoTable[NumberOfReplications]))</f>
        <v>50</v>
      </c>
      <c r="K536" cm="1">
        <f t="array" ref="K536">IFERROR(AVERAGE(IF((OutputTable[GroupByKey]=OutputTable[[#This Row],[GroupByKey]]),(OutputTable[GroupByKey]=OutputTable[[#This Row],[GroupByKey]])*OutputTable[RecordedValue])),0)</f>
        <v>154.15303898127775</v>
      </c>
      <c r="L536" cm="1">
        <f t="array" ref="L536">IFERROR(_xlfn.STDEV.S(IF((OutputTable[GroupByKey]=OutputTable[[#This Row],[GroupByKey]]),(OutputTable[GroupByKey]=OutputTable[[#This Row],[GroupByKey]])*OutputTable[RecordedValue])),0)</f>
        <v>12.141439184615397</v>
      </c>
      <c r="M536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536" cm="1">
        <f t="array" ref="O536">MIN(IF((OutputTable[GroupByKey]=OutputTable[[#This Row],[GroupByKey]]),(OutputTable[GroupByKey]=OutputTable[[#This Row],[GroupByKey]])*OutputTable[RecordedValue]))</f>
        <v>123.901613974094</v>
      </c>
      <c r="P536" cm="1">
        <f t="array" ref="P536">MAX(IF((OutputTable[GroupByKey]=OutputTable[[#This Row],[GroupByKey]]),(OutputTable[GroupByKey]=OutputTable[[#This Row],[GroupByKey]])*OutputTable[RecordedValue]))</f>
        <v>178.441307284473</v>
      </c>
    </row>
    <row r="537" spans="1:16" x14ac:dyDescent="0.25">
      <c r="A537" t="s">
        <v>68</v>
      </c>
      <c r="B537" t="s">
        <v>131</v>
      </c>
      <c r="C537">
        <v>32</v>
      </c>
      <c r="D537" t="s">
        <v>116</v>
      </c>
      <c r="E537" t="s">
        <v>105</v>
      </c>
      <c r="F537" t="s">
        <v>80</v>
      </c>
      <c r="G537">
        <v>2195</v>
      </c>
      <c r="H537">
        <v>0</v>
      </c>
      <c r="I537" t="str">
        <f>OutputTable[[#This Row],[ProjectName]]&amp;OutputTable[[#This Row],[Name]]&amp;OutputTable[[#This Row],[Type]]&amp;OutputTable[[#This Row],[Source]]</f>
        <v>PacientesRegistro Number InNumber InProcess</v>
      </c>
      <c r="J537" cm="1">
        <f t="array" ref="J537">MAX(IF((ProjectInfoTable[ProjectName]=OutputTable[[#This Row],[ProjectName]]),(ProjectInfoTable[ProjectName]=OutputTable[[#This Row],[ProjectName]])*ProjectInfoTable[NumberOfReplications]))</f>
        <v>50</v>
      </c>
      <c r="K537" cm="1">
        <f t="array" ref="K537">IFERROR(AVERAGE(IF((OutputTable[GroupByKey]=OutputTable[[#This Row],[GroupByKey]]),(OutputTable[GroupByKey]=OutputTable[[#This Row],[GroupByKey]])*OutputTable[RecordedValue])),0)</f>
        <v>2263.2399999999998</v>
      </c>
      <c r="L537" cm="1">
        <f t="array" ref="L537">IFERROR(_xlfn.STDEV.S(IF((OutputTable[GroupByKey]=OutputTable[[#This Row],[GroupByKey]]),(OutputTable[GroupByKey]=OutputTable[[#This Row],[GroupByKey]])*OutputTable[RecordedValue])),0)</f>
        <v>47.331035682472766</v>
      </c>
      <c r="M537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537" cm="1">
        <f t="array" ref="O537">MIN(IF((OutputTable[GroupByKey]=OutputTable[[#This Row],[GroupByKey]]),(OutputTable[GroupByKey]=OutputTable[[#This Row],[GroupByKey]])*OutputTable[RecordedValue]))</f>
        <v>2172</v>
      </c>
      <c r="P537" cm="1">
        <f t="array" ref="P537">MAX(IF((OutputTable[GroupByKey]=OutputTable[[#This Row],[GroupByKey]]),(OutputTable[GroupByKey]=OutputTable[[#This Row],[GroupByKey]])*OutputTable[RecordedValue]))</f>
        <v>2386</v>
      </c>
    </row>
    <row r="538" spans="1:16" x14ac:dyDescent="0.25">
      <c r="A538" t="s">
        <v>68</v>
      </c>
      <c r="B538" t="s">
        <v>131</v>
      </c>
      <c r="C538">
        <v>32</v>
      </c>
      <c r="D538" t="s">
        <v>117</v>
      </c>
      <c r="E538" t="s">
        <v>107</v>
      </c>
      <c r="F538" t="s">
        <v>80</v>
      </c>
      <c r="G538">
        <v>2192</v>
      </c>
      <c r="H538">
        <v>0</v>
      </c>
      <c r="I538" t="str">
        <f>OutputTable[[#This Row],[ProjectName]]&amp;OutputTable[[#This Row],[Name]]&amp;OutputTable[[#This Row],[Type]]&amp;OutputTable[[#This Row],[Source]]</f>
        <v>PacientesRegistro Number OutNumber OutProcess</v>
      </c>
      <c r="J538" cm="1">
        <f t="array" ref="J538">MAX(IF((ProjectInfoTable[ProjectName]=OutputTable[[#This Row],[ProjectName]]),(ProjectInfoTable[ProjectName]=OutputTable[[#This Row],[ProjectName]])*ProjectInfoTable[NumberOfReplications]))</f>
        <v>50</v>
      </c>
      <c r="K538" cm="1">
        <f t="array" ref="K538">IFERROR(AVERAGE(IF((OutputTable[GroupByKey]=OutputTable[[#This Row],[GroupByKey]]),(OutputTable[GroupByKey]=OutputTable[[#This Row],[GroupByKey]])*OutputTable[RecordedValue])),0)</f>
        <v>2262.66</v>
      </c>
      <c r="L538" cm="1">
        <f t="array" ref="L538">IFERROR(_xlfn.STDEV.S(IF((OutputTable[GroupByKey]=OutputTable[[#This Row],[GroupByKey]]),(OutputTable[GroupByKey]=OutputTable[[#This Row],[GroupByKey]])*OutputTable[RecordedValue])),0)</f>
        <v>47.488176831454687</v>
      </c>
      <c r="M538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538" cm="1">
        <f t="array" ref="O538">MIN(IF((OutputTable[GroupByKey]=OutputTable[[#This Row],[GroupByKey]]),(OutputTable[GroupByKey]=OutputTable[[#This Row],[GroupByKey]])*OutputTable[RecordedValue]))</f>
        <v>2171</v>
      </c>
      <c r="P538" cm="1">
        <f t="array" ref="P538">MAX(IF((OutputTable[GroupByKey]=OutputTable[[#This Row],[GroupByKey]]),(OutputTable[GroupByKey]=OutputTable[[#This Row],[GroupByKey]])*OutputTable[RecordedValue]))</f>
        <v>2386</v>
      </c>
    </row>
    <row r="539" spans="1:16" x14ac:dyDescent="0.25">
      <c r="A539" t="s">
        <v>68</v>
      </c>
      <c r="B539" t="s">
        <v>131</v>
      </c>
      <c r="C539">
        <v>32</v>
      </c>
      <c r="D539" t="s">
        <v>118</v>
      </c>
      <c r="E539" t="s">
        <v>107</v>
      </c>
      <c r="F539" t="s">
        <v>119</v>
      </c>
      <c r="G539">
        <v>2331</v>
      </c>
      <c r="H539">
        <v>0</v>
      </c>
      <c r="I539" t="str">
        <f>OutputTable[[#This Row],[ProjectName]]&amp;OutputTable[[#This Row],[Name]]&amp;OutputTable[[#This Row],[Type]]&amp;OutputTable[[#This Row],[Source]]</f>
        <v>PacientesSystem.NumberOutNumber OutSystem</v>
      </c>
      <c r="J539" cm="1">
        <f t="array" ref="J539">MAX(IF((ProjectInfoTable[ProjectName]=OutputTable[[#This Row],[ProjectName]]),(ProjectInfoTable[ProjectName]=OutputTable[[#This Row],[ProjectName]])*ProjectInfoTable[NumberOfReplications]))</f>
        <v>50</v>
      </c>
      <c r="K539" cm="1">
        <f t="array" ref="K539">IFERROR(AVERAGE(IF((OutputTable[GroupByKey]=OutputTable[[#This Row],[GroupByKey]]),(OutputTable[GroupByKey]=OutputTable[[#This Row],[GroupByKey]])*OutputTable[RecordedValue])),0)</f>
        <v>2400.2800000000002</v>
      </c>
      <c r="L539" cm="1">
        <f t="array" ref="L539">IFERROR(_xlfn.STDEV.S(IF((OutputTable[GroupByKey]=OutputTable[[#This Row],[GroupByKey]]),(OutputTable[GroupByKey]=OutputTable[[#This Row],[GroupByKey]])*OutputTable[RecordedValue])),0)</f>
        <v>46.409024456676619</v>
      </c>
      <c r="M539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39" cm="1">
        <f t="array" ref="O539">MIN(IF((OutputTable[GroupByKey]=OutputTable[[#This Row],[GroupByKey]]),(OutputTable[GroupByKey]=OutputTable[[#This Row],[GroupByKey]])*OutputTable[RecordedValue]))</f>
        <v>2305</v>
      </c>
      <c r="P539" cm="1">
        <f t="array" ref="P539">MAX(IF((OutputTable[GroupByKey]=OutputTable[[#This Row],[GroupByKey]]),(OutputTable[GroupByKey]=OutputTable[[#This Row],[GroupByKey]])*OutputTable[RecordedValue]))</f>
        <v>2504</v>
      </c>
    </row>
    <row r="540" spans="1:16" x14ac:dyDescent="0.25">
      <c r="A540" t="s">
        <v>68</v>
      </c>
      <c r="B540" t="s">
        <v>131</v>
      </c>
      <c r="C540">
        <v>32</v>
      </c>
      <c r="D540" t="s">
        <v>120</v>
      </c>
      <c r="E540" t="s">
        <v>121</v>
      </c>
      <c r="F540" t="s">
        <v>99</v>
      </c>
      <c r="G540">
        <v>2333</v>
      </c>
      <c r="H540">
        <v>0</v>
      </c>
      <c r="I540" t="str">
        <f>OutputTable[[#This Row],[ProjectName]]&amp;OutputTable[[#This Row],[Name]]&amp;OutputTable[[#This Row],[Type]]&amp;OutputTable[[#This Row],[Source]]</f>
        <v>PacientesrCamas.NumberSeizedTotal Number SeizedResource</v>
      </c>
      <c r="J540" cm="1">
        <f t="array" ref="J540">MAX(IF((ProjectInfoTable[ProjectName]=OutputTable[[#This Row],[ProjectName]]),(ProjectInfoTable[ProjectName]=OutputTable[[#This Row],[ProjectName]])*ProjectInfoTable[NumberOfReplications]))</f>
        <v>50</v>
      </c>
      <c r="K540" cm="1">
        <f t="array" ref="K540">IFERROR(AVERAGE(IF((OutputTable[GroupByKey]=OutputTable[[#This Row],[GroupByKey]]),(OutputTable[GroupByKey]=OutputTable[[#This Row],[GroupByKey]])*OutputTable[RecordedValue])),0)</f>
        <v>2401.9</v>
      </c>
      <c r="L540" cm="1">
        <f t="array" ref="L540">IFERROR(_xlfn.STDEV.S(IF((OutputTable[GroupByKey]=OutputTable[[#This Row],[GroupByKey]]),(OutputTable[GroupByKey]=OutputTable[[#This Row],[GroupByKey]])*OutputTable[RecordedValue])),0)</f>
        <v>46.417031532903209</v>
      </c>
      <c r="M540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40" cm="1">
        <f t="array" ref="O540">MIN(IF((OutputTable[GroupByKey]=OutputTable[[#This Row],[GroupByKey]]),(OutputTable[GroupByKey]=OutputTable[[#This Row],[GroupByKey]])*OutputTable[RecordedValue]))</f>
        <v>2306</v>
      </c>
      <c r="P540" cm="1">
        <f t="array" ref="P540">MAX(IF((OutputTable[GroupByKey]=OutputTable[[#This Row],[GroupByKey]]),(OutputTable[GroupByKey]=OutputTable[[#This Row],[GroupByKey]])*OutputTable[RecordedValue]))</f>
        <v>2506</v>
      </c>
    </row>
    <row r="541" spans="1:16" x14ac:dyDescent="0.25">
      <c r="A541" t="s">
        <v>68</v>
      </c>
      <c r="B541" t="s">
        <v>131</v>
      </c>
      <c r="C541">
        <v>32</v>
      </c>
      <c r="D541" t="s">
        <v>122</v>
      </c>
      <c r="E541" t="s">
        <v>123</v>
      </c>
      <c r="F541" t="s">
        <v>99</v>
      </c>
      <c r="G541">
        <v>0.54334923049978201</v>
      </c>
      <c r="H541">
        <v>0</v>
      </c>
      <c r="I541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541" cm="1">
        <f t="array" ref="J541">MAX(IF((ProjectInfoTable[ProjectName]=OutputTable[[#This Row],[ProjectName]]),(ProjectInfoTable[ProjectName]=OutputTable[[#This Row],[ProjectName]])*ProjectInfoTable[NumberOfReplications]))</f>
        <v>50</v>
      </c>
      <c r="K541" cm="1">
        <f t="array" ref="K541">IFERROR(AVERAGE(IF((OutputTable[GroupByKey]=OutputTable[[#This Row],[GroupByKey]]),(OutputTable[GroupByKey]=OutputTable[[#This Row],[GroupByKey]])*OutputTable[RecordedValue])),0)</f>
        <v>0.54703961359050601</v>
      </c>
      <c r="L541" cm="1">
        <f t="array" ref="L541">IFERROR(_xlfn.STDEV.S(IF((OutputTable[GroupByKey]=OutputTable[[#This Row],[GroupByKey]]),(OutputTable[GroupByKey]=OutputTable[[#This Row],[GroupByKey]])*OutputTable[RecordedValue])),0)</f>
        <v>1.0221170008030479E-2</v>
      </c>
      <c r="M541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541" cm="1">
        <f t="array" ref="O541">MIN(IF((OutputTable[GroupByKey]=OutputTable[[#This Row],[GroupByKey]]),(OutputTable[GroupByKey]=OutputTable[[#This Row],[GroupByKey]])*OutputTable[RecordedValue]))</f>
        <v>0.52470641844357901</v>
      </c>
      <c r="P541" cm="1">
        <f t="array" ref="P541">MAX(IF((OutputTable[GroupByKey]=OutputTable[[#This Row],[GroupByKey]]),(OutputTable[GroupByKey]=OutputTable[[#This Row],[GroupByKey]])*OutputTable[RecordedValue]))</f>
        <v>0.57005812966092295</v>
      </c>
    </row>
    <row r="542" spans="1:16" x14ac:dyDescent="0.25">
      <c r="A542" t="s">
        <v>68</v>
      </c>
      <c r="B542" t="s">
        <v>131</v>
      </c>
      <c r="C542">
        <v>32</v>
      </c>
      <c r="D542" t="s">
        <v>124</v>
      </c>
      <c r="E542" t="s">
        <v>121</v>
      </c>
      <c r="F542" t="s">
        <v>99</v>
      </c>
      <c r="G542">
        <v>2333</v>
      </c>
      <c r="H542">
        <v>0</v>
      </c>
      <c r="I542" t="str">
        <f>OutputTable[[#This Row],[ProjectName]]&amp;OutputTable[[#This Row],[Name]]&amp;OutputTable[[#This Row],[Type]]&amp;OutputTable[[#This Row],[Source]]</f>
        <v>PacientesrMedico.NumberSeizedTotal Number SeizedResource</v>
      </c>
      <c r="J542" cm="1">
        <f t="array" ref="J542">MAX(IF((ProjectInfoTable[ProjectName]=OutputTable[[#This Row],[ProjectName]]),(ProjectInfoTable[ProjectName]=OutputTable[[#This Row],[ProjectName]])*ProjectInfoTable[NumberOfReplications]))</f>
        <v>50</v>
      </c>
      <c r="K542" cm="1">
        <f t="array" ref="K542">IFERROR(AVERAGE(IF((OutputTable[GroupByKey]=OutputTable[[#This Row],[GroupByKey]]),(OutputTable[GroupByKey]=OutputTable[[#This Row],[GroupByKey]])*OutputTable[RecordedValue])),0)</f>
        <v>2401.9</v>
      </c>
      <c r="L542" cm="1">
        <f t="array" ref="L542">IFERROR(_xlfn.STDEV.S(IF((OutputTable[GroupByKey]=OutputTable[[#This Row],[GroupByKey]]),(OutputTable[GroupByKey]=OutputTable[[#This Row],[GroupByKey]])*OutputTable[RecordedValue])),0)</f>
        <v>46.417031532903209</v>
      </c>
      <c r="M542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42" cm="1">
        <f t="array" ref="O542">MIN(IF((OutputTable[GroupByKey]=OutputTable[[#This Row],[GroupByKey]]),(OutputTable[GroupByKey]=OutputTable[[#This Row],[GroupByKey]])*OutputTable[RecordedValue]))</f>
        <v>2306</v>
      </c>
      <c r="P542" cm="1">
        <f t="array" ref="P542">MAX(IF((OutputTable[GroupByKey]=OutputTable[[#This Row],[GroupByKey]]),(OutputTable[GroupByKey]=OutputTable[[#This Row],[GroupByKey]])*OutputTable[RecordedValue]))</f>
        <v>2506</v>
      </c>
    </row>
    <row r="543" spans="1:16" x14ac:dyDescent="0.25">
      <c r="A543" t="s">
        <v>68</v>
      </c>
      <c r="B543" t="s">
        <v>131</v>
      </c>
      <c r="C543">
        <v>32</v>
      </c>
      <c r="D543" t="s">
        <v>125</v>
      </c>
      <c r="E543" t="s">
        <v>123</v>
      </c>
      <c r="F543" t="s">
        <v>99</v>
      </c>
      <c r="G543">
        <v>0.81502384574967301</v>
      </c>
      <c r="H543">
        <v>0</v>
      </c>
      <c r="I543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543" cm="1">
        <f t="array" ref="J543">MAX(IF((ProjectInfoTable[ProjectName]=OutputTable[[#This Row],[ProjectName]]),(ProjectInfoTable[ProjectName]=OutputTable[[#This Row],[ProjectName]])*ProjectInfoTable[NumberOfReplications]))</f>
        <v>50</v>
      </c>
      <c r="K543" cm="1">
        <f t="array" ref="K543">IFERROR(AVERAGE(IF((OutputTable[GroupByKey]=OutputTable[[#This Row],[GroupByKey]]),(OutputTable[GroupByKey]=OutputTable[[#This Row],[GroupByKey]])*OutputTable[RecordedValue])),0)</f>
        <v>0.82055942038575935</v>
      </c>
      <c r="L543" cm="1">
        <f t="array" ref="L543">IFERROR(_xlfn.STDEV.S(IF((OutputTable[GroupByKey]=OutputTable[[#This Row],[GroupByKey]]),(OutputTable[GroupByKey]=OutputTable[[#This Row],[GroupByKey]])*OutputTable[RecordedValue])),0)</f>
        <v>1.5331755012045719E-2</v>
      </c>
      <c r="M543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543" cm="1">
        <f t="array" ref="O543">MIN(IF((OutputTable[GroupByKey]=OutputTable[[#This Row],[GroupByKey]]),(OutputTable[GroupByKey]=OutputTable[[#This Row],[GroupByKey]])*OutputTable[RecordedValue]))</f>
        <v>0.78705962766536897</v>
      </c>
      <c r="P543" cm="1">
        <f t="array" ref="P543">MAX(IF((OutputTable[GroupByKey]=OutputTable[[#This Row],[GroupByKey]]),(OutputTable[GroupByKey]=OutputTable[[#This Row],[GroupByKey]])*OutputTable[RecordedValue]))</f>
        <v>0.85508719449138504</v>
      </c>
    </row>
    <row r="544" spans="1:16" x14ac:dyDescent="0.25">
      <c r="A544" t="s">
        <v>68</v>
      </c>
      <c r="B544" t="s">
        <v>131</v>
      </c>
      <c r="C544">
        <v>32</v>
      </c>
      <c r="D544" t="s">
        <v>126</v>
      </c>
      <c r="E544" t="s">
        <v>121</v>
      </c>
      <c r="F544" t="s">
        <v>99</v>
      </c>
      <c r="G544">
        <v>2193</v>
      </c>
      <c r="H544">
        <v>0</v>
      </c>
      <c r="I544" t="str">
        <f>OutputTable[[#This Row],[ProjectName]]&amp;OutputTable[[#This Row],[Name]]&amp;OutputTable[[#This Row],[Type]]&amp;OutputTable[[#This Row],[Source]]</f>
        <v>PacientesrRegistradora.NumberSeizedTotal Number SeizedResource</v>
      </c>
      <c r="J544" cm="1">
        <f t="array" ref="J544">MAX(IF((ProjectInfoTable[ProjectName]=OutputTable[[#This Row],[ProjectName]]),(ProjectInfoTable[ProjectName]=OutputTable[[#This Row],[ProjectName]])*ProjectInfoTable[NumberOfReplications]))</f>
        <v>50</v>
      </c>
      <c r="K544" cm="1">
        <f t="array" ref="K544">IFERROR(AVERAGE(IF((OutputTable[GroupByKey]=OutputTable[[#This Row],[GroupByKey]]),(OutputTable[GroupByKey]=OutputTable[[#This Row],[GroupByKey]])*OutputTable[RecordedValue])),0)</f>
        <v>2263.14</v>
      </c>
      <c r="L544" cm="1">
        <f t="array" ref="L544">IFERROR(_xlfn.STDEV.S(IF((OutputTable[GroupByKey]=OutputTable[[#This Row],[GroupByKey]]),(OutputTable[GroupByKey]=OutputTable[[#This Row],[GroupByKey]])*OutputTable[RecordedValue])),0)</f>
        <v>47.386818971575821</v>
      </c>
      <c r="M544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544" cm="1">
        <f t="array" ref="O544">MIN(IF((OutputTable[GroupByKey]=OutputTable[[#This Row],[GroupByKey]]),(OutputTable[GroupByKey]=OutputTable[[#This Row],[GroupByKey]])*OutputTable[RecordedValue]))</f>
        <v>2172</v>
      </c>
      <c r="P544" cm="1">
        <f t="array" ref="P544">MAX(IF((OutputTable[GroupByKey]=OutputTable[[#This Row],[GroupByKey]]),(OutputTable[GroupByKey]=OutputTable[[#This Row],[GroupByKey]])*OutputTable[RecordedValue]))</f>
        <v>2386</v>
      </c>
    </row>
    <row r="545" spans="1:16" x14ac:dyDescent="0.25">
      <c r="A545" t="s">
        <v>68</v>
      </c>
      <c r="B545" t="s">
        <v>131</v>
      </c>
      <c r="C545">
        <v>32</v>
      </c>
      <c r="D545" t="s">
        <v>127</v>
      </c>
      <c r="E545" t="s">
        <v>123</v>
      </c>
      <c r="F545" t="s">
        <v>99</v>
      </c>
      <c r="G545">
        <v>0.45828999938777898</v>
      </c>
      <c r="H545">
        <v>0</v>
      </c>
      <c r="I545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545" cm="1">
        <f t="array" ref="J545">MAX(IF((ProjectInfoTable[ProjectName]=OutputTable[[#This Row],[ProjectName]]),(ProjectInfoTable[ProjectName]=OutputTable[[#This Row],[ProjectName]])*ProjectInfoTable[NumberOfReplications]))</f>
        <v>50</v>
      </c>
      <c r="K545" cm="1">
        <f t="array" ref="K545">IFERROR(AVERAGE(IF((OutputTable[GroupByKey]=OutputTable[[#This Row],[GroupByKey]]),(OutputTable[GroupByKey]=OutputTable[[#This Row],[GroupByKey]])*OutputTable[RecordedValue])),0)</f>
        <v>0.47162762933545666</v>
      </c>
      <c r="L545" cm="1">
        <f t="array" ref="L545">IFERROR(_xlfn.STDEV.S(IF((OutputTable[GroupByKey]=OutputTable[[#This Row],[GroupByKey]]),(OutputTable[GroupByKey]=OutputTable[[#This Row],[GroupByKey]])*OutputTable[RecordedValue])),0)</f>
        <v>9.6615227076777797E-3</v>
      </c>
      <c r="M54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545" cm="1">
        <f t="array" ref="O545">MIN(IF((OutputTable[GroupByKey]=OutputTable[[#This Row],[GroupByKey]]),(OutputTable[GroupByKey]=OutputTable[[#This Row],[GroupByKey]])*OutputTable[RecordedValue]))</f>
        <v>0.452397944183905</v>
      </c>
      <c r="P545" cm="1">
        <f t="array" ref="P545">MAX(IF((OutputTable[GroupByKey]=OutputTable[[#This Row],[GroupByKey]]),(OutputTable[GroupByKey]=OutputTable[[#This Row],[GroupByKey]])*OutputTable[RecordedValue]))</f>
        <v>0.49691123629694001</v>
      </c>
    </row>
    <row r="546" spans="1:16" x14ac:dyDescent="0.25">
      <c r="A546" t="s">
        <v>68</v>
      </c>
      <c r="B546" t="s">
        <v>131</v>
      </c>
      <c r="C546">
        <v>33</v>
      </c>
      <c r="D546" t="s">
        <v>104</v>
      </c>
      <c r="E546" t="s">
        <v>105</v>
      </c>
      <c r="F546" t="s">
        <v>72</v>
      </c>
      <c r="G546">
        <v>2416</v>
      </c>
      <c r="H546">
        <v>0</v>
      </c>
      <c r="I546" t="str">
        <f>OutputTable[[#This Row],[ProjectName]]&amp;OutputTable[[#This Row],[Name]]&amp;OutputTable[[#This Row],[Type]]&amp;OutputTable[[#This Row],[Source]]</f>
        <v>PacientesEntity 1.NumberInNumber InEntity</v>
      </c>
      <c r="J546" cm="1">
        <f t="array" ref="J546">MAX(IF((ProjectInfoTable[ProjectName]=OutputTable[[#This Row],[ProjectName]]),(ProjectInfoTable[ProjectName]=OutputTable[[#This Row],[ProjectName]])*ProjectInfoTable[NumberOfReplications]))</f>
        <v>50</v>
      </c>
      <c r="K546" cm="1">
        <f t="array" ref="K546">IFERROR(AVERAGE(IF((OutputTable[GroupByKey]=OutputTable[[#This Row],[GroupByKey]]),(OutputTable[GroupByKey]=OutputTable[[#This Row],[GroupByKey]])*OutputTable[RecordedValue])),0)</f>
        <v>2404.8200000000002</v>
      </c>
      <c r="L546" cm="1">
        <f t="array" ref="L546">IFERROR(_xlfn.STDEV.S(IF((OutputTable[GroupByKey]=OutputTable[[#This Row],[GroupByKey]]),(OutputTable[GroupByKey]=OutputTable[[#This Row],[GroupByKey]])*OutputTable[RecordedValue])),0)</f>
        <v>46.42953405595474</v>
      </c>
      <c r="M546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546" cm="1">
        <f t="array" ref="O546">MIN(IF((OutputTable[GroupByKey]=OutputTable[[#This Row],[GroupByKey]]),(OutputTable[GroupByKey]=OutputTable[[#This Row],[GroupByKey]])*OutputTable[RecordedValue]))</f>
        <v>2307</v>
      </c>
      <c r="P546" cm="1">
        <f t="array" ref="P546">MAX(IF((OutputTable[GroupByKey]=OutputTable[[#This Row],[GroupByKey]]),(OutputTable[GroupByKey]=OutputTable[[#This Row],[GroupByKey]])*OutputTable[RecordedValue]))</f>
        <v>2518</v>
      </c>
    </row>
    <row r="547" spans="1:16" x14ac:dyDescent="0.25">
      <c r="A547" t="s">
        <v>68</v>
      </c>
      <c r="B547" t="s">
        <v>131</v>
      </c>
      <c r="C547">
        <v>33</v>
      </c>
      <c r="D547" t="s">
        <v>106</v>
      </c>
      <c r="E547" t="s">
        <v>107</v>
      </c>
      <c r="F547" t="s">
        <v>72</v>
      </c>
      <c r="G547">
        <v>2414</v>
      </c>
      <c r="H547">
        <v>0</v>
      </c>
      <c r="I547" t="str">
        <f>OutputTable[[#This Row],[ProjectName]]&amp;OutputTable[[#This Row],[Name]]&amp;OutputTable[[#This Row],[Type]]&amp;OutputTable[[#This Row],[Source]]</f>
        <v>PacientesEntity 1.NumberOutNumber OutEntity</v>
      </c>
      <c r="J547" cm="1">
        <f t="array" ref="J547">MAX(IF((ProjectInfoTable[ProjectName]=OutputTable[[#This Row],[ProjectName]]),(ProjectInfoTable[ProjectName]=OutputTable[[#This Row],[ProjectName]])*ProjectInfoTable[NumberOfReplications]))</f>
        <v>50</v>
      </c>
      <c r="K547" cm="1">
        <f t="array" ref="K547">IFERROR(AVERAGE(IF((OutputTable[GroupByKey]=OutputTable[[#This Row],[GroupByKey]]),(OutputTable[GroupByKey]=OutputTable[[#This Row],[GroupByKey]])*OutputTable[RecordedValue])),0)</f>
        <v>2400.2800000000002</v>
      </c>
      <c r="L547" cm="1">
        <f t="array" ref="L547">IFERROR(_xlfn.STDEV.S(IF((OutputTable[GroupByKey]=OutputTable[[#This Row],[GroupByKey]]),(OutputTable[GroupByKey]=OutputTable[[#This Row],[GroupByKey]])*OutputTable[RecordedValue])),0)</f>
        <v>46.409024456676619</v>
      </c>
      <c r="M547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47" cm="1">
        <f t="array" ref="O547">MIN(IF((OutputTable[GroupByKey]=OutputTable[[#This Row],[GroupByKey]]),(OutputTable[GroupByKey]=OutputTable[[#This Row],[GroupByKey]])*OutputTable[RecordedValue]))</f>
        <v>2305</v>
      </c>
      <c r="P547" cm="1">
        <f t="array" ref="P547">MAX(IF((OutputTable[GroupByKey]=OutputTable[[#This Row],[GroupByKey]]),(OutputTable[GroupByKey]=OutputTable[[#This Row],[GroupByKey]])*OutputTable[RecordedValue]))</f>
        <v>2504</v>
      </c>
    </row>
    <row r="548" spans="1:16" x14ac:dyDescent="0.25">
      <c r="A548" t="s">
        <v>68</v>
      </c>
      <c r="B548" t="s">
        <v>131</v>
      </c>
      <c r="C548">
        <v>33</v>
      </c>
      <c r="D548" t="s">
        <v>108</v>
      </c>
      <c r="E548" t="s">
        <v>109</v>
      </c>
      <c r="F548" t="s">
        <v>80</v>
      </c>
      <c r="G548">
        <v>1190.80805071185</v>
      </c>
      <c r="H548">
        <v>0</v>
      </c>
      <c r="I548" t="str">
        <f>OutputTable[[#This Row],[ProjectName]]&amp;OutputTable[[#This Row],[Name]]&amp;OutputTable[[#This Row],[Type]]&amp;OutputTable[[#This Row],[Source]]</f>
        <v>PacientesProcess 2 Accum VA TimeAccum VA TimeProcess</v>
      </c>
      <c r="J548" cm="1">
        <f t="array" ref="J548">MAX(IF((ProjectInfoTable[ProjectName]=OutputTable[[#This Row],[ProjectName]]),(ProjectInfoTable[ProjectName]=OutputTable[[#This Row],[ProjectName]])*ProjectInfoTable[NumberOfReplications]))</f>
        <v>50</v>
      </c>
      <c r="K548" cm="1">
        <f t="array" ref="K548">IFERROR(AVERAGE(IF((OutputTable[GroupByKey]=OutputTable[[#This Row],[GroupByKey]]),(OutputTable[GroupByKey]=OutputTable[[#This Row],[GroupByKey]])*OutputTable[RecordedValue])),0)</f>
        <v>1181.1234936767919</v>
      </c>
      <c r="L548" cm="1">
        <f t="array" ref="L548">IFERROR(_xlfn.STDEV.S(IF((OutputTable[GroupByKey]=OutputTable[[#This Row],[GroupByKey]]),(OutputTable[GroupByKey]=OutputTable[[#This Row],[GroupByKey]])*OutputTable[RecordedValue])),0)</f>
        <v>22.169313666927575</v>
      </c>
      <c r="M548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548" cm="1">
        <f t="array" ref="O548">MIN(IF((OutputTable[GroupByKey]=OutputTable[[#This Row],[GroupByKey]]),(OutputTable[GroupByKey]=OutputTable[[#This Row],[GroupByKey]])*OutputTable[RecordedValue]))</f>
        <v>1133.24622318414</v>
      </c>
      <c r="P548" cm="1">
        <f t="array" ref="P548">MAX(IF((OutputTable[GroupByKey]=OutputTable[[#This Row],[GroupByKey]]),(OutputTable[GroupByKey]=OutputTable[[#This Row],[GroupByKey]])*OutputTable[RecordedValue]))</f>
        <v>1230.9493287309799</v>
      </c>
    </row>
    <row r="549" spans="1:16" x14ac:dyDescent="0.25">
      <c r="A549" t="s">
        <v>68</v>
      </c>
      <c r="B549" t="s">
        <v>131</v>
      </c>
      <c r="C549">
        <v>33</v>
      </c>
      <c r="D549" t="s">
        <v>110</v>
      </c>
      <c r="E549" t="s">
        <v>111</v>
      </c>
      <c r="F549" t="s">
        <v>80</v>
      </c>
      <c r="G549">
        <v>1689.7463055396399</v>
      </c>
      <c r="H549">
        <v>0</v>
      </c>
      <c r="I549" t="str">
        <f>OutputTable[[#This Row],[ProjectName]]&amp;OutputTable[[#This Row],[Name]]&amp;OutputTable[[#This Row],[Type]]&amp;OutputTable[[#This Row],[Source]]</f>
        <v>PacientesProcess 2 Accum Wait TimeAccum Wait TimeProcess</v>
      </c>
      <c r="J549" cm="1">
        <f t="array" ref="J549">MAX(IF((ProjectInfoTable[ProjectName]=OutputTable[[#This Row],[ProjectName]]),(ProjectInfoTable[ProjectName]=OutputTable[[#This Row],[ProjectName]])*ProjectInfoTable[NumberOfReplications]))</f>
        <v>50</v>
      </c>
      <c r="K549" cm="1">
        <f t="array" ref="K549">IFERROR(AVERAGE(IF((OutputTable[GroupByKey]=OutputTable[[#This Row],[GroupByKey]]),(OutputTable[GroupByKey]=OutputTable[[#This Row],[GroupByKey]])*OutputTable[RecordedValue])),0)</f>
        <v>1938.7515507466894</v>
      </c>
      <c r="L549" cm="1">
        <f t="array" ref="L549">IFERROR(_xlfn.STDEV.S(IF((OutputTable[GroupByKey]=OutputTable[[#This Row],[GroupByKey]]),(OutputTable[GroupByKey]=OutputTable[[#This Row],[GroupByKey]])*OutputTable[RecordedValue])),0)</f>
        <v>534.03396241838232</v>
      </c>
      <c r="M549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549" cm="1">
        <f t="array" ref="O549">MIN(IF((OutputTable[GroupByKey]=OutputTable[[#This Row],[GroupByKey]]),(OutputTable[GroupByKey]=OutputTable[[#This Row],[GroupByKey]])*OutputTable[RecordedValue]))</f>
        <v>1234.7567994731401</v>
      </c>
      <c r="P549" cm="1">
        <f t="array" ref="P549">MAX(IF((OutputTable[GroupByKey]=OutputTable[[#This Row],[GroupByKey]]),(OutputTable[GroupByKey]=OutputTable[[#This Row],[GroupByKey]])*OutputTable[RecordedValue]))</f>
        <v>3269.0858002883801</v>
      </c>
    </row>
    <row r="550" spans="1:16" x14ac:dyDescent="0.25">
      <c r="A550" t="s">
        <v>68</v>
      </c>
      <c r="B550" t="s">
        <v>131</v>
      </c>
      <c r="C550">
        <v>33</v>
      </c>
      <c r="D550" t="s">
        <v>112</v>
      </c>
      <c r="E550" t="s">
        <v>105</v>
      </c>
      <c r="F550" t="s">
        <v>80</v>
      </c>
      <c r="G550">
        <v>2415</v>
      </c>
      <c r="H550">
        <v>0</v>
      </c>
      <c r="I550" t="str">
        <f>OutputTable[[#This Row],[ProjectName]]&amp;OutputTable[[#This Row],[Name]]&amp;OutputTable[[#This Row],[Type]]&amp;OutputTable[[#This Row],[Source]]</f>
        <v>PacientesProcess 2 Number InNumber InProcess</v>
      </c>
      <c r="J550" cm="1">
        <f t="array" ref="J550">MAX(IF((ProjectInfoTable[ProjectName]=OutputTable[[#This Row],[ProjectName]]),(ProjectInfoTable[ProjectName]=OutputTable[[#This Row],[ProjectName]])*ProjectInfoTable[NumberOfReplications]))</f>
        <v>50</v>
      </c>
      <c r="K550" cm="1">
        <f t="array" ref="K550">IFERROR(AVERAGE(IF((OutputTable[GroupByKey]=OutputTable[[#This Row],[GroupByKey]]),(OutputTable[GroupByKey]=OutputTable[[#This Row],[GroupByKey]])*OutputTable[RecordedValue])),0)</f>
        <v>2404.2399999999998</v>
      </c>
      <c r="L550" cm="1">
        <f t="array" ref="L550">IFERROR(_xlfn.STDEV.S(IF((OutputTable[GroupByKey]=OutputTable[[#This Row],[GroupByKey]]),(OutputTable[GroupByKey]=OutputTable[[#This Row],[GroupByKey]])*OutputTable[RecordedValue])),0)</f>
        <v>46.574303154053879</v>
      </c>
      <c r="M550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550" cm="1">
        <f t="array" ref="O550">MIN(IF((OutputTable[GroupByKey]=OutputTable[[#This Row],[GroupByKey]]),(OutputTable[GroupByKey]=OutputTable[[#This Row],[GroupByKey]])*OutputTable[RecordedValue]))</f>
        <v>2306</v>
      </c>
      <c r="P550" cm="1">
        <f t="array" ref="P550">MAX(IF((OutputTable[GroupByKey]=OutputTable[[#This Row],[GroupByKey]]),(OutputTable[GroupByKey]=OutputTable[[#This Row],[GroupByKey]])*OutputTable[RecordedValue]))</f>
        <v>2518</v>
      </c>
    </row>
    <row r="551" spans="1:16" x14ac:dyDescent="0.25">
      <c r="A551" t="s">
        <v>68</v>
      </c>
      <c r="B551" t="s">
        <v>131</v>
      </c>
      <c r="C551">
        <v>33</v>
      </c>
      <c r="D551" t="s">
        <v>113</v>
      </c>
      <c r="E551" t="s">
        <v>107</v>
      </c>
      <c r="F551" t="s">
        <v>80</v>
      </c>
      <c r="G551">
        <v>2414</v>
      </c>
      <c r="H551">
        <v>0</v>
      </c>
      <c r="I551" t="str">
        <f>OutputTable[[#This Row],[ProjectName]]&amp;OutputTable[[#This Row],[Name]]&amp;OutputTable[[#This Row],[Type]]&amp;OutputTable[[#This Row],[Source]]</f>
        <v>PacientesProcess 2 Number OutNumber OutProcess</v>
      </c>
      <c r="J551" cm="1">
        <f t="array" ref="J551">MAX(IF((ProjectInfoTable[ProjectName]=OutputTable[[#This Row],[ProjectName]]),(ProjectInfoTable[ProjectName]=OutputTable[[#This Row],[ProjectName]])*ProjectInfoTable[NumberOfReplications]))</f>
        <v>50</v>
      </c>
      <c r="K551" cm="1">
        <f t="array" ref="K551">IFERROR(AVERAGE(IF((OutputTable[GroupByKey]=OutputTable[[#This Row],[GroupByKey]]),(OutputTable[GroupByKey]=OutputTable[[#This Row],[GroupByKey]])*OutputTable[RecordedValue])),0)</f>
        <v>2400.2800000000002</v>
      </c>
      <c r="L551" cm="1">
        <f t="array" ref="L551">IFERROR(_xlfn.STDEV.S(IF((OutputTable[GroupByKey]=OutputTable[[#This Row],[GroupByKey]]),(OutputTable[GroupByKey]=OutputTable[[#This Row],[GroupByKey]])*OutputTable[RecordedValue])),0)</f>
        <v>46.409024456676619</v>
      </c>
      <c r="M551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51" cm="1">
        <f t="array" ref="O551">MIN(IF((OutputTable[GroupByKey]=OutputTable[[#This Row],[GroupByKey]]),(OutputTable[GroupByKey]=OutputTable[[#This Row],[GroupByKey]])*OutputTable[RecordedValue]))</f>
        <v>2305</v>
      </c>
      <c r="P551" cm="1">
        <f t="array" ref="P551">MAX(IF((OutputTable[GroupByKey]=OutputTable[[#This Row],[GroupByKey]]),(OutputTable[GroupByKey]=OutputTable[[#This Row],[GroupByKey]])*OutputTable[RecordedValue]))</f>
        <v>2504</v>
      </c>
    </row>
    <row r="552" spans="1:16" x14ac:dyDescent="0.25">
      <c r="A552" t="s">
        <v>68</v>
      </c>
      <c r="B552" t="s">
        <v>131</v>
      </c>
      <c r="C552">
        <v>33</v>
      </c>
      <c r="D552" t="s">
        <v>114</v>
      </c>
      <c r="E552" t="s">
        <v>109</v>
      </c>
      <c r="F552" t="s">
        <v>80</v>
      </c>
      <c r="G552">
        <v>340.73088473047801</v>
      </c>
      <c r="H552">
        <v>0</v>
      </c>
      <c r="I552" t="str">
        <f>OutputTable[[#This Row],[ProjectName]]&amp;OutputTable[[#This Row],[Name]]&amp;OutputTable[[#This Row],[Type]]&amp;OutputTable[[#This Row],[Source]]</f>
        <v>PacientesRegistro Accum VA TimeAccum VA TimeProcess</v>
      </c>
      <c r="J552" cm="1">
        <f t="array" ref="J552">MAX(IF((ProjectInfoTable[ProjectName]=OutputTable[[#This Row],[ProjectName]]),(ProjectInfoTable[ProjectName]=OutputTable[[#This Row],[ProjectName]])*ProjectInfoTable[NumberOfReplications]))</f>
        <v>50</v>
      </c>
      <c r="K552" cm="1">
        <f t="array" ref="K552">IFERROR(AVERAGE(IF((OutputTable[GroupByKey]=OutputTable[[#This Row],[GroupByKey]]),(OutputTable[GroupByKey]=OutputTable[[#This Row],[GroupByKey]])*OutputTable[RecordedValue])),0)</f>
        <v>339.53547737062786</v>
      </c>
      <c r="L552" cm="1">
        <f t="array" ref="L552">IFERROR(_xlfn.STDEV.S(IF((OutputTable[GroupByKey]=OutputTable[[#This Row],[GroupByKey]]),(OutputTable[GroupByKey]=OutputTable[[#This Row],[GroupByKey]])*OutputTable[RecordedValue])),0)</f>
        <v>6.9723666109353193</v>
      </c>
      <c r="M552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552" cm="1">
        <f t="array" ref="O552">MIN(IF((OutputTable[GroupByKey]=OutputTable[[#This Row],[GroupByKey]]),(OutputTable[GroupByKey]=OutputTable[[#This Row],[GroupByKey]])*OutputTable[RecordedValue]))</f>
        <v>325.606879158418</v>
      </c>
      <c r="P552" cm="1">
        <f t="array" ref="P552">MAX(IF((OutputTable[GroupByKey]=OutputTable[[#This Row],[GroupByKey]]),(OutputTable[GroupByKey]=OutputTable[[#This Row],[GroupByKey]])*OutputTable[RecordedValue]))</f>
        <v>357.77609013379703</v>
      </c>
    </row>
    <row r="553" spans="1:16" x14ac:dyDescent="0.25">
      <c r="A553" t="s">
        <v>68</v>
      </c>
      <c r="B553" t="s">
        <v>131</v>
      </c>
      <c r="C553">
        <v>33</v>
      </c>
      <c r="D553" t="s">
        <v>115</v>
      </c>
      <c r="E553" t="s">
        <v>111</v>
      </c>
      <c r="F553" t="s">
        <v>80</v>
      </c>
      <c r="G553">
        <v>148.98505286074001</v>
      </c>
      <c r="H553">
        <v>0</v>
      </c>
      <c r="I553" t="str">
        <f>OutputTable[[#This Row],[ProjectName]]&amp;OutputTable[[#This Row],[Name]]&amp;OutputTable[[#This Row],[Type]]&amp;OutputTable[[#This Row],[Source]]</f>
        <v>PacientesRegistro Accum Wait TimeAccum Wait TimeProcess</v>
      </c>
      <c r="J553" cm="1">
        <f t="array" ref="J553">MAX(IF((ProjectInfoTable[ProjectName]=OutputTable[[#This Row],[ProjectName]]),(ProjectInfoTable[ProjectName]=OutputTable[[#This Row],[ProjectName]])*ProjectInfoTable[NumberOfReplications]))</f>
        <v>50</v>
      </c>
      <c r="K553" cm="1">
        <f t="array" ref="K553">IFERROR(AVERAGE(IF((OutputTable[GroupByKey]=OutputTable[[#This Row],[GroupByKey]]),(OutputTable[GroupByKey]=OutputTable[[#This Row],[GroupByKey]])*OutputTable[RecordedValue])),0)</f>
        <v>154.15303898127775</v>
      </c>
      <c r="L553" cm="1">
        <f t="array" ref="L553">IFERROR(_xlfn.STDEV.S(IF((OutputTable[GroupByKey]=OutputTable[[#This Row],[GroupByKey]]),(OutputTable[GroupByKey]=OutputTable[[#This Row],[GroupByKey]])*OutputTable[RecordedValue])),0)</f>
        <v>12.141439184615397</v>
      </c>
      <c r="M553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553" cm="1">
        <f t="array" ref="O553">MIN(IF((OutputTable[GroupByKey]=OutputTable[[#This Row],[GroupByKey]]),(OutputTable[GroupByKey]=OutputTable[[#This Row],[GroupByKey]])*OutputTable[RecordedValue]))</f>
        <v>123.901613974094</v>
      </c>
      <c r="P553" cm="1">
        <f t="array" ref="P553">MAX(IF((OutputTable[GroupByKey]=OutputTable[[#This Row],[GroupByKey]]),(OutputTable[GroupByKey]=OutputTable[[#This Row],[GroupByKey]])*OutputTable[RecordedValue]))</f>
        <v>178.441307284473</v>
      </c>
    </row>
    <row r="554" spans="1:16" x14ac:dyDescent="0.25">
      <c r="A554" t="s">
        <v>68</v>
      </c>
      <c r="B554" t="s">
        <v>131</v>
      </c>
      <c r="C554">
        <v>33</v>
      </c>
      <c r="D554" t="s">
        <v>116</v>
      </c>
      <c r="E554" t="s">
        <v>105</v>
      </c>
      <c r="F554" t="s">
        <v>80</v>
      </c>
      <c r="G554">
        <v>2271</v>
      </c>
      <c r="H554">
        <v>0</v>
      </c>
      <c r="I554" t="str">
        <f>OutputTable[[#This Row],[ProjectName]]&amp;OutputTable[[#This Row],[Name]]&amp;OutputTable[[#This Row],[Type]]&amp;OutputTable[[#This Row],[Source]]</f>
        <v>PacientesRegistro Number InNumber InProcess</v>
      </c>
      <c r="J554" cm="1">
        <f t="array" ref="J554">MAX(IF((ProjectInfoTable[ProjectName]=OutputTable[[#This Row],[ProjectName]]),(ProjectInfoTable[ProjectName]=OutputTable[[#This Row],[ProjectName]])*ProjectInfoTable[NumberOfReplications]))</f>
        <v>50</v>
      </c>
      <c r="K554" cm="1">
        <f t="array" ref="K554">IFERROR(AVERAGE(IF((OutputTable[GroupByKey]=OutputTable[[#This Row],[GroupByKey]]),(OutputTable[GroupByKey]=OutputTable[[#This Row],[GroupByKey]])*OutputTable[RecordedValue])),0)</f>
        <v>2263.2399999999998</v>
      </c>
      <c r="L554" cm="1">
        <f t="array" ref="L554">IFERROR(_xlfn.STDEV.S(IF((OutputTable[GroupByKey]=OutputTable[[#This Row],[GroupByKey]]),(OutputTable[GroupByKey]=OutputTable[[#This Row],[GroupByKey]])*OutputTable[RecordedValue])),0)</f>
        <v>47.331035682472766</v>
      </c>
      <c r="M554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554" cm="1">
        <f t="array" ref="O554">MIN(IF((OutputTable[GroupByKey]=OutputTable[[#This Row],[GroupByKey]]),(OutputTable[GroupByKey]=OutputTable[[#This Row],[GroupByKey]])*OutputTable[RecordedValue]))</f>
        <v>2172</v>
      </c>
      <c r="P554" cm="1">
        <f t="array" ref="P554">MAX(IF((OutputTable[GroupByKey]=OutputTable[[#This Row],[GroupByKey]]),(OutputTable[GroupByKey]=OutputTable[[#This Row],[GroupByKey]])*OutputTable[RecordedValue]))</f>
        <v>2386</v>
      </c>
    </row>
    <row r="555" spans="1:16" x14ac:dyDescent="0.25">
      <c r="A555" t="s">
        <v>68</v>
      </c>
      <c r="B555" t="s">
        <v>131</v>
      </c>
      <c r="C555">
        <v>33</v>
      </c>
      <c r="D555" t="s">
        <v>117</v>
      </c>
      <c r="E555" t="s">
        <v>107</v>
      </c>
      <c r="F555" t="s">
        <v>80</v>
      </c>
      <c r="G555">
        <v>2270</v>
      </c>
      <c r="H555">
        <v>0</v>
      </c>
      <c r="I555" t="str">
        <f>OutputTable[[#This Row],[ProjectName]]&amp;OutputTable[[#This Row],[Name]]&amp;OutputTable[[#This Row],[Type]]&amp;OutputTable[[#This Row],[Source]]</f>
        <v>PacientesRegistro Number OutNumber OutProcess</v>
      </c>
      <c r="J555" cm="1">
        <f t="array" ref="J555">MAX(IF((ProjectInfoTable[ProjectName]=OutputTable[[#This Row],[ProjectName]]),(ProjectInfoTable[ProjectName]=OutputTable[[#This Row],[ProjectName]])*ProjectInfoTable[NumberOfReplications]))</f>
        <v>50</v>
      </c>
      <c r="K555" cm="1">
        <f t="array" ref="K555">IFERROR(AVERAGE(IF((OutputTable[GroupByKey]=OutputTable[[#This Row],[GroupByKey]]),(OutputTable[GroupByKey]=OutputTable[[#This Row],[GroupByKey]])*OutputTable[RecordedValue])),0)</f>
        <v>2262.66</v>
      </c>
      <c r="L555" cm="1">
        <f t="array" ref="L555">IFERROR(_xlfn.STDEV.S(IF((OutputTable[GroupByKey]=OutputTable[[#This Row],[GroupByKey]]),(OutputTable[GroupByKey]=OutputTable[[#This Row],[GroupByKey]])*OutputTable[RecordedValue])),0)</f>
        <v>47.488176831454687</v>
      </c>
      <c r="M55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555" cm="1">
        <f t="array" ref="O555">MIN(IF((OutputTable[GroupByKey]=OutputTable[[#This Row],[GroupByKey]]),(OutputTable[GroupByKey]=OutputTable[[#This Row],[GroupByKey]])*OutputTable[RecordedValue]))</f>
        <v>2171</v>
      </c>
      <c r="P555" cm="1">
        <f t="array" ref="P555">MAX(IF((OutputTable[GroupByKey]=OutputTable[[#This Row],[GroupByKey]]),(OutputTable[GroupByKey]=OutputTable[[#This Row],[GroupByKey]])*OutputTable[RecordedValue]))</f>
        <v>2386</v>
      </c>
    </row>
    <row r="556" spans="1:16" x14ac:dyDescent="0.25">
      <c r="A556" t="s">
        <v>68</v>
      </c>
      <c r="B556" t="s">
        <v>131</v>
      </c>
      <c r="C556">
        <v>33</v>
      </c>
      <c r="D556" t="s">
        <v>118</v>
      </c>
      <c r="E556" t="s">
        <v>107</v>
      </c>
      <c r="F556" t="s">
        <v>119</v>
      </c>
      <c r="G556">
        <v>2414</v>
      </c>
      <c r="H556">
        <v>0</v>
      </c>
      <c r="I556" t="str">
        <f>OutputTable[[#This Row],[ProjectName]]&amp;OutputTable[[#This Row],[Name]]&amp;OutputTable[[#This Row],[Type]]&amp;OutputTable[[#This Row],[Source]]</f>
        <v>PacientesSystem.NumberOutNumber OutSystem</v>
      </c>
      <c r="J556" cm="1">
        <f t="array" ref="J556">MAX(IF((ProjectInfoTable[ProjectName]=OutputTable[[#This Row],[ProjectName]]),(ProjectInfoTable[ProjectName]=OutputTable[[#This Row],[ProjectName]])*ProjectInfoTable[NumberOfReplications]))</f>
        <v>50</v>
      </c>
      <c r="K556" cm="1">
        <f t="array" ref="K556">IFERROR(AVERAGE(IF((OutputTable[GroupByKey]=OutputTable[[#This Row],[GroupByKey]]),(OutputTable[GroupByKey]=OutputTable[[#This Row],[GroupByKey]])*OutputTable[RecordedValue])),0)</f>
        <v>2400.2800000000002</v>
      </c>
      <c r="L556" cm="1">
        <f t="array" ref="L556">IFERROR(_xlfn.STDEV.S(IF((OutputTable[GroupByKey]=OutputTable[[#This Row],[GroupByKey]]),(OutputTable[GroupByKey]=OutputTable[[#This Row],[GroupByKey]])*OutputTable[RecordedValue])),0)</f>
        <v>46.409024456676619</v>
      </c>
      <c r="M556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56" cm="1">
        <f t="array" ref="O556">MIN(IF((OutputTable[GroupByKey]=OutputTable[[#This Row],[GroupByKey]]),(OutputTable[GroupByKey]=OutputTable[[#This Row],[GroupByKey]])*OutputTable[RecordedValue]))</f>
        <v>2305</v>
      </c>
      <c r="P556" cm="1">
        <f t="array" ref="P556">MAX(IF((OutputTable[GroupByKey]=OutputTable[[#This Row],[GroupByKey]]),(OutputTable[GroupByKey]=OutputTable[[#This Row],[GroupByKey]])*OutputTable[RecordedValue]))</f>
        <v>2504</v>
      </c>
    </row>
    <row r="557" spans="1:16" x14ac:dyDescent="0.25">
      <c r="A557" t="s">
        <v>68</v>
      </c>
      <c r="B557" t="s">
        <v>131</v>
      </c>
      <c r="C557">
        <v>33</v>
      </c>
      <c r="D557" t="s">
        <v>120</v>
      </c>
      <c r="E557" t="s">
        <v>121</v>
      </c>
      <c r="F557" t="s">
        <v>99</v>
      </c>
      <c r="G557">
        <v>2415</v>
      </c>
      <c r="H557">
        <v>0</v>
      </c>
      <c r="I557" t="str">
        <f>OutputTable[[#This Row],[ProjectName]]&amp;OutputTable[[#This Row],[Name]]&amp;OutputTable[[#This Row],[Type]]&amp;OutputTable[[#This Row],[Source]]</f>
        <v>PacientesrCamas.NumberSeizedTotal Number SeizedResource</v>
      </c>
      <c r="J557" cm="1">
        <f t="array" ref="J557">MAX(IF((ProjectInfoTable[ProjectName]=OutputTable[[#This Row],[ProjectName]]),(ProjectInfoTable[ProjectName]=OutputTable[[#This Row],[ProjectName]])*ProjectInfoTable[NumberOfReplications]))</f>
        <v>50</v>
      </c>
      <c r="K557" cm="1">
        <f t="array" ref="K557">IFERROR(AVERAGE(IF((OutputTable[GroupByKey]=OutputTable[[#This Row],[GroupByKey]]),(OutputTable[GroupByKey]=OutputTable[[#This Row],[GroupByKey]])*OutputTable[RecordedValue])),0)</f>
        <v>2401.9</v>
      </c>
      <c r="L557" cm="1">
        <f t="array" ref="L557">IFERROR(_xlfn.STDEV.S(IF((OutputTable[GroupByKey]=OutputTable[[#This Row],[GroupByKey]]),(OutputTable[GroupByKey]=OutputTable[[#This Row],[GroupByKey]])*OutputTable[RecordedValue])),0)</f>
        <v>46.417031532903209</v>
      </c>
      <c r="M557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57" cm="1">
        <f t="array" ref="O557">MIN(IF((OutputTable[GroupByKey]=OutputTable[[#This Row],[GroupByKey]]),(OutputTable[GroupByKey]=OutputTable[[#This Row],[GroupByKey]])*OutputTable[RecordedValue]))</f>
        <v>2306</v>
      </c>
      <c r="P557" cm="1">
        <f t="array" ref="P557">MAX(IF((OutputTable[GroupByKey]=OutputTable[[#This Row],[GroupByKey]]),(OutputTable[GroupByKey]=OutputTable[[#This Row],[GroupByKey]])*OutputTable[RecordedValue]))</f>
        <v>2506</v>
      </c>
    </row>
    <row r="558" spans="1:16" x14ac:dyDescent="0.25">
      <c r="A558" t="s">
        <v>68</v>
      </c>
      <c r="B558" t="s">
        <v>131</v>
      </c>
      <c r="C558">
        <v>33</v>
      </c>
      <c r="D558" t="s">
        <v>122</v>
      </c>
      <c r="E558" t="s">
        <v>123</v>
      </c>
      <c r="F558" t="s">
        <v>99</v>
      </c>
      <c r="G558">
        <v>0.55132248861278099</v>
      </c>
      <c r="H558">
        <v>0</v>
      </c>
      <c r="I558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558" cm="1">
        <f t="array" ref="J558">MAX(IF((ProjectInfoTable[ProjectName]=OutputTable[[#This Row],[ProjectName]]),(ProjectInfoTable[ProjectName]=OutputTable[[#This Row],[ProjectName]])*ProjectInfoTable[NumberOfReplications]))</f>
        <v>50</v>
      </c>
      <c r="K558" cm="1">
        <f t="array" ref="K558">IFERROR(AVERAGE(IF((OutputTable[GroupByKey]=OutputTable[[#This Row],[GroupByKey]]),(OutputTable[GroupByKey]=OutputTable[[#This Row],[GroupByKey]])*OutputTable[RecordedValue])),0)</f>
        <v>0.54703961359050601</v>
      </c>
      <c r="L558" cm="1">
        <f t="array" ref="L558">IFERROR(_xlfn.STDEV.S(IF((OutputTable[GroupByKey]=OutputTable[[#This Row],[GroupByKey]]),(OutputTable[GroupByKey]=OutputTable[[#This Row],[GroupByKey]])*OutputTable[RecordedValue])),0)</f>
        <v>1.0221170008030479E-2</v>
      </c>
      <c r="M558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558" cm="1">
        <f t="array" ref="O558">MIN(IF((OutputTable[GroupByKey]=OutputTable[[#This Row],[GroupByKey]]),(OutputTable[GroupByKey]=OutputTable[[#This Row],[GroupByKey]])*OutputTable[RecordedValue]))</f>
        <v>0.52470641844357901</v>
      </c>
      <c r="P558" cm="1">
        <f t="array" ref="P558">MAX(IF((OutputTable[GroupByKey]=OutputTable[[#This Row],[GroupByKey]]),(OutputTable[GroupByKey]=OutputTable[[#This Row],[GroupByKey]])*OutputTable[RecordedValue]))</f>
        <v>0.57005812966092295</v>
      </c>
    </row>
    <row r="559" spans="1:16" x14ac:dyDescent="0.25">
      <c r="A559" t="s">
        <v>68</v>
      </c>
      <c r="B559" t="s">
        <v>131</v>
      </c>
      <c r="C559">
        <v>33</v>
      </c>
      <c r="D559" t="s">
        <v>124</v>
      </c>
      <c r="E559" t="s">
        <v>121</v>
      </c>
      <c r="F559" t="s">
        <v>99</v>
      </c>
      <c r="G559">
        <v>2415</v>
      </c>
      <c r="H559">
        <v>0</v>
      </c>
      <c r="I559" t="str">
        <f>OutputTable[[#This Row],[ProjectName]]&amp;OutputTable[[#This Row],[Name]]&amp;OutputTable[[#This Row],[Type]]&amp;OutputTable[[#This Row],[Source]]</f>
        <v>PacientesrMedico.NumberSeizedTotal Number SeizedResource</v>
      </c>
      <c r="J559" cm="1">
        <f t="array" ref="J559">MAX(IF((ProjectInfoTable[ProjectName]=OutputTable[[#This Row],[ProjectName]]),(ProjectInfoTable[ProjectName]=OutputTable[[#This Row],[ProjectName]])*ProjectInfoTable[NumberOfReplications]))</f>
        <v>50</v>
      </c>
      <c r="K559" cm="1">
        <f t="array" ref="K559">IFERROR(AVERAGE(IF((OutputTable[GroupByKey]=OutputTable[[#This Row],[GroupByKey]]),(OutputTable[GroupByKey]=OutputTable[[#This Row],[GroupByKey]])*OutputTable[RecordedValue])),0)</f>
        <v>2401.9</v>
      </c>
      <c r="L559" cm="1">
        <f t="array" ref="L559">IFERROR(_xlfn.STDEV.S(IF((OutputTable[GroupByKey]=OutputTable[[#This Row],[GroupByKey]]),(OutputTable[GroupByKey]=OutputTable[[#This Row],[GroupByKey]])*OutputTable[RecordedValue])),0)</f>
        <v>46.417031532903209</v>
      </c>
      <c r="M559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59" cm="1">
        <f t="array" ref="O559">MIN(IF((OutputTable[GroupByKey]=OutputTable[[#This Row],[GroupByKey]]),(OutputTable[GroupByKey]=OutputTable[[#This Row],[GroupByKey]])*OutputTable[RecordedValue]))</f>
        <v>2306</v>
      </c>
      <c r="P559" cm="1">
        <f t="array" ref="P559">MAX(IF((OutputTable[GroupByKey]=OutputTable[[#This Row],[GroupByKey]]),(OutputTable[GroupByKey]=OutputTable[[#This Row],[GroupByKey]])*OutputTable[RecordedValue]))</f>
        <v>2506</v>
      </c>
    </row>
    <row r="560" spans="1:16" x14ac:dyDescent="0.25">
      <c r="A560" t="s">
        <v>68</v>
      </c>
      <c r="B560" t="s">
        <v>131</v>
      </c>
      <c r="C560">
        <v>33</v>
      </c>
      <c r="D560" t="s">
        <v>125</v>
      </c>
      <c r="E560" t="s">
        <v>123</v>
      </c>
      <c r="F560" t="s">
        <v>99</v>
      </c>
      <c r="G560">
        <v>0.82698373291917204</v>
      </c>
      <c r="H560">
        <v>0</v>
      </c>
      <c r="I560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560" cm="1">
        <f t="array" ref="J560">MAX(IF((ProjectInfoTable[ProjectName]=OutputTable[[#This Row],[ProjectName]]),(ProjectInfoTable[ProjectName]=OutputTable[[#This Row],[ProjectName]])*ProjectInfoTable[NumberOfReplications]))</f>
        <v>50</v>
      </c>
      <c r="K560" cm="1">
        <f t="array" ref="K560">IFERROR(AVERAGE(IF((OutputTable[GroupByKey]=OutputTable[[#This Row],[GroupByKey]]),(OutputTable[GroupByKey]=OutputTable[[#This Row],[GroupByKey]])*OutputTable[RecordedValue])),0)</f>
        <v>0.82055942038575935</v>
      </c>
      <c r="L560" cm="1">
        <f t="array" ref="L560">IFERROR(_xlfn.STDEV.S(IF((OutputTable[GroupByKey]=OutputTable[[#This Row],[GroupByKey]]),(OutputTable[GroupByKey]=OutputTable[[#This Row],[GroupByKey]])*OutputTable[RecordedValue])),0)</f>
        <v>1.5331755012045719E-2</v>
      </c>
      <c r="M560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560" cm="1">
        <f t="array" ref="O560">MIN(IF((OutputTable[GroupByKey]=OutputTable[[#This Row],[GroupByKey]]),(OutputTable[GroupByKey]=OutputTable[[#This Row],[GroupByKey]])*OutputTable[RecordedValue]))</f>
        <v>0.78705962766536897</v>
      </c>
      <c r="P560" cm="1">
        <f t="array" ref="P560">MAX(IF((OutputTable[GroupByKey]=OutputTable[[#This Row],[GroupByKey]]),(OutputTable[GroupByKey]=OutputTable[[#This Row],[GroupByKey]])*OutputTable[RecordedValue]))</f>
        <v>0.85508719449138504</v>
      </c>
    </row>
    <row r="561" spans="1:16" x14ac:dyDescent="0.25">
      <c r="A561" t="s">
        <v>68</v>
      </c>
      <c r="B561" t="s">
        <v>131</v>
      </c>
      <c r="C561">
        <v>33</v>
      </c>
      <c r="D561" t="s">
        <v>126</v>
      </c>
      <c r="E561" t="s">
        <v>121</v>
      </c>
      <c r="F561" t="s">
        <v>99</v>
      </c>
      <c r="G561">
        <v>2271</v>
      </c>
      <c r="H561">
        <v>0</v>
      </c>
      <c r="I561" t="str">
        <f>OutputTable[[#This Row],[ProjectName]]&amp;OutputTable[[#This Row],[Name]]&amp;OutputTable[[#This Row],[Type]]&amp;OutputTable[[#This Row],[Source]]</f>
        <v>PacientesrRegistradora.NumberSeizedTotal Number SeizedResource</v>
      </c>
      <c r="J561" cm="1">
        <f t="array" ref="J561">MAX(IF((ProjectInfoTable[ProjectName]=OutputTable[[#This Row],[ProjectName]]),(ProjectInfoTable[ProjectName]=OutputTable[[#This Row],[ProjectName]])*ProjectInfoTable[NumberOfReplications]))</f>
        <v>50</v>
      </c>
      <c r="K561" cm="1">
        <f t="array" ref="K561">IFERROR(AVERAGE(IF((OutputTable[GroupByKey]=OutputTable[[#This Row],[GroupByKey]]),(OutputTable[GroupByKey]=OutputTable[[#This Row],[GroupByKey]])*OutputTable[RecordedValue])),0)</f>
        <v>2263.14</v>
      </c>
      <c r="L561" cm="1">
        <f t="array" ref="L561">IFERROR(_xlfn.STDEV.S(IF((OutputTable[GroupByKey]=OutputTable[[#This Row],[GroupByKey]]),(OutputTable[GroupByKey]=OutputTable[[#This Row],[GroupByKey]])*OutputTable[RecordedValue])),0)</f>
        <v>47.386818971575821</v>
      </c>
      <c r="M561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561" cm="1">
        <f t="array" ref="O561">MIN(IF((OutputTable[GroupByKey]=OutputTable[[#This Row],[GroupByKey]]),(OutputTable[GroupByKey]=OutputTable[[#This Row],[GroupByKey]])*OutputTable[RecordedValue]))</f>
        <v>2172</v>
      </c>
      <c r="P561" cm="1">
        <f t="array" ref="P561">MAX(IF((OutputTable[GroupByKey]=OutputTable[[#This Row],[GroupByKey]]),(OutputTable[GroupByKey]=OutputTable[[#This Row],[GroupByKey]])*OutputTable[RecordedValue]))</f>
        <v>2386</v>
      </c>
    </row>
    <row r="562" spans="1:16" x14ac:dyDescent="0.25">
      <c r="A562" t="s">
        <v>68</v>
      </c>
      <c r="B562" t="s">
        <v>131</v>
      </c>
      <c r="C562">
        <v>33</v>
      </c>
      <c r="D562" t="s">
        <v>127</v>
      </c>
      <c r="E562" t="s">
        <v>123</v>
      </c>
      <c r="F562" t="s">
        <v>99</v>
      </c>
      <c r="G562">
        <v>0.47328328008376203</v>
      </c>
      <c r="H562">
        <v>0</v>
      </c>
      <c r="I562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562" cm="1">
        <f t="array" ref="J562">MAX(IF((ProjectInfoTable[ProjectName]=OutputTable[[#This Row],[ProjectName]]),(ProjectInfoTable[ProjectName]=OutputTable[[#This Row],[ProjectName]])*ProjectInfoTable[NumberOfReplications]))</f>
        <v>50</v>
      </c>
      <c r="K562" cm="1">
        <f t="array" ref="K562">IFERROR(AVERAGE(IF((OutputTable[GroupByKey]=OutputTable[[#This Row],[GroupByKey]]),(OutputTable[GroupByKey]=OutputTable[[#This Row],[GroupByKey]])*OutputTable[RecordedValue])),0)</f>
        <v>0.47162762933545666</v>
      </c>
      <c r="L562" cm="1">
        <f t="array" ref="L562">IFERROR(_xlfn.STDEV.S(IF((OutputTable[GroupByKey]=OutputTable[[#This Row],[GroupByKey]]),(OutputTable[GroupByKey]=OutputTable[[#This Row],[GroupByKey]])*OutputTable[RecordedValue])),0)</f>
        <v>9.6615227076777797E-3</v>
      </c>
      <c r="M562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562" cm="1">
        <f t="array" ref="O562">MIN(IF((OutputTable[GroupByKey]=OutputTable[[#This Row],[GroupByKey]]),(OutputTable[GroupByKey]=OutputTable[[#This Row],[GroupByKey]])*OutputTable[RecordedValue]))</f>
        <v>0.452397944183905</v>
      </c>
      <c r="P562" cm="1">
        <f t="array" ref="P562">MAX(IF((OutputTable[GroupByKey]=OutputTable[[#This Row],[GroupByKey]]),(OutputTable[GroupByKey]=OutputTable[[#This Row],[GroupByKey]])*OutputTable[RecordedValue]))</f>
        <v>0.49691123629694001</v>
      </c>
    </row>
    <row r="563" spans="1:16" x14ac:dyDescent="0.25">
      <c r="A563" t="s">
        <v>68</v>
      </c>
      <c r="B563" t="s">
        <v>131</v>
      </c>
      <c r="C563">
        <v>34</v>
      </c>
      <c r="D563" t="s">
        <v>104</v>
      </c>
      <c r="E563" t="s">
        <v>105</v>
      </c>
      <c r="F563" t="s">
        <v>72</v>
      </c>
      <c r="G563">
        <v>2418</v>
      </c>
      <c r="H563">
        <v>0</v>
      </c>
      <c r="I563" t="str">
        <f>OutputTable[[#This Row],[ProjectName]]&amp;OutputTable[[#This Row],[Name]]&amp;OutputTable[[#This Row],[Type]]&amp;OutputTable[[#This Row],[Source]]</f>
        <v>PacientesEntity 1.NumberInNumber InEntity</v>
      </c>
      <c r="J563" cm="1">
        <f t="array" ref="J563">MAX(IF((ProjectInfoTable[ProjectName]=OutputTable[[#This Row],[ProjectName]]),(ProjectInfoTable[ProjectName]=OutputTable[[#This Row],[ProjectName]])*ProjectInfoTable[NumberOfReplications]))</f>
        <v>50</v>
      </c>
      <c r="K563" cm="1">
        <f t="array" ref="K563">IFERROR(AVERAGE(IF((OutputTable[GroupByKey]=OutputTable[[#This Row],[GroupByKey]]),(OutputTable[GroupByKey]=OutputTable[[#This Row],[GroupByKey]])*OutputTable[RecordedValue])),0)</f>
        <v>2404.8200000000002</v>
      </c>
      <c r="L563" cm="1">
        <f t="array" ref="L563">IFERROR(_xlfn.STDEV.S(IF((OutputTable[GroupByKey]=OutputTable[[#This Row],[GroupByKey]]),(OutputTable[GroupByKey]=OutputTable[[#This Row],[GroupByKey]])*OutputTable[RecordedValue])),0)</f>
        <v>46.42953405595474</v>
      </c>
      <c r="M563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563" cm="1">
        <f t="array" ref="O563">MIN(IF((OutputTable[GroupByKey]=OutputTable[[#This Row],[GroupByKey]]),(OutputTable[GroupByKey]=OutputTable[[#This Row],[GroupByKey]])*OutputTable[RecordedValue]))</f>
        <v>2307</v>
      </c>
      <c r="P563" cm="1">
        <f t="array" ref="P563">MAX(IF((OutputTable[GroupByKey]=OutputTable[[#This Row],[GroupByKey]]),(OutputTable[GroupByKey]=OutputTable[[#This Row],[GroupByKey]])*OutputTable[RecordedValue]))</f>
        <v>2518</v>
      </c>
    </row>
    <row r="564" spans="1:16" x14ac:dyDescent="0.25">
      <c r="A564" t="s">
        <v>68</v>
      </c>
      <c r="B564" t="s">
        <v>131</v>
      </c>
      <c r="C564">
        <v>34</v>
      </c>
      <c r="D564" t="s">
        <v>106</v>
      </c>
      <c r="E564" t="s">
        <v>107</v>
      </c>
      <c r="F564" t="s">
        <v>72</v>
      </c>
      <c r="G564">
        <v>2412</v>
      </c>
      <c r="H564">
        <v>0</v>
      </c>
      <c r="I564" t="str">
        <f>OutputTable[[#This Row],[ProjectName]]&amp;OutputTable[[#This Row],[Name]]&amp;OutputTable[[#This Row],[Type]]&amp;OutputTable[[#This Row],[Source]]</f>
        <v>PacientesEntity 1.NumberOutNumber OutEntity</v>
      </c>
      <c r="J564" cm="1">
        <f t="array" ref="J564">MAX(IF((ProjectInfoTable[ProjectName]=OutputTable[[#This Row],[ProjectName]]),(ProjectInfoTable[ProjectName]=OutputTable[[#This Row],[ProjectName]])*ProjectInfoTable[NumberOfReplications]))</f>
        <v>50</v>
      </c>
      <c r="K564" cm="1">
        <f t="array" ref="K564">IFERROR(AVERAGE(IF((OutputTable[GroupByKey]=OutputTable[[#This Row],[GroupByKey]]),(OutputTable[GroupByKey]=OutputTable[[#This Row],[GroupByKey]])*OutputTable[RecordedValue])),0)</f>
        <v>2400.2800000000002</v>
      </c>
      <c r="L564" cm="1">
        <f t="array" ref="L564">IFERROR(_xlfn.STDEV.S(IF((OutputTable[GroupByKey]=OutputTable[[#This Row],[GroupByKey]]),(OutputTable[GroupByKey]=OutputTable[[#This Row],[GroupByKey]])*OutputTable[RecordedValue])),0)</f>
        <v>46.409024456676619</v>
      </c>
      <c r="M564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64" cm="1">
        <f t="array" ref="O564">MIN(IF((OutputTable[GroupByKey]=OutputTable[[#This Row],[GroupByKey]]),(OutputTable[GroupByKey]=OutputTable[[#This Row],[GroupByKey]])*OutputTable[RecordedValue]))</f>
        <v>2305</v>
      </c>
      <c r="P564" cm="1">
        <f t="array" ref="P564">MAX(IF((OutputTable[GroupByKey]=OutputTable[[#This Row],[GroupByKey]]),(OutputTable[GroupByKey]=OutputTable[[#This Row],[GroupByKey]])*OutputTable[RecordedValue]))</f>
        <v>2504</v>
      </c>
    </row>
    <row r="565" spans="1:16" x14ac:dyDescent="0.25">
      <c r="A565" t="s">
        <v>68</v>
      </c>
      <c r="B565" t="s">
        <v>131</v>
      </c>
      <c r="C565">
        <v>34</v>
      </c>
      <c r="D565" t="s">
        <v>108</v>
      </c>
      <c r="E565" t="s">
        <v>109</v>
      </c>
      <c r="F565" t="s">
        <v>80</v>
      </c>
      <c r="G565">
        <v>1182.37878469057</v>
      </c>
      <c r="H565">
        <v>0</v>
      </c>
      <c r="I565" t="str">
        <f>OutputTable[[#This Row],[ProjectName]]&amp;OutputTable[[#This Row],[Name]]&amp;OutputTable[[#This Row],[Type]]&amp;OutputTable[[#This Row],[Source]]</f>
        <v>PacientesProcess 2 Accum VA TimeAccum VA TimeProcess</v>
      </c>
      <c r="J565" cm="1">
        <f t="array" ref="J565">MAX(IF((ProjectInfoTable[ProjectName]=OutputTable[[#This Row],[ProjectName]]),(ProjectInfoTable[ProjectName]=OutputTable[[#This Row],[ProjectName]])*ProjectInfoTable[NumberOfReplications]))</f>
        <v>50</v>
      </c>
      <c r="K565" cm="1">
        <f t="array" ref="K565">IFERROR(AVERAGE(IF((OutputTable[GroupByKey]=OutputTable[[#This Row],[GroupByKey]]),(OutputTable[GroupByKey]=OutputTable[[#This Row],[GroupByKey]])*OutputTable[RecordedValue])),0)</f>
        <v>1181.1234936767919</v>
      </c>
      <c r="L565" cm="1">
        <f t="array" ref="L565">IFERROR(_xlfn.STDEV.S(IF((OutputTable[GroupByKey]=OutputTable[[#This Row],[GroupByKey]]),(OutputTable[GroupByKey]=OutputTable[[#This Row],[GroupByKey]])*OutputTable[RecordedValue])),0)</f>
        <v>22.169313666927575</v>
      </c>
      <c r="M56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565" cm="1">
        <f t="array" ref="O565">MIN(IF((OutputTable[GroupByKey]=OutputTable[[#This Row],[GroupByKey]]),(OutputTable[GroupByKey]=OutputTable[[#This Row],[GroupByKey]])*OutputTable[RecordedValue]))</f>
        <v>1133.24622318414</v>
      </c>
      <c r="P565" cm="1">
        <f t="array" ref="P565">MAX(IF((OutputTable[GroupByKey]=OutputTable[[#This Row],[GroupByKey]]),(OutputTable[GroupByKey]=OutputTable[[#This Row],[GroupByKey]])*OutputTable[RecordedValue]))</f>
        <v>1230.9493287309799</v>
      </c>
    </row>
    <row r="566" spans="1:16" x14ac:dyDescent="0.25">
      <c r="A566" t="s">
        <v>68</v>
      </c>
      <c r="B566" t="s">
        <v>131</v>
      </c>
      <c r="C566">
        <v>34</v>
      </c>
      <c r="D566" t="s">
        <v>110</v>
      </c>
      <c r="E566" t="s">
        <v>111</v>
      </c>
      <c r="F566" t="s">
        <v>80</v>
      </c>
      <c r="G566">
        <v>1861.2862856070001</v>
      </c>
      <c r="H566">
        <v>0</v>
      </c>
      <c r="I566" t="str">
        <f>OutputTable[[#This Row],[ProjectName]]&amp;OutputTable[[#This Row],[Name]]&amp;OutputTable[[#This Row],[Type]]&amp;OutputTable[[#This Row],[Source]]</f>
        <v>PacientesProcess 2 Accum Wait TimeAccum Wait TimeProcess</v>
      </c>
      <c r="J566" cm="1">
        <f t="array" ref="J566">MAX(IF((ProjectInfoTable[ProjectName]=OutputTable[[#This Row],[ProjectName]]),(ProjectInfoTable[ProjectName]=OutputTable[[#This Row],[ProjectName]])*ProjectInfoTable[NumberOfReplications]))</f>
        <v>50</v>
      </c>
      <c r="K566" cm="1">
        <f t="array" ref="K566">IFERROR(AVERAGE(IF((OutputTable[GroupByKey]=OutputTable[[#This Row],[GroupByKey]]),(OutputTable[GroupByKey]=OutputTable[[#This Row],[GroupByKey]])*OutputTable[RecordedValue])),0)</f>
        <v>1938.7515507466894</v>
      </c>
      <c r="L566" cm="1">
        <f t="array" ref="L566">IFERROR(_xlfn.STDEV.S(IF((OutputTable[GroupByKey]=OutputTable[[#This Row],[GroupByKey]]),(OutputTable[GroupByKey]=OutputTable[[#This Row],[GroupByKey]])*OutputTable[RecordedValue])),0)</f>
        <v>534.03396241838232</v>
      </c>
      <c r="M566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566" cm="1">
        <f t="array" ref="O566">MIN(IF((OutputTable[GroupByKey]=OutputTable[[#This Row],[GroupByKey]]),(OutputTable[GroupByKey]=OutputTable[[#This Row],[GroupByKey]])*OutputTable[RecordedValue]))</f>
        <v>1234.7567994731401</v>
      </c>
      <c r="P566" cm="1">
        <f t="array" ref="P566">MAX(IF((OutputTable[GroupByKey]=OutputTable[[#This Row],[GroupByKey]]),(OutputTable[GroupByKey]=OutputTable[[#This Row],[GroupByKey]])*OutputTable[RecordedValue]))</f>
        <v>3269.0858002883801</v>
      </c>
    </row>
    <row r="567" spans="1:16" x14ac:dyDescent="0.25">
      <c r="A567" t="s">
        <v>68</v>
      </c>
      <c r="B567" t="s">
        <v>131</v>
      </c>
      <c r="C567">
        <v>34</v>
      </c>
      <c r="D567" t="s">
        <v>112</v>
      </c>
      <c r="E567" t="s">
        <v>105</v>
      </c>
      <c r="F567" t="s">
        <v>80</v>
      </c>
      <c r="G567">
        <v>2417</v>
      </c>
      <c r="H567">
        <v>0</v>
      </c>
      <c r="I567" t="str">
        <f>OutputTable[[#This Row],[ProjectName]]&amp;OutputTable[[#This Row],[Name]]&amp;OutputTable[[#This Row],[Type]]&amp;OutputTable[[#This Row],[Source]]</f>
        <v>PacientesProcess 2 Number InNumber InProcess</v>
      </c>
      <c r="J567" cm="1">
        <f t="array" ref="J567">MAX(IF((ProjectInfoTable[ProjectName]=OutputTable[[#This Row],[ProjectName]]),(ProjectInfoTable[ProjectName]=OutputTable[[#This Row],[ProjectName]])*ProjectInfoTable[NumberOfReplications]))</f>
        <v>50</v>
      </c>
      <c r="K567" cm="1">
        <f t="array" ref="K567">IFERROR(AVERAGE(IF((OutputTable[GroupByKey]=OutputTable[[#This Row],[GroupByKey]]),(OutputTable[GroupByKey]=OutputTable[[#This Row],[GroupByKey]])*OutputTable[RecordedValue])),0)</f>
        <v>2404.2399999999998</v>
      </c>
      <c r="L567" cm="1">
        <f t="array" ref="L567">IFERROR(_xlfn.STDEV.S(IF((OutputTable[GroupByKey]=OutputTable[[#This Row],[GroupByKey]]),(OutputTable[GroupByKey]=OutputTable[[#This Row],[GroupByKey]])*OutputTable[RecordedValue])),0)</f>
        <v>46.574303154053879</v>
      </c>
      <c r="M567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567" cm="1">
        <f t="array" ref="O567">MIN(IF((OutputTable[GroupByKey]=OutputTable[[#This Row],[GroupByKey]]),(OutputTable[GroupByKey]=OutputTable[[#This Row],[GroupByKey]])*OutputTable[RecordedValue]))</f>
        <v>2306</v>
      </c>
      <c r="P567" cm="1">
        <f t="array" ref="P567">MAX(IF((OutputTable[GroupByKey]=OutputTable[[#This Row],[GroupByKey]]),(OutputTable[GroupByKey]=OutputTable[[#This Row],[GroupByKey]])*OutputTable[RecordedValue]))</f>
        <v>2518</v>
      </c>
    </row>
    <row r="568" spans="1:16" x14ac:dyDescent="0.25">
      <c r="A568" t="s">
        <v>68</v>
      </c>
      <c r="B568" t="s">
        <v>131</v>
      </c>
      <c r="C568">
        <v>34</v>
      </c>
      <c r="D568" t="s">
        <v>113</v>
      </c>
      <c r="E568" t="s">
        <v>107</v>
      </c>
      <c r="F568" t="s">
        <v>80</v>
      </c>
      <c r="G568">
        <v>2412</v>
      </c>
      <c r="H568">
        <v>0</v>
      </c>
      <c r="I568" t="str">
        <f>OutputTable[[#This Row],[ProjectName]]&amp;OutputTable[[#This Row],[Name]]&amp;OutputTable[[#This Row],[Type]]&amp;OutputTable[[#This Row],[Source]]</f>
        <v>PacientesProcess 2 Number OutNumber OutProcess</v>
      </c>
      <c r="J568" cm="1">
        <f t="array" ref="J568">MAX(IF((ProjectInfoTable[ProjectName]=OutputTable[[#This Row],[ProjectName]]),(ProjectInfoTable[ProjectName]=OutputTable[[#This Row],[ProjectName]])*ProjectInfoTable[NumberOfReplications]))</f>
        <v>50</v>
      </c>
      <c r="K568" cm="1">
        <f t="array" ref="K568">IFERROR(AVERAGE(IF((OutputTable[GroupByKey]=OutputTable[[#This Row],[GroupByKey]]),(OutputTable[GroupByKey]=OutputTable[[#This Row],[GroupByKey]])*OutputTable[RecordedValue])),0)</f>
        <v>2400.2800000000002</v>
      </c>
      <c r="L568" cm="1">
        <f t="array" ref="L568">IFERROR(_xlfn.STDEV.S(IF((OutputTable[GroupByKey]=OutputTable[[#This Row],[GroupByKey]]),(OutputTable[GroupByKey]=OutputTable[[#This Row],[GroupByKey]])*OutputTable[RecordedValue])),0)</f>
        <v>46.409024456676619</v>
      </c>
      <c r="M568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68" cm="1">
        <f t="array" ref="O568">MIN(IF((OutputTable[GroupByKey]=OutputTable[[#This Row],[GroupByKey]]),(OutputTable[GroupByKey]=OutputTable[[#This Row],[GroupByKey]])*OutputTable[RecordedValue]))</f>
        <v>2305</v>
      </c>
      <c r="P568" cm="1">
        <f t="array" ref="P568">MAX(IF((OutputTable[GroupByKey]=OutputTable[[#This Row],[GroupByKey]]),(OutputTable[GroupByKey]=OutputTable[[#This Row],[GroupByKey]])*OutputTable[RecordedValue]))</f>
        <v>2504</v>
      </c>
    </row>
    <row r="569" spans="1:16" x14ac:dyDescent="0.25">
      <c r="A569" t="s">
        <v>68</v>
      </c>
      <c r="B569" t="s">
        <v>131</v>
      </c>
      <c r="C569">
        <v>34</v>
      </c>
      <c r="D569" t="s">
        <v>114</v>
      </c>
      <c r="E569" t="s">
        <v>109</v>
      </c>
      <c r="F569" t="s">
        <v>80</v>
      </c>
      <c r="G569">
        <v>340.82744978583202</v>
      </c>
      <c r="H569">
        <v>0</v>
      </c>
      <c r="I569" t="str">
        <f>OutputTable[[#This Row],[ProjectName]]&amp;OutputTable[[#This Row],[Name]]&amp;OutputTable[[#This Row],[Type]]&amp;OutputTable[[#This Row],[Source]]</f>
        <v>PacientesRegistro Accum VA TimeAccum VA TimeProcess</v>
      </c>
      <c r="J569" cm="1">
        <f t="array" ref="J569">MAX(IF((ProjectInfoTable[ProjectName]=OutputTable[[#This Row],[ProjectName]]),(ProjectInfoTable[ProjectName]=OutputTable[[#This Row],[ProjectName]])*ProjectInfoTable[NumberOfReplications]))</f>
        <v>50</v>
      </c>
      <c r="K569" cm="1">
        <f t="array" ref="K569">IFERROR(AVERAGE(IF((OutputTable[GroupByKey]=OutputTable[[#This Row],[GroupByKey]]),(OutputTable[GroupByKey]=OutputTable[[#This Row],[GroupByKey]])*OutputTable[RecordedValue])),0)</f>
        <v>339.53547737062786</v>
      </c>
      <c r="L569" cm="1">
        <f t="array" ref="L569">IFERROR(_xlfn.STDEV.S(IF((OutputTable[GroupByKey]=OutputTable[[#This Row],[GroupByKey]]),(OutputTable[GroupByKey]=OutputTable[[#This Row],[GroupByKey]])*OutputTable[RecordedValue])),0)</f>
        <v>6.9723666109353193</v>
      </c>
      <c r="M569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569" cm="1">
        <f t="array" ref="O569">MIN(IF((OutputTable[GroupByKey]=OutputTable[[#This Row],[GroupByKey]]),(OutputTable[GroupByKey]=OutputTable[[#This Row],[GroupByKey]])*OutputTable[RecordedValue]))</f>
        <v>325.606879158418</v>
      </c>
      <c r="P569" cm="1">
        <f t="array" ref="P569">MAX(IF((OutputTable[GroupByKey]=OutputTable[[#This Row],[GroupByKey]]),(OutputTable[GroupByKey]=OutputTable[[#This Row],[GroupByKey]])*OutputTable[RecordedValue]))</f>
        <v>357.77609013379703</v>
      </c>
    </row>
    <row r="570" spans="1:16" x14ac:dyDescent="0.25">
      <c r="A570" t="s">
        <v>68</v>
      </c>
      <c r="B570" t="s">
        <v>131</v>
      </c>
      <c r="C570">
        <v>34</v>
      </c>
      <c r="D570" t="s">
        <v>115</v>
      </c>
      <c r="E570" t="s">
        <v>111</v>
      </c>
      <c r="F570" t="s">
        <v>80</v>
      </c>
      <c r="G570">
        <v>148.97187860618899</v>
      </c>
      <c r="H570">
        <v>0</v>
      </c>
      <c r="I570" t="str">
        <f>OutputTable[[#This Row],[ProjectName]]&amp;OutputTable[[#This Row],[Name]]&amp;OutputTable[[#This Row],[Type]]&amp;OutputTable[[#This Row],[Source]]</f>
        <v>PacientesRegistro Accum Wait TimeAccum Wait TimeProcess</v>
      </c>
      <c r="J570" cm="1">
        <f t="array" ref="J570">MAX(IF((ProjectInfoTable[ProjectName]=OutputTable[[#This Row],[ProjectName]]),(ProjectInfoTable[ProjectName]=OutputTable[[#This Row],[ProjectName]])*ProjectInfoTable[NumberOfReplications]))</f>
        <v>50</v>
      </c>
      <c r="K570" cm="1">
        <f t="array" ref="K570">IFERROR(AVERAGE(IF((OutputTable[GroupByKey]=OutputTable[[#This Row],[GroupByKey]]),(OutputTable[GroupByKey]=OutputTable[[#This Row],[GroupByKey]])*OutputTable[RecordedValue])),0)</f>
        <v>154.15303898127775</v>
      </c>
      <c r="L570" cm="1">
        <f t="array" ref="L570">IFERROR(_xlfn.STDEV.S(IF((OutputTable[GroupByKey]=OutputTable[[#This Row],[GroupByKey]]),(OutputTable[GroupByKey]=OutputTable[[#This Row],[GroupByKey]])*OutputTable[RecordedValue])),0)</f>
        <v>12.141439184615397</v>
      </c>
      <c r="M570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570" cm="1">
        <f t="array" ref="O570">MIN(IF((OutputTable[GroupByKey]=OutputTable[[#This Row],[GroupByKey]]),(OutputTable[GroupByKey]=OutputTable[[#This Row],[GroupByKey]])*OutputTable[RecordedValue]))</f>
        <v>123.901613974094</v>
      </c>
      <c r="P570" cm="1">
        <f t="array" ref="P570">MAX(IF((OutputTable[GroupByKey]=OutputTable[[#This Row],[GroupByKey]]),(OutputTable[GroupByKey]=OutputTable[[#This Row],[GroupByKey]])*OutputTable[RecordedValue]))</f>
        <v>178.441307284473</v>
      </c>
    </row>
    <row r="571" spans="1:16" x14ac:dyDescent="0.25">
      <c r="A571" t="s">
        <v>68</v>
      </c>
      <c r="B571" t="s">
        <v>131</v>
      </c>
      <c r="C571">
        <v>34</v>
      </c>
      <c r="D571" t="s">
        <v>116</v>
      </c>
      <c r="E571" t="s">
        <v>105</v>
      </c>
      <c r="F571" t="s">
        <v>80</v>
      </c>
      <c r="G571">
        <v>2282</v>
      </c>
      <c r="H571">
        <v>0</v>
      </c>
      <c r="I571" t="str">
        <f>OutputTable[[#This Row],[ProjectName]]&amp;OutputTable[[#This Row],[Name]]&amp;OutputTable[[#This Row],[Type]]&amp;OutputTable[[#This Row],[Source]]</f>
        <v>PacientesRegistro Number InNumber InProcess</v>
      </c>
      <c r="J571" cm="1">
        <f t="array" ref="J571">MAX(IF((ProjectInfoTable[ProjectName]=OutputTable[[#This Row],[ProjectName]]),(ProjectInfoTable[ProjectName]=OutputTable[[#This Row],[ProjectName]])*ProjectInfoTable[NumberOfReplications]))</f>
        <v>50</v>
      </c>
      <c r="K571" cm="1">
        <f t="array" ref="K571">IFERROR(AVERAGE(IF((OutputTable[GroupByKey]=OutputTable[[#This Row],[GroupByKey]]),(OutputTable[GroupByKey]=OutputTable[[#This Row],[GroupByKey]])*OutputTable[RecordedValue])),0)</f>
        <v>2263.2399999999998</v>
      </c>
      <c r="L571" cm="1">
        <f t="array" ref="L571">IFERROR(_xlfn.STDEV.S(IF((OutputTable[GroupByKey]=OutputTable[[#This Row],[GroupByKey]]),(OutputTable[GroupByKey]=OutputTable[[#This Row],[GroupByKey]])*OutputTable[RecordedValue])),0)</f>
        <v>47.331035682472766</v>
      </c>
      <c r="M571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571" cm="1">
        <f t="array" ref="O571">MIN(IF((OutputTable[GroupByKey]=OutputTable[[#This Row],[GroupByKey]]),(OutputTable[GroupByKey]=OutputTable[[#This Row],[GroupByKey]])*OutputTable[RecordedValue]))</f>
        <v>2172</v>
      </c>
      <c r="P571" cm="1">
        <f t="array" ref="P571">MAX(IF((OutputTable[GroupByKey]=OutputTable[[#This Row],[GroupByKey]]),(OutputTable[GroupByKey]=OutputTable[[#This Row],[GroupByKey]])*OutputTable[RecordedValue]))</f>
        <v>2386</v>
      </c>
    </row>
    <row r="572" spans="1:16" x14ac:dyDescent="0.25">
      <c r="A572" t="s">
        <v>68</v>
      </c>
      <c r="B572" t="s">
        <v>131</v>
      </c>
      <c r="C572">
        <v>34</v>
      </c>
      <c r="D572" t="s">
        <v>117</v>
      </c>
      <c r="E572" t="s">
        <v>107</v>
      </c>
      <c r="F572" t="s">
        <v>80</v>
      </c>
      <c r="G572">
        <v>2281</v>
      </c>
      <c r="H572">
        <v>0</v>
      </c>
      <c r="I572" t="str">
        <f>OutputTable[[#This Row],[ProjectName]]&amp;OutputTable[[#This Row],[Name]]&amp;OutputTable[[#This Row],[Type]]&amp;OutputTable[[#This Row],[Source]]</f>
        <v>PacientesRegistro Number OutNumber OutProcess</v>
      </c>
      <c r="J572" cm="1">
        <f t="array" ref="J572">MAX(IF((ProjectInfoTable[ProjectName]=OutputTable[[#This Row],[ProjectName]]),(ProjectInfoTable[ProjectName]=OutputTable[[#This Row],[ProjectName]])*ProjectInfoTable[NumberOfReplications]))</f>
        <v>50</v>
      </c>
      <c r="K572" cm="1">
        <f t="array" ref="K572">IFERROR(AVERAGE(IF((OutputTable[GroupByKey]=OutputTable[[#This Row],[GroupByKey]]),(OutputTable[GroupByKey]=OutputTable[[#This Row],[GroupByKey]])*OutputTable[RecordedValue])),0)</f>
        <v>2262.66</v>
      </c>
      <c r="L572" cm="1">
        <f t="array" ref="L572">IFERROR(_xlfn.STDEV.S(IF((OutputTable[GroupByKey]=OutputTable[[#This Row],[GroupByKey]]),(OutputTable[GroupByKey]=OutputTable[[#This Row],[GroupByKey]])*OutputTable[RecordedValue])),0)</f>
        <v>47.488176831454687</v>
      </c>
      <c r="M572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572" cm="1">
        <f t="array" ref="O572">MIN(IF((OutputTable[GroupByKey]=OutputTable[[#This Row],[GroupByKey]]),(OutputTable[GroupByKey]=OutputTable[[#This Row],[GroupByKey]])*OutputTable[RecordedValue]))</f>
        <v>2171</v>
      </c>
      <c r="P572" cm="1">
        <f t="array" ref="P572">MAX(IF((OutputTable[GroupByKey]=OutputTable[[#This Row],[GroupByKey]]),(OutputTable[GroupByKey]=OutputTable[[#This Row],[GroupByKey]])*OutputTable[RecordedValue]))</f>
        <v>2386</v>
      </c>
    </row>
    <row r="573" spans="1:16" x14ac:dyDescent="0.25">
      <c r="A573" t="s">
        <v>68</v>
      </c>
      <c r="B573" t="s">
        <v>131</v>
      </c>
      <c r="C573">
        <v>34</v>
      </c>
      <c r="D573" t="s">
        <v>118</v>
      </c>
      <c r="E573" t="s">
        <v>107</v>
      </c>
      <c r="F573" t="s">
        <v>119</v>
      </c>
      <c r="G573">
        <v>2412</v>
      </c>
      <c r="H573">
        <v>0</v>
      </c>
      <c r="I573" t="str">
        <f>OutputTable[[#This Row],[ProjectName]]&amp;OutputTable[[#This Row],[Name]]&amp;OutputTable[[#This Row],[Type]]&amp;OutputTable[[#This Row],[Source]]</f>
        <v>PacientesSystem.NumberOutNumber OutSystem</v>
      </c>
      <c r="J573" cm="1">
        <f t="array" ref="J573">MAX(IF((ProjectInfoTable[ProjectName]=OutputTable[[#This Row],[ProjectName]]),(ProjectInfoTable[ProjectName]=OutputTable[[#This Row],[ProjectName]])*ProjectInfoTable[NumberOfReplications]))</f>
        <v>50</v>
      </c>
      <c r="K573" cm="1">
        <f t="array" ref="K573">IFERROR(AVERAGE(IF((OutputTable[GroupByKey]=OutputTable[[#This Row],[GroupByKey]]),(OutputTable[GroupByKey]=OutputTable[[#This Row],[GroupByKey]])*OutputTable[RecordedValue])),0)</f>
        <v>2400.2800000000002</v>
      </c>
      <c r="L573" cm="1">
        <f t="array" ref="L573">IFERROR(_xlfn.STDEV.S(IF((OutputTable[GroupByKey]=OutputTable[[#This Row],[GroupByKey]]),(OutputTable[GroupByKey]=OutputTable[[#This Row],[GroupByKey]])*OutputTable[RecordedValue])),0)</f>
        <v>46.409024456676619</v>
      </c>
      <c r="M573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73" cm="1">
        <f t="array" ref="O573">MIN(IF((OutputTable[GroupByKey]=OutputTable[[#This Row],[GroupByKey]]),(OutputTable[GroupByKey]=OutputTable[[#This Row],[GroupByKey]])*OutputTable[RecordedValue]))</f>
        <v>2305</v>
      </c>
      <c r="P573" cm="1">
        <f t="array" ref="P573">MAX(IF((OutputTable[GroupByKey]=OutputTable[[#This Row],[GroupByKey]]),(OutputTable[GroupByKey]=OutputTable[[#This Row],[GroupByKey]])*OutputTable[RecordedValue]))</f>
        <v>2504</v>
      </c>
    </row>
    <row r="574" spans="1:16" x14ac:dyDescent="0.25">
      <c r="A574" t="s">
        <v>68</v>
      </c>
      <c r="B574" t="s">
        <v>131</v>
      </c>
      <c r="C574">
        <v>34</v>
      </c>
      <c r="D574" t="s">
        <v>120</v>
      </c>
      <c r="E574" t="s">
        <v>121</v>
      </c>
      <c r="F574" t="s">
        <v>99</v>
      </c>
      <c r="G574">
        <v>2414</v>
      </c>
      <c r="H574">
        <v>0</v>
      </c>
      <c r="I574" t="str">
        <f>OutputTable[[#This Row],[ProjectName]]&amp;OutputTable[[#This Row],[Name]]&amp;OutputTable[[#This Row],[Type]]&amp;OutputTable[[#This Row],[Source]]</f>
        <v>PacientesrCamas.NumberSeizedTotal Number SeizedResource</v>
      </c>
      <c r="J574" cm="1">
        <f t="array" ref="J574">MAX(IF((ProjectInfoTable[ProjectName]=OutputTable[[#This Row],[ProjectName]]),(ProjectInfoTable[ProjectName]=OutputTable[[#This Row],[ProjectName]])*ProjectInfoTable[NumberOfReplications]))</f>
        <v>50</v>
      </c>
      <c r="K574" cm="1">
        <f t="array" ref="K574">IFERROR(AVERAGE(IF((OutputTable[GroupByKey]=OutputTable[[#This Row],[GroupByKey]]),(OutputTable[GroupByKey]=OutputTable[[#This Row],[GroupByKey]])*OutputTable[RecordedValue])),0)</f>
        <v>2401.9</v>
      </c>
      <c r="L574" cm="1">
        <f t="array" ref="L574">IFERROR(_xlfn.STDEV.S(IF((OutputTable[GroupByKey]=OutputTable[[#This Row],[GroupByKey]]),(OutputTable[GroupByKey]=OutputTable[[#This Row],[GroupByKey]])*OutputTable[RecordedValue])),0)</f>
        <v>46.417031532903209</v>
      </c>
      <c r="M574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74" cm="1">
        <f t="array" ref="O574">MIN(IF((OutputTable[GroupByKey]=OutputTable[[#This Row],[GroupByKey]]),(OutputTable[GroupByKey]=OutputTable[[#This Row],[GroupByKey]])*OutputTable[RecordedValue]))</f>
        <v>2306</v>
      </c>
      <c r="P574" cm="1">
        <f t="array" ref="P574">MAX(IF((OutputTable[GroupByKey]=OutputTable[[#This Row],[GroupByKey]]),(OutputTable[GroupByKey]=OutputTable[[#This Row],[GroupByKey]])*OutputTable[RecordedValue]))</f>
        <v>2506</v>
      </c>
    </row>
    <row r="575" spans="1:16" x14ac:dyDescent="0.25">
      <c r="A575" t="s">
        <v>68</v>
      </c>
      <c r="B575" t="s">
        <v>131</v>
      </c>
      <c r="C575">
        <v>34</v>
      </c>
      <c r="D575" t="s">
        <v>122</v>
      </c>
      <c r="E575" t="s">
        <v>123</v>
      </c>
      <c r="F575" t="s">
        <v>99</v>
      </c>
      <c r="G575">
        <v>0.54743260742877398</v>
      </c>
      <c r="H575">
        <v>0</v>
      </c>
      <c r="I575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575" cm="1">
        <f t="array" ref="J575">MAX(IF((ProjectInfoTable[ProjectName]=OutputTable[[#This Row],[ProjectName]]),(ProjectInfoTable[ProjectName]=OutputTable[[#This Row],[ProjectName]])*ProjectInfoTable[NumberOfReplications]))</f>
        <v>50</v>
      </c>
      <c r="K575" cm="1">
        <f t="array" ref="K575">IFERROR(AVERAGE(IF((OutputTable[GroupByKey]=OutputTable[[#This Row],[GroupByKey]]),(OutputTable[GroupByKey]=OutputTable[[#This Row],[GroupByKey]])*OutputTable[RecordedValue])),0)</f>
        <v>0.54703961359050601</v>
      </c>
      <c r="L575" cm="1">
        <f t="array" ref="L575">IFERROR(_xlfn.STDEV.S(IF((OutputTable[GroupByKey]=OutputTable[[#This Row],[GroupByKey]]),(OutputTable[GroupByKey]=OutputTable[[#This Row],[GroupByKey]])*OutputTable[RecordedValue])),0)</f>
        <v>1.0221170008030479E-2</v>
      </c>
      <c r="M57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575" cm="1">
        <f t="array" ref="O575">MIN(IF((OutputTable[GroupByKey]=OutputTable[[#This Row],[GroupByKey]]),(OutputTable[GroupByKey]=OutputTable[[#This Row],[GroupByKey]])*OutputTable[RecordedValue]))</f>
        <v>0.52470641844357901</v>
      </c>
      <c r="P575" cm="1">
        <f t="array" ref="P575">MAX(IF((OutputTable[GroupByKey]=OutputTable[[#This Row],[GroupByKey]]),(OutputTable[GroupByKey]=OutputTable[[#This Row],[GroupByKey]])*OutputTable[RecordedValue]))</f>
        <v>0.57005812966092295</v>
      </c>
    </row>
    <row r="576" spans="1:16" x14ac:dyDescent="0.25">
      <c r="A576" t="s">
        <v>68</v>
      </c>
      <c r="B576" t="s">
        <v>131</v>
      </c>
      <c r="C576">
        <v>34</v>
      </c>
      <c r="D576" t="s">
        <v>124</v>
      </c>
      <c r="E576" t="s">
        <v>121</v>
      </c>
      <c r="F576" t="s">
        <v>99</v>
      </c>
      <c r="G576">
        <v>2414</v>
      </c>
      <c r="H576">
        <v>0</v>
      </c>
      <c r="I576" t="str">
        <f>OutputTable[[#This Row],[ProjectName]]&amp;OutputTable[[#This Row],[Name]]&amp;OutputTable[[#This Row],[Type]]&amp;OutputTable[[#This Row],[Source]]</f>
        <v>PacientesrMedico.NumberSeizedTotal Number SeizedResource</v>
      </c>
      <c r="J576" cm="1">
        <f t="array" ref="J576">MAX(IF((ProjectInfoTable[ProjectName]=OutputTable[[#This Row],[ProjectName]]),(ProjectInfoTable[ProjectName]=OutputTable[[#This Row],[ProjectName]])*ProjectInfoTable[NumberOfReplications]))</f>
        <v>50</v>
      </c>
      <c r="K576" cm="1">
        <f t="array" ref="K576">IFERROR(AVERAGE(IF((OutputTable[GroupByKey]=OutputTable[[#This Row],[GroupByKey]]),(OutputTable[GroupByKey]=OutputTable[[#This Row],[GroupByKey]])*OutputTable[RecordedValue])),0)</f>
        <v>2401.9</v>
      </c>
      <c r="L576" cm="1">
        <f t="array" ref="L576">IFERROR(_xlfn.STDEV.S(IF((OutputTable[GroupByKey]=OutputTable[[#This Row],[GroupByKey]]),(OutputTable[GroupByKey]=OutputTable[[#This Row],[GroupByKey]])*OutputTable[RecordedValue])),0)</f>
        <v>46.417031532903209</v>
      </c>
      <c r="M576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76" cm="1">
        <f t="array" ref="O576">MIN(IF((OutputTable[GroupByKey]=OutputTable[[#This Row],[GroupByKey]]),(OutputTable[GroupByKey]=OutputTable[[#This Row],[GroupByKey]])*OutputTable[RecordedValue]))</f>
        <v>2306</v>
      </c>
      <c r="P576" cm="1">
        <f t="array" ref="P576">MAX(IF((OutputTable[GroupByKey]=OutputTable[[#This Row],[GroupByKey]]),(OutputTable[GroupByKey]=OutputTable[[#This Row],[GroupByKey]])*OutputTable[RecordedValue]))</f>
        <v>2506</v>
      </c>
    </row>
    <row r="577" spans="1:16" x14ac:dyDescent="0.25">
      <c r="A577" t="s">
        <v>68</v>
      </c>
      <c r="B577" t="s">
        <v>131</v>
      </c>
      <c r="C577">
        <v>34</v>
      </c>
      <c r="D577" t="s">
        <v>125</v>
      </c>
      <c r="E577" t="s">
        <v>123</v>
      </c>
      <c r="F577" t="s">
        <v>99</v>
      </c>
      <c r="G577">
        <v>0.82114891114316102</v>
      </c>
      <c r="H577">
        <v>0</v>
      </c>
      <c r="I577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577" cm="1">
        <f t="array" ref="J577">MAX(IF((ProjectInfoTable[ProjectName]=OutputTable[[#This Row],[ProjectName]]),(ProjectInfoTable[ProjectName]=OutputTable[[#This Row],[ProjectName]])*ProjectInfoTable[NumberOfReplications]))</f>
        <v>50</v>
      </c>
      <c r="K577" cm="1">
        <f t="array" ref="K577">IFERROR(AVERAGE(IF((OutputTable[GroupByKey]=OutputTable[[#This Row],[GroupByKey]]),(OutputTable[GroupByKey]=OutputTable[[#This Row],[GroupByKey]])*OutputTable[RecordedValue])),0)</f>
        <v>0.82055942038575935</v>
      </c>
      <c r="L577" cm="1">
        <f t="array" ref="L577">IFERROR(_xlfn.STDEV.S(IF((OutputTable[GroupByKey]=OutputTable[[#This Row],[GroupByKey]]),(OutputTable[GroupByKey]=OutputTable[[#This Row],[GroupByKey]])*OutputTable[RecordedValue])),0)</f>
        <v>1.5331755012045719E-2</v>
      </c>
      <c r="M577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577" cm="1">
        <f t="array" ref="O577">MIN(IF((OutputTable[GroupByKey]=OutputTable[[#This Row],[GroupByKey]]),(OutputTable[GroupByKey]=OutputTable[[#This Row],[GroupByKey]])*OutputTable[RecordedValue]))</f>
        <v>0.78705962766536897</v>
      </c>
      <c r="P577" cm="1">
        <f t="array" ref="P577">MAX(IF((OutputTable[GroupByKey]=OutputTable[[#This Row],[GroupByKey]]),(OutputTable[GroupByKey]=OutputTable[[#This Row],[GroupByKey]])*OutputTable[RecordedValue]))</f>
        <v>0.85508719449138504</v>
      </c>
    </row>
    <row r="578" spans="1:16" x14ac:dyDescent="0.25">
      <c r="A578" t="s">
        <v>68</v>
      </c>
      <c r="B578" t="s">
        <v>131</v>
      </c>
      <c r="C578">
        <v>34</v>
      </c>
      <c r="D578" t="s">
        <v>126</v>
      </c>
      <c r="E578" t="s">
        <v>121</v>
      </c>
      <c r="F578" t="s">
        <v>99</v>
      </c>
      <c r="G578">
        <v>2282</v>
      </c>
      <c r="H578">
        <v>0</v>
      </c>
      <c r="I578" t="str">
        <f>OutputTable[[#This Row],[ProjectName]]&amp;OutputTable[[#This Row],[Name]]&amp;OutputTable[[#This Row],[Type]]&amp;OutputTable[[#This Row],[Source]]</f>
        <v>PacientesrRegistradora.NumberSeizedTotal Number SeizedResource</v>
      </c>
      <c r="J578" cm="1">
        <f t="array" ref="J578">MAX(IF((ProjectInfoTable[ProjectName]=OutputTable[[#This Row],[ProjectName]]),(ProjectInfoTable[ProjectName]=OutputTable[[#This Row],[ProjectName]])*ProjectInfoTable[NumberOfReplications]))</f>
        <v>50</v>
      </c>
      <c r="K578" cm="1">
        <f t="array" ref="K578">IFERROR(AVERAGE(IF((OutputTable[GroupByKey]=OutputTable[[#This Row],[GroupByKey]]),(OutputTable[GroupByKey]=OutputTable[[#This Row],[GroupByKey]])*OutputTable[RecordedValue])),0)</f>
        <v>2263.14</v>
      </c>
      <c r="L578" cm="1">
        <f t="array" ref="L578">IFERROR(_xlfn.STDEV.S(IF((OutputTable[GroupByKey]=OutputTable[[#This Row],[GroupByKey]]),(OutputTable[GroupByKey]=OutputTable[[#This Row],[GroupByKey]])*OutputTable[RecordedValue])),0)</f>
        <v>47.386818971575821</v>
      </c>
      <c r="M578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578" cm="1">
        <f t="array" ref="O578">MIN(IF((OutputTable[GroupByKey]=OutputTable[[#This Row],[GroupByKey]]),(OutputTable[GroupByKey]=OutputTable[[#This Row],[GroupByKey]])*OutputTable[RecordedValue]))</f>
        <v>2172</v>
      </c>
      <c r="P578" cm="1">
        <f t="array" ref="P578">MAX(IF((OutputTable[GroupByKey]=OutputTable[[#This Row],[GroupByKey]]),(OutputTable[GroupByKey]=OutputTable[[#This Row],[GroupByKey]])*OutputTable[RecordedValue]))</f>
        <v>2386</v>
      </c>
    </row>
    <row r="579" spans="1:16" x14ac:dyDescent="0.25">
      <c r="A579" t="s">
        <v>68</v>
      </c>
      <c r="B579" t="s">
        <v>131</v>
      </c>
      <c r="C579">
        <v>34</v>
      </c>
      <c r="D579" t="s">
        <v>127</v>
      </c>
      <c r="E579" t="s">
        <v>123</v>
      </c>
      <c r="F579" t="s">
        <v>99</v>
      </c>
      <c r="G579">
        <v>0.47352836729153203</v>
      </c>
      <c r="H579">
        <v>0</v>
      </c>
      <c r="I579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579" cm="1">
        <f t="array" ref="J579">MAX(IF((ProjectInfoTable[ProjectName]=OutputTable[[#This Row],[ProjectName]]),(ProjectInfoTable[ProjectName]=OutputTable[[#This Row],[ProjectName]])*ProjectInfoTable[NumberOfReplications]))</f>
        <v>50</v>
      </c>
      <c r="K579" cm="1">
        <f t="array" ref="K579">IFERROR(AVERAGE(IF((OutputTable[GroupByKey]=OutputTable[[#This Row],[GroupByKey]]),(OutputTable[GroupByKey]=OutputTable[[#This Row],[GroupByKey]])*OutputTable[RecordedValue])),0)</f>
        <v>0.47162762933545666</v>
      </c>
      <c r="L579" cm="1">
        <f t="array" ref="L579">IFERROR(_xlfn.STDEV.S(IF((OutputTable[GroupByKey]=OutputTable[[#This Row],[GroupByKey]]),(OutputTable[GroupByKey]=OutputTable[[#This Row],[GroupByKey]])*OutputTable[RecordedValue])),0)</f>
        <v>9.6615227076777797E-3</v>
      </c>
      <c r="M579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579" cm="1">
        <f t="array" ref="O579">MIN(IF((OutputTable[GroupByKey]=OutputTable[[#This Row],[GroupByKey]]),(OutputTable[GroupByKey]=OutputTable[[#This Row],[GroupByKey]])*OutputTable[RecordedValue]))</f>
        <v>0.452397944183905</v>
      </c>
      <c r="P579" cm="1">
        <f t="array" ref="P579">MAX(IF((OutputTable[GroupByKey]=OutputTable[[#This Row],[GroupByKey]]),(OutputTable[GroupByKey]=OutputTable[[#This Row],[GroupByKey]])*OutputTable[RecordedValue]))</f>
        <v>0.49691123629694001</v>
      </c>
    </row>
    <row r="580" spans="1:16" x14ac:dyDescent="0.25">
      <c r="A580" t="s">
        <v>68</v>
      </c>
      <c r="B580" t="s">
        <v>131</v>
      </c>
      <c r="C580">
        <v>35</v>
      </c>
      <c r="D580" t="s">
        <v>104</v>
      </c>
      <c r="E580" t="s">
        <v>105</v>
      </c>
      <c r="F580" t="s">
        <v>72</v>
      </c>
      <c r="G580">
        <v>2440</v>
      </c>
      <c r="H580">
        <v>0</v>
      </c>
      <c r="I580" t="str">
        <f>OutputTable[[#This Row],[ProjectName]]&amp;OutputTable[[#This Row],[Name]]&amp;OutputTable[[#This Row],[Type]]&amp;OutputTable[[#This Row],[Source]]</f>
        <v>PacientesEntity 1.NumberInNumber InEntity</v>
      </c>
      <c r="J580" cm="1">
        <f t="array" ref="J580">MAX(IF((ProjectInfoTable[ProjectName]=OutputTable[[#This Row],[ProjectName]]),(ProjectInfoTable[ProjectName]=OutputTable[[#This Row],[ProjectName]])*ProjectInfoTable[NumberOfReplications]))</f>
        <v>50</v>
      </c>
      <c r="K580" cm="1">
        <f t="array" ref="K580">IFERROR(AVERAGE(IF((OutputTable[GroupByKey]=OutputTable[[#This Row],[GroupByKey]]),(OutputTable[GroupByKey]=OutputTable[[#This Row],[GroupByKey]])*OutputTable[RecordedValue])),0)</f>
        <v>2404.8200000000002</v>
      </c>
      <c r="L580" cm="1">
        <f t="array" ref="L580">IFERROR(_xlfn.STDEV.S(IF((OutputTable[GroupByKey]=OutputTable[[#This Row],[GroupByKey]]),(OutputTable[GroupByKey]=OutputTable[[#This Row],[GroupByKey]])*OutputTable[RecordedValue])),0)</f>
        <v>46.42953405595474</v>
      </c>
      <c r="M580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580" cm="1">
        <f t="array" ref="O580">MIN(IF((OutputTable[GroupByKey]=OutputTable[[#This Row],[GroupByKey]]),(OutputTable[GroupByKey]=OutputTable[[#This Row],[GroupByKey]])*OutputTable[RecordedValue]))</f>
        <v>2307</v>
      </c>
      <c r="P580" cm="1">
        <f t="array" ref="P580">MAX(IF((OutputTable[GroupByKey]=OutputTable[[#This Row],[GroupByKey]]),(OutputTable[GroupByKey]=OutputTable[[#This Row],[GroupByKey]])*OutputTable[RecordedValue]))</f>
        <v>2518</v>
      </c>
    </row>
    <row r="581" spans="1:16" x14ac:dyDescent="0.25">
      <c r="A581" t="s">
        <v>68</v>
      </c>
      <c r="B581" t="s">
        <v>131</v>
      </c>
      <c r="C581">
        <v>35</v>
      </c>
      <c r="D581" t="s">
        <v>106</v>
      </c>
      <c r="E581" t="s">
        <v>107</v>
      </c>
      <c r="F581" t="s">
        <v>72</v>
      </c>
      <c r="G581">
        <v>2436</v>
      </c>
      <c r="H581">
        <v>0</v>
      </c>
      <c r="I581" t="str">
        <f>OutputTable[[#This Row],[ProjectName]]&amp;OutputTable[[#This Row],[Name]]&amp;OutputTable[[#This Row],[Type]]&amp;OutputTable[[#This Row],[Source]]</f>
        <v>PacientesEntity 1.NumberOutNumber OutEntity</v>
      </c>
      <c r="J581" cm="1">
        <f t="array" ref="J581">MAX(IF((ProjectInfoTable[ProjectName]=OutputTable[[#This Row],[ProjectName]]),(ProjectInfoTable[ProjectName]=OutputTable[[#This Row],[ProjectName]])*ProjectInfoTable[NumberOfReplications]))</f>
        <v>50</v>
      </c>
      <c r="K581" cm="1">
        <f t="array" ref="K581">IFERROR(AVERAGE(IF((OutputTable[GroupByKey]=OutputTable[[#This Row],[GroupByKey]]),(OutputTable[GroupByKey]=OutputTable[[#This Row],[GroupByKey]])*OutputTable[RecordedValue])),0)</f>
        <v>2400.2800000000002</v>
      </c>
      <c r="L581" cm="1">
        <f t="array" ref="L581">IFERROR(_xlfn.STDEV.S(IF((OutputTable[GroupByKey]=OutputTable[[#This Row],[GroupByKey]]),(OutputTable[GroupByKey]=OutputTable[[#This Row],[GroupByKey]])*OutputTable[RecordedValue])),0)</f>
        <v>46.409024456676619</v>
      </c>
      <c r="M581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81" cm="1">
        <f t="array" ref="O581">MIN(IF((OutputTable[GroupByKey]=OutputTable[[#This Row],[GroupByKey]]),(OutputTable[GroupByKey]=OutputTable[[#This Row],[GroupByKey]])*OutputTable[RecordedValue]))</f>
        <v>2305</v>
      </c>
      <c r="P581" cm="1">
        <f t="array" ref="P581">MAX(IF((OutputTable[GroupByKey]=OutputTable[[#This Row],[GroupByKey]]),(OutputTable[GroupByKey]=OutputTable[[#This Row],[GroupByKey]])*OutputTable[RecordedValue]))</f>
        <v>2504</v>
      </c>
    </row>
    <row r="582" spans="1:16" x14ac:dyDescent="0.25">
      <c r="A582" t="s">
        <v>68</v>
      </c>
      <c r="B582" t="s">
        <v>131</v>
      </c>
      <c r="C582">
        <v>35</v>
      </c>
      <c r="D582" t="s">
        <v>108</v>
      </c>
      <c r="E582" t="s">
        <v>109</v>
      </c>
      <c r="F582" t="s">
        <v>80</v>
      </c>
      <c r="G582">
        <v>1178.23839158961</v>
      </c>
      <c r="H582">
        <v>0</v>
      </c>
      <c r="I582" t="str">
        <f>OutputTable[[#This Row],[ProjectName]]&amp;OutputTable[[#This Row],[Name]]&amp;OutputTable[[#This Row],[Type]]&amp;OutputTable[[#This Row],[Source]]</f>
        <v>PacientesProcess 2 Accum VA TimeAccum VA TimeProcess</v>
      </c>
      <c r="J582" cm="1">
        <f t="array" ref="J582">MAX(IF((ProjectInfoTable[ProjectName]=OutputTable[[#This Row],[ProjectName]]),(ProjectInfoTable[ProjectName]=OutputTable[[#This Row],[ProjectName]])*ProjectInfoTable[NumberOfReplications]))</f>
        <v>50</v>
      </c>
      <c r="K582" cm="1">
        <f t="array" ref="K582">IFERROR(AVERAGE(IF((OutputTable[GroupByKey]=OutputTable[[#This Row],[GroupByKey]]),(OutputTable[GroupByKey]=OutputTable[[#This Row],[GroupByKey]])*OutputTable[RecordedValue])),0)</f>
        <v>1181.1234936767919</v>
      </c>
      <c r="L582" cm="1">
        <f t="array" ref="L582">IFERROR(_xlfn.STDEV.S(IF((OutputTable[GroupByKey]=OutputTable[[#This Row],[GroupByKey]]),(OutputTable[GroupByKey]=OutputTable[[#This Row],[GroupByKey]])*OutputTable[RecordedValue])),0)</f>
        <v>22.169313666927575</v>
      </c>
      <c r="M582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582" cm="1">
        <f t="array" ref="O582">MIN(IF((OutputTable[GroupByKey]=OutputTable[[#This Row],[GroupByKey]]),(OutputTable[GroupByKey]=OutputTable[[#This Row],[GroupByKey]])*OutputTable[RecordedValue]))</f>
        <v>1133.24622318414</v>
      </c>
      <c r="P582" cm="1">
        <f t="array" ref="P582">MAX(IF((OutputTable[GroupByKey]=OutputTable[[#This Row],[GroupByKey]]),(OutputTable[GroupByKey]=OutputTable[[#This Row],[GroupByKey]])*OutputTable[RecordedValue]))</f>
        <v>1230.9493287309799</v>
      </c>
    </row>
    <row r="583" spans="1:16" x14ac:dyDescent="0.25">
      <c r="A583" t="s">
        <v>68</v>
      </c>
      <c r="B583" t="s">
        <v>131</v>
      </c>
      <c r="C583">
        <v>35</v>
      </c>
      <c r="D583" t="s">
        <v>110</v>
      </c>
      <c r="E583" t="s">
        <v>111</v>
      </c>
      <c r="F583" t="s">
        <v>80</v>
      </c>
      <c r="G583">
        <v>1645.9060829611699</v>
      </c>
      <c r="H583">
        <v>0</v>
      </c>
      <c r="I583" t="str">
        <f>OutputTable[[#This Row],[ProjectName]]&amp;OutputTable[[#This Row],[Name]]&amp;OutputTable[[#This Row],[Type]]&amp;OutputTable[[#This Row],[Source]]</f>
        <v>PacientesProcess 2 Accum Wait TimeAccum Wait TimeProcess</v>
      </c>
      <c r="J583" cm="1">
        <f t="array" ref="J583">MAX(IF((ProjectInfoTable[ProjectName]=OutputTable[[#This Row],[ProjectName]]),(ProjectInfoTable[ProjectName]=OutputTable[[#This Row],[ProjectName]])*ProjectInfoTable[NumberOfReplications]))</f>
        <v>50</v>
      </c>
      <c r="K583" cm="1">
        <f t="array" ref="K583">IFERROR(AVERAGE(IF((OutputTable[GroupByKey]=OutputTable[[#This Row],[GroupByKey]]),(OutputTable[GroupByKey]=OutputTable[[#This Row],[GroupByKey]])*OutputTable[RecordedValue])),0)</f>
        <v>1938.7515507466894</v>
      </c>
      <c r="L583" cm="1">
        <f t="array" ref="L583">IFERROR(_xlfn.STDEV.S(IF((OutputTable[GroupByKey]=OutputTable[[#This Row],[GroupByKey]]),(OutputTable[GroupByKey]=OutputTable[[#This Row],[GroupByKey]])*OutputTable[RecordedValue])),0)</f>
        <v>534.03396241838232</v>
      </c>
      <c r="M583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583" cm="1">
        <f t="array" ref="O583">MIN(IF((OutputTable[GroupByKey]=OutputTable[[#This Row],[GroupByKey]]),(OutputTable[GroupByKey]=OutputTable[[#This Row],[GroupByKey]])*OutputTable[RecordedValue]))</f>
        <v>1234.7567994731401</v>
      </c>
      <c r="P583" cm="1">
        <f t="array" ref="P583">MAX(IF((OutputTable[GroupByKey]=OutputTable[[#This Row],[GroupByKey]]),(OutputTable[GroupByKey]=OutputTable[[#This Row],[GroupByKey]])*OutputTable[RecordedValue]))</f>
        <v>3269.0858002883801</v>
      </c>
    </row>
    <row r="584" spans="1:16" x14ac:dyDescent="0.25">
      <c r="A584" t="s">
        <v>68</v>
      </c>
      <c r="B584" t="s">
        <v>131</v>
      </c>
      <c r="C584">
        <v>35</v>
      </c>
      <c r="D584" t="s">
        <v>112</v>
      </c>
      <c r="E584" t="s">
        <v>105</v>
      </c>
      <c r="F584" t="s">
        <v>80</v>
      </c>
      <c r="G584">
        <v>2438</v>
      </c>
      <c r="H584">
        <v>0</v>
      </c>
      <c r="I584" t="str">
        <f>OutputTable[[#This Row],[ProjectName]]&amp;OutputTable[[#This Row],[Name]]&amp;OutputTable[[#This Row],[Type]]&amp;OutputTable[[#This Row],[Source]]</f>
        <v>PacientesProcess 2 Number InNumber InProcess</v>
      </c>
      <c r="J584" cm="1">
        <f t="array" ref="J584">MAX(IF((ProjectInfoTable[ProjectName]=OutputTable[[#This Row],[ProjectName]]),(ProjectInfoTable[ProjectName]=OutputTable[[#This Row],[ProjectName]])*ProjectInfoTable[NumberOfReplications]))</f>
        <v>50</v>
      </c>
      <c r="K584" cm="1">
        <f t="array" ref="K584">IFERROR(AVERAGE(IF((OutputTable[GroupByKey]=OutputTable[[#This Row],[GroupByKey]]),(OutputTable[GroupByKey]=OutputTable[[#This Row],[GroupByKey]])*OutputTable[RecordedValue])),0)</f>
        <v>2404.2399999999998</v>
      </c>
      <c r="L584" cm="1">
        <f t="array" ref="L584">IFERROR(_xlfn.STDEV.S(IF((OutputTable[GroupByKey]=OutputTable[[#This Row],[GroupByKey]]),(OutputTable[GroupByKey]=OutputTable[[#This Row],[GroupByKey]])*OutputTable[RecordedValue])),0)</f>
        <v>46.574303154053879</v>
      </c>
      <c r="M584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584" cm="1">
        <f t="array" ref="O584">MIN(IF((OutputTable[GroupByKey]=OutputTable[[#This Row],[GroupByKey]]),(OutputTable[GroupByKey]=OutputTable[[#This Row],[GroupByKey]])*OutputTable[RecordedValue]))</f>
        <v>2306</v>
      </c>
      <c r="P584" cm="1">
        <f t="array" ref="P584">MAX(IF((OutputTable[GroupByKey]=OutputTable[[#This Row],[GroupByKey]]),(OutputTable[GroupByKey]=OutputTable[[#This Row],[GroupByKey]])*OutputTable[RecordedValue]))</f>
        <v>2518</v>
      </c>
    </row>
    <row r="585" spans="1:16" x14ac:dyDescent="0.25">
      <c r="A585" t="s">
        <v>68</v>
      </c>
      <c r="B585" t="s">
        <v>131</v>
      </c>
      <c r="C585">
        <v>35</v>
      </c>
      <c r="D585" t="s">
        <v>113</v>
      </c>
      <c r="E585" t="s">
        <v>107</v>
      </c>
      <c r="F585" t="s">
        <v>80</v>
      </c>
      <c r="G585">
        <v>2436</v>
      </c>
      <c r="H585">
        <v>0</v>
      </c>
      <c r="I585" t="str">
        <f>OutputTable[[#This Row],[ProjectName]]&amp;OutputTable[[#This Row],[Name]]&amp;OutputTable[[#This Row],[Type]]&amp;OutputTable[[#This Row],[Source]]</f>
        <v>PacientesProcess 2 Number OutNumber OutProcess</v>
      </c>
      <c r="J585" cm="1">
        <f t="array" ref="J585">MAX(IF((ProjectInfoTable[ProjectName]=OutputTable[[#This Row],[ProjectName]]),(ProjectInfoTable[ProjectName]=OutputTable[[#This Row],[ProjectName]])*ProjectInfoTable[NumberOfReplications]))</f>
        <v>50</v>
      </c>
      <c r="K585" cm="1">
        <f t="array" ref="K585">IFERROR(AVERAGE(IF((OutputTable[GroupByKey]=OutputTable[[#This Row],[GroupByKey]]),(OutputTable[GroupByKey]=OutputTable[[#This Row],[GroupByKey]])*OutputTable[RecordedValue])),0)</f>
        <v>2400.2800000000002</v>
      </c>
      <c r="L585" cm="1">
        <f t="array" ref="L585">IFERROR(_xlfn.STDEV.S(IF((OutputTable[GroupByKey]=OutputTable[[#This Row],[GroupByKey]]),(OutputTable[GroupByKey]=OutputTable[[#This Row],[GroupByKey]])*OutputTable[RecordedValue])),0)</f>
        <v>46.409024456676619</v>
      </c>
      <c r="M58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85" cm="1">
        <f t="array" ref="O585">MIN(IF((OutputTable[GroupByKey]=OutputTable[[#This Row],[GroupByKey]]),(OutputTable[GroupByKey]=OutputTable[[#This Row],[GroupByKey]])*OutputTable[RecordedValue]))</f>
        <v>2305</v>
      </c>
      <c r="P585" cm="1">
        <f t="array" ref="P585">MAX(IF((OutputTable[GroupByKey]=OutputTable[[#This Row],[GroupByKey]]),(OutputTable[GroupByKey]=OutputTable[[#This Row],[GroupByKey]])*OutputTable[RecordedValue]))</f>
        <v>2504</v>
      </c>
    </row>
    <row r="586" spans="1:16" x14ac:dyDescent="0.25">
      <c r="A586" t="s">
        <v>68</v>
      </c>
      <c r="B586" t="s">
        <v>131</v>
      </c>
      <c r="C586">
        <v>35</v>
      </c>
      <c r="D586" t="s">
        <v>114</v>
      </c>
      <c r="E586" t="s">
        <v>109</v>
      </c>
      <c r="F586" t="s">
        <v>80</v>
      </c>
      <c r="G586">
        <v>345.53050927703202</v>
      </c>
      <c r="H586">
        <v>0</v>
      </c>
      <c r="I586" t="str">
        <f>OutputTable[[#This Row],[ProjectName]]&amp;OutputTable[[#This Row],[Name]]&amp;OutputTable[[#This Row],[Type]]&amp;OutputTable[[#This Row],[Source]]</f>
        <v>PacientesRegistro Accum VA TimeAccum VA TimeProcess</v>
      </c>
      <c r="J586" cm="1">
        <f t="array" ref="J586">MAX(IF((ProjectInfoTable[ProjectName]=OutputTable[[#This Row],[ProjectName]]),(ProjectInfoTable[ProjectName]=OutputTable[[#This Row],[ProjectName]])*ProjectInfoTable[NumberOfReplications]))</f>
        <v>50</v>
      </c>
      <c r="K586" cm="1">
        <f t="array" ref="K586">IFERROR(AVERAGE(IF((OutputTable[GroupByKey]=OutputTable[[#This Row],[GroupByKey]]),(OutputTable[GroupByKey]=OutputTable[[#This Row],[GroupByKey]])*OutputTable[RecordedValue])),0)</f>
        <v>339.53547737062786</v>
      </c>
      <c r="L586" cm="1">
        <f t="array" ref="L586">IFERROR(_xlfn.STDEV.S(IF((OutputTable[GroupByKey]=OutputTable[[#This Row],[GroupByKey]]),(OutputTable[GroupByKey]=OutputTable[[#This Row],[GroupByKey]])*OutputTable[RecordedValue])),0)</f>
        <v>6.9723666109353193</v>
      </c>
      <c r="M586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586" cm="1">
        <f t="array" ref="O586">MIN(IF((OutputTable[GroupByKey]=OutputTable[[#This Row],[GroupByKey]]),(OutputTable[GroupByKey]=OutputTable[[#This Row],[GroupByKey]])*OutputTable[RecordedValue]))</f>
        <v>325.606879158418</v>
      </c>
      <c r="P586" cm="1">
        <f t="array" ref="P586">MAX(IF((OutputTable[GroupByKey]=OutputTable[[#This Row],[GroupByKey]]),(OutputTable[GroupByKey]=OutputTable[[#This Row],[GroupByKey]])*OutputTable[RecordedValue]))</f>
        <v>357.77609013379703</v>
      </c>
    </row>
    <row r="587" spans="1:16" x14ac:dyDescent="0.25">
      <c r="A587" t="s">
        <v>68</v>
      </c>
      <c r="B587" t="s">
        <v>131</v>
      </c>
      <c r="C587">
        <v>35</v>
      </c>
      <c r="D587" t="s">
        <v>115</v>
      </c>
      <c r="E587" t="s">
        <v>111</v>
      </c>
      <c r="F587" t="s">
        <v>80</v>
      </c>
      <c r="G587">
        <v>168.879815984576</v>
      </c>
      <c r="H587">
        <v>0</v>
      </c>
      <c r="I587" t="str">
        <f>OutputTable[[#This Row],[ProjectName]]&amp;OutputTable[[#This Row],[Name]]&amp;OutputTable[[#This Row],[Type]]&amp;OutputTable[[#This Row],[Source]]</f>
        <v>PacientesRegistro Accum Wait TimeAccum Wait TimeProcess</v>
      </c>
      <c r="J587" cm="1">
        <f t="array" ref="J587">MAX(IF((ProjectInfoTable[ProjectName]=OutputTable[[#This Row],[ProjectName]]),(ProjectInfoTable[ProjectName]=OutputTable[[#This Row],[ProjectName]])*ProjectInfoTable[NumberOfReplications]))</f>
        <v>50</v>
      </c>
      <c r="K587" cm="1">
        <f t="array" ref="K587">IFERROR(AVERAGE(IF((OutputTable[GroupByKey]=OutputTable[[#This Row],[GroupByKey]]),(OutputTable[GroupByKey]=OutputTable[[#This Row],[GroupByKey]])*OutputTable[RecordedValue])),0)</f>
        <v>154.15303898127775</v>
      </c>
      <c r="L587" cm="1">
        <f t="array" ref="L587">IFERROR(_xlfn.STDEV.S(IF((OutputTable[GroupByKey]=OutputTable[[#This Row],[GroupByKey]]),(OutputTable[GroupByKey]=OutputTable[[#This Row],[GroupByKey]])*OutputTable[RecordedValue])),0)</f>
        <v>12.141439184615397</v>
      </c>
      <c r="M587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587" cm="1">
        <f t="array" ref="O587">MIN(IF((OutputTable[GroupByKey]=OutputTable[[#This Row],[GroupByKey]]),(OutputTable[GroupByKey]=OutputTable[[#This Row],[GroupByKey]])*OutputTable[RecordedValue]))</f>
        <v>123.901613974094</v>
      </c>
      <c r="P587" cm="1">
        <f t="array" ref="P587">MAX(IF((OutputTable[GroupByKey]=OutputTable[[#This Row],[GroupByKey]]),(OutputTable[GroupByKey]=OutputTable[[#This Row],[GroupByKey]])*OutputTable[RecordedValue]))</f>
        <v>178.441307284473</v>
      </c>
    </row>
    <row r="588" spans="1:16" x14ac:dyDescent="0.25">
      <c r="A588" t="s">
        <v>68</v>
      </c>
      <c r="B588" t="s">
        <v>131</v>
      </c>
      <c r="C588">
        <v>35</v>
      </c>
      <c r="D588" t="s">
        <v>116</v>
      </c>
      <c r="E588" t="s">
        <v>105</v>
      </c>
      <c r="F588" t="s">
        <v>80</v>
      </c>
      <c r="G588">
        <v>2307</v>
      </c>
      <c r="H588">
        <v>0</v>
      </c>
      <c r="I588" t="str">
        <f>OutputTable[[#This Row],[ProjectName]]&amp;OutputTable[[#This Row],[Name]]&amp;OutputTable[[#This Row],[Type]]&amp;OutputTable[[#This Row],[Source]]</f>
        <v>PacientesRegistro Number InNumber InProcess</v>
      </c>
      <c r="J588" cm="1">
        <f t="array" ref="J588">MAX(IF((ProjectInfoTable[ProjectName]=OutputTable[[#This Row],[ProjectName]]),(ProjectInfoTable[ProjectName]=OutputTable[[#This Row],[ProjectName]])*ProjectInfoTable[NumberOfReplications]))</f>
        <v>50</v>
      </c>
      <c r="K588" cm="1">
        <f t="array" ref="K588">IFERROR(AVERAGE(IF((OutputTable[GroupByKey]=OutputTable[[#This Row],[GroupByKey]]),(OutputTable[GroupByKey]=OutputTable[[#This Row],[GroupByKey]])*OutputTable[RecordedValue])),0)</f>
        <v>2263.2399999999998</v>
      </c>
      <c r="L588" cm="1">
        <f t="array" ref="L588">IFERROR(_xlfn.STDEV.S(IF((OutputTable[GroupByKey]=OutputTable[[#This Row],[GroupByKey]]),(OutputTable[GroupByKey]=OutputTable[[#This Row],[GroupByKey]])*OutputTable[RecordedValue])),0)</f>
        <v>47.331035682472766</v>
      </c>
      <c r="M588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588" cm="1">
        <f t="array" ref="O588">MIN(IF((OutputTable[GroupByKey]=OutputTable[[#This Row],[GroupByKey]]),(OutputTable[GroupByKey]=OutputTable[[#This Row],[GroupByKey]])*OutputTable[RecordedValue]))</f>
        <v>2172</v>
      </c>
      <c r="P588" cm="1">
        <f t="array" ref="P588">MAX(IF((OutputTable[GroupByKey]=OutputTable[[#This Row],[GroupByKey]]),(OutputTable[GroupByKey]=OutputTable[[#This Row],[GroupByKey]])*OutputTable[RecordedValue]))</f>
        <v>2386</v>
      </c>
    </row>
    <row r="589" spans="1:16" x14ac:dyDescent="0.25">
      <c r="A589" t="s">
        <v>68</v>
      </c>
      <c r="B589" t="s">
        <v>131</v>
      </c>
      <c r="C589">
        <v>35</v>
      </c>
      <c r="D589" t="s">
        <v>117</v>
      </c>
      <c r="E589" t="s">
        <v>107</v>
      </c>
      <c r="F589" t="s">
        <v>80</v>
      </c>
      <c r="G589">
        <v>2305</v>
      </c>
      <c r="H589">
        <v>0</v>
      </c>
      <c r="I589" t="str">
        <f>OutputTable[[#This Row],[ProjectName]]&amp;OutputTable[[#This Row],[Name]]&amp;OutputTable[[#This Row],[Type]]&amp;OutputTable[[#This Row],[Source]]</f>
        <v>PacientesRegistro Number OutNumber OutProcess</v>
      </c>
      <c r="J589" cm="1">
        <f t="array" ref="J589">MAX(IF((ProjectInfoTable[ProjectName]=OutputTable[[#This Row],[ProjectName]]),(ProjectInfoTable[ProjectName]=OutputTable[[#This Row],[ProjectName]])*ProjectInfoTable[NumberOfReplications]))</f>
        <v>50</v>
      </c>
      <c r="K589" cm="1">
        <f t="array" ref="K589">IFERROR(AVERAGE(IF((OutputTable[GroupByKey]=OutputTable[[#This Row],[GroupByKey]]),(OutputTable[GroupByKey]=OutputTable[[#This Row],[GroupByKey]])*OutputTable[RecordedValue])),0)</f>
        <v>2262.66</v>
      </c>
      <c r="L589" cm="1">
        <f t="array" ref="L589">IFERROR(_xlfn.STDEV.S(IF((OutputTable[GroupByKey]=OutputTable[[#This Row],[GroupByKey]]),(OutputTable[GroupByKey]=OutputTable[[#This Row],[GroupByKey]])*OutputTable[RecordedValue])),0)</f>
        <v>47.488176831454687</v>
      </c>
      <c r="M589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589" cm="1">
        <f t="array" ref="O589">MIN(IF((OutputTable[GroupByKey]=OutputTable[[#This Row],[GroupByKey]]),(OutputTable[GroupByKey]=OutputTable[[#This Row],[GroupByKey]])*OutputTable[RecordedValue]))</f>
        <v>2171</v>
      </c>
      <c r="P589" cm="1">
        <f t="array" ref="P589">MAX(IF((OutputTable[GroupByKey]=OutputTable[[#This Row],[GroupByKey]]),(OutputTable[GroupByKey]=OutputTable[[#This Row],[GroupByKey]])*OutputTable[RecordedValue]))</f>
        <v>2386</v>
      </c>
    </row>
    <row r="590" spans="1:16" x14ac:dyDescent="0.25">
      <c r="A590" t="s">
        <v>68</v>
      </c>
      <c r="B590" t="s">
        <v>131</v>
      </c>
      <c r="C590">
        <v>35</v>
      </c>
      <c r="D590" t="s">
        <v>118</v>
      </c>
      <c r="E590" t="s">
        <v>107</v>
      </c>
      <c r="F590" t="s">
        <v>119</v>
      </c>
      <c r="G590">
        <v>2436</v>
      </c>
      <c r="H590">
        <v>0</v>
      </c>
      <c r="I590" t="str">
        <f>OutputTable[[#This Row],[ProjectName]]&amp;OutputTable[[#This Row],[Name]]&amp;OutputTable[[#This Row],[Type]]&amp;OutputTable[[#This Row],[Source]]</f>
        <v>PacientesSystem.NumberOutNumber OutSystem</v>
      </c>
      <c r="J590" cm="1">
        <f t="array" ref="J590">MAX(IF((ProjectInfoTable[ProjectName]=OutputTable[[#This Row],[ProjectName]]),(ProjectInfoTable[ProjectName]=OutputTable[[#This Row],[ProjectName]])*ProjectInfoTable[NumberOfReplications]))</f>
        <v>50</v>
      </c>
      <c r="K590" cm="1">
        <f t="array" ref="K590">IFERROR(AVERAGE(IF((OutputTable[GroupByKey]=OutputTable[[#This Row],[GroupByKey]]),(OutputTable[GroupByKey]=OutputTable[[#This Row],[GroupByKey]])*OutputTable[RecordedValue])),0)</f>
        <v>2400.2800000000002</v>
      </c>
      <c r="L590" cm="1">
        <f t="array" ref="L590">IFERROR(_xlfn.STDEV.S(IF((OutputTable[GroupByKey]=OutputTable[[#This Row],[GroupByKey]]),(OutputTable[GroupByKey]=OutputTable[[#This Row],[GroupByKey]])*OutputTable[RecordedValue])),0)</f>
        <v>46.409024456676619</v>
      </c>
      <c r="M590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90" cm="1">
        <f t="array" ref="O590">MIN(IF((OutputTable[GroupByKey]=OutputTable[[#This Row],[GroupByKey]]),(OutputTable[GroupByKey]=OutputTable[[#This Row],[GroupByKey]])*OutputTable[RecordedValue]))</f>
        <v>2305</v>
      </c>
      <c r="P590" cm="1">
        <f t="array" ref="P590">MAX(IF((OutputTable[GroupByKey]=OutputTable[[#This Row],[GroupByKey]]),(OutputTable[GroupByKey]=OutputTable[[#This Row],[GroupByKey]])*OutputTable[RecordedValue]))</f>
        <v>2504</v>
      </c>
    </row>
    <row r="591" spans="1:16" x14ac:dyDescent="0.25">
      <c r="A591" t="s">
        <v>68</v>
      </c>
      <c r="B591" t="s">
        <v>131</v>
      </c>
      <c r="C591">
        <v>35</v>
      </c>
      <c r="D591" t="s">
        <v>120</v>
      </c>
      <c r="E591" t="s">
        <v>121</v>
      </c>
      <c r="F591" t="s">
        <v>99</v>
      </c>
      <c r="G591">
        <v>2438</v>
      </c>
      <c r="H591">
        <v>0</v>
      </c>
      <c r="I591" t="str">
        <f>OutputTable[[#This Row],[ProjectName]]&amp;OutputTable[[#This Row],[Name]]&amp;OutputTable[[#This Row],[Type]]&amp;OutputTable[[#This Row],[Source]]</f>
        <v>PacientesrCamas.NumberSeizedTotal Number SeizedResource</v>
      </c>
      <c r="J591" cm="1">
        <f t="array" ref="J591">MAX(IF((ProjectInfoTable[ProjectName]=OutputTable[[#This Row],[ProjectName]]),(ProjectInfoTable[ProjectName]=OutputTable[[#This Row],[ProjectName]])*ProjectInfoTable[NumberOfReplications]))</f>
        <v>50</v>
      </c>
      <c r="K591" cm="1">
        <f t="array" ref="K591">IFERROR(AVERAGE(IF((OutputTable[GroupByKey]=OutputTable[[#This Row],[GroupByKey]]),(OutputTable[GroupByKey]=OutputTable[[#This Row],[GroupByKey]])*OutputTable[RecordedValue])),0)</f>
        <v>2401.9</v>
      </c>
      <c r="L591" cm="1">
        <f t="array" ref="L591">IFERROR(_xlfn.STDEV.S(IF((OutputTable[GroupByKey]=OutputTable[[#This Row],[GroupByKey]]),(OutputTable[GroupByKey]=OutputTable[[#This Row],[GroupByKey]])*OutputTable[RecordedValue])),0)</f>
        <v>46.417031532903209</v>
      </c>
      <c r="M591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91" cm="1">
        <f t="array" ref="O591">MIN(IF((OutputTable[GroupByKey]=OutputTable[[#This Row],[GroupByKey]]),(OutputTable[GroupByKey]=OutputTable[[#This Row],[GroupByKey]])*OutputTable[RecordedValue]))</f>
        <v>2306</v>
      </c>
      <c r="P591" cm="1">
        <f t="array" ref="P591">MAX(IF((OutputTable[GroupByKey]=OutputTable[[#This Row],[GroupByKey]]),(OutputTable[GroupByKey]=OutputTable[[#This Row],[GroupByKey]])*OutputTable[RecordedValue]))</f>
        <v>2506</v>
      </c>
    </row>
    <row r="592" spans="1:16" x14ac:dyDescent="0.25">
      <c r="A592" t="s">
        <v>68</v>
      </c>
      <c r="B592" t="s">
        <v>131</v>
      </c>
      <c r="C592">
        <v>35</v>
      </c>
      <c r="D592" t="s">
        <v>122</v>
      </c>
      <c r="E592" t="s">
        <v>123</v>
      </c>
      <c r="F592" t="s">
        <v>99</v>
      </c>
      <c r="G592">
        <v>0.54564134375843898</v>
      </c>
      <c r="H592">
        <v>0</v>
      </c>
      <c r="I592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592" cm="1">
        <f t="array" ref="J592">MAX(IF((ProjectInfoTable[ProjectName]=OutputTable[[#This Row],[ProjectName]]),(ProjectInfoTable[ProjectName]=OutputTable[[#This Row],[ProjectName]])*ProjectInfoTable[NumberOfReplications]))</f>
        <v>50</v>
      </c>
      <c r="K592" cm="1">
        <f t="array" ref="K592">IFERROR(AVERAGE(IF((OutputTable[GroupByKey]=OutputTable[[#This Row],[GroupByKey]]),(OutputTable[GroupByKey]=OutputTable[[#This Row],[GroupByKey]])*OutputTable[RecordedValue])),0)</f>
        <v>0.54703961359050601</v>
      </c>
      <c r="L592" cm="1">
        <f t="array" ref="L592">IFERROR(_xlfn.STDEV.S(IF((OutputTable[GroupByKey]=OutputTable[[#This Row],[GroupByKey]]),(OutputTable[GroupByKey]=OutputTable[[#This Row],[GroupByKey]])*OutputTable[RecordedValue])),0)</f>
        <v>1.0221170008030479E-2</v>
      </c>
      <c r="M592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592" cm="1">
        <f t="array" ref="O592">MIN(IF((OutputTable[GroupByKey]=OutputTable[[#This Row],[GroupByKey]]),(OutputTable[GroupByKey]=OutputTable[[#This Row],[GroupByKey]])*OutputTable[RecordedValue]))</f>
        <v>0.52470641844357901</v>
      </c>
      <c r="P592" cm="1">
        <f t="array" ref="P592">MAX(IF((OutputTable[GroupByKey]=OutputTable[[#This Row],[GroupByKey]]),(OutputTable[GroupByKey]=OutputTable[[#This Row],[GroupByKey]])*OutputTable[RecordedValue]))</f>
        <v>0.57005812966092295</v>
      </c>
    </row>
    <row r="593" spans="1:16" x14ac:dyDescent="0.25">
      <c r="A593" t="s">
        <v>68</v>
      </c>
      <c r="B593" t="s">
        <v>131</v>
      </c>
      <c r="C593">
        <v>35</v>
      </c>
      <c r="D593" t="s">
        <v>124</v>
      </c>
      <c r="E593" t="s">
        <v>121</v>
      </c>
      <c r="F593" t="s">
        <v>99</v>
      </c>
      <c r="G593">
        <v>2438</v>
      </c>
      <c r="H593">
        <v>0</v>
      </c>
      <c r="I593" t="str">
        <f>OutputTable[[#This Row],[ProjectName]]&amp;OutputTable[[#This Row],[Name]]&amp;OutputTable[[#This Row],[Type]]&amp;OutputTable[[#This Row],[Source]]</f>
        <v>PacientesrMedico.NumberSeizedTotal Number SeizedResource</v>
      </c>
      <c r="J593" cm="1">
        <f t="array" ref="J593">MAX(IF((ProjectInfoTable[ProjectName]=OutputTable[[#This Row],[ProjectName]]),(ProjectInfoTable[ProjectName]=OutputTable[[#This Row],[ProjectName]])*ProjectInfoTable[NumberOfReplications]))</f>
        <v>50</v>
      </c>
      <c r="K593" cm="1">
        <f t="array" ref="K593">IFERROR(AVERAGE(IF((OutputTable[GroupByKey]=OutputTable[[#This Row],[GroupByKey]]),(OutputTable[GroupByKey]=OutputTable[[#This Row],[GroupByKey]])*OutputTable[RecordedValue])),0)</f>
        <v>2401.9</v>
      </c>
      <c r="L593" cm="1">
        <f t="array" ref="L593">IFERROR(_xlfn.STDEV.S(IF((OutputTable[GroupByKey]=OutputTable[[#This Row],[GroupByKey]]),(OutputTable[GroupByKey]=OutputTable[[#This Row],[GroupByKey]])*OutputTable[RecordedValue])),0)</f>
        <v>46.417031532903209</v>
      </c>
      <c r="M593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593" cm="1">
        <f t="array" ref="O593">MIN(IF((OutputTable[GroupByKey]=OutputTable[[#This Row],[GroupByKey]]),(OutputTable[GroupByKey]=OutputTable[[#This Row],[GroupByKey]])*OutputTable[RecordedValue]))</f>
        <v>2306</v>
      </c>
      <c r="P593" cm="1">
        <f t="array" ref="P593">MAX(IF((OutputTable[GroupByKey]=OutputTable[[#This Row],[GroupByKey]]),(OutputTable[GroupByKey]=OutputTable[[#This Row],[GroupByKey]])*OutputTable[RecordedValue]))</f>
        <v>2506</v>
      </c>
    </row>
    <row r="594" spans="1:16" x14ac:dyDescent="0.25">
      <c r="A594" t="s">
        <v>68</v>
      </c>
      <c r="B594" t="s">
        <v>131</v>
      </c>
      <c r="C594">
        <v>35</v>
      </c>
      <c r="D594" t="s">
        <v>125</v>
      </c>
      <c r="E594" t="s">
        <v>123</v>
      </c>
      <c r="F594" t="s">
        <v>99</v>
      </c>
      <c r="G594">
        <v>0.81846201563765797</v>
      </c>
      <c r="H594">
        <v>0</v>
      </c>
      <c r="I594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594" cm="1">
        <f t="array" ref="J594">MAX(IF((ProjectInfoTable[ProjectName]=OutputTable[[#This Row],[ProjectName]]),(ProjectInfoTable[ProjectName]=OutputTable[[#This Row],[ProjectName]])*ProjectInfoTable[NumberOfReplications]))</f>
        <v>50</v>
      </c>
      <c r="K594" cm="1">
        <f t="array" ref="K594">IFERROR(AVERAGE(IF((OutputTable[GroupByKey]=OutputTable[[#This Row],[GroupByKey]]),(OutputTable[GroupByKey]=OutputTable[[#This Row],[GroupByKey]])*OutputTable[RecordedValue])),0)</f>
        <v>0.82055942038575935</v>
      </c>
      <c r="L594" cm="1">
        <f t="array" ref="L594">IFERROR(_xlfn.STDEV.S(IF((OutputTable[GroupByKey]=OutputTable[[#This Row],[GroupByKey]]),(OutputTable[GroupByKey]=OutputTable[[#This Row],[GroupByKey]])*OutputTable[RecordedValue])),0)</f>
        <v>1.5331755012045719E-2</v>
      </c>
      <c r="M594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594" cm="1">
        <f t="array" ref="O594">MIN(IF((OutputTable[GroupByKey]=OutputTable[[#This Row],[GroupByKey]]),(OutputTable[GroupByKey]=OutputTable[[#This Row],[GroupByKey]])*OutputTable[RecordedValue]))</f>
        <v>0.78705962766536897</v>
      </c>
      <c r="P594" cm="1">
        <f t="array" ref="P594">MAX(IF((OutputTable[GroupByKey]=OutputTable[[#This Row],[GroupByKey]]),(OutputTable[GroupByKey]=OutputTable[[#This Row],[GroupByKey]])*OutputTable[RecordedValue]))</f>
        <v>0.85508719449138504</v>
      </c>
    </row>
    <row r="595" spans="1:16" x14ac:dyDescent="0.25">
      <c r="A595" t="s">
        <v>68</v>
      </c>
      <c r="B595" t="s">
        <v>131</v>
      </c>
      <c r="C595">
        <v>35</v>
      </c>
      <c r="D595" t="s">
        <v>126</v>
      </c>
      <c r="E595" t="s">
        <v>121</v>
      </c>
      <c r="F595" t="s">
        <v>99</v>
      </c>
      <c r="G595">
        <v>2306</v>
      </c>
      <c r="H595">
        <v>0</v>
      </c>
      <c r="I595" t="str">
        <f>OutputTable[[#This Row],[ProjectName]]&amp;OutputTable[[#This Row],[Name]]&amp;OutputTable[[#This Row],[Type]]&amp;OutputTable[[#This Row],[Source]]</f>
        <v>PacientesrRegistradora.NumberSeizedTotal Number SeizedResource</v>
      </c>
      <c r="J595" cm="1">
        <f t="array" ref="J595">MAX(IF((ProjectInfoTable[ProjectName]=OutputTable[[#This Row],[ProjectName]]),(ProjectInfoTable[ProjectName]=OutputTable[[#This Row],[ProjectName]])*ProjectInfoTable[NumberOfReplications]))</f>
        <v>50</v>
      </c>
      <c r="K595" cm="1">
        <f t="array" ref="K595">IFERROR(AVERAGE(IF((OutputTable[GroupByKey]=OutputTable[[#This Row],[GroupByKey]]),(OutputTable[GroupByKey]=OutputTable[[#This Row],[GroupByKey]])*OutputTable[RecordedValue])),0)</f>
        <v>2263.14</v>
      </c>
      <c r="L595" cm="1">
        <f t="array" ref="L595">IFERROR(_xlfn.STDEV.S(IF((OutputTable[GroupByKey]=OutputTable[[#This Row],[GroupByKey]]),(OutputTable[GroupByKey]=OutputTable[[#This Row],[GroupByKey]])*OutputTable[RecordedValue])),0)</f>
        <v>47.386818971575821</v>
      </c>
      <c r="M59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595" cm="1">
        <f t="array" ref="O595">MIN(IF((OutputTable[GroupByKey]=OutputTable[[#This Row],[GroupByKey]]),(OutputTable[GroupByKey]=OutputTable[[#This Row],[GroupByKey]])*OutputTable[RecordedValue]))</f>
        <v>2172</v>
      </c>
      <c r="P595" cm="1">
        <f t="array" ref="P595">MAX(IF((OutputTable[GroupByKey]=OutputTable[[#This Row],[GroupByKey]]),(OutputTable[GroupByKey]=OutputTable[[#This Row],[GroupByKey]])*OutputTable[RecordedValue]))</f>
        <v>2386</v>
      </c>
    </row>
    <row r="596" spans="1:16" x14ac:dyDescent="0.25">
      <c r="A596" t="s">
        <v>68</v>
      </c>
      <c r="B596" t="s">
        <v>131</v>
      </c>
      <c r="C596">
        <v>35</v>
      </c>
      <c r="D596" t="s">
        <v>127</v>
      </c>
      <c r="E596" t="s">
        <v>123</v>
      </c>
      <c r="F596" t="s">
        <v>99</v>
      </c>
      <c r="G596">
        <v>0.48005448058873701</v>
      </c>
      <c r="H596">
        <v>0</v>
      </c>
      <c r="I596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596" cm="1">
        <f t="array" ref="J596">MAX(IF((ProjectInfoTable[ProjectName]=OutputTable[[#This Row],[ProjectName]]),(ProjectInfoTable[ProjectName]=OutputTable[[#This Row],[ProjectName]])*ProjectInfoTable[NumberOfReplications]))</f>
        <v>50</v>
      </c>
      <c r="K596" cm="1">
        <f t="array" ref="K596">IFERROR(AVERAGE(IF((OutputTable[GroupByKey]=OutputTable[[#This Row],[GroupByKey]]),(OutputTable[GroupByKey]=OutputTable[[#This Row],[GroupByKey]])*OutputTable[RecordedValue])),0)</f>
        <v>0.47162762933545666</v>
      </c>
      <c r="L596" cm="1">
        <f t="array" ref="L596">IFERROR(_xlfn.STDEV.S(IF((OutputTable[GroupByKey]=OutputTable[[#This Row],[GroupByKey]]),(OutputTable[GroupByKey]=OutputTable[[#This Row],[GroupByKey]])*OutputTable[RecordedValue])),0)</f>
        <v>9.6615227076777797E-3</v>
      </c>
      <c r="M596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596" cm="1">
        <f t="array" ref="O596">MIN(IF((OutputTable[GroupByKey]=OutputTable[[#This Row],[GroupByKey]]),(OutputTable[GroupByKey]=OutputTable[[#This Row],[GroupByKey]])*OutputTable[RecordedValue]))</f>
        <v>0.452397944183905</v>
      </c>
      <c r="P596" cm="1">
        <f t="array" ref="P596">MAX(IF((OutputTable[GroupByKey]=OutputTable[[#This Row],[GroupByKey]]),(OutputTable[GroupByKey]=OutputTable[[#This Row],[GroupByKey]])*OutputTable[RecordedValue]))</f>
        <v>0.49691123629694001</v>
      </c>
    </row>
    <row r="597" spans="1:16" x14ac:dyDescent="0.25">
      <c r="A597" t="s">
        <v>68</v>
      </c>
      <c r="B597" t="s">
        <v>131</v>
      </c>
      <c r="C597">
        <v>36</v>
      </c>
      <c r="D597" t="s">
        <v>104</v>
      </c>
      <c r="E597" t="s">
        <v>105</v>
      </c>
      <c r="F597" t="s">
        <v>72</v>
      </c>
      <c r="G597">
        <v>2400</v>
      </c>
      <c r="H597">
        <v>0</v>
      </c>
      <c r="I597" t="str">
        <f>OutputTable[[#This Row],[ProjectName]]&amp;OutputTable[[#This Row],[Name]]&amp;OutputTable[[#This Row],[Type]]&amp;OutputTable[[#This Row],[Source]]</f>
        <v>PacientesEntity 1.NumberInNumber InEntity</v>
      </c>
      <c r="J597" cm="1">
        <f t="array" ref="J597">MAX(IF((ProjectInfoTable[ProjectName]=OutputTable[[#This Row],[ProjectName]]),(ProjectInfoTable[ProjectName]=OutputTable[[#This Row],[ProjectName]])*ProjectInfoTable[NumberOfReplications]))</f>
        <v>50</v>
      </c>
      <c r="K597" cm="1">
        <f t="array" ref="K597">IFERROR(AVERAGE(IF((OutputTable[GroupByKey]=OutputTable[[#This Row],[GroupByKey]]),(OutputTable[GroupByKey]=OutputTable[[#This Row],[GroupByKey]])*OutputTable[RecordedValue])),0)</f>
        <v>2404.8200000000002</v>
      </c>
      <c r="L597" cm="1">
        <f t="array" ref="L597">IFERROR(_xlfn.STDEV.S(IF((OutputTable[GroupByKey]=OutputTable[[#This Row],[GroupByKey]]),(OutputTable[GroupByKey]=OutputTable[[#This Row],[GroupByKey]])*OutputTable[RecordedValue])),0)</f>
        <v>46.42953405595474</v>
      </c>
      <c r="M597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597" cm="1">
        <f t="array" ref="O597">MIN(IF((OutputTable[GroupByKey]=OutputTable[[#This Row],[GroupByKey]]),(OutputTable[GroupByKey]=OutputTable[[#This Row],[GroupByKey]])*OutputTable[RecordedValue]))</f>
        <v>2307</v>
      </c>
      <c r="P597" cm="1">
        <f t="array" ref="P597">MAX(IF((OutputTable[GroupByKey]=OutputTable[[#This Row],[GroupByKey]]),(OutputTable[GroupByKey]=OutputTable[[#This Row],[GroupByKey]])*OutputTable[RecordedValue]))</f>
        <v>2518</v>
      </c>
    </row>
    <row r="598" spans="1:16" x14ac:dyDescent="0.25">
      <c r="A598" t="s">
        <v>68</v>
      </c>
      <c r="B598" t="s">
        <v>131</v>
      </c>
      <c r="C598">
        <v>36</v>
      </c>
      <c r="D598" t="s">
        <v>106</v>
      </c>
      <c r="E598" t="s">
        <v>107</v>
      </c>
      <c r="F598" t="s">
        <v>72</v>
      </c>
      <c r="G598">
        <v>2393</v>
      </c>
      <c r="H598">
        <v>0</v>
      </c>
      <c r="I598" t="str">
        <f>OutputTable[[#This Row],[ProjectName]]&amp;OutputTable[[#This Row],[Name]]&amp;OutputTable[[#This Row],[Type]]&amp;OutputTable[[#This Row],[Source]]</f>
        <v>PacientesEntity 1.NumberOutNumber OutEntity</v>
      </c>
      <c r="J598" cm="1">
        <f t="array" ref="J598">MAX(IF((ProjectInfoTable[ProjectName]=OutputTable[[#This Row],[ProjectName]]),(ProjectInfoTable[ProjectName]=OutputTable[[#This Row],[ProjectName]])*ProjectInfoTable[NumberOfReplications]))</f>
        <v>50</v>
      </c>
      <c r="K598" cm="1">
        <f t="array" ref="K598">IFERROR(AVERAGE(IF((OutputTable[GroupByKey]=OutputTable[[#This Row],[GroupByKey]]),(OutputTable[GroupByKey]=OutputTable[[#This Row],[GroupByKey]])*OutputTable[RecordedValue])),0)</f>
        <v>2400.2800000000002</v>
      </c>
      <c r="L598" cm="1">
        <f t="array" ref="L598">IFERROR(_xlfn.STDEV.S(IF((OutputTable[GroupByKey]=OutputTable[[#This Row],[GroupByKey]]),(OutputTable[GroupByKey]=OutputTable[[#This Row],[GroupByKey]])*OutputTable[RecordedValue])),0)</f>
        <v>46.409024456676619</v>
      </c>
      <c r="M598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598" cm="1">
        <f t="array" ref="O598">MIN(IF((OutputTable[GroupByKey]=OutputTable[[#This Row],[GroupByKey]]),(OutputTable[GroupByKey]=OutputTable[[#This Row],[GroupByKey]])*OutputTable[RecordedValue]))</f>
        <v>2305</v>
      </c>
      <c r="P598" cm="1">
        <f t="array" ref="P598">MAX(IF((OutputTable[GroupByKey]=OutputTable[[#This Row],[GroupByKey]]),(OutputTable[GroupByKey]=OutputTable[[#This Row],[GroupByKey]])*OutputTable[RecordedValue]))</f>
        <v>2504</v>
      </c>
    </row>
    <row r="599" spans="1:16" x14ac:dyDescent="0.25">
      <c r="A599" t="s">
        <v>68</v>
      </c>
      <c r="B599" t="s">
        <v>131</v>
      </c>
      <c r="C599">
        <v>36</v>
      </c>
      <c r="D599" t="s">
        <v>108</v>
      </c>
      <c r="E599" t="s">
        <v>109</v>
      </c>
      <c r="F599" t="s">
        <v>80</v>
      </c>
      <c r="G599">
        <v>1178.00139066107</v>
      </c>
      <c r="H599">
        <v>0</v>
      </c>
      <c r="I599" t="str">
        <f>OutputTable[[#This Row],[ProjectName]]&amp;OutputTable[[#This Row],[Name]]&amp;OutputTable[[#This Row],[Type]]&amp;OutputTable[[#This Row],[Source]]</f>
        <v>PacientesProcess 2 Accum VA TimeAccum VA TimeProcess</v>
      </c>
      <c r="J599" cm="1">
        <f t="array" ref="J599">MAX(IF((ProjectInfoTable[ProjectName]=OutputTable[[#This Row],[ProjectName]]),(ProjectInfoTable[ProjectName]=OutputTable[[#This Row],[ProjectName]])*ProjectInfoTable[NumberOfReplications]))</f>
        <v>50</v>
      </c>
      <c r="K599" cm="1">
        <f t="array" ref="K599">IFERROR(AVERAGE(IF((OutputTable[GroupByKey]=OutputTable[[#This Row],[GroupByKey]]),(OutputTable[GroupByKey]=OutputTable[[#This Row],[GroupByKey]])*OutputTable[RecordedValue])),0)</f>
        <v>1181.1234936767919</v>
      </c>
      <c r="L599" cm="1">
        <f t="array" ref="L599">IFERROR(_xlfn.STDEV.S(IF((OutputTable[GroupByKey]=OutputTable[[#This Row],[GroupByKey]]),(OutputTable[GroupByKey]=OutputTable[[#This Row],[GroupByKey]])*OutputTable[RecordedValue])),0)</f>
        <v>22.169313666927575</v>
      </c>
      <c r="M599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599" cm="1">
        <f t="array" ref="O599">MIN(IF((OutputTable[GroupByKey]=OutputTable[[#This Row],[GroupByKey]]),(OutputTable[GroupByKey]=OutputTable[[#This Row],[GroupByKey]])*OutputTable[RecordedValue]))</f>
        <v>1133.24622318414</v>
      </c>
      <c r="P599" cm="1">
        <f t="array" ref="P599">MAX(IF((OutputTable[GroupByKey]=OutputTable[[#This Row],[GroupByKey]]),(OutputTable[GroupByKey]=OutputTable[[#This Row],[GroupByKey]])*OutputTable[RecordedValue]))</f>
        <v>1230.9493287309799</v>
      </c>
    </row>
    <row r="600" spans="1:16" x14ac:dyDescent="0.25">
      <c r="A600" t="s">
        <v>68</v>
      </c>
      <c r="B600" t="s">
        <v>131</v>
      </c>
      <c r="C600">
        <v>36</v>
      </c>
      <c r="D600" t="s">
        <v>110</v>
      </c>
      <c r="E600" t="s">
        <v>111</v>
      </c>
      <c r="F600" t="s">
        <v>80</v>
      </c>
      <c r="G600">
        <v>1234.7567994731401</v>
      </c>
      <c r="H600">
        <v>0</v>
      </c>
      <c r="I600" t="str">
        <f>OutputTable[[#This Row],[ProjectName]]&amp;OutputTable[[#This Row],[Name]]&amp;OutputTable[[#This Row],[Type]]&amp;OutputTable[[#This Row],[Source]]</f>
        <v>PacientesProcess 2 Accum Wait TimeAccum Wait TimeProcess</v>
      </c>
      <c r="J600" cm="1">
        <f t="array" ref="J600">MAX(IF((ProjectInfoTable[ProjectName]=OutputTable[[#This Row],[ProjectName]]),(ProjectInfoTable[ProjectName]=OutputTable[[#This Row],[ProjectName]])*ProjectInfoTable[NumberOfReplications]))</f>
        <v>50</v>
      </c>
      <c r="K600" cm="1">
        <f t="array" ref="K600">IFERROR(AVERAGE(IF((OutputTable[GroupByKey]=OutputTable[[#This Row],[GroupByKey]]),(OutputTable[GroupByKey]=OutputTable[[#This Row],[GroupByKey]])*OutputTable[RecordedValue])),0)</f>
        <v>1938.7515507466894</v>
      </c>
      <c r="L600" cm="1">
        <f t="array" ref="L600">IFERROR(_xlfn.STDEV.S(IF((OutputTable[GroupByKey]=OutputTable[[#This Row],[GroupByKey]]),(OutputTable[GroupByKey]=OutputTable[[#This Row],[GroupByKey]])*OutputTable[RecordedValue])),0)</f>
        <v>534.03396241838232</v>
      </c>
      <c r="M600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600" cm="1">
        <f t="array" ref="O600">MIN(IF((OutputTable[GroupByKey]=OutputTable[[#This Row],[GroupByKey]]),(OutputTable[GroupByKey]=OutputTable[[#This Row],[GroupByKey]])*OutputTable[RecordedValue]))</f>
        <v>1234.7567994731401</v>
      </c>
      <c r="P600" cm="1">
        <f t="array" ref="P600">MAX(IF((OutputTable[GroupByKey]=OutputTable[[#This Row],[GroupByKey]]),(OutputTable[GroupByKey]=OutputTable[[#This Row],[GroupByKey]])*OutputTable[RecordedValue]))</f>
        <v>3269.0858002883801</v>
      </c>
    </row>
    <row r="601" spans="1:16" x14ac:dyDescent="0.25">
      <c r="A601" t="s">
        <v>68</v>
      </c>
      <c r="B601" t="s">
        <v>131</v>
      </c>
      <c r="C601">
        <v>36</v>
      </c>
      <c r="D601" t="s">
        <v>112</v>
      </c>
      <c r="E601" t="s">
        <v>105</v>
      </c>
      <c r="F601" t="s">
        <v>80</v>
      </c>
      <c r="G601">
        <v>2400</v>
      </c>
      <c r="H601">
        <v>0</v>
      </c>
      <c r="I601" t="str">
        <f>OutputTable[[#This Row],[ProjectName]]&amp;OutputTable[[#This Row],[Name]]&amp;OutputTable[[#This Row],[Type]]&amp;OutputTable[[#This Row],[Source]]</f>
        <v>PacientesProcess 2 Number InNumber InProcess</v>
      </c>
      <c r="J601" cm="1">
        <f t="array" ref="J601">MAX(IF((ProjectInfoTable[ProjectName]=OutputTable[[#This Row],[ProjectName]]),(ProjectInfoTable[ProjectName]=OutputTable[[#This Row],[ProjectName]])*ProjectInfoTable[NumberOfReplications]))</f>
        <v>50</v>
      </c>
      <c r="K601" cm="1">
        <f t="array" ref="K601">IFERROR(AVERAGE(IF((OutputTable[GroupByKey]=OutputTable[[#This Row],[GroupByKey]]),(OutputTable[GroupByKey]=OutputTable[[#This Row],[GroupByKey]])*OutputTable[RecordedValue])),0)</f>
        <v>2404.2399999999998</v>
      </c>
      <c r="L601" cm="1">
        <f t="array" ref="L601">IFERROR(_xlfn.STDEV.S(IF((OutputTable[GroupByKey]=OutputTable[[#This Row],[GroupByKey]]),(OutputTable[GroupByKey]=OutputTable[[#This Row],[GroupByKey]])*OutputTable[RecordedValue])),0)</f>
        <v>46.574303154053879</v>
      </c>
      <c r="M601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601" cm="1">
        <f t="array" ref="O601">MIN(IF((OutputTable[GroupByKey]=OutputTable[[#This Row],[GroupByKey]]),(OutputTable[GroupByKey]=OutputTable[[#This Row],[GroupByKey]])*OutputTable[RecordedValue]))</f>
        <v>2306</v>
      </c>
      <c r="P601" cm="1">
        <f t="array" ref="P601">MAX(IF((OutputTable[GroupByKey]=OutputTable[[#This Row],[GroupByKey]]),(OutputTable[GroupByKey]=OutputTable[[#This Row],[GroupByKey]])*OutputTable[RecordedValue]))</f>
        <v>2518</v>
      </c>
    </row>
    <row r="602" spans="1:16" x14ac:dyDescent="0.25">
      <c r="A602" t="s">
        <v>68</v>
      </c>
      <c r="B602" t="s">
        <v>131</v>
      </c>
      <c r="C602">
        <v>36</v>
      </c>
      <c r="D602" t="s">
        <v>113</v>
      </c>
      <c r="E602" t="s">
        <v>107</v>
      </c>
      <c r="F602" t="s">
        <v>80</v>
      </c>
      <c r="G602">
        <v>2393</v>
      </c>
      <c r="H602">
        <v>0</v>
      </c>
      <c r="I602" t="str">
        <f>OutputTable[[#This Row],[ProjectName]]&amp;OutputTable[[#This Row],[Name]]&amp;OutputTable[[#This Row],[Type]]&amp;OutputTable[[#This Row],[Source]]</f>
        <v>PacientesProcess 2 Number OutNumber OutProcess</v>
      </c>
      <c r="J602" cm="1">
        <f t="array" ref="J602">MAX(IF((ProjectInfoTable[ProjectName]=OutputTable[[#This Row],[ProjectName]]),(ProjectInfoTable[ProjectName]=OutputTable[[#This Row],[ProjectName]])*ProjectInfoTable[NumberOfReplications]))</f>
        <v>50</v>
      </c>
      <c r="K602" cm="1">
        <f t="array" ref="K602">IFERROR(AVERAGE(IF((OutputTable[GroupByKey]=OutputTable[[#This Row],[GroupByKey]]),(OutputTable[GroupByKey]=OutputTable[[#This Row],[GroupByKey]])*OutputTable[RecordedValue])),0)</f>
        <v>2400.2800000000002</v>
      </c>
      <c r="L602" cm="1">
        <f t="array" ref="L602">IFERROR(_xlfn.STDEV.S(IF((OutputTable[GroupByKey]=OutputTable[[#This Row],[GroupByKey]]),(OutputTable[GroupByKey]=OutputTable[[#This Row],[GroupByKey]])*OutputTable[RecordedValue])),0)</f>
        <v>46.409024456676619</v>
      </c>
      <c r="M602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02" cm="1">
        <f t="array" ref="O602">MIN(IF((OutputTable[GroupByKey]=OutputTable[[#This Row],[GroupByKey]]),(OutputTable[GroupByKey]=OutputTable[[#This Row],[GroupByKey]])*OutputTable[RecordedValue]))</f>
        <v>2305</v>
      </c>
      <c r="P602" cm="1">
        <f t="array" ref="P602">MAX(IF((OutputTable[GroupByKey]=OutputTable[[#This Row],[GroupByKey]]),(OutputTable[GroupByKey]=OutputTable[[#This Row],[GroupByKey]])*OutputTable[RecordedValue]))</f>
        <v>2504</v>
      </c>
    </row>
    <row r="603" spans="1:16" x14ac:dyDescent="0.25">
      <c r="A603" t="s">
        <v>68</v>
      </c>
      <c r="B603" t="s">
        <v>131</v>
      </c>
      <c r="C603">
        <v>36</v>
      </c>
      <c r="D603" t="s">
        <v>114</v>
      </c>
      <c r="E603" t="s">
        <v>109</v>
      </c>
      <c r="F603" t="s">
        <v>80</v>
      </c>
      <c r="G603">
        <v>340.01748571345797</v>
      </c>
      <c r="H603">
        <v>0</v>
      </c>
      <c r="I603" t="str">
        <f>OutputTable[[#This Row],[ProjectName]]&amp;OutputTable[[#This Row],[Name]]&amp;OutputTable[[#This Row],[Type]]&amp;OutputTable[[#This Row],[Source]]</f>
        <v>PacientesRegistro Accum VA TimeAccum VA TimeProcess</v>
      </c>
      <c r="J603" cm="1">
        <f t="array" ref="J603">MAX(IF((ProjectInfoTable[ProjectName]=OutputTable[[#This Row],[ProjectName]]),(ProjectInfoTable[ProjectName]=OutputTable[[#This Row],[ProjectName]])*ProjectInfoTable[NumberOfReplications]))</f>
        <v>50</v>
      </c>
      <c r="K603" cm="1">
        <f t="array" ref="K603">IFERROR(AVERAGE(IF((OutputTable[GroupByKey]=OutputTable[[#This Row],[GroupByKey]]),(OutputTable[GroupByKey]=OutputTable[[#This Row],[GroupByKey]])*OutputTable[RecordedValue])),0)</f>
        <v>339.53547737062786</v>
      </c>
      <c r="L603" cm="1">
        <f t="array" ref="L603">IFERROR(_xlfn.STDEV.S(IF((OutputTable[GroupByKey]=OutputTable[[#This Row],[GroupByKey]]),(OutputTable[GroupByKey]=OutputTable[[#This Row],[GroupByKey]])*OutputTable[RecordedValue])),0)</f>
        <v>6.9723666109353193</v>
      </c>
      <c r="M603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603" cm="1">
        <f t="array" ref="O603">MIN(IF((OutputTable[GroupByKey]=OutputTable[[#This Row],[GroupByKey]]),(OutputTable[GroupByKey]=OutputTable[[#This Row],[GroupByKey]])*OutputTable[RecordedValue]))</f>
        <v>325.606879158418</v>
      </c>
      <c r="P603" cm="1">
        <f t="array" ref="P603">MAX(IF((OutputTable[GroupByKey]=OutputTable[[#This Row],[GroupByKey]]),(OutputTable[GroupByKey]=OutputTable[[#This Row],[GroupByKey]])*OutputTable[RecordedValue]))</f>
        <v>357.77609013379703</v>
      </c>
    </row>
    <row r="604" spans="1:16" x14ac:dyDescent="0.25">
      <c r="A604" t="s">
        <v>68</v>
      </c>
      <c r="B604" t="s">
        <v>131</v>
      </c>
      <c r="C604">
        <v>36</v>
      </c>
      <c r="D604" t="s">
        <v>115</v>
      </c>
      <c r="E604" t="s">
        <v>111</v>
      </c>
      <c r="F604" t="s">
        <v>80</v>
      </c>
      <c r="G604">
        <v>163.70228365907701</v>
      </c>
      <c r="H604">
        <v>0</v>
      </c>
      <c r="I604" t="str">
        <f>OutputTable[[#This Row],[ProjectName]]&amp;OutputTable[[#This Row],[Name]]&amp;OutputTable[[#This Row],[Type]]&amp;OutputTable[[#This Row],[Source]]</f>
        <v>PacientesRegistro Accum Wait TimeAccum Wait TimeProcess</v>
      </c>
      <c r="J604" cm="1">
        <f t="array" ref="J604">MAX(IF((ProjectInfoTable[ProjectName]=OutputTable[[#This Row],[ProjectName]]),(ProjectInfoTable[ProjectName]=OutputTable[[#This Row],[ProjectName]])*ProjectInfoTable[NumberOfReplications]))</f>
        <v>50</v>
      </c>
      <c r="K604" cm="1">
        <f t="array" ref="K604">IFERROR(AVERAGE(IF((OutputTable[GroupByKey]=OutputTable[[#This Row],[GroupByKey]]),(OutputTable[GroupByKey]=OutputTable[[#This Row],[GroupByKey]])*OutputTable[RecordedValue])),0)</f>
        <v>154.15303898127775</v>
      </c>
      <c r="L604" cm="1">
        <f t="array" ref="L604">IFERROR(_xlfn.STDEV.S(IF((OutputTable[GroupByKey]=OutputTable[[#This Row],[GroupByKey]]),(OutputTable[GroupByKey]=OutputTable[[#This Row],[GroupByKey]])*OutputTable[RecordedValue])),0)</f>
        <v>12.141439184615397</v>
      </c>
      <c r="M604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604" cm="1">
        <f t="array" ref="O604">MIN(IF((OutputTable[GroupByKey]=OutputTable[[#This Row],[GroupByKey]]),(OutputTable[GroupByKey]=OutputTable[[#This Row],[GroupByKey]])*OutputTable[RecordedValue]))</f>
        <v>123.901613974094</v>
      </c>
      <c r="P604" cm="1">
        <f t="array" ref="P604">MAX(IF((OutputTable[GroupByKey]=OutputTable[[#This Row],[GroupByKey]]),(OutputTable[GroupByKey]=OutputTable[[#This Row],[GroupByKey]])*OutputTable[RecordedValue]))</f>
        <v>178.441307284473</v>
      </c>
    </row>
    <row r="605" spans="1:16" x14ac:dyDescent="0.25">
      <c r="A605" t="s">
        <v>68</v>
      </c>
      <c r="B605" t="s">
        <v>131</v>
      </c>
      <c r="C605">
        <v>36</v>
      </c>
      <c r="D605" t="s">
        <v>116</v>
      </c>
      <c r="E605" t="s">
        <v>105</v>
      </c>
      <c r="F605" t="s">
        <v>80</v>
      </c>
      <c r="G605">
        <v>2263</v>
      </c>
      <c r="H605">
        <v>0</v>
      </c>
      <c r="I605" t="str">
        <f>OutputTable[[#This Row],[ProjectName]]&amp;OutputTable[[#This Row],[Name]]&amp;OutputTable[[#This Row],[Type]]&amp;OutputTable[[#This Row],[Source]]</f>
        <v>PacientesRegistro Number InNumber InProcess</v>
      </c>
      <c r="J605" cm="1">
        <f t="array" ref="J605">MAX(IF((ProjectInfoTable[ProjectName]=OutputTable[[#This Row],[ProjectName]]),(ProjectInfoTable[ProjectName]=OutputTable[[#This Row],[ProjectName]])*ProjectInfoTable[NumberOfReplications]))</f>
        <v>50</v>
      </c>
      <c r="K605" cm="1">
        <f t="array" ref="K605">IFERROR(AVERAGE(IF((OutputTable[GroupByKey]=OutputTable[[#This Row],[GroupByKey]]),(OutputTable[GroupByKey]=OutputTable[[#This Row],[GroupByKey]])*OutputTable[RecordedValue])),0)</f>
        <v>2263.2399999999998</v>
      </c>
      <c r="L605" cm="1">
        <f t="array" ref="L605">IFERROR(_xlfn.STDEV.S(IF((OutputTable[GroupByKey]=OutputTable[[#This Row],[GroupByKey]]),(OutputTable[GroupByKey]=OutputTable[[#This Row],[GroupByKey]])*OutputTable[RecordedValue])),0)</f>
        <v>47.331035682472766</v>
      </c>
      <c r="M60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605" cm="1">
        <f t="array" ref="O605">MIN(IF((OutputTable[GroupByKey]=OutputTable[[#This Row],[GroupByKey]]),(OutputTable[GroupByKey]=OutputTable[[#This Row],[GroupByKey]])*OutputTable[RecordedValue]))</f>
        <v>2172</v>
      </c>
      <c r="P605" cm="1">
        <f t="array" ref="P605">MAX(IF((OutputTable[GroupByKey]=OutputTable[[#This Row],[GroupByKey]]),(OutputTable[GroupByKey]=OutputTable[[#This Row],[GroupByKey]])*OutputTable[RecordedValue]))</f>
        <v>2386</v>
      </c>
    </row>
    <row r="606" spans="1:16" x14ac:dyDescent="0.25">
      <c r="A606" t="s">
        <v>68</v>
      </c>
      <c r="B606" t="s">
        <v>131</v>
      </c>
      <c r="C606">
        <v>36</v>
      </c>
      <c r="D606" t="s">
        <v>117</v>
      </c>
      <c r="E606" t="s">
        <v>107</v>
      </c>
      <c r="F606" t="s">
        <v>80</v>
      </c>
      <c r="G606">
        <v>2263</v>
      </c>
      <c r="H606">
        <v>0</v>
      </c>
      <c r="I606" t="str">
        <f>OutputTable[[#This Row],[ProjectName]]&amp;OutputTable[[#This Row],[Name]]&amp;OutputTable[[#This Row],[Type]]&amp;OutputTable[[#This Row],[Source]]</f>
        <v>PacientesRegistro Number OutNumber OutProcess</v>
      </c>
      <c r="J606" cm="1">
        <f t="array" ref="J606">MAX(IF((ProjectInfoTable[ProjectName]=OutputTable[[#This Row],[ProjectName]]),(ProjectInfoTable[ProjectName]=OutputTable[[#This Row],[ProjectName]])*ProjectInfoTable[NumberOfReplications]))</f>
        <v>50</v>
      </c>
      <c r="K606" cm="1">
        <f t="array" ref="K606">IFERROR(AVERAGE(IF((OutputTable[GroupByKey]=OutputTable[[#This Row],[GroupByKey]]),(OutputTable[GroupByKey]=OutputTable[[#This Row],[GroupByKey]])*OutputTable[RecordedValue])),0)</f>
        <v>2262.66</v>
      </c>
      <c r="L606" cm="1">
        <f t="array" ref="L606">IFERROR(_xlfn.STDEV.S(IF((OutputTable[GroupByKey]=OutputTable[[#This Row],[GroupByKey]]),(OutputTable[GroupByKey]=OutputTable[[#This Row],[GroupByKey]])*OutputTable[RecordedValue])),0)</f>
        <v>47.488176831454687</v>
      </c>
      <c r="M606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606" cm="1">
        <f t="array" ref="O606">MIN(IF((OutputTable[GroupByKey]=OutputTable[[#This Row],[GroupByKey]]),(OutputTable[GroupByKey]=OutputTable[[#This Row],[GroupByKey]])*OutputTable[RecordedValue]))</f>
        <v>2171</v>
      </c>
      <c r="P606" cm="1">
        <f t="array" ref="P606">MAX(IF((OutputTable[GroupByKey]=OutputTable[[#This Row],[GroupByKey]]),(OutputTable[GroupByKey]=OutputTable[[#This Row],[GroupByKey]])*OutputTable[RecordedValue]))</f>
        <v>2386</v>
      </c>
    </row>
    <row r="607" spans="1:16" x14ac:dyDescent="0.25">
      <c r="A607" t="s">
        <v>68</v>
      </c>
      <c r="B607" t="s">
        <v>131</v>
      </c>
      <c r="C607">
        <v>36</v>
      </c>
      <c r="D607" t="s">
        <v>118</v>
      </c>
      <c r="E607" t="s">
        <v>107</v>
      </c>
      <c r="F607" t="s">
        <v>119</v>
      </c>
      <c r="G607">
        <v>2393</v>
      </c>
      <c r="H607">
        <v>0</v>
      </c>
      <c r="I607" t="str">
        <f>OutputTable[[#This Row],[ProjectName]]&amp;OutputTable[[#This Row],[Name]]&amp;OutputTable[[#This Row],[Type]]&amp;OutputTable[[#This Row],[Source]]</f>
        <v>PacientesSystem.NumberOutNumber OutSystem</v>
      </c>
      <c r="J607" cm="1">
        <f t="array" ref="J607">MAX(IF((ProjectInfoTable[ProjectName]=OutputTable[[#This Row],[ProjectName]]),(ProjectInfoTable[ProjectName]=OutputTable[[#This Row],[ProjectName]])*ProjectInfoTable[NumberOfReplications]))</f>
        <v>50</v>
      </c>
      <c r="K607" cm="1">
        <f t="array" ref="K607">IFERROR(AVERAGE(IF((OutputTable[GroupByKey]=OutputTable[[#This Row],[GroupByKey]]),(OutputTable[GroupByKey]=OutputTable[[#This Row],[GroupByKey]])*OutputTable[RecordedValue])),0)</f>
        <v>2400.2800000000002</v>
      </c>
      <c r="L607" cm="1">
        <f t="array" ref="L607">IFERROR(_xlfn.STDEV.S(IF((OutputTable[GroupByKey]=OutputTable[[#This Row],[GroupByKey]]),(OutputTable[GroupByKey]=OutputTable[[#This Row],[GroupByKey]])*OutputTable[RecordedValue])),0)</f>
        <v>46.409024456676619</v>
      </c>
      <c r="M607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07" cm="1">
        <f t="array" ref="O607">MIN(IF((OutputTable[GroupByKey]=OutputTable[[#This Row],[GroupByKey]]),(OutputTable[GroupByKey]=OutputTable[[#This Row],[GroupByKey]])*OutputTable[RecordedValue]))</f>
        <v>2305</v>
      </c>
      <c r="P607" cm="1">
        <f t="array" ref="P607">MAX(IF((OutputTable[GroupByKey]=OutputTable[[#This Row],[GroupByKey]]),(OutputTable[GroupByKey]=OutputTable[[#This Row],[GroupByKey]])*OutputTable[RecordedValue]))</f>
        <v>2504</v>
      </c>
    </row>
    <row r="608" spans="1:16" x14ac:dyDescent="0.25">
      <c r="A608" t="s">
        <v>68</v>
      </c>
      <c r="B608" t="s">
        <v>131</v>
      </c>
      <c r="C608">
        <v>36</v>
      </c>
      <c r="D608" t="s">
        <v>120</v>
      </c>
      <c r="E608" t="s">
        <v>121</v>
      </c>
      <c r="F608" t="s">
        <v>99</v>
      </c>
      <c r="G608">
        <v>2395</v>
      </c>
      <c r="H608">
        <v>0</v>
      </c>
      <c r="I608" t="str">
        <f>OutputTable[[#This Row],[ProjectName]]&amp;OutputTable[[#This Row],[Name]]&amp;OutputTable[[#This Row],[Type]]&amp;OutputTable[[#This Row],[Source]]</f>
        <v>PacientesrCamas.NumberSeizedTotal Number SeizedResource</v>
      </c>
      <c r="J608" cm="1">
        <f t="array" ref="J608">MAX(IF((ProjectInfoTable[ProjectName]=OutputTable[[#This Row],[ProjectName]]),(ProjectInfoTable[ProjectName]=OutputTable[[#This Row],[ProjectName]])*ProjectInfoTable[NumberOfReplications]))</f>
        <v>50</v>
      </c>
      <c r="K608" cm="1">
        <f t="array" ref="K608">IFERROR(AVERAGE(IF((OutputTable[GroupByKey]=OutputTable[[#This Row],[GroupByKey]]),(OutputTable[GroupByKey]=OutputTable[[#This Row],[GroupByKey]])*OutputTable[RecordedValue])),0)</f>
        <v>2401.9</v>
      </c>
      <c r="L608" cm="1">
        <f t="array" ref="L608">IFERROR(_xlfn.STDEV.S(IF((OutputTable[GroupByKey]=OutputTable[[#This Row],[GroupByKey]]),(OutputTable[GroupByKey]=OutputTable[[#This Row],[GroupByKey]])*OutputTable[RecordedValue])),0)</f>
        <v>46.417031532903209</v>
      </c>
      <c r="M608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08" cm="1">
        <f t="array" ref="O608">MIN(IF((OutputTable[GroupByKey]=OutputTable[[#This Row],[GroupByKey]]),(OutputTable[GroupByKey]=OutputTable[[#This Row],[GroupByKey]])*OutputTable[RecordedValue]))</f>
        <v>2306</v>
      </c>
      <c r="P608" cm="1">
        <f t="array" ref="P608">MAX(IF((OutputTable[GroupByKey]=OutputTable[[#This Row],[GroupByKey]]),(OutputTable[GroupByKey]=OutputTable[[#This Row],[GroupByKey]])*OutputTable[RecordedValue]))</f>
        <v>2506</v>
      </c>
    </row>
    <row r="609" spans="1:16" x14ac:dyDescent="0.25">
      <c r="A609" t="s">
        <v>68</v>
      </c>
      <c r="B609" t="s">
        <v>131</v>
      </c>
      <c r="C609">
        <v>36</v>
      </c>
      <c r="D609" t="s">
        <v>122</v>
      </c>
      <c r="E609" t="s">
        <v>123</v>
      </c>
      <c r="F609" t="s">
        <v>99</v>
      </c>
      <c r="G609">
        <v>0.54547665804661805</v>
      </c>
      <c r="H609">
        <v>0</v>
      </c>
      <c r="I609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609" cm="1">
        <f t="array" ref="J609">MAX(IF((ProjectInfoTable[ProjectName]=OutputTable[[#This Row],[ProjectName]]),(ProjectInfoTable[ProjectName]=OutputTable[[#This Row],[ProjectName]])*ProjectInfoTable[NumberOfReplications]))</f>
        <v>50</v>
      </c>
      <c r="K609" cm="1">
        <f t="array" ref="K609">IFERROR(AVERAGE(IF((OutputTable[GroupByKey]=OutputTable[[#This Row],[GroupByKey]]),(OutputTable[GroupByKey]=OutputTable[[#This Row],[GroupByKey]])*OutputTable[RecordedValue])),0)</f>
        <v>0.54703961359050601</v>
      </c>
      <c r="L609" cm="1">
        <f t="array" ref="L609">IFERROR(_xlfn.STDEV.S(IF((OutputTable[GroupByKey]=OutputTable[[#This Row],[GroupByKey]]),(OutputTable[GroupByKey]=OutputTable[[#This Row],[GroupByKey]])*OutputTable[RecordedValue])),0)</f>
        <v>1.0221170008030479E-2</v>
      </c>
      <c r="M609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609" cm="1">
        <f t="array" ref="O609">MIN(IF((OutputTable[GroupByKey]=OutputTable[[#This Row],[GroupByKey]]),(OutputTable[GroupByKey]=OutputTable[[#This Row],[GroupByKey]])*OutputTable[RecordedValue]))</f>
        <v>0.52470641844357901</v>
      </c>
      <c r="P609" cm="1">
        <f t="array" ref="P609">MAX(IF((OutputTable[GroupByKey]=OutputTable[[#This Row],[GroupByKey]]),(OutputTable[GroupByKey]=OutputTable[[#This Row],[GroupByKey]])*OutputTable[RecordedValue]))</f>
        <v>0.57005812966092295</v>
      </c>
    </row>
    <row r="610" spans="1:16" x14ac:dyDescent="0.25">
      <c r="A610" t="s">
        <v>68</v>
      </c>
      <c r="B610" t="s">
        <v>131</v>
      </c>
      <c r="C610">
        <v>36</v>
      </c>
      <c r="D610" t="s">
        <v>124</v>
      </c>
      <c r="E610" t="s">
        <v>121</v>
      </c>
      <c r="F610" t="s">
        <v>99</v>
      </c>
      <c r="G610">
        <v>2395</v>
      </c>
      <c r="H610">
        <v>0</v>
      </c>
      <c r="I610" t="str">
        <f>OutputTable[[#This Row],[ProjectName]]&amp;OutputTable[[#This Row],[Name]]&amp;OutputTable[[#This Row],[Type]]&amp;OutputTable[[#This Row],[Source]]</f>
        <v>PacientesrMedico.NumberSeizedTotal Number SeizedResource</v>
      </c>
      <c r="J610" cm="1">
        <f t="array" ref="J610">MAX(IF((ProjectInfoTable[ProjectName]=OutputTable[[#This Row],[ProjectName]]),(ProjectInfoTable[ProjectName]=OutputTable[[#This Row],[ProjectName]])*ProjectInfoTable[NumberOfReplications]))</f>
        <v>50</v>
      </c>
      <c r="K610" cm="1">
        <f t="array" ref="K610">IFERROR(AVERAGE(IF((OutputTable[GroupByKey]=OutputTable[[#This Row],[GroupByKey]]),(OutputTable[GroupByKey]=OutputTable[[#This Row],[GroupByKey]])*OutputTable[RecordedValue])),0)</f>
        <v>2401.9</v>
      </c>
      <c r="L610" cm="1">
        <f t="array" ref="L610">IFERROR(_xlfn.STDEV.S(IF((OutputTable[GroupByKey]=OutputTable[[#This Row],[GroupByKey]]),(OutputTable[GroupByKey]=OutputTable[[#This Row],[GroupByKey]])*OutputTable[RecordedValue])),0)</f>
        <v>46.417031532903209</v>
      </c>
      <c r="M610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10" cm="1">
        <f t="array" ref="O610">MIN(IF((OutputTable[GroupByKey]=OutputTable[[#This Row],[GroupByKey]]),(OutputTable[GroupByKey]=OutputTable[[#This Row],[GroupByKey]])*OutputTable[RecordedValue]))</f>
        <v>2306</v>
      </c>
      <c r="P610" cm="1">
        <f t="array" ref="P610">MAX(IF((OutputTable[GroupByKey]=OutputTable[[#This Row],[GroupByKey]]),(OutputTable[GroupByKey]=OutputTable[[#This Row],[GroupByKey]])*OutputTable[RecordedValue]))</f>
        <v>2506</v>
      </c>
    </row>
    <row r="611" spans="1:16" x14ac:dyDescent="0.25">
      <c r="A611" t="s">
        <v>68</v>
      </c>
      <c r="B611" t="s">
        <v>131</v>
      </c>
      <c r="C611">
        <v>36</v>
      </c>
      <c r="D611" t="s">
        <v>125</v>
      </c>
      <c r="E611" t="s">
        <v>123</v>
      </c>
      <c r="F611" t="s">
        <v>99</v>
      </c>
      <c r="G611">
        <v>0.81821498706992801</v>
      </c>
      <c r="H611">
        <v>0</v>
      </c>
      <c r="I611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611" cm="1">
        <f t="array" ref="J611">MAX(IF((ProjectInfoTable[ProjectName]=OutputTable[[#This Row],[ProjectName]]),(ProjectInfoTable[ProjectName]=OutputTable[[#This Row],[ProjectName]])*ProjectInfoTable[NumberOfReplications]))</f>
        <v>50</v>
      </c>
      <c r="K611" cm="1">
        <f t="array" ref="K611">IFERROR(AVERAGE(IF((OutputTable[GroupByKey]=OutputTable[[#This Row],[GroupByKey]]),(OutputTable[GroupByKey]=OutputTable[[#This Row],[GroupByKey]])*OutputTable[RecordedValue])),0)</f>
        <v>0.82055942038575935</v>
      </c>
      <c r="L611" cm="1">
        <f t="array" ref="L611">IFERROR(_xlfn.STDEV.S(IF((OutputTable[GroupByKey]=OutputTable[[#This Row],[GroupByKey]]),(OutputTable[GroupByKey]=OutputTable[[#This Row],[GroupByKey]])*OutputTable[RecordedValue])),0)</f>
        <v>1.5331755012045719E-2</v>
      </c>
      <c r="M611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611" cm="1">
        <f t="array" ref="O611">MIN(IF((OutputTable[GroupByKey]=OutputTable[[#This Row],[GroupByKey]]),(OutputTable[GroupByKey]=OutputTable[[#This Row],[GroupByKey]])*OutputTable[RecordedValue]))</f>
        <v>0.78705962766536897</v>
      </c>
      <c r="P611" cm="1">
        <f t="array" ref="P611">MAX(IF((OutputTable[GroupByKey]=OutputTable[[#This Row],[GroupByKey]]),(OutputTable[GroupByKey]=OutputTable[[#This Row],[GroupByKey]])*OutputTable[RecordedValue]))</f>
        <v>0.85508719449138504</v>
      </c>
    </row>
    <row r="612" spans="1:16" x14ac:dyDescent="0.25">
      <c r="A612" t="s">
        <v>68</v>
      </c>
      <c r="B612" t="s">
        <v>131</v>
      </c>
      <c r="C612">
        <v>36</v>
      </c>
      <c r="D612" t="s">
        <v>126</v>
      </c>
      <c r="E612" t="s">
        <v>121</v>
      </c>
      <c r="F612" t="s">
        <v>99</v>
      </c>
      <c r="G612">
        <v>2263</v>
      </c>
      <c r="H612">
        <v>0</v>
      </c>
      <c r="I612" t="str">
        <f>OutputTable[[#This Row],[ProjectName]]&amp;OutputTable[[#This Row],[Name]]&amp;OutputTable[[#This Row],[Type]]&amp;OutputTable[[#This Row],[Source]]</f>
        <v>PacientesrRegistradora.NumberSeizedTotal Number SeizedResource</v>
      </c>
      <c r="J612" cm="1">
        <f t="array" ref="J612">MAX(IF((ProjectInfoTable[ProjectName]=OutputTable[[#This Row],[ProjectName]]),(ProjectInfoTable[ProjectName]=OutputTable[[#This Row],[ProjectName]])*ProjectInfoTable[NumberOfReplications]))</f>
        <v>50</v>
      </c>
      <c r="K612" cm="1">
        <f t="array" ref="K612">IFERROR(AVERAGE(IF((OutputTable[GroupByKey]=OutputTable[[#This Row],[GroupByKey]]),(OutputTable[GroupByKey]=OutputTable[[#This Row],[GroupByKey]])*OutputTable[RecordedValue])),0)</f>
        <v>2263.14</v>
      </c>
      <c r="L612" cm="1">
        <f t="array" ref="L612">IFERROR(_xlfn.STDEV.S(IF((OutputTable[GroupByKey]=OutputTable[[#This Row],[GroupByKey]]),(OutputTable[GroupByKey]=OutputTable[[#This Row],[GroupByKey]])*OutputTable[RecordedValue])),0)</f>
        <v>47.386818971575821</v>
      </c>
      <c r="M612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612" cm="1">
        <f t="array" ref="O612">MIN(IF((OutputTable[GroupByKey]=OutputTable[[#This Row],[GroupByKey]]),(OutputTable[GroupByKey]=OutputTable[[#This Row],[GroupByKey]])*OutputTable[RecordedValue]))</f>
        <v>2172</v>
      </c>
      <c r="P612" cm="1">
        <f t="array" ref="P612">MAX(IF((OutputTable[GroupByKey]=OutputTable[[#This Row],[GroupByKey]]),(OutputTable[GroupByKey]=OutputTable[[#This Row],[GroupByKey]])*OutputTable[RecordedValue]))</f>
        <v>2386</v>
      </c>
    </row>
    <row r="613" spans="1:16" x14ac:dyDescent="0.25">
      <c r="A613" t="s">
        <v>68</v>
      </c>
      <c r="B613" t="s">
        <v>131</v>
      </c>
      <c r="C613">
        <v>36</v>
      </c>
      <c r="D613" t="s">
        <v>127</v>
      </c>
      <c r="E613" t="s">
        <v>123</v>
      </c>
      <c r="F613" t="s">
        <v>99</v>
      </c>
      <c r="G613">
        <v>0.472246507935358</v>
      </c>
      <c r="H613">
        <v>0</v>
      </c>
      <c r="I613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613" cm="1">
        <f t="array" ref="J613">MAX(IF((ProjectInfoTable[ProjectName]=OutputTable[[#This Row],[ProjectName]]),(ProjectInfoTable[ProjectName]=OutputTable[[#This Row],[ProjectName]])*ProjectInfoTable[NumberOfReplications]))</f>
        <v>50</v>
      </c>
      <c r="K613" cm="1">
        <f t="array" ref="K613">IFERROR(AVERAGE(IF((OutputTable[GroupByKey]=OutputTable[[#This Row],[GroupByKey]]),(OutputTable[GroupByKey]=OutputTable[[#This Row],[GroupByKey]])*OutputTable[RecordedValue])),0)</f>
        <v>0.47162762933545666</v>
      </c>
      <c r="L613" cm="1">
        <f t="array" ref="L613">IFERROR(_xlfn.STDEV.S(IF((OutputTable[GroupByKey]=OutputTable[[#This Row],[GroupByKey]]),(OutputTable[GroupByKey]=OutputTable[[#This Row],[GroupByKey]])*OutputTable[RecordedValue])),0)</f>
        <v>9.6615227076777797E-3</v>
      </c>
      <c r="M613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613" cm="1">
        <f t="array" ref="O613">MIN(IF((OutputTable[GroupByKey]=OutputTable[[#This Row],[GroupByKey]]),(OutputTable[GroupByKey]=OutputTable[[#This Row],[GroupByKey]])*OutputTable[RecordedValue]))</f>
        <v>0.452397944183905</v>
      </c>
      <c r="P613" cm="1">
        <f t="array" ref="P613">MAX(IF((OutputTable[GroupByKey]=OutputTable[[#This Row],[GroupByKey]]),(OutputTable[GroupByKey]=OutputTable[[#This Row],[GroupByKey]])*OutputTable[RecordedValue]))</f>
        <v>0.49691123629694001</v>
      </c>
    </row>
    <row r="614" spans="1:16" x14ac:dyDescent="0.25">
      <c r="A614" t="s">
        <v>68</v>
      </c>
      <c r="B614" t="s">
        <v>131</v>
      </c>
      <c r="C614">
        <v>37</v>
      </c>
      <c r="D614" t="s">
        <v>104</v>
      </c>
      <c r="E614" t="s">
        <v>105</v>
      </c>
      <c r="F614" t="s">
        <v>72</v>
      </c>
      <c r="G614">
        <v>2411</v>
      </c>
      <c r="H614">
        <v>0</v>
      </c>
      <c r="I614" t="str">
        <f>OutputTable[[#This Row],[ProjectName]]&amp;OutputTable[[#This Row],[Name]]&amp;OutputTable[[#This Row],[Type]]&amp;OutputTable[[#This Row],[Source]]</f>
        <v>PacientesEntity 1.NumberInNumber InEntity</v>
      </c>
      <c r="J614" cm="1">
        <f t="array" ref="J614">MAX(IF((ProjectInfoTable[ProjectName]=OutputTable[[#This Row],[ProjectName]]),(ProjectInfoTable[ProjectName]=OutputTable[[#This Row],[ProjectName]])*ProjectInfoTable[NumberOfReplications]))</f>
        <v>50</v>
      </c>
      <c r="K614" cm="1">
        <f t="array" ref="K614">IFERROR(AVERAGE(IF((OutputTable[GroupByKey]=OutputTable[[#This Row],[GroupByKey]]),(OutputTable[GroupByKey]=OutputTable[[#This Row],[GroupByKey]])*OutputTable[RecordedValue])),0)</f>
        <v>2404.8200000000002</v>
      </c>
      <c r="L614" cm="1">
        <f t="array" ref="L614">IFERROR(_xlfn.STDEV.S(IF((OutputTable[GroupByKey]=OutputTable[[#This Row],[GroupByKey]]),(OutputTable[GroupByKey]=OutputTable[[#This Row],[GroupByKey]])*OutputTable[RecordedValue])),0)</f>
        <v>46.42953405595474</v>
      </c>
      <c r="M614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614" cm="1">
        <f t="array" ref="O614">MIN(IF((OutputTable[GroupByKey]=OutputTable[[#This Row],[GroupByKey]]),(OutputTable[GroupByKey]=OutputTable[[#This Row],[GroupByKey]])*OutputTable[RecordedValue]))</f>
        <v>2307</v>
      </c>
      <c r="P614" cm="1">
        <f t="array" ref="P614">MAX(IF((OutputTable[GroupByKey]=OutputTable[[#This Row],[GroupByKey]]),(OutputTable[GroupByKey]=OutputTable[[#This Row],[GroupByKey]])*OutputTable[RecordedValue]))</f>
        <v>2518</v>
      </c>
    </row>
    <row r="615" spans="1:16" x14ac:dyDescent="0.25">
      <c r="A615" t="s">
        <v>68</v>
      </c>
      <c r="B615" t="s">
        <v>131</v>
      </c>
      <c r="C615">
        <v>37</v>
      </c>
      <c r="D615" t="s">
        <v>106</v>
      </c>
      <c r="E615" t="s">
        <v>107</v>
      </c>
      <c r="F615" t="s">
        <v>72</v>
      </c>
      <c r="G615">
        <v>2409</v>
      </c>
      <c r="H615">
        <v>0</v>
      </c>
      <c r="I615" t="str">
        <f>OutputTable[[#This Row],[ProjectName]]&amp;OutputTable[[#This Row],[Name]]&amp;OutputTable[[#This Row],[Type]]&amp;OutputTable[[#This Row],[Source]]</f>
        <v>PacientesEntity 1.NumberOutNumber OutEntity</v>
      </c>
      <c r="J615" cm="1">
        <f t="array" ref="J615">MAX(IF((ProjectInfoTable[ProjectName]=OutputTable[[#This Row],[ProjectName]]),(ProjectInfoTable[ProjectName]=OutputTable[[#This Row],[ProjectName]])*ProjectInfoTable[NumberOfReplications]))</f>
        <v>50</v>
      </c>
      <c r="K615" cm="1">
        <f t="array" ref="K615">IFERROR(AVERAGE(IF((OutputTable[GroupByKey]=OutputTable[[#This Row],[GroupByKey]]),(OutputTable[GroupByKey]=OutputTable[[#This Row],[GroupByKey]])*OutputTable[RecordedValue])),0)</f>
        <v>2400.2800000000002</v>
      </c>
      <c r="L615" cm="1">
        <f t="array" ref="L615">IFERROR(_xlfn.STDEV.S(IF((OutputTable[GroupByKey]=OutputTable[[#This Row],[GroupByKey]]),(OutputTable[GroupByKey]=OutputTable[[#This Row],[GroupByKey]])*OutputTable[RecordedValue])),0)</f>
        <v>46.409024456676619</v>
      </c>
      <c r="M61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15" cm="1">
        <f t="array" ref="O615">MIN(IF((OutputTable[GroupByKey]=OutputTable[[#This Row],[GroupByKey]]),(OutputTable[GroupByKey]=OutputTable[[#This Row],[GroupByKey]])*OutputTable[RecordedValue]))</f>
        <v>2305</v>
      </c>
      <c r="P615" cm="1">
        <f t="array" ref="P615">MAX(IF((OutputTable[GroupByKey]=OutputTable[[#This Row],[GroupByKey]]),(OutputTable[GroupByKey]=OutputTable[[#This Row],[GroupByKey]])*OutputTable[RecordedValue]))</f>
        <v>2504</v>
      </c>
    </row>
    <row r="616" spans="1:16" x14ac:dyDescent="0.25">
      <c r="A616" t="s">
        <v>68</v>
      </c>
      <c r="B616" t="s">
        <v>131</v>
      </c>
      <c r="C616">
        <v>37</v>
      </c>
      <c r="D616" t="s">
        <v>108</v>
      </c>
      <c r="E616" t="s">
        <v>109</v>
      </c>
      <c r="F616" t="s">
        <v>80</v>
      </c>
      <c r="G616">
        <v>1183.96017403774</v>
      </c>
      <c r="H616">
        <v>0</v>
      </c>
      <c r="I616" t="str">
        <f>OutputTable[[#This Row],[ProjectName]]&amp;OutputTable[[#This Row],[Name]]&amp;OutputTable[[#This Row],[Type]]&amp;OutputTable[[#This Row],[Source]]</f>
        <v>PacientesProcess 2 Accum VA TimeAccum VA TimeProcess</v>
      </c>
      <c r="J616" cm="1">
        <f t="array" ref="J616">MAX(IF((ProjectInfoTable[ProjectName]=OutputTable[[#This Row],[ProjectName]]),(ProjectInfoTable[ProjectName]=OutputTable[[#This Row],[ProjectName]])*ProjectInfoTable[NumberOfReplications]))</f>
        <v>50</v>
      </c>
      <c r="K616" cm="1">
        <f t="array" ref="K616">IFERROR(AVERAGE(IF((OutputTable[GroupByKey]=OutputTable[[#This Row],[GroupByKey]]),(OutputTable[GroupByKey]=OutputTable[[#This Row],[GroupByKey]])*OutputTable[RecordedValue])),0)</f>
        <v>1181.1234936767919</v>
      </c>
      <c r="L616" cm="1">
        <f t="array" ref="L616">IFERROR(_xlfn.STDEV.S(IF((OutputTable[GroupByKey]=OutputTable[[#This Row],[GroupByKey]]),(OutputTable[GroupByKey]=OutputTable[[#This Row],[GroupByKey]])*OutputTable[RecordedValue])),0)</f>
        <v>22.169313666927575</v>
      </c>
      <c r="M616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616" cm="1">
        <f t="array" ref="O616">MIN(IF((OutputTable[GroupByKey]=OutputTable[[#This Row],[GroupByKey]]),(OutputTable[GroupByKey]=OutputTable[[#This Row],[GroupByKey]])*OutputTable[RecordedValue]))</f>
        <v>1133.24622318414</v>
      </c>
      <c r="P616" cm="1">
        <f t="array" ref="P616">MAX(IF((OutputTable[GroupByKey]=OutputTable[[#This Row],[GroupByKey]]),(OutputTable[GroupByKey]=OutputTable[[#This Row],[GroupByKey]])*OutputTable[RecordedValue]))</f>
        <v>1230.9493287309799</v>
      </c>
    </row>
    <row r="617" spans="1:16" x14ac:dyDescent="0.25">
      <c r="A617" t="s">
        <v>68</v>
      </c>
      <c r="B617" t="s">
        <v>131</v>
      </c>
      <c r="C617">
        <v>37</v>
      </c>
      <c r="D617" t="s">
        <v>110</v>
      </c>
      <c r="E617" t="s">
        <v>111</v>
      </c>
      <c r="F617" t="s">
        <v>80</v>
      </c>
      <c r="G617">
        <v>2371.9433101804502</v>
      </c>
      <c r="H617">
        <v>0</v>
      </c>
      <c r="I617" t="str">
        <f>OutputTable[[#This Row],[ProjectName]]&amp;OutputTable[[#This Row],[Name]]&amp;OutputTable[[#This Row],[Type]]&amp;OutputTable[[#This Row],[Source]]</f>
        <v>PacientesProcess 2 Accum Wait TimeAccum Wait TimeProcess</v>
      </c>
      <c r="J617" cm="1">
        <f t="array" ref="J617">MAX(IF((ProjectInfoTable[ProjectName]=OutputTable[[#This Row],[ProjectName]]),(ProjectInfoTable[ProjectName]=OutputTable[[#This Row],[ProjectName]])*ProjectInfoTable[NumberOfReplications]))</f>
        <v>50</v>
      </c>
      <c r="K617" cm="1">
        <f t="array" ref="K617">IFERROR(AVERAGE(IF((OutputTable[GroupByKey]=OutputTable[[#This Row],[GroupByKey]]),(OutputTable[GroupByKey]=OutputTable[[#This Row],[GroupByKey]])*OutputTable[RecordedValue])),0)</f>
        <v>1938.7515507466894</v>
      </c>
      <c r="L617" cm="1">
        <f t="array" ref="L617">IFERROR(_xlfn.STDEV.S(IF((OutputTable[GroupByKey]=OutputTable[[#This Row],[GroupByKey]]),(OutputTable[GroupByKey]=OutputTable[[#This Row],[GroupByKey]])*OutputTable[RecordedValue])),0)</f>
        <v>534.03396241838232</v>
      </c>
      <c r="M617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617" cm="1">
        <f t="array" ref="O617">MIN(IF((OutputTable[GroupByKey]=OutputTable[[#This Row],[GroupByKey]]),(OutputTable[GroupByKey]=OutputTable[[#This Row],[GroupByKey]])*OutputTable[RecordedValue]))</f>
        <v>1234.7567994731401</v>
      </c>
      <c r="P617" cm="1">
        <f t="array" ref="P617">MAX(IF((OutputTable[GroupByKey]=OutputTable[[#This Row],[GroupByKey]]),(OutputTable[GroupByKey]=OutputTable[[#This Row],[GroupByKey]])*OutputTable[RecordedValue]))</f>
        <v>3269.0858002883801</v>
      </c>
    </row>
    <row r="618" spans="1:16" x14ac:dyDescent="0.25">
      <c r="A618" t="s">
        <v>68</v>
      </c>
      <c r="B618" t="s">
        <v>131</v>
      </c>
      <c r="C618">
        <v>37</v>
      </c>
      <c r="D618" t="s">
        <v>112</v>
      </c>
      <c r="E618" t="s">
        <v>105</v>
      </c>
      <c r="F618" t="s">
        <v>80</v>
      </c>
      <c r="G618">
        <v>2411</v>
      </c>
      <c r="H618">
        <v>0</v>
      </c>
      <c r="I618" t="str">
        <f>OutputTable[[#This Row],[ProjectName]]&amp;OutputTable[[#This Row],[Name]]&amp;OutputTable[[#This Row],[Type]]&amp;OutputTable[[#This Row],[Source]]</f>
        <v>PacientesProcess 2 Number InNumber InProcess</v>
      </c>
      <c r="J618" cm="1">
        <f t="array" ref="J618">MAX(IF((ProjectInfoTable[ProjectName]=OutputTable[[#This Row],[ProjectName]]),(ProjectInfoTable[ProjectName]=OutputTable[[#This Row],[ProjectName]])*ProjectInfoTable[NumberOfReplications]))</f>
        <v>50</v>
      </c>
      <c r="K618" cm="1">
        <f t="array" ref="K618">IFERROR(AVERAGE(IF((OutputTable[GroupByKey]=OutputTable[[#This Row],[GroupByKey]]),(OutputTable[GroupByKey]=OutputTable[[#This Row],[GroupByKey]])*OutputTable[RecordedValue])),0)</f>
        <v>2404.2399999999998</v>
      </c>
      <c r="L618" cm="1">
        <f t="array" ref="L618">IFERROR(_xlfn.STDEV.S(IF((OutputTable[GroupByKey]=OutputTable[[#This Row],[GroupByKey]]),(OutputTable[GroupByKey]=OutputTable[[#This Row],[GroupByKey]])*OutputTable[RecordedValue])),0)</f>
        <v>46.574303154053879</v>
      </c>
      <c r="M618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618" cm="1">
        <f t="array" ref="O618">MIN(IF((OutputTable[GroupByKey]=OutputTable[[#This Row],[GroupByKey]]),(OutputTable[GroupByKey]=OutputTable[[#This Row],[GroupByKey]])*OutputTable[RecordedValue]))</f>
        <v>2306</v>
      </c>
      <c r="P618" cm="1">
        <f t="array" ref="P618">MAX(IF((OutputTable[GroupByKey]=OutputTable[[#This Row],[GroupByKey]]),(OutputTable[GroupByKey]=OutputTable[[#This Row],[GroupByKey]])*OutputTable[RecordedValue]))</f>
        <v>2518</v>
      </c>
    </row>
    <row r="619" spans="1:16" x14ac:dyDescent="0.25">
      <c r="A619" t="s">
        <v>68</v>
      </c>
      <c r="B619" t="s">
        <v>131</v>
      </c>
      <c r="C619">
        <v>37</v>
      </c>
      <c r="D619" t="s">
        <v>113</v>
      </c>
      <c r="E619" t="s">
        <v>107</v>
      </c>
      <c r="F619" t="s">
        <v>80</v>
      </c>
      <c r="G619">
        <v>2409</v>
      </c>
      <c r="H619">
        <v>0</v>
      </c>
      <c r="I619" t="str">
        <f>OutputTable[[#This Row],[ProjectName]]&amp;OutputTable[[#This Row],[Name]]&amp;OutputTable[[#This Row],[Type]]&amp;OutputTable[[#This Row],[Source]]</f>
        <v>PacientesProcess 2 Number OutNumber OutProcess</v>
      </c>
      <c r="J619" cm="1">
        <f t="array" ref="J619">MAX(IF((ProjectInfoTable[ProjectName]=OutputTable[[#This Row],[ProjectName]]),(ProjectInfoTable[ProjectName]=OutputTable[[#This Row],[ProjectName]])*ProjectInfoTable[NumberOfReplications]))</f>
        <v>50</v>
      </c>
      <c r="K619" cm="1">
        <f t="array" ref="K619">IFERROR(AVERAGE(IF((OutputTable[GroupByKey]=OutputTable[[#This Row],[GroupByKey]]),(OutputTable[GroupByKey]=OutputTable[[#This Row],[GroupByKey]])*OutputTable[RecordedValue])),0)</f>
        <v>2400.2800000000002</v>
      </c>
      <c r="L619" cm="1">
        <f t="array" ref="L619">IFERROR(_xlfn.STDEV.S(IF((OutputTable[GroupByKey]=OutputTable[[#This Row],[GroupByKey]]),(OutputTable[GroupByKey]=OutputTable[[#This Row],[GroupByKey]])*OutputTable[RecordedValue])),0)</f>
        <v>46.409024456676619</v>
      </c>
      <c r="M619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19" cm="1">
        <f t="array" ref="O619">MIN(IF((OutputTable[GroupByKey]=OutputTable[[#This Row],[GroupByKey]]),(OutputTable[GroupByKey]=OutputTable[[#This Row],[GroupByKey]])*OutputTable[RecordedValue]))</f>
        <v>2305</v>
      </c>
      <c r="P619" cm="1">
        <f t="array" ref="P619">MAX(IF((OutputTable[GroupByKey]=OutputTable[[#This Row],[GroupByKey]]),(OutputTable[GroupByKey]=OutputTable[[#This Row],[GroupByKey]])*OutputTable[RecordedValue]))</f>
        <v>2504</v>
      </c>
    </row>
    <row r="620" spans="1:16" x14ac:dyDescent="0.25">
      <c r="A620" t="s">
        <v>68</v>
      </c>
      <c r="B620" t="s">
        <v>131</v>
      </c>
      <c r="C620">
        <v>37</v>
      </c>
      <c r="D620" t="s">
        <v>114</v>
      </c>
      <c r="E620" t="s">
        <v>109</v>
      </c>
      <c r="F620" t="s">
        <v>80</v>
      </c>
      <c r="G620">
        <v>343.10375526428402</v>
      </c>
      <c r="H620">
        <v>0</v>
      </c>
      <c r="I620" t="str">
        <f>OutputTable[[#This Row],[ProjectName]]&amp;OutputTable[[#This Row],[Name]]&amp;OutputTable[[#This Row],[Type]]&amp;OutputTable[[#This Row],[Source]]</f>
        <v>PacientesRegistro Accum VA TimeAccum VA TimeProcess</v>
      </c>
      <c r="J620" cm="1">
        <f t="array" ref="J620">MAX(IF((ProjectInfoTable[ProjectName]=OutputTable[[#This Row],[ProjectName]]),(ProjectInfoTable[ProjectName]=OutputTable[[#This Row],[ProjectName]])*ProjectInfoTable[NumberOfReplications]))</f>
        <v>50</v>
      </c>
      <c r="K620" cm="1">
        <f t="array" ref="K620">IFERROR(AVERAGE(IF((OutputTable[GroupByKey]=OutputTable[[#This Row],[GroupByKey]]),(OutputTable[GroupByKey]=OutputTable[[#This Row],[GroupByKey]])*OutputTable[RecordedValue])),0)</f>
        <v>339.53547737062786</v>
      </c>
      <c r="L620" cm="1">
        <f t="array" ref="L620">IFERROR(_xlfn.STDEV.S(IF((OutputTable[GroupByKey]=OutputTable[[#This Row],[GroupByKey]]),(OutputTable[GroupByKey]=OutputTable[[#This Row],[GroupByKey]])*OutputTable[RecordedValue])),0)</f>
        <v>6.9723666109353193</v>
      </c>
      <c r="M620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620" cm="1">
        <f t="array" ref="O620">MIN(IF((OutputTable[GroupByKey]=OutputTable[[#This Row],[GroupByKey]]),(OutputTable[GroupByKey]=OutputTable[[#This Row],[GroupByKey]])*OutputTable[RecordedValue]))</f>
        <v>325.606879158418</v>
      </c>
      <c r="P620" cm="1">
        <f t="array" ref="P620">MAX(IF((OutputTable[GroupByKey]=OutputTable[[#This Row],[GroupByKey]]),(OutputTable[GroupByKey]=OutputTable[[#This Row],[GroupByKey]])*OutputTable[RecordedValue]))</f>
        <v>357.77609013379703</v>
      </c>
    </row>
    <row r="621" spans="1:16" x14ac:dyDescent="0.25">
      <c r="A621" t="s">
        <v>68</v>
      </c>
      <c r="B621" t="s">
        <v>131</v>
      </c>
      <c r="C621">
        <v>37</v>
      </c>
      <c r="D621" t="s">
        <v>115</v>
      </c>
      <c r="E621" t="s">
        <v>111</v>
      </c>
      <c r="F621" t="s">
        <v>80</v>
      </c>
      <c r="G621">
        <v>152.31197979649099</v>
      </c>
      <c r="H621">
        <v>0</v>
      </c>
      <c r="I621" t="str">
        <f>OutputTable[[#This Row],[ProjectName]]&amp;OutputTable[[#This Row],[Name]]&amp;OutputTable[[#This Row],[Type]]&amp;OutputTable[[#This Row],[Source]]</f>
        <v>PacientesRegistro Accum Wait TimeAccum Wait TimeProcess</v>
      </c>
      <c r="J621" cm="1">
        <f t="array" ref="J621">MAX(IF((ProjectInfoTable[ProjectName]=OutputTable[[#This Row],[ProjectName]]),(ProjectInfoTable[ProjectName]=OutputTable[[#This Row],[ProjectName]])*ProjectInfoTable[NumberOfReplications]))</f>
        <v>50</v>
      </c>
      <c r="K621" cm="1">
        <f t="array" ref="K621">IFERROR(AVERAGE(IF((OutputTable[GroupByKey]=OutputTable[[#This Row],[GroupByKey]]),(OutputTable[GroupByKey]=OutputTable[[#This Row],[GroupByKey]])*OutputTable[RecordedValue])),0)</f>
        <v>154.15303898127775</v>
      </c>
      <c r="L621" cm="1">
        <f t="array" ref="L621">IFERROR(_xlfn.STDEV.S(IF((OutputTable[GroupByKey]=OutputTable[[#This Row],[GroupByKey]]),(OutputTable[GroupByKey]=OutputTable[[#This Row],[GroupByKey]])*OutputTable[RecordedValue])),0)</f>
        <v>12.141439184615397</v>
      </c>
      <c r="M621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621" cm="1">
        <f t="array" ref="O621">MIN(IF((OutputTable[GroupByKey]=OutputTable[[#This Row],[GroupByKey]]),(OutputTable[GroupByKey]=OutputTable[[#This Row],[GroupByKey]])*OutputTable[RecordedValue]))</f>
        <v>123.901613974094</v>
      </c>
      <c r="P621" cm="1">
        <f t="array" ref="P621">MAX(IF((OutputTable[GroupByKey]=OutputTable[[#This Row],[GroupByKey]]),(OutputTable[GroupByKey]=OutputTable[[#This Row],[GroupByKey]])*OutputTable[RecordedValue]))</f>
        <v>178.441307284473</v>
      </c>
    </row>
    <row r="622" spans="1:16" x14ac:dyDescent="0.25">
      <c r="A622" t="s">
        <v>68</v>
      </c>
      <c r="B622" t="s">
        <v>131</v>
      </c>
      <c r="C622">
        <v>37</v>
      </c>
      <c r="D622" t="s">
        <v>116</v>
      </c>
      <c r="E622" t="s">
        <v>105</v>
      </c>
      <c r="F622" t="s">
        <v>80</v>
      </c>
      <c r="G622">
        <v>2279</v>
      </c>
      <c r="H622">
        <v>0</v>
      </c>
      <c r="I622" t="str">
        <f>OutputTable[[#This Row],[ProjectName]]&amp;OutputTable[[#This Row],[Name]]&amp;OutputTable[[#This Row],[Type]]&amp;OutputTable[[#This Row],[Source]]</f>
        <v>PacientesRegistro Number InNumber InProcess</v>
      </c>
      <c r="J622" cm="1">
        <f t="array" ref="J622">MAX(IF((ProjectInfoTable[ProjectName]=OutputTable[[#This Row],[ProjectName]]),(ProjectInfoTable[ProjectName]=OutputTable[[#This Row],[ProjectName]])*ProjectInfoTable[NumberOfReplications]))</f>
        <v>50</v>
      </c>
      <c r="K622" cm="1">
        <f t="array" ref="K622">IFERROR(AVERAGE(IF((OutputTable[GroupByKey]=OutputTable[[#This Row],[GroupByKey]]),(OutputTable[GroupByKey]=OutputTable[[#This Row],[GroupByKey]])*OutputTable[RecordedValue])),0)</f>
        <v>2263.2399999999998</v>
      </c>
      <c r="L622" cm="1">
        <f t="array" ref="L622">IFERROR(_xlfn.STDEV.S(IF((OutputTable[GroupByKey]=OutputTable[[#This Row],[GroupByKey]]),(OutputTable[GroupByKey]=OutputTable[[#This Row],[GroupByKey]])*OutputTable[RecordedValue])),0)</f>
        <v>47.331035682472766</v>
      </c>
      <c r="M622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622" cm="1">
        <f t="array" ref="O622">MIN(IF((OutputTable[GroupByKey]=OutputTable[[#This Row],[GroupByKey]]),(OutputTable[GroupByKey]=OutputTable[[#This Row],[GroupByKey]])*OutputTable[RecordedValue]))</f>
        <v>2172</v>
      </c>
      <c r="P622" cm="1">
        <f t="array" ref="P622">MAX(IF((OutputTable[GroupByKey]=OutputTable[[#This Row],[GroupByKey]]),(OutputTable[GroupByKey]=OutputTable[[#This Row],[GroupByKey]])*OutputTable[RecordedValue]))</f>
        <v>2386</v>
      </c>
    </row>
    <row r="623" spans="1:16" x14ac:dyDescent="0.25">
      <c r="A623" t="s">
        <v>68</v>
      </c>
      <c r="B623" t="s">
        <v>131</v>
      </c>
      <c r="C623">
        <v>37</v>
      </c>
      <c r="D623" t="s">
        <v>117</v>
      </c>
      <c r="E623" t="s">
        <v>107</v>
      </c>
      <c r="F623" t="s">
        <v>80</v>
      </c>
      <c r="G623">
        <v>2279</v>
      </c>
      <c r="H623">
        <v>0</v>
      </c>
      <c r="I623" t="str">
        <f>OutputTable[[#This Row],[ProjectName]]&amp;OutputTable[[#This Row],[Name]]&amp;OutputTable[[#This Row],[Type]]&amp;OutputTable[[#This Row],[Source]]</f>
        <v>PacientesRegistro Number OutNumber OutProcess</v>
      </c>
      <c r="J623" cm="1">
        <f t="array" ref="J623">MAX(IF((ProjectInfoTable[ProjectName]=OutputTable[[#This Row],[ProjectName]]),(ProjectInfoTable[ProjectName]=OutputTable[[#This Row],[ProjectName]])*ProjectInfoTable[NumberOfReplications]))</f>
        <v>50</v>
      </c>
      <c r="K623" cm="1">
        <f t="array" ref="K623">IFERROR(AVERAGE(IF((OutputTable[GroupByKey]=OutputTable[[#This Row],[GroupByKey]]),(OutputTable[GroupByKey]=OutputTable[[#This Row],[GroupByKey]])*OutputTable[RecordedValue])),0)</f>
        <v>2262.66</v>
      </c>
      <c r="L623" cm="1">
        <f t="array" ref="L623">IFERROR(_xlfn.STDEV.S(IF((OutputTable[GroupByKey]=OutputTable[[#This Row],[GroupByKey]]),(OutputTable[GroupByKey]=OutputTable[[#This Row],[GroupByKey]])*OutputTable[RecordedValue])),0)</f>
        <v>47.488176831454687</v>
      </c>
      <c r="M623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623" cm="1">
        <f t="array" ref="O623">MIN(IF((OutputTable[GroupByKey]=OutputTable[[#This Row],[GroupByKey]]),(OutputTable[GroupByKey]=OutputTable[[#This Row],[GroupByKey]])*OutputTable[RecordedValue]))</f>
        <v>2171</v>
      </c>
      <c r="P623" cm="1">
        <f t="array" ref="P623">MAX(IF((OutputTable[GroupByKey]=OutputTable[[#This Row],[GroupByKey]]),(OutputTable[GroupByKey]=OutputTable[[#This Row],[GroupByKey]])*OutputTable[RecordedValue]))</f>
        <v>2386</v>
      </c>
    </row>
    <row r="624" spans="1:16" x14ac:dyDescent="0.25">
      <c r="A624" t="s">
        <v>68</v>
      </c>
      <c r="B624" t="s">
        <v>131</v>
      </c>
      <c r="C624">
        <v>37</v>
      </c>
      <c r="D624" t="s">
        <v>118</v>
      </c>
      <c r="E624" t="s">
        <v>107</v>
      </c>
      <c r="F624" t="s">
        <v>119</v>
      </c>
      <c r="G624">
        <v>2409</v>
      </c>
      <c r="H624">
        <v>0</v>
      </c>
      <c r="I624" t="str">
        <f>OutputTable[[#This Row],[ProjectName]]&amp;OutputTable[[#This Row],[Name]]&amp;OutputTable[[#This Row],[Type]]&amp;OutputTable[[#This Row],[Source]]</f>
        <v>PacientesSystem.NumberOutNumber OutSystem</v>
      </c>
      <c r="J624" cm="1">
        <f t="array" ref="J624">MAX(IF((ProjectInfoTable[ProjectName]=OutputTable[[#This Row],[ProjectName]]),(ProjectInfoTable[ProjectName]=OutputTable[[#This Row],[ProjectName]])*ProjectInfoTable[NumberOfReplications]))</f>
        <v>50</v>
      </c>
      <c r="K624" cm="1">
        <f t="array" ref="K624">IFERROR(AVERAGE(IF((OutputTable[GroupByKey]=OutputTable[[#This Row],[GroupByKey]]),(OutputTable[GroupByKey]=OutputTable[[#This Row],[GroupByKey]])*OutputTable[RecordedValue])),0)</f>
        <v>2400.2800000000002</v>
      </c>
      <c r="L624" cm="1">
        <f t="array" ref="L624">IFERROR(_xlfn.STDEV.S(IF((OutputTable[GroupByKey]=OutputTable[[#This Row],[GroupByKey]]),(OutputTable[GroupByKey]=OutputTable[[#This Row],[GroupByKey]])*OutputTable[RecordedValue])),0)</f>
        <v>46.409024456676619</v>
      </c>
      <c r="M624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24" cm="1">
        <f t="array" ref="O624">MIN(IF((OutputTable[GroupByKey]=OutputTable[[#This Row],[GroupByKey]]),(OutputTable[GroupByKey]=OutputTable[[#This Row],[GroupByKey]])*OutputTable[RecordedValue]))</f>
        <v>2305</v>
      </c>
      <c r="P624" cm="1">
        <f t="array" ref="P624">MAX(IF((OutputTable[GroupByKey]=OutputTable[[#This Row],[GroupByKey]]),(OutputTable[GroupByKey]=OutputTable[[#This Row],[GroupByKey]])*OutputTable[RecordedValue]))</f>
        <v>2504</v>
      </c>
    </row>
    <row r="625" spans="1:16" x14ac:dyDescent="0.25">
      <c r="A625" t="s">
        <v>68</v>
      </c>
      <c r="B625" t="s">
        <v>131</v>
      </c>
      <c r="C625">
        <v>37</v>
      </c>
      <c r="D625" t="s">
        <v>120</v>
      </c>
      <c r="E625" t="s">
        <v>121</v>
      </c>
      <c r="F625" t="s">
        <v>99</v>
      </c>
      <c r="G625">
        <v>2411</v>
      </c>
      <c r="H625">
        <v>0</v>
      </c>
      <c r="I625" t="str">
        <f>OutputTable[[#This Row],[ProjectName]]&amp;OutputTable[[#This Row],[Name]]&amp;OutputTable[[#This Row],[Type]]&amp;OutputTable[[#This Row],[Source]]</f>
        <v>PacientesrCamas.NumberSeizedTotal Number SeizedResource</v>
      </c>
      <c r="J625" cm="1">
        <f t="array" ref="J625">MAX(IF((ProjectInfoTable[ProjectName]=OutputTable[[#This Row],[ProjectName]]),(ProjectInfoTable[ProjectName]=OutputTable[[#This Row],[ProjectName]])*ProjectInfoTable[NumberOfReplications]))</f>
        <v>50</v>
      </c>
      <c r="K625" cm="1">
        <f t="array" ref="K625">IFERROR(AVERAGE(IF((OutputTable[GroupByKey]=OutputTable[[#This Row],[GroupByKey]]),(OutputTable[GroupByKey]=OutputTable[[#This Row],[GroupByKey]])*OutputTable[RecordedValue])),0)</f>
        <v>2401.9</v>
      </c>
      <c r="L625" cm="1">
        <f t="array" ref="L625">IFERROR(_xlfn.STDEV.S(IF((OutputTable[GroupByKey]=OutputTable[[#This Row],[GroupByKey]]),(OutputTable[GroupByKey]=OutputTable[[#This Row],[GroupByKey]])*OutputTable[RecordedValue])),0)</f>
        <v>46.417031532903209</v>
      </c>
      <c r="M62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25" cm="1">
        <f t="array" ref="O625">MIN(IF((OutputTable[GroupByKey]=OutputTable[[#This Row],[GroupByKey]]),(OutputTable[GroupByKey]=OutputTable[[#This Row],[GroupByKey]])*OutputTable[RecordedValue]))</f>
        <v>2306</v>
      </c>
      <c r="P625" cm="1">
        <f t="array" ref="P625">MAX(IF((OutputTable[GroupByKey]=OutputTable[[#This Row],[GroupByKey]]),(OutputTable[GroupByKey]=OutputTable[[#This Row],[GroupByKey]])*OutputTable[RecordedValue]))</f>
        <v>2506</v>
      </c>
    </row>
    <row r="626" spans="1:16" x14ac:dyDescent="0.25">
      <c r="A626" t="s">
        <v>68</v>
      </c>
      <c r="B626" t="s">
        <v>131</v>
      </c>
      <c r="C626">
        <v>37</v>
      </c>
      <c r="D626" t="s">
        <v>122</v>
      </c>
      <c r="E626" t="s">
        <v>123</v>
      </c>
      <c r="F626" t="s">
        <v>99</v>
      </c>
      <c r="G626">
        <v>0.54846216086076405</v>
      </c>
      <c r="H626">
        <v>0</v>
      </c>
      <c r="I626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626" cm="1">
        <f t="array" ref="J626">MAX(IF((ProjectInfoTable[ProjectName]=OutputTable[[#This Row],[ProjectName]]),(ProjectInfoTable[ProjectName]=OutputTable[[#This Row],[ProjectName]])*ProjectInfoTable[NumberOfReplications]))</f>
        <v>50</v>
      </c>
      <c r="K626" cm="1">
        <f t="array" ref="K626">IFERROR(AVERAGE(IF((OutputTable[GroupByKey]=OutputTable[[#This Row],[GroupByKey]]),(OutputTable[GroupByKey]=OutputTable[[#This Row],[GroupByKey]])*OutputTable[RecordedValue])),0)</f>
        <v>0.54703961359050601</v>
      </c>
      <c r="L626" cm="1">
        <f t="array" ref="L626">IFERROR(_xlfn.STDEV.S(IF((OutputTable[GroupByKey]=OutputTable[[#This Row],[GroupByKey]]),(OutputTable[GroupByKey]=OutputTable[[#This Row],[GroupByKey]])*OutputTable[RecordedValue])),0)</f>
        <v>1.0221170008030479E-2</v>
      </c>
      <c r="M626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626" cm="1">
        <f t="array" ref="O626">MIN(IF((OutputTable[GroupByKey]=OutputTable[[#This Row],[GroupByKey]]),(OutputTable[GroupByKey]=OutputTable[[#This Row],[GroupByKey]])*OutputTable[RecordedValue]))</f>
        <v>0.52470641844357901</v>
      </c>
      <c r="P626" cm="1">
        <f t="array" ref="P626">MAX(IF((OutputTable[GroupByKey]=OutputTable[[#This Row],[GroupByKey]]),(OutputTable[GroupByKey]=OutputTable[[#This Row],[GroupByKey]])*OutputTable[RecordedValue]))</f>
        <v>0.57005812966092295</v>
      </c>
    </row>
    <row r="627" spans="1:16" x14ac:dyDescent="0.25">
      <c r="A627" t="s">
        <v>68</v>
      </c>
      <c r="B627" t="s">
        <v>131</v>
      </c>
      <c r="C627">
        <v>37</v>
      </c>
      <c r="D627" t="s">
        <v>124</v>
      </c>
      <c r="E627" t="s">
        <v>121</v>
      </c>
      <c r="F627" t="s">
        <v>99</v>
      </c>
      <c r="G627">
        <v>2411</v>
      </c>
      <c r="H627">
        <v>0</v>
      </c>
      <c r="I627" t="str">
        <f>OutputTable[[#This Row],[ProjectName]]&amp;OutputTable[[#This Row],[Name]]&amp;OutputTable[[#This Row],[Type]]&amp;OutputTable[[#This Row],[Source]]</f>
        <v>PacientesrMedico.NumberSeizedTotal Number SeizedResource</v>
      </c>
      <c r="J627" cm="1">
        <f t="array" ref="J627">MAX(IF((ProjectInfoTable[ProjectName]=OutputTable[[#This Row],[ProjectName]]),(ProjectInfoTable[ProjectName]=OutputTable[[#This Row],[ProjectName]])*ProjectInfoTable[NumberOfReplications]))</f>
        <v>50</v>
      </c>
      <c r="K627" cm="1">
        <f t="array" ref="K627">IFERROR(AVERAGE(IF((OutputTable[GroupByKey]=OutputTable[[#This Row],[GroupByKey]]),(OutputTable[GroupByKey]=OutputTable[[#This Row],[GroupByKey]])*OutputTable[RecordedValue])),0)</f>
        <v>2401.9</v>
      </c>
      <c r="L627" cm="1">
        <f t="array" ref="L627">IFERROR(_xlfn.STDEV.S(IF((OutputTable[GroupByKey]=OutputTable[[#This Row],[GroupByKey]]),(OutputTable[GroupByKey]=OutputTable[[#This Row],[GroupByKey]])*OutputTable[RecordedValue])),0)</f>
        <v>46.417031532903209</v>
      </c>
      <c r="M627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27" cm="1">
        <f t="array" ref="O627">MIN(IF((OutputTable[GroupByKey]=OutputTable[[#This Row],[GroupByKey]]),(OutputTable[GroupByKey]=OutputTable[[#This Row],[GroupByKey]])*OutputTable[RecordedValue]))</f>
        <v>2306</v>
      </c>
      <c r="P627" cm="1">
        <f t="array" ref="P627">MAX(IF((OutputTable[GroupByKey]=OutputTable[[#This Row],[GroupByKey]]),(OutputTable[GroupByKey]=OutputTable[[#This Row],[GroupByKey]])*OutputTable[RecordedValue]))</f>
        <v>2506</v>
      </c>
    </row>
    <row r="628" spans="1:16" x14ac:dyDescent="0.25">
      <c r="A628" t="s">
        <v>68</v>
      </c>
      <c r="B628" t="s">
        <v>131</v>
      </c>
      <c r="C628">
        <v>37</v>
      </c>
      <c r="D628" t="s">
        <v>125</v>
      </c>
      <c r="E628" t="s">
        <v>123</v>
      </c>
      <c r="F628" t="s">
        <v>99</v>
      </c>
      <c r="G628">
        <v>0.82269324129114596</v>
      </c>
      <c r="H628">
        <v>0</v>
      </c>
      <c r="I628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628" cm="1">
        <f t="array" ref="J628">MAX(IF((ProjectInfoTable[ProjectName]=OutputTable[[#This Row],[ProjectName]]),(ProjectInfoTable[ProjectName]=OutputTable[[#This Row],[ProjectName]])*ProjectInfoTable[NumberOfReplications]))</f>
        <v>50</v>
      </c>
      <c r="K628" cm="1">
        <f t="array" ref="K628">IFERROR(AVERAGE(IF((OutputTable[GroupByKey]=OutputTable[[#This Row],[GroupByKey]]),(OutputTable[GroupByKey]=OutputTable[[#This Row],[GroupByKey]])*OutputTable[RecordedValue])),0)</f>
        <v>0.82055942038575935</v>
      </c>
      <c r="L628" cm="1">
        <f t="array" ref="L628">IFERROR(_xlfn.STDEV.S(IF((OutputTable[GroupByKey]=OutputTable[[#This Row],[GroupByKey]]),(OutputTable[GroupByKey]=OutputTable[[#This Row],[GroupByKey]])*OutputTable[RecordedValue])),0)</f>
        <v>1.5331755012045719E-2</v>
      </c>
      <c r="M628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628" cm="1">
        <f t="array" ref="O628">MIN(IF((OutputTable[GroupByKey]=OutputTable[[#This Row],[GroupByKey]]),(OutputTable[GroupByKey]=OutputTable[[#This Row],[GroupByKey]])*OutputTable[RecordedValue]))</f>
        <v>0.78705962766536897</v>
      </c>
      <c r="P628" cm="1">
        <f t="array" ref="P628">MAX(IF((OutputTable[GroupByKey]=OutputTable[[#This Row],[GroupByKey]]),(OutputTable[GroupByKey]=OutputTable[[#This Row],[GroupByKey]])*OutputTable[RecordedValue]))</f>
        <v>0.85508719449138504</v>
      </c>
    </row>
    <row r="629" spans="1:16" x14ac:dyDescent="0.25">
      <c r="A629" t="s">
        <v>68</v>
      </c>
      <c r="B629" t="s">
        <v>131</v>
      </c>
      <c r="C629">
        <v>37</v>
      </c>
      <c r="D629" t="s">
        <v>126</v>
      </c>
      <c r="E629" t="s">
        <v>121</v>
      </c>
      <c r="F629" t="s">
        <v>99</v>
      </c>
      <c r="G629">
        <v>2279</v>
      </c>
      <c r="H629">
        <v>0</v>
      </c>
      <c r="I629" t="str">
        <f>OutputTable[[#This Row],[ProjectName]]&amp;OutputTable[[#This Row],[Name]]&amp;OutputTable[[#This Row],[Type]]&amp;OutputTable[[#This Row],[Source]]</f>
        <v>PacientesrRegistradora.NumberSeizedTotal Number SeizedResource</v>
      </c>
      <c r="J629" cm="1">
        <f t="array" ref="J629">MAX(IF((ProjectInfoTable[ProjectName]=OutputTable[[#This Row],[ProjectName]]),(ProjectInfoTable[ProjectName]=OutputTable[[#This Row],[ProjectName]])*ProjectInfoTable[NumberOfReplications]))</f>
        <v>50</v>
      </c>
      <c r="K629" cm="1">
        <f t="array" ref="K629">IFERROR(AVERAGE(IF((OutputTable[GroupByKey]=OutputTable[[#This Row],[GroupByKey]]),(OutputTable[GroupByKey]=OutputTable[[#This Row],[GroupByKey]])*OutputTable[RecordedValue])),0)</f>
        <v>2263.14</v>
      </c>
      <c r="L629" cm="1">
        <f t="array" ref="L629">IFERROR(_xlfn.STDEV.S(IF((OutputTable[GroupByKey]=OutputTable[[#This Row],[GroupByKey]]),(OutputTable[GroupByKey]=OutputTable[[#This Row],[GroupByKey]])*OutputTable[RecordedValue])),0)</f>
        <v>47.386818971575821</v>
      </c>
      <c r="M629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629" cm="1">
        <f t="array" ref="O629">MIN(IF((OutputTable[GroupByKey]=OutputTable[[#This Row],[GroupByKey]]),(OutputTable[GroupByKey]=OutputTable[[#This Row],[GroupByKey]])*OutputTable[RecordedValue]))</f>
        <v>2172</v>
      </c>
      <c r="P629" cm="1">
        <f t="array" ref="P629">MAX(IF((OutputTable[GroupByKey]=OutputTable[[#This Row],[GroupByKey]]),(OutputTable[GroupByKey]=OutputTable[[#This Row],[GroupByKey]])*OutputTable[RecordedValue]))</f>
        <v>2386</v>
      </c>
    </row>
    <row r="630" spans="1:16" x14ac:dyDescent="0.25">
      <c r="A630" t="s">
        <v>68</v>
      </c>
      <c r="B630" t="s">
        <v>131</v>
      </c>
      <c r="C630">
        <v>37</v>
      </c>
      <c r="D630" t="s">
        <v>127</v>
      </c>
      <c r="E630" t="s">
        <v>123</v>
      </c>
      <c r="F630" t="s">
        <v>99</v>
      </c>
      <c r="G630">
        <v>0.47653299342261601</v>
      </c>
      <c r="H630">
        <v>0</v>
      </c>
      <c r="I630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630" cm="1">
        <f t="array" ref="J630">MAX(IF((ProjectInfoTable[ProjectName]=OutputTable[[#This Row],[ProjectName]]),(ProjectInfoTable[ProjectName]=OutputTable[[#This Row],[ProjectName]])*ProjectInfoTable[NumberOfReplications]))</f>
        <v>50</v>
      </c>
      <c r="K630" cm="1">
        <f t="array" ref="K630">IFERROR(AVERAGE(IF((OutputTable[GroupByKey]=OutputTable[[#This Row],[GroupByKey]]),(OutputTable[GroupByKey]=OutputTable[[#This Row],[GroupByKey]])*OutputTable[RecordedValue])),0)</f>
        <v>0.47162762933545666</v>
      </c>
      <c r="L630" cm="1">
        <f t="array" ref="L630">IFERROR(_xlfn.STDEV.S(IF((OutputTable[GroupByKey]=OutputTable[[#This Row],[GroupByKey]]),(OutputTable[GroupByKey]=OutputTable[[#This Row],[GroupByKey]])*OutputTable[RecordedValue])),0)</f>
        <v>9.6615227076777797E-3</v>
      </c>
      <c r="M630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630" cm="1">
        <f t="array" ref="O630">MIN(IF((OutputTable[GroupByKey]=OutputTable[[#This Row],[GroupByKey]]),(OutputTable[GroupByKey]=OutputTable[[#This Row],[GroupByKey]])*OutputTable[RecordedValue]))</f>
        <v>0.452397944183905</v>
      </c>
      <c r="P630" cm="1">
        <f t="array" ref="P630">MAX(IF((OutputTable[GroupByKey]=OutputTable[[#This Row],[GroupByKey]]),(OutputTable[GroupByKey]=OutputTable[[#This Row],[GroupByKey]])*OutputTable[RecordedValue]))</f>
        <v>0.49691123629694001</v>
      </c>
    </row>
    <row r="631" spans="1:16" x14ac:dyDescent="0.25">
      <c r="A631" t="s">
        <v>68</v>
      </c>
      <c r="B631" t="s">
        <v>131</v>
      </c>
      <c r="C631">
        <v>38</v>
      </c>
      <c r="D631" t="s">
        <v>104</v>
      </c>
      <c r="E631" t="s">
        <v>105</v>
      </c>
      <c r="F631" t="s">
        <v>72</v>
      </c>
      <c r="G631">
        <v>2407</v>
      </c>
      <c r="H631">
        <v>0</v>
      </c>
      <c r="I631" t="str">
        <f>OutputTable[[#This Row],[ProjectName]]&amp;OutputTable[[#This Row],[Name]]&amp;OutputTable[[#This Row],[Type]]&amp;OutputTable[[#This Row],[Source]]</f>
        <v>PacientesEntity 1.NumberInNumber InEntity</v>
      </c>
      <c r="J631" cm="1">
        <f t="array" ref="J631">MAX(IF((ProjectInfoTable[ProjectName]=OutputTable[[#This Row],[ProjectName]]),(ProjectInfoTable[ProjectName]=OutputTable[[#This Row],[ProjectName]])*ProjectInfoTable[NumberOfReplications]))</f>
        <v>50</v>
      </c>
      <c r="K631" cm="1">
        <f t="array" ref="K631">IFERROR(AVERAGE(IF((OutputTable[GroupByKey]=OutputTable[[#This Row],[GroupByKey]]),(OutputTable[GroupByKey]=OutputTable[[#This Row],[GroupByKey]])*OutputTable[RecordedValue])),0)</f>
        <v>2404.8200000000002</v>
      </c>
      <c r="L631" cm="1">
        <f t="array" ref="L631">IFERROR(_xlfn.STDEV.S(IF((OutputTable[GroupByKey]=OutputTable[[#This Row],[GroupByKey]]),(OutputTable[GroupByKey]=OutputTable[[#This Row],[GroupByKey]])*OutputTable[RecordedValue])),0)</f>
        <v>46.42953405595474</v>
      </c>
      <c r="M631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631" cm="1">
        <f t="array" ref="O631">MIN(IF((OutputTable[GroupByKey]=OutputTable[[#This Row],[GroupByKey]]),(OutputTable[GroupByKey]=OutputTable[[#This Row],[GroupByKey]])*OutputTable[RecordedValue]))</f>
        <v>2307</v>
      </c>
      <c r="P631" cm="1">
        <f t="array" ref="P631">MAX(IF((OutputTable[GroupByKey]=OutputTable[[#This Row],[GroupByKey]]),(OutputTable[GroupByKey]=OutputTable[[#This Row],[GroupByKey]])*OutputTable[RecordedValue]))</f>
        <v>2518</v>
      </c>
    </row>
    <row r="632" spans="1:16" x14ac:dyDescent="0.25">
      <c r="A632" t="s">
        <v>68</v>
      </c>
      <c r="B632" t="s">
        <v>131</v>
      </c>
      <c r="C632">
        <v>38</v>
      </c>
      <c r="D632" t="s">
        <v>106</v>
      </c>
      <c r="E632" t="s">
        <v>107</v>
      </c>
      <c r="F632" t="s">
        <v>72</v>
      </c>
      <c r="G632">
        <v>2407</v>
      </c>
      <c r="H632">
        <v>0</v>
      </c>
      <c r="I632" t="str">
        <f>OutputTable[[#This Row],[ProjectName]]&amp;OutputTable[[#This Row],[Name]]&amp;OutputTable[[#This Row],[Type]]&amp;OutputTable[[#This Row],[Source]]</f>
        <v>PacientesEntity 1.NumberOutNumber OutEntity</v>
      </c>
      <c r="J632" cm="1">
        <f t="array" ref="J632">MAX(IF((ProjectInfoTable[ProjectName]=OutputTable[[#This Row],[ProjectName]]),(ProjectInfoTable[ProjectName]=OutputTable[[#This Row],[ProjectName]])*ProjectInfoTable[NumberOfReplications]))</f>
        <v>50</v>
      </c>
      <c r="K632" cm="1">
        <f t="array" ref="K632">IFERROR(AVERAGE(IF((OutputTable[GroupByKey]=OutputTable[[#This Row],[GroupByKey]]),(OutputTable[GroupByKey]=OutputTable[[#This Row],[GroupByKey]])*OutputTable[RecordedValue])),0)</f>
        <v>2400.2800000000002</v>
      </c>
      <c r="L632" cm="1">
        <f t="array" ref="L632">IFERROR(_xlfn.STDEV.S(IF((OutputTable[GroupByKey]=OutputTable[[#This Row],[GroupByKey]]),(OutputTable[GroupByKey]=OutputTable[[#This Row],[GroupByKey]])*OutputTable[RecordedValue])),0)</f>
        <v>46.409024456676619</v>
      </c>
      <c r="M632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32" cm="1">
        <f t="array" ref="O632">MIN(IF((OutputTable[GroupByKey]=OutputTable[[#This Row],[GroupByKey]]),(OutputTable[GroupByKey]=OutputTable[[#This Row],[GroupByKey]])*OutputTable[RecordedValue]))</f>
        <v>2305</v>
      </c>
      <c r="P632" cm="1">
        <f t="array" ref="P632">MAX(IF((OutputTable[GroupByKey]=OutputTable[[#This Row],[GroupByKey]]),(OutputTable[GroupByKey]=OutputTable[[#This Row],[GroupByKey]])*OutputTable[RecordedValue]))</f>
        <v>2504</v>
      </c>
    </row>
    <row r="633" spans="1:16" x14ac:dyDescent="0.25">
      <c r="A633" t="s">
        <v>68</v>
      </c>
      <c r="B633" t="s">
        <v>131</v>
      </c>
      <c r="C633">
        <v>38</v>
      </c>
      <c r="D633" t="s">
        <v>108</v>
      </c>
      <c r="E633" t="s">
        <v>109</v>
      </c>
      <c r="F633" t="s">
        <v>80</v>
      </c>
      <c r="G633">
        <v>1187.0784698176701</v>
      </c>
      <c r="H633">
        <v>0</v>
      </c>
      <c r="I633" t="str">
        <f>OutputTable[[#This Row],[ProjectName]]&amp;OutputTable[[#This Row],[Name]]&amp;OutputTable[[#This Row],[Type]]&amp;OutputTable[[#This Row],[Source]]</f>
        <v>PacientesProcess 2 Accum VA TimeAccum VA TimeProcess</v>
      </c>
      <c r="J633" cm="1">
        <f t="array" ref="J633">MAX(IF((ProjectInfoTable[ProjectName]=OutputTable[[#This Row],[ProjectName]]),(ProjectInfoTable[ProjectName]=OutputTable[[#This Row],[ProjectName]])*ProjectInfoTable[NumberOfReplications]))</f>
        <v>50</v>
      </c>
      <c r="K633" cm="1">
        <f t="array" ref="K633">IFERROR(AVERAGE(IF((OutputTable[GroupByKey]=OutputTable[[#This Row],[GroupByKey]]),(OutputTable[GroupByKey]=OutputTable[[#This Row],[GroupByKey]])*OutputTable[RecordedValue])),0)</f>
        <v>1181.1234936767919</v>
      </c>
      <c r="L633" cm="1">
        <f t="array" ref="L633">IFERROR(_xlfn.STDEV.S(IF((OutputTable[GroupByKey]=OutputTable[[#This Row],[GroupByKey]]),(OutputTable[GroupByKey]=OutputTable[[#This Row],[GroupByKey]])*OutputTable[RecordedValue])),0)</f>
        <v>22.169313666927575</v>
      </c>
      <c r="M633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633" cm="1">
        <f t="array" ref="O633">MIN(IF((OutputTable[GroupByKey]=OutputTable[[#This Row],[GroupByKey]]),(OutputTable[GroupByKey]=OutputTable[[#This Row],[GroupByKey]])*OutputTable[RecordedValue]))</f>
        <v>1133.24622318414</v>
      </c>
      <c r="P633" cm="1">
        <f t="array" ref="P633">MAX(IF((OutputTable[GroupByKey]=OutputTable[[#This Row],[GroupByKey]]),(OutputTable[GroupByKey]=OutputTable[[#This Row],[GroupByKey]])*OutputTable[RecordedValue]))</f>
        <v>1230.9493287309799</v>
      </c>
    </row>
    <row r="634" spans="1:16" x14ac:dyDescent="0.25">
      <c r="A634" t="s">
        <v>68</v>
      </c>
      <c r="B634" t="s">
        <v>131</v>
      </c>
      <c r="C634">
        <v>38</v>
      </c>
      <c r="D634" t="s">
        <v>110</v>
      </c>
      <c r="E634" t="s">
        <v>111</v>
      </c>
      <c r="F634" t="s">
        <v>80</v>
      </c>
      <c r="G634">
        <v>1715.30997468803</v>
      </c>
      <c r="H634">
        <v>0</v>
      </c>
      <c r="I634" t="str">
        <f>OutputTable[[#This Row],[ProjectName]]&amp;OutputTable[[#This Row],[Name]]&amp;OutputTable[[#This Row],[Type]]&amp;OutputTable[[#This Row],[Source]]</f>
        <v>PacientesProcess 2 Accum Wait TimeAccum Wait TimeProcess</v>
      </c>
      <c r="J634" cm="1">
        <f t="array" ref="J634">MAX(IF((ProjectInfoTable[ProjectName]=OutputTable[[#This Row],[ProjectName]]),(ProjectInfoTable[ProjectName]=OutputTable[[#This Row],[ProjectName]])*ProjectInfoTable[NumberOfReplications]))</f>
        <v>50</v>
      </c>
      <c r="K634" cm="1">
        <f t="array" ref="K634">IFERROR(AVERAGE(IF((OutputTable[GroupByKey]=OutputTable[[#This Row],[GroupByKey]]),(OutputTable[GroupByKey]=OutputTable[[#This Row],[GroupByKey]])*OutputTable[RecordedValue])),0)</f>
        <v>1938.7515507466894</v>
      </c>
      <c r="L634" cm="1">
        <f t="array" ref="L634">IFERROR(_xlfn.STDEV.S(IF((OutputTable[GroupByKey]=OutputTable[[#This Row],[GroupByKey]]),(OutputTable[GroupByKey]=OutputTable[[#This Row],[GroupByKey]])*OutputTable[RecordedValue])),0)</f>
        <v>534.03396241838232</v>
      </c>
      <c r="M634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634" cm="1">
        <f t="array" ref="O634">MIN(IF((OutputTable[GroupByKey]=OutputTable[[#This Row],[GroupByKey]]),(OutputTable[GroupByKey]=OutputTable[[#This Row],[GroupByKey]])*OutputTable[RecordedValue]))</f>
        <v>1234.7567994731401</v>
      </c>
      <c r="P634" cm="1">
        <f t="array" ref="P634">MAX(IF((OutputTable[GroupByKey]=OutputTable[[#This Row],[GroupByKey]]),(OutputTable[GroupByKey]=OutputTable[[#This Row],[GroupByKey]])*OutputTable[RecordedValue]))</f>
        <v>3269.0858002883801</v>
      </c>
    </row>
    <row r="635" spans="1:16" x14ac:dyDescent="0.25">
      <c r="A635" t="s">
        <v>68</v>
      </c>
      <c r="B635" t="s">
        <v>131</v>
      </c>
      <c r="C635">
        <v>38</v>
      </c>
      <c r="D635" t="s">
        <v>112</v>
      </c>
      <c r="E635" t="s">
        <v>105</v>
      </c>
      <c r="F635" t="s">
        <v>80</v>
      </c>
      <c r="G635">
        <v>2407</v>
      </c>
      <c r="H635">
        <v>0</v>
      </c>
      <c r="I635" t="str">
        <f>OutputTable[[#This Row],[ProjectName]]&amp;OutputTable[[#This Row],[Name]]&amp;OutputTable[[#This Row],[Type]]&amp;OutputTable[[#This Row],[Source]]</f>
        <v>PacientesProcess 2 Number InNumber InProcess</v>
      </c>
      <c r="J635" cm="1">
        <f t="array" ref="J635">MAX(IF((ProjectInfoTable[ProjectName]=OutputTable[[#This Row],[ProjectName]]),(ProjectInfoTable[ProjectName]=OutputTable[[#This Row],[ProjectName]])*ProjectInfoTable[NumberOfReplications]))</f>
        <v>50</v>
      </c>
      <c r="K635" cm="1">
        <f t="array" ref="K635">IFERROR(AVERAGE(IF((OutputTable[GroupByKey]=OutputTable[[#This Row],[GroupByKey]]),(OutputTable[GroupByKey]=OutputTable[[#This Row],[GroupByKey]])*OutputTable[RecordedValue])),0)</f>
        <v>2404.2399999999998</v>
      </c>
      <c r="L635" cm="1">
        <f t="array" ref="L635">IFERROR(_xlfn.STDEV.S(IF((OutputTable[GroupByKey]=OutputTable[[#This Row],[GroupByKey]]),(OutputTable[GroupByKey]=OutputTable[[#This Row],[GroupByKey]])*OutputTable[RecordedValue])),0)</f>
        <v>46.574303154053879</v>
      </c>
      <c r="M63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635" cm="1">
        <f t="array" ref="O635">MIN(IF((OutputTable[GroupByKey]=OutputTable[[#This Row],[GroupByKey]]),(OutputTable[GroupByKey]=OutputTable[[#This Row],[GroupByKey]])*OutputTable[RecordedValue]))</f>
        <v>2306</v>
      </c>
      <c r="P635" cm="1">
        <f t="array" ref="P635">MAX(IF((OutputTable[GroupByKey]=OutputTable[[#This Row],[GroupByKey]]),(OutputTable[GroupByKey]=OutputTable[[#This Row],[GroupByKey]])*OutputTable[RecordedValue]))</f>
        <v>2518</v>
      </c>
    </row>
    <row r="636" spans="1:16" x14ac:dyDescent="0.25">
      <c r="A636" t="s">
        <v>68</v>
      </c>
      <c r="B636" t="s">
        <v>131</v>
      </c>
      <c r="C636">
        <v>38</v>
      </c>
      <c r="D636" t="s">
        <v>113</v>
      </c>
      <c r="E636" t="s">
        <v>107</v>
      </c>
      <c r="F636" t="s">
        <v>80</v>
      </c>
      <c r="G636">
        <v>2407</v>
      </c>
      <c r="H636">
        <v>0</v>
      </c>
      <c r="I636" t="str">
        <f>OutputTable[[#This Row],[ProjectName]]&amp;OutputTable[[#This Row],[Name]]&amp;OutputTable[[#This Row],[Type]]&amp;OutputTable[[#This Row],[Source]]</f>
        <v>PacientesProcess 2 Number OutNumber OutProcess</v>
      </c>
      <c r="J636" cm="1">
        <f t="array" ref="J636">MAX(IF((ProjectInfoTable[ProjectName]=OutputTable[[#This Row],[ProjectName]]),(ProjectInfoTable[ProjectName]=OutputTable[[#This Row],[ProjectName]])*ProjectInfoTable[NumberOfReplications]))</f>
        <v>50</v>
      </c>
      <c r="K636" cm="1">
        <f t="array" ref="K636">IFERROR(AVERAGE(IF((OutputTable[GroupByKey]=OutputTable[[#This Row],[GroupByKey]]),(OutputTable[GroupByKey]=OutputTable[[#This Row],[GroupByKey]])*OutputTable[RecordedValue])),0)</f>
        <v>2400.2800000000002</v>
      </c>
      <c r="L636" cm="1">
        <f t="array" ref="L636">IFERROR(_xlfn.STDEV.S(IF((OutputTable[GroupByKey]=OutputTable[[#This Row],[GroupByKey]]),(OutputTable[GroupByKey]=OutputTable[[#This Row],[GroupByKey]])*OutputTable[RecordedValue])),0)</f>
        <v>46.409024456676619</v>
      </c>
      <c r="M636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36" cm="1">
        <f t="array" ref="O636">MIN(IF((OutputTable[GroupByKey]=OutputTable[[#This Row],[GroupByKey]]),(OutputTable[GroupByKey]=OutputTable[[#This Row],[GroupByKey]])*OutputTable[RecordedValue]))</f>
        <v>2305</v>
      </c>
      <c r="P636" cm="1">
        <f t="array" ref="P636">MAX(IF((OutputTable[GroupByKey]=OutputTable[[#This Row],[GroupByKey]]),(OutputTable[GroupByKey]=OutputTable[[#This Row],[GroupByKey]])*OutputTable[RecordedValue]))</f>
        <v>2504</v>
      </c>
    </row>
    <row r="637" spans="1:16" x14ac:dyDescent="0.25">
      <c r="A637" t="s">
        <v>68</v>
      </c>
      <c r="B637" t="s">
        <v>131</v>
      </c>
      <c r="C637">
        <v>38</v>
      </c>
      <c r="D637" t="s">
        <v>114</v>
      </c>
      <c r="E637" t="s">
        <v>109</v>
      </c>
      <c r="F637" t="s">
        <v>80</v>
      </c>
      <c r="G637">
        <v>340.16494565256102</v>
      </c>
      <c r="H637">
        <v>0</v>
      </c>
      <c r="I637" t="str">
        <f>OutputTable[[#This Row],[ProjectName]]&amp;OutputTable[[#This Row],[Name]]&amp;OutputTable[[#This Row],[Type]]&amp;OutputTable[[#This Row],[Source]]</f>
        <v>PacientesRegistro Accum VA TimeAccum VA TimeProcess</v>
      </c>
      <c r="J637" cm="1">
        <f t="array" ref="J637">MAX(IF((ProjectInfoTable[ProjectName]=OutputTable[[#This Row],[ProjectName]]),(ProjectInfoTable[ProjectName]=OutputTable[[#This Row],[ProjectName]])*ProjectInfoTable[NumberOfReplications]))</f>
        <v>50</v>
      </c>
      <c r="K637" cm="1">
        <f t="array" ref="K637">IFERROR(AVERAGE(IF((OutputTable[GroupByKey]=OutputTable[[#This Row],[GroupByKey]]),(OutputTable[GroupByKey]=OutputTable[[#This Row],[GroupByKey]])*OutputTable[RecordedValue])),0)</f>
        <v>339.53547737062786</v>
      </c>
      <c r="L637" cm="1">
        <f t="array" ref="L637">IFERROR(_xlfn.STDEV.S(IF((OutputTable[GroupByKey]=OutputTable[[#This Row],[GroupByKey]]),(OutputTable[GroupByKey]=OutputTable[[#This Row],[GroupByKey]])*OutputTable[RecordedValue])),0)</f>
        <v>6.9723666109353193</v>
      </c>
      <c r="M637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637" cm="1">
        <f t="array" ref="O637">MIN(IF((OutputTable[GroupByKey]=OutputTable[[#This Row],[GroupByKey]]),(OutputTable[GroupByKey]=OutputTable[[#This Row],[GroupByKey]])*OutputTable[RecordedValue]))</f>
        <v>325.606879158418</v>
      </c>
      <c r="P637" cm="1">
        <f t="array" ref="P637">MAX(IF((OutputTable[GroupByKey]=OutputTable[[#This Row],[GroupByKey]]),(OutputTable[GroupByKey]=OutputTable[[#This Row],[GroupByKey]])*OutputTable[RecordedValue]))</f>
        <v>357.77609013379703</v>
      </c>
    </row>
    <row r="638" spans="1:16" x14ac:dyDescent="0.25">
      <c r="A638" t="s">
        <v>68</v>
      </c>
      <c r="B638" t="s">
        <v>131</v>
      </c>
      <c r="C638">
        <v>38</v>
      </c>
      <c r="D638" t="s">
        <v>115</v>
      </c>
      <c r="E638" t="s">
        <v>111</v>
      </c>
      <c r="F638" t="s">
        <v>80</v>
      </c>
      <c r="G638">
        <v>157.63004363715601</v>
      </c>
      <c r="H638">
        <v>0</v>
      </c>
      <c r="I638" t="str">
        <f>OutputTable[[#This Row],[ProjectName]]&amp;OutputTable[[#This Row],[Name]]&amp;OutputTable[[#This Row],[Type]]&amp;OutputTable[[#This Row],[Source]]</f>
        <v>PacientesRegistro Accum Wait TimeAccum Wait TimeProcess</v>
      </c>
      <c r="J638" cm="1">
        <f t="array" ref="J638">MAX(IF((ProjectInfoTable[ProjectName]=OutputTable[[#This Row],[ProjectName]]),(ProjectInfoTable[ProjectName]=OutputTable[[#This Row],[ProjectName]])*ProjectInfoTable[NumberOfReplications]))</f>
        <v>50</v>
      </c>
      <c r="K638" cm="1">
        <f t="array" ref="K638">IFERROR(AVERAGE(IF((OutputTable[GroupByKey]=OutputTable[[#This Row],[GroupByKey]]),(OutputTable[GroupByKey]=OutputTable[[#This Row],[GroupByKey]])*OutputTable[RecordedValue])),0)</f>
        <v>154.15303898127775</v>
      </c>
      <c r="L638" cm="1">
        <f t="array" ref="L638">IFERROR(_xlfn.STDEV.S(IF((OutputTable[GroupByKey]=OutputTable[[#This Row],[GroupByKey]]),(OutputTable[GroupByKey]=OutputTable[[#This Row],[GroupByKey]])*OutputTable[RecordedValue])),0)</f>
        <v>12.141439184615397</v>
      </c>
      <c r="M638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638" cm="1">
        <f t="array" ref="O638">MIN(IF((OutputTable[GroupByKey]=OutputTable[[#This Row],[GroupByKey]]),(OutputTable[GroupByKey]=OutputTable[[#This Row],[GroupByKey]])*OutputTable[RecordedValue]))</f>
        <v>123.901613974094</v>
      </c>
      <c r="P638" cm="1">
        <f t="array" ref="P638">MAX(IF((OutputTable[GroupByKey]=OutputTable[[#This Row],[GroupByKey]]),(OutputTable[GroupByKey]=OutputTable[[#This Row],[GroupByKey]])*OutputTable[RecordedValue]))</f>
        <v>178.441307284473</v>
      </c>
    </row>
    <row r="639" spans="1:16" x14ac:dyDescent="0.25">
      <c r="A639" t="s">
        <v>68</v>
      </c>
      <c r="B639" t="s">
        <v>131</v>
      </c>
      <c r="C639">
        <v>38</v>
      </c>
      <c r="D639" t="s">
        <v>116</v>
      </c>
      <c r="E639" t="s">
        <v>105</v>
      </c>
      <c r="F639" t="s">
        <v>80</v>
      </c>
      <c r="G639">
        <v>2261</v>
      </c>
      <c r="H639">
        <v>0</v>
      </c>
      <c r="I639" t="str">
        <f>OutputTable[[#This Row],[ProjectName]]&amp;OutputTable[[#This Row],[Name]]&amp;OutputTable[[#This Row],[Type]]&amp;OutputTable[[#This Row],[Source]]</f>
        <v>PacientesRegistro Number InNumber InProcess</v>
      </c>
      <c r="J639" cm="1">
        <f t="array" ref="J639">MAX(IF((ProjectInfoTable[ProjectName]=OutputTable[[#This Row],[ProjectName]]),(ProjectInfoTable[ProjectName]=OutputTable[[#This Row],[ProjectName]])*ProjectInfoTable[NumberOfReplications]))</f>
        <v>50</v>
      </c>
      <c r="K639" cm="1">
        <f t="array" ref="K639">IFERROR(AVERAGE(IF((OutputTable[GroupByKey]=OutputTable[[#This Row],[GroupByKey]]),(OutputTable[GroupByKey]=OutputTable[[#This Row],[GroupByKey]])*OutputTable[RecordedValue])),0)</f>
        <v>2263.2399999999998</v>
      </c>
      <c r="L639" cm="1">
        <f t="array" ref="L639">IFERROR(_xlfn.STDEV.S(IF((OutputTable[GroupByKey]=OutputTable[[#This Row],[GroupByKey]]),(OutputTable[GroupByKey]=OutputTable[[#This Row],[GroupByKey]])*OutputTable[RecordedValue])),0)</f>
        <v>47.331035682472766</v>
      </c>
      <c r="M639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639" cm="1">
        <f t="array" ref="O639">MIN(IF((OutputTable[GroupByKey]=OutputTable[[#This Row],[GroupByKey]]),(OutputTable[GroupByKey]=OutputTable[[#This Row],[GroupByKey]])*OutputTable[RecordedValue]))</f>
        <v>2172</v>
      </c>
      <c r="P639" cm="1">
        <f t="array" ref="P639">MAX(IF((OutputTable[GroupByKey]=OutputTable[[#This Row],[GroupByKey]]),(OutputTable[GroupByKey]=OutputTable[[#This Row],[GroupByKey]])*OutputTable[RecordedValue]))</f>
        <v>2386</v>
      </c>
    </row>
    <row r="640" spans="1:16" x14ac:dyDescent="0.25">
      <c r="A640" t="s">
        <v>68</v>
      </c>
      <c r="B640" t="s">
        <v>131</v>
      </c>
      <c r="C640">
        <v>38</v>
      </c>
      <c r="D640" t="s">
        <v>117</v>
      </c>
      <c r="E640" t="s">
        <v>107</v>
      </c>
      <c r="F640" t="s">
        <v>80</v>
      </c>
      <c r="G640">
        <v>2261</v>
      </c>
      <c r="H640">
        <v>0</v>
      </c>
      <c r="I640" t="str">
        <f>OutputTable[[#This Row],[ProjectName]]&amp;OutputTable[[#This Row],[Name]]&amp;OutputTable[[#This Row],[Type]]&amp;OutputTable[[#This Row],[Source]]</f>
        <v>PacientesRegistro Number OutNumber OutProcess</v>
      </c>
      <c r="J640" cm="1">
        <f t="array" ref="J640">MAX(IF((ProjectInfoTable[ProjectName]=OutputTable[[#This Row],[ProjectName]]),(ProjectInfoTable[ProjectName]=OutputTable[[#This Row],[ProjectName]])*ProjectInfoTable[NumberOfReplications]))</f>
        <v>50</v>
      </c>
      <c r="K640" cm="1">
        <f t="array" ref="K640">IFERROR(AVERAGE(IF((OutputTable[GroupByKey]=OutputTable[[#This Row],[GroupByKey]]),(OutputTable[GroupByKey]=OutputTable[[#This Row],[GroupByKey]])*OutputTable[RecordedValue])),0)</f>
        <v>2262.66</v>
      </c>
      <c r="L640" cm="1">
        <f t="array" ref="L640">IFERROR(_xlfn.STDEV.S(IF((OutputTable[GroupByKey]=OutputTable[[#This Row],[GroupByKey]]),(OutputTable[GroupByKey]=OutputTable[[#This Row],[GroupByKey]])*OutputTable[RecordedValue])),0)</f>
        <v>47.488176831454687</v>
      </c>
      <c r="M640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640" cm="1">
        <f t="array" ref="O640">MIN(IF((OutputTable[GroupByKey]=OutputTable[[#This Row],[GroupByKey]]),(OutputTable[GroupByKey]=OutputTable[[#This Row],[GroupByKey]])*OutputTable[RecordedValue]))</f>
        <v>2171</v>
      </c>
      <c r="P640" cm="1">
        <f t="array" ref="P640">MAX(IF((OutputTable[GroupByKey]=OutputTable[[#This Row],[GroupByKey]]),(OutputTable[GroupByKey]=OutputTable[[#This Row],[GroupByKey]])*OutputTable[RecordedValue]))</f>
        <v>2386</v>
      </c>
    </row>
    <row r="641" spans="1:16" x14ac:dyDescent="0.25">
      <c r="A641" t="s">
        <v>68</v>
      </c>
      <c r="B641" t="s">
        <v>131</v>
      </c>
      <c r="C641">
        <v>38</v>
      </c>
      <c r="D641" t="s">
        <v>118</v>
      </c>
      <c r="E641" t="s">
        <v>107</v>
      </c>
      <c r="F641" t="s">
        <v>119</v>
      </c>
      <c r="G641">
        <v>2407</v>
      </c>
      <c r="H641">
        <v>0</v>
      </c>
      <c r="I641" t="str">
        <f>OutputTable[[#This Row],[ProjectName]]&amp;OutputTable[[#This Row],[Name]]&amp;OutputTable[[#This Row],[Type]]&amp;OutputTable[[#This Row],[Source]]</f>
        <v>PacientesSystem.NumberOutNumber OutSystem</v>
      </c>
      <c r="J641" cm="1">
        <f t="array" ref="J641">MAX(IF((ProjectInfoTable[ProjectName]=OutputTable[[#This Row],[ProjectName]]),(ProjectInfoTable[ProjectName]=OutputTable[[#This Row],[ProjectName]])*ProjectInfoTable[NumberOfReplications]))</f>
        <v>50</v>
      </c>
      <c r="K641" cm="1">
        <f t="array" ref="K641">IFERROR(AVERAGE(IF((OutputTable[GroupByKey]=OutputTable[[#This Row],[GroupByKey]]),(OutputTable[GroupByKey]=OutputTable[[#This Row],[GroupByKey]])*OutputTable[RecordedValue])),0)</f>
        <v>2400.2800000000002</v>
      </c>
      <c r="L641" cm="1">
        <f t="array" ref="L641">IFERROR(_xlfn.STDEV.S(IF((OutputTable[GroupByKey]=OutputTable[[#This Row],[GroupByKey]]),(OutputTable[GroupByKey]=OutputTable[[#This Row],[GroupByKey]])*OutputTable[RecordedValue])),0)</f>
        <v>46.409024456676619</v>
      </c>
      <c r="M641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41" cm="1">
        <f t="array" ref="O641">MIN(IF((OutputTable[GroupByKey]=OutputTable[[#This Row],[GroupByKey]]),(OutputTable[GroupByKey]=OutputTable[[#This Row],[GroupByKey]])*OutputTable[RecordedValue]))</f>
        <v>2305</v>
      </c>
      <c r="P641" cm="1">
        <f t="array" ref="P641">MAX(IF((OutputTable[GroupByKey]=OutputTable[[#This Row],[GroupByKey]]),(OutputTable[GroupByKey]=OutputTable[[#This Row],[GroupByKey]])*OutputTable[RecordedValue]))</f>
        <v>2504</v>
      </c>
    </row>
    <row r="642" spans="1:16" x14ac:dyDescent="0.25">
      <c r="A642" t="s">
        <v>68</v>
      </c>
      <c r="B642" t="s">
        <v>131</v>
      </c>
      <c r="C642">
        <v>38</v>
      </c>
      <c r="D642" t="s">
        <v>120</v>
      </c>
      <c r="E642" t="s">
        <v>121</v>
      </c>
      <c r="F642" t="s">
        <v>99</v>
      </c>
      <c r="G642">
        <v>2407</v>
      </c>
      <c r="H642">
        <v>0</v>
      </c>
      <c r="I642" t="str">
        <f>OutputTable[[#This Row],[ProjectName]]&amp;OutputTable[[#This Row],[Name]]&amp;OutputTable[[#This Row],[Type]]&amp;OutputTable[[#This Row],[Source]]</f>
        <v>PacientesrCamas.NumberSeizedTotal Number SeizedResource</v>
      </c>
      <c r="J642" cm="1">
        <f t="array" ref="J642">MAX(IF((ProjectInfoTable[ProjectName]=OutputTable[[#This Row],[ProjectName]]),(ProjectInfoTable[ProjectName]=OutputTable[[#This Row],[ProjectName]])*ProjectInfoTable[NumberOfReplications]))</f>
        <v>50</v>
      </c>
      <c r="K642" cm="1">
        <f t="array" ref="K642">IFERROR(AVERAGE(IF((OutputTable[GroupByKey]=OutputTable[[#This Row],[GroupByKey]]),(OutputTable[GroupByKey]=OutputTable[[#This Row],[GroupByKey]])*OutputTable[RecordedValue])),0)</f>
        <v>2401.9</v>
      </c>
      <c r="L642" cm="1">
        <f t="array" ref="L642">IFERROR(_xlfn.STDEV.S(IF((OutputTable[GroupByKey]=OutputTable[[#This Row],[GroupByKey]]),(OutputTable[GroupByKey]=OutputTable[[#This Row],[GroupByKey]])*OutputTable[RecordedValue])),0)</f>
        <v>46.417031532903209</v>
      </c>
      <c r="M642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42" cm="1">
        <f t="array" ref="O642">MIN(IF((OutputTable[GroupByKey]=OutputTable[[#This Row],[GroupByKey]]),(OutputTable[GroupByKey]=OutputTable[[#This Row],[GroupByKey]])*OutputTable[RecordedValue]))</f>
        <v>2306</v>
      </c>
      <c r="P642" cm="1">
        <f t="array" ref="P642">MAX(IF((OutputTable[GroupByKey]=OutputTable[[#This Row],[GroupByKey]]),(OutputTable[GroupByKey]=OutputTable[[#This Row],[GroupByKey]])*OutputTable[RecordedValue]))</f>
        <v>2506</v>
      </c>
    </row>
    <row r="643" spans="1:16" x14ac:dyDescent="0.25">
      <c r="A643" t="s">
        <v>68</v>
      </c>
      <c r="B643" t="s">
        <v>131</v>
      </c>
      <c r="C643">
        <v>38</v>
      </c>
      <c r="D643" t="s">
        <v>122</v>
      </c>
      <c r="E643" t="s">
        <v>123</v>
      </c>
      <c r="F643" t="s">
        <v>99</v>
      </c>
      <c r="G643">
        <v>0.54957336565633097</v>
      </c>
      <c r="H643">
        <v>0</v>
      </c>
      <c r="I643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643" cm="1">
        <f t="array" ref="J643">MAX(IF((ProjectInfoTable[ProjectName]=OutputTable[[#This Row],[ProjectName]]),(ProjectInfoTable[ProjectName]=OutputTable[[#This Row],[ProjectName]])*ProjectInfoTable[NumberOfReplications]))</f>
        <v>50</v>
      </c>
      <c r="K643" cm="1">
        <f t="array" ref="K643">IFERROR(AVERAGE(IF((OutputTable[GroupByKey]=OutputTable[[#This Row],[GroupByKey]]),(OutputTable[GroupByKey]=OutputTable[[#This Row],[GroupByKey]])*OutputTable[RecordedValue])),0)</f>
        <v>0.54703961359050601</v>
      </c>
      <c r="L643" cm="1">
        <f t="array" ref="L643">IFERROR(_xlfn.STDEV.S(IF((OutputTable[GroupByKey]=OutputTable[[#This Row],[GroupByKey]]),(OutputTable[GroupByKey]=OutputTable[[#This Row],[GroupByKey]])*OutputTable[RecordedValue])),0)</f>
        <v>1.0221170008030479E-2</v>
      </c>
      <c r="M643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643" cm="1">
        <f t="array" ref="O643">MIN(IF((OutputTable[GroupByKey]=OutputTable[[#This Row],[GroupByKey]]),(OutputTable[GroupByKey]=OutputTable[[#This Row],[GroupByKey]])*OutputTable[RecordedValue]))</f>
        <v>0.52470641844357901</v>
      </c>
      <c r="P643" cm="1">
        <f t="array" ref="P643">MAX(IF((OutputTable[GroupByKey]=OutputTable[[#This Row],[GroupByKey]]),(OutputTable[GroupByKey]=OutputTable[[#This Row],[GroupByKey]])*OutputTable[RecordedValue]))</f>
        <v>0.57005812966092295</v>
      </c>
    </row>
    <row r="644" spans="1:16" x14ac:dyDescent="0.25">
      <c r="A644" t="s">
        <v>68</v>
      </c>
      <c r="B644" t="s">
        <v>131</v>
      </c>
      <c r="C644">
        <v>38</v>
      </c>
      <c r="D644" t="s">
        <v>124</v>
      </c>
      <c r="E644" t="s">
        <v>121</v>
      </c>
      <c r="F644" t="s">
        <v>99</v>
      </c>
      <c r="G644">
        <v>2407</v>
      </c>
      <c r="H644">
        <v>0</v>
      </c>
      <c r="I644" t="str">
        <f>OutputTable[[#This Row],[ProjectName]]&amp;OutputTable[[#This Row],[Name]]&amp;OutputTable[[#This Row],[Type]]&amp;OutputTable[[#This Row],[Source]]</f>
        <v>PacientesrMedico.NumberSeizedTotal Number SeizedResource</v>
      </c>
      <c r="J644" cm="1">
        <f t="array" ref="J644">MAX(IF((ProjectInfoTable[ProjectName]=OutputTable[[#This Row],[ProjectName]]),(ProjectInfoTable[ProjectName]=OutputTable[[#This Row],[ProjectName]])*ProjectInfoTable[NumberOfReplications]))</f>
        <v>50</v>
      </c>
      <c r="K644" cm="1">
        <f t="array" ref="K644">IFERROR(AVERAGE(IF((OutputTable[GroupByKey]=OutputTable[[#This Row],[GroupByKey]]),(OutputTable[GroupByKey]=OutputTable[[#This Row],[GroupByKey]])*OutputTable[RecordedValue])),0)</f>
        <v>2401.9</v>
      </c>
      <c r="L644" cm="1">
        <f t="array" ref="L644">IFERROR(_xlfn.STDEV.S(IF((OutputTable[GroupByKey]=OutputTable[[#This Row],[GroupByKey]]),(OutputTable[GroupByKey]=OutputTable[[#This Row],[GroupByKey]])*OutputTable[RecordedValue])),0)</f>
        <v>46.417031532903209</v>
      </c>
      <c r="M644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44" cm="1">
        <f t="array" ref="O644">MIN(IF((OutputTable[GroupByKey]=OutputTable[[#This Row],[GroupByKey]]),(OutputTable[GroupByKey]=OutputTable[[#This Row],[GroupByKey]])*OutputTable[RecordedValue]))</f>
        <v>2306</v>
      </c>
      <c r="P644" cm="1">
        <f t="array" ref="P644">MAX(IF((OutputTable[GroupByKey]=OutputTable[[#This Row],[GroupByKey]]),(OutputTable[GroupByKey]=OutputTable[[#This Row],[GroupByKey]])*OutputTable[RecordedValue]))</f>
        <v>2506</v>
      </c>
    </row>
    <row r="645" spans="1:16" x14ac:dyDescent="0.25">
      <c r="A645" t="s">
        <v>68</v>
      </c>
      <c r="B645" t="s">
        <v>131</v>
      </c>
      <c r="C645">
        <v>38</v>
      </c>
      <c r="D645" t="s">
        <v>125</v>
      </c>
      <c r="E645" t="s">
        <v>123</v>
      </c>
      <c r="F645" t="s">
        <v>99</v>
      </c>
      <c r="G645">
        <v>0.82436004848449695</v>
      </c>
      <c r="H645">
        <v>0</v>
      </c>
      <c r="I645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645" cm="1">
        <f t="array" ref="J645">MAX(IF((ProjectInfoTable[ProjectName]=OutputTable[[#This Row],[ProjectName]]),(ProjectInfoTable[ProjectName]=OutputTable[[#This Row],[ProjectName]])*ProjectInfoTable[NumberOfReplications]))</f>
        <v>50</v>
      </c>
      <c r="K645" cm="1">
        <f t="array" ref="K645">IFERROR(AVERAGE(IF((OutputTable[GroupByKey]=OutputTable[[#This Row],[GroupByKey]]),(OutputTable[GroupByKey]=OutputTable[[#This Row],[GroupByKey]])*OutputTable[RecordedValue])),0)</f>
        <v>0.82055942038575935</v>
      </c>
      <c r="L645" cm="1">
        <f t="array" ref="L645">IFERROR(_xlfn.STDEV.S(IF((OutputTable[GroupByKey]=OutputTable[[#This Row],[GroupByKey]]),(OutputTable[GroupByKey]=OutputTable[[#This Row],[GroupByKey]])*OutputTable[RecordedValue])),0)</f>
        <v>1.5331755012045719E-2</v>
      </c>
      <c r="M64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645" cm="1">
        <f t="array" ref="O645">MIN(IF((OutputTable[GroupByKey]=OutputTable[[#This Row],[GroupByKey]]),(OutputTable[GroupByKey]=OutputTable[[#This Row],[GroupByKey]])*OutputTable[RecordedValue]))</f>
        <v>0.78705962766536897</v>
      </c>
      <c r="P645" cm="1">
        <f t="array" ref="P645">MAX(IF((OutputTable[GroupByKey]=OutputTable[[#This Row],[GroupByKey]]),(OutputTable[GroupByKey]=OutputTable[[#This Row],[GroupByKey]])*OutputTable[RecordedValue]))</f>
        <v>0.85508719449138504</v>
      </c>
    </row>
    <row r="646" spans="1:16" x14ac:dyDescent="0.25">
      <c r="A646" t="s">
        <v>68</v>
      </c>
      <c r="B646" t="s">
        <v>131</v>
      </c>
      <c r="C646">
        <v>38</v>
      </c>
      <c r="D646" t="s">
        <v>126</v>
      </c>
      <c r="E646" t="s">
        <v>121</v>
      </c>
      <c r="F646" t="s">
        <v>99</v>
      </c>
      <c r="G646">
        <v>2261</v>
      </c>
      <c r="H646">
        <v>0</v>
      </c>
      <c r="I646" t="str">
        <f>OutputTable[[#This Row],[ProjectName]]&amp;OutputTable[[#This Row],[Name]]&amp;OutputTable[[#This Row],[Type]]&amp;OutputTable[[#This Row],[Source]]</f>
        <v>PacientesrRegistradora.NumberSeizedTotal Number SeizedResource</v>
      </c>
      <c r="J646" cm="1">
        <f t="array" ref="J646">MAX(IF((ProjectInfoTable[ProjectName]=OutputTable[[#This Row],[ProjectName]]),(ProjectInfoTable[ProjectName]=OutputTable[[#This Row],[ProjectName]])*ProjectInfoTable[NumberOfReplications]))</f>
        <v>50</v>
      </c>
      <c r="K646" cm="1">
        <f t="array" ref="K646">IFERROR(AVERAGE(IF((OutputTable[GroupByKey]=OutputTable[[#This Row],[GroupByKey]]),(OutputTable[GroupByKey]=OutputTable[[#This Row],[GroupByKey]])*OutputTable[RecordedValue])),0)</f>
        <v>2263.14</v>
      </c>
      <c r="L646" cm="1">
        <f t="array" ref="L646">IFERROR(_xlfn.STDEV.S(IF((OutputTable[GroupByKey]=OutputTable[[#This Row],[GroupByKey]]),(OutputTable[GroupByKey]=OutputTable[[#This Row],[GroupByKey]])*OutputTable[RecordedValue])),0)</f>
        <v>47.386818971575821</v>
      </c>
      <c r="M646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646" cm="1">
        <f t="array" ref="O646">MIN(IF((OutputTable[GroupByKey]=OutputTable[[#This Row],[GroupByKey]]),(OutputTable[GroupByKey]=OutputTable[[#This Row],[GroupByKey]])*OutputTable[RecordedValue]))</f>
        <v>2172</v>
      </c>
      <c r="P646" cm="1">
        <f t="array" ref="P646">MAX(IF((OutputTable[GroupByKey]=OutputTable[[#This Row],[GroupByKey]]),(OutputTable[GroupByKey]=OutputTable[[#This Row],[GroupByKey]])*OutputTable[RecordedValue]))</f>
        <v>2386</v>
      </c>
    </row>
    <row r="647" spans="1:16" x14ac:dyDescent="0.25">
      <c r="A647" t="s">
        <v>68</v>
      </c>
      <c r="B647" t="s">
        <v>131</v>
      </c>
      <c r="C647">
        <v>38</v>
      </c>
      <c r="D647" t="s">
        <v>127</v>
      </c>
      <c r="E647" t="s">
        <v>123</v>
      </c>
      <c r="F647" t="s">
        <v>99</v>
      </c>
      <c r="G647">
        <v>0.47245131340633401</v>
      </c>
      <c r="H647">
        <v>0</v>
      </c>
      <c r="I647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647" cm="1">
        <f t="array" ref="J647">MAX(IF((ProjectInfoTable[ProjectName]=OutputTable[[#This Row],[ProjectName]]),(ProjectInfoTable[ProjectName]=OutputTable[[#This Row],[ProjectName]])*ProjectInfoTable[NumberOfReplications]))</f>
        <v>50</v>
      </c>
      <c r="K647" cm="1">
        <f t="array" ref="K647">IFERROR(AVERAGE(IF((OutputTable[GroupByKey]=OutputTable[[#This Row],[GroupByKey]]),(OutputTable[GroupByKey]=OutputTable[[#This Row],[GroupByKey]])*OutputTable[RecordedValue])),0)</f>
        <v>0.47162762933545666</v>
      </c>
      <c r="L647" cm="1">
        <f t="array" ref="L647">IFERROR(_xlfn.STDEV.S(IF((OutputTable[GroupByKey]=OutputTable[[#This Row],[GroupByKey]]),(OutputTable[GroupByKey]=OutputTable[[#This Row],[GroupByKey]])*OutputTable[RecordedValue])),0)</f>
        <v>9.6615227076777797E-3</v>
      </c>
      <c r="M647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647" cm="1">
        <f t="array" ref="O647">MIN(IF((OutputTable[GroupByKey]=OutputTable[[#This Row],[GroupByKey]]),(OutputTable[GroupByKey]=OutputTable[[#This Row],[GroupByKey]])*OutputTable[RecordedValue]))</f>
        <v>0.452397944183905</v>
      </c>
      <c r="P647" cm="1">
        <f t="array" ref="P647">MAX(IF((OutputTable[GroupByKey]=OutputTable[[#This Row],[GroupByKey]]),(OutputTable[GroupByKey]=OutputTable[[#This Row],[GroupByKey]])*OutputTable[RecordedValue]))</f>
        <v>0.49691123629694001</v>
      </c>
    </row>
    <row r="648" spans="1:16" x14ac:dyDescent="0.25">
      <c r="A648" t="s">
        <v>68</v>
      </c>
      <c r="B648" t="s">
        <v>131</v>
      </c>
      <c r="C648">
        <v>39</v>
      </c>
      <c r="D648" t="s">
        <v>104</v>
      </c>
      <c r="E648" t="s">
        <v>105</v>
      </c>
      <c r="F648" t="s">
        <v>72</v>
      </c>
      <c r="G648">
        <v>2403</v>
      </c>
      <c r="H648">
        <v>0</v>
      </c>
      <c r="I648" t="str">
        <f>OutputTable[[#This Row],[ProjectName]]&amp;OutputTable[[#This Row],[Name]]&amp;OutputTable[[#This Row],[Type]]&amp;OutputTable[[#This Row],[Source]]</f>
        <v>PacientesEntity 1.NumberInNumber InEntity</v>
      </c>
      <c r="J648" cm="1">
        <f t="array" ref="J648">MAX(IF((ProjectInfoTable[ProjectName]=OutputTable[[#This Row],[ProjectName]]),(ProjectInfoTable[ProjectName]=OutputTable[[#This Row],[ProjectName]])*ProjectInfoTable[NumberOfReplications]))</f>
        <v>50</v>
      </c>
      <c r="K648" cm="1">
        <f t="array" ref="K648">IFERROR(AVERAGE(IF((OutputTable[GroupByKey]=OutputTable[[#This Row],[GroupByKey]]),(OutputTable[GroupByKey]=OutputTable[[#This Row],[GroupByKey]])*OutputTable[RecordedValue])),0)</f>
        <v>2404.8200000000002</v>
      </c>
      <c r="L648" cm="1">
        <f t="array" ref="L648">IFERROR(_xlfn.STDEV.S(IF((OutputTable[GroupByKey]=OutputTable[[#This Row],[GroupByKey]]),(OutputTable[GroupByKey]=OutputTable[[#This Row],[GroupByKey]])*OutputTable[RecordedValue])),0)</f>
        <v>46.42953405595474</v>
      </c>
      <c r="M648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648" cm="1">
        <f t="array" ref="O648">MIN(IF((OutputTable[GroupByKey]=OutputTable[[#This Row],[GroupByKey]]),(OutputTable[GroupByKey]=OutputTable[[#This Row],[GroupByKey]])*OutputTable[RecordedValue]))</f>
        <v>2307</v>
      </c>
      <c r="P648" cm="1">
        <f t="array" ref="P648">MAX(IF((OutputTable[GroupByKey]=OutputTable[[#This Row],[GroupByKey]]),(OutputTable[GroupByKey]=OutputTable[[#This Row],[GroupByKey]])*OutputTable[RecordedValue]))</f>
        <v>2518</v>
      </c>
    </row>
    <row r="649" spans="1:16" x14ac:dyDescent="0.25">
      <c r="A649" t="s">
        <v>68</v>
      </c>
      <c r="B649" t="s">
        <v>131</v>
      </c>
      <c r="C649">
        <v>39</v>
      </c>
      <c r="D649" t="s">
        <v>106</v>
      </c>
      <c r="E649" t="s">
        <v>107</v>
      </c>
      <c r="F649" t="s">
        <v>72</v>
      </c>
      <c r="G649">
        <v>2400</v>
      </c>
      <c r="H649">
        <v>0</v>
      </c>
      <c r="I649" t="str">
        <f>OutputTable[[#This Row],[ProjectName]]&amp;OutputTable[[#This Row],[Name]]&amp;OutputTable[[#This Row],[Type]]&amp;OutputTable[[#This Row],[Source]]</f>
        <v>PacientesEntity 1.NumberOutNumber OutEntity</v>
      </c>
      <c r="J649" cm="1">
        <f t="array" ref="J649">MAX(IF((ProjectInfoTable[ProjectName]=OutputTable[[#This Row],[ProjectName]]),(ProjectInfoTable[ProjectName]=OutputTable[[#This Row],[ProjectName]])*ProjectInfoTable[NumberOfReplications]))</f>
        <v>50</v>
      </c>
      <c r="K649" cm="1">
        <f t="array" ref="K649">IFERROR(AVERAGE(IF((OutputTable[GroupByKey]=OutputTable[[#This Row],[GroupByKey]]),(OutputTable[GroupByKey]=OutputTable[[#This Row],[GroupByKey]])*OutputTable[RecordedValue])),0)</f>
        <v>2400.2800000000002</v>
      </c>
      <c r="L649" cm="1">
        <f t="array" ref="L649">IFERROR(_xlfn.STDEV.S(IF((OutputTable[GroupByKey]=OutputTable[[#This Row],[GroupByKey]]),(OutputTable[GroupByKey]=OutputTable[[#This Row],[GroupByKey]])*OutputTable[RecordedValue])),0)</f>
        <v>46.409024456676619</v>
      </c>
      <c r="M649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49" cm="1">
        <f t="array" ref="O649">MIN(IF((OutputTable[GroupByKey]=OutputTable[[#This Row],[GroupByKey]]),(OutputTable[GroupByKey]=OutputTable[[#This Row],[GroupByKey]])*OutputTable[RecordedValue]))</f>
        <v>2305</v>
      </c>
      <c r="P649" cm="1">
        <f t="array" ref="P649">MAX(IF((OutputTable[GroupByKey]=OutputTable[[#This Row],[GroupByKey]]),(OutputTable[GroupByKey]=OutputTable[[#This Row],[GroupByKey]])*OutputTable[RecordedValue]))</f>
        <v>2504</v>
      </c>
    </row>
    <row r="650" spans="1:16" x14ac:dyDescent="0.25">
      <c r="A650" t="s">
        <v>68</v>
      </c>
      <c r="B650" t="s">
        <v>131</v>
      </c>
      <c r="C650">
        <v>39</v>
      </c>
      <c r="D650" t="s">
        <v>108</v>
      </c>
      <c r="E650" t="s">
        <v>109</v>
      </c>
      <c r="F650" t="s">
        <v>80</v>
      </c>
      <c r="G650">
        <v>1183.2216680100501</v>
      </c>
      <c r="H650">
        <v>0</v>
      </c>
      <c r="I650" t="str">
        <f>OutputTable[[#This Row],[ProjectName]]&amp;OutputTable[[#This Row],[Name]]&amp;OutputTable[[#This Row],[Type]]&amp;OutputTable[[#This Row],[Source]]</f>
        <v>PacientesProcess 2 Accum VA TimeAccum VA TimeProcess</v>
      </c>
      <c r="J650" cm="1">
        <f t="array" ref="J650">MAX(IF((ProjectInfoTable[ProjectName]=OutputTable[[#This Row],[ProjectName]]),(ProjectInfoTable[ProjectName]=OutputTable[[#This Row],[ProjectName]])*ProjectInfoTable[NumberOfReplications]))</f>
        <v>50</v>
      </c>
      <c r="K650" cm="1">
        <f t="array" ref="K650">IFERROR(AVERAGE(IF((OutputTable[GroupByKey]=OutputTable[[#This Row],[GroupByKey]]),(OutputTable[GroupByKey]=OutputTable[[#This Row],[GroupByKey]])*OutputTable[RecordedValue])),0)</f>
        <v>1181.1234936767919</v>
      </c>
      <c r="L650" cm="1">
        <f t="array" ref="L650">IFERROR(_xlfn.STDEV.S(IF((OutputTable[GroupByKey]=OutputTable[[#This Row],[GroupByKey]]),(OutputTable[GroupByKey]=OutputTable[[#This Row],[GroupByKey]])*OutputTable[RecordedValue])),0)</f>
        <v>22.169313666927575</v>
      </c>
      <c r="M650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650" cm="1">
        <f t="array" ref="O650">MIN(IF((OutputTable[GroupByKey]=OutputTable[[#This Row],[GroupByKey]]),(OutputTable[GroupByKey]=OutputTable[[#This Row],[GroupByKey]])*OutputTable[RecordedValue]))</f>
        <v>1133.24622318414</v>
      </c>
      <c r="P650" cm="1">
        <f t="array" ref="P650">MAX(IF((OutputTable[GroupByKey]=OutputTable[[#This Row],[GroupByKey]]),(OutputTable[GroupByKey]=OutputTable[[#This Row],[GroupByKey]])*OutputTable[RecordedValue]))</f>
        <v>1230.9493287309799</v>
      </c>
    </row>
    <row r="651" spans="1:16" x14ac:dyDescent="0.25">
      <c r="A651" t="s">
        <v>68</v>
      </c>
      <c r="B651" t="s">
        <v>131</v>
      </c>
      <c r="C651">
        <v>39</v>
      </c>
      <c r="D651" t="s">
        <v>110</v>
      </c>
      <c r="E651" t="s">
        <v>111</v>
      </c>
      <c r="F651" t="s">
        <v>80</v>
      </c>
      <c r="G651">
        <v>1314.8086240652001</v>
      </c>
      <c r="H651">
        <v>0</v>
      </c>
      <c r="I651" t="str">
        <f>OutputTable[[#This Row],[ProjectName]]&amp;OutputTable[[#This Row],[Name]]&amp;OutputTable[[#This Row],[Type]]&amp;OutputTable[[#This Row],[Source]]</f>
        <v>PacientesProcess 2 Accum Wait TimeAccum Wait TimeProcess</v>
      </c>
      <c r="J651" cm="1">
        <f t="array" ref="J651">MAX(IF((ProjectInfoTable[ProjectName]=OutputTable[[#This Row],[ProjectName]]),(ProjectInfoTable[ProjectName]=OutputTable[[#This Row],[ProjectName]])*ProjectInfoTable[NumberOfReplications]))</f>
        <v>50</v>
      </c>
      <c r="K651" cm="1">
        <f t="array" ref="K651">IFERROR(AVERAGE(IF((OutputTable[GroupByKey]=OutputTable[[#This Row],[GroupByKey]]),(OutputTable[GroupByKey]=OutputTable[[#This Row],[GroupByKey]])*OutputTable[RecordedValue])),0)</f>
        <v>1938.7515507466894</v>
      </c>
      <c r="L651" cm="1">
        <f t="array" ref="L651">IFERROR(_xlfn.STDEV.S(IF((OutputTable[GroupByKey]=OutputTable[[#This Row],[GroupByKey]]),(OutputTable[GroupByKey]=OutputTable[[#This Row],[GroupByKey]])*OutputTable[RecordedValue])),0)</f>
        <v>534.03396241838232</v>
      </c>
      <c r="M651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651" cm="1">
        <f t="array" ref="O651">MIN(IF((OutputTable[GroupByKey]=OutputTable[[#This Row],[GroupByKey]]),(OutputTable[GroupByKey]=OutputTable[[#This Row],[GroupByKey]])*OutputTable[RecordedValue]))</f>
        <v>1234.7567994731401</v>
      </c>
      <c r="P651" cm="1">
        <f t="array" ref="P651">MAX(IF((OutputTable[GroupByKey]=OutputTable[[#This Row],[GroupByKey]]),(OutputTable[GroupByKey]=OutputTable[[#This Row],[GroupByKey]])*OutputTable[RecordedValue]))</f>
        <v>3269.0858002883801</v>
      </c>
    </row>
    <row r="652" spans="1:16" x14ac:dyDescent="0.25">
      <c r="A652" t="s">
        <v>68</v>
      </c>
      <c r="B652" t="s">
        <v>131</v>
      </c>
      <c r="C652">
        <v>39</v>
      </c>
      <c r="D652" t="s">
        <v>112</v>
      </c>
      <c r="E652" t="s">
        <v>105</v>
      </c>
      <c r="F652" t="s">
        <v>80</v>
      </c>
      <c r="G652">
        <v>2403</v>
      </c>
      <c r="H652">
        <v>0</v>
      </c>
      <c r="I652" t="str">
        <f>OutputTable[[#This Row],[ProjectName]]&amp;OutputTable[[#This Row],[Name]]&amp;OutputTable[[#This Row],[Type]]&amp;OutputTable[[#This Row],[Source]]</f>
        <v>PacientesProcess 2 Number InNumber InProcess</v>
      </c>
      <c r="J652" cm="1">
        <f t="array" ref="J652">MAX(IF((ProjectInfoTable[ProjectName]=OutputTable[[#This Row],[ProjectName]]),(ProjectInfoTable[ProjectName]=OutputTable[[#This Row],[ProjectName]])*ProjectInfoTable[NumberOfReplications]))</f>
        <v>50</v>
      </c>
      <c r="K652" cm="1">
        <f t="array" ref="K652">IFERROR(AVERAGE(IF((OutputTable[GroupByKey]=OutputTable[[#This Row],[GroupByKey]]),(OutputTable[GroupByKey]=OutputTable[[#This Row],[GroupByKey]])*OutputTable[RecordedValue])),0)</f>
        <v>2404.2399999999998</v>
      </c>
      <c r="L652" cm="1">
        <f t="array" ref="L652">IFERROR(_xlfn.STDEV.S(IF((OutputTable[GroupByKey]=OutputTable[[#This Row],[GroupByKey]]),(OutputTable[GroupByKey]=OutputTable[[#This Row],[GroupByKey]])*OutputTable[RecordedValue])),0)</f>
        <v>46.574303154053879</v>
      </c>
      <c r="M652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652" cm="1">
        <f t="array" ref="O652">MIN(IF((OutputTable[GroupByKey]=OutputTable[[#This Row],[GroupByKey]]),(OutputTable[GroupByKey]=OutputTable[[#This Row],[GroupByKey]])*OutputTable[RecordedValue]))</f>
        <v>2306</v>
      </c>
      <c r="P652" cm="1">
        <f t="array" ref="P652">MAX(IF((OutputTable[GroupByKey]=OutputTable[[#This Row],[GroupByKey]]),(OutputTable[GroupByKey]=OutputTable[[#This Row],[GroupByKey]])*OutputTable[RecordedValue]))</f>
        <v>2518</v>
      </c>
    </row>
    <row r="653" spans="1:16" x14ac:dyDescent="0.25">
      <c r="A653" t="s">
        <v>68</v>
      </c>
      <c r="B653" t="s">
        <v>131</v>
      </c>
      <c r="C653">
        <v>39</v>
      </c>
      <c r="D653" t="s">
        <v>113</v>
      </c>
      <c r="E653" t="s">
        <v>107</v>
      </c>
      <c r="F653" t="s">
        <v>80</v>
      </c>
      <c r="G653">
        <v>2400</v>
      </c>
      <c r="H653">
        <v>0</v>
      </c>
      <c r="I653" t="str">
        <f>OutputTable[[#This Row],[ProjectName]]&amp;OutputTable[[#This Row],[Name]]&amp;OutputTable[[#This Row],[Type]]&amp;OutputTable[[#This Row],[Source]]</f>
        <v>PacientesProcess 2 Number OutNumber OutProcess</v>
      </c>
      <c r="J653" cm="1">
        <f t="array" ref="J653">MAX(IF((ProjectInfoTable[ProjectName]=OutputTable[[#This Row],[ProjectName]]),(ProjectInfoTable[ProjectName]=OutputTable[[#This Row],[ProjectName]])*ProjectInfoTable[NumberOfReplications]))</f>
        <v>50</v>
      </c>
      <c r="K653" cm="1">
        <f t="array" ref="K653">IFERROR(AVERAGE(IF((OutputTable[GroupByKey]=OutputTable[[#This Row],[GroupByKey]]),(OutputTable[GroupByKey]=OutputTable[[#This Row],[GroupByKey]])*OutputTable[RecordedValue])),0)</f>
        <v>2400.2800000000002</v>
      </c>
      <c r="L653" cm="1">
        <f t="array" ref="L653">IFERROR(_xlfn.STDEV.S(IF((OutputTable[GroupByKey]=OutputTable[[#This Row],[GroupByKey]]),(OutputTable[GroupByKey]=OutputTable[[#This Row],[GroupByKey]])*OutputTable[RecordedValue])),0)</f>
        <v>46.409024456676619</v>
      </c>
      <c r="M653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53" cm="1">
        <f t="array" ref="O653">MIN(IF((OutputTable[GroupByKey]=OutputTable[[#This Row],[GroupByKey]]),(OutputTable[GroupByKey]=OutputTable[[#This Row],[GroupByKey]])*OutputTable[RecordedValue]))</f>
        <v>2305</v>
      </c>
      <c r="P653" cm="1">
        <f t="array" ref="P653">MAX(IF((OutputTable[GroupByKey]=OutputTable[[#This Row],[GroupByKey]]),(OutputTable[GroupByKey]=OutputTable[[#This Row],[GroupByKey]])*OutputTable[RecordedValue]))</f>
        <v>2504</v>
      </c>
    </row>
    <row r="654" spans="1:16" x14ac:dyDescent="0.25">
      <c r="A654" t="s">
        <v>68</v>
      </c>
      <c r="B654" t="s">
        <v>131</v>
      </c>
      <c r="C654">
        <v>39</v>
      </c>
      <c r="D654" t="s">
        <v>114</v>
      </c>
      <c r="E654" t="s">
        <v>109</v>
      </c>
      <c r="F654" t="s">
        <v>80</v>
      </c>
      <c r="G654">
        <v>338.70728092929699</v>
      </c>
      <c r="H654">
        <v>0</v>
      </c>
      <c r="I654" t="str">
        <f>OutputTable[[#This Row],[ProjectName]]&amp;OutputTable[[#This Row],[Name]]&amp;OutputTable[[#This Row],[Type]]&amp;OutputTable[[#This Row],[Source]]</f>
        <v>PacientesRegistro Accum VA TimeAccum VA TimeProcess</v>
      </c>
      <c r="J654" cm="1">
        <f t="array" ref="J654">MAX(IF((ProjectInfoTable[ProjectName]=OutputTable[[#This Row],[ProjectName]]),(ProjectInfoTable[ProjectName]=OutputTable[[#This Row],[ProjectName]])*ProjectInfoTable[NumberOfReplications]))</f>
        <v>50</v>
      </c>
      <c r="K654" cm="1">
        <f t="array" ref="K654">IFERROR(AVERAGE(IF((OutputTable[GroupByKey]=OutputTable[[#This Row],[GroupByKey]]),(OutputTable[GroupByKey]=OutputTable[[#This Row],[GroupByKey]])*OutputTable[RecordedValue])),0)</f>
        <v>339.53547737062786</v>
      </c>
      <c r="L654" cm="1">
        <f t="array" ref="L654">IFERROR(_xlfn.STDEV.S(IF((OutputTable[GroupByKey]=OutputTable[[#This Row],[GroupByKey]]),(OutputTable[GroupByKey]=OutputTable[[#This Row],[GroupByKey]])*OutputTable[RecordedValue])),0)</f>
        <v>6.9723666109353193</v>
      </c>
      <c r="M654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654" cm="1">
        <f t="array" ref="O654">MIN(IF((OutputTable[GroupByKey]=OutputTable[[#This Row],[GroupByKey]]),(OutputTable[GroupByKey]=OutputTable[[#This Row],[GroupByKey]])*OutputTable[RecordedValue]))</f>
        <v>325.606879158418</v>
      </c>
      <c r="P654" cm="1">
        <f t="array" ref="P654">MAX(IF((OutputTable[GroupByKey]=OutputTable[[#This Row],[GroupByKey]]),(OutputTable[GroupByKey]=OutputTable[[#This Row],[GroupByKey]])*OutputTable[RecordedValue]))</f>
        <v>357.77609013379703</v>
      </c>
    </row>
    <row r="655" spans="1:16" x14ac:dyDescent="0.25">
      <c r="A655" t="s">
        <v>68</v>
      </c>
      <c r="B655" t="s">
        <v>131</v>
      </c>
      <c r="C655">
        <v>39</v>
      </c>
      <c r="D655" t="s">
        <v>115</v>
      </c>
      <c r="E655" t="s">
        <v>111</v>
      </c>
      <c r="F655" t="s">
        <v>80</v>
      </c>
      <c r="G655">
        <v>140.27072409962901</v>
      </c>
      <c r="H655">
        <v>0</v>
      </c>
      <c r="I655" t="str">
        <f>OutputTable[[#This Row],[ProjectName]]&amp;OutputTable[[#This Row],[Name]]&amp;OutputTable[[#This Row],[Type]]&amp;OutputTable[[#This Row],[Source]]</f>
        <v>PacientesRegistro Accum Wait TimeAccum Wait TimeProcess</v>
      </c>
      <c r="J655" cm="1">
        <f t="array" ref="J655">MAX(IF((ProjectInfoTable[ProjectName]=OutputTable[[#This Row],[ProjectName]]),(ProjectInfoTable[ProjectName]=OutputTable[[#This Row],[ProjectName]])*ProjectInfoTable[NumberOfReplications]))</f>
        <v>50</v>
      </c>
      <c r="K655" cm="1">
        <f t="array" ref="K655">IFERROR(AVERAGE(IF((OutputTable[GroupByKey]=OutputTable[[#This Row],[GroupByKey]]),(OutputTable[GroupByKey]=OutputTable[[#This Row],[GroupByKey]])*OutputTable[RecordedValue])),0)</f>
        <v>154.15303898127775</v>
      </c>
      <c r="L655" cm="1">
        <f t="array" ref="L655">IFERROR(_xlfn.STDEV.S(IF((OutputTable[GroupByKey]=OutputTable[[#This Row],[GroupByKey]]),(OutputTable[GroupByKey]=OutputTable[[#This Row],[GroupByKey]])*OutputTable[RecordedValue])),0)</f>
        <v>12.141439184615397</v>
      </c>
      <c r="M65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655" cm="1">
        <f t="array" ref="O655">MIN(IF((OutputTable[GroupByKey]=OutputTable[[#This Row],[GroupByKey]]),(OutputTable[GroupByKey]=OutputTable[[#This Row],[GroupByKey]])*OutputTable[RecordedValue]))</f>
        <v>123.901613974094</v>
      </c>
      <c r="P655" cm="1">
        <f t="array" ref="P655">MAX(IF((OutputTable[GroupByKey]=OutputTable[[#This Row],[GroupByKey]]),(OutputTable[GroupByKey]=OutputTable[[#This Row],[GroupByKey]])*OutputTable[RecordedValue]))</f>
        <v>178.441307284473</v>
      </c>
    </row>
    <row r="656" spans="1:16" x14ac:dyDescent="0.25">
      <c r="A656" t="s">
        <v>68</v>
      </c>
      <c r="B656" t="s">
        <v>131</v>
      </c>
      <c r="C656">
        <v>39</v>
      </c>
      <c r="D656" t="s">
        <v>116</v>
      </c>
      <c r="E656" t="s">
        <v>105</v>
      </c>
      <c r="F656" t="s">
        <v>80</v>
      </c>
      <c r="G656">
        <v>2256</v>
      </c>
      <c r="H656">
        <v>0</v>
      </c>
      <c r="I656" t="str">
        <f>OutputTable[[#This Row],[ProjectName]]&amp;OutputTable[[#This Row],[Name]]&amp;OutputTable[[#This Row],[Type]]&amp;OutputTable[[#This Row],[Source]]</f>
        <v>PacientesRegistro Number InNumber InProcess</v>
      </c>
      <c r="J656" cm="1">
        <f t="array" ref="J656">MAX(IF((ProjectInfoTable[ProjectName]=OutputTable[[#This Row],[ProjectName]]),(ProjectInfoTable[ProjectName]=OutputTable[[#This Row],[ProjectName]])*ProjectInfoTable[NumberOfReplications]))</f>
        <v>50</v>
      </c>
      <c r="K656" cm="1">
        <f t="array" ref="K656">IFERROR(AVERAGE(IF((OutputTable[GroupByKey]=OutputTable[[#This Row],[GroupByKey]]),(OutputTable[GroupByKey]=OutputTable[[#This Row],[GroupByKey]])*OutputTable[RecordedValue])),0)</f>
        <v>2263.2399999999998</v>
      </c>
      <c r="L656" cm="1">
        <f t="array" ref="L656">IFERROR(_xlfn.STDEV.S(IF((OutputTable[GroupByKey]=OutputTable[[#This Row],[GroupByKey]]),(OutputTable[GroupByKey]=OutputTable[[#This Row],[GroupByKey]])*OutputTable[RecordedValue])),0)</f>
        <v>47.331035682472766</v>
      </c>
      <c r="M656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656" cm="1">
        <f t="array" ref="O656">MIN(IF((OutputTable[GroupByKey]=OutputTable[[#This Row],[GroupByKey]]),(OutputTable[GroupByKey]=OutputTable[[#This Row],[GroupByKey]])*OutputTable[RecordedValue]))</f>
        <v>2172</v>
      </c>
      <c r="P656" cm="1">
        <f t="array" ref="P656">MAX(IF((OutputTable[GroupByKey]=OutputTable[[#This Row],[GroupByKey]]),(OutputTable[GroupByKey]=OutputTable[[#This Row],[GroupByKey]])*OutputTable[RecordedValue]))</f>
        <v>2386</v>
      </c>
    </row>
    <row r="657" spans="1:16" x14ac:dyDescent="0.25">
      <c r="A657" t="s">
        <v>68</v>
      </c>
      <c r="B657" t="s">
        <v>131</v>
      </c>
      <c r="C657">
        <v>39</v>
      </c>
      <c r="D657" t="s">
        <v>117</v>
      </c>
      <c r="E657" t="s">
        <v>107</v>
      </c>
      <c r="F657" t="s">
        <v>80</v>
      </c>
      <c r="G657">
        <v>2256</v>
      </c>
      <c r="H657">
        <v>0</v>
      </c>
      <c r="I657" t="str">
        <f>OutputTable[[#This Row],[ProjectName]]&amp;OutputTable[[#This Row],[Name]]&amp;OutputTable[[#This Row],[Type]]&amp;OutputTable[[#This Row],[Source]]</f>
        <v>PacientesRegistro Number OutNumber OutProcess</v>
      </c>
      <c r="J657" cm="1">
        <f t="array" ref="J657">MAX(IF((ProjectInfoTable[ProjectName]=OutputTable[[#This Row],[ProjectName]]),(ProjectInfoTable[ProjectName]=OutputTable[[#This Row],[ProjectName]])*ProjectInfoTable[NumberOfReplications]))</f>
        <v>50</v>
      </c>
      <c r="K657" cm="1">
        <f t="array" ref="K657">IFERROR(AVERAGE(IF((OutputTable[GroupByKey]=OutputTable[[#This Row],[GroupByKey]]),(OutputTable[GroupByKey]=OutputTable[[#This Row],[GroupByKey]])*OutputTable[RecordedValue])),0)</f>
        <v>2262.66</v>
      </c>
      <c r="L657" cm="1">
        <f t="array" ref="L657">IFERROR(_xlfn.STDEV.S(IF((OutputTable[GroupByKey]=OutputTable[[#This Row],[GroupByKey]]),(OutputTable[GroupByKey]=OutputTable[[#This Row],[GroupByKey]])*OutputTable[RecordedValue])),0)</f>
        <v>47.488176831454687</v>
      </c>
      <c r="M657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657" cm="1">
        <f t="array" ref="O657">MIN(IF((OutputTable[GroupByKey]=OutputTable[[#This Row],[GroupByKey]]),(OutputTable[GroupByKey]=OutputTable[[#This Row],[GroupByKey]])*OutputTable[RecordedValue]))</f>
        <v>2171</v>
      </c>
      <c r="P657" cm="1">
        <f t="array" ref="P657">MAX(IF((OutputTable[GroupByKey]=OutputTable[[#This Row],[GroupByKey]]),(OutputTable[GroupByKey]=OutputTable[[#This Row],[GroupByKey]])*OutputTable[RecordedValue]))</f>
        <v>2386</v>
      </c>
    </row>
    <row r="658" spans="1:16" x14ac:dyDescent="0.25">
      <c r="A658" t="s">
        <v>68</v>
      </c>
      <c r="B658" t="s">
        <v>131</v>
      </c>
      <c r="C658">
        <v>39</v>
      </c>
      <c r="D658" t="s">
        <v>118</v>
      </c>
      <c r="E658" t="s">
        <v>107</v>
      </c>
      <c r="F658" t="s">
        <v>119</v>
      </c>
      <c r="G658">
        <v>2400</v>
      </c>
      <c r="H658">
        <v>0</v>
      </c>
      <c r="I658" t="str">
        <f>OutputTable[[#This Row],[ProjectName]]&amp;OutputTable[[#This Row],[Name]]&amp;OutputTable[[#This Row],[Type]]&amp;OutputTable[[#This Row],[Source]]</f>
        <v>PacientesSystem.NumberOutNumber OutSystem</v>
      </c>
      <c r="J658" cm="1">
        <f t="array" ref="J658">MAX(IF((ProjectInfoTable[ProjectName]=OutputTable[[#This Row],[ProjectName]]),(ProjectInfoTable[ProjectName]=OutputTable[[#This Row],[ProjectName]])*ProjectInfoTable[NumberOfReplications]))</f>
        <v>50</v>
      </c>
      <c r="K658" cm="1">
        <f t="array" ref="K658">IFERROR(AVERAGE(IF((OutputTable[GroupByKey]=OutputTable[[#This Row],[GroupByKey]]),(OutputTable[GroupByKey]=OutputTable[[#This Row],[GroupByKey]])*OutputTable[RecordedValue])),0)</f>
        <v>2400.2800000000002</v>
      </c>
      <c r="L658" cm="1">
        <f t="array" ref="L658">IFERROR(_xlfn.STDEV.S(IF((OutputTable[GroupByKey]=OutputTable[[#This Row],[GroupByKey]]),(OutputTable[GroupByKey]=OutputTable[[#This Row],[GroupByKey]])*OutputTable[RecordedValue])),0)</f>
        <v>46.409024456676619</v>
      </c>
      <c r="M658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58" cm="1">
        <f t="array" ref="O658">MIN(IF((OutputTable[GroupByKey]=OutputTable[[#This Row],[GroupByKey]]),(OutputTable[GroupByKey]=OutputTable[[#This Row],[GroupByKey]])*OutputTable[RecordedValue]))</f>
        <v>2305</v>
      </c>
      <c r="P658" cm="1">
        <f t="array" ref="P658">MAX(IF((OutputTable[GroupByKey]=OutputTable[[#This Row],[GroupByKey]]),(OutputTable[GroupByKey]=OutputTable[[#This Row],[GroupByKey]])*OutputTable[RecordedValue]))</f>
        <v>2504</v>
      </c>
    </row>
    <row r="659" spans="1:16" x14ac:dyDescent="0.25">
      <c r="A659" t="s">
        <v>68</v>
      </c>
      <c r="B659" t="s">
        <v>131</v>
      </c>
      <c r="C659">
        <v>39</v>
      </c>
      <c r="D659" t="s">
        <v>120</v>
      </c>
      <c r="E659" t="s">
        <v>121</v>
      </c>
      <c r="F659" t="s">
        <v>99</v>
      </c>
      <c r="G659">
        <v>2402</v>
      </c>
      <c r="H659">
        <v>0</v>
      </c>
      <c r="I659" t="str">
        <f>OutputTable[[#This Row],[ProjectName]]&amp;OutputTable[[#This Row],[Name]]&amp;OutputTable[[#This Row],[Type]]&amp;OutputTable[[#This Row],[Source]]</f>
        <v>PacientesrCamas.NumberSeizedTotal Number SeizedResource</v>
      </c>
      <c r="J659" cm="1">
        <f t="array" ref="J659">MAX(IF((ProjectInfoTable[ProjectName]=OutputTable[[#This Row],[ProjectName]]),(ProjectInfoTable[ProjectName]=OutputTable[[#This Row],[ProjectName]])*ProjectInfoTable[NumberOfReplications]))</f>
        <v>50</v>
      </c>
      <c r="K659" cm="1">
        <f t="array" ref="K659">IFERROR(AVERAGE(IF((OutputTable[GroupByKey]=OutputTable[[#This Row],[GroupByKey]]),(OutputTable[GroupByKey]=OutputTable[[#This Row],[GroupByKey]])*OutputTable[RecordedValue])),0)</f>
        <v>2401.9</v>
      </c>
      <c r="L659" cm="1">
        <f t="array" ref="L659">IFERROR(_xlfn.STDEV.S(IF((OutputTable[GroupByKey]=OutputTable[[#This Row],[GroupByKey]]),(OutputTable[GroupByKey]=OutputTable[[#This Row],[GroupByKey]])*OutputTable[RecordedValue])),0)</f>
        <v>46.417031532903209</v>
      </c>
      <c r="M659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59" cm="1">
        <f t="array" ref="O659">MIN(IF((OutputTable[GroupByKey]=OutputTable[[#This Row],[GroupByKey]]),(OutputTable[GroupByKey]=OutputTable[[#This Row],[GroupByKey]])*OutputTable[RecordedValue]))</f>
        <v>2306</v>
      </c>
      <c r="P659" cm="1">
        <f t="array" ref="P659">MAX(IF((OutputTable[GroupByKey]=OutputTable[[#This Row],[GroupByKey]]),(OutputTable[GroupByKey]=OutputTable[[#This Row],[GroupByKey]])*OutputTable[RecordedValue]))</f>
        <v>2506</v>
      </c>
    </row>
    <row r="660" spans="1:16" x14ac:dyDescent="0.25">
      <c r="A660" t="s">
        <v>68</v>
      </c>
      <c r="B660" t="s">
        <v>131</v>
      </c>
      <c r="C660">
        <v>39</v>
      </c>
      <c r="D660" t="s">
        <v>122</v>
      </c>
      <c r="E660" t="s">
        <v>123</v>
      </c>
      <c r="F660" t="s">
        <v>99</v>
      </c>
      <c r="G660">
        <v>0.54802089990047798</v>
      </c>
      <c r="H660">
        <v>0</v>
      </c>
      <c r="I660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660" cm="1">
        <f t="array" ref="J660">MAX(IF((ProjectInfoTable[ProjectName]=OutputTable[[#This Row],[ProjectName]]),(ProjectInfoTable[ProjectName]=OutputTable[[#This Row],[ProjectName]])*ProjectInfoTable[NumberOfReplications]))</f>
        <v>50</v>
      </c>
      <c r="K660" cm="1">
        <f t="array" ref="K660">IFERROR(AVERAGE(IF((OutputTable[GroupByKey]=OutputTable[[#This Row],[GroupByKey]]),(OutputTable[GroupByKey]=OutputTable[[#This Row],[GroupByKey]])*OutputTable[RecordedValue])),0)</f>
        <v>0.54703961359050601</v>
      </c>
      <c r="L660" cm="1">
        <f t="array" ref="L660">IFERROR(_xlfn.STDEV.S(IF((OutputTable[GroupByKey]=OutputTable[[#This Row],[GroupByKey]]),(OutputTable[GroupByKey]=OutputTable[[#This Row],[GroupByKey]])*OutputTable[RecordedValue])),0)</f>
        <v>1.0221170008030479E-2</v>
      </c>
      <c r="M660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660" cm="1">
        <f t="array" ref="O660">MIN(IF((OutputTable[GroupByKey]=OutputTable[[#This Row],[GroupByKey]]),(OutputTable[GroupByKey]=OutputTable[[#This Row],[GroupByKey]])*OutputTable[RecordedValue]))</f>
        <v>0.52470641844357901</v>
      </c>
      <c r="P660" cm="1">
        <f t="array" ref="P660">MAX(IF((OutputTable[GroupByKey]=OutputTable[[#This Row],[GroupByKey]]),(OutputTable[GroupByKey]=OutputTable[[#This Row],[GroupByKey]])*OutputTable[RecordedValue]))</f>
        <v>0.57005812966092295</v>
      </c>
    </row>
    <row r="661" spans="1:16" x14ac:dyDescent="0.25">
      <c r="A661" t="s">
        <v>68</v>
      </c>
      <c r="B661" t="s">
        <v>131</v>
      </c>
      <c r="C661">
        <v>39</v>
      </c>
      <c r="D661" t="s">
        <v>124</v>
      </c>
      <c r="E661" t="s">
        <v>121</v>
      </c>
      <c r="F661" t="s">
        <v>99</v>
      </c>
      <c r="G661">
        <v>2402</v>
      </c>
      <c r="H661">
        <v>0</v>
      </c>
      <c r="I661" t="str">
        <f>OutputTable[[#This Row],[ProjectName]]&amp;OutputTable[[#This Row],[Name]]&amp;OutputTable[[#This Row],[Type]]&amp;OutputTable[[#This Row],[Source]]</f>
        <v>PacientesrMedico.NumberSeizedTotal Number SeizedResource</v>
      </c>
      <c r="J661" cm="1">
        <f t="array" ref="J661">MAX(IF((ProjectInfoTable[ProjectName]=OutputTable[[#This Row],[ProjectName]]),(ProjectInfoTable[ProjectName]=OutputTable[[#This Row],[ProjectName]])*ProjectInfoTable[NumberOfReplications]))</f>
        <v>50</v>
      </c>
      <c r="K661" cm="1">
        <f t="array" ref="K661">IFERROR(AVERAGE(IF((OutputTable[GroupByKey]=OutputTable[[#This Row],[GroupByKey]]),(OutputTable[GroupByKey]=OutputTable[[#This Row],[GroupByKey]])*OutputTable[RecordedValue])),0)</f>
        <v>2401.9</v>
      </c>
      <c r="L661" cm="1">
        <f t="array" ref="L661">IFERROR(_xlfn.STDEV.S(IF((OutputTable[GroupByKey]=OutputTable[[#This Row],[GroupByKey]]),(OutputTable[GroupByKey]=OutputTable[[#This Row],[GroupByKey]])*OutputTable[RecordedValue])),0)</f>
        <v>46.417031532903209</v>
      </c>
      <c r="M661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61" cm="1">
        <f t="array" ref="O661">MIN(IF((OutputTable[GroupByKey]=OutputTable[[#This Row],[GroupByKey]]),(OutputTable[GroupByKey]=OutputTable[[#This Row],[GroupByKey]])*OutputTable[RecordedValue]))</f>
        <v>2306</v>
      </c>
      <c r="P661" cm="1">
        <f t="array" ref="P661">MAX(IF((OutputTable[GroupByKey]=OutputTable[[#This Row],[GroupByKey]]),(OutputTable[GroupByKey]=OutputTable[[#This Row],[GroupByKey]])*OutputTable[RecordedValue]))</f>
        <v>2506</v>
      </c>
    </row>
    <row r="662" spans="1:16" x14ac:dyDescent="0.25">
      <c r="A662" t="s">
        <v>68</v>
      </c>
      <c r="B662" t="s">
        <v>131</v>
      </c>
      <c r="C662">
        <v>39</v>
      </c>
      <c r="D662" t="s">
        <v>125</v>
      </c>
      <c r="E662" t="s">
        <v>123</v>
      </c>
      <c r="F662" t="s">
        <v>99</v>
      </c>
      <c r="G662">
        <v>0.82203134985071702</v>
      </c>
      <c r="H662">
        <v>0</v>
      </c>
      <c r="I662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662" cm="1">
        <f t="array" ref="J662">MAX(IF((ProjectInfoTable[ProjectName]=OutputTable[[#This Row],[ProjectName]]),(ProjectInfoTable[ProjectName]=OutputTable[[#This Row],[ProjectName]])*ProjectInfoTable[NumberOfReplications]))</f>
        <v>50</v>
      </c>
      <c r="K662" cm="1">
        <f t="array" ref="K662">IFERROR(AVERAGE(IF((OutputTable[GroupByKey]=OutputTable[[#This Row],[GroupByKey]]),(OutputTable[GroupByKey]=OutputTable[[#This Row],[GroupByKey]])*OutputTable[RecordedValue])),0)</f>
        <v>0.82055942038575935</v>
      </c>
      <c r="L662" cm="1">
        <f t="array" ref="L662">IFERROR(_xlfn.STDEV.S(IF((OutputTable[GroupByKey]=OutputTable[[#This Row],[GroupByKey]]),(OutputTable[GroupByKey]=OutputTable[[#This Row],[GroupByKey]])*OutputTable[RecordedValue])),0)</f>
        <v>1.5331755012045719E-2</v>
      </c>
      <c r="M662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662" cm="1">
        <f t="array" ref="O662">MIN(IF((OutputTable[GroupByKey]=OutputTable[[#This Row],[GroupByKey]]),(OutputTable[GroupByKey]=OutputTable[[#This Row],[GroupByKey]])*OutputTable[RecordedValue]))</f>
        <v>0.78705962766536897</v>
      </c>
      <c r="P662" cm="1">
        <f t="array" ref="P662">MAX(IF((OutputTable[GroupByKey]=OutputTable[[#This Row],[GroupByKey]]),(OutputTable[GroupByKey]=OutputTable[[#This Row],[GroupByKey]])*OutputTable[RecordedValue]))</f>
        <v>0.85508719449138504</v>
      </c>
    </row>
    <row r="663" spans="1:16" x14ac:dyDescent="0.25">
      <c r="A663" t="s">
        <v>68</v>
      </c>
      <c r="B663" t="s">
        <v>131</v>
      </c>
      <c r="C663">
        <v>39</v>
      </c>
      <c r="D663" t="s">
        <v>126</v>
      </c>
      <c r="E663" t="s">
        <v>121</v>
      </c>
      <c r="F663" t="s">
        <v>99</v>
      </c>
      <c r="G663">
        <v>2256</v>
      </c>
      <c r="H663">
        <v>0</v>
      </c>
      <c r="I663" t="str">
        <f>OutputTable[[#This Row],[ProjectName]]&amp;OutputTable[[#This Row],[Name]]&amp;OutputTable[[#This Row],[Type]]&amp;OutputTable[[#This Row],[Source]]</f>
        <v>PacientesrRegistradora.NumberSeizedTotal Number SeizedResource</v>
      </c>
      <c r="J663" cm="1">
        <f t="array" ref="J663">MAX(IF((ProjectInfoTable[ProjectName]=OutputTable[[#This Row],[ProjectName]]),(ProjectInfoTable[ProjectName]=OutputTable[[#This Row],[ProjectName]])*ProjectInfoTable[NumberOfReplications]))</f>
        <v>50</v>
      </c>
      <c r="K663" cm="1">
        <f t="array" ref="K663">IFERROR(AVERAGE(IF((OutputTable[GroupByKey]=OutputTable[[#This Row],[GroupByKey]]),(OutputTable[GroupByKey]=OutputTable[[#This Row],[GroupByKey]])*OutputTable[RecordedValue])),0)</f>
        <v>2263.14</v>
      </c>
      <c r="L663" cm="1">
        <f t="array" ref="L663">IFERROR(_xlfn.STDEV.S(IF((OutputTable[GroupByKey]=OutputTable[[#This Row],[GroupByKey]]),(OutputTable[GroupByKey]=OutputTable[[#This Row],[GroupByKey]])*OutputTable[RecordedValue])),0)</f>
        <v>47.386818971575821</v>
      </c>
      <c r="M663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663" cm="1">
        <f t="array" ref="O663">MIN(IF((OutputTable[GroupByKey]=OutputTable[[#This Row],[GroupByKey]]),(OutputTable[GroupByKey]=OutputTable[[#This Row],[GroupByKey]])*OutputTable[RecordedValue]))</f>
        <v>2172</v>
      </c>
      <c r="P663" cm="1">
        <f t="array" ref="P663">MAX(IF((OutputTable[GroupByKey]=OutputTable[[#This Row],[GroupByKey]]),(OutputTable[GroupByKey]=OutputTable[[#This Row],[GroupByKey]])*OutputTable[RecordedValue]))</f>
        <v>2386</v>
      </c>
    </row>
    <row r="664" spans="1:16" x14ac:dyDescent="0.25">
      <c r="A664" t="s">
        <v>68</v>
      </c>
      <c r="B664" t="s">
        <v>131</v>
      </c>
      <c r="C664">
        <v>39</v>
      </c>
      <c r="D664" t="s">
        <v>127</v>
      </c>
      <c r="E664" t="s">
        <v>123</v>
      </c>
      <c r="F664" t="s">
        <v>99</v>
      </c>
      <c r="G664">
        <v>0.47042677906846803</v>
      </c>
      <c r="H664">
        <v>0</v>
      </c>
      <c r="I664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664" cm="1">
        <f t="array" ref="J664">MAX(IF((ProjectInfoTable[ProjectName]=OutputTable[[#This Row],[ProjectName]]),(ProjectInfoTable[ProjectName]=OutputTable[[#This Row],[ProjectName]])*ProjectInfoTable[NumberOfReplications]))</f>
        <v>50</v>
      </c>
      <c r="K664" cm="1">
        <f t="array" ref="K664">IFERROR(AVERAGE(IF((OutputTable[GroupByKey]=OutputTable[[#This Row],[GroupByKey]]),(OutputTable[GroupByKey]=OutputTable[[#This Row],[GroupByKey]])*OutputTable[RecordedValue])),0)</f>
        <v>0.47162762933545666</v>
      </c>
      <c r="L664" cm="1">
        <f t="array" ref="L664">IFERROR(_xlfn.STDEV.S(IF((OutputTable[GroupByKey]=OutputTable[[#This Row],[GroupByKey]]),(OutputTable[GroupByKey]=OutputTable[[#This Row],[GroupByKey]])*OutputTable[RecordedValue])),0)</f>
        <v>9.6615227076777797E-3</v>
      </c>
      <c r="M664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664" cm="1">
        <f t="array" ref="O664">MIN(IF((OutputTable[GroupByKey]=OutputTable[[#This Row],[GroupByKey]]),(OutputTable[GroupByKey]=OutputTable[[#This Row],[GroupByKey]])*OutputTable[RecordedValue]))</f>
        <v>0.452397944183905</v>
      </c>
      <c r="P664" cm="1">
        <f t="array" ref="P664">MAX(IF((OutputTable[GroupByKey]=OutputTable[[#This Row],[GroupByKey]]),(OutputTable[GroupByKey]=OutputTable[[#This Row],[GroupByKey]])*OutputTable[RecordedValue]))</f>
        <v>0.49691123629694001</v>
      </c>
    </row>
    <row r="665" spans="1:16" x14ac:dyDescent="0.25">
      <c r="A665" t="s">
        <v>68</v>
      </c>
      <c r="B665" t="s">
        <v>131</v>
      </c>
      <c r="C665">
        <v>40</v>
      </c>
      <c r="D665" t="s">
        <v>104</v>
      </c>
      <c r="E665" t="s">
        <v>105</v>
      </c>
      <c r="F665" t="s">
        <v>72</v>
      </c>
      <c r="G665">
        <v>2386</v>
      </c>
      <c r="H665">
        <v>0</v>
      </c>
      <c r="I665" t="str">
        <f>OutputTable[[#This Row],[ProjectName]]&amp;OutputTable[[#This Row],[Name]]&amp;OutputTable[[#This Row],[Type]]&amp;OutputTable[[#This Row],[Source]]</f>
        <v>PacientesEntity 1.NumberInNumber InEntity</v>
      </c>
      <c r="J665" cm="1">
        <f t="array" ref="J665">MAX(IF((ProjectInfoTable[ProjectName]=OutputTable[[#This Row],[ProjectName]]),(ProjectInfoTable[ProjectName]=OutputTable[[#This Row],[ProjectName]])*ProjectInfoTable[NumberOfReplications]))</f>
        <v>50</v>
      </c>
      <c r="K665" cm="1">
        <f t="array" ref="K665">IFERROR(AVERAGE(IF((OutputTable[GroupByKey]=OutputTable[[#This Row],[GroupByKey]]),(OutputTable[GroupByKey]=OutputTable[[#This Row],[GroupByKey]])*OutputTable[RecordedValue])),0)</f>
        <v>2404.8200000000002</v>
      </c>
      <c r="L665" cm="1">
        <f t="array" ref="L665">IFERROR(_xlfn.STDEV.S(IF((OutputTable[GroupByKey]=OutputTable[[#This Row],[GroupByKey]]),(OutputTable[GroupByKey]=OutputTable[[#This Row],[GroupByKey]])*OutputTable[RecordedValue])),0)</f>
        <v>46.42953405595474</v>
      </c>
      <c r="M66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665" cm="1">
        <f t="array" ref="O665">MIN(IF((OutputTable[GroupByKey]=OutputTable[[#This Row],[GroupByKey]]),(OutputTable[GroupByKey]=OutputTable[[#This Row],[GroupByKey]])*OutputTable[RecordedValue]))</f>
        <v>2307</v>
      </c>
      <c r="P665" cm="1">
        <f t="array" ref="P665">MAX(IF((OutputTable[GroupByKey]=OutputTable[[#This Row],[GroupByKey]]),(OutputTable[GroupByKey]=OutputTable[[#This Row],[GroupByKey]])*OutputTable[RecordedValue]))</f>
        <v>2518</v>
      </c>
    </row>
    <row r="666" spans="1:16" x14ac:dyDescent="0.25">
      <c r="A666" t="s">
        <v>68</v>
      </c>
      <c r="B666" t="s">
        <v>131</v>
      </c>
      <c r="C666">
        <v>40</v>
      </c>
      <c r="D666" t="s">
        <v>106</v>
      </c>
      <c r="E666" t="s">
        <v>107</v>
      </c>
      <c r="F666" t="s">
        <v>72</v>
      </c>
      <c r="G666">
        <v>2378</v>
      </c>
      <c r="H666">
        <v>0</v>
      </c>
      <c r="I666" t="str">
        <f>OutputTable[[#This Row],[ProjectName]]&amp;OutputTable[[#This Row],[Name]]&amp;OutputTable[[#This Row],[Type]]&amp;OutputTable[[#This Row],[Source]]</f>
        <v>PacientesEntity 1.NumberOutNumber OutEntity</v>
      </c>
      <c r="J666" cm="1">
        <f t="array" ref="J666">MAX(IF((ProjectInfoTable[ProjectName]=OutputTable[[#This Row],[ProjectName]]),(ProjectInfoTable[ProjectName]=OutputTable[[#This Row],[ProjectName]])*ProjectInfoTable[NumberOfReplications]))</f>
        <v>50</v>
      </c>
      <c r="K666" cm="1">
        <f t="array" ref="K666">IFERROR(AVERAGE(IF((OutputTable[GroupByKey]=OutputTable[[#This Row],[GroupByKey]]),(OutputTable[GroupByKey]=OutputTable[[#This Row],[GroupByKey]])*OutputTable[RecordedValue])),0)</f>
        <v>2400.2800000000002</v>
      </c>
      <c r="L666" cm="1">
        <f t="array" ref="L666">IFERROR(_xlfn.STDEV.S(IF((OutputTable[GroupByKey]=OutputTable[[#This Row],[GroupByKey]]),(OutputTable[GroupByKey]=OutputTable[[#This Row],[GroupByKey]])*OutputTable[RecordedValue])),0)</f>
        <v>46.409024456676619</v>
      </c>
      <c r="M666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66" cm="1">
        <f t="array" ref="O666">MIN(IF((OutputTable[GroupByKey]=OutputTable[[#This Row],[GroupByKey]]),(OutputTable[GroupByKey]=OutputTable[[#This Row],[GroupByKey]])*OutputTable[RecordedValue]))</f>
        <v>2305</v>
      </c>
      <c r="P666" cm="1">
        <f t="array" ref="P666">MAX(IF((OutputTable[GroupByKey]=OutputTable[[#This Row],[GroupByKey]]),(OutputTable[GroupByKey]=OutputTable[[#This Row],[GroupByKey]])*OutputTable[RecordedValue]))</f>
        <v>2504</v>
      </c>
    </row>
    <row r="667" spans="1:16" x14ac:dyDescent="0.25">
      <c r="A667" t="s">
        <v>68</v>
      </c>
      <c r="B667" t="s">
        <v>131</v>
      </c>
      <c r="C667">
        <v>40</v>
      </c>
      <c r="D667" t="s">
        <v>108</v>
      </c>
      <c r="E667" t="s">
        <v>109</v>
      </c>
      <c r="F667" t="s">
        <v>80</v>
      </c>
      <c r="G667">
        <v>1162.0948270727299</v>
      </c>
      <c r="H667">
        <v>0</v>
      </c>
      <c r="I667" t="str">
        <f>OutputTable[[#This Row],[ProjectName]]&amp;OutputTable[[#This Row],[Name]]&amp;OutputTable[[#This Row],[Type]]&amp;OutputTable[[#This Row],[Source]]</f>
        <v>PacientesProcess 2 Accum VA TimeAccum VA TimeProcess</v>
      </c>
      <c r="J667" cm="1">
        <f t="array" ref="J667">MAX(IF((ProjectInfoTable[ProjectName]=OutputTable[[#This Row],[ProjectName]]),(ProjectInfoTable[ProjectName]=OutputTable[[#This Row],[ProjectName]])*ProjectInfoTable[NumberOfReplications]))</f>
        <v>50</v>
      </c>
      <c r="K667" cm="1">
        <f t="array" ref="K667">IFERROR(AVERAGE(IF((OutputTable[GroupByKey]=OutputTable[[#This Row],[GroupByKey]]),(OutputTable[GroupByKey]=OutputTable[[#This Row],[GroupByKey]])*OutputTable[RecordedValue])),0)</f>
        <v>1181.1234936767919</v>
      </c>
      <c r="L667" cm="1">
        <f t="array" ref="L667">IFERROR(_xlfn.STDEV.S(IF((OutputTable[GroupByKey]=OutputTable[[#This Row],[GroupByKey]]),(OutputTable[GroupByKey]=OutputTable[[#This Row],[GroupByKey]])*OutputTable[RecordedValue])),0)</f>
        <v>22.169313666927575</v>
      </c>
      <c r="M667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667" cm="1">
        <f t="array" ref="O667">MIN(IF((OutputTable[GroupByKey]=OutputTable[[#This Row],[GroupByKey]]),(OutputTable[GroupByKey]=OutputTable[[#This Row],[GroupByKey]])*OutputTable[RecordedValue]))</f>
        <v>1133.24622318414</v>
      </c>
      <c r="P667" cm="1">
        <f t="array" ref="P667">MAX(IF((OutputTable[GroupByKey]=OutputTable[[#This Row],[GroupByKey]]),(OutputTable[GroupByKey]=OutputTable[[#This Row],[GroupByKey]])*OutputTable[RecordedValue]))</f>
        <v>1230.9493287309799</v>
      </c>
    </row>
    <row r="668" spans="1:16" x14ac:dyDescent="0.25">
      <c r="A668" t="s">
        <v>68</v>
      </c>
      <c r="B668" t="s">
        <v>131</v>
      </c>
      <c r="C668">
        <v>40</v>
      </c>
      <c r="D668" t="s">
        <v>110</v>
      </c>
      <c r="E668" t="s">
        <v>111</v>
      </c>
      <c r="F668" t="s">
        <v>80</v>
      </c>
      <c r="G668">
        <v>1512.8125889621499</v>
      </c>
      <c r="H668">
        <v>0</v>
      </c>
      <c r="I668" t="str">
        <f>OutputTable[[#This Row],[ProjectName]]&amp;OutputTable[[#This Row],[Name]]&amp;OutputTable[[#This Row],[Type]]&amp;OutputTable[[#This Row],[Source]]</f>
        <v>PacientesProcess 2 Accum Wait TimeAccum Wait TimeProcess</v>
      </c>
      <c r="J668" cm="1">
        <f t="array" ref="J668">MAX(IF((ProjectInfoTable[ProjectName]=OutputTable[[#This Row],[ProjectName]]),(ProjectInfoTable[ProjectName]=OutputTable[[#This Row],[ProjectName]])*ProjectInfoTable[NumberOfReplications]))</f>
        <v>50</v>
      </c>
      <c r="K668" cm="1">
        <f t="array" ref="K668">IFERROR(AVERAGE(IF((OutputTable[GroupByKey]=OutputTable[[#This Row],[GroupByKey]]),(OutputTable[GroupByKey]=OutputTable[[#This Row],[GroupByKey]])*OutputTable[RecordedValue])),0)</f>
        <v>1938.7515507466894</v>
      </c>
      <c r="L668" cm="1">
        <f t="array" ref="L668">IFERROR(_xlfn.STDEV.S(IF((OutputTable[GroupByKey]=OutputTable[[#This Row],[GroupByKey]]),(OutputTable[GroupByKey]=OutputTable[[#This Row],[GroupByKey]])*OutputTable[RecordedValue])),0)</f>
        <v>534.03396241838232</v>
      </c>
      <c r="M668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668" cm="1">
        <f t="array" ref="O668">MIN(IF((OutputTable[GroupByKey]=OutputTable[[#This Row],[GroupByKey]]),(OutputTable[GroupByKey]=OutputTable[[#This Row],[GroupByKey]])*OutputTable[RecordedValue]))</f>
        <v>1234.7567994731401</v>
      </c>
      <c r="P668" cm="1">
        <f t="array" ref="P668">MAX(IF((OutputTable[GroupByKey]=OutputTable[[#This Row],[GroupByKey]]),(OutputTable[GroupByKey]=OutputTable[[#This Row],[GroupByKey]])*OutputTable[RecordedValue]))</f>
        <v>3269.0858002883801</v>
      </c>
    </row>
    <row r="669" spans="1:16" x14ac:dyDescent="0.25">
      <c r="A669" t="s">
        <v>68</v>
      </c>
      <c r="B669" t="s">
        <v>131</v>
      </c>
      <c r="C669">
        <v>40</v>
      </c>
      <c r="D669" t="s">
        <v>112</v>
      </c>
      <c r="E669" t="s">
        <v>105</v>
      </c>
      <c r="F669" t="s">
        <v>80</v>
      </c>
      <c r="G669">
        <v>2386</v>
      </c>
      <c r="H669">
        <v>0</v>
      </c>
      <c r="I669" t="str">
        <f>OutputTable[[#This Row],[ProjectName]]&amp;OutputTable[[#This Row],[Name]]&amp;OutputTable[[#This Row],[Type]]&amp;OutputTable[[#This Row],[Source]]</f>
        <v>PacientesProcess 2 Number InNumber InProcess</v>
      </c>
      <c r="J669" cm="1">
        <f t="array" ref="J669">MAX(IF((ProjectInfoTable[ProjectName]=OutputTable[[#This Row],[ProjectName]]),(ProjectInfoTable[ProjectName]=OutputTable[[#This Row],[ProjectName]])*ProjectInfoTable[NumberOfReplications]))</f>
        <v>50</v>
      </c>
      <c r="K669" cm="1">
        <f t="array" ref="K669">IFERROR(AVERAGE(IF((OutputTable[GroupByKey]=OutputTable[[#This Row],[GroupByKey]]),(OutputTable[GroupByKey]=OutputTable[[#This Row],[GroupByKey]])*OutputTable[RecordedValue])),0)</f>
        <v>2404.2399999999998</v>
      </c>
      <c r="L669" cm="1">
        <f t="array" ref="L669">IFERROR(_xlfn.STDEV.S(IF((OutputTable[GroupByKey]=OutputTable[[#This Row],[GroupByKey]]),(OutputTable[GroupByKey]=OutputTable[[#This Row],[GroupByKey]])*OutputTable[RecordedValue])),0)</f>
        <v>46.574303154053879</v>
      </c>
      <c r="M669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669" cm="1">
        <f t="array" ref="O669">MIN(IF((OutputTable[GroupByKey]=OutputTable[[#This Row],[GroupByKey]]),(OutputTable[GroupByKey]=OutputTable[[#This Row],[GroupByKey]])*OutputTable[RecordedValue]))</f>
        <v>2306</v>
      </c>
      <c r="P669" cm="1">
        <f t="array" ref="P669">MAX(IF((OutputTable[GroupByKey]=OutputTable[[#This Row],[GroupByKey]]),(OutputTable[GroupByKey]=OutputTable[[#This Row],[GroupByKey]])*OutputTable[RecordedValue]))</f>
        <v>2518</v>
      </c>
    </row>
    <row r="670" spans="1:16" x14ac:dyDescent="0.25">
      <c r="A670" t="s">
        <v>68</v>
      </c>
      <c r="B670" t="s">
        <v>131</v>
      </c>
      <c r="C670">
        <v>40</v>
      </c>
      <c r="D670" t="s">
        <v>113</v>
      </c>
      <c r="E670" t="s">
        <v>107</v>
      </c>
      <c r="F670" t="s">
        <v>80</v>
      </c>
      <c r="G670">
        <v>2378</v>
      </c>
      <c r="H670">
        <v>0</v>
      </c>
      <c r="I670" t="str">
        <f>OutputTable[[#This Row],[ProjectName]]&amp;OutputTable[[#This Row],[Name]]&amp;OutputTable[[#This Row],[Type]]&amp;OutputTable[[#This Row],[Source]]</f>
        <v>PacientesProcess 2 Number OutNumber OutProcess</v>
      </c>
      <c r="J670" cm="1">
        <f t="array" ref="J670">MAX(IF((ProjectInfoTable[ProjectName]=OutputTable[[#This Row],[ProjectName]]),(ProjectInfoTable[ProjectName]=OutputTable[[#This Row],[ProjectName]])*ProjectInfoTable[NumberOfReplications]))</f>
        <v>50</v>
      </c>
      <c r="K670" cm="1">
        <f t="array" ref="K670">IFERROR(AVERAGE(IF((OutputTable[GroupByKey]=OutputTable[[#This Row],[GroupByKey]]),(OutputTable[GroupByKey]=OutputTable[[#This Row],[GroupByKey]])*OutputTable[RecordedValue])),0)</f>
        <v>2400.2800000000002</v>
      </c>
      <c r="L670" cm="1">
        <f t="array" ref="L670">IFERROR(_xlfn.STDEV.S(IF((OutputTable[GroupByKey]=OutputTable[[#This Row],[GroupByKey]]),(OutputTable[GroupByKey]=OutputTable[[#This Row],[GroupByKey]])*OutputTable[RecordedValue])),0)</f>
        <v>46.409024456676619</v>
      </c>
      <c r="M670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70" cm="1">
        <f t="array" ref="O670">MIN(IF((OutputTable[GroupByKey]=OutputTable[[#This Row],[GroupByKey]]),(OutputTable[GroupByKey]=OutputTable[[#This Row],[GroupByKey]])*OutputTable[RecordedValue]))</f>
        <v>2305</v>
      </c>
      <c r="P670" cm="1">
        <f t="array" ref="P670">MAX(IF((OutputTable[GroupByKey]=OutputTable[[#This Row],[GroupByKey]]),(OutputTable[GroupByKey]=OutputTable[[#This Row],[GroupByKey]])*OutputTable[RecordedValue]))</f>
        <v>2504</v>
      </c>
    </row>
    <row r="671" spans="1:16" x14ac:dyDescent="0.25">
      <c r="A671" t="s">
        <v>68</v>
      </c>
      <c r="B671" t="s">
        <v>131</v>
      </c>
      <c r="C671">
        <v>40</v>
      </c>
      <c r="D671" t="s">
        <v>114</v>
      </c>
      <c r="E671" t="s">
        <v>109</v>
      </c>
      <c r="F671" t="s">
        <v>80</v>
      </c>
      <c r="G671">
        <v>339.944188315828</v>
      </c>
      <c r="H671">
        <v>0</v>
      </c>
      <c r="I671" t="str">
        <f>OutputTable[[#This Row],[ProjectName]]&amp;OutputTable[[#This Row],[Name]]&amp;OutputTable[[#This Row],[Type]]&amp;OutputTable[[#This Row],[Source]]</f>
        <v>PacientesRegistro Accum VA TimeAccum VA TimeProcess</v>
      </c>
      <c r="J671" cm="1">
        <f t="array" ref="J671">MAX(IF((ProjectInfoTable[ProjectName]=OutputTable[[#This Row],[ProjectName]]),(ProjectInfoTable[ProjectName]=OutputTable[[#This Row],[ProjectName]])*ProjectInfoTable[NumberOfReplications]))</f>
        <v>50</v>
      </c>
      <c r="K671" cm="1">
        <f t="array" ref="K671">IFERROR(AVERAGE(IF((OutputTable[GroupByKey]=OutputTable[[#This Row],[GroupByKey]]),(OutputTable[GroupByKey]=OutputTable[[#This Row],[GroupByKey]])*OutputTable[RecordedValue])),0)</f>
        <v>339.53547737062786</v>
      </c>
      <c r="L671" cm="1">
        <f t="array" ref="L671">IFERROR(_xlfn.STDEV.S(IF((OutputTable[GroupByKey]=OutputTable[[#This Row],[GroupByKey]]),(OutputTable[GroupByKey]=OutputTable[[#This Row],[GroupByKey]])*OutputTable[RecordedValue])),0)</f>
        <v>6.9723666109353193</v>
      </c>
      <c r="M671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671" cm="1">
        <f t="array" ref="O671">MIN(IF((OutputTable[GroupByKey]=OutputTable[[#This Row],[GroupByKey]]),(OutputTable[GroupByKey]=OutputTable[[#This Row],[GroupByKey]])*OutputTable[RecordedValue]))</f>
        <v>325.606879158418</v>
      </c>
      <c r="P671" cm="1">
        <f t="array" ref="P671">MAX(IF((OutputTable[GroupByKey]=OutputTable[[#This Row],[GroupByKey]]),(OutputTable[GroupByKey]=OutputTable[[#This Row],[GroupByKey]])*OutputTable[RecordedValue]))</f>
        <v>357.77609013379703</v>
      </c>
    </row>
    <row r="672" spans="1:16" x14ac:dyDescent="0.25">
      <c r="A672" t="s">
        <v>68</v>
      </c>
      <c r="B672" t="s">
        <v>131</v>
      </c>
      <c r="C672">
        <v>40</v>
      </c>
      <c r="D672" t="s">
        <v>115</v>
      </c>
      <c r="E672" t="s">
        <v>111</v>
      </c>
      <c r="F672" t="s">
        <v>80</v>
      </c>
      <c r="G672">
        <v>153.29452667652501</v>
      </c>
      <c r="H672">
        <v>0</v>
      </c>
      <c r="I672" t="str">
        <f>OutputTable[[#This Row],[ProjectName]]&amp;OutputTable[[#This Row],[Name]]&amp;OutputTable[[#This Row],[Type]]&amp;OutputTable[[#This Row],[Source]]</f>
        <v>PacientesRegistro Accum Wait TimeAccum Wait TimeProcess</v>
      </c>
      <c r="J672" cm="1">
        <f t="array" ref="J672">MAX(IF((ProjectInfoTable[ProjectName]=OutputTable[[#This Row],[ProjectName]]),(ProjectInfoTable[ProjectName]=OutputTable[[#This Row],[ProjectName]])*ProjectInfoTable[NumberOfReplications]))</f>
        <v>50</v>
      </c>
      <c r="K672" cm="1">
        <f t="array" ref="K672">IFERROR(AVERAGE(IF((OutputTable[GroupByKey]=OutputTable[[#This Row],[GroupByKey]]),(OutputTable[GroupByKey]=OutputTable[[#This Row],[GroupByKey]])*OutputTable[RecordedValue])),0)</f>
        <v>154.15303898127775</v>
      </c>
      <c r="L672" cm="1">
        <f t="array" ref="L672">IFERROR(_xlfn.STDEV.S(IF((OutputTable[GroupByKey]=OutputTable[[#This Row],[GroupByKey]]),(OutputTable[GroupByKey]=OutputTable[[#This Row],[GroupByKey]])*OutputTable[RecordedValue])),0)</f>
        <v>12.141439184615397</v>
      </c>
      <c r="M672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672" cm="1">
        <f t="array" ref="O672">MIN(IF((OutputTable[GroupByKey]=OutputTable[[#This Row],[GroupByKey]]),(OutputTable[GroupByKey]=OutputTable[[#This Row],[GroupByKey]])*OutputTable[RecordedValue]))</f>
        <v>123.901613974094</v>
      </c>
      <c r="P672" cm="1">
        <f t="array" ref="P672">MAX(IF((OutputTable[GroupByKey]=OutputTable[[#This Row],[GroupByKey]]),(OutputTable[GroupByKey]=OutputTable[[#This Row],[GroupByKey]])*OutputTable[RecordedValue]))</f>
        <v>178.441307284473</v>
      </c>
    </row>
    <row r="673" spans="1:16" x14ac:dyDescent="0.25">
      <c r="A673" t="s">
        <v>68</v>
      </c>
      <c r="B673" t="s">
        <v>131</v>
      </c>
      <c r="C673">
        <v>40</v>
      </c>
      <c r="D673" t="s">
        <v>116</v>
      </c>
      <c r="E673" t="s">
        <v>105</v>
      </c>
      <c r="F673" t="s">
        <v>80</v>
      </c>
      <c r="G673">
        <v>2256</v>
      </c>
      <c r="H673">
        <v>0</v>
      </c>
      <c r="I673" t="str">
        <f>OutputTable[[#This Row],[ProjectName]]&amp;OutputTable[[#This Row],[Name]]&amp;OutputTable[[#This Row],[Type]]&amp;OutputTable[[#This Row],[Source]]</f>
        <v>PacientesRegistro Number InNumber InProcess</v>
      </c>
      <c r="J673" cm="1">
        <f t="array" ref="J673">MAX(IF((ProjectInfoTable[ProjectName]=OutputTable[[#This Row],[ProjectName]]),(ProjectInfoTable[ProjectName]=OutputTable[[#This Row],[ProjectName]])*ProjectInfoTable[NumberOfReplications]))</f>
        <v>50</v>
      </c>
      <c r="K673" cm="1">
        <f t="array" ref="K673">IFERROR(AVERAGE(IF((OutputTable[GroupByKey]=OutputTable[[#This Row],[GroupByKey]]),(OutputTable[GroupByKey]=OutputTable[[#This Row],[GroupByKey]])*OutputTable[RecordedValue])),0)</f>
        <v>2263.2399999999998</v>
      </c>
      <c r="L673" cm="1">
        <f t="array" ref="L673">IFERROR(_xlfn.STDEV.S(IF((OutputTable[GroupByKey]=OutputTable[[#This Row],[GroupByKey]]),(OutputTable[GroupByKey]=OutputTable[[#This Row],[GroupByKey]])*OutputTable[RecordedValue])),0)</f>
        <v>47.331035682472766</v>
      </c>
      <c r="M673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673" cm="1">
        <f t="array" ref="O673">MIN(IF((OutputTable[GroupByKey]=OutputTable[[#This Row],[GroupByKey]]),(OutputTable[GroupByKey]=OutputTable[[#This Row],[GroupByKey]])*OutputTable[RecordedValue]))</f>
        <v>2172</v>
      </c>
      <c r="P673" cm="1">
        <f t="array" ref="P673">MAX(IF((OutputTable[GroupByKey]=OutputTable[[#This Row],[GroupByKey]]),(OutputTable[GroupByKey]=OutputTable[[#This Row],[GroupByKey]])*OutputTable[RecordedValue]))</f>
        <v>2386</v>
      </c>
    </row>
    <row r="674" spans="1:16" x14ac:dyDescent="0.25">
      <c r="A674" t="s">
        <v>68</v>
      </c>
      <c r="B674" t="s">
        <v>131</v>
      </c>
      <c r="C674">
        <v>40</v>
      </c>
      <c r="D674" t="s">
        <v>117</v>
      </c>
      <c r="E674" t="s">
        <v>107</v>
      </c>
      <c r="F674" t="s">
        <v>80</v>
      </c>
      <c r="G674">
        <v>2256</v>
      </c>
      <c r="H674">
        <v>0</v>
      </c>
      <c r="I674" t="str">
        <f>OutputTable[[#This Row],[ProjectName]]&amp;OutputTable[[#This Row],[Name]]&amp;OutputTable[[#This Row],[Type]]&amp;OutputTable[[#This Row],[Source]]</f>
        <v>PacientesRegistro Number OutNumber OutProcess</v>
      </c>
      <c r="J674" cm="1">
        <f t="array" ref="J674">MAX(IF((ProjectInfoTable[ProjectName]=OutputTable[[#This Row],[ProjectName]]),(ProjectInfoTable[ProjectName]=OutputTable[[#This Row],[ProjectName]])*ProjectInfoTable[NumberOfReplications]))</f>
        <v>50</v>
      </c>
      <c r="K674" cm="1">
        <f t="array" ref="K674">IFERROR(AVERAGE(IF((OutputTable[GroupByKey]=OutputTable[[#This Row],[GroupByKey]]),(OutputTable[GroupByKey]=OutputTable[[#This Row],[GroupByKey]])*OutputTable[RecordedValue])),0)</f>
        <v>2262.66</v>
      </c>
      <c r="L674" cm="1">
        <f t="array" ref="L674">IFERROR(_xlfn.STDEV.S(IF((OutputTable[GroupByKey]=OutputTable[[#This Row],[GroupByKey]]),(OutputTable[GroupByKey]=OutputTable[[#This Row],[GroupByKey]])*OutputTable[RecordedValue])),0)</f>
        <v>47.488176831454687</v>
      </c>
      <c r="M674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674" cm="1">
        <f t="array" ref="O674">MIN(IF((OutputTable[GroupByKey]=OutputTable[[#This Row],[GroupByKey]]),(OutputTable[GroupByKey]=OutputTable[[#This Row],[GroupByKey]])*OutputTable[RecordedValue]))</f>
        <v>2171</v>
      </c>
      <c r="P674" cm="1">
        <f t="array" ref="P674">MAX(IF((OutputTable[GroupByKey]=OutputTable[[#This Row],[GroupByKey]]),(OutputTable[GroupByKey]=OutputTable[[#This Row],[GroupByKey]])*OutputTable[RecordedValue]))</f>
        <v>2386</v>
      </c>
    </row>
    <row r="675" spans="1:16" x14ac:dyDescent="0.25">
      <c r="A675" t="s">
        <v>68</v>
      </c>
      <c r="B675" t="s">
        <v>131</v>
      </c>
      <c r="C675">
        <v>40</v>
      </c>
      <c r="D675" t="s">
        <v>118</v>
      </c>
      <c r="E675" t="s">
        <v>107</v>
      </c>
      <c r="F675" t="s">
        <v>119</v>
      </c>
      <c r="G675">
        <v>2378</v>
      </c>
      <c r="H675">
        <v>0</v>
      </c>
      <c r="I675" t="str">
        <f>OutputTable[[#This Row],[ProjectName]]&amp;OutputTable[[#This Row],[Name]]&amp;OutputTable[[#This Row],[Type]]&amp;OutputTable[[#This Row],[Source]]</f>
        <v>PacientesSystem.NumberOutNumber OutSystem</v>
      </c>
      <c r="J675" cm="1">
        <f t="array" ref="J675">MAX(IF((ProjectInfoTable[ProjectName]=OutputTable[[#This Row],[ProjectName]]),(ProjectInfoTable[ProjectName]=OutputTable[[#This Row],[ProjectName]])*ProjectInfoTable[NumberOfReplications]))</f>
        <v>50</v>
      </c>
      <c r="K675" cm="1">
        <f t="array" ref="K675">IFERROR(AVERAGE(IF((OutputTable[GroupByKey]=OutputTable[[#This Row],[GroupByKey]]),(OutputTable[GroupByKey]=OutputTable[[#This Row],[GroupByKey]])*OutputTable[RecordedValue])),0)</f>
        <v>2400.2800000000002</v>
      </c>
      <c r="L675" cm="1">
        <f t="array" ref="L675">IFERROR(_xlfn.STDEV.S(IF((OutputTable[GroupByKey]=OutputTable[[#This Row],[GroupByKey]]),(OutputTable[GroupByKey]=OutputTable[[#This Row],[GroupByKey]])*OutputTable[RecordedValue])),0)</f>
        <v>46.409024456676619</v>
      </c>
      <c r="M67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75" cm="1">
        <f t="array" ref="O675">MIN(IF((OutputTable[GroupByKey]=OutputTable[[#This Row],[GroupByKey]]),(OutputTable[GroupByKey]=OutputTable[[#This Row],[GroupByKey]])*OutputTable[RecordedValue]))</f>
        <v>2305</v>
      </c>
      <c r="P675" cm="1">
        <f t="array" ref="P675">MAX(IF((OutputTable[GroupByKey]=OutputTable[[#This Row],[GroupByKey]]),(OutputTable[GroupByKey]=OutputTable[[#This Row],[GroupByKey]])*OutputTable[RecordedValue]))</f>
        <v>2504</v>
      </c>
    </row>
    <row r="676" spans="1:16" x14ac:dyDescent="0.25">
      <c r="A676" t="s">
        <v>68</v>
      </c>
      <c r="B676" t="s">
        <v>131</v>
      </c>
      <c r="C676">
        <v>40</v>
      </c>
      <c r="D676" t="s">
        <v>120</v>
      </c>
      <c r="E676" t="s">
        <v>121</v>
      </c>
      <c r="F676" t="s">
        <v>99</v>
      </c>
      <c r="G676">
        <v>2380</v>
      </c>
      <c r="H676">
        <v>0</v>
      </c>
      <c r="I676" t="str">
        <f>OutputTable[[#This Row],[ProjectName]]&amp;OutputTable[[#This Row],[Name]]&amp;OutputTable[[#This Row],[Type]]&amp;OutputTable[[#This Row],[Source]]</f>
        <v>PacientesrCamas.NumberSeizedTotal Number SeizedResource</v>
      </c>
      <c r="J676" cm="1">
        <f t="array" ref="J676">MAX(IF((ProjectInfoTable[ProjectName]=OutputTable[[#This Row],[ProjectName]]),(ProjectInfoTable[ProjectName]=OutputTable[[#This Row],[ProjectName]])*ProjectInfoTable[NumberOfReplications]))</f>
        <v>50</v>
      </c>
      <c r="K676" cm="1">
        <f t="array" ref="K676">IFERROR(AVERAGE(IF((OutputTable[GroupByKey]=OutputTable[[#This Row],[GroupByKey]]),(OutputTable[GroupByKey]=OutputTable[[#This Row],[GroupByKey]])*OutputTable[RecordedValue])),0)</f>
        <v>2401.9</v>
      </c>
      <c r="L676" cm="1">
        <f t="array" ref="L676">IFERROR(_xlfn.STDEV.S(IF((OutputTable[GroupByKey]=OutputTable[[#This Row],[GroupByKey]]),(OutputTable[GroupByKey]=OutputTable[[#This Row],[GroupByKey]])*OutputTable[RecordedValue])),0)</f>
        <v>46.417031532903209</v>
      </c>
      <c r="M676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76" cm="1">
        <f t="array" ref="O676">MIN(IF((OutputTable[GroupByKey]=OutputTable[[#This Row],[GroupByKey]]),(OutputTable[GroupByKey]=OutputTable[[#This Row],[GroupByKey]])*OutputTable[RecordedValue]))</f>
        <v>2306</v>
      </c>
      <c r="P676" cm="1">
        <f t="array" ref="P676">MAX(IF((OutputTable[GroupByKey]=OutputTable[[#This Row],[GroupByKey]]),(OutputTable[GroupByKey]=OutputTable[[#This Row],[GroupByKey]])*OutputTable[RecordedValue]))</f>
        <v>2506</v>
      </c>
    </row>
    <row r="677" spans="1:16" x14ac:dyDescent="0.25">
      <c r="A677" t="s">
        <v>68</v>
      </c>
      <c r="B677" t="s">
        <v>131</v>
      </c>
      <c r="C677">
        <v>40</v>
      </c>
      <c r="D677" t="s">
        <v>122</v>
      </c>
      <c r="E677" t="s">
        <v>123</v>
      </c>
      <c r="F677" t="s">
        <v>99</v>
      </c>
      <c r="G677">
        <v>0.538401847398853</v>
      </c>
      <c r="H677">
        <v>0</v>
      </c>
      <c r="I677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677" cm="1">
        <f t="array" ref="J677">MAX(IF((ProjectInfoTable[ProjectName]=OutputTable[[#This Row],[ProjectName]]),(ProjectInfoTable[ProjectName]=OutputTable[[#This Row],[ProjectName]])*ProjectInfoTable[NumberOfReplications]))</f>
        <v>50</v>
      </c>
      <c r="K677" cm="1">
        <f t="array" ref="K677">IFERROR(AVERAGE(IF((OutputTable[GroupByKey]=OutputTable[[#This Row],[GroupByKey]]),(OutputTable[GroupByKey]=OutputTable[[#This Row],[GroupByKey]])*OutputTable[RecordedValue])),0)</f>
        <v>0.54703961359050601</v>
      </c>
      <c r="L677" cm="1">
        <f t="array" ref="L677">IFERROR(_xlfn.STDEV.S(IF((OutputTable[GroupByKey]=OutputTable[[#This Row],[GroupByKey]]),(OutputTable[GroupByKey]=OutputTable[[#This Row],[GroupByKey]])*OutputTable[RecordedValue])),0)</f>
        <v>1.0221170008030479E-2</v>
      </c>
      <c r="M677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677" cm="1">
        <f t="array" ref="O677">MIN(IF((OutputTable[GroupByKey]=OutputTable[[#This Row],[GroupByKey]]),(OutputTable[GroupByKey]=OutputTable[[#This Row],[GroupByKey]])*OutputTable[RecordedValue]))</f>
        <v>0.52470641844357901</v>
      </c>
      <c r="P677" cm="1">
        <f t="array" ref="P677">MAX(IF((OutputTable[GroupByKey]=OutputTable[[#This Row],[GroupByKey]]),(OutputTable[GroupByKey]=OutputTable[[#This Row],[GroupByKey]])*OutputTable[RecordedValue]))</f>
        <v>0.57005812966092295</v>
      </c>
    </row>
    <row r="678" spans="1:16" x14ac:dyDescent="0.25">
      <c r="A678" t="s">
        <v>68</v>
      </c>
      <c r="B678" t="s">
        <v>131</v>
      </c>
      <c r="C678">
        <v>40</v>
      </c>
      <c r="D678" t="s">
        <v>124</v>
      </c>
      <c r="E678" t="s">
        <v>121</v>
      </c>
      <c r="F678" t="s">
        <v>99</v>
      </c>
      <c r="G678">
        <v>2380</v>
      </c>
      <c r="H678">
        <v>0</v>
      </c>
      <c r="I678" t="str">
        <f>OutputTable[[#This Row],[ProjectName]]&amp;OutputTable[[#This Row],[Name]]&amp;OutputTable[[#This Row],[Type]]&amp;OutputTable[[#This Row],[Source]]</f>
        <v>PacientesrMedico.NumberSeizedTotal Number SeizedResource</v>
      </c>
      <c r="J678" cm="1">
        <f t="array" ref="J678">MAX(IF((ProjectInfoTable[ProjectName]=OutputTable[[#This Row],[ProjectName]]),(ProjectInfoTable[ProjectName]=OutputTable[[#This Row],[ProjectName]])*ProjectInfoTable[NumberOfReplications]))</f>
        <v>50</v>
      </c>
      <c r="K678" cm="1">
        <f t="array" ref="K678">IFERROR(AVERAGE(IF((OutputTable[GroupByKey]=OutputTable[[#This Row],[GroupByKey]]),(OutputTable[GroupByKey]=OutputTable[[#This Row],[GroupByKey]])*OutputTable[RecordedValue])),0)</f>
        <v>2401.9</v>
      </c>
      <c r="L678" cm="1">
        <f t="array" ref="L678">IFERROR(_xlfn.STDEV.S(IF((OutputTable[GroupByKey]=OutputTable[[#This Row],[GroupByKey]]),(OutputTable[GroupByKey]=OutputTable[[#This Row],[GroupByKey]])*OutputTable[RecordedValue])),0)</f>
        <v>46.417031532903209</v>
      </c>
      <c r="M678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78" cm="1">
        <f t="array" ref="O678">MIN(IF((OutputTable[GroupByKey]=OutputTable[[#This Row],[GroupByKey]]),(OutputTable[GroupByKey]=OutputTable[[#This Row],[GroupByKey]])*OutputTable[RecordedValue]))</f>
        <v>2306</v>
      </c>
      <c r="P678" cm="1">
        <f t="array" ref="P678">MAX(IF((OutputTable[GroupByKey]=OutputTable[[#This Row],[GroupByKey]]),(OutputTable[GroupByKey]=OutputTable[[#This Row],[GroupByKey]])*OutputTable[RecordedValue]))</f>
        <v>2506</v>
      </c>
    </row>
    <row r="679" spans="1:16" x14ac:dyDescent="0.25">
      <c r="A679" t="s">
        <v>68</v>
      </c>
      <c r="B679" t="s">
        <v>131</v>
      </c>
      <c r="C679">
        <v>40</v>
      </c>
      <c r="D679" t="s">
        <v>125</v>
      </c>
      <c r="E679" t="s">
        <v>123</v>
      </c>
      <c r="F679" t="s">
        <v>99</v>
      </c>
      <c r="G679">
        <v>0.80760277109827905</v>
      </c>
      <c r="H679">
        <v>0</v>
      </c>
      <c r="I679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679" cm="1">
        <f t="array" ref="J679">MAX(IF((ProjectInfoTable[ProjectName]=OutputTable[[#This Row],[ProjectName]]),(ProjectInfoTable[ProjectName]=OutputTable[[#This Row],[ProjectName]])*ProjectInfoTable[NumberOfReplications]))</f>
        <v>50</v>
      </c>
      <c r="K679" cm="1">
        <f t="array" ref="K679">IFERROR(AVERAGE(IF((OutputTable[GroupByKey]=OutputTable[[#This Row],[GroupByKey]]),(OutputTable[GroupByKey]=OutputTable[[#This Row],[GroupByKey]])*OutputTable[RecordedValue])),0)</f>
        <v>0.82055942038575935</v>
      </c>
      <c r="L679" cm="1">
        <f t="array" ref="L679">IFERROR(_xlfn.STDEV.S(IF((OutputTable[GroupByKey]=OutputTable[[#This Row],[GroupByKey]]),(OutputTable[GroupByKey]=OutputTable[[#This Row],[GroupByKey]])*OutputTable[RecordedValue])),0)</f>
        <v>1.5331755012045719E-2</v>
      </c>
      <c r="M679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679" cm="1">
        <f t="array" ref="O679">MIN(IF((OutputTable[GroupByKey]=OutputTable[[#This Row],[GroupByKey]]),(OutputTable[GroupByKey]=OutputTable[[#This Row],[GroupByKey]])*OutputTable[RecordedValue]))</f>
        <v>0.78705962766536897</v>
      </c>
      <c r="P679" cm="1">
        <f t="array" ref="P679">MAX(IF((OutputTable[GroupByKey]=OutputTable[[#This Row],[GroupByKey]]),(OutputTable[GroupByKey]=OutputTable[[#This Row],[GroupByKey]])*OutputTable[RecordedValue]))</f>
        <v>0.85508719449138504</v>
      </c>
    </row>
    <row r="680" spans="1:16" x14ac:dyDescent="0.25">
      <c r="A680" t="s">
        <v>68</v>
      </c>
      <c r="B680" t="s">
        <v>131</v>
      </c>
      <c r="C680">
        <v>40</v>
      </c>
      <c r="D680" t="s">
        <v>126</v>
      </c>
      <c r="E680" t="s">
        <v>121</v>
      </c>
      <c r="F680" t="s">
        <v>99</v>
      </c>
      <c r="G680">
        <v>2256</v>
      </c>
      <c r="H680">
        <v>0</v>
      </c>
      <c r="I680" t="str">
        <f>OutputTable[[#This Row],[ProjectName]]&amp;OutputTable[[#This Row],[Name]]&amp;OutputTable[[#This Row],[Type]]&amp;OutputTable[[#This Row],[Source]]</f>
        <v>PacientesrRegistradora.NumberSeizedTotal Number SeizedResource</v>
      </c>
      <c r="J680" cm="1">
        <f t="array" ref="J680">MAX(IF((ProjectInfoTable[ProjectName]=OutputTable[[#This Row],[ProjectName]]),(ProjectInfoTable[ProjectName]=OutputTable[[#This Row],[ProjectName]])*ProjectInfoTable[NumberOfReplications]))</f>
        <v>50</v>
      </c>
      <c r="K680" cm="1">
        <f t="array" ref="K680">IFERROR(AVERAGE(IF((OutputTable[GroupByKey]=OutputTable[[#This Row],[GroupByKey]]),(OutputTable[GroupByKey]=OutputTable[[#This Row],[GroupByKey]])*OutputTable[RecordedValue])),0)</f>
        <v>2263.14</v>
      </c>
      <c r="L680" cm="1">
        <f t="array" ref="L680">IFERROR(_xlfn.STDEV.S(IF((OutputTable[GroupByKey]=OutputTable[[#This Row],[GroupByKey]]),(OutputTable[GroupByKey]=OutputTable[[#This Row],[GroupByKey]])*OutputTable[RecordedValue])),0)</f>
        <v>47.386818971575821</v>
      </c>
      <c r="M680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680" cm="1">
        <f t="array" ref="O680">MIN(IF((OutputTable[GroupByKey]=OutputTable[[#This Row],[GroupByKey]]),(OutputTable[GroupByKey]=OutputTable[[#This Row],[GroupByKey]])*OutputTable[RecordedValue]))</f>
        <v>2172</v>
      </c>
      <c r="P680" cm="1">
        <f t="array" ref="P680">MAX(IF((OutputTable[GroupByKey]=OutputTable[[#This Row],[GroupByKey]]),(OutputTable[GroupByKey]=OutputTable[[#This Row],[GroupByKey]])*OutputTable[RecordedValue]))</f>
        <v>2386</v>
      </c>
    </row>
    <row r="681" spans="1:16" x14ac:dyDescent="0.25">
      <c r="A681" t="s">
        <v>68</v>
      </c>
      <c r="B681" t="s">
        <v>131</v>
      </c>
      <c r="C681">
        <v>40</v>
      </c>
      <c r="D681" t="s">
        <v>127</v>
      </c>
      <c r="E681" t="s">
        <v>123</v>
      </c>
      <c r="F681" t="s">
        <v>99</v>
      </c>
      <c r="G681">
        <v>0.47214470599420499</v>
      </c>
      <c r="H681">
        <v>0</v>
      </c>
      <c r="I681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681" cm="1">
        <f t="array" ref="J681">MAX(IF((ProjectInfoTable[ProjectName]=OutputTable[[#This Row],[ProjectName]]),(ProjectInfoTable[ProjectName]=OutputTable[[#This Row],[ProjectName]])*ProjectInfoTable[NumberOfReplications]))</f>
        <v>50</v>
      </c>
      <c r="K681" cm="1">
        <f t="array" ref="K681">IFERROR(AVERAGE(IF((OutputTable[GroupByKey]=OutputTable[[#This Row],[GroupByKey]]),(OutputTable[GroupByKey]=OutputTable[[#This Row],[GroupByKey]])*OutputTable[RecordedValue])),0)</f>
        <v>0.47162762933545666</v>
      </c>
      <c r="L681" cm="1">
        <f t="array" ref="L681">IFERROR(_xlfn.STDEV.S(IF((OutputTable[GroupByKey]=OutputTable[[#This Row],[GroupByKey]]),(OutputTable[GroupByKey]=OutputTable[[#This Row],[GroupByKey]])*OutputTable[RecordedValue])),0)</f>
        <v>9.6615227076777797E-3</v>
      </c>
      <c r="M681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681" cm="1">
        <f t="array" ref="O681">MIN(IF((OutputTable[GroupByKey]=OutputTable[[#This Row],[GroupByKey]]),(OutputTable[GroupByKey]=OutputTable[[#This Row],[GroupByKey]])*OutputTable[RecordedValue]))</f>
        <v>0.452397944183905</v>
      </c>
      <c r="P681" cm="1">
        <f t="array" ref="P681">MAX(IF((OutputTable[GroupByKey]=OutputTable[[#This Row],[GroupByKey]]),(OutputTable[GroupByKey]=OutputTable[[#This Row],[GroupByKey]])*OutputTable[RecordedValue]))</f>
        <v>0.49691123629694001</v>
      </c>
    </row>
    <row r="682" spans="1:16" x14ac:dyDescent="0.25">
      <c r="A682" t="s">
        <v>68</v>
      </c>
      <c r="B682" t="s">
        <v>131</v>
      </c>
      <c r="C682">
        <v>41</v>
      </c>
      <c r="D682" t="s">
        <v>104</v>
      </c>
      <c r="E682" t="s">
        <v>105</v>
      </c>
      <c r="F682" t="s">
        <v>72</v>
      </c>
      <c r="G682">
        <v>2337</v>
      </c>
      <c r="H682">
        <v>0</v>
      </c>
      <c r="I682" t="str">
        <f>OutputTable[[#This Row],[ProjectName]]&amp;OutputTable[[#This Row],[Name]]&amp;OutputTable[[#This Row],[Type]]&amp;OutputTable[[#This Row],[Source]]</f>
        <v>PacientesEntity 1.NumberInNumber InEntity</v>
      </c>
      <c r="J682" cm="1">
        <f t="array" ref="J682">MAX(IF((ProjectInfoTable[ProjectName]=OutputTable[[#This Row],[ProjectName]]),(ProjectInfoTable[ProjectName]=OutputTable[[#This Row],[ProjectName]])*ProjectInfoTable[NumberOfReplications]))</f>
        <v>50</v>
      </c>
      <c r="K682" cm="1">
        <f t="array" ref="K682">IFERROR(AVERAGE(IF((OutputTable[GroupByKey]=OutputTable[[#This Row],[GroupByKey]]),(OutputTable[GroupByKey]=OutputTable[[#This Row],[GroupByKey]])*OutputTable[RecordedValue])),0)</f>
        <v>2404.8200000000002</v>
      </c>
      <c r="L682" cm="1">
        <f t="array" ref="L682">IFERROR(_xlfn.STDEV.S(IF((OutputTable[GroupByKey]=OutputTable[[#This Row],[GroupByKey]]),(OutputTable[GroupByKey]=OutputTable[[#This Row],[GroupByKey]])*OutputTable[RecordedValue])),0)</f>
        <v>46.42953405595474</v>
      </c>
      <c r="M682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682" cm="1">
        <f t="array" ref="O682">MIN(IF((OutputTable[GroupByKey]=OutputTable[[#This Row],[GroupByKey]]),(OutputTable[GroupByKey]=OutputTable[[#This Row],[GroupByKey]])*OutputTable[RecordedValue]))</f>
        <v>2307</v>
      </c>
      <c r="P682" cm="1">
        <f t="array" ref="P682">MAX(IF((OutputTable[GroupByKey]=OutputTable[[#This Row],[GroupByKey]]),(OutputTable[GroupByKey]=OutputTable[[#This Row],[GroupByKey]])*OutputTable[RecordedValue]))</f>
        <v>2518</v>
      </c>
    </row>
    <row r="683" spans="1:16" x14ac:dyDescent="0.25">
      <c r="A683" t="s">
        <v>68</v>
      </c>
      <c r="B683" t="s">
        <v>131</v>
      </c>
      <c r="C683">
        <v>41</v>
      </c>
      <c r="D683" t="s">
        <v>106</v>
      </c>
      <c r="E683" t="s">
        <v>107</v>
      </c>
      <c r="F683" t="s">
        <v>72</v>
      </c>
      <c r="G683">
        <v>2335</v>
      </c>
      <c r="H683">
        <v>0</v>
      </c>
      <c r="I683" t="str">
        <f>OutputTable[[#This Row],[ProjectName]]&amp;OutputTable[[#This Row],[Name]]&amp;OutputTable[[#This Row],[Type]]&amp;OutputTable[[#This Row],[Source]]</f>
        <v>PacientesEntity 1.NumberOutNumber OutEntity</v>
      </c>
      <c r="J683" cm="1">
        <f t="array" ref="J683">MAX(IF((ProjectInfoTable[ProjectName]=OutputTable[[#This Row],[ProjectName]]),(ProjectInfoTable[ProjectName]=OutputTable[[#This Row],[ProjectName]])*ProjectInfoTable[NumberOfReplications]))</f>
        <v>50</v>
      </c>
      <c r="K683" cm="1">
        <f t="array" ref="K683">IFERROR(AVERAGE(IF((OutputTable[GroupByKey]=OutputTable[[#This Row],[GroupByKey]]),(OutputTable[GroupByKey]=OutputTable[[#This Row],[GroupByKey]])*OutputTable[RecordedValue])),0)</f>
        <v>2400.2800000000002</v>
      </c>
      <c r="L683" cm="1">
        <f t="array" ref="L683">IFERROR(_xlfn.STDEV.S(IF((OutputTable[GroupByKey]=OutputTable[[#This Row],[GroupByKey]]),(OutputTable[GroupByKey]=OutputTable[[#This Row],[GroupByKey]])*OutputTable[RecordedValue])),0)</f>
        <v>46.409024456676619</v>
      </c>
      <c r="M683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83" cm="1">
        <f t="array" ref="O683">MIN(IF((OutputTable[GroupByKey]=OutputTable[[#This Row],[GroupByKey]]),(OutputTable[GroupByKey]=OutputTable[[#This Row],[GroupByKey]])*OutputTable[RecordedValue]))</f>
        <v>2305</v>
      </c>
      <c r="P683" cm="1">
        <f t="array" ref="P683">MAX(IF((OutputTable[GroupByKey]=OutputTable[[#This Row],[GroupByKey]]),(OutputTable[GroupByKey]=OutputTable[[#This Row],[GroupByKey]])*OutputTable[RecordedValue]))</f>
        <v>2504</v>
      </c>
    </row>
    <row r="684" spans="1:16" x14ac:dyDescent="0.25">
      <c r="A684" t="s">
        <v>68</v>
      </c>
      <c r="B684" t="s">
        <v>131</v>
      </c>
      <c r="C684">
        <v>41</v>
      </c>
      <c r="D684" t="s">
        <v>108</v>
      </c>
      <c r="E684" t="s">
        <v>109</v>
      </c>
      <c r="F684" t="s">
        <v>80</v>
      </c>
      <c r="G684">
        <v>1149.82555417872</v>
      </c>
      <c r="H684">
        <v>0</v>
      </c>
      <c r="I684" t="str">
        <f>OutputTable[[#This Row],[ProjectName]]&amp;OutputTable[[#This Row],[Name]]&amp;OutputTable[[#This Row],[Type]]&amp;OutputTable[[#This Row],[Source]]</f>
        <v>PacientesProcess 2 Accum VA TimeAccum VA TimeProcess</v>
      </c>
      <c r="J684" cm="1">
        <f t="array" ref="J684">MAX(IF((ProjectInfoTable[ProjectName]=OutputTable[[#This Row],[ProjectName]]),(ProjectInfoTable[ProjectName]=OutputTable[[#This Row],[ProjectName]])*ProjectInfoTable[NumberOfReplications]))</f>
        <v>50</v>
      </c>
      <c r="K684" cm="1">
        <f t="array" ref="K684">IFERROR(AVERAGE(IF((OutputTable[GroupByKey]=OutputTable[[#This Row],[GroupByKey]]),(OutputTable[GroupByKey]=OutputTable[[#This Row],[GroupByKey]])*OutputTable[RecordedValue])),0)</f>
        <v>1181.1234936767919</v>
      </c>
      <c r="L684" cm="1">
        <f t="array" ref="L684">IFERROR(_xlfn.STDEV.S(IF((OutputTable[GroupByKey]=OutputTable[[#This Row],[GroupByKey]]),(OutputTable[GroupByKey]=OutputTable[[#This Row],[GroupByKey]])*OutputTable[RecordedValue])),0)</f>
        <v>22.169313666927575</v>
      </c>
      <c r="M684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684" cm="1">
        <f t="array" ref="O684">MIN(IF((OutputTable[GroupByKey]=OutputTable[[#This Row],[GroupByKey]]),(OutputTable[GroupByKey]=OutputTable[[#This Row],[GroupByKey]])*OutputTable[RecordedValue]))</f>
        <v>1133.24622318414</v>
      </c>
      <c r="P684" cm="1">
        <f t="array" ref="P684">MAX(IF((OutputTable[GroupByKey]=OutputTable[[#This Row],[GroupByKey]]),(OutputTable[GroupByKey]=OutputTable[[#This Row],[GroupByKey]])*OutputTable[RecordedValue]))</f>
        <v>1230.9493287309799</v>
      </c>
    </row>
    <row r="685" spans="1:16" x14ac:dyDescent="0.25">
      <c r="A685" t="s">
        <v>68</v>
      </c>
      <c r="B685" t="s">
        <v>131</v>
      </c>
      <c r="C685">
        <v>41</v>
      </c>
      <c r="D685" t="s">
        <v>110</v>
      </c>
      <c r="E685" t="s">
        <v>111</v>
      </c>
      <c r="F685" t="s">
        <v>80</v>
      </c>
      <c r="G685">
        <v>1444.71094947707</v>
      </c>
      <c r="H685">
        <v>0</v>
      </c>
      <c r="I685" t="str">
        <f>OutputTable[[#This Row],[ProjectName]]&amp;OutputTable[[#This Row],[Name]]&amp;OutputTable[[#This Row],[Type]]&amp;OutputTable[[#This Row],[Source]]</f>
        <v>PacientesProcess 2 Accum Wait TimeAccum Wait TimeProcess</v>
      </c>
      <c r="J685" cm="1">
        <f t="array" ref="J685">MAX(IF((ProjectInfoTable[ProjectName]=OutputTable[[#This Row],[ProjectName]]),(ProjectInfoTable[ProjectName]=OutputTable[[#This Row],[ProjectName]])*ProjectInfoTable[NumberOfReplications]))</f>
        <v>50</v>
      </c>
      <c r="K685" cm="1">
        <f t="array" ref="K685">IFERROR(AVERAGE(IF((OutputTable[GroupByKey]=OutputTable[[#This Row],[GroupByKey]]),(OutputTable[GroupByKey]=OutputTable[[#This Row],[GroupByKey]])*OutputTable[RecordedValue])),0)</f>
        <v>1938.7515507466894</v>
      </c>
      <c r="L685" cm="1">
        <f t="array" ref="L685">IFERROR(_xlfn.STDEV.S(IF((OutputTable[GroupByKey]=OutputTable[[#This Row],[GroupByKey]]),(OutputTable[GroupByKey]=OutputTable[[#This Row],[GroupByKey]])*OutputTable[RecordedValue])),0)</f>
        <v>534.03396241838232</v>
      </c>
      <c r="M68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685" cm="1">
        <f t="array" ref="O685">MIN(IF((OutputTable[GroupByKey]=OutputTable[[#This Row],[GroupByKey]]),(OutputTable[GroupByKey]=OutputTable[[#This Row],[GroupByKey]])*OutputTable[RecordedValue]))</f>
        <v>1234.7567994731401</v>
      </c>
      <c r="P685" cm="1">
        <f t="array" ref="P685">MAX(IF((OutputTable[GroupByKey]=OutputTable[[#This Row],[GroupByKey]]),(OutputTable[GroupByKey]=OutputTable[[#This Row],[GroupByKey]])*OutputTable[RecordedValue]))</f>
        <v>3269.0858002883801</v>
      </c>
    </row>
    <row r="686" spans="1:16" x14ac:dyDescent="0.25">
      <c r="A686" t="s">
        <v>68</v>
      </c>
      <c r="B686" t="s">
        <v>131</v>
      </c>
      <c r="C686">
        <v>41</v>
      </c>
      <c r="D686" t="s">
        <v>112</v>
      </c>
      <c r="E686" t="s">
        <v>105</v>
      </c>
      <c r="F686" t="s">
        <v>80</v>
      </c>
      <c r="G686">
        <v>2336</v>
      </c>
      <c r="H686">
        <v>0</v>
      </c>
      <c r="I686" t="str">
        <f>OutputTable[[#This Row],[ProjectName]]&amp;OutputTable[[#This Row],[Name]]&amp;OutputTable[[#This Row],[Type]]&amp;OutputTable[[#This Row],[Source]]</f>
        <v>PacientesProcess 2 Number InNumber InProcess</v>
      </c>
      <c r="J686" cm="1">
        <f t="array" ref="J686">MAX(IF((ProjectInfoTable[ProjectName]=OutputTable[[#This Row],[ProjectName]]),(ProjectInfoTable[ProjectName]=OutputTable[[#This Row],[ProjectName]])*ProjectInfoTable[NumberOfReplications]))</f>
        <v>50</v>
      </c>
      <c r="K686" cm="1">
        <f t="array" ref="K686">IFERROR(AVERAGE(IF((OutputTable[GroupByKey]=OutputTable[[#This Row],[GroupByKey]]),(OutputTable[GroupByKey]=OutputTable[[#This Row],[GroupByKey]])*OutputTable[RecordedValue])),0)</f>
        <v>2404.2399999999998</v>
      </c>
      <c r="L686" cm="1">
        <f t="array" ref="L686">IFERROR(_xlfn.STDEV.S(IF((OutputTable[GroupByKey]=OutputTable[[#This Row],[GroupByKey]]),(OutputTable[GroupByKey]=OutputTable[[#This Row],[GroupByKey]])*OutputTable[RecordedValue])),0)</f>
        <v>46.574303154053879</v>
      </c>
      <c r="M686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686" cm="1">
        <f t="array" ref="O686">MIN(IF((OutputTable[GroupByKey]=OutputTable[[#This Row],[GroupByKey]]),(OutputTable[GroupByKey]=OutputTable[[#This Row],[GroupByKey]])*OutputTable[RecordedValue]))</f>
        <v>2306</v>
      </c>
      <c r="P686" cm="1">
        <f t="array" ref="P686">MAX(IF((OutputTable[GroupByKey]=OutputTable[[#This Row],[GroupByKey]]),(OutputTable[GroupByKey]=OutputTable[[#This Row],[GroupByKey]])*OutputTable[RecordedValue]))</f>
        <v>2518</v>
      </c>
    </row>
    <row r="687" spans="1:16" x14ac:dyDescent="0.25">
      <c r="A687" t="s">
        <v>68</v>
      </c>
      <c r="B687" t="s">
        <v>131</v>
      </c>
      <c r="C687">
        <v>41</v>
      </c>
      <c r="D687" t="s">
        <v>113</v>
      </c>
      <c r="E687" t="s">
        <v>107</v>
      </c>
      <c r="F687" t="s">
        <v>80</v>
      </c>
      <c r="G687">
        <v>2335</v>
      </c>
      <c r="H687">
        <v>0</v>
      </c>
      <c r="I687" t="str">
        <f>OutputTable[[#This Row],[ProjectName]]&amp;OutputTable[[#This Row],[Name]]&amp;OutputTable[[#This Row],[Type]]&amp;OutputTable[[#This Row],[Source]]</f>
        <v>PacientesProcess 2 Number OutNumber OutProcess</v>
      </c>
      <c r="J687" cm="1">
        <f t="array" ref="J687">MAX(IF((ProjectInfoTable[ProjectName]=OutputTable[[#This Row],[ProjectName]]),(ProjectInfoTable[ProjectName]=OutputTable[[#This Row],[ProjectName]])*ProjectInfoTable[NumberOfReplications]))</f>
        <v>50</v>
      </c>
      <c r="K687" cm="1">
        <f t="array" ref="K687">IFERROR(AVERAGE(IF((OutputTable[GroupByKey]=OutputTable[[#This Row],[GroupByKey]]),(OutputTable[GroupByKey]=OutputTable[[#This Row],[GroupByKey]])*OutputTable[RecordedValue])),0)</f>
        <v>2400.2800000000002</v>
      </c>
      <c r="L687" cm="1">
        <f t="array" ref="L687">IFERROR(_xlfn.STDEV.S(IF((OutputTable[GroupByKey]=OutputTable[[#This Row],[GroupByKey]]),(OutputTable[GroupByKey]=OutputTable[[#This Row],[GroupByKey]])*OutputTable[RecordedValue])),0)</f>
        <v>46.409024456676619</v>
      </c>
      <c r="M687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87" cm="1">
        <f t="array" ref="O687">MIN(IF((OutputTable[GroupByKey]=OutputTable[[#This Row],[GroupByKey]]),(OutputTable[GroupByKey]=OutputTable[[#This Row],[GroupByKey]])*OutputTable[RecordedValue]))</f>
        <v>2305</v>
      </c>
      <c r="P687" cm="1">
        <f t="array" ref="P687">MAX(IF((OutputTable[GroupByKey]=OutputTable[[#This Row],[GroupByKey]]),(OutputTable[GroupByKey]=OutputTable[[#This Row],[GroupByKey]])*OutputTable[RecordedValue]))</f>
        <v>2504</v>
      </c>
    </row>
    <row r="688" spans="1:16" x14ac:dyDescent="0.25">
      <c r="A688" t="s">
        <v>68</v>
      </c>
      <c r="B688" t="s">
        <v>131</v>
      </c>
      <c r="C688">
        <v>41</v>
      </c>
      <c r="D688" t="s">
        <v>114</v>
      </c>
      <c r="E688" t="s">
        <v>109</v>
      </c>
      <c r="F688" t="s">
        <v>80</v>
      </c>
      <c r="G688">
        <v>332.58570773441102</v>
      </c>
      <c r="H688">
        <v>0</v>
      </c>
      <c r="I688" t="str">
        <f>OutputTable[[#This Row],[ProjectName]]&amp;OutputTable[[#This Row],[Name]]&amp;OutputTable[[#This Row],[Type]]&amp;OutputTable[[#This Row],[Source]]</f>
        <v>PacientesRegistro Accum VA TimeAccum VA TimeProcess</v>
      </c>
      <c r="J688" cm="1">
        <f t="array" ref="J688">MAX(IF((ProjectInfoTable[ProjectName]=OutputTable[[#This Row],[ProjectName]]),(ProjectInfoTable[ProjectName]=OutputTable[[#This Row],[ProjectName]])*ProjectInfoTable[NumberOfReplications]))</f>
        <v>50</v>
      </c>
      <c r="K688" cm="1">
        <f t="array" ref="K688">IFERROR(AVERAGE(IF((OutputTable[GroupByKey]=OutputTable[[#This Row],[GroupByKey]]),(OutputTable[GroupByKey]=OutputTable[[#This Row],[GroupByKey]])*OutputTable[RecordedValue])),0)</f>
        <v>339.53547737062786</v>
      </c>
      <c r="L688" cm="1">
        <f t="array" ref="L688">IFERROR(_xlfn.STDEV.S(IF((OutputTable[GroupByKey]=OutputTable[[#This Row],[GroupByKey]]),(OutputTable[GroupByKey]=OutputTable[[#This Row],[GroupByKey]])*OutputTable[RecordedValue])),0)</f>
        <v>6.9723666109353193</v>
      </c>
      <c r="M688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688" cm="1">
        <f t="array" ref="O688">MIN(IF((OutputTable[GroupByKey]=OutputTable[[#This Row],[GroupByKey]]),(OutputTable[GroupByKey]=OutputTable[[#This Row],[GroupByKey]])*OutputTable[RecordedValue]))</f>
        <v>325.606879158418</v>
      </c>
      <c r="P688" cm="1">
        <f t="array" ref="P688">MAX(IF((OutputTable[GroupByKey]=OutputTable[[#This Row],[GroupByKey]]),(OutputTable[GroupByKey]=OutputTable[[#This Row],[GroupByKey]])*OutputTable[RecordedValue]))</f>
        <v>357.77609013379703</v>
      </c>
    </row>
    <row r="689" spans="1:16" x14ac:dyDescent="0.25">
      <c r="A689" t="s">
        <v>68</v>
      </c>
      <c r="B689" t="s">
        <v>131</v>
      </c>
      <c r="C689">
        <v>41</v>
      </c>
      <c r="D689" t="s">
        <v>115</v>
      </c>
      <c r="E689" t="s">
        <v>111</v>
      </c>
      <c r="F689" t="s">
        <v>80</v>
      </c>
      <c r="G689">
        <v>133.57942966328201</v>
      </c>
      <c r="H689">
        <v>0</v>
      </c>
      <c r="I689" t="str">
        <f>OutputTable[[#This Row],[ProjectName]]&amp;OutputTable[[#This Row],[Name]]&amp;OutputTable[[#This Row],[Type]]&amp;OutputTable[[#This Row],[Source]]</f>
        <v>PacientesRegistro Accum Wait TimeAccum Wait TimeProcess</v>
      </c>
      <c r="J689" cm="1">
        <f t="array" ref="J689">MAX(IF((ProjectInfoTable[ProjectName]=OutputTable[[#This Row],[ProjectName]]),(ProjectInfoTable[ProjectName]=OutputTable[[#This Row],[ProjectName]])*ProjectInfoTable[NumberOfReplications]))</f>
        <v>50</v>
      </c>
      <c r="K689" cm="1">
        <f t="array" ref="K689">IFERROR(AVERAGE(IF((OutputTable[GroupByKey]=OutputTable[[#This Row],[GroupByKey]]),(OutputTable[GroupByKey]=OutputTable[[#This Row],[GroupByKey]])*OutputTable[RecordedValue])),0)</f>
        <v>154.15303898127775</v>
      </c>
      <c r="L689" cm="1">
        <f t="array" ref="L689">IFERROR(_xlfn.STDEV.S(IF((OutputTable[GroupByKey]=OutputTable[[#This Row],[GroupByKey]]),(OutputTable[GroupByKey]=OutputTable[[#This Row],[GroupByKey]])*OutputTable[RecordedValue])),0)</f>
        <v>12.141439184615397</v>
      </c>
      <c r="M689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689" cm="1">
        <f t="array" ref="O689">MIN(IF((OutputTable[GroupByKey]=OutputTable[[#This Row],[GroupByKey]]),(OutputTable[GroupByKey]=OutputTable[[#This Row],[GroupByKey]])*OutputTable[RecordedValue]))</f>
        <v>123.901613974094</v>
      </c>
      <c r="P689" cm="1">
        <f t="array" ref="P689">MAX(IF((OutputTable[GroupByKey]=OutputTable[[#This Row],[GroupByKey]]),(OutputTable[GroupByKey]=OutputTable[[#This Row],[GroupByKey]])*OutputTable[RecordedValue]))</f>
        <v>178.441307284473</v>
      </c>
    </row>
    <row r="690" spans="1:16" x14ac:dyDescent="0.25">
      <c r="A690" t="s">
        <v>68</v>
      </c>
      <c r="B690" t="s">
        <v>131</v>
      </c>
      <c r="C690">
        <v>41</v>
      </c>
      <c r="D690" t="s">
        <v>116</v>
      </c>
      <c r="E690" t="s">
        <v>105</v>
      </c>
      <c r="F690" t="s">
        <v>80</v>
      </c>
      <c r="G690">
        <v>2212</v>
      </c>
      <c r="H690">
        <v>0</v>
      </c>
      <c r="I690" t="str">
        <f>OutputTable[[#This Row],[ProjectName]]&amp;OutputTable[[#This Row],[Name]]&amp;OutputTable[[#This Row],[Type]]&amp;OutputTable[[#This Row],[Source]]</f>
        <v>PacientesRegistro Number InNumber InProcess</v>
      </c>
      <c r="J690" cm="1">
        <f t="array" ref="J690">MAX(IF((ProjectInfoTable[ProjectName]=OutputTable[[#This Row],[ProjectName]]),(ProjectInfoTable[ProjectName]=OutputTable[[#This Row],[ProjectName]])*ProjectInfoTable[NumberOfReplications]))</f>
        <v>50</v>
      </c>
      <c r="K690" cm="1">
        <f t="array" ref="K690">IFERROR(AVERAGE(IF((OutputTable[GroupByKey]=OutputTable[[#This Row],[GroupByKey]]),(OutputTable[GroupByKey]=OutputTable[[#This Row],[GroupByKey]])*OutputTable[RecordedValue])),0)</f>
        <v>2263.2399999999998</v>
      </c>
      <c r="L690" cm="1">
        <f t="array" ref="L690">IFERROR(_xlfn.STDEV.S(IF((OutputTable[GroupByKey]=OutputTable[[#This Row],[GroupByKey]]),(OutputTable[GroupByKey]=OutputTable[[#This Row],[GroupByKey]])*OutputTable[RecordedValue])),0)</f>
        <v>47.331035682472766</v>
      </c>
      <c r="M690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690" cm="1">
        <f t="array" ref="O690">MIN(IF((OutputTable[GroupByKey]=OutputTable[[#This Row],[GroupByKey]]),(OutputTable[GroupByKey]=OutputTable[[#This Row],[GroupByKey]])*OutputTable[RecordedValue]))</f>
        <v>2172</v>
      </c>
      <c r="P690" cm="1">
        <f t="array" ref="P690">MAX(IF((OutputTable[GroupByKey]=OutputTable[[#This Row],[GroupByKey]]),(OutputTable[GroupByKey]=OutputTable[[#This Row],[GroupByKey]])*OutputTable[RecordedValue]))</f>
        <v>2386</v>
      </c>
    </row>
    <row r="691" spans="1:16" x14ac:dyDescent="0.25">
      <c r="A691" t="s">
        <v>68</v>
      </c>
      <c r="B691" t="s">
        <v>131</v>
      </c>
      <c r="C691">
        <v>41</v>
      </c>
      <c r="D691" t="s">
        <v>117</v>
      </c>
      <c r="E691" t="s">
        <v>107</v>
      </c>
      <c r="F691" t="s">
        <v>80</v>
      </c>
      <c r="G691">
        <v>2211</v>
      </c>
      <c r="H691">
        <v>0</v>
      </c>
      <c r="I691" t="str">
        <f>OutputTable[[#This Row],[ProjectName]]&amp;OutputTable[[#This Row],[Name]]&amp;OutputTable[[#This Row],[Type]]&amp;OutputTable[[#This Row],[Source]]</f>
        <v>PacientesRegistro Number OutNumber OutProcess</v>
      </c>
      <c r="J691" cm="1">
        <f t="array" ref="J691">MAX(IF((ProjectInfoTable[ProjectName]=OutputTable[[#This Row],[ProjectName]]),(ProjectInfoTable[ProjectName]=OutputTable[[#This Row],[ProjectName]])*ProjectInfoTable[NumberOfReplications]))</f>
        <v>50</v>
      </c>
      <c r="K691" cm="1">
        <f t="array" ref="K691">IFERROR(AVERAGE(IF((OutputTable[GroupByKey]=OutputTable[[#This Row],[GroupByKey]]),(OutputTable[GroupByKey]=OutputTable[[#This Row],[GroupByKey]])*OutputTable[RecordedValue])),0)</f>
        <v>2262.66</v>
      </c>
      <c r="L691" cm="1">
        <f t="array" ref="L691">IFERROR(_xlfn.STDEV.S(IF((OutputTable[GroupByKey]=OutputTable[[#This Row],[GroupByKey]]),(OutputTable[GroupByKey]=OutputTable[[#This Row],[GroupByKey]])*OutputTable[RecordedValue])),0)</f>
        <v>47.488176831454687</v>
      </c>
      <c r="M691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691" cm="1">
        <f t="array" ref="O691">MIN(IF((OutputTable[GroupByKey]=OutputTable[[#This Row],[GroupByKey]]),(OutputTable[GroupByKey]=OutputTable[[#This Row],[GroupByKey]])*OutputTable[RecordedValue]))</f>
        <v>2171</v>
      </c>
      <c r="P691" cm="1">
        <f t="array" ref="P691">MAX(IF((OutputTable[GroupByKey]=OutputTable[[#This Row],[GroupByKey]]),(OutputTable[GroupByKey]=OutputTable[[#This Row],[GroupByKey]])*OutputTable[RecordedValue]))</f>
        <v>2386</v>
      </c>
    </row>
    <row r="692" spans="1:16" x14ac:dyDescent="0.25">
      <c r="A692" t="s">
        <v>68</v>
      </c>
      <c r="B692" t="s">
        <v>131</v>
      </c>
      <c r="C692">
        <v>41</v>
      </c>
      <c r="D692" t="s">
        <v>118</v>
      </c>
      <c r="E692" t="s">
        <v>107</v>
      </c>
      <c r="F692" t="s">
        <v>119</v>
      </c>
      <c r="G692">
        <v>2335</v>
      </c>
      <c r="H692">
        <v>0</v>
      </c>
      <c r="I692" t="str">
        <f>OutputTable[[#This Row],[ProjectName]]&amp;OutputTable[[#This Row],[Name]]&amp;OutputTable[[#This Row],[Type]]&amp;OutputTable[[#This Row],[Source]]</f>
        <v>PacientesSystem.NumberOutNumber OutSystem</v>
      </c>
      <c r="J692" cm="1">
        <f t="array" ref="J692">MAX(IF((ProjectInfoTable[ProjectName]=OutputTable[[#This Row],[ProjectName]]),(ProjectInfoTable[ProjectName]=OutputTable[[#This Row],[ProjectName]])*ProjectInfoTable[NumberOfReplications]))</f>
        <v>50</v>
      </c>
      <c r="K692" cm="1">
        <f t="array" ref="K692">IFERROR(AVERAGE(IF((OutputTable[GroupByKey]=OutputTable[[#This Row],[GroupByKey]]),(OutputTable[GroupByKey]=OutputTable[[#This Row],[GroupByKey]])*OutputTable[RecordedValue])),0)</f>
        <v>2400.2800000000002</v>
      </c>
      <c r="L692" cm="1">
        <f t="array" ref="L692">IFERROR(_xlfn.STDEV.S(IF((OutputTable[GroupByKey]=OutputTable[[#This Row],[GroupByKey]]),(OutputTable[GroupByKey]=OutputTable[[#This Row],[GroupByKey]])*OutputTable[RecordedValue])),0)</f>
        <v>46.409024456676619</v>
      </c>
      <c r="M692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692" cm="1">
        <f t="array" ref="O692">MIN(IF((OutputTable[GroupByKey]=OutputTable[[#This Row],[GroupByKey]]),(OutputTable[GroupByKey]=OutputTable[[#This Row],[GroupByKey]])*OutputTable[RecordedValue]))</f>
        <v>2305</v>
      </c>
      <c r="P692" cm="1">
        <f t="array" ref="P692">MAX(IF((OutputTable[GroupByKey]=OutputTable[[#This Row],[GroupByKey]]),(OutputTable[GroupByKey]=OutputTable[[#This Row],[GroupByKey]])*OutputTable[RecordedValue]))</f>
        <v>2504</v>
      </c>
    </row>
    <row r="693" spans="1:16" x14ac:dyDescent="0.25">
      <c r="A693" t="s">
        <v>68</v>
      </c>
      <c r="B693" t="s">
        <v>131</v>
      </c>
      <c r="C693">
        <v>41</v>
      </c>
      <c r="D693" t="s">
        <v>120</v>
      </c>
      <c r="E693" t="s">
        <v>121</v>
      </c>
      <c r="F693" t="s">
        <v>99</v>
      </c>
      <c r="G693">
        <v>2336</v>
      </c>
      <c r="H693">
        <v>0</v>
      </c>
      <c r="I693" t="str">
        <f>OutputTable[[#This Row],[ProjectName]]&amp;OutputTable[[#This Row],[Name]]&amp;OutputTable[[#This Row],[Type]]&amp;OutputTable[[#This Row],[Source]]</f>
        <v>PacientesrCamas.NumberSeizedTotal Number SeizedResource</v>
      </c>
      <c r="J693" cm="1">
        <f t="array" ref="J693">MAX(IF((ProjectInfoTable[ProjectName]=OutputTable[[#This Row],[ProjectName]]),(ProjectInfoTable[ProjectName]=OutputTable[[#This Row],[ProjectName]])*ProjectInfoTable[NumberOfReplications]))</f>
        <v>50</v>
      </c>
      <c r="K693" cm="1">
        <f t="array" ref="K693">IFERROR(AVERAGE(IF((OutputTable[GroupByKey]=OutputTable[[#This Row],[GroupByKey]]),(OutputTable[GroupByKey]=OutputTable[[#This Row],[GroupByKey]])*OutputTable[RecordedValue])),0)</f>
        <v>2401.9</v>
      </c>
      <c r="L693" cm="1">
        <f t="array" ref="L693">IFERROR(_xlfn.STDEV.S(IF((OutputTable[GroupByKey]=OutputTable[[#This Row],[GroupByKey]]),(OutputTable[GroupByKey]=OutputTable[[#This Row],[GroupByKey]])*OutputTable[RecordedValue])),0)</f>
        <v>46.417031532903209</v>
      </c>
      <c r="M693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93" cm="1">
        <f t="array" ref="O693">MIN(IF((OutputTable[GroupByKey]=OutputTable[[#This Row],[GroupByKey]]),(OutputTable[GroupByKey]=OutputTable[[#This Row],[GroupByKey]])*OutputTable[RecordedValue]))</f>
        <v>2306</v>
      </c>
      <c r="P693" cm="1">
        <f t="array" ref="P693">MAX(IF((OutputTable[GroupByKey]=OutputTable[[#This Row],[GroupByKey]]),(OutputTable[GroupByKey]=OutputTable[[#This Row],[GroupByKey]])*OutputTable[RecordedValue]))</f>
        <v>2506</v>
      </c>
    </row>
    <row r="694" spans="1:16" x14ac:dyDescent="0.25">
      <c r="A694" t="s">
        <v>68</v>
      </c>
      <c r="B694" t="s">
        <v>131</v>
      </c>
      <c r="C694">
        <v>41</v>
      </c>
      <c r="D694" t="s">
        <v>122</v>
      </c>
      <c r="E694" t="s">
        <v>123</v>
      </c>
      <c r="F694" t="s">
        <v>99</v>
      </c>
      <c r="G694">
        <v>0.53251692726377697</v>
      </c>
      <c r="H694">
        <v>0</v>
      </c>
      <c r="I694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694" cm="1">
        <f t="array" ref="J694">MAX(IF((ProjectInfoTable[ProjectName]=OutputTable[[#This Row],[ProjectName]]),(ProjectInfoTable[ProjectName]=OutputTable[[#This Row],[ProjectName]])*ProjectInfoTable[NumberOfReplications]))</f>
        <v>50</v>
      </c>
      <c r="K694" cm="1">
        <f t="array" ref="K694">IFERROR(AVERAGE(IF((OutputTable[GroupByKey]=OutputTable[[#This Row],[GroupByKey]]),(OutputTable[GroupByKey]=OutputTable[[#This Row],[GroupByKey]])*OutputTable[RecordedValue])),0)</f>
        <v>0.54703961359050601</v>
      </c>
      <c r="L694" cm="1">
        <f t="array" ref="L694">IFERROR(_xlfn.STDEV.S(IF((OutputTable[GroupByKey]=OutputTable[[#This Row],[GroupByKey]]),(OutputTable[GroupByKey]=OutputTable[[#This Row],[GroupByKey]])*OutputTable[RecordedValue])),0)</f>
        <v>1.0221170008030479E-2</v>
      </c>
      <c r="M694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694" cm="1">
        <f t="array" ref="O694">MIN(IF((OutputTable[GroupByKey]=OutputTable[[#This Row],[GroupByKey]]),(OutputTable[GroupByKey]=OutputTable[[#This Row],[GroupByKey]])*OutputTable[RecordedValue]))</f>
        <v>0.52470641844357901</v>
      </c>
      <c r="P694" cm="1">
        <f t="array" ref="P694">MAX(IF((OutputTable[GroupByKey]=OutputTable[[#This Row],[GroupByKey]]),(OutputTable[GroupByKey]=OutputTable[[#This Row],[GroupByKey]])*OutputTable[RecordedValue]))</f>
        <v>0.57005812966092295</v>
      </c>
    </row>
    <row r="695" spans="1:16" x14ac:dyDescent="0.25">
      <c r="A695" t="s">
        <v>68</v>
      </c>
      <c r="B695" t="s">
        <v>131</v>
      </c>
      <c r="C695">
        <v>41</v>
      </c>
      <c r="D695" t="s">
        <v>124</v>
      </c>
      <c r="E695" t="s">
        <v>121</v>
      </c>
      <c r="F695" t="s">
        <v>99</v>
      </c>
      <c r="G695">
        <v>2336</v>
      </c>
      <c r="H695">
        <v>0</v>
      </c>
      <c r="I695" t="str">
        <f>OutputTable[[#This Row],[ProjectName]]&amp;OutputTable[[#This Row],[Name]]&amp;OutputTable[[#This Row],[Type]]&amp;OutputTable[[#This Row],[Source]]</f>
        <v>PacientesrMedico.NumberSeizedTotal Number SeizedResource</v>
      </c>
      <c r="J695" cm="1">
        <f t="array" ref="J695">MAX(IF((ProjectInfoTable[ProjectName]=OutputTable[[#This Row],[ProjectName]]),(ProjectInfoTable[ProjectName]=OutputTable[[#This Row],[ProjectName]])*ProjectInfoTable[NumberOfReplications]))</f>
        <v>50</v>
      </c>
      <c r="K695" cm="1">
        <f t="array" ref="K695">IFERROR(AVERAGE(IF((OutputTable[GroupByKey]=OutputTable[[#This Row],[GroupByKey]]),(OutputTable[GroupByKey]=OutputTable[[#This Row],[GroupByKey]])*OutputTable[RecordedValue])),0)</f>
        <v>2401.9</v>
      </c>
      <c r="L695" cm="1">
        <f t="array" ref="L695">IFERROR(_xlfn.STDEV.S(IF((OutputTable[GroupByKey]=OutputTable[[#This Row],[GroupByKey]]),(OutputTable[GroupByKey]=OutputTable[[#This Row],[GroupByKey]])*OutputTable[RecordedValue])),0)</f>
        <v>46.417031532903209</v>
      </c>
      <c r="M69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695" cm="1">
        <f t="array" ref="O695">MIN(IF((OutputTable[GroupByKey]=OutputTable[[#This Row],[GroupByKey]]),(OutputTable[GroupByKey]=OutputTable[[#This Row],[GroupByKey]])*OutputTable[RecordedValue]))</f>
        <v>2306</v>
      </c>
      <c r="P695" cm="1">
        <f t="array" ref="P695">MAX(IF((OutputTable[GroupByKey]=OutputTable[[#This Row],[GroupByKey]]),(OutputTable[GroupByKey]=OutputTable[[#This Row],[GroupByKey]])*OutputTable[RecordedValue]))</f>
        <v>2506</v>
      </c>
    </row>
    <row r="696" spans="1:16" x14ac:dyDescent="0.25">
      <c r="A696" t="s">
        <v>68</v>
      </c>
      <c r="B696" t="s">
        <v>131</v>
      </c>
      <c r="C696">
        <v>41</v>
      </c>
      <c r="D696" t="s">
        <v>125</v>
      </c>
      <c r="E696" t="s">
        <v>123</v>
      </c>
      <c r="F696" t="s">
        <v>99</v>
      </c>
      <c r="G696">
        <v>0.79877539089566596</v>
      </c>
      <c r="H696">
        <v>0</v>
      </c>
      <c r="I696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696" cm="1">
        <f t="array" ref="J696">MAX(IF((ProjectInfoTable[ProjectName]=OutputTable[[#This Row],[ProjectName]]),(ProjectInfoTable[ProjectName]=OutputTable[[#This Row],[ProjectName]])*ProjectInfoTable[NumberOfReplications]))</f>
        <v>50</v>
      </c>
      <c r="K696" cm="1">
        <f t="array" ref="K696">IFERROR(AVERAGE(IF((OutputTable[GroupByKey]=OutputTable[[#This Row],[GroupByKey]]),(OutputTable[GroupByKey]=OutputTable[[#This Row],[GroupByKey]])*OutputTable[RecordedValue])),0)</f>
        <v>0.82055942038575935</v>
      </c>
      <c r="L696" cm="1">
        <f t="array" ref="L696">IFERROR(_xlfn.STDEV.S(IF((OutputTable[GroupByKey]=OutputTable[[#This Row],[GroupByKey]]),(OutputTable[GroupByKey]=OutputTable[[#This Row],[GroupByKey]])*OutputTable[RecordedValue])),0)</f>
        <v>1.5331755012045719E-2</v>
      </c>
      <c r="M696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696" cm="1">
        <f t="array" ref="O696">MIN(IF((OutputTable[GroupByKey]=OutputTable[[#This Row],[GroupByKey]]),(OutputTable[GroupByKey]=OutputTable[[#This Row],[GroupByKey]])*OutputTable[RecordedValue]))</f>
        <v>0.78705962766536897</v>
      </c>
      <c r="P696" cm="1">
        <f t="array" ref="P696">MAX(IF((OutputTable[GroupByKey]=OutputTable[[#This Row],[GroupByKey]]),(OutputTable[GroupByKey]=OutputTable[[#This Row],[GroupByKey]])*OutputTable[RecordedValue]))</f>
        <v>0.85508719449138504</v>
      </c>
    </row>
    <row r="697" spans="1:16" x14ac:dyDescent="0.25">
      <c r="A697" t="s">
        <v>68</v>
      </c>
      <c r="B697" t="s">
        <v>131</v>
      </c>
      <c r="C697">
        <v>41</v>
      </c>
      <c r="D697" t="s">
        <v>126</v>
      </c>
      <c r="E697" t="s">
        <v>121</v>
      </c>
      <c r="F697" t="s">
        <v>99</v>
      </c>
      <c r="G697">
        <v>2212</v>
      </c>
      <c r="H697">
        <v>0</v>
      </c>
      <c r="I697" t="str">
        <f>OutputTable[[#This Row],[ProjectName]]&amp;OutputTable[[#This Row],[Name]]&amp;OutputTable[[#This Row],[Type]]&amp;OutputTable[[#This Row],[Source]]</f>
        <v>PacientesrRegistradora.NumberSeizedTotal Number SeizedResource</v>
      </c>
      <c r="J697" cm="1">
        <f t="array" ref="J697">MAX(IF((ProjectInfoTable[ProjectName]=OutputTable[[#This Row],[ProjectName]]),(ProjectInfoTable[ProjectName]=OutputTable[[#This Row],[ProjectName]])*ProjectInfoTable[NumberOfReplications]))</f>
        <v>50</v>
      </c>
      <c r="K697" cm="1">
        <f t="array" ref="K697">IFERROR(AVERAGE(IF((OutputTable[GroupByKey]=OutputTable[[#This Row],[GroupByKey]]),(OutputTable[GroupByKey]=OutputTable[[#This Row],[GroupByKey]])*OutputTable[RecordedValue])),0)</f>
        <v>2263.14</v>
      </c>
      <c r="L697" cm="1">
        <f t="array" ref="L697">IFERROR(_xlfn.STDEV.S(IF((OutputTable[GroupByKey]=OutputTable[[#This Row],[GroupByKey]]),(OutputTable[GroupByKey]=OutputTable[[#This Row],[GroupByKey]])*OutputTable[RecordedValue])),0)</f>
        <v>47.386818971575821</v>
      </c>
      <c r="M697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697" cm="1">
        <f t="array" ref="O697">MIN(IF((OutputTable[GroupByKey]=OutputTable[[#This Row],[GroupByKey]]),(OutputTable[GroupByKey]=OutputTable[[#This Row],[GroupByKey]])*OutputTable[RecordedValue]))</f>
        <v>2172</v>
      </c>
      <c r="P697" cm="1">
        <f t="array" ref="P697">MAX(IF((OutputTable[GroupByKey]=OutputTable[[#This Row],[GroupByKey]]),(OutputTable[GroupByKey]=OutputTable[[#This Row],[GroupByKey]])*OutputTable[RecordedValue]))</f>
        <v>2386</v>
      </c>
    </row>
    <row r="698" spans="1:16" x14ac:dyDescent="0.25">
      <c r="A698" t="s">
        <v>68</v>
      </c>
      <c r="B698" t="s">
        <v>131</v>
      </c>
      <c r="C698">
        <v>41</v>
      </c>
      <c r="D698" t="s">
        <v>127</v>
      </c>
      <c r="E698" t="s">
        <v>123</v>
      </c>
      <c r="F698" t="s">
        <v>99</v>
      </c>
      <c r="G698">
        <v>0.46201689589575901</v>
      </c>
      <c r="H698">
        <v>0</v>
      </c>
      <c r="I698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698" cm="1">
        <f t="array" ref="J698">MAX(IF((ProjectInfoTable[ProjectName]=OutputTable[[#This Row],[ProjectName]]),(ProjectInfoTable[ProjectName]=OutputTable[[#This Row],[ProjectName]])*ProjectInfoTable[NumberOfReplications]))</f>
        <v>50</v>
      </c>
      <c r="K698" cm="1">
        <f t="array" ref="K698">IFERROR(AVERAGE(IF((OutputTable[GroupByKey]=OutputTable[[#This Row],[GroupByKey]]),(OutputTable[GroupByKey]=OutputTable[[#This Row],[GroupByKey]])*OutputTable[RecordedValue])),0)</f>
        <v>0.47162762933545666</v>
      </c>
      <c r="L698" cm="1">
        <f t="array" ref="L698">IFERROR(_xlfn.STDEV.S(IF((OutputTable[GroupByKey]=OutputTable[[#This Row],[GroupByKey]]),(OutputTable[GroupByKey]=OutputTable[[#This Row],[GroupByKey]])*OutputTable[RecordedValue])),0)</f>
        <v>9.6615227076777797E-3</v>
      </c>
      <c r="M698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698" cm="1">
        <f t="array" ref="O698">MIN(IF((OutputTable[GroupByKey]=OutputTable[[#This Row],[GroupByKey]]),(OutputTable[GroupByKey]=OutputTable[[#This Row],[GroupByKey]])*OutputTable[RecordedValue]))</f>
        <v>0.452397944183905</v>
      </c>
      <c r="P698" cm="1">
        <f t="array" ref="P698">MAX(IF((OutputTable[GroupByKey]=OutputTable[[#This Row],[GroupByKey]]),(OutputTable[GroupByKey]=OutputTable[[#This Row],[GroupByKey]])*OutputTable[RecordedValue]))</f>
        <v>0.49691123629694001</v>
      </c>
    </row>
    <row r="699" spans="1:16" x14ac:dyDescent="0.25">
      <c r="A699" t="s">
        <v>68</v>
      </c>
      <c r="B699" t="s">
        <v>131</v>
      </c>
      <c r="C699">
        <v>42</v>
      </c>
      <c r="D699" t="s">
        <v>104</v>
      </c>
      <c r="E699" t="s">
        <v>105</v>
      </c>
      <c r="F699" t="s">
        <v>72</v>
      </c>
      <c r="G699">
        <v>2425</v>
      </c>
      <c r="H699">
        <v>0</v>
      </c>
      <c r="I699" t="str">
        <f>OutputTable[[#This Row],[ProjectName]]&amp;OutputTable[[#This Row],[Name]]&amp;OutputTable[[#This Row],[Type]]&amp;OutputTable[[#This Row],[Source]]</f>
        <v>PacientesEntity 1.NumberInNumber InEntity</v>
      </c>
      <c r="J699" cm="1">
        <f t="array" ref="J699">MAX(IF((ProjectInfoTable[ProjectName]=OutputTable[[#This Row],[ProjectName]]),(ProjectInfoTable[ProjectName]=OutputTable[[#This Row],[ProjectName]])*ProjectInfoTable[NumberOfReplications]))</f>
        <v>50</v>
      </c>
      <c r="K699" cm="1">
        <f t="array" ref="K699">IFERROR(AVERAGE(IF((OutputTable[GroupByKey]=OutputTable[[#This Row],[GroupByKey]]),(OutputTable[GroupByKey]=OutputTable[[#This Row],[GroupByKey]])*OutputTable[RecordedValue])),0)</f>
        <v>2404.8200000000002</v>
      </c>
      <c r="L699" cm="1">
        <f t="array" ref="L699">IFERROR(_xlfn.STDEV.S(IF((OutputTable[GroupByKey]=OutputTable[[#This Row],[GroupByKey]]),(OutputTable[GroupByKey]=OutputTable[[#This Row],[GroupByKey]])*OutputTable[RecordedValue])),0)</f>
        <v>46.42953405595474</v>
      </c>
      <c r="M699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699" cm="1">
        <f t="array" ref="O699">MIN(IF((OutputTable[GroupByKey]=OutputTable[[#This Row],[GroupByKey]]),(OutputTable[GroupByKey]=OutputTable[[#This Row],[GroupByKey]])*OutputTable[RecordedValue]))</f>
        <v>2307</v>
      </c>
      <c r="P699" cm="1">
        <f t="array" ref="P699">MAX(IF((OutputTable[GroupByKey]=OutputTable[[#This Row],[GroupByKey]]),(OutputTable[GroupByKey]=OutputTable[[#This Row],[GroupByKey]])*OutputTable[RecordedValue]))</f>
        <v>2518</v>
      </c>
    </row>
    <row r="700" spans="1:16" x14ac:dyDescent="0.25">
      <c r="A700" t="s">
        <v>68</v>
      </c>
      <c r="B700" t="s">
        <v>131</v>
      </c>
      <c r="C700">
        <v>42</v>
      </c>
      <c r="D700" t="s">
        <v>106</v>
      </c>
      <c r="E700" t="s">
        <v>107</v>
      </c>
      <c r="F700" t="s">
        <v>72</v>
      </c>
      <c r="G700">
        <v>2421</v>
      </c>
      <c r="H700">
        <v>0</v>
      </c>
      <c r="I700" t="str">
        <f>OutputTable[[#This Row],[ProjectName]]&amp;OutputTable[[#This Row],[Name]]&amp;OutputTable[[#This Row],[Type]]&amp;OutputTable[[#This Row],[Source]]</f>
        <v>PacientesEntity 1.NumberOutNumber OutEntity</v>
      </c>
      <c r="J700" cm="1">
        <f t="array" ref="J700">MAX(IF((ProjectInfoTable[ProjectName]=OutputTable[[#This Row],[ProjectName]]),(ProjectInfoTable[ProjectName]=OutputTable[[#This Row],[ProjectName]])*ProjectInfoTable[NumberOfReplications]))</f>
        <v>50</v>
      </c>
      <c r="K700" cm="1">
        <f t="array" ref="K700">IFERROR(AVERAGE(IF((OutputTable[GroupByKey]=OutputTable[[#This Row],[GroupByKey]]),(OutputTable[GroupByKey]=OutputTable[[#This Row],[GroupByKey]])*OutputTable[RecordedValue])),0)</f>
        <v>2400.2800000000002</v>
      </c>
      <c r="L700" cm="1">
        <f t="array" ref="L700">IFERROR(_xlfn.STDEV.S(IF((OutputTable[GroupByKey]=OutputTable[[#This Row],[GroupByKey]]),(OutputTable[GroupByKey]=OutputTable[[#This Row],[GroupByKey]])*OutputTable[RecordedValue])),0)</f>
        <v>46.409024456676619</v>
      </c>
      <c r="M700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00" cm="1">
        <f t="array" ref="O700">MIN(IF((OutputTable[GroupByKey]=OutputTable[[#This Row],[GroupByKey]]),(OutputTable[GroupByKey]=OutputTable[[#This Row],[GroupByKey]])*OutputTable[RecordedValue]))</f>
        <v>2305</v>
      </c>
      <c r="P700" cm="1">
        <f t="array" ref="P700">MAX(IF((OutputTable[GroupByKey]=OutputTable[[#This Row],[GroupByKey]]),(OutputTable[GroupByKey]=OutputTable[[#This Row],[GroupByKey]])*OutputTable[RecordedValue]))</f>
        <v>2504</v>
      </c>
    </row>
    <row r="701" spans="1:16" x14ac:dyDescent="0.25">
      <c r="A701" t="s">
        <v>68</v>
      </c>
      <c r="B701" t="s">
        <v>131</v>
      </c>
      <c r="C701">
        <v>42</v>
      </c>
      <c r="D701" t="s">
        <v>108</v>
      </c>
      <c r="E701" t="s">
        <v>109</v>
      </c>
      <c r="F701" t="s">
        <v>80</v>
      </c>
      <c r="G701">
        <v>1166.3137198183299</v>
      </c>
      <c r="H701">
        <v>0</v>
      </c>
      <c r="I701" t="str">
        <f>OutputTable[[#This Row],[ProjectName]]&amp;OutputTable[[#This Row],[Name]]&amp;OutputTable[[#This Row],[Type]]&amp;OutputTable[[#This Row],[Source]]</f>
        <v>PacientesProcess 2 Accum VA TimeAccum VA TimeProcess</v>
      </c>
      <c r="J701" cm="1">
        <f t="array" ref="J701">MAX(IF((ProjectInfoTable[ProjectName]=OutputTable[[#This Row],[ProjectName]]),(ProjectInfoTable[ProjectName]=OutputTable[[#This Row],[ProjectName]])*ProjectInfoTable[NumberOfReplications]))</f>
        <v>50</v>
      </c>
      <c r="K701" cm="1">
        <f t="array" ref="K701">IFERROR(AVERAGE(IF((OutputTable[GroupByKey]=OutputTable[[#This Row],[GroupByKey]]),(OutputTable[GroupByKey]=OutputTable[[#This Row],[GroupByKey]])*OutputTable[RecordedValue])),0)</f>
        <v>1181.1234936767919</v>
      </c>
      <c r="L701" cm="1">
        <f t="array" ref="L701">IFERROR(_xlfn.STDEV.S(IF((OutputTable[GroupByKey]=OutputTable[[#This Row],[GroupByKey]]),(OutputTable[GroupByKey]=OutputTable[[#This Row],[GroupByKey]])*OutputTable[RecordedValue])),0)</f>
        <v>22.169313666927575</v>
      </c>
      <c r="M701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701" cm="1">
        <f t="array" ref="O701">MIN(IF((OutputTable[GroupByKey]=OutputTable[[#This Row],[GroupByKey]]),(OutputTable[GroupByKey]=OutputTable[[#This Row],[GroupByKey]])*OutputTable[RecordedValue]))</f>
        <v>1133.24622318414</v>
      </c>
      <c r="P701" cm="1">
        <f t="array" ref="P701">MAX(IF((OutputTable[GroupByKey]=OutputTable[[#This Row],[GroupByKey]]),(OutputTable[GroupByKey]=OutputTable[[#This Row],[GroupByKey]])*OutputTable[RecordedValue]))</f>
        <v>1230.9493287309799</v>
      </c>
    </row>
    <row r="702" spans="1:16" x14ac:dyDescent="0.25">
      <c r="A702" t="s">
        <v>68</v>
      </c>
      <c r="B702" t="s">
        <v>131</v>
      </c>
      <c r="C702">
        <v>42</v>
      </c>
      <c r="D702" t="s">
        <v>110</v>
      </c>
      <c r="E702" t="s">
        <v>111</v>
      </c>
      <c r="F702" t="s">
        <v>80</v>
      </c>
      <c r="G702">
        <v>1736.49521424108</v>
      </c>
      <c r="H702">
        <v>0</v>
      </c>
      <c r="I702" t="str">
        <f>OutputTable[[#This Row],[ProjectName]]&amp;OutputTable[[#This Row],[Name]]&amp;OutputTable[[#This Row],[Type]]&amp;OutputTable[[#This Row],[Source]]</f>
        <v>PacientesProcess 2 Accum Wait TimeAccum Wait TimeProcess</v>
      </c>
      <c r="J702" cm="1">
        <f t="array" ref="J702">MAX(IF((ProjectInfoTable[ProjectName]=OutputTable[[#This Row],[ProjectName]]),(ProjectInfoTable[ProjectName]=OutputTable[[#This Row],[ProjectName]])*ProjectInfoTable[NumberOfReplications]))</f>
        <v>50</v>
      </c>
      <c r="K702" cm="1">
        <f t="array" ref="K702">IFERROR(AVERAGE(IF((OutputTable[GroupByKey]=OutputTable[[#This Row],[GroupByKey]]),(OutputTable[GroupByKey]=OutputTable[[#This Row],[GroupByKey]])*OutputTable[RecordedValue])),0)</f>
        <v>1938.7515507466894</v>
      </c>
      <c r="L702" cm="1">
        <f t="array" ref="L702">IFERROR(_xlfn.STDEV.S(IF((OutputTable[GroupByKey]=OutputTable[[#This Row],[GroupByKey]]),(OutputTable[GroupByKey]=OutputTable[[#This Row],[GroupByKey]])*OutputTable[RecordedValue])),0)</f>
        <v>534.03396241838232</v>
      </c>
      <c r="M702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702" cm="1">
        <f t="array" ref="O702">MIN(IF((OutputTable[GroupByKey]=OutputTable[[#This Row],[GroupByKey]]),(OutputTable[GroupByKey]=OutputTable[[#This Row],[GroupByKey]])*OutputTable[RecordedValue]))</f>
        <v>1234.7567994731401</v>
      </c>
      <c r="P702" cm="1">
        <f t="array" ref="P702">MAX(IF((OutputTable[GroupByKey]=OutputTable[[#This Row],[GroupByKey]]),(OutputTable[GroupByKey]=OutputTable[[#This Row],[GroupByKey]])*OutputTable[RecordedValue]))</f>
        <v>3269.0858002883801</v>
      </c>
    </row>
    <row r="703" spans="1:16" x14ac:dyDescent="0.25">
      <c r="A703" t="s">
        <v>68</v>
      </c>
      <c r="B703" t="s">
        <v>131</v>
      </c>
      <c r="C703">
        <v>42</v>
      </c>
      <c r="D703" t="s">
        <v>112</v>
      </c>
      <c r="E703" t="s">
        <v>105</v>
      </c>
      <c r="F703" t="s">
        <v>80</v>
      </c>
      <c r="G703">
        <v>2424</v>
      </c>
      <c r="H703">
        <v>0</v>
      </c>
      <c r="I703" t="str">
        <f>OutputTable[[#This Row],[ProjectName]]&amp;OutputTable[[#This Row],[Name]]&amp;OutputTable[[#This Row],[Type]]&amp;OutputTable[[#This Row],[Source]]</f>
        <v>PacientesProcess 2 Number InNumber InProcess</v>
      </c>
      <c r="J703" cm="1">
        <f t="array" ref="J703">MAX(IF((ProjectInfoTable[ProjectName]=OutputTable[[#This Row],[ProjectName]]),(ProjectInfoTable[ProjectName]=OutputTable[[#This Row],[ProjectName]])*ProjectInfoTable[NumberOfReplications]))</f>
        <v>50</v>
      </c>
      <c r="K703" cm="1">
        <f t="array" ref="K703">IFERROR(AVERAGE(IF((OutputTable[GroupByKey]=OutputTable[[#This Row],[GroupByKey]]),(OutputTable[GroupByKey]=OutputTable[[#This Row],[GroupByKey]])*OutputTable[RecordedValue])),0)</f>
        <v>2404.2399999999998</v>
      </c>
      <c r="L703" cm="1">
        <f t="array" ref="L703">IFERROR(_xlfn.STDEV.S(IF((OutputTable[GroupByKey]=OutputTable[[#This Row],[GroupByKey]]),(OutputTable[GroupByKey]=OutputTable[[#This Row],[GroupByKey]])*OutputTable[RecordedValue])),0)</f>
        <v>46.574303154053879</v>
      </c>
      <c r="M703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703" cm="1">
        <f t="array" ref="O703">MIN(IF((OutputTable[GroupByKey]=OutputTable[[#This Row],[GroupByKey]]),(OutputTable[GroupByKey]=OutputTable[[#This Row],[GroupByKey]])*OutputTable[RecordedValue]))</f>
        <v>2306</v>
      </c>
      <c r="P703" cm="1">
        <f t="array" ref="P703">MAX(IF((OutputTable[GroupByKey]=OutputTable[[#This Row],[GroupByKey]]),(OutputTable[GroupByKey]=OutputTable[[#This Row],[GroupByKey]])*OutputTable[RecordedValue]))</f>
        <v>2518</v>
      </c>
    </row>
    <row r="704" spans="1:16" x14ac:dyDescent="0.25">
      <c r="A704" t="s">
        <v>68</v>
      </c>
      <c r="B704" t="s">
        <v>131</v>
      </c>
      <c r="C704">
        <v>42</v>
      </c>
      <c r="D704" t="s">
        <v>113</v>
      </c>
      <c r="E704" t="s">
        <v>107</v>
      </c>
      <c r="F704" t="s">
        <v>80</v>
      </c>
      <c r="G704">
        <v>2421</v>
      </c>
      <c r="H704">
        <v>0</v>
      </c>
      <c r="I704" t="str">
        <f>OutputTable[[#This Row],[ProjectName]]&amp;OutputTable[[#This Row],[Name]]&amp;OutputTable[[#This Row],[Type]]&amp;OutputTable[[#This Row],[Source]]</f>
        <v>PacientesProcess 2 Number OutNumber OutProcess</v>
      </c>
      <c r="J704" cm="1">
        <f t="array" ref="J704">MAX(IF((ProjectInfoTable[ProjectName]=OutputTable[[#This Row],[ProjectName]]),(ProjectInfoTable[ProjectName]=OutputTable[[#This Row],[ProjectName]])*ProjectInfoTable[NumberOfReplications]))</f>
        <v>50</v>
      </c>
      <c r="K704" cm="1">
        <f t="array" ref="K704">IFERROR(AVERAGE(IF((OutputTable[GroupByKey]=OutputTable[[#This Row],[GroupByKey]]),(OutputTable[GroupByKey]=OutputTable[[#This Row],[GroupByKey]])*OutputTable[RecordedValue])),0)</f>
        <v>2400.2800000000002</v>
      </c>
      <c r="L704" cm="1">
        <f t="array" ref="L704">IFERROR(_xlfn.STDEV.S(IF((OutputTable[GroupByKey]=OutputTable[[#This Row],[GroupByKey]]),(OutputTable[GroupByKey]=OutputTable[[#This Row],[GroupByKey]])*OutputTable[RecordedValue])),0)</f>
        <v>46.409024456676619</v>
      </c>
      <c r="M704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04" cm="1">
        <f t="array" ref="O704">MIN(IF((OutputTable[GroupByKey]=OutputTable[[#This Row],[GroupByKey]]),(OutputTable[GroupByKey]=OutputTable[[#This Row],[GroupByKey]])*OutputTable[RecordedValue]))</f>
        <v>2305</v>
      </c>
      <c r="P704" cm="1">
        <f t="array" ref="P704">MAX(IF((OutputTable[GroupByKey]=OutputTable[[#This Row],[GroupByKey]]),(OutputTable[GroupByKey]=OutputTable[[#This Row],[GroupByKey]])*OutputTable[RecordedValue]))</f>
        <v>2504</v>
      </c>
    </row>
    <row r="705" spans="1:16" x14ac:dyDescent="0.25">
      <c r="A705" t="s">
        <v>68</v>
      </c>
      <c r="B705" t="s">
        <v>131</v>
      </c>
      <c r="C705">
        <v>42</v>
      </c>
      <c r="D705" t="s">
        <v>114</v>
      </c>
      <c r="E705" t="s">
        <v>109</v>
      </c>
      <c r="F705" t="s">
        <v>80</v>
      </c>
      <c r="G705">
        <v>342.57717907890401</v>
      </c>
      <c r="H705">
        <v>0</v>
      </c>
      <c r="I705" t="str">
        <f>OutputTable[[#This Row],[ProjectName]]&amp;OutputTable[[#This Row],[Name]]&amp;OutputTable[[#This Row],[Type]]&amp;OutputTable[[#This Row],[Source]]</f>
        <v>PacientesRegistro Accum VA TimeAccum VA TimeProcess</v>
      </c>
      <c r="J705" cm="1">
        <f t="array" ref="J705">MAX(IF((ProjectInfoTable[ProjectName]=OutputTable[[#This Row],[ProjectName]]),(ProjectInfoTable[ProjectName]=OutputTable[[#This Row],[ProjectName]])*ProjectInfoTable[NumberOfReplications]))</f>
        <v>50</v>
      </c>
      <c r="K705" cm="1">
        <f t="array" ref="K705">IFERROR(AVERAGE(IF((OutputTable[GroupByKey]=OutputTable[[#This Row],[GroupByKey]]),(OutputTable[GroupByKey]=OutputTable[[#This Row],[GroupByKey]])*OutputTable[RecordedValue])),0)</f>
        <v>339.53547737062786</v>
      </c>
      <c r="L705" cm="1">
        <f t="array" ref="L705">IFERROR(_xlfn.STDEV.S(IF((OutputTable[GroupByKey]=OutputTable[[#This Row],[GroupByKey]]),(OutputTable[GroupByKey]=OutputTable[[#This Row],[GroupByKey]])*OutputTable[RecordedValue])),0)</f>
        <v>6.9723666109353193</v>
      </c>
      <c r="M70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705" cm="1">
        <f t="array" ref="O705">MIN(IF((OutputTable[GroupByKey]=OutputTable[[#This Row],[GroupByKey]]),(OutputTable[GroupByKey]=OutputTable[[#This Row],[GroupByKey]])*OutputTable[RecordedValue]))</f>
        <v>325.606879158418</v>
      </c>
      <c r="P705" cm="1">
        <f t="array" ref="P705">MAX(IF((OutputTable[GroupByKey]=OutputTable[[#This Row],[GroupByKey]]),(OutputTable[GroupByKey]=OutputTable[[#This Row],[GroupByKey]])*OutputTable[RecordedValue]))</f>
        <v>357.77609013379703</v>
      </c>
    </row>
    <row r="706" spans="1:16" x14ac:dyDescent="0.25">
      <c r="A706" t="s">
        <v>68</v>
      </c>
      <c r="B706" t="s">
        <v>131</v>
      </c>
      <c r="C706">
        <v>42</v>
      </c>
      <c r="D706" t="s">
        <v>115</v>
      </c>
      <c r="E706" t="s">
        <v>111</v>
      </c>
      <c r="F706" t="s">
        <v>80</v>
      </c>
      <c r="G706">
        <v>166.83449059533999</v>
      </c>
      <c r="H706">
        <v>0</v>
      </c>
      <c r="I706" t="str">
        <f>OutputTable[[#This Row],[ProjectName]]&amp;OutputTable[[#This Row],[Name]]&amp;OutputTable[[#This Row],[Type]]&amp;OutputTable[[#This Row],[Source]]</f>
        <v>PacientesRegistro Accum Wait TimeAccum Wait TimeProcess</v>
      </c>
      <c r="J706" cm="1">
        <f t="array" ref="J706">MAX(IF((ProjectInfoTable[ProjectName]=OutputTable[[#This Row],[ProjectName]]),(ProjectInfoTable[ProjectName]=OutputTable[[#This Row],[ProjectName]])*ProjectInfoTable[NumberOfReplications]))</f>
        <v>50</v>
      </c>
      <c r="K706" cm="1">
        <f t="array" ref="K706">IFERROR(AVERAGE(IF((OutputTable[GroupByKey]=OutputTable[[#This Row],[GroupByKey]]),(OutputTable[GroupByKey]=OutputTable[[#This Row],[GroupByKey]])*OutputTable[RecordedValue])),0)</f>
        <v>154.15303898127775</v>
      </c>
      <c r="L706" cm="1">
        <f t="array" ref="L706">IFERROR(_xlfn.STDEV.S(IF((OutputTable[GroupByKey]=OutputTable[[#This Row],[GroupByKey]]),(OutputTable[GroupByKey]=OutputTable[[#This Row],[GroupByKey]])*OutputTable[RecordedValue])),0)</f>
        <v>12.141439184615397</v>
      </c>
      <c r="M706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706" cm="1">
        <f t="array" ref="O706">MIN(IF((OutputTable[GroupByKey]=OutputTable[[#This Row],[GroupByKey]]),(OutputTable[GroupByKey]=OutputTable[[#This Row],[GroupByKey]])*OutputTable[RecordedValue]))</f>
        <v>123.901613974094</v>
      </c>
      <c r="P706" cm="1">
        <f t="array" ref="P706">MAX(IF((OutputTable[GroupByKey]=OutputTable[[#This Row],[GroupByKey]]),(OutputTable[GroupByKey]=OutputTable[[#This Row],[GroupByKey]])*OutputTable[RecordedValue]))</f>
        <v>178.441307284473</v>
      </c>
    </row>
    <row r="707" spans="1:16" x14ac:dyDescent="0.25">
      <c r="A707" t="s">
        <v>68</v>
      </c>
      <c r="B707" t="s">
        <v>131</v>
      </c>
      <c r="C707">
        <v>42</v>
      </c>
      <c r="D707" t="s">
        <v>116</v>
      </c>
      <c r="E707" t="s">
        <v>105</v>
      </c>
      <c r="F707" t="s">
        <v>80</v>
      </c>
      <c r="G707">
        <v>2286</v>
      </c>
      <c r="H707">
        <v>0</v>
      </c>
      <c r="I707" t="str">
        <f>OutputTable[[#This Row],[ProjectName]]&amp;OutputTable[[#This Row],[Name]]&amp;OutputTable[[#This Row],[Type]]&amp;OutputTable[[#This Row],[Source]]</f>
        <v>PacientesRegistro Number InNumber InProcess</v>
      </c>
      <c r="J707" cm="1">
        <f t="array" ref="J707">MAX(IF((ProjectInfoTable[ProjectName]=OutputTable[[#This Row],[ProjectName]]),(ProjectInfoTable[ProjectName]=OutputTable[[#This Row],[ProjectName]])*ProjectInfoTable[NumberOfReplications]))</f>
        <v>50</v>
      </c>
      <c r="K707" cm="1">
        <f t="array" ref="K707">IFERROR(AVERAGE(IF((OutputTable[GroupByKey]=OutputTable[[#This Row],[GroupByKey]]),(OutputTable[GroupByKey]=OutputTable[[#This Row],[GroupByKey]])*OutputTable[RecordedValue])),0)</f>
        <v>2263.2399999999998</v>
      </c>
      <c r="L707" cm="1">
        <f t="array" ref="L707">IFERROR(_xlfn.STDEV.S(IF((OutputTable[GroupByKey]=OutputTable[[#This Row],[GroupByKey]]),(OutputTable[GroupByKey]=OutputTable[[#This Row],[GroupByKey]])*OutputTable[RecordedValue])),0)</f>
        <v>47.331035682472766</v>
      </c>
      <c r="M707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707" cm="1">
        <f t="array" ref="O707">MIN(IF((OutputTable[GroupByKey]=OutputTable[[#This Row],[GroupByKey]]),(OutputTable[GroupByKey]=OutputTable[[#This Row],[GroupByKey]])*OutputTable[RecordedValue]))</f>
        <v>2172</v>
      </c>
      <c r="P707" cm="1">
        <f t="array" ref="P707">MAX(IF((OutputTable[GroupByKey]=OutputTable[[#This Row],[GroupByKey]]),(OutputTable[GroupByKey]=OutputTable[[#This Row],[GroupByKey]])*OutputTable[RecordedValue]))</f>
        <v>2386</v>
      </c>
    </row>
    <row r="708" spans="1:16" x14ac:dyDescent="0.25">
      <c r="A708" t="s">
        <v>68</v>
      </c>
      <c r="B708" t="s">
        <v>131</v>
      </c>
      <c r="C708">
        <v>42</v>
      </c>
      <c r="D708" t="s">
        <v>117</v>
      </c>
      <c r="E708" t="s">
        <v>107</v>
      </c>
      <c r="F708" t="s">
        <v>80</v>
      </c>
      <c r="G708">
        <v>2285</v>
      </c>
      <c r="H708">
        <v>0</v>
      </c>
      <c r="I708" t="str">
        <f>OutputTable[[#This Row],[ProjectName]]&amp;OutputTable[[#This Row],[Name]]&amp;OutputTable[[#This Row],[Type]]&amp;OutputTable[[#This Row],[Source]]</f>
        <v>PacientesRegistro Number OutNumber OutProcess</v>
      </c>
      <c r="J708" cm="1">
        <f t="array" ref="J708">MAX(IF((ProjectInfoTable[ProjectName]=OutputTable[[#This Row],[ProjectName]]),(ProjectInfoTable[ProjectName]=OutputTable[[#This Row],[ProjectName]])*ProjectInfoTable[NumberOfReplications]))</f>
        <v>50</v>
      </c>
      <c r="K708" cm="1">
        <f t="array" ref="K708">IFERROR(AVERAGE(IF((OutputTable[GroupByKey]=OutputTable[[#This Row],[GroupByKey]]),(OutputTable[GroupByKey]=OutputTable[[#This Row],[GroupByKey]])*OutputTable[RecordedValue])),0)</f>
        <v>2262.66</v>
      </c>
      <c r="L708" cm="1">
        <f t="array" ref="L708">IFERROR(_xlfn.STDEV.S(IF((OutputTable[GroupByKey]=OutputTable[[#This Row],[GroupByKey]]),(OutputTable[GroupByKey]=OutputTable[[#This Row],[GroupByKey]])*OutputTable[RecordedValue])),0)</f>
        <v>47.488176831454687</v>
      </c>
      <c r="M708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708" cm="1">
        <f t="array" ref="O708">MIN(IF((OutputTable[GroupByKey]=OutputTable[[#This Row],[GroupByKey]]),(OutputTable[GroupByKey]=OutputTable[[#This Row],[GroupByKey]])*OutputTable[RecordedValue]))</f>
        <v>2171</v>
      </c>
      <c r="P708" cm="1">
        <f t="array" ref="P708">MAX(IF((OutputTable[GroupByKey]=OutputTable[[#This Row],[GroupByKey]]),(OutputTable[GroupByKey]=OutputTable[[#This Row],[GroupByKey]])*OutputTable[RecordedValue]))</f>
        <v>2386</v>
      </c>
    </row>
    <row r="709" spans="1:16" x14ac:dyDescent="0.25">
      <c r="A709" t="s">
        <v>68</v>
      </c>
      <c r="B709" t="s">
        <v>131</v>
      </c>
      <c r="C709">
        <v>42</v>
      </c>
      <c r="D709" t="s">
        <v>118</v>
      </c>
      <c r="E709" t="s">
        <v>107</v>
      </c>
      <c r="F709" t="s">
        <v>119</v>
      </c>
      <c r="G709">
        <v>2421</v>
      </c>
      <c r="H709">
        <v>0</v>
      </c>
      <c r="I709" t="str">
        <f>OutputTable[[#This Row],[ProjectName]]&amp;OutputTable[[#This Row],[Name]]&amp;OutputTable[[#This Row],[Type]]&amp;OutputTable[[#This Row],[Source]]</f>
        <v>PacientesSystem.NumberOutNumber OutSystem</v>
      </c>
      <c r="J709" cm="1">
        <f t="array" ref="J709">MAX(IF((ProjectInfoTable[ProjectName]=OutputTable[[#This Row],[ProjectName]]),(ProjectInfoTable[ProjectName]=OutputTable[[#This Row],[ProjectName]])*ProjectInfoTable[NumberOfReplications]))</f>
        <v>50</v>
      </c>
      <c r="K709" cm="1">
        <f t="array" ref="K709">IFERROR(AVERAGE(IF((OutputTable[GroupByKey]=OutputTable[[#This Row],[GroupByKey]]),(OutputTable[GroupByKey]=OutputTable[[#This Row],[GroupByKey]])*OutputTable[RecordedValue])),0)</f>
        <v>2400.2800000000002</v>
      </c>
      <c r="L709" cm="1">
        <f t="array" ref="L709">IFERROR(_xlfn.STDEV.S(IF((OutputTable[GroupByKey]=OutputTable[[#This Row],[GroupByKey]]),(OutputTable[GroupByKey]=OutputTable[[#This Row],[GroupByKey]])*OutputTable[RecordedValue])),0)</f>
        <v>46.409024456676619</v>
      </c>
      <c r="M709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09" cm="1">
        <f t="array" ref="O709">MIN(IF((OutputTable[GroupByKey]=OutputTable[[#This Row],[GroupByKey]]),(OutputTable[GroupByKey]=OutputTable[[#This Row],[GroupByKey]])*OutputTable[RecordedValue]))</f>
        <v>2305</v>
      </c>
      <c r="P709" cm="1">
        <f t="array" ref="P709">MAX(IF((OutputTable[GroupByKey]=OutputTable[[#This Row],[GroupByKey]]),(OutputTable[GroupByKey]=OutputTable[[#This Row],[GroupByKey]])*OutputTable[RecordedValue]))</f>
        <v>2504</v>
      </c>
    </row>
    <row r="710" spans="1:16" x14ac:dyDescent="0.25">
      <c r="A710" t="s">
        <v>68</v>
      </c>
      <c r="B710" t="s">
        <v>131</v>
      </c>
      <c r="C710">
        <v>42</v>
      </c>
      <c r="D710" t="s">
        <v>120</v>
      </c>
      <c r="E710" t="s">
        <v>121</v>
      </c>
      <c r="F710" t="s">
        <v>99</v>
      </c>
      <c r="G710">
        <v>2423</v>
      </c>
      <c r="H710">
        <v>0</v>
      </c>
      <c r="I710" t="str">
        <f>OutputTable[[#This Row],[ProjectName]]&amp;OutputTable[[#This Row],[Name]]&amp;OutputTable[[#This Row],[Type]]&amp;OutputTable[[#This Row],[Source]]</f>
        <v>PacientesrCamas.NumberSeizedTotal Number SeizedResource</v>
      </c>
      <c r="J710" cm="1">
        <f t="array" ref="J710">MAX(IF((ProjectInfoTable[ProjectName]=OutputTable[[#This Row],[ProjectName]]),(ProjectInfoTable[ProjectName]=OutputTable[[#This Row],[ProjectName]])*ProjectInfoTable[NumberOfReplications]))</f>
        <v>50</v>
      </c>
      <c r="K710" cm="1">
        <f t="array" ref="K710">IFERROR(AVERAGE(IF((OutputTable[GroupByKey]=OutputTable[[#This Row],[GroupByKey]]),(OutputTable[GroupByKey]=OutputTable[[#This Row],[GroupByKey]])*OutputTable[RecordedValue])),0)</f>
        <v>2401.9</v>
      </c>
      <c r="L710" cm="1">
        <f t="array" ref="L710">IFERROR(_xlfn.STDEV.S(IF((OutputTable[GroupByKey]=OutputTable[[#This Row],[GroupByKey]]),(OutputTable[GroupByKey]=OutputTable[[#This Row],[GroupByKey]])*OutputTable[RecordedValue])),0)</f>
        <v>46.417031532903209</v>
      </c>
      <c r="M710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10" cm="1">
        <f t="array" ref="O710">MIN(IF((OutputTable[GroupByKey]=OutputTable[[#This Row],[GroupByKey]]),(OutputTable[GroupByKey]=OutputTable[[#This Row],[GroupByKey]])*OutputTable[RecordedValue]))</f>
        <v>2306</v>
      </c>
      <c r="P710" cm="1">
        <f t="array" ref="P710">MAX(IF((OutputTable[GroupByKey]=OutputTable[[#This Row],[GroupByKey]]),(OutputTable[GroupByKey]=OutputTable[[#This Row],[GroupByKey]])*OutputTable[RecordedValue]))</f>
        <v>2506</v>
      </c>
    </row>
    <row r="711" spans="1:16" x14ac:dyDescent="0.25">
      <c r="A711" t="s">
        <v>68</v>
      </c>
      <c r="B711" t="s">
        <v>131</v>
      </c>
      <c r="C711">
        <v>42</v>
      </c>
      <c r="D711" t="s">
        <v>122</v>
      </c>
      <c r="E711" t="s">
        <v>123</v>
      </c>
      <c r="F711" t="s">
        <v>99</v>
      </c>
      <c r="G711">
        <v>0.54028749766639605</v>
      </c>
      <c r="H711">
        <v>0</v>
      </c>
      <c r="I711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711" cm="1">
        <f t="array" ref="J711">MAX(IF((ProjectInfoTable[ProjectName]=OutputTable[[#This Row],[ProjectName]]),(ProjectInfoTable[ProjectName]=OutputTable[[#This Row],[ProjectName]])*ProjectInfoTable[NumberOfReplications]))</f>
        <v>50</v>
      </c>
      <c r="K711" cm="1">
        <f t="array" ref="K711">IFERROR(AVERAGE(IF((OutputTable[GroupByKey]=OutputTable[[#This Row],[GroupByKey]]),(OutputTable[GroupByKey]=OutputTable[[#This Row],[GroupByKey]])*OutputTable[RecordedValue])),0)</f>
        <v>0.54703961359050601</v>
      </c>
      <c r="L711" cm="1">
        <f t="array" ref="L711">IFERROR(_xlfn.STDEV.S(IF((OutputTable[GroupByKey]=OutputTable[[#This Row],[GroupByKey]]),(OutputTable[GroupByKey]=OutputTable[[#This Row],[GroupByKey]])*OutputTable[RecordedValue])),0)</f>
        <v>1.0221170008030479E-2</v>
      </c>
      <c r="M711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711" cm="1">
        <f t="array" ref="O711">MIN(IF((OutputTable[GroupByKey]=OutputTable[[#This Row],[GroupByKey]]),(OutputTable[GroupByKey]=OutputTable[[#This Row],[GroupByKey]])*OutputTable[RecordedValue]))</f>
        <v>0.52470641844357901</v>
      </c>
      <c r="P711" cm="1">
        <f t="array" ref="P711">MAX(IF((OutputTable[GroupByKey]=OutputTable[[#This Row],[GroupByKey]]),(OutputTable[GroupByKey]=OutputTable[[#This Row],[GroupByKey]])*OutputTable[RecordedValue]))</f>
        <v>0.57005812966092295</v>
      </c>
    </row>
    <row r="712" spans="1:16" x14ac:dyDescent="0.25">
      <c r="A712" t="s">
        <v>68</v>
      </c>
      <c r="B712" t="s">
        <v>131</v>
      </c>
      <c r="C712">
        <v>42</v>
      </c>
      <c r="D712" t="s">
        <v>124</v>
      </c>
      <c r="E712" t="s">
        <v>121</v>
      </c>
      <c r="F712" t="s">
        <v>99</v>
      </c>
      <c r="G712">
        <v>2423</v>
      </c>
      <c r="H712">
        <v>0</v>
      </c>
      <c r="I712" t="str">
        <f>OutputTable[[#This Row],[ProjectName]]&amp;OutputTable[[#This Row],[Name]]&amp;OutputTable[[#This Row],[Type]]&amp;OutputTable[[#This Row],[Source]]</f>
        <v>PacientesrMedico.NumberSeizedTotal Number SeizedResource</v>
      </c>
      <c r="J712" cm="1">
        <f t="array" ref="J712">MAX(IF((ProjectInfoTable[ProjectName]=OutputTable[[#This Row],[ProjectName]]),(ProjectInfoTable[ProjectName]=OutputTable[[#This Row],[ProjectName]])*ProjectInfoTable[NumberOfReplications]))</f>
        <v>50</v>
      </c>
      <c r="K712" cm="1">
        <f t="array" ref="K712">IFERROR(AVERAGE(IF((OutputTable[GroupByKey]=OutputTable[[#This Row],[GroupByKey]]),(OutputTable[GroupByKey]=OutputTable[[#This Row],[GroupByKey]])*OutputTable[RecordedValue])),0)</f>
        <v>2401.9</v>
      </c>
      <c r="L712" cm="1">
        <f t="array" ref="L712">IFERROR(_xlfn.STDEV.S(IF((OutputTable[GroupByKey]=OutputTable[[#This Row],[GroupByKey]]),(OutputTable[GroupByKey]=OutputTable[[#This Row],[GroupByKey]])*OutputTable[RecordedValue])),0)</f>
        <v>46.417031532903209</v>
      </c>
      <c r="M712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12" cm="1">
        <f t="array" ref="O712">MIN(IF((OutputTable[GroupByKey]=OutputTable[[#This Row],[GroupByKey]]),(OutputTable[GroupByKey]=OutputTable[[#This Row],[GroupByKey]])*OutputTable[RecordedValue]))</f>
        <v>2306</v>
      </c>
      <c r="P712" cm="1">
        <f t="array" ref="P712">MAX(IF((OutputTable[GroupByKey]=OutputTable[[#This Row],[GroupByKey]]),(OutputTable[GroupByKey]=OutputTable[[#This Row],[GroupByKey]])*OutputTable[RecordedValue]))</f>
        <v>2506</v>
      </c>
    </row>
    <row r="713" spans="1:16" x14ac:dyDescent="0.25">
      <c r="A713" t="s">
        <v>68</v>
      </c>
      <c r="B713" t="s">
        <v>131</v>
      </c>
      <c r="C713">
        <v>42</v>
      </c>
      <c r="D713" t="s">
        <v>125</v>
      </c>
      <c r="E713" t="s">
        <v>123</v>
      </c>
      <c r="F713" t="s">
        <v>99</v>
      </c>
      <c r="G713">
        <v>0.81043124649959397</v>
      </c>
      <c r="H713">
        <v>0</v>
      </c>
      <c r="I713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713" cm="1">
        <f t="array" ref="J713">MAX(IF((ProjectInfoTable[ProjectName]=OutputTable[[#This Row],[ProjectName]]),(ProjectInfoTable[ProjectName]=OutputTable[[#This Row],[ProjectName]])*ProjectInfoTable[NumberOfReplications]))</f>
        <v>50</v>
      </c>
      <c r="K713" cm="1">
        <f t="array" ref="K713">IFERROR(AVERAGE(IF((OutputTable[GroupByKey]=OutputTable[[#This Row],[GroupByKey]]),(OutputTable[GroupByKey]=OutputTable[[#This Row],[GroupByKey]])*OutputTable[RecordedValue])),0)</f>
        <v>0.82055942038575935</v>
      </c>
      <c r="L713" cm="1">
        <f t="array" ref="L713">IFERROR(_xlfn.STDEV.S(IF((OutputTable[GroupByKey]=OutputTable[[#This Row],[GroupByKey]]),(OutputTable[GroupByKey]=OutputTable[[#This Row],[GroupByKey]])*OutputTable[RecordedValue])),0)</f>
        <v>1.5331755012045719E-2</v>
      </c>
      <c r="M713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713" cm="1">
        <f t="array" ref="O713">MIN(IF((OutputTable[GroupByKey]=OutputTable[[#This Row],[GroupByKey]]),(OutputTable[GroupByKey]=OutputTable[[#This Row],[GroupByKey]])*OutputTable[RecordedValue]))</f>
        <v>0.78705962766536897</v>
      </c>
      <c r="P713" cm="1">
        <f t="array" ref="P713">MAX(IF((OutputTable[GroupByKey]=OutputTable[[#This Row],[GroupByKey]]),(OutputTable[GroupByKey]=OutputTable[[#This Row],[GroupByKey]])*OutputTable[RecordedValue]))</f>
        <v>0.85508719449138504</v>
      </c>
    </row>
    <row r="714" spans="1:16" x14ac:dyDescent="0.25">
      <c r="A714" t="s">
        <v>68</v>
      </c>
      <c r="B714" t="s">
        <v>131</v>
      </c>
      <c r="C714">
        <v>42</v>
      </c>
      <c r="D714" t="s">
        <v>126</v>
      </c>
      <c r="E714" t="s">
        <v>121</v>
      </c>
      <c r="F714" t="s">
        <v>99</v>
      </c>
      <c r="G714">
        <v>2286</v>
      </c>
      <c r="H714">
        <v>0</v>
      </c>
      <c r="I714" t="str">
        <f>OutputTable[[#This Row],[ProjectName]]&amp;OutputTable[[#This Row],[Name]]&amp;OutputTable[[#This Row],[Type]]&amp;OutputTable[[#This Row],[Source]]</f>
        <v>PacientesrRegistradora.NumberSeizedTotal Number SeizedResource</v>
      </c>
      <c r="J714" cm="1">
        <f t="array" ref="J714">MAX(IF((ProjectInfoTable[ProjectName]=OutputTable[[#This Row],[ProjectName]]),(ProjectInfoTable[ProjectName]=OutputTable[[#This Row],[ProjectName]])*ProjectInfoTable[NumberOfReplications]))</f>
        <v>50</v>
      </c>
      <c r="K714" cm="1">
        <f t="array" ref="K714">IFERROR(AVERAGE(IF((OutputTable[GroupByKey]=OutputTable[[#This Row],[GroupByKey]]),(OutputTable[GroupByKey]=OutputTable[[#This Row],[GroupByKey]])*OutputTable[RecordedValue])),0)</f>
        <v>2263.14</v>
      </c>
      <c r="L714" cm="1">
        <f t="array" ref="L714">IFERROR(_xlfn.STDEV.S(IF((OutputTable[GroupByKey]=OutputTable[[#This Row],[GroupByKey]]),(OutputTable[GroupByKey]=OutputTable[[#This Row],[GroupByKey]])*OutputTable[RecordedValue])),0)</f>
        <v>47.386818971575821</v>
      </c>
      <c r="M714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714" cm="1">
        <f t="array" ref="O714">MIN(IF((OutputTable[GroupByKey]=OutputTable[[#This Row],[GroupByKey]]),(OutputTable[GroupByKey]=OutputTable[[#This Row],[GroupByKey]])*OutputTable[RecordedValue]))</f>
        <v>2172</v>
      </c>
      <c r="P714" cm="1">
        <f t="array" ref="P714">MAX(IF((OutputTable[GroupByKey]=OutputTable[[#This Row],[GroupByKey]]),(OutputTable[GroupByKey]=OutputTable[[#This Row],[GroupByKey]])*OutputTable[RecordedValue]))</f>
        <v>2386</v>
      </c>
    </row>
    <row r="715" spans="1:16" x14ac:dyDescent="0.25">
      <c r="A715" t="s">
        <v>68</v>
      </c>
      <c r="B715" t="s">
        <v>131</v>
      </c>
      <c r="C715">
        <v>42</v>
      </c>
      <c r="D715" t="s">
        <v>127</v>
      </c>
      <c r="E715" t="s">
        <v>123</v>
      </c>
      <c r="F715" t="s">
        <v>99</v>
      </c>
      <c r="G715">
        <v>0.47596039236453802</v>
      </c>
      <c r="H715">
        <v>0</v>
      </c>
      <c r="I715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715" cm="1">
        <f t="array" ref="J715">MAX(IF((ProjectInfoTable[ProjectName]=OutputTable[[#This Row],[ProjectName]]),(ProjectInfoTable[ProjectName]=OutputTable[[#This Row],[ProjectName]])*ProjectInfoTable[NumberOfReplications]))</f>
        <v>50</v>
      </c>
      <c r="K715" cm="1">
        <f t="array" ref="K715">IFERROR(AVERAGE(IF((OutputTable[GroupByKey]=OutputTable[[#This Row],[GroupByKey]]),(OutputTable[GroupByKey]=OutputTable[[#This Row],[GroupByKey]])*OutputTable[RecordedValue])),0)</f>
        <v>0.47162762933545666</v>
      </c>
      <c r="L715" cm="1">
        <f t="array" ref="L715">IFERROR(_xlfn.STDEV.S(IF((OutputTable[GroupByKey]=OutputTable[[#This Row],[GroupByKey]]),(OutputTable[GroupByKey]=OutputTable[[#This Row],[GroupByKey]])*OutputTable[RecordedValue])),0)</f>
        <v>9.6615227076777797E-3</v>
      </c>
      <c r="M71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715" cm="1">
        <f t="array" ref="O715">MIN(IF((OutputTable[GroupByKey]=OutputTable[[#This Row],[GroupByKey]]),(OutputTable[GroupByKey]=OutputTable[[#This Row],[GroupByKey]])*OutputTable[RecordedValue]))</f>
        <v>0.452397944183905</v>
      </c>
      <c r="P715" cm="1">
        <f t="array" ref="P715">MAX(IF((OutputTable[GroupByKey]=OutputTable[[#This Row],[GroupByKey]]),(OutputTable[GroupByKey]=OutputTable[[#This Row],[GroupByKey]])*OutputTable[RecordedValue]))</f>
        <v>0.49691123629694001</v>
      </c>
    </row>
    <row r="716" spans="1:16" x14ac:dyDescent="0.25">
      <c r="A716" t="s">
        <v>68</v>
      </c>
      <c r="B716" t="s">
        <v>131</v>
      </c>
      <c r="C716">
        <v>43</v>
      </c>
      <c r="D716" t="s">
        <v>104</v>
      </c>
      <c r="E716" t="s">
        <v>105</v>
      </c>
      <c r="F716" t="s">
        <v>72</v>
      </c>
      <c r="G716">
        <v>2363</v>
      </c>
      <c r="H716">
        <v>0</v>
      </c>
      <c r="I716" t="str">
        <f>OutputTable[[#This Row],[ProjectName]]&amp;OutputTable[[#This Row],[Name]]&amp;OutputTable[[#This Row],[Type]]&amp;OutputTable[[#This Row],[Source]]</f>
        <v>PacientesEntity 1.NumberInNumber InEntity</v>
      </c>
      <c r="J716" cm="1">
        <f t="array" ref="J716">MAX(IF((ProjectInfoTable[ProjectName]=OutputTable[[#This Row],[ProjectName]]),(ProjectInfoTable[ProjectName]=OutputTable[[#This Row],[ProjectName]])*ProjectInfoTable[NumberOfReplications]))</f>
        <v>50</v>
      </c>
      <c r="K716" cm="1">
        <f t="array" ref="K716">IFERROR(AVERAGE(IF((OutputTable[GroupByKey]=OutputTable[[#This Row],[GroupByKey]]),(OutputTable[GroupByKey]=OutputTable[[#This Row],[GroupByKey]])*OutputTable[RecordedValue])),0)</f>
        <v>2404.8200000000002</v>
      </c>
      <c r="L716" cm="1">
        <f t="array" ref="L716">IFERROR(_xlfn.STDEV.S(IF((OutputTable[GroupByKey]=OutputTable[[#This Row],[GroupByKey]]),(OutputTable[GroupByKey]=OutputTable[[#This Row],[GroupByKey]])*OutputTable[RecordedValue])),0)</f>
        <v>46.42953405595474</v>
      </c>
      <c r="M716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716" cm="1">
        <f t="array" ref="O716">MIN(IF((OutputTable[GroupByKey]=OutputTable[[#This Row],[GroupByKey]]),(OutputTable[GroupByKey]=OutputTable[[#This Row],[GroupByKey]])*OutputTable[RecordedValue]))</f>
        <v>2307</v>
      </c>
      <c r="P716" cm="1">
        <f t="array" ref="P716">MAX(IF((OutputTable[GroupByKey]=OutputTable[[#This Row],[GroupByKey]]),(OutputTable[GroupByKey]=OutputTable[[#This Row],[GroupByKey]])*OutputTable[RecordedValue]))</f>
        <v>2518</v>
      </c>
    </row>
    <row r="717" spans="1:16" x14ac:dyDescent="0.25">
      <c r="A717" t="s">
        <v>68</v>
      </c>
      <c r="B717" t="s">
        <v>131</v>
      </c>
      <c r="C717">
        <v>43</v>
      </c>
      <c r="D717" t="s">
        <v>106</v>
      </c>
      <c r="E717" t="s">
        <v>107</v>
      </c>
      <c r="F717" t="s">
        <v>72</v>
      </c>
      <c r="G717">
        <v>2363</v>
      </c>
      <c r="H717">
        <v>0</v>
      </c>
      <c r="I717" t="str">
        <f>OutputTable[[#This Row],[ProjectName]]&amp;OutputTable[[#This Row],[Name]]&amp;OutputTable[[#This Row],[Type]]&amp;OutputTable[[#This Row],[Source]]</f>
        <v>PacientesEntity 1.NumberOutNumber OutEntity</v>
      </c>
      <c r="J717" cm="1">
        <f t="array" ref="J717">MAX(IF((ProjectInfoTable[ProjectName]=OutputTable[[#This Row],[ProjectName]]),(ProjectInfoTable[ProjectName]=OutputTable[[#This Row],[ProjectName]])*ProjectInfoTable[NumberOfReplications]))</f>
        <v>50</v>
      </c>
      <c r="K717" cm="1">
        <f t="array" ref="K717">IFERROR(AVERAGE(IF((OutputTable[GroupByKey]=OutputTable[[#This Row],[GroupByKey]]),(OutputTable[GroupByKey]=OutputTable[[#This Row],[GroupByKey]])*OutputTable[RecordedValue])),0)</f>
        <v>2400.2800000000002</v>
      </c>
      <c r="L717" cm="1">
        <f t="array" ref="L717">IFERROR(_xlfn.STDEV.S(IF((OutputTable[GroupByKey]=OutputTable[[#This Row],[GroupByKey]]),(OutputTable[GroupByKey]=OutputTable[[#This Row],[GroupByKey]])*OutputTable[RecordedValue])),0)</f>
        <v>46.409024456676619</v>
      </c>
      <c r="M717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17" cm="1">
        <f t="array" ref="O717">MIN(IF((OutputTable[GroupByKey]=OutputTable[[#This Row],[GroupByKey]]),(OutputTable[GroupByKey]=OutputTable[[#This Row],[GroupByKey]])*OutputTable[RecordedValue]))</f>
        <v>2305</v>
      </c>
      <c r="P717" cm="1">
        <f t="array" ref="P717">MAX(IF((OutputTable[GroupByKey]=OutputTable[[#This Row],[GroupByKey]]),(OutputTable[GroupByKey]=OutputTable[[#This Row],[GroupByKey]])*OutputTable[RecordedValue]))</f>
        <v>2504</v>
      </c>
    </row>
    <row r="718" spans="1:16" x14ac:dyDescent="0.25">
      <c r="A718" t="s">
        <v>68</v>
      </c>
      <c r="B718" t="s">
        <v>131</v>
      </c>
      <c r="C718">
        <v>43</v>
      </c>
      <c r="D718" t="s">
        <v>108</v>
      </c>
      <c r="E718" t="s">
        <v>109</v>
      </c>
      <c r="F718" t="s">
        <v>80</v>
      </c>
      <c r="G718">
        <v>1160.68637425063</v>
      </c>
      <c r="H718">
        <v>0</v>
      </c>
      <c r="I718" t="str">
        <f>OutputTable[[#This Row],[ProjectName]]&amp;OutputTable[[#This Row],[Name]]&amp;OutputTable[[#This Row],[Type]]&amp;OutputTable[[#This Row],[Source]]</f>
        <v>PacientesProcess 2 Accum VA TimeAccum VA TimeProcess</v>
      </c>
      <c r="J718" cm="1">
        <f t="array" ref="J718">MAX(IF((ProjectInfoTable[ProjectName]=OutputTable[[#This Row],[ProjectName]]),(ProjectInfoTable[ProjectName]=OutputTable[[#This Row],[ProjectName]])*ProjectInfoTable[NumberOfReplications]))</f>
        <v>50</v>
      </c>
      <c r="K718" cm="1">
        <f t="array" ref="K718">IFERROR(AVERAGE(IF((OutputTable[GroupByKey]=OutputTable[[#This Row],[GroupByKey]]),(OutputTable[GroupByKey]=OutputTable[[#This Row],[GroupByKey]])*OutputTable[RecordedValue])),0)</f>
        <v>1181.1234936767919</v>
      </c>
      <c r="L718" cm="1">
        <f t="array" ref="L718">IFERROR(_xlfn.STDEV.S(IF((OutputTable[GroupByKey]=OutputTable[[#This Row],[GroupByKey]]),(OutputTable[GroupByKey]=OutputTable[[#This Row],[GroupByKey]])*OutputTable[RecordedValue])),0)</f>
        <v>22.169313666927575</v>
      </c>
      <c r="M718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718" cm="1">
        <f t="array" ref="O718">MIN(IF((OutputTable[GroupByKey]=OutputTable[[#This Row],[GroupByKey]]),(OutputTable[GroupByKey]=OutputTable[[#This Row],[GroupByKey]])*OutputTable[RecordedValue]))</f>
        <v>1133.24622318414</v>
      </c>
      <c r="P718" cm="1">
        <f t="array" ref="P718">MAX(IF((OutputTable[GroupByKey]=OutputTable[[#This Row],[GroupByKey]]),(OutputTable[GroupByKey]=OutputTable[[#This Row],[GroupByKey]])*OutputTable[RecordedValue]))</f>
        <v>1230.9493287309799</v>
      </c>
    </row>
    <row r="719" spans="1:16" x14ac:dyDescent="0.25">
      <c r="A719" t="s">
        <v>68</v>
      </c>
      <c r="B719" t="s">
        <v>131</v>
      </c>
      <c r="C719">
        <v>43</v>
      </c>
      <c r="D719" t="s">
        <v>110</v>
      </c>
      <c r="E719" t="s">
        <v>111</v>
      </c>
      <c r="F719" t="s">
        <v>80</v>
      </c>
      <c r="G719">
        <v>1696.88703191172</v>
      </c>
      <c r="H719">
        <v>0</v>
      </c>
      <c r="I719" t="str">
        <f>OutputTable[[#This Row],[ProjectName]]&amp;OutputTable[[#This Row],[Name]]&amp;OutputTable[[#This Row],[Type]]&amp;OutputTable[[#This Row],[Source]]</f>
        <v>PacientesProcess 2 Accum Wait TimeAccum Wait TimeProcess</v>
      </c>
      <c r="J719" cm="1">
        <f t="array" ref="J719">MAX(IF((ProjectInfoTable[ProjectName]=OutputTable[[#This Row],[ProjectName]]),(ProjectInfoTable[ProjectName]=OutputTable[[#This Row],[ProjectName]])*ProjectInfoTable[NumberOfReplications]))</f>
        <v>50</v>
      </c>
      <c r="K719" cm="1">
        <f t="array" ref="K719">IFERROR(AVERAGE(IF((OutputTable[GroupByKey]=OutputTable[[#This Row],[GroupByKey]]),(OutputTable[GroupByKey]=OutputTable[[#This Row],[GroupByKey]])*OutputTable[RecordedValue])),0)</f>
        <v>1938.7515507466894</v>
      </c>
      <c r="L719" cm="1">
        <f t="array" ref="L719">IFERROR(_xlfn.STDEV.S(IF((OutputTable[GroupByKey]=OutputTable[[#This Row],[GroupByKey]]),(OutputTable[GroupByKey]=OutputTable[[#This Row],[GroupByKey]])*OutputTable[RecordedValue])),0)</f>
        <v>534.03396241838232</v>
      </c>
      <c r="M719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719" cm="1">
        <f t="array" ref="O719">MIN(IF((OutputTable[GroupByKey]=OutputTable[[#This Row],[GroupByKey]]),(OutputTable[GroupByKey]=OutputTable[[#This Row],[GroupByKey]])*OutputTable[RecordedValue]))</f>
        <v>1234.7567994731401</v>
      </c>
      <c r="P719" cm="1">
        <f t="array" ref="P719">MAX(IF((OutputTable[GroupByKey]=OutputTable[[#This Row],[GroupByKey]]),(OutputTable[GroupByKey]=OutputTable[[#This Row],[GroupByKey]])*OutputTable[RecordedValue]))</f>
        <v>3269.0858002883801</v>
      </c>
    </row>
    <row r="720" spans="1:16" x14ac:dyDescent="0.25">
      <c r="A720" t="s">
        <v>68</v>
      </c>
      <c r="B720" t="s">
        <v>131</v>
      </c>
      <c r="C720">
        <v>43</v>
      </c>
      <c r="D720" t="s">
        <v>112</v>
      </c>
      <c r="E720" t="s">
        <v>105</v>
      </c>
      <c r="F720" t="s">
        <v>80</v>
      </c>
      <c r="G720">
        <v>2363</v>
      </c>
      <c r="H720">
        <v>0</v>
      </c>
      <c r="I720" t="str">
        <f>OutputTable[[#This Row],[ProjectName]]&amp;OutputTable[[#This Row],[Name]]&amp;OutputTable[[#This Row],[Type]]&amp;OutputTable[[#This Row],[Source]]</f>
        <v>PacientesProcess 2 Number InNumber InProcess</v>
      </c>
      <c r="J720" cm="1">
        <f t="array" ref="J720">MAX(IF((ProjectInfoTable[ProjectName]=OutputTable[[#This Row],[ProjectName]]),(ProjectInfoTable[ProjectName]=OutputTable[[#This Row],[ProjectName]])*ProjectInfoTable[NumberOfReplications]))</f>
        <v>50</v>
      </c>
      <c r="K720" cm="1">
        <f t="array" ref="K720">IFERROR(AVERAGE(IF((OutputTable[GroupByKey]=OutputTable[[#This Row],[GroupByKey]]),(OutputTable[GroupByKey]=OutputTable[[#This Row],[GroupByKey]])*OutputTable[RecordedValue])),0)</f>
        <v>2404.2399999999998</v>
      </c>
      <c r="L720" cm="1">
        <f t="array" ref="L720">IFERROR(_xlfn.STDEV.S(IF((OutputTable[GroupByKey]=OutputTable[[#This Row],[GroupByKey]]),(OutputTable[GroupByKey]=OutputTable[[#This Row],[GroupByKey]])*OutputTable[RecordedValue])),0)</f>
        <v>46.574303154053879</v>
      </c>
      <c r="M720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720" cm="1">
        <f t="array" ref="O720">MIN(IF((OutputTable[GroupByKey]=OutputTable[[#This Row],[GroupByKey]]),(OutputTable[GroupByKey]=OutputTable[[#This Row],[GroupByKey]])*OutputTable[RecordedValue]))</f>
        <v>2306</v>
      </c>
      <c r="P720" cm="1">
        <f t="array" ref="P720">MAX(IF((OutputTable[GroupByKey]=OutputTable[[#This Row],[GroupByKey]]),(OutputTable[GroupByKey]=OutputTable[[#This Row],[GroupByKey]])*OutputTable[RecordedValue]))</f>
        <v>2518</v>
      </c>
    </row>
    <row r="721" spans="1:16" x14ac:dyDescent="0.25">
      <c r="A721" t="s">
        <v>68</v>
      </c>
      <c r="B721" t="s">
        <v>131</v>
      </c>
      <c r="C721">
        <v>43</v>
      </c>
      <c r="D721" t="s">
        <v>113</v>
      </c>
      <c r="E721" t="s">
        <v>107</v>
      </c>
      <c r="F721" t="s">
        <v>80</v>
      </c>
      <c r="G721">
        <v>2363</v>
      </c>
      <c r="H721">
        <v>0</v>
      </c>
      <c r="I721" t="str">
        <f>OutputTable[[#This Row],[ProjectName]]&amp;OutputTable[[#This Row],[Name]]&amp;OutputTable[[#This Row],[Type]]&amp;OutputTable[[#This Row],[Source]]</f>
        <v>PacientesProcess 2 Number OutNumber OutProcess</v>
      </c>
      <c r="J721" cm="1">
        <f t="array" ref="J721">MAX(IF((ProjectInfoTable[ProjectName]=OutputTable[[#This Row],[ProjectName]]),(ProjectInfoTable[ProjectName]=OutputTable[[#This Row],[ProjectName]])*ProjectInfoTable[NumberOfReplications]))</f>
        <v>50</v>
      </c>
      <c r="K721" cm="1">
        <f t="array" ref="K721">IFERROR(AVERAGE(IF((OutputTable[GroupByKey]=OutputTable[[#This Row],[GroupByKey]]),(OutputTable[GroupByKey]=OutputTable[[#This Row],[GroupByKey]])*OutputTable[RecordedValue])),0)</f>
        <v>2400.2800000000002</v>
      </c>
      <c r="L721" cm="1">
        <f t="array" ref="L721">IFERROR(_xlfn.STDEV.S(IF((OutputTable[GroupByKey]=OutputTable[[#This Row],[GroupByKey]]),(OutputTable[GroupByKey]=OutputTable[[#This Row],[GroupByKey]])*OutputTable[RecordedValue])),0)</f>
        <v>46.409024456676619</v>
      </c>
      <c r="M721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21" cm="1">
        <f t="array" ref="O721">MIN(IF((OutputTable[GroupByKey]=OutputTable[[#This Row],[GroupByKey]]),(OutputTable[GroupByKey]=OutputTable[[#This Row],[GroupByKey]])*OutputTable[RecordedValue]))</f>
        <v>2305</v>
      </c>
      <c r="P721" cm="1">
        <f t="array" ref="P721">MAX(IF((OutputTable[GroupByKey]=OutputTable[[#This Row],[GroupByKey]]),(OutputTable[GroupByKey]=OutputTable[[#This Row],[GroupByKey]])*OutputTable[RecordedValue]))</f>
        <v>2504</v>
      </c>
    </row>
    <row r="722" spans="1:16" x14ac:dyDescent="0.25">
      <c r="A722" t="s">
        <v>68</v>
      </c>
      <c r="B722" t="s">
        <v>131</v>
      </c>
      <c r="C722">
        <v>43</v>
      </c>
      <c r="D722" t="s">
        <v>114</v>
      </c>
      <c r="E722" t="s">
        <v>109</v>
      </c>
      <c r="F722" t="s">
        <v>80</v>
      </c>
      <c r="G722">
        <v>334.74570057600403</v>
      </c>
      <c r="H722">
        <v>0</v>
      </c>
      <c r="I722" t="str">
        <f>OutputTable[[#This Row],[ProjectName]]&amp;OutputTable[[#This Row],[Name]]&amp;OutputTable[[#This Row],[Type]]&amp;OutputTable[[#This Row],[Source]]</f>
        <v>PacientesRegistro Accum VA TimeAccum VA TimeProcess</v>
      </c>
      <c r="J722" cm="1">
        <f t="array" ref="J722">MAX(IF((ProjectInfoTable[ProjectName]=OutputTable[[#This Row],[ProjectName]]),(ProjectInfoTable[ProjectName]=OutputTable[[#This Row],[ProjectName]])*ProjectInfoTable[NumberOfReplications]))</f>
        <v>50</v>
      </c>
      <c r="K722" cm="1">
        <f t="array" ref="K722">IFERROR(AVERAGE(IF((OutputTable[GroupByKey]=OutputTable[[#This Row],[GroupByKey]]),(OutputTable[GroupByKey]=OutputTable[[#This Row],[GroupByKey]])*OutputTable[RecordedValue])),0)</f>
        <v>339.53547737062786</v>
      </c>
      <c r="L722" cm="1">
        <f t="array" ref="L722">IFERROR(_xlfn.STDEV.S(IF((OutputTable[GroupByKey]=OutputTable[[#This Row],[GroupByKey]]),(OutputTable[GroupByKey]=OutputTable[[#This Row],[GroupByKey]])*OutputTable[RecordedValue])),0)</f>
        <v>6.9723666109353193</v>
      </c>
      <c r="M722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722" cm="1">
        <f t="array" ref="O722">MIN(IF((OutputTable[GroupByKey]=OutputTable[[#This Row],[GroupByKey]]),(OutputTable[GroupByKey]=OutputTable[[#This Row],[GroupByKey]])*OutputTable[RecordedValue]))</f>
        <v>325.606879158418</v>
      </c>
      <c r="P722" cm="1">
        <f t="array" ref="P722">MAX(IF((OutputTable[GroupByKey]=OutputTable[[#This Row],[GroupByKey]]),(OutputTable[GroupByKey]=OutputTable[[#This Row],[GroupByKey]])*OutputTable[RecordedValue]))</f>
        <v>357.77609013379703</v>
      </c>
    </row>
    <row r="723" spans="1:16" x14ac:dyDescent="0.25">
      <c r="A723" t="s">
        <v>68</v>
      </c>
      <c r="B723" t="s">
        <v>131</v>
      </c>
      <c r="C723">
        <v>43</v>
      </c>
      <c r="D723" t="s">
        <v>115</v>
      </c>
      <c r="E723" t="s">
        <v>111</v>
      </c>
      <c r="F723" t="s">
        <v>80</v>
      </c>
      <c r="G723">
        <v>140.51812693456699</v>
      </c>
      <c r="H723">
        <v>0</v>
      </c>
      <c r="I723" t="str">
        <f>OutputTable[[#This Row],[ProjectName]]&amp;OutputTable[[#This Row],[Name]]&amp;OutputTable[[#This Row],[Type]]&amp;OutputTable[[#This Row],[Source]]</f>
        <v>PacientesRegistro Accum Wait TimeAccum Wait TimeProcess</v>
      </c>
      <c r="J723" cm="1">
        <f t="array" ref="J723">MAX(IF((ProjectInfoTable[ProjectName]=OutputTable[[#This Row],[ProjectName]]),(ProjectInfoTable[ProjectName]=OutputTable[[#This Row],[ProjectName]])*ProjectInfoTable[NumberOfReplications]))</f>
        <v>50</v>
      </c>
      <c r="K723" cm="1">
        <f t="array" ref="K723">IFERROR(AVERAGE(IF((OutputTable[GroupByKey]=OutputTable[[#This Row],[GroupByKey]]),(OutputTable[GroupByKey]=OutputTable[[#This Row],[GroupByKey]])*OutputTable[RecordedValue])),0)</f>
        <v>154.15303898127775</v>
      </c>
      <c r="L723" cm="1">
        <f t="array" ref="L723">IFERROR(_xlfn.STDEV.S(IF((OutputTable[GroupByKey]=OutputTable[[#This Row],[GroupByKey]]),(OutputTable[GroupByKey]=OutputTable[[#This Row],[GroupByKey]])*OutputTable[RecordedValue])),0)</f>
        <v>12.141439184615397</v>
      </c>
      <c r="M723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723" cm="1">
        <f t="array" ref="O723">MIN(IF((OutputTable[GroupByKey]=OutputTable[[#This Row],[GroupByKey]]),(OutputTable[GroupByKey]=OutputTable[[#This Row],[GroupByKey]])*OutputTable[RecordedValue]))</f>
        <v>123.901613974094</v>
      </c>
      <c r="P723" cm="1">
        <f t="array" ref="P723">MAX(IF((OutputTable[GroupByKey]=OutputTable[[#This Row],[GroupByKey]]),(OutputTable[GroupByKey]=OutputTable[[#This Row],[GroupByKey]])*OutputTable[RecordedValue]))</f>
        <v>178.441307284473</v>
      </c>
    </row>
    <row r="724" spans="1:16" x14ac:dyDescent="0.25">
      <c r="A724" t="s">
        <v>68</v>
      </c>
      <c r="B724" t="s">
        <v>131</v>
      </c>
      <c r="C724">
        <v>43</v>
      </c>
      <c r="D724" t="s">
        <v>116</v>
      </c>
      <c r="E724" t="s">
        <v>105</v>
      </c>
      <c r="F724" t="s">
        <v>80</v>
      </c>
      <c r="G724">
        <v>2226</v>
      </c>
      <c r="H724">
        <v>0</v>
      </c>
      <c r="I724" t="str">
        <f>OutputTable[[#This Row],[ProjectName]]&amp;OutputTable[[#This Row],[Name]]&amp;OutputTable[[#This Row],[Type]]&amp;OutputTable[[#This Row],[Source]]</f>
        <v>PacientesRegistro Number InNumber InProcess</v>
      </c>
      <c r="J724" cm="1">
        <f t="array" ref="J724">MAX(IF((ProjectInfoTable[ProjectName]=OutputTable[[#This Row],[ProjectName]]),(ProjectInfoTable[ProjectName]=OutputTable[[#This Row],[ProjectName]])*ProjectInfoTable[NumberOfReplications]))</f>
        <v>50</v>
      </c>
      <c r="K724" cm="1">
        <f t="array" ref="K724">IFERROR(AVERAGE(IF((OutputTable[GroupByKey]=OutputTable[[#This Row],[GroupByKey]]),(OutputTable[GroupByKey]=OutputTable[[#This Row],[GroupByKey]])*OutputTable[RecordedValue])),0)</f>
        <v>2263.2399999999998</v>
      </c>
      <c r="L724" cm="1">
        <f t="array" ref="L724">IFERROR(_xlfn.STDEV.S(IF((OutputTable[GroupByKey]=OutputTable[[#This Row],[GroupByKey]]),(OutputTable[GroupByKey]=OutputTable[[#This Row],[GroupByKey]])*OutputTable[RecordedValue])),0)</f>
        <v>47.331035682472766</v>
      </c>
      <c r="M724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724" cm="1">
        <f t="array" ref="O724">MIN(IF((OutputTable[GroupByKey]=OutputTable[[#This Row],[GroupByKey]]),(OutputTable[GroupByKey]=OutputTable[[#This Row],[GroupByKey]])*OutputTable[RecordedValue]))</f>
        <v>2172</v>
      </c>
      <c r="P724" cm="1">
        <f t="array" ref="P724">MAX(IF((OutputTable[GroupByKey]=OutputTable[[#This Row],[GroupByKey]]),(OutputTable[GroupByKey]=OutputTable[[#This Row],[GroupByKey]])*OutputTable[RecordedValue]))</f>
        <v>2386</v>
      </c>
    </row>
    <row r="725" spans="1:16" x14ac:dyDescent="0.25">
      <c r="A725" t="s">
        <v>68</v>
      </c>
      <c r="B725" t="s">
        <v>131</v>
      </c>
      <c r="C725">
        <v>43</v>
      </c>
      <c r="D725" t="s">
        <v>117</v>
      </c>
      <c r="E725" t="s">
        <v>107</v>
      </c>
      <c r="F725" t="s">
        <v>80</v>
      </c>
      <c r="G725">
        <v>2226</v>
      </c>
      <c r="H725">
        <v>0</v>
      </c>
      <c r="I725" t="str">
        <f>OutputTable[[#This Row],[ProjectName]]&amp;OutputTable[[#This Row],[Name]]&amp;OutputTable[[#This Row],[Type]]&amp;OutputTable[[#This Row],[Source]]</f>
        <v>PacientesRegistro Number OutNumber OutProcess</v>
      </c>
      <c r="J725" cm="1">
        <f t="array" ref="J725">MAX(IF((ProjectInfoTable[ProjectName]=OutputTable[[#This Row],[ProjectName]]),(ProjectInfoTable[ProjectName]=OutputTable[[#This Row],[ProjectName]])*ProjectInfoTable[NumberOfReplications]))</f>
        <v>50</v>
      </c>
      <c r="K725" cm="1">
        <f t="array" ref="K725">IFERROR(AVERAGE(IF((OutputTable[GroupByKey]=OutputTable[[#This Row],[GroupByKey]]),(OutputTable[GroupByKey]=OutputTable[[#This Row],[GroupByKey]])*OutputTable[RecordedValue])),0)</f>
        <v>2262.66</v>
      </c>
      <c r="L725" cm="1">
        <f t="array" ref="L725">IFERROR(_xlfn.STDEV.S(IF((OutputTable[GroupByKey]=OutputTable[[#This Row],[GroupByKey]]),(OutputTable[GroupByKey]=OutputTable[[#This Row],[GroupByKey]])*OutputTable[RecordedValue])),0)</f>
        <v>47.488176831454687</v>
      </c>
      <c r="M72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725" cm="1">
        <f t="array" ref="O725">MIN(IF((OutputTable[GroupByKey]=OutputTable[[#This Row],[GroupByKey]]),(OutputTable[GroupByKey]=OutputTable[[#This Row],[GroupByKey]])*OutputTable[RecordedValue]))</f>
        <v>2171</v>
      </c>
      <c r="P725" cm="1">
        <f t="array" ref="P725">MAX(IF((OutputTable[GroupByKey]=OutputTable[[#This Row],[GroupByKey]]),(OutputTable[GroupByKey]=OutputTable[[#This Row],[GroupByKey]])*OutputTable[RecordedValue]))</f>
        <v>2386</v>
      </c>
    </row>
    <row r="726" spans="1:16" x14ac:dyDescent="0.25">
      <c r="A726" t="s">
        <v>68</v>
      </c>
      <c r="B726" t="s">
        <v>131</v>
      </c>
      <c r="C726">
        <v>43</v>
      </c>
      <c r="D726" t="s">
        <v>118</v>
      </c>
      <c r="E726" t="s">
        <v>107</v>
      </c>
      <c r="F726" t="s">
        <v>119</v>
      </c>
      <c r="G726">
        <v>2363</v>
      </c>
      <c r="H726">
        <v>0</v>
      </c>
      <c r="I726" t="str">
        <f>OutputTable[[#This Row],[ProjectName]]&amp;OutputTable[[#This Row],[Name]]&amp;OutputTable[[#This Row],[Type]]&amp;OutputTable[[#This Row],[Source]]</f>
        <v>PacientesSystem.NumberOutNumber OutSystem</v>
      </c>
      <c r="J726" cm="1">
        <f t="array" ref="J726">MAX(IF((ProjectInfoTable[ProjectName]=OutputTable[[#This Row],[ProjectName]]),(ProjectInfoTable[ProjectName]=OutputTable[[#This Row],[ProjectName]])*ProjectInfoTable[NumberOfReplications]))</f>
        <v>50</v>
      </c>
      <c r="K726" cm="1">
        <f t="array" ref="K726">IFERROR(AVERAGE(IF((OutputTable[GroupByKey]=OutputTable[[#This Row],[GroupByKey]]),(OutputTable[GroupByKey]=OutputTable[[#This Row],[GroupByKey]])*OutputTable[RecordedValue])),0)</f>
        <v>2400.2800000000002</v>
      </c>
      <c r="L726" cm="1">
        <f t="array" ref="L726">IFERROR(_xlfn.STDEV.S(IF((OutputTable[GroupByKey]=OutputTable[[#This Row],[GroupByKey]]),(OutputTable[GroupByKey]=OutputTable[[#This Row],[GroupByKey]])*OutputTable[RecordedValue])),0)</f>
        <v>46.409024456676619</v>
      </c>
      <c r="M726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26" cm="1">
        <f t="array" ref="O726">MIN(IF((OutputTable[GroupByKey]=OutputTable[[#This Row],[GroupByKey]]),(OutputTable[GroupByKey]=OutputTable[[#This Row],[GroupByKey]])*OutputTable[RecordedValue]))</f>
        <v>2305</v>
      </c>
      <c r="P726" cm="1">
        <f t="array" ref="P726">MAX(IF((OutputTable[GroupByKey]=OutputTable[[#This Row],[GroupByKey]]),(OutputTable[GroupByKey]=OutputTable[[#This Row],[GroupByKey]])*OutputTable[RecordedValue]))</f>
        <v>2504</v>
      </c>
    </row>
    <row r="727" spans="1:16" x14ac:dyDescent="0.25">
      <c r="A727" t="s">
        <v>68</v>
      </c>
      <c r="B727" t="s">
        <v>131</v>
      </c>
      <c r="C727">
        <v>43</v>
      </c>
      <c r="D727" t="s">
        <v>120</v>
      </c>
      <c r="E727" t="s">
        <v>121</v>
      </c>
      <c r="F727" t="s">
        <v>99</v>
      </c>
      <c r="G727">
        <v>2363</v>
      </c>
      <c r="H727">
        <v>0</v>
      </c>
      <c r="I727" t="str">
        <f>OutputTable[[#This Row],[ProjectName]]&amp;OutputTable[[#This Row],[Name]]&amp;OutputTable[[#This Row],[Type]]&amp;OutputTable[[#This Row],[Source]]</f>
        <v>PacientesrCamas.NumberSeizedTotal Number SeizedResource</v>
      </c>
      <c r="J727" cm="1">
        <f t="array" ref="J727">MAX(IF((ProjectInfoTable[ProjectName]=OutputTable[[#This Row],[ProjectName]]),(ProjectInfoTable[ProjectName]=OutputTable[[#This Row],[ProjectName]])*ProjectInfoTable[NumberOfReplications]))</f>
        <v>50</v>
      </c>
      <c r="K727" cm="1">
        <f t="array" ref="K727">IFERROR(AVERAGE(IF((OutputTable[GroupByKey]=OutputTable[[#This Row],[GroupByKey]]),(OutputTable[GroupByKey]=OutputTable[[#This Row],[GroupByKey]])*OutputTable[RecordedValue])),0)</f>
        <v>2401.9</v>
      </c>
      <c r="L727" cm="1">
        <f t="array" ref="L727">IFERROR(_xlfn.STDEV.S(IF((OutputTable[GroupByKey]=OutputTable[[#This Row],[GroupByKey]]),(OutputTable[GroupByKey]=OutputTable[[#This Row],[GroupByKey]])*OutputTable[RecordedValue])),0)</f>
        <v>46.417031532903209</v>
      </c>
      <c r="M727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27" cm="1">
        <f t="array" ref="O727">MIN(IF((OutputTable[GroupByKey]=OutputTable[[#This Row],[GroupByKey]]),(OutputTable[GroupByKey]=OutputTable[[#This Row],[GroupByKey]])*OutputTable[RecordedValue]))</f>
        <v>2306</v>
      </c>
      <c r="P727" cm="1">
        <f t="array" ref="P727">MAX(IF((OutputTable[GroupByKey]=OutputTable[[#This Row],[GroupByKey]]),(OutputTable[GroupByKey]=OutputTable[[#This Row],[GroupByKey]])*OutputTable[RecordedValue]))</f>
        <v>2506</v>
      </c>
    </row>
    <row r="728" spans="1:16" x14ac:dyDescent="0.25">
      <c r="A728" t="s">
        <v>68</v>
      </c>
      <c r="B728" t="s">
        <v>131</v>
      </c>
      <c r="C728">
        <v>43</v>
      </c>
      <c r="D728" t="s">
        <v>122</v>
      </c>
      <c r="E728" t="s">
        <v>123</v>
      </c>
      <c r="F728" t="s">
        <v>99</v>
      </c>
      <c r="G728">
        <v>0.53735480289380899</v>
      </c>
      <c r="H728">
        <v>0</v>
      </c>
      <c r="I728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728" cm="1">
        <f t="array" ref="J728">MAX(IF((ProjectInfoTable[ProjectName]=OutputTable[[#This Row],[ProjectName]]),(ProjectInfoTable[ProjectName]=OutputTable[[#This Row],[ProjectName]])*ProjectInfoTable[NumberOfReplications]))</f>
        <v>50</v>
      </c>
      <c r="K728" cm="1">
        <f t="array" ref="K728">IFERROR(AVERAGE(IF((OutputTable[GroupByKey]=OutputTable[[#This Row],[GroupByKey]]),(OutputTable[GroupByKey]=OutputTable[[#This Row],[GroupByKey]])*OutputTable[RecordedValue])),0)</f>
        <v>0.54703961359050601</v>
      </c>
      <c r="L728" cm="1">
        <f t="array" ref="L728">IFERROR(_xlfn.STDEV.S(IF((OutputTable[GroupByKey]=OutputTable[[#This Row],[GroupByKey]]),(OutputTable[GroupByKey]=OutputTable[[#This Row],[GroupByKey]])*OutputTable[RecordedValue])),0)</f>
        <v>1.0221170008030479E-2</v>
      </c>
      <c r="M728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728" cm="1">
        <f t="array" ref="O728">MIN(IF((OutputTable[GroupByKey]=OutputTable[[#This Row],[GroupByKey]]),(OutputTable[GroupByKey]=OutputTable[[#This Row],[GroupByKey]])*OutputTable[RecordedValue]))</f>
        <v>0.52470641844357901</v>
      </c>
      <c r="P728" cm="1">
        <f t="array" ref="P728">MAX(IF((OutputTable[GroupByKey]=OutputTable[[#This Row],[GroupByKey]]),(OutputTable[GroupByKey]=OutputTable[[#This Row],[GroupByKey]])*OutputTable[RecordedValue]))</f>
        <v>0.57005812966092295</v>
      </c>
    </row>
    <row r="729" spans="1:16" x14ac:dyDescent="0.25">
      <c r="A729" t="s">
        <v>68</v>
      </c>
      <c r="B729" t="s">
        <v>131</v>
      </c>
      <c r="C729">
        <v>43</v>
      </c>
      <c r="D729" t="s">
        <v>124</v>
      </c>
      <c r="E729" t="s">
        <v>121</v>
      </c>
      <c r="F729" t="s">
        <v>99</v>
      </c>
      <c r="G729">
        <v>2363</v>
      </c>
      <c r="H729">
        <v>0</v>
      </c>
      <c r="I729" t="str">
        <f>OutputTable[[#This Row],[ProjectName]]&amp;OutputTable[[#This Row],[Name]]&amp;OutputTable[[#This Row],[Type]]&amp;OutputTable[[#This Row],[Source]]</f>
        <v>PacientesrMedico.NumberSeizedTotal Number SeizedResource</v>
      </c>
      <c r="J729" cm="1">
        <f t="array" ref="J729">MAX(IF((ProjectInfoTable[ProjectName]=OutputTable[[#This Row],[ProjectName]]),(ProjectInfoTable[ProjectName]=OutputTable[[#This Row],[ProjectName]])*ProjectInfoTable[NumberOfReplications]))</f>
        <v>50</v>
      </c>
      <c r="K729" cm="1">
        <f t="array" ref="K729">IFERROR(AVERAGE(IF((OutputTable[GroupByKey]=OutputTable[[#This Row],[GroupByKey]]),(OutputTable[GroupByKey]=OutputTable[[#This Row],[GroupByKey]])*OutputTable[RecordedValue])),0)</f>
        <v>2401.9</v>
      </c>
      <c r="L729" cm="1">
        <f t="array" ref="L729">IFERROR(_xlfn.STDEV.S(IF((OutputTable[GroupByKey]=OutputTable[[#This Row],[GroupByKey]]),(OutputTable[GroupByKey]=OutputTable[[#This Row],[GroupByKey]])*OutputTable[RecordedValue])),0)</f>
        <v>46.417031532903209</v>
      </c>
      <c r="M729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29" cm="1">
        <f t="array" ref="O729">MIN(IF((OutputTable[GroupByKey]=OutputTable[[#This Row],[GroupByKey]]),(OutputTable[GroupByKey]=OutputTable[[#This Row],[GroupByKey]])*OutputTable[RecordedValue]))</f>
        <v>2306</v>
      </c>
      <c r="P729" cm="1">
        <f t="array" ref="P729">MAX(IF((OutputTable[GroupByKey]=OutputTable[[#This Row],[GroupByKey]]),(OutputTable[GroupByKey]=OutputTable[[#This Row],[GroupByKey]])*OutputTable[RecordedValue]))</f>
        <v>2506</v>
      </c>
    </row>
    <row r="730" spans="1:16" x14ac:dyDescent="0.25">
      <c r="A730" t="s">
        <v>68</v>
      </c>
      <c r="B730" t="s">
        <v>131</v>
      </c>
      <c r="C730">
        <v>43</v>
      </c>
      <c r="D730" t="s">
        <v>125</v>
      </c>
      <c r="E730" t="s">
        <v>123</v>
      </c>
      <c r="F730" t="s">
        <v>99</v>
      </c>
      <c r="G730">
        <v>0.80603220434071399</v>
      </c>
      <c r="H730">
        <v>0</v>
      </c>
      <c r="I730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730" cm="1">
        <f t="array" ref="J730">MAX(IF((ProjectInfoTable[ProjectName]=OutputTable[[#This Row],[ProjectName]]),(ProjectInfoTable[ProjectName]=OutputTable[[#This Row],[ProjectName]])*ProjectInfoTable[NumberOfReplications]))</f>
        <v>50</v>
      </c>
      <c r="K730" cm="1">
        <f t="array" ref="K730">IFERROR(AVERAGE(IF((OutputTable[GroupByKey]=OutputTable[[#This Row],[GroupByKey]]),(OutputTable[GroupByKey]=OutputTable[[#This Row],[GroupByKey]])*OutputTable[RecordedValue])),0)</f>
        <v>0.82055942038575935</v>
      </c>
      <c r="L730" cm="1">
        <f t="array" ref="L730">IFERROR(_xlfn.STDEV.S(IF((OutputTable[GroupByKey]=OutputTable[[#This Row],[GroupByKey]]),(OutputTable[GroupByKey]=OutputTable[[#This Row],[GroupByKey]])*OutputTable[RecordedValue])),0)</f>
        <v>1.5331755012045719E-2</v>
      </c>
      <c r="M730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730" cm="1">
        <f t="array" ref="O730">MIN(IF((OutputTable[GroupByKey]=OutputTable[[#This Row],[GroupByKey]]),(OutputTable[GroupByKey]=OutputTable[[#This Row],[GroupByKey]])*OutputTable[RecordedValue]))</f>
        <v>0.78705962766536897</v>
      </c>
      <c r="P730" cm="1">
        <f t="array" ref="P730">MAX(IF((OutputTable[GroupByKey]=OutputTable[[#This Row],[GroupByKey]]),(OutputTable[GroupByKey]=OutputTable[[#This Row],[GroupByKey]])*OutputTable[RecordedValue]))</f>
        <v>0.85508719449138504</v>
      </c>
    </row>
    <row r="731" spans="1:16" x14ac:dyDescent="0.25">
      <c r="A731" t="s">
        <v>68</v>
      </c>
      <c r="B731" t="s">
        <v>131</v>
      </c>
      <c r="C731">
        <v>43</v>
      </c>
      <c r="D731" t="s">
        <v>126</v>
      </c>
      <c r="E731" t="s">
        <v>121</v>
      </c>
      <c r="F731" t="s">
        <v>99</v>
      </c>
      <c r="G731">
        <v>2226</v>
      </c>
      <c r="H731">
        <v>0</v>
      </c>
      <c r="I731" t="str">
        <f>OutputTable[[#This Row],[ProjectName]]&amp;OutputTable[[#This Row],[Name]]&amp;OutputTable[[#This Row],[Type]]&amp;OutputTable[[#This Row],[Source]]</f>
        <v>PacientesrRegistradora.NumberSeizedTotal Number SeizedResource</v>
      </c>
      <c r="J731" cm="1">
        <f t="array" ref="J731">MAX(IF((ProjectInfoTable[ProjectName]=OutputTable[[#This Row],[ProjectName]]),(ProjectInfoTable[ProjectName]=OutputTable[[#This Row],[ProjectName]])*ProjectInfoTable[NumberOfReplications]))</f>
        <v>50</v>
      </c>
      <c r="K731" cm="1">
        <f t="array" ref="K731">IFERROR(AVERAGE(IF((OutputTable[GroupByKey]=OutputTable[[#This Row],[GroupByKey]]),(OutputTable[GroupByKey]=OutputTable[[#This Row],[GroupByKey]])*OutputTable[RecordedValue])),0)</f>
        <v>2263.14</v>
      </c>
      <c r="L731" cm="1">
        <f t="array" ref="L731">IFERROR(_xlfn.STDEV.S(IF((OutputTable[GroupByKey]=OutputTable[[#This Row],[GroupByKey]]),(OutputTable[GroupByKey]=OutputTable[[#This Row],[GroupByKey]])*OutputTable[RecordedValue])),0)</f>
        <v>47.386818971575821</v>
      </c>
      <c r="M731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731" cm="1">
        <f t="array" ref="O731">MIN(IF((OutputTable[GroupByKey]=OutputTable[[#This Row],[GroupByKey]]),(OutputTable[GroupByKey]=OutputTable[[#This Row],[GroupByKey]])*OutputTable[RecordedValue]))</f>
        <v>2172</v>
      </c>
      <c r="P731" cm="1">
        <f t="array" ref="P731">MAX(IF((OutputTable[GroupByKey]=OutputTable[[#This Row],[GroupByKey]]),(OutputTable[GroupByKey]=OutputTable[[#This Row],[GroupByKey]])*OutputTable[RecordedValue]))</f>
        <v>2386</v>
      </c>
    </row>
    <row r="732" spans="1:16" x14ac:dyDescent="0.25">
      <c r="A732" t="s">
        <v>68</v>
      </c>
      <c r="B732" t="s">
        <v>131</v>
      </c>
      <c r="C732">
        <v>43</v>
      </c>
      <c r="D732" t="s">
        <v>127</v>
      </c>
      <c r="E732" t="s">
        <v>123</v>
      </c>
      <c r="F732" t="s">
        <v>99</v>
      </c>
      <c r="G732">
        <v>0.46492458413333898</v>
      </c>
      <c r="H732">
        <v>0</v>
      </c>
      <c r="I732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732" cm="1">
        <f t="array" ref="J732">MAX(IF((ProjectInfoTable[ProjectName]=OutputTable[[#This Row],[ProjectName]]),(ProjectInfoTable[ProjectName]=OutputTable[[#This Row],[ProjectName]])*ProjectInfoTable[NumberOfReplications]))</f>
        <v>50</v>
      </c>
      <c r="K732" cm="1">
        <f t="array" ref="K732">IFERROR(AVERAGE(IF((OutputTable[GroupByKey]=OutputTable[[#This Row],[GroupByKey]]),(OutputTable[GroupByKey]=OutputTable[[#This Row],[GroupByKey]])*OutputTable[RecordedValue])),0)</f>
        <v>0.47162762933545666</v>
      </c>
      <c r="L732" cm="1">
        <f t="array" ref="L732">IFERROR(_xlfn.STDEV.S(IF((OutputTable[GroupByKey]=OutputTable[[#This Row],[GroupByKey]]),(OutputTable[GroupByKey]=OutputTable[[#This Row],[GroupByKey]])*OutputTable[RecordedValue])),0)</f>
        <v>9.6615227076777797E-3</v>
      </c>
      <c r="M732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732" cm="1">
        <f t="array" ref="O732">MIN(IF((OutputTable[GroupByKey]=OutputTable[[#This Row],[GroupByKey]]),(OutputTable[GroupByKey]=OutputTable[[#This Row],[GroupByKey]])*OutputTable[RecordedValue]))</f>
        <v>0.452397944183905</v>
      </c>
      <c r="P732" cm="1">
        <f t="array" ref="P732">MAX(IF((OutputTable[GroupByKey]=OutputTable[[#This Row],[GroupByKey]]),(OutputTable[GroupByKey]=OutputTable[[#This Row],[GroupByKey]])*OutputTable[RecordedValue]))</f>
        <v>0.49691123629694001</v>
      </c>
    </row>
    <row r="733" spans="1:16" x14ac:dyDescent="0.25">
      <c r="A733" t="s">
        <v>68</v>
      </c>
      <c r="B733" t="s">
        <v>131</v>
      </c>
      <c r="C733">
        <v>44</v>
      </c>
      <c r="D733" t="s">
        <v>104</v>
      </c>
      <c r="E733" t="s">
        <v>105</v>
      </c>
      <c r="F733" t="s">
        <v>72</v>
      </c>
      <c r="G733">
        <v>2346</v>
      </c>
      <c r="H733">
        <v>0</v>
      </c>
      <c r="I733" t="str">
        <f>OutputTable[[#This Row],[ProjectName]]&amp;OutputTable[[#This Row],[Name]]&amp;OutputTable[[#This Row],[Type]]&amp;OutputTable[[#This Row],[Source]]</f>
        <v>PacientesEntity 1.NumberInNumber InEntity</v>
      </c>
      <c r="J733" cm="1">
        <f t="array" ref="J733">MAX(IF((ProjectInfoTable[ProjectName]=OutputTable[[#This Row],[ProjectName]]),(ProjectInfoTable[ProjectName]=OutputTable[[#This Row],[ProjectName]])*ProjectInfoTable[NumberOfReplications]))</f>
        <v>50</v>
      </c>
      <c r="K733" cm="1">
        <f t="array" ref="K733">IFERROR(AVERAGE(IF((OutputTable[GroupByKey]=OutputTable[[#This Row],[GroupByKey]]),(OutputTable[GroupByKey]=OutputTable[[#This Row],[GroupByKey]])*OutputTable[RecordedValue])),0)</f>
        <v>2404.8200000000002</v>
      </c>
      <c r="L733" cm="1">
        <f t="array" ref="L733">IFERROR(_xlfn.STDEV.S(IF((OutputTable[GroupByKey]=OutputTable[[#This Row],[GroupByKey]]),(OutputTable[GroupByKey]=OutputTable[[#This Row],[GroupByKey]])*OutputTable[RecordedValue])),0)</f>
        <v>46.42953405595474</v>
      </c>
      <c r="M733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733" cm="1">
        <f t="array" ref="O733">MIN(IF((OutputTable[GroupByKey]=OutputTable[[#This Row],[GroupByKey]]),(OutputTable[GroupByKey]=OutputTable[[#This Row],[GroupByKey]])*OutputTable[RecordedValue]))</f>
        <v>2307</v>
      </c>
      <c r="P733" cm="1">
        <f t="array" ref="P733">MAX(IF((OutputTable[GroupByKey]=OutputTable[[#This Row],[GroupByKey]]),(OutputTable[GroupByKey]=OutputTable[[#This Row],[GroupByKey]])*OutputTable[RecordedValue]))</f>
        <v>2518</v>
      </c>
    </row>
    <row r="734" spans="1:16" x14ac:dyDescent="0.25">
      <c r="A734" t="s">
        <v>68</v>
      </c>
      <c r="B734" t="s">
        <v>131</v>
      </c>
      <c r="C734">
        <v>44</v>
      </c>
      <c r="D734" t="s">
        <v>106</v>
      </c>
      <c r="E734" t="s">
        <v>107</v>
      </c>
      <c r="F734" t="s">
        <v>72</v>
      </c>
      <c r="G734">
        <v>2339</v>
      </c>
      <c r="H734">
        <v>0</v>
      </c>
      <c r="I734" t="str">
        <f>OutputTable[[#This Row],[ProjectName]]&amp;OutputTable[[#This Row],[Name]]&amp;OutputTable[[#This Row],[Type]]&amp;OutputTable[[#This Row],[Source]]</f>
        <v>PacientesEntity 1.NumberOutNumber OutEntity</v>
      </c>
      <c r="J734" cm="1">
        <f t="array" ref="J734">MAX(IF((ProjectInfoTable[ProjectName]=OutputTable[[#This Row],[ProjectName]]),(ProjectInfoTable[ProjectName]=OutputTable[[#This Row],[ProjectName]])*ProjectInfoTable[NumberOfReplications]))</f>
        <v>50</v>
      </c>
      <c r="K734" cm="1">
        <f t="array" ref="K734">IFERROR(AVERAGE(IF((OutputTable[GroupByKey]=OutputTable[[#This Row],[GroupByKey]]),(OutputTable[GroupByKey]=OutputTable[[#This Row],[GroupByKey]])*OutputTable[RecordedValue])),0)</f>
        <v>2400.2800000000002</v>
      </c>
      <c r="L734" cm="1">
        <f t="array" ref="L734">IFERROR(_xlfn.STDEV.S(IF((OutputTable[GroupByKey]=OutputTable[[#This Row],[GroupByKey]]),(OutputTable[GroupByKey]=OutputTable[[#This Row],[GroupByKey]])*OutputTable[RecordedValue])),0)</f>
        <v>46.409024456676619</v>
      </c>
      <c r="M734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34" cm="1">
        <f t="array" ref="O734">MIN(IF((OutputTable[GroupByKey]=OutputTable[[#This Row],[GroupByKey]]),(OutputTable[GroupByKey]=OutputTable[[#This Row],[GroupByKey]])*OutputTable[RecordedValue]))</f>
        <v>2305</v>
      </c>
      <c r="P734" cm="1">
        <f t="array" ref="P734">MAX(IF((OutputTable[GroupByKey]=OutputTable[[#This Row],[GroupByKey]]),(OutputTable[GroupByKey]=OutputTable[[#This Row],[GroupByKey]])*OutputTable[RecordedValue]))</f>
        <v>2504</v>
      </c>
    </row>
    <row r="735" spans="1:16" x14ac:dyDescent="0.25">
      <c r="A735" t="s">
        <v>68</v>
      </c>
      <c r="B735" t="s">
        <v>131</v>
      </c>
      <c r="C735">
        <v>44</v>
      </c>
      <c r="D735" t="s">
        <v>108</v>
      </c>
      <c r="E735" t="s">
        <v>109</v>
      </c>
      <c r="F735" t="s">
        <v>80</v>
      </c>
      <c r="G735">
        <v>1152.2324529984401</v>
      </c>
      <c r="H735">
        <v>0</v>
      </c>
      <c r="I735" t="str">
        <f>OutputTable[[#This Row],[ProjectName]]&amp;OutputTable[[#This Row],[Name]]&amp;OutputTable[[#This Row],[Type]]&amp;OutputTable[[#This Row],[Source]]</f>
        <v>PacientesProcess 2 Accum VA TimeAccum VA TimeProcess</v>
      </c>
      <c r="J735" cm="1">
        <f t="array" ref="J735">MAX(IF((ProjectInfoTable[ProjectName]=OutputTable[[#This Row],[ProjectName]]),(ProjectInfoTable[ProjectName]=OutputTable[[#This Row],[ProjectName]])*ProjectInfoTable[NumberOfReplications]))</f>
        <v>50</v>
      </c>
      <c r="K735" cm="1">
        <f t="array" ref="K735">IFERROR(AVERAGE(IF((OutputTable[GroupByKey]=OutputTable[[#This Row],[GroupByKey]]),(OutputTable[GroupByKey]=OutputTable[[#This Row],[GroupByKey]])*OutputTable[RecordedValue])),0)</f>
        <v>1181.1234936767919</v>
      </c>
      <c r="L735" cm="1">
        <f t="array" ref="L735">IFERROR(_xlfn.STDEV.S(IF((OutputTable[GroupByKey]=OutputTable[[#This Row],[GroupByKey]]),(OutputTable[GroupByKey]=OutputTable[[#This Row],[GroupByKey]])*OutputTable[RecordedValue])),0)</f>
        <v>22.169313666927575</v>
      </c>
      <c r="M73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735" cm="1">
        <f t="array" ref="O735">MIN(IF((OutputTable[GroupByKey]=OutputTable[[#This Row],[GroupByKey]]),(OutputTable[GroupByKey]=OutputTable[[#This Row],[GroupByKey]])*OutputTable[RecordedValue]))</f>
        <v>1133.24622318414</v>
      </c>
      <c r="P735" cm="1">
        <f t="array" ref="P735">MAX(IF((OutputTable[GroupByKey]=OutputTable[[#This Row],[GroupByKey]]),(OutputTable[GroupByKey]=OutputTable[[#This Row],[GroupByKey]])*OutputTable[RecordedValue]))</f>
        <v>1230.9493287309799</v>
      </c>
    </row>
    <row r="736" spans="1:16" x14ac:dyDescent="0.25">
      <c r="A736" t="s">
        <v>68</v>
      </c>
      <c r="B736" t="s">
        <v>131</v>
      </c>
      <c r="C736">
        <v>44</v>
      </c>
      <c r="D736" t="s">
        <v>110</v>
      </c>
      <c r="E736" t="s">
        <v>111</v>
      </c>
      <c r="F736" t="s">
        <v>80</v>
      </c>
      <c r="G736">
        <v>1343.01779105014</v>
      </c>
      <c r="H736">
        <v>0</v>
      </c>
      <c r="I736" t="str">
        <f>OutputTable[[#This Row],[ProjectName]]&amp;OutputTable[[#This Row],[Name]]&amp;OutputTable[[#This Row],[Type]]&amp;OutputTable[[#This Row],[Source]]</f>
        <v>PacientesProcess 2 Accum Wait TimeAccum Wait TimeProcess</v>
      </c>
      <c r="J736" cm="1">
        <f t="array" ref="J736">MAX(IF((ProjectInfoTable[ProjectName]=OutputTable[[#This Row],[ProjectName]]),(ProjectInfoTable[ProjectName]=OutputTable[[#This Row],[ProjectName]])*ProjectInfoTable[NumberOfReplications]))</f>
        <v>50</v>
      </c>
      <c r="K736" cm="1">
        <f t="array" ref="K736">IFERROR(AVERAGE(IF((OutputTable[GroupByKey]=OutputTable[[#This Row],[GroupByKey]]),(OutputTable[GroupByKey]=OutputTable[[#This Row],[GroupByKey]])*OutputTable[RecordedValue])),0)</f>
        <v>1938.7515507466894</v>
      </c>
      <c r="L736" cm="1">
        <f t="array" ref="L736">IFERROR(_xlfn.STDEV.S(IF((OutputTable[GroupByKey]=OutputTable[[#This Row],[GroupByKey]]),(OutputTable[GroupByKey]=OutputTable[[#This Row],[GroupByKey]])*OutputTable[RecordedValue])),0)</f>
        <v>534.03396241838232</v>
      </c>
      <c r="M736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736" cm="1">
        <f t="array" ref="O736">MIN(IF((OutputTable[GroupByKey]=OutputTable[[#This Row],[GroupByKey]]),(OutputTable[GroupByKey]=OutputTable[[#This Row],[GroupByKey]])*OutputTable[RecordedValue]))</f>
        <v>1234.7567994731401</v>
      </c>
      <c r="P736" cm="1">
        <f t="array" ref="P736">MAX(IF((OutputTable[GroupByKey]=OutputTable[[#This Row],[GroupByKey]]),(OutputTable[GroupByKey]=OutputTable[[#This Row],[GroupByKey]])*OutputTable[RecordedValue]))</f>
        <v>3269.0858002883801</v>
      </c>
    </row>
    <row r="737" spans="1:16" x14ac:dyDescent="0.25">
      <c r="A737" t="s">
        <v>68</v>
      </c>
      <c r="B737" t="s">
        <v>131</v>
      </c>
      <c r="C737">
        <v>44</v>
      </c>
      <c r="D737" t="s">
        <v>112</v>
      </c>
      <c r="E737" t="s">
        <v>105</v>
      </c>
      <c r="F737" t="s">
        <v>80</v>
      </c>
      <c r="G737">
        <v>2345</v>
      </c>
      <c r="H737">
        <v>0</v>
      </c>
      <c r="I737" t="str">
        <f>OutputTable[[#This Row],[ProjectName]]&amp;OutputTable[[#This Row],[Name]]&amp;OutputTable[[#This Row],[Type]]&amp;OutputTable[[#This Row],[Source]]</f>
        <v>PacientesProcess 2 Number InNumber InProcess</v>
      </c>
      <c r="J737" cm="1">
        <f t="array" ref="J737">MAX(IF((ProjectInfoTable[ProjectName]=OutputTable[[#This Row],[ProjectName]]),(ProjectInfoTable[ProjectName]=OutputTable[[#This Row],[ProjectName]])*ProjectInfoTable[NumberOfReplications]))</f>
        <v>50</v>
      </c>
      <c r="K737" cm="1">
        <f t="array" ref="K737">IFERROR(AVERAGE(IF((OutputTable[GroupByKey]=OutputTable[[#This Row],[GroupByKey]]),(OutputTable[GroupByKey]=OutputTable[[#This Row],[GroupByKey]])*OutputTable[RecordedValue])),0)</f>
        <v>2404.2399999999998</v>
      </c>
      <c r="L737" cm="1">
        <f t="array" ref="L737">IFERROR(_xlfn.STDEV.S(IF((OutputTable[GroupByKey]=OutputTable[[#This Row],[GroupByKey]]),(OutputTable[GroupByKey]=OutputTable[[#This Row],[GroupByKey]])*OutputTable[RecordedValue])),0)</f>
        <v>46.574303154053879</v>
      </c>
      <c r="M737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737" cm="1">
        <f t="array" ref="O737">MIN(IF((OutputTable[GroupByKey]=OutputTable[[#This Row],[GroupByKey]]),(OutputTable[GroupByKey]=OutputTable[[#This Row],[GroupByKey]])*OutputTable[RecordedValue]))</f>
        <v>2306</v>
      </c>
      <c r="P737" cm="1">
        <f t="array" ref="P737">MAX(IF((OutputTable[GroupByKey]=OutputTable[[#This Row],[GroupByKey]]),(OutputTable[GroupByKey]=OutputTable[[#This Row],[GroupByKey]])*OutputTable[RecordedValue]))</f>
        <v>2518</v>
      </c>
    </row>
    <row r="738" spans="1:16" x14ac:dyDescent="0.25">
      <c r="A738" t="s">
        <v>68</v>
      </c>
      <c r="B738" t="s">
        <v>131</v>
      </c>
      <c r="C738">
        <v>44</v>
      </c>
      <c r="D738" t="s">
        <v>113</v>
      </c>
      <c r="E738" t="s">
        <v>107</v>
      </c>
      <c r="F738" t="s">
        <v>80</v>
      </c>
      <c r="G738">
        <v>2339</v>
      </c>
      <c r="H738">
        <v>0</v>
      </c>
      <c r="I738" t="str">
        <f>OutputTable[[#This Row],[ProjectName]]&amp;OutputTable[[#This Row],[Name]]&amp;OutputTable[[#This Row],[Type]]&amp;OutputTable[[#This Row],[Source]]</f>
        <v>PacientesProcess 2 Number OutNumber OutProcess</v>
      </c>
      <c r="J738" cm="1">
        <f t="array" ref="J738">MAX(IF((ProjectInfoTable[ProjectName]=OutputTable[[#This Row],[ProjectName]]),(ProjectInfoTable[ProjectName]=OutputTable[[#This Row],[ProjectName]])*ProjectInfoTable[NumberOfReplications]))</f>
        <v>50</v>
      </c>
      <c r="K738" cm="1">
        <f t="array" ref="K738">IFERROR(AVERAGE(IF((OutputTable[GroupByKey]=OutputTable[[#This Row],[GroupByKey]]),(OutputTable[GroupByKey]=OutputTable[[#This Row],[GroupByKey]])*OutputTable[RecordedValue])),0)</f>
        <v>2400.2800000000002</v>
      </c>
      <c r="L738" cm="1">
        <f t="array" ref="L738">IFERROR(_xlfn.STDEV.S(IF((OutputTable[GroupByKey]=OutputTable[[#This Row],[GroupByKey]]),(OutputTable[GroupByKey]=OutputTable[[#This Row],[GroupByKey]])*OutputTable[RecordedValue])),0)</f>
        <v>46.409024456676619</v>
      </c>
      <c r="M738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38" cm="1">
        <f t="array" ref="O738">MIN(IF((OutputTable[GroupByKey]=OutputTable[[#This Row],[GroupByKey]]),(OutputTable[GroupByKey]=OutputTable[[#This Row],[GroupByKey]])*OutputTable[RecordedValue]))</f>
        <v>2305</v>
      </c>
      <c r="P738" cm="1">
        <f t="array" ref="P738">MAX(IF((OutputTable[GroupByKey]=OutputTable[[#This Row],[GroupByKey]]),(OutputTable[GroupByKey]=OutputTable[[#This Row],[GroupByKey]])*OutputTable[RecordedValue]))</f>
        <v>2504</v>
      </c>
    </row>
    <row r="739" spans="1:16" x14ac:dyDescent="0.25">
      <c r="A739" t="s">
        <v>68</v>
      </c>
      <c r="B739" t="s">
        <v>131</v>
      </c>
      <c r="C739">
        <v>44</v>
      </c>
      <c r="D739" t="s">
        <v>114</v>
      </c>
      <c r="E739" t="s">
        <v>109</v>
      </c>
      <c r="F739" t="s">
        <v>80</v>
      </c>
      <c r="G739">
        <v>330.52958668831002</v>
      </c>
      <c r="H739">
        <v>0</v>
      </c>
      <c r="I739" t="str">
        <f>OutputTable[[#This Row],[ProjectName]]&amp;OutputTable[[#This Row],[Name]]&amp;OutputTable[[#This Row],[Type]]&amp;OutputTable[[#This Row],[Source]]</f>
        <v>PacientesRegistro Accum VA TimeAccum VA TimeProcess</v>
      </c>
      <c r="J739" cm="1">
        <f t="array" ref="J739">MAX(IF((ProjectInfoTable[ProjectName]=OutputTable[[#This Row],[ProjectName]]),(ProjectInfoTable[ProjectName]=OutputTable[[#This Row],[ProjectName]])*ProjectInfoTable[NumberOfReplications]))</f>
        <v>50</v>
      </c>
      <c r="K739" cm="1">
        <f t="array" ref="K739">IFERROR(AVERAGE(IF((OutputTable[GroupByKey]=OutputTable[[#This Row],[GroupByKey]]),(OutputTable[GroupByKey]=OutputTable[[#This Row],[GroupByKey]])*OutputTable[RecordedValue])),0)</f>
        <v>339.53547737062786</v>
      </c>
      <c r="L739" cm="1">
        <f t="array" ref="L739">IFERROR(_xlfn.STDEV.S(IF((OutputTable[GroupByKey]=OutputTable[[#This Row],[GroupByKey]]),(OutputTable[GroupByKey]=OutputTable[[#This Row],[GroupByKey]])*OutputTable[RecordedValue])),0)</f>
        <v>6.9723666109353193</v>
      </c>
      <c r="M739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739" cm="1">
        <f t="array" ref="O739">MIN(IF((OutputTable[GroupByKey]=OutputTable[[#This Row],[GroupByKey]]),(OutputTable[GroupByKey]=OutputTable[[#This Row],[GroupByKey]])*OutputTable[RecordedValue]))</f>
        <v>325.606879158418</v>
      </c>
      <c r="P739" cm="1">
        <f t="array" ref="P739">MAX(IF((OutputTable[GroupByKey]=OutputTable[[#This Row],[GroupByKey]]),(OutputTable[GroupByKey]=OutputTable[[#This Row],[GroupByKey]])*OutputTable[RecordedValue]))</f>
        <v>357.77609013379703</v>
      </c>
    </row>
    <row r="740" spans="1:16" x14ac:dyDescent="0.25">
      <c r="A740" t="s">
        <v>68</v>
      </c>
      <c r="B740" t="s">
        <v>131</v>
      </c>
      <c r="C740">
        <v>44</v>
      </c>
      <c r="D740" t="s">
        <v>115</v>
      </c>
      <c r="E740" t="s">
        <v>111</v>
      </c>
      <c r="F740" t="s">
        <v>80</v>
      </c>
      <c r="G740">
        <v>150.328889287083</v>
      </c>
      <c r="H740">
        <v>0</v>
      </c>
      <c r="I740" t="str">
        <f>OutputTable[[#This Row],[ProjectName]]&amp;OutputTable[[#This Row],[Name]]&amp;OutputTable[[#This Row],[Type]]&amp;OutputTable[[#This Row],[Source]]</f>
        <v>PacientesRegistro Accum Wait TimeAccum Wait TimeProcess</v>
      </c>
      <c r="J740" cm="1">
        <f t="array" ref="J740">MAX(IF((ProjectInfoTable[ProjectName]=OutputTable[[#This Row],[ProjectName]]),(ProjectInfoTable[ProjectName]=OutputTable[[#This Row],[ProjectName]])*ProjectInfoTable[NumberOfReplications]))</f>
        <v>50</v>
      </c>
      <c r="K740" cm="1">
        <f t="array" ref="K740">IFERROR(AVERAGE(IF((OutputTable[GroupByKey]=OutputTable[[#This Row],[GroupByKey]]),(OutputTable[GroupByKey]=OutputTable[[#This Row],[GroupByKey]])*OutputTable[RecordedValue])),0)</f>
        <v>154.15303898127775</v>
      </c>
      <c r="L740" cm="1">
        <f t="array" ref="L740">IFERROR(_xlfn.STDEV.S(IF((OutputTable[GroupByKey]=OutputTable[[#This Row],[GroupByKey]]),(OutputTable[GroupByKey]=OutputTable[[#This Row],[GroupByKey]])*OutputTable[RecordedValue])),0)</f>
        <v>12.141439184615397</v>
      </c>
      <c r="M740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740" cm="1">
        <f t="array" ref="O740">MIN(IF((OutputTable[GroupByKey]=OutputTable[[#This Row],[GroupByKey]]),(OutputTable[GroupByKey]=OutputTable[[#This Row],[GroupByKey]])*OutputTable[RecordedValue]))</f>
        <v>123.901613974094</v>
      </c>
      <c r="P740" cm="1">
        <f t="array" ref="P740">MAX(IF((OutputTable[GroupByKey]=OutputTable[[#This Row],[GroupByKey]]),(OutputTable[GroupByKey]=OutputTable[[#This Row],[GroupByKey]])*OutputTable[RecordedValue]))</f>
        <v>178.441307284473</v>
      </c>
    </row>
    <row r="741" spans="1:16" x14ac:dyDescent="0.25">
      <c r="A741" t="s">
        <v>68</v>
      </c>
      <c r="B741" t="s">
        <v>131</v>
      </c>
      <c r="C741">
        <v>44</v>
      </c>
      <c r="D741" t="s">
        <v>116</v>
      </c>
      <c r="E741" t="s">
        <v>105</v>
      </c>
      <c r="F741" t="s">
        <v>80</v>
      </c>
      <c r="G741">
        <v>2190</v>
      </c>
      <c r="H741">
        <v>0</v>
      </c>
      <c r="I741" t="str">
        <f>OutputTable[[#This Row],[ProjectName]]&amp;OutputTable[[#This Row],[Name]]&amp;OutputTable[[#This Row],[Type]]&amp;OutputTable[[#This Row],[Source]]</f>
        <v>PacientesRegistro Number InNumber InProcess</v>
      </c>
      <c r="J741" cm="1">
        <f t="array" ref="J741">MAX(IF((ProjectInfoTable[ProjectName]=OutputTable[[#This Row],[ProjectName]]),(ProjectInfoTable[ProjectName]=OutputTable[[#This Row],[ProjectName]])*ProjectInfoTable[NumberOfReplications]))</f>
        <v>50</v>
      </c>
      <c r="K741" cm="1">
        <f t="array" ref="K741">IFERROR(AVERAGE(IF((OutputTable[GroupByKey]=OutputTable[[#This Row],[GroupByKey]]),(OutputTable[GroupByKey]=OutputTable[[#This Row],[GroupByKey]])*OutputTable[RecordedValue])),0)</f>
        <v>2263.2399999999998</v>
      </c>
      <c r="L741" cm="1">
        <f t="array" ref="L741">IFERROR(_xlfn.STDEV.S(IF((OutputTable[GroupByKey]=OutputTable[[#This Row],[GroupByKey]]),(OutputTable[GroupByKey]=OutputTable[[#This Row],[GroupByKey]])*OutputTable[RecordedValue])),0)</f>
        <v>47.331035682472766</v>
      </c>
      <c r="M741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741" cm="1">
        <f t="array" ref="O741">MIN(IF((OutputTable[GroupByKey]=OutputTable[[#This Row],[GroupByKey]]),(OutputTable[GroupByKey]=OutputTable[[#This Row],[GroupByKey]])*OutputTable[RecordedValue]))</f>
        <v>2172</v>
      </c>
      <c r="P741" cm="1">
        <f t="array" ref="P741">MAX(IF((OutputTable[GroupByKey]=OutputTable[[#This Row],[GroupByKey]]),(OutputTable[GroupByKey]=OutputTable[[#This Row],[GroupByKey]])*OutputTable[RecordedValue]))</f>
        <v>2386</v>
      </c>
    </row>
    <row r="742" spans="1:16" x14ac:dyDescent="0.25">
      <c r="A742" t="s">
        <v>68</v>
      </c>
      <c r="B742" t="s">
        <v>131</v>
      </c>
      <c r="C742">
        <v>44</v>
      </c>
      <c r="D742" t="s">
        <v>117</v>
      </c>
      <c r="E742" t="s">
        <v>107</v>
      </c>
      <c r="F742" t="s">
        <v>80</v>
      </c>
      <c r="G742">
        <v>2189</v>
      </c>
      <c r="H742">
        <v>0</v>
      </c>
      <c r="I742" t="str">
        <f>OutputTable[[#This Row],[ProjectName]]&amp;OutputTable[[#This Row],[Name]]&amp;OutputTable[[#This Row],[Type]]&amp;OutputTable[[#This Row],[Source]]</f>
        <v>PacientesRegistro Number OutNumber OutProcess</v>
      </c>
      <c r="J742" cm="1">
        <f t="array" ref="J742">MAX(IF((ProjectInfoTable[ProjectName]=OutputTable[[#This Row],[ProjectName]]),(ProjectInfoTable[ProjectName]=OutputTable[[#This Row],[ProjectName]])*ProjectInfoTable[NumberOfReplications]))</f>
        <v>50</v>
      </c>
      <c r="K742" cm="1">
        <f t="array" ref="K742">IFERROR(AVERAGE(IF((OutputTable[GroupByKey]=OutputTable[[#This Row],[GroupByKey]]),(OutputTable[GroupByKey]=OutputTable[[#This Row],[GroupByKey]])*OutputTable[RecordedValue])),0)</f>
        <v>2262.66</v>
      </c>
      <c r="L742" cm="1">
        <f t="array" ref="L742">IFERROR(_xlfn.STDEV.S(IF((OutputTable[GroupByKey]=OutputTable[[#This Row],[GroupByKey]]),(OutputTable[GroupByKey]=OutputTable[[#This Row],[GroupByKey]])*OutputTable[RecordedValue])),0)</f>
        <v>47.488176831454687</v>
      </c>
      <c r="M742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742" cm="1">
        <f t="array" ref="O742">MIN(IF((OutputTable[GroupByKey]=OutputTable[[#This Row],[GroupByKey]]),(OutputTable[GroupByKey]=OutputTable[[#This Row],[GroupByKey]])*OutputTable[RecordedValue]))</f>
        <v>2171</v>
      </c>
      <c r="P742" cm="1">
        <f t="array" ref="P742">MAX(IF((OutputTable[GroupByKey]=OutputTable[[#This Row],[GroupByKey]]),(OutputTable[GroupByKey]=OutputTable[[#This Row],[GroupByKey]])*OutputTable[RecordedValue]))</f>
        <v>2386</v>
      </c>
    </row>
    <row r="743" spans="1:16" x14ac:dyDescent="0.25">
      <c r="A743" t="s">
        <v>68</v>
      </c>
      <c r="B743" t="s">
        <v>131</v>
      </c>
      <c r="C743">
        <v>44</v>
      </c>
      <c r="D743" t="s">
        <v>118</v>
      </c>
      <c r="E743" t="s">
        <v>107</v>
      </c>
      <c r="F743" t="s">
        <v>119</v>
      </c>
      <c r="G743">
        <v>2339</v>
      </c>
      <c r="H743">
        <v>0</v>
      </c>
      <c r="I743" t="str">
        <f>OutputTable[[#This Row],[ProjectName]]&amp;OutputTable[[#This Row],[Name]]&amp;OutputTable[[#This Row],[Type]]&amp;OutputTable[[#This Row],[Source]]</f>
        <v>PacientesSystem.NumberOutNumber OutSystem</v>
      </c>
      <c r="J743" cm="1">
        <f t="array" ref="J743">MAX(IF((ProjectInfoTable[ProjectName]=OutputTable[[#This Row],[ProjectName]]),(ProjectInfoTable[ProjectName]=OutputTable[[#This Row],[ProjectName]])*ProjectInfoTable[NumberOfReplications]))</f>
        <v>50</v>
      </c>
      <c r="K743" cm="1">
        <f t="array" ref="K743">IFERROR(AVERAGE(IF((OutputTable[GroupByKey]=OutputTable[[#This Row],[GroupByKey]]),(OutputTable[GroupByKey]=OutputTable[[#This Row],[GroupByKey]])*OutputTable[RecordedValue])),0)</f>
        <v>2400.2800000000002</v>
      </c>
      <c r="L743" cm="1">
        <f t="array" ref="L743">IFERROR(_xlfn.STDEV.S(IF((OutputTable[GroupByKey]=OutputTable[[#This Row],[GroupByKey]]),(OutputTable[GroupByKey]=OutputTable[[#This Row],[GroupByKey]])*OutputTable[RecordedValue])),0)</f>
        <v>46.409024456676619</v>
      </c>
      <c r="M743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43" cm="1">
        <f t="array" ref="O743">MIN(IF((OutputTable[GroupByKey]=OutputTable[[#This Row],[GroupByKey]]),(OutputTable[GroupByKey]=OutputTable[[#This Row],[GroupByKey]])*OutputTable[RecordedValue]))</f>
        <v>2305</v>
      </c>
      <c r="P743" cm="1">
        <f t="array" ref="P743">MAX(IF((OutputTable[GroupByKey]=OutputTable[[#This Row],[GroupByKey]]),(OutputTable[GroupByKey]=OutputTable[[#This Row],[GroupByKey]])*OutputTable[RecordedValue]))</f>
        <v>2504</v>
      </c>
    </row>
    <row r="744" spans="1:16" x14ac:dyDescent="0.25">
      <c r="A744" t="s">
        <v>68</v>
      </c>
      <c r="B744" t="s">
        <v>131</v>
      </c>
      <c r="C744">
        <v>44</v>
      </c>
      <c r="D744" t="s">
        <v>120</v>
      </c>
      <c r="E744" t="s">
        <v>121</v>
      </c>
      <c r="F744" t="s">
        <v>99</v>
      </c>
      <c r="G744">
        <v>2341</v>
      </c>
      <c r="H744">
        <v>0</v>
      </c>
      <c r="I744" t="str">
        <f>OutputTable[[#This Row],[ProjectName]]&amp;OutputTable[[#This Row],[Name]]&amp;OutputTable[[#This Row],[Type]]&amp;OutputTable[[#This Row],[Source]]</f>
        <v>PacientesrCamas.NumberSeizedTotal Number SeizedResource</v>
      </c>
      <c r="J744" cm="1">
        <f t="array" ref="J744">MAX(IF((ProjectInfoTable[ProjectName]=OutputTable[[#This Row],[ProjectName]]),(ProjectInfoTable[ProjectName]=OutputTable[[#This Row],[ProjectName]])*ProjectInfoTable[NumberOfReplications]))</f>
        <v>50</v>
      </c>
      <c r="K744" cm="1">
        <f t="array" ref="K744">IFERROR(AVERAGE(IF((OutputTable[GroupByKey]=OutputTable[[#This Row],[GroupByKey]]),(OutputTable[GroupByKey]=OutputTable[[#This Row],[GroupByKey]])*OutputTable[RecordedValue])),0)</f>
        <v>2401.9</v>
      </c>
      <c r="L744" cm="1">
        <f t="array" ref="L744">IFERROR(_xlfn.STDEV.S(IF((OutputTable[GroupByKey]=OutputTable[[#This Row],[GroupByKey]]),(OutputTable[GroupByKey]=OutputTable[[#This Row],[GroupByKey]])*OutputTable[RecordedValue])),0)</f>
        <v>46.417031532903209</v>
      </c>
      <c r="M744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44" cm="1">
        <f t="array" ref="O744">MIN(IF((OutputTable[GroupByKey]=OutputTable[[#This Row],[GroupByKey]]),(OutputTable[GroupByKey]=OutputTable[[#This Row],[GroupByKey]])*OutputTable[RecordedValue]))</f>
        <v>2306</v>
      </c>
      <c r="P744" cm="1">
        <f t="array" ref="P744">MAX(IF((OutputTable[GroupByKey]=OutputTable[[#This Row],[GroupByKey]]),(OutputTable[GroupByKey]=OutputTable[[#This Row],[GroupByKey]])*OutputTable[RecordedValue]))</f>
        <v>2506</v>
      </c>
    </row>
    <row r="745" spans="1:16" x14ac:dyDescent="0.25">
      <c r="A745" t="s">
        <v>68</v>
      </c>
      <c r="B745" t="s">
        <v>131</v>
      </c>
      <c r="C745">
        <v>44</v>
      </c>
      <c r="D745" t="s">
        <v>122</v>
      </c>
      <c r="E745" t="s">
        <v>123</v>
      </c>
      <c r="F745" t="s">
        <v>99</v>
      </c>
      <c r="G745">
        <v>0.53419504857548095</v>
      </c>
      <c r="H745">
        <v>0</v>
      </c>
      <c r="I745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745" cm="1">
        <f t="array" ref="J745">MAX(IF((ProjectInfoTable[ProjectName]=OutputTable[[#This Row],[ProjectName]]),(ProjectInfoTable[ProjectName]=OutputTable[[#This Row],[ProjectName]])*ProjectInfoTable[NumberOfReplications]))</f>
        <v>50</v>
      </c>
      <c r="K745" cm="1">
        <f t="array" ref="K745">IFERROR(AVERAGE(IF((OutputTable[GroupByKey]=OutputTable[[#This Row],[GroupByKey]]),(OutputTable[GroupByKey]=OutputTable[[#This Row],[GroupByKey]])*OutputTable[RecordedValue])),0)</f>
        <v>0.54703961359050601</v>
      </c>
      <c r="L745" cm="1">
        <f t="array" ref="L745">IFERROR(_xlfn.STDEV.S(IF((OutputTable[GroupByKey]=OutputTable[[#This Row],[GroupByKey]]),(OutputTable[GroupByKey]=OutputTable[[#This Row],[GroupByKey]])*OutputTable[RecordedValue])),0)</f>
        <v>1.0221170008030479E-2</v>
      </c>
      <c r="M74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745" cm="1">
        <f t="array" ref="O745">MIN(IF((OutputTable[GroupByKey]=OutputTable[[#This Row],[GroupByKey]]),(OutputTable[GroupByKey]=OutputTable[[#This Row],[GroupByKey]])*OutputTable[RecordedValue]))</f>
        <v>0.52470641844357901</v>
      </c>
      <c r="P745" cm="1">
        <f t="array" ref="P745">MAX(IF((OutputTable[GroupByKey]=OutputTable[[#This Row],[GroupByKey]]),(OutputTable[GroupByKey]=OutputTable[[#This Row],[GroupByKey]])*OutputTable[RecordedValue]))</f>
        <v>0.57005812966092295</v>
      </c>
    </row>
    <row r="746" spans="1:16" x14ac:dyDescent="0.25">
      <c r="A746" t="s">
        <v>68</v>
      </c>
      <c r="B746" t="s">
        <v>131</v>
      </c>
      <c r="C746">
        <v>44</v>
      </c>
      <c r="D746" t="s">
        <v>124</v>
      </c>
      <c r="E746" t="s">
        <v>121</v>
      </c>
      <c r="F746" t="s">
        <v>99</v>
      </c>
      <c r="G746">
        <v>2341</v>
      </c>
      <c r="H746">
        <v>0</v>
      </c>
      <c r="I746" t="str">
        <f>OutputTable[[#This Row],[ProjectName]]&amp;OutputTable[[#This Row],[Name]]&amp;OutputTable[[#This Row],[Type]]&amp;OutputTable[[#This Row],[Source]]</f>
        <v>PacientesrMedico.NumberSeizedTotal Number SeizedResource</v>
      </c>
      <c r="J746" cm="1">
        <f t="array" ref="J746">MAX(IF((ProjectInfoTable[ProjectName]=OutputTable[[#This Row],[ProjectName]]),(ProjectInfoTable[ProjectName]=OutputTable[[#This Row],[ProjectName]])*ProjectInfoTable[NumberOfReplications]))</f>
        <v>50</v>
      </c>
      <c r="K746" cm="1">
        <f t="array" ref="K746">IFERROR(AVERAGE(IF((OutputTable[GroupByKey]=OutputTable[[#This Row],[GroupByKey]]),(OutputTable[GroupByKey]=OutputTable[[#This Row],[GroupByKey]])*OutputTable[RecordedValue])),0)</f>
        <v>2401.9</v>
      </c>
      <c r="L746" cm="1">
        <f t="array" ref="L746">IFERROR(_xlfn.STDEV.S(IF((OutputTable[GroupByKey]=OutputTable[[#This Row],[GroupByKey]]),(OutputTable[GroupByKey]=OutputTable[[#This Row],[GroupByKey]])*OutputTable[RecordedValue])),0)</f>
        <v>46.417031532903209</v>
      </c>
      <c r="M746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46" cm="1">
        <f t="array" ref="O746">MIN(IF((OutputTable[GroupByKey]=OutputTable[[#This Row],[GroupByKey]]),(OutputTable[GroupByKey]=OutputTable[[#This Row],[GroupByKey]])*OutputTable[RecordedValue]))</f>
        <v>2306</v>
      </c>
      <c r="P746" cm="1">
        <f t="array" ref="P746">MAX(IF((OutputTable[GroupByKey]=OutputTable[[#This Row],[GroupByKey]]),(OutputTable[GroupByKey]=OutputTable[[#This Row],[GroupByKey]])*OutputTable[RecordedValue]))</f>
        <v>2506</v>
      </c>
    </row>
    <row r="747" spans="1:16" x14ac:dyDescent="0.25">
      <c r="A747" t="s">
        <v>68</v>
      </c>
      <c r="B747" t="s">
        <v>131</v>
      </c>
      <c r="C747">
        <v>44</v>
      </c>
      <c r="D747" t="s">
        <v>125</v>
      </c>
      <c r="E747" t="s">
        <v>123</v>
      </c>
      <c r="F747" t="s">
        <v>99</v>
      </c>
      <c r="G747">
        <v>0.80129257286322197</v>
      </c>
      <c r="H747">
        <v>0</v>
      </c>
      <c r="I747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747" cm="1">
        <f t="array" ref="J747">MAX(IF((ProjectInfoTable[ProjectName]=OutputTable[[#This Row],[ProjectName]]),(ProjectInfoTable[ProjectName]=OutputTable[[#This Row],[ProjectName]])*ProjectInfoTable[NumberOfReplications]))</f>
        <v>50</v>
      </c>
      <c r="K747" cm="1">
        <f t="array" ref="K747">IFERROR(AVERAGE(IF((OutputTable[GroupByKey]=OutputTable[[#This Row],[GroupByKey]]),(OutputTable[GroupByKey]=OutputTable[[#This Row],[GroupByKey]])*OutputTable[RecordedValue])),0)</f>
        <v>0.82055942038575935</v>
      </c>
      <c r="L747" cm="1">
        <f t="array" ref="L747">IFERROR(_xlfn.STDEV.S(IF((OutputTable[GroupByKey]=OutputTable[[#This Row],[GroupByKey]]),(OutputTable[GroupByKey]=OutputTable[[#This Row],[GroupByKey]])*OutputTable[RecordedValue])),0)</f>
        <v>1.5331755012045719E-2</v>
      </c>
      <c r="M747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747" cm="1">
        <f t="array" ref="O747">MIN(IF((OutputTable[GroupByKey]=OutputTable[[#This Row],[GroupByKey]]),(OutputTable[GroupByKey]=OutputTable[[#This Row],[GroupByKey]])*OutputTable[RecordedValue]))</f>
        <v>0.78705962766536897</v>
      </c>
      <c r="P747" cm="1">
        <f t="array" ref="P747">MAX(IF((OutputTable[GroupByKey]=OutputTable[[#This Row],[GroupByKey]]),(OutputTable[GroupByKey]=OutputTable[[#This Row],[GroupByKey]])*OutputTable[RecordedValue]))</f>
        <v>0.85508719449138504</v>
      </c>
    </row>
    <row r="748" spans="1:16" x14ac:dyDescent="0.25">
      <c r="A748" t="s">
        <v>68</v>
      </c>
      <c r="B748" t="s">
        <v>131</v>
      </c>
      <c r="C748">
        <v>44</v>
      </c>
      <c r="D748" t="s">
        <v>126</v>
      </c>
      <c r="E748" t="s">
        <v>121</v>
      </c>
      <c r="F748" t="s">
        <v>99</v>
      </c>
      <c r="G748">
        <v>2190</v>
      </c>
      <c r="H748">
        <v>0</v>
      </c>
      <c r="I748" t="str">
        <f>OutputTable[[#This Row],[ProjectName]]&amp;OutputTable[[#This Row],[Name]]&amp;OutputTable[[#This Row],[Type]]&amp;OutputTable[[#This Row],[Source]]</f>
        <v>PacientesrRegistradora.NumberSeizedTotal Number SeizedResource</v>
      </c>
      <c r="J748" cm="1">
        <f t="array" ref="J748">MAX(IF((ProjectInfoTable[ProjectName]=OutputTable[[#This Row],[ProjectName]]),(ProjectInfoTable[ProjectName]=OutputTable[[#This Row],[ProjectName]])*ProjectInfoTable[NumberOfReplications]))</f>
        <v>50</v>
      </c>
      <c r="K748" cm="1">
        <f t="array" ref="K748">IFERROR(AVERAGE(IF((OutputTable[GroupByKey]=OutputTable[[#This Row],[GroupByKey]]),(OutputTable[GroupByKey]=OutputTable[[#This Row],[GroupByKey]])*OutputTable[RecordedValue])),0)</f>
        <v>2263.14</v>
      </c>
      <c r="L748" cm="1">
        <f t="array" ref="L748">IFERROR(_xlfn.STDEV.S(IF((OutputTable[GroupByKey]=OutputTable[[#This Row],[GroupByKey]]),(OutputTable[GroupByKey]=OutputTable[[#This Row],[GroupByKey]])*OutputTable[RecordedValue])),0)</f>
        <v>47.386818971575821</v>
      </c>
      <c r="M748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748" cm="1">
        <f t="array" ref="O748">MIN(IF((OutputTable[GroupByKey]=OutputTable[[#This Row],[GroupByKey]]),(OutputTable[GroupByKey]=OutputTable[[#This Row],[GroupByKey]])*OutputTable[RecordedValue]))</f>
        <v>2172</v>
      </c>
      <c r="P748" cm="1">
        <f t="array" ref="P748">MAX(IF((OutputTable[GroupByKey]=OutputTable[[#This Row],[GroupByKey]]),(OutputTable[GroupByKey]=OutputTable[[#This Row],[GroupByKey]])*OutputTable[RecordedValue]))</f>
        <v>2386</v>
      </c>
    </row>
    <row r="749" spans="1:16" x14ac:dyDescent="0.25">
      <c r="A749" t="s">
        <v>68</v>
      </c>
      <c r="B749" t="s">
        <v>131</v>
      </c>
      <c r="C749">
        <v>44</v>
      </c>
      <c r="D749" t="s">
        <v>127</v>
      </c>
      <c r="E749" t="s">
        <v>123</v>
      </c>
      <c r="F749" t="s">
        <v>99</v>
      </c>
      <c r="G749">
        <v>0.45927192683384199</v>
      </c>
      <c r="H749">
        <v>0</v>
      </c>
      <c r="I749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749" cm="1">
        <f t="array" ref="J749">MAX(IF((ProjectInfoTable[ProjectName]=OutputTable[[#This Row],[ProjectName]]),(ProjectInfoTable[ProjectName]=OutputTable[[#This Row],[ProjectName]])*ProjectInfoTable[NumberOfReplications]))</f>
        <v>50</v>
      </c>
      <c r="K749" cm="1">
        <f t="array" ref="K749">IFERROR(AVERAGE(IF((OutputTable[GroupByKey]=OutputTable[[#This Row],[GroupByKey]]),(OutputTable[GroupByKey]=OutputTable[[#This Row],[GroupByKey]])*OutputTable[RecordedValue])),0)</f>
        <v>0.47162762933545666</v>
      </c>
      <c r="L749" cm="1">
        <f t="array" ref="L749">IFERROR(_xlfn.STDEV.S(IF((OutputTable[GroupByKey]=OutputTable[[#This Row],[GroupByKey]]),(OutputTable[GroupByKey]=OutputTable[[#This Row],[GroupByKey]])*OutputTable[RecordedValue])),0)</f>
        <v>9.6615227076777797E-3</v>
      </c>
      <c r="M749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749" cm="1">
        <f t="array" ref="O749">MIN(IF((OutputTable[GroupByKey]=OutputTable[[#This Row],[GroupByKey]]),(OutputTable[GroupByKey]=OutputTable[[#This Row],[GroupByKey]])*OutputTable[RecordedValue]))</f>
        <v>0.452397944183905</v>
      </c>
      <c r="P749" cm="1">
        <f t="array" ref="P749">MAX(IF((OutputTable[GroupByKey]=OutputTable[[#This Row],[GroupByKey]]),(OutputTable[GroupByKey]=OutputTable[[#This Row],[GroupByKey]])*OutputTable[RecordedValue]))</f>
        <v>0.49691123629694001</v>
      </c>
    </row>
    <row r="750" spans="1:16" x14ac:dyDescent="0.25">
      <c r="A750" t="s">
        <v>68</v>
      </c>
      <c r="B750" t="s">
        <v>131</v>
      </c>
      <c r="C750">
        <v>45</v>
      </c>
      <c r="D750" t="s">
        <v>104</v>
      </c>
      <c r="E750" t="s">
        <v>105</v>
      </c>
      <c r="F750" t="s">
        <v>72</v>
      </c>
      <c r="G750">
        <v>2434</v>
      </c>
      <c r="H750">
        <v>0</v>
      </c>
      <c r="I750" t="str">
        <f>OutputTable[[#This Row],[ProjectName]]&amp;OutputTable[[#This Row],[Name]]&amp;OutputTable[[#This Row],[Type]]&amp;OutputTable[[#This Row],[Source]]</f>
        <v>PacientesEntity 1.NumberInNumber InEntity</v>
      </c>
      <c r="J750" cm="1">
        <f t="array" ref="J750">MAX(IF((ProjectInfoTable[ProjectName]=OutputTable[[#This Row],[ProjectName]]),(ProjectInfoTable[ProjectName]=OutputTable[[#This Row],[ProjectName]])*ProjectInfoTable[NumberOfReplications]))</f>
        <v>50</v>
      </c>
      <c r="K750" cm="1">
        <f t="array" ref="K750">IFERROR(AVERAGE(IF((OutputTable[GroupByKey]=OutputTable[[#This Row],[GroupByKey]]),(OutputTable[GroupByKey]=OutputTable[[#This Row],[GroupByKey]])*OutputTable[RecordedValue])),0)</f>
        <v>2404.8200000000002</v>
      </c>
      <c r="L750" cm="1">
        <f t="array" ref="L750">IFERROR(_xlfn.STDEV.S(IF((OutputTable[GroupByKey]=OutputTable[[#This Row],[GroupByKey]]),(OutputTable[GroupByKey]=OutputTable[[#This Row],[GroupByKey]])*OutputTable[RecordedValue])),0)</f>
        <v>46.42953405595474</v>
      </c>
      <c r="M750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750" cm="1">
        <f t="array" ref="O750">MIN(IF((OutputTable[GroupByKey]=OutputTable[[#This Row],[GroupByKey]]),(OutputTable[GroupByKey]=OutputTable[[#This Row],[GroupByKey]])*OutputTable[RecordedValue]))</f>
        <v>2307</v>
      </c>
      <c r="P750" cm="1">
        <f t="array" ref="P750">MAX(IF((OutputTable[GroupByKey]=OutputTable[[#This Row],[GroupByKey]]),(OutputTable[GroupByKey]=OutputTable[[#This Row],[GroupByKey]])*OutputTable[RecordedValue]))</f>
        <v>2518</v>
      </c>
    </row>
    <row r="751" spans="1:16" x14ac:dyDescent="0.25">
      <c r="A751" t="s">
        <v>68</v>
      </c>
      <c r="B751" t="s">
        <v>131</v>
      </c>
      <c r="C751">
        <v>45</v>
      </c>
      <c r="D751" t="s">
        <v>106</v>
      </c>
      <c r="E751" t="s">
        <v>107</v>
      </c>
      <c r="F751" t="s">
        <v>72</v>
      </c>
      <c r="G751">
        <v>2434</v>
      </c>
      <c r="H751">
        <v>0</v>
      </c>
      <c r="I751" t="str">
        <f>OutputTable[[#This Row],[ProjectName]]&amp;OutputTable[[#This Row],[Name]]&amp;OutputTable[[#This Row],[Type]]&amp;OutputTable[[#This Row],[Source]]</f>
        <v>PacientesEntity 1.NumberOutNumber OutEntity</v>
      </c>
      <c r="J751" cm="1">
        <f t="array" ref="J751">MAX(IF((ProjectInfoTable[ProjectName]=OutputTable[[#This Row],[ProjectName]]),(ProjectInfoTable[ProjectName]=OutputTable[[#This Row],[ProjectName]])*ProjectInfoTable[NumberOfReplications]))</f>
        <v>50</v>
      </c>
      <c r="K751" cm="1">
        <f t="array" ref="K751">IFERROR(AVERAGE(IF((OutputTable[GroupByKey]=OutputTable[[#This Row],[GroupByKey]]),(OutputTable[GroupByKey]=OutputTable[[#This Row],[GroupByKey]])*OutputTable[RecordedValue])),0)</f>
        <v>2400.2800000000002</v>
      </c>
      <c r="L751" cm="1">
        <f t="array" ref="L751">IFERROR(_xlfn.STDEV.S(IF((OutputTable[GroupByKey]=OutputTable[[#This Row],[GroupByKey]]),(OutputTable[GroupByKey]=OutputTable[[#This Row],[GroupByKey]])*OutputTable[RecordedValue])),0)</f>
        <v>46.409024456676619</v>
      </c>
      <c r="M751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51" cm="1">
        <f t="array" ref="O751">MIN(IF((OutputTable[GroupByKey]=OutputTable[[#This Row],[GroupByKey]]),(OutputTable[GroupByKey]=OutputTable[[#This Row],[GroupByKey]])*OutputTable[RecordedValue]))</f>
        <v>2305</v>
      </c>
      <c r="P751" cm="1">
        <f t="array" ref="P751">MAX(IF((OutputTable[GroupByKey]=OutputTable[[#This Row],[GroupByKey]]),(OutputTable[GroupByKey]=OutputTable[[#This Row],[GroupByKey]])*OutputTable[RecordedValue]))</f>
        <v>2504</v>
      </c>
    </row>
    <row r="752" spans="1:16" x14ac:dyDescent="0.25">
      <c r="A752" t="s">
        <v>68</v>
      </c>
      <c r="B752" t="s">
        <v>131</v>
      </c>
      <c r="C752">
        <v>45</v>
      </c>
      <c r="D752" t="s">
        <v>108</v>
      </c>
      <c r="E752" t="s">
        <v>109</v>
      </c>
      <c r="F752" t="s">
        <v>80</v>
      </c>
      <c r="G752">
        <v>1181.8084043066699</v>
      </c>
      <c r="H752">
        <v>0</v>
      </c>
      <c r="I752" t="str">
        <f>OutputTable[[#This Row],[ProjectName]]&amp;OutputTable[[#This Row],[Name]]&amp;OutputTable[[#This Row],[Type]]&amp;OutputTable[[#This Row],[Source]]</f>
        <v>PacientesProcess 2 Accum VA TimeAccum VA TimeProcess</v>
      </c>
      <c r="J752" cm="1">
        <f t="array" ref="J752">MAX(IF((ProjectInfoTable[ProjectName]=OutputTable[[#This Row],[ProjectName]]),(ProjectInfoTable[ProjectName]=OutputTable[[#This Row],[ProjectName]])*ProjectInfoTable[NumberOfReplications]))</f>
        <v>50</v>
      </c>
      <c r="K752" cm="1">
        <f t="array" ref="K752">IFERROR(AVERAGE(IF((OutputTable[GroupByKey]=OutputTable[[#This Row],[GroupByKey]]),(OutputTable[GroupByKey]=OutputTable[[#This Row],[GroupByKey]])*OutputTable[RecordedValue])),0)</f>
        <v>1181.1234936767919</v>
      </c>
      <c r="L752" cm="1">
        <f t="array" ref="L752">IFERROR(_xlfn.STDEV.S(IF((OutputTable[GroupByKey]=OutputTable[[#This Row],[GroupByKey]]),(OutputTable[GroupByKey]=OutputTable[[#This Row],[GroupByKey]])*OutputTable[RecordedValue])),0)</f>
        <v>22.169313666927575</v>
      </c>
      <c r="M752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752" cm="1">
        <f t="array" ref="O752">MIN(IF((OutputTable[GroupByKey]=OutputTable[[#This Row],[GroupByKey]]),(OutputTable[GroupByKey]=OutputTable[[#This Row],[GroupByKey]])*OutputTable[RecordedValue]))</f>
        <v>1133.24622318414</v>
      </c>
      <c r="P752" cm="1">
        <f t="array" ref="P752">MAX(IF((OutputTable[GroupByKey]=OutputTable[[#This Row],[GroupByKey]]),(OutputTable[GroupByKey]=OutputTable[[#This Row],[GroupByKey]])*OutputTable[RecordedValue]))</f>
        <v>1230.9493287309799</v>
      </c>
    </row>
    <row r="753" spans="1:16" x14ac:dyDescent="0.25">
      <c r="A753" t="s">
        <v>68</v>
      </c>
      <c r="B753" t="s">
        <v>131</v>
      </c>
      <c r="C753">
        <v>45</v>
      </c>
      <c r="D753" t="s">
        <v>110</v>
      </c>
      <c r="E753" t="s">
        <v>111</v>
      </c>
      <c r="F753" t="s">
        <v>80</v>
      </c>
      <c r="G753">
        <v>1742.0391877161101</v>
      </c>
      <c r="H753">
        <v>0</v>
      </c>
      <c r="I753" t="str">
        <f>OutputTable[[#This Row],[ProjectName]]&amp;OutputTable[[#This Row],[Name]]&amp;OutputTable[[#This Row],[Type]]&amp;OutputTable[[#This Row],[Source]]</f>
        <v>PacientesProcess 2 Accum Wait TimeAccum Wait TimeProcess</v>
      </c>
      <c r="J753" cm="1">
        <f t="array" ref="J753">MAX(IF((ProjectInfoTable[ProjectName]=OutputTable[[#This Row],[ProjectName]]),(ProjectInfoTable[ProjectName]=OutputTable[[#This Row],[ProjectName]])*ProjectInfoTable[NumberOfReplications]))</f>
        <v>50</v>
      </c>
      <c r="K753" cm="1">
        <f t="array" ref="K753">IFERROR(AVERAGE(IF((OutputTable[GroupByKey]=OutputTable[[#This Row],[GroupByKey]]),(OutputTable[GroupByKey]=OutputTable[[#This Row],[GroupByKey]])*OutputTable[RecordedValue])),0)</f>
        <v>1938.7515507466894</v>
      </c>
      <c r="L753" cm="1">
        <f t="array" ref="L753">IFERROR(_xlfn.STDEV.S(IF((OutputTable[GroupByKey]=OutputTable[[#This Row],[GroupByKey]]),(OutputTable[GroupByKey]=OutputTable[[#This Row],[GroupByKey]])*OutputTable[RecordedValue])),0)</f>
        <v>534.03396241838232</v>
      </c>
      <c r="M753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753" cm="1">
        <f t="array" ref="O753">MIN(IF((OutputTable[GroupByKey]=OutputTable[[#This Row],[GroupByKey]]),(OutputTable[GroupByKey]=OutputTable[[#This Row],[GroupByKey]])*OutputTable[RecordedValue]))</f>
        <v>1234.7567994731401</v>
      </c>
      <c r="P753" cm="1">
        <f t="array" ref="P753">MAX(IF((OutputTable[GroupByKey]=OutputTable[[#This Row],[GroupByKey]]),(OutputTable[GroupByKey]=OutputTable[[#This Row],[GroupByKey]])*OutputTable[RecordedValue]))</f>
        <v>3269.0858002883801</v>
      </c>
    </row>
    <row r="754" spans="1:16" x14ac:dyDescent="0.25">
      <c r="A754" t="s">
        <v>68</v>
      </c>
      <c r="B754" t="s">
        <v>131</v>
      </c>
      <c r="C754">
        <v>45</v>
      </c>
      <c r="D754" t="s">
        <v>112</v>
      </c>
      <c r="E754" t="s">
        <v>105</v>
      </c>
      <c r="F754" t="s">
        <v>80</v>
      </c>
      <c r="G754">
        <v>2434</v>
      </c>
      <c r="H754">
        <v>0</v>
      </c>
      <c r="I754" t="str">
        <f>OutputTable[[#This Row],[ProjectName]]&amp;OutputTable[[#This Row],[Name]]&amp;OutputTable[[#This Row],[Type]]&amp;OutputTable[[#This Row],[Source]]</f>
        <v>PacientesProcess 2 Number InNumber InProcess</v>
      </c>
      <c r="J754" cm="1">
        <f t="array" ref="J754">MAX(IF((ProjectInfoTable[ProjectName]=OutputTable[[#This Row],[ProjectName]]),(ProjectInfoTable[ProjectName]=OutputTable[[#This Row],[ProjectName]])*ProjectInfoTable[NumberOfReplications]))</f>
        <v>50</v>
      </c>
      <c r="K754" cm="1">
        <f t="array" ref="K754">IFERROR(AVERAGE(IF((OutputTable[GroupByKey]=OutputTable[[#This Row],[GroupByKey]]),(OutputTable[GroupByKey]=OutputTable[[#This Row],[GroupByKey]])*OutputTable[RecordedValue])),0)</f>
        <v>2404.2399999999998</v>
      </c>
      <c r="L754" cm="1">
        <f t="array" ref="L754">IFERROR(_xlfn.STDEV.S(IF((OutputTable[GroupByKey]=OutputTable[[#This Row],[GroupByKey]]),(OutputTable[GroupByKey]=OutputTable[[#This Row],[GroupByKey]])*OutputTable[RecordedValue])),0)</f>
        <v>46.574303154053879</v>
      </c>
      <c r="M754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754" cm="1">
        <f t="array" ref="O754">MIN(IF((OutputTable[GroupByKey]=OutputTable[[#This Row],[GroupByKey]]),(OutputTable[GroupByKey]=OutputTable[[#This Row],[GroupByKey]])*OutputTable[RecordedValue]))</f>
        <v>2306</v>
      </c>
      <c r="P754" cm="1">
        <f t="array" ref="P754">MAX(IF((OutputTable[GroupByKey]=OutputTable[[#This Row],[GroupByKey]]),(OutputTable[GroupByKey]=OutputTable[[#This Row],[GroupByKey]])*OutputTable[RecordedValue]))</f>
        <v>2518</v>
      </c>
    </row>
    <row r="755" spans="1:16" x14ac:dyDescent="0.25">
      <c r="A755" t="s">
        <v>68</v>
      </c>
      <c r="B755" t="s">
        <v>131</v>
      </c>
      <c r="C755">
        <v>45</v>
      </c>
      <c r="D755" t="s">
        <v>113</v>
      </c>
      <c r="E755" t="s">
        <v>107</v>
      </c>
      <c r="F755" t="s">
        <v>80</v>
      </c>
      <c r="G755">
        <v>2434</v>
      </c>
      <c r="H755">
        <v>0</v>
      </c>
      <c r="I755" t="str">
        <f>OutputTable[[#This Row],[ProjectName]]&amp;OutputTable[[#This Row],[Name]]&amp;OutputTable[[#This Row],[Type]]&amp;OutputTable[[#This Row],[Source]]</f>
        <v>PacientesProcess 2 Number OutNumber OutProcess</v>
      </c>
      <c r="J755" cm="1">
        <f t="array" ref="J755">MAX(IF((ProjectInfoTable[ProjectName]=OutputTable[[#This Row],[ProjectName]]),(ProjectInfoTable[ProjectName]=OutputTable[[#This Row],[ProjectName]])*ProjectInfoTable[NumberOfReplications]))</f>
        <v>50</v>
      </c>
      <c r="K755" cm="1">
        <f t="array" ref="K755">IFERROR(AVERAGE(IF((OutputTable[GroupByKey]=OutputTable[[#This Row],[GroupByKey]]),(OutputTable[GroupByKey]=OutputTable[[#This Row],[GroupByKey]])*OutputTable[RecordedValue])),0)</f>
        <v>2400.2800000000002</v>
      </c>
      <c r="L755" cm="1">
        <f t="array" ref="L755">IFERROR(_xlfn.STDEV.S(IF((OutputTable[GroupByKey]=OutputTable[[#This Row],[GroupByKey]]),(OutputTable[GroupByKey]=OutputTable[[#This Row],[GroupByKey]])*OutputTable[RecordedValue])),0)</f>
        <v>46.409024456676619</v>
      </c>
      <c r="M75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55" cm="1">
        <f t="array" ref="O755">MIN(IF((OutputTable[GroupByKey]=OutputTable[[#This Row],[GroupByKey]]),(OutputTable[GroupByKey]=OutputTable[[#This Row],[GroupByKey]])*OutputTable[RecordedValue]))</f>
        <v>2305</v>
      </c>
      <c r="P755" cm="1">
        <f t="array" ref="P755">MAX(IF((OutputTable[GroupByKey]=OutputTable[[#This Row],[GroupByKey]]),(OutputTable[GroupByKey]=OutputTable[[#This Row],[GroupByKey]])*OutputTable[RecordedValue]))</f>
        <v>2504</v>
      </c>
    </row>
    <row r="756" spans="1:16" x14ac:dyDescent="0.25">
      <c r="A756" t="s">
        <v>68</v>
      </c>
      <c r="B756" t="s">
        <v>131</v>
      </c>
      <c r="C756">
        <v>45</v>
      </c>
      <c r="D756" t="s">
        <v>114</v>
      </c>
      <c r="E756" t="s">
        <v>109</v>
      </c>
      <c r="F756" t="s">
        <v>80</v>
      </c>
      <c r="G756">
        <v>341.80491520798</v>
      </c>
      <c r="H756">
        <v>0</v>
      </c>
      <c r="I756" t="str">
        <f>OutputTable[[#This Row],[ProjectName]]&amp;OutputTable[[#This Row],[Name]]&amp;OutputTable[[#This Row],[Type]]&amp;OutputTable[[#This Row],[Source]]</f>
        <v>PacientesRegistro Accum VA TimeAccum VA TimeProcess</v>
      </c>
      <c r="J756" cm="1">
        <f t="array" ref="J756">MAX(IF((ProjectInfoTable[ProjectName]=OutputTable[[#This Row],[ProjectName]]),(ProjectInfoTable[ProjectName]=OutputTable[[#This Row],[ProjectName]])*ProjectInfoTable[NumberOfReplications]))</f>
        <v>50</v>
      </c>
      <c r="K756" cm="1">
        <f t="array" ref="K756">IFERROR(AVERAGE(IF((OutputTable[GroupByKey]=OutputTable[[#This Row],[GroupByKey]]),(OutputTable[GroupByKey]=OutputTable[[#This Row],[GroupByKey]])*OutputTable[RecordedValue])),0)</f>
        <v>339.53547737062786</v>
      </c>
      <c r="L756" cm="1">
        <f t="array" ref="L756">IFERROR(_xlfn.STDEV.S(IF((OutputTable[GroupByKey]=OutputTable[[#This Row],[GroupByKey]]),(OutputTable[GroupByKey]=OutputTable[[#This Row],[GroupByKey]])*OutputTable[RecordedValue])),0)</f>
        <v>6.9723666109353193</v>
      </c>
      <c r="M756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756" cm="1">
        <f t="array" ref="O756">MIN(IF((OutputTable[GroupByKey]=OutputTable[[#This Row],[GroupByKey]]),(OutputTable[GroupByKey]=OutputTable[[#This Row],[GroupByKey]])*OutputTable[RecordedValue]))</f>
        <v>325.606879158418</v>
      </c>
      <c r="P756" cm="1">
        <f t="array" ref="P756">MAX(IF((OutputTable[GroupByKey]=OutputTable[[#This Row],[GroupByKey]]),(OutputTable[GroupByKey]=OutputTable[[#This Row],[GroupByKey]])*OutputTable[RecordedValue]))</f>
        <v>357.77609013379703</v>
      </c>
    </row>
    <row r="757" spans="1:16" x14ac:dyDescent="0.25">
      <c r="A757" t="s">
        <v>68</v>
      </c>
      <c r="B757" t="s">
        <v>131</v>
      </c>
      <c r="C757">
        <v>45</v>
      </c>
      <c r="D757" t="s">
        <v>115</v>
      </c>
      <c r="E757" t="s">
        <v>111</v>
      </c>
      <c r="F757" t="s">
        <v>80</v>
      </c>
      <c r="G757">
        <v>149.17894226374099</v>
      </c>
      <c r="H757">
        <v>0</v>
      </c>
      <c r="I757" t="str">
        <f>OutputTable[[#This Row],[ProjectName]]&amp;OutputTable[[#This Row],[Name]]&amp;OutputTable[[#This Row],[Type]]&amp;OutputTable[[#This Row],[Source]]</f>
        <v>PacientesRegistro Accum Wait TimeAccum Wait TimeProcess</v>
      </c>
      <c r="J757" cm="1">
        <f t="array" ref="J757">MAX(IF((ProjectInfoTable[ProjectName]=OutputTable[[#This Row],[ProjectName]]),(ProjectInfoTable[ProjectName]=OutputTable[[#This Row],[ProjectName]])*ProjectInfoTable[NumberOfReplications]))</f>
        <v>50</v>
      </c>
      <c r="K757" cm="1">
        <f t="array" ref="K757">IFERROR(AVERAGE(IF((OutputTable[GroupByKey]=OutputTable[[#This Row],[GroupByKey]]),(OutputTable[GroupByKey]=OutputTable[[#This Row],[GroupByKey]])*OutputTable[RecordedValue])),0)</f>
        <v>154.15303898127775</v>
      </c>
      <c r="L757" cm="1">
        <f t="array" ref="L757">IFERROR(_xlfn.STDEV.S(IF((OutputTable[GroupByKey]=OutputTable[[#This Row],[GroupByKey]]),(OutputTable[GroupByKey]=OutputTable[[#This Row],[GroupByKey]])*OutputTable[RecordedValue])),0)</f>
        <v>12.141439184615397</v>
      </c>
      <c r="M757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757" cm="1">
        <f t="array" ref="O757">MIN(IF((OutputTable[GroupByKey]=OutputTable[[#This Row],[GroupByKey]]),(OutputTable[GroupByKey]=OutputTable[[#This Row],[GroupByKey]])*OutputTable[RecordedValue]))</f>
        <v>123.901613974094</v>
      </c>
      <c r="P757" cm="1">
        <f t="array" ref="P757">MAX(IF((OutputTable[GroupByKey]=OutputTable[[#This Row],[GroupByKey]]),(OutputTable[GroupByKey]=OutputTable[[#This Row],[GroupByKey]])*OutputTable[RecordedValue]))</f>
        <v>178.441307284473</v>
      </c>
    </row>
    <row r="758" spans="1:16" x14ac:dyDescent="0.25">
      <c r="A758" t="s">
        <v>68</v>
      </c>
      <c r="B758" t="s">
        <v>131</v>
      </c>
      <c r="C758">
        <v>45</v>
      </c>
      <c r="D758" t="s">
        <v>116</v>
      </c>
      <c r="E758" t="s">
        <v>105</v>
      </c>
      <c r="F758" t="s">
        <v>80</v>
      </c>
      <c r="G758">
        <v>2292</v>
      </c>
      <c r="H758">
        <v>0</v>
      </c>
      <c r="I758" t="str">
        <f>OutputTable[[#This Row],[ProjectName]]&amp;OutputTable[[#This Row],[Name]]&amp;OutputTable[[#This Row],[Type]]&amp;OutputTable[[#This Row],[Source]]</f>
        <v>PacientesRegistro Number InNumber InProcess</v>
      </c>
      <c r="J758" cm="1">
        <f t="array" ref="J758">MAX(IF((ProjectInfoTable[ProjectName]=OutputTable[[#This Row],[ProjectName]]),(ProjectInfoTable[ProjectName]=OutputTable[[#This Row],[ProjectName]])*ProjectInfoTable[NumberOfReplications]))</f>
        <v>50</v>
      </c>
      <c r="K758" cm="1">
        <f t="array" ref="K758">IFERROR(AVERAGE(IF((OutputTable[GroupByKey]=OutputTable[[#This Row],[GroupByKey]]),(OutputTable[GroupByKey]=OutputTable[[#This Row],[GroupByKey]])*OutputTable[RecordedValue])),0)</f>
        <v>2263.2399999999998</v>
      </c>
      <c r="L758" cm="1">
        <f t="array" ref="L758">IFERROR(_xlfn.STDEV.S(IF((OutputTable[GroupByKey]=OutputTable[[#This Row],[GroupByKey]]),(OutputTable[GroupByKey]=OutputTable[[#This Row],[GroupByKey]])*OutputTable[RecordedValue])),0)</f>
        <v>47.331035682472766</v>
      </c>
      <c r="M758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758" cm="1">
        <f t="array" ref="O758">MIN(IF((OutputTable[GroupByKey]=OutputTable[[#This Row],[GroupByKey]]),(OutputTable[GroupByKey]=OutputTable[[#This Row],[GroupByKey]])*OutputTable[RecordedValue]))</f>
        <v>2172</v>
      </c>
      <c r="P758" cm="1">
        <f t="array" ref="P758">MAX(IF((OutputTable[GroupByKey]=OutputTable[[#This Row],[GroupByKey]]),(OutputTable[GroupByKey]=OutputTable[[#This Row],[GroupByKey]])*OutputTable[RecordedValue]))</f>
        <v>2386</v>
      </c>
    </row>
    <row r="759" spans="1:16" x14ac:dyDescent="0.25">
      <c r="A759" t="s">
        <v>68</v>
      </c>
      <c r="B759" t="s">
        <v>131</v>
      </c>
      <c r="C759">
        <v>45</v>
      </c>
      <c r="D759" t="s">
        <v>117</v>
      </c>
      <c r="E759" t="s">
        <v>107</v>
      </c>
      <c r="F759" t="s">
        <v>80</v>
      </c>
      <c r="G759">
        <v>2292</v>
      </c>
      <c r="H759">
        <v>0</v>
      </c>
      <c r="I759" t="str">
        <f>OutputTable[[#This Row],[ProjectName]]&amp;OutputTable[[#This Row],[Name]]&amp;OutputTable[[#This Row],[Type]]&amp;OutputTable[[#This Row],[Source]]</f>
        <v>PacientesRegistro Number OutNumber OutProcess</v>
      </c>
      <c r="J759" cm="1">
        <f t="array" ref="J759">MAX(IF((ProjectInfoTable[ProjectName]=OutputTable[[#This Row],[ProjectName]]),(ProjectInfoTable[ProjectName]=OutputTable[[#This Row],[ProjectName]])*ProjectInfoTable[NumberOfReplications]))</f>
        <v>50</v>
      </c>
      <c r="K759" cm="1">
        <f t="array" ref="K759">IFERROR(AVERAGE(IF((OutputTable[GroupByKey]=OutputTable[[#This Row],[GroupByKey]]),(OutputTable[GroupByKey]=OutputTable[[#This Row],[GroupByKey]])*OutputTable[RecordedValue])),0)</f>
        <v>2262.66</v>
      </c>
      <c r="L759" cm="1">
        <f t="array" ref="L759">IFERROR(_xlfn.STDEV.S(IF((OutputTable[GroupByKey]=OutputTable[[#This Row],[GroupByKey]]),(OutputTable[GroupByKey]=OutputTable[[#This Row],[GroupByKey]])*OutputTable[RecordedValue])),0)</f>
        <v>47.488176831454687</v>
      </c>
      <c r="M759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759" cm="1">
        <f t="array" ref="O759">MIN(IF((OutputTable[GroupByKey]=OutputTable[[#This Row],[GroupByKey]]),(OutputTable[GroupByKey]=OutputTable[[#This Row],[GroupByKey]])*OutputTable[RecordedValue]))</f>
        <v>2171</v>
      </c>
      <c r="P759" cm="1">
        <f t="array" ref="P759">MAX(IF((OutputTable[GroupByKey]=OutputTable[[#This Row],[GroupByKey]]),(OutputTable[GroupByKey]=OutputTable[[#This Row],[GroupByKey]])*OutputTable[RecordedValue]))</f>
        <v>2386</v>
      </c>
    </row>
    <row r="760" spans="1:16" x14ac:dyDescent="0.25">
      <c r="A760" t="s">
        <v>68</v>
      </c>
      <c r="B760" t="s">
        <v>131</v>
      </c>
      <c r="C760">
        <v>45</v>
      </c>
      <c r="D760" t="s">
        <v>118</v>
      </c>
      <c r="E760" t="s">
        <v>107</v>
      </c>
      <c r="F760" t="s">
        <v>119</v>
      </c>
      <c r="G760">
        <v>2434</v>
      </c>
      <c r="H760">
        <v>0</v>
      </c>
      <c r="I760" t="str">
        <f>OutputTable[[#This Row],[ProjectName]]&amp;OutputTable[[#This Row],[Name]]&amp;OutputTable[[#This Row],[Type]]&amp;OutputTable[[#This Row],[Source]]</f>
        <v>PacientesSystem.NumberOutNumber OutSystem</v>
      </c>
      <c r="J760" cm="1">
        <f t="array" ref="J760">MAX(IF((ProjectInfoTable[ProjectName]=OutputTable[[#This Row],[ProjectName]]),(ProjectInfoTable[ProjectName]=OutputTable[[#This Row],[ProjectName]])*ProjectInfoTable[NumberOfReplications]))</f>
        <v>50</v>
      </c>
      <c r="K760" cm="1">
        <f t="array" ref="K760">IFERROR(AVERAGE(IF((OutputTable[GroupByKey]=OutputTable[[#This Row],[GroupByKey]]),(OutputTable[GroupByKey]=OutputTable[[#This Row],[GroupByKey]])*OutputTable[RecordedValue])),0)</f>
        <v>2400.2800000000002</v>
      </c>
      <c r="L760" cm="1">
        <f t="array" ref="L760">IFERROR(_xlfn.STDEV.S(IF((OutputTable[GroupByKey]=OutputTable[[#This Row],[GroupByKey]]),(OutputTable[GroupByKey]=OutputTable[[#This Row],[GroupByKey]])*OutputTable[RecordedValue])),0)</f>
        <v>46.409024456676619</v>
      </c>
      <c r="M760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60" cm="1">
        <f t="array" ref="O760">MIN(IF((OutputTable[GroupByKey]=OutputTable[[#This Row],[GroupByKey]]),(OutputTable[GroupByKey]=OutputTable[[#This Row],[GroupByKey]])*OutputTable[RecordedValue]))</f>
        <v>2305</v>
      </c>
      <c r="P760" cm="1">
        <f t="array" ref="P760">MAX(IF((OutputTable[GroupByKey]=OutputTable[[#This Row],[GroupByKey]]),(OutputTable[GroupByKey]=OutputTable[[#This Row],[GroupByKey]])*OutputTable[RecordedValue]))</f>
        <v>2504</v>
      </c>
    </row>
    <row r="761" spans="1:16" x14ac:dyDescent="0.25">
      <c r="A761" t="s">
        <v>68</v>
      </c>
      <c r="B761" t="s">
        <v>131</v>
      </c>
      <c r="C761">
        <v>45</v>
      </c>
      <c r="D761" t="s">
        <v>120</v>
      </c>
      <c r="E761" t="s">
        <v>121</v>
      </c>
      <c r="F761" t="s">
        <v>99</v>
      </c>
      <c r="G761">
        <v>2434</v>
      </c>
      <c r="H761">
        <v>0</v>
      </c>
      <c r="I761" t="str">
        <f>OutputTable[[#This Row],[ProjectName]]&amp;OutputTable[[#This Row],[Name]]&amp;OutputTable[[#This Row],[Type]]&amp;OutputTable[[#This Row],[Source]]</f>
        <v>PacientesrCamas.NumberSeizedTotal Number SeizedResource</v>
      </c>
      <c r="J761" cm="1">
        <f t="array" ref="J761">MAX(IF((ProjectInfoTable[ProjectName]=OutputTable[[#This Row],[ProjectName]]),(ProjectInfoTable[ProjectName]=OutputTable[[#This Row],[ProjectName]])*ProjectInfoTable[NumberOfReplications]))</f>
        <v>50</v>
      </c>
      <c r="K761" cm="1">
        <f t="array" ref="K761">IFERROR(AVERAGE(IF((OutputTable[GroupByKey]=OutputTable[[#This Row],[GroupByKey]]),(OutputTable[GroupByKey]=OutputTable[[#This Row],[GroupByKey]])*OutputTable[RecordedValue])),0)</f>
        <v>2401.9</v>
      </c>
      <c r="L761" cm="1">
        <f t="array" ref="L761">IFERROR(_xlfn.STDEV.S(IF((OutputTable[GroupByKey]=OutputTable[[#This Row],[GroupByKey]]),(OutputTable[GroupByKey]=OutputTable[[#This Row],[GroupByKey]])*OutputTable[RecordedValue])),0)</f>
        <v>46.417031532903209</v>
      </c>
      <c r="M761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61" cm="1">
        <f t="array" ref="O761">MIN(IF((OutputTable[GroupByKey]=OutputTable[[#This Row],[GroupByKey]]),(OutputTable[GroupByKey]=OutputTable[[#This Row],[GroupByKey]])*OutputTable[RecordedValue]))</f>
        <v>2306</v>
      </c>
      <c r="P761" cm="1">
        <f t="array" ref="P761">MAX(IF((OutputTable[GroupByKey]=OutputTable[[#This Row],[GroupByKey]]),(OutputTable[GroupByKey]=OutputTable[[#This Row],[GroupByKey]])*OutputTable[RecordedValue]))</f>
        <v>2506</v>
      </c>
    </row>
    <row r="762" spans="1:16" x14ac:dyDescent="0.25">
      <c r="A762" t="s">
        <v>68</v>
      </c>
      <c r="B762" t="s">
        <v>131</v>
      </c>
      <c r="C762">
        <v>45</v>
      </c>
      <c r="D762" t="s">
        <v>122</v>
      </c>
      <c r="E762" t="s">
        <v>123</v>
      </c>
      <c r="F762" t="s">
        <v>99</v>
      </c>
      <c r="G762">
        <v>0.54713352051234898</v>
      </c>
      <c r="H762">
        <v>0</v>
      </c>
      <c r="I762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762" cm="1">
        <f t="array" ref="J762">MAX(IF((ProjectInfoTable[ProjectName]=OutputTable[[#This Row],[ProjectName]]),(ProjectInfoTable[ProjectName]=OutputTable[[#This Row],[ProjectName]])*ProjectInfoTable[NumberOfReplications]))</f>
        <v>50</v>
      </c>
      <c r="K762" cm="1">
        <f t="array" ref="K762">IFERROR(AVERAGE(IF((OutputTable[GroupByKey]=OutputTable[[#This Row],[GroupByKey]]),(OutputTable[GroupByKey]=OutputTable[[#This Row],[GroupByKey]])*OutputTable[RecordedValue])),0)</f>
        <v>0.54703961359050601</v>
      </c>
      <c r="L762" cm="1">
        <f t="array" ref="L762">IFERROR(_xlfn.STDEV.S(IF((OutputTable[GroupByKey]=OutputTable[[#This Row],[GroupByKey]]),(OutputTable[GroupByKey]=OutputTable[[#This Row],[GroupByKey]])*OutputTable[RecordedValue])),0)</f>
        <v>1.0221170008030479E-2</v>
      </c>
      <c r="M762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762" cm="1">
        <f t="array" ref="O762">MIN(IF((OutputTable[GroupByKey]=OutputTable[[#This Row],[GroupByKey]]),(OutputTable[GroupByKey]=OutputTable[[#This Row],[GroupByKey]])*OutputTable[RecordedValue]))</f>
        <v>0.52470641844357901</v>
      </c>
      <c r="P762" cm="1">
        <f t="array" ref="P762">MAX(IF((OutputTable[GroupByKey]=OutputTable[[#This Row],[GroupByKey]]),(OutputTable[GroupByKey]=OutputTable[[#This Row],[GroupByKey]])*OutputTable[RecordedValue]))</f>
        <v>0.57005812966092295</v>
      </c>
    </row>
    <row r="763" spans="1:16" x14ac:dyDescent="0.25">
      <c r="A763" t="s">
        <v>68</v>
      </c>
      <c r="B763" t="s">
        <v>131</v>
      </c>
      <c r="C763">
        <v>45</v>
      </c>
      <c r="D763" t="s">
        <v>124</v>
      </c>
      <c r="E763" t="s">
        <v>121</v>
      </c>
      <c r="F763" t="s">
        <v>99</v>
      </c>
      <c r="G763">
        <v>2434</v>
      </c>
      <c r="H763">
        <v>0</v>
      </c>
      <c r="I763" t="str">
        <f>OutputTable[[#This Row],[ProjectName]]&amp;OutputTable[[#This Row],[Name]]&amp;OutputTable[[#This Row],[Type]]&amp;OutputTable[[#This Row],[Source]]</f>
        <v>PacientesrMedico.NumberSeizedTotal Number SeizedResource</v>
      </c>
      <c r="J763" cm="1">
        <f t="array" ref="J763">MAX(IF((ProjectInfoTable[ProjectName]=OutputTable[[#This Row],[ProjectName]]),(ProjectInfoTable[ProjectName]=OutputTable[[#This Row],[ProjectName]])*ProjectInfoTable[NumberOfReplications]))</f>
        <v>50</v>
      </c>
      <c r="K763" cm="1">
        <f t="array" ref="K763">IFERROR(AVERAGE(IF((OutputTable[GroupByKey]=OutputTable[[#This Row],[GroupByKey]]),(OutputTable[GroupByKey]=OutputTable[[#This Row],[GroupByKey]])*OutputTable[RecordedValue])),0)</f>
        <v>2401.9</v>
      </c>
      <c r="L763" cm="1">
        <f t="array" ref="L763">IFERROR(_xlfn.STDEV.S(IF((OutputTable[GroupByKey]=OutputTable[[#This Row],[GroupByKey]]),(OutputTable[GroupByKey]=OutputTable[[#This Row],[GroupByKey]])*OutputTable[RecordedValue])),0)</f>
        <v>46.417031532903209</v>
      </c>
      <c r="M763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63" cm="1">
        <f t="array" ref="O763">MIN(IF((OutputTable[GroupByKey]=OutputTable[[#This Row],[GroupByKey]]),(OutputTable[GroupByKey]=OutputTable[[#This Row],[GroupByKey]])*OutputTable[RecordedValue]))</f>
        <v>2306</v>
      </c>
      <c r="P763" cm="1">
        <f t="array" ref="P763">MAX(IF((OutputTable[GroupByKey]=OutputTable[[#This Row],[GroupByKey]]),(OutputTable[GroupByKey]=OutputTable[[#This Row],[GroupByKey]])*OutputTable[RecordedValue]))</f>
        <v>2506</v>
      </c>
    </row>
    <row r="764" spans="1:16" x14ac:dyDescent="0.25">
      <c r="A764" t="s">
        <v>68</v>
      </c>
      <c r="B764" t="s">
        <v>131</v>
      </c>
      <c r="C764">
        <v>45</v>
      </c>
      <c r="D764" t="s">
        <v>125</v>
      </c>
      <c r="E764" t="s">
        <v>123</v>
      </c>
      <c r="F764" t="s">
        <v>99</v>
      </c>
      <c r="G764">
        <v>0.82070028076852297</v>
      </c>
      <c r="H764">
        <v>0</v>
      </c>
      <c r="I764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764" cm="1">
        <f t="array" ref="J764">MAX(IF((ProjectInfoTable[ProjectName]=OutputTable[[#This Row],[ProjectName]]),(ProjectInfoTable[ProjectName]=OutputTable[[#This Row],[ProjectName]])*ProjectInfoTable[NumberOfReplications]))</f>
        <v>50</v>
      </c>
      <c r="K764" cm="1">
        <f t="array" ref="K764">IFERROR(AVERAGE(IF((OutputTable[GroupByKey]=OutputTable[[#This Row],[GroupByKey]]),(OutputTable[GroupByKey]=OutputTable[[#This Row],[GroupByKey]])*OutputTable[RecordedValue])),0)</f>
        <v>0.82055942038575935</v>
      </c>
      <c r="L764" cm="1">
        <f t="array" ref="L764">IFERROR(_xlfn.STDEV.S(IF((OutputTable[GroupByKey]=OutputTable[[#This Row],[GroupByKey]]),(OutputTable[GroupByKey]=OutputTable[[#This Row],[GroupByKey]])*OutputTable[RecordedValue])),0)</f>
        <v>1.5331755012045719E-2</v>
      </c>
      <c r="M764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764" cm="1">
        <f t="array" ref="O764">MIN(IF((OutputTable[GroupByKey]=OutputTable[[#This Row],[GroupByKey]]),(OutputTable[GroupByKey]=OutputTable[[#This Row],[GroupByKey]])*OutputTable[RecordedValue]))</f>
        <v>0.78705962766536897</v>
      </c>
      <c r="P764" cm="1">
        <f t="array" ref="P764">MAX(IF((OutputTable[GroupByKey]=OutputTable[[#This Row],[GroupByKey]]),(OutputTable[GroupByKey]=OutputTable[[#This Row],[GroupByKey]])*OutputTable[RecordedValue]))</f>
        <v>0.85508719449138504</v>
      </c>
    </row>
    <row r="765" spans="1:16" x14ac:dyDescent="0.25">
      <c r="A765" t="s">
        <v>68</v>
      </c>
      <c r="B765" t="s">
        <v>131</v>
      </c>
      <c r="C765">
        <v>45</v>
      </c>
      <c r="D765" t="s">
        <v>126</v>
      </c>
      <c r="E765" t="s">
        <v>121</v>
      </c>
      <c r="F765" t="s">
        <v>99</v>
      </c>
      <c r="G765">
        <v>2292</v>
      </c>
      <c r="H765">
        <v>0</v>
      </c>
      <c r="I765" t="str">
        <f>OutputTable[[#This Row],[ProjectName]]&amp;OutputTable[[#This Row],[Name]]&amp;OutputTable[[#This Row],[Type]]&amp;OutputTable[[#This Row],[Source]]</f>
        <v>PacientesrRegistradora.NumberSeizedTotal Number SeizedResource</v>
      </c>
      <c r="J765" cm="1">
        <f t="array" ref="J765">MAX(IF((ProjectInfoTable[ProjectName]=OutputTable[[#This Row],[ProjectName]]),(ProjectInfoTable[ProjectName]=OutputTable[[#This Row],[ProjectName]])*ProjectInfoTable[NumberOfReplications]))</f>
        <v>50</v>
      </c>
      <c r="K765" cm="1">
        <f t="array" ref="K765">IFERROR(AVERAGE(IF((OutputTable[GroupByKey]=OutputTable[[#This Row],[GroupByKey]]),(OutputTable[GroupByKey]=OutputTable[[#This Row],[GroupByKey]])*OutputTable[RecordedValue])),0)</f>
        <v>2263.14</v>
      </c>
      <c r="L765" cm="1">
        <f t="array" ref="L765">IFERROR(_xlfn.STDEV.S(IF((OutputTable[GroupByKey]=OutputTable[[#This Row],[GroupByKey]]),(OutputTable[GroupByKey]=OutputTable[[#This Row],[GroupByKey]])*OutputTable[RecordedValue])),0)</f>
        <v>47.386818971575821</v>
      </c>
      <c r="M76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765" cm="1">
        <f t="array" ref="O765">MIN(IF((OutputTable[GroupByKey]=OutputTable[[#This Row],[GroupByKey]]),(OutputTable[GroupByKey]=OutputTable[[#This Row],[GroupByKey]])*OutputTable[RecordedValue]))</f>
        <v>2172</v>
      </c>
      <c r="P765" cm="1">
        <f t="array" ref="P765">MAX(IF((OutputTable[GroupByKey]=OutputTable[[#This Row],[GroupByKey]]),(OutputTable[GroupByKey]=OutputTable[[#This Row],[GroupByKey]])*OutputTable[RecordedValue]))</f>
        <v>2386</v>
      </c>
    </row>
    <row r="766" spans="1:16" x14ac:dyDescent="0.25">
      <c r="A766" t="s">
        <v>68</v>
      </c>
      <c r="B766" t="s">
        <v>131</v>
      </c>
      <c r="C766">
        <v>45</v>
      </c>
      <c r="D766" t="s">
        <v>127</v>
      </c>
      <c r="E766" t="s">
        <v>123</v>
      </c>
      <c r="F766" t="s">
        <v>99</v>
      </c>
      <c r="G766">
        <v>0.47472904889996997</v>
      </c>
      <c r="H766">
        <v>0</v>
      </c>
      <c r="I766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766" cm="1">
        <f t="array" ref="J766">MAX(IF((ProjectInfoTable[ProjectName]=OutputTable[[#This Row],[ProjectName]]),(ProjectInfoTable[ProjectName]=OutputTable[[#This Row],[ProjectName]])*ProjectInfoTable[NumberOfReplications]))</f>
        <v>50</v>
      </c>
      <c r="K766" cm="1">
        <f t="array" ref="K766">IFERROR(AVERAGE(IF((OutputTable[GroupByKey]=OutputTable[[#This Row],[GroupByKey]]),(OutputTable[GroupByKey]=OutputTable[[#This Row],[GroupByKey]])*OutputTable[RecordedValue])),0)</f>
        <v>0.47162762933545666</v>
      </c>
      <c r="L766" cm="1">
        <f t="array" ref="L766">IFERROR(_xlfn.STDEV.S(IF((OutputTable[GroupByKey]=OutputTable[[#This Row],[GroupByKey]]),(OutputTable[GroupByKey]=OutputTable[[#This Row],[GroupByKey]])*OutputTable[RecordedValue])),0)</f>
        <v>9.6615227076777797E-3</v>
      </c>
      <c r="M766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766" cm="1">
        <f t="array" ref="O766">MIN(IF((OutputTable[GroupByKey]=OutputTable[[#This Row],[GroupByKey]]),(OutputTable[GroupByKey]=OutputTable[[#This Row],[GroupByKey]])*OutputTable[RecordedValue]))</f>
        <v>0.452397944183905</v>
      </c>
      <c r="P766" cm="1">
        <f t="array" ref="P766">MAX(IF((OutputTable[GroupByKey]=OutputTable[[#This Row],[GroupByKey]]),(OutputTable[GroupByKey]=OutputTable[[#This Row],[GroupByKey]])*OutputTable[RecordedValue]))</f>
        <v>0.49691123629694001</v>
      </c>
    </row>
    <row r="767" spans="1:16" x14ac:dyDescent="0.25">
      <c r="A767" t="s">
        <v>68</v>
      </c>
      <c r="B767" t="s">
        <v>131</v>
      </c>
      <c r="C767">
        <v>46</v>
      </c>
      <c r="D767" t="s">
        <v>104</v>
      </c>
      <c r="E767" t="s">
        <v>105</v>
      </c>
      <c r="F767" t="s">
        <v>72</v>
      </c>
      <c r="G767">
        <v>2429</v>
      </c>
      <c r="H767">
        <v>0</v>
      </c>
      <c r="I767" t="str">
        <f>OutputTable[[#This Row],[ProjectName]]&amp;OutputTable[[#This Row],[Name]]&amp;OutputTable[[#This Row],[Type]]&amp;OutputTable[[#This Row],[Source]]</f>
        <v>PacientesEntity 1.NumberInNumber InEntity</v>
      </c>
      <c r="J767" cm="1">
        <f t="array" ref="J767">MAX(IF((ProjectInfoTable[ProjectName]=OutputTable[[#This Row],[ProjectName]]),(ProjectInfoTable[ProjectName]=OutputTable[[#This Row],[ProjectName]])*ProjectInfoTable[NumberOfReplications]))</f>
        <v>50</v>
      </c>
      <c r="K767" cm="1">
        <f t="array" ref="K767">IFERROR(AVERAGE(IF((OutputTable[GroupByKey]=OutputTable[[#This Row],[GroupByKey]]),(OutputTable[GroupByKey]=OutputTable[[#This Row],[GroupByKey]])*OutputTable[RecordedValue])),0)</f>
        <v>2404.8200000000002</v>
      </c>
      <c r="L767" cm="1">
        <f t="array" ref="L767">IFERROR(_xlfn.STDEV.S(IF((OutputTable[GroupByKey]=OutputTable[[#This Row],[GroupByKey]]),(OutputTable[GroupByKey]=OutputTable[[#This Row],[GroupByKey]])*OutputTable[RecordedValue])),0)</f>
        <v>46.42953405595474</v>
      </c>
      <c r="M767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767" cm="1">
        <f t="array" ref="O767">MIN(IF((OutputTable[GroupByKey]=OutputTable[[#This Row],[GroupByKey]]),(OutputTable[GroupByKey]=OutputTable[[#This Row],[GroupByKey]])*OutputTable[RecordedValue]))</f>
        <v>2307</v>
      </c>
      <c r="P767" cm="1">
        <f t="array" ref="P767">MAX(IF((OutputTable[GroupByKey]=OutputTable[[#This Row],[GroupByKey]]),(OutputTable[GroupByKey]=OutputTable[[#This Row],[GroupByKey]])*OutputTable[RecordedValue]))</f>
        <v>2518</v>
      </c>
    </row>
    <row r="768" spans="1:16" x14ac:dyDescent="0.25">
      <c r="A768" t="s">
        <v>68</v>
      </c>
      <c r="B768" t="s">
        <v>131</v>
      </c>
      <c r="C768">
        <v>46</v>
      </c>
      <c r="D768" t="s">
        <v>106</v>
      </c>
      <c r="E768" t="s">
        <v>107</v>
      </c>
      <c r="F768" t="s">
        <v>72</v>
      </c>
      <c r="G768">
        <v>2429</v>
      </c>
      <c r="H768">
        <v>0</v>
      </c>
      <c r="I768" t="str">
        <f>OutputTable[[#This Row],[ProjectName]]&amp;OutputTable[[#This Row],[Name]]&amp;OutputTable[[#This Row],[Type]]&amp;OutputTable[[#This Row],[Source]]</f>
        <v>PacientesEntity 1.NumberOutNumber OutEntity</v>
      </c>
      <c r="J768" cm="1">
        <f t="array" ref="J768">MAX(IF((ProjectInfoTable[ProjectName]=OutputTable[[#This Row],[ProjectName]]),(ProjectInfoTable[ProjectName]=OutputTable[[#This Row],[ProjectName]])*ProjectInfoTable[NumberOfReplications]))</f>
        <v>50</v>
      </c>
      <c r="K768" cm="1">
        <f t="array" ref="K768">IFERROR(AVERAGE(IF((OutputTable[GroupByKey]=OutputTable[[#This Row],[GroupByKey]]),(OutputTable[GroupByKey]=OutputTable[[#This Row],[GroupByKey]])*OutputTable[RecordedValue])),0)</f>
        <v>2400.2800000000002</v>
      </c>
      <c r="L768" cm="1">
        <f t="array" ref="L768">IFERROR(_xlfn.STDEV.S(IF((OutputTable[GroupByKey]=OutputTable[[#This Row],[GroupByKey]]),(OutputTable[GroupByKey]=OutputTable[[#This Row],[GroupByKey]])*OutputTable[RecordedValue])),0)</f>
        <v>46.409024456676619</v>
      </c>
      <c r="M768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68" cm="1">
        <f t="array" ref="O768">MIN(IF((OutputTable[GroupByKey]=OutputTable[[#This Row],[GroupByKey]]),(OutputTable[GroupByKey]=OutputTable[[#This Row],[GroupByKey]])*OutputTable[RecordedValue]))</f>
        <v>2305</v>
      </c>
      <c r="P768" cm="1">
        <f t="array" ref="P768">MAX(IF((OutputTable[GroupByKey]=OutputTable[[#This Row],[GroupByKey]]),(OutputTable[GroupByKey]=OutputTable[[#This Row],[GroupByKey]])*OutputTable[RecordedValue]))</f>
        <v>2504</v>
      </c>
    </row>
    <row r="769" spans="1:16" x14ac:dyDescent="0.25">
      <c r="A769" t="s">
        <v>68</v>
      </c>
      <c r="B769" t="s">
        <v>131</v>
      </c>
      <c r="C769">
        <v>46</v>
      </c>
      <c r="D769" t="s">
        <v>108</v>
      </c>
      <c r="E769" t="s">
        <v>109</v>
      </c>
      <c r="F769" t="s">
        <v>80</v>
      </c>
      <c r="G769">
        <v>1191.9134546069499</v>
      </c>
      <c r="H769">
        <v>0</v>
      </c>
      <c r="I769" t="str">
        <f>OutputTable[[#This Row],[ProjectName]]&amp;OutputTable[[#This Row],[Name]]&amp;OutputTable[[#This Row],[Type]]&amp;OutputTable[[#This Row],[Source]]</f>
        <v>PacientesProcess 2 Accum VA TimeAccum VA TimeProcess</v>
      </c>
      <c r="J769" cm="1">
        <f t="array" ref="J769">MAX(IF((ProjectInfoTable[ProjectName]=OutputTable[[#This Row],[ProjectName]]),(ProjectInfoTable[ProjectName]=OutputTable[[#This Row],[ProjectName]])*ProjectInfoTable[NumberOfReplications]))</f>
        <v>50</v>
      </c>
      <c r="K769" cm="1">
        <f t="array" ref="K769">IFERROR(AVERAGE(IF((OutputTable[GroupByKey]=OutputTable[[#This Row],[GroupByKey]]),(OutputTable[GroupByKey]=OutputTable[[#This Row],[GroupByKey]])*OutputTable[RecordedValue])),0)</f>
        <v>1181.1234936767919</v>
      </c>
      <c r="L769" cm="1">
        <f t="array" ref="L769">IFERROR(_xlfn.STDEV.S(IF((OutputTable[GroupByKey]=OutputTable[[#This Row],[GroupByKey]]),(OutputTable[GroupByKey]=OutputTable[[#This Row],[GroupByKey]])*OutputTable[RecordedValue])),0)</f>
        <v>22.169313666927575</v>
      </c>
      <c r="M769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769" cm="1">
        <f t="array" ref="O769">MIN(IF((OutputTable[GroupByKey]=OutputTable[[#This Row],[GroupByKey]]),(OutputTable[GroupByKey]=OutputTable[[#This Row],[GroupByKey]])*OutputTable[RecordedValue]))</f>
        <v>1133.24622318414</v>
      </c>
      <c r="P769" cm="1">
        <f t="array" ref="P769">MAX(IF((OutputTable[GroupByKey]=OutputTable[[#This Row],[GroupByKey]]),(OutputTable[GroupByKey]=OutputTable[[#This Row],[GroupByKey]])*OutputTable[RecordedValue]))</f>
        <v>1230.9493287309799</v>
      </c>
    </row>
    <row r="770" spans="1:16" x14ac:dyDescent="0.25">
      <c r="A770" t="s">
        <v>68</v>
      </c>
      <c r="B770" t="s">
        <v>131</v>
      </c>
      <c r="C770">
        <v>46</v>
      </c>
      <c r="D770" t="s">
        <v>110</v>
      </c>
      <c r="E770" t="s">
        <v>111</v>
      </c>
      <c r="F770" t="s">
        <v>80</v>
      </c>
      <c r="G770">
        <v>1956.9154788528599</v>
      </c>
      <c r="H770">
        <v>0</v>
      </c>
      <c r="I770" t="str">
        <f>OutputTable[[#This Row],[ProjectName]]&amp;OutputTable[[#This Row],[Name]]&amp;OutputTable[[#This Row],[Type]]&amp;OutputTable[[#This Row],[Source]]</f>
        <v>PacientesProcess 2 Accum Wait TimeAccum Wait TimeProcess</v>
      </c>
      <c r="J770" cm="1">
        <f t="array" ref="J770">MAX(IF((ProjectInfoTable[ProjectName]=OutputTable[[#This Row],[ProjectName]]),(ProjectInfoTable[ProjectName]=OutputTable[[#This Row],[ProjectName]])*ProjectInfoTable[NumberOfReplications]))</f>
        <v>50</v>
      </c>
      <c r="K770" cm="1">
        <f t="array" ref="K770">IFERROR(AVERAGE(IF((OutputTable[GroupByKey]=OutputTable[[#This Row],[GroupByKey]]),(OutputTable[GroupByKey]=OutputTable[[#This Row],[GroupByKey]])*OutputTable[RecordedValue])),0)</f>
        <v>1938.7515507466894</v>
      </c>
      <c r="L770" cm="1">
        <f t="array" ref="L770">IFERROR(_xlfn.STDEV.S(IF((OutputTable[GroupByKey]=OutputTable[[#This Row],[GroupByKey]]),(OutputTable[GroupByKey]=OutputTable[[#This Row],[GroupByKey]])*OutputTable[RecordedValue])),0)</f>
        <v>534.03396241838232</v>
      </c>
      <c r="M770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770" cm="1">
        <f t="array" ref="O770">MIN(IF((OutputTable[GroupByKey]=OutputTable[[#This Row],[GroupByKey]]),(OutputTable[GroupByKey]=OutputTable[[#This Row],[GroupByKey]])*OutputTable[RecordedValue]))</f>
        <v>1234.7567994731401</v>
      </c>
      <c r="P770" cm="1">
        <f t="array" ref="P770">MAX(IF((OutputTable[GroupByKey]=OutputTable[[#This Row],[GroupByKey]]),(OutputTable[GroupByKey]=OutputTable[[#This Row],[GroupByKey]])*OutputTable[RecordedValue]))</f>
        <v>3269.0858002883801</v>
      </c>
    </row>
    <row r="771" spans="1:16" x14ac:dyDescent="0.25">
      <c r="A771" t="s">
        <v>68</v>
      </c>
      <c r="B771" t="s">
        <v>131</v>
      </c>
      <c r="C771">
        <v>46</v>
      </c>
      <c r="D771" t="s">
        <v>112</v>
      </c>
      <c r="E771" t="s">
        <v>105</v>
      </c>
      <c r="F771" t="s">
        <v>80</v>
      </c>
      <c r="G771">
        <v>2429</v>
      </c>
      <c r="H771">
        <v>0</v>
      </c>
      <c r="I771" t="str">
        <f>OutputTable[[#This Row],[ProjectName]]&amp;OutputTable[[#This Row],[Name]]&amp;OutputTable[[#This Row],[Type]]&amp;OutputTable[[#This Row],[Source]]</f>
        <v>PacientesProcess 2 Number InNumber InProcess</v>
      </c>
      <c r="J771" cm="1">
        <f t="array" ref="J771">MAX(IF((ProjectInfoTable[ProjectName]=OutputTable[[#This Row],[ProjectName]]),(ProjectInfoTable[ProjectName]=OutputTable[[#This Row],[ProjectName]])*ProjectInfoTable[NumberOfReplications]))</f>
        <v>50</v>
      </c>
      <c r="K771" cm="1">
        <f t="array" ref="K771">IFERROR(AVERAGE(IF((OutputTable[GroupByKey]=OutputTable[[#This Row],[GroupByKey]]),(OutputTable[GroupByKey]=OutputTable[[#This Row],[GroupByKey]])*OutputTable[RecordedValue])),0)</f>
        <v>2404.2399999999998</v>
      </c>
      <c r="L771" cm="1">
        <f t="array" ref="L771">IFERROR(_xlfn.STDEV.S(IF((OutputTable[GroupByKey]=OutputTable[[#This Row],[GroupByKey]]),(OutputTable[GroupByKey]=OutputTable[[#This Row],[GroupByKey]])*OutputTable[RecordedValue])),0)</f>
        <v>46.574303154053879</v>
      </c>
      <c r="M771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771" cm="1">
        <f t="array" ref="O771">MIN(IF((OutputTable[GroupByKey]=OutputTable[[#This Row],[GroupByKey]]),(OutputTable[GroupByKey]=OutputTable[[#This Row],[GroupByKey]])*OutputTable[RecordedValue]))</f>
        <v>2306</v>
      </c>
      <c r="P771" cm="1">
        <f t="array" ref="P771">MAX(IF((OutputTable[GroupByKey]=OutputTable[[#This Row],[GroupByKey]]),(OutputTable[GroupByKey]=OutputTable[[#This Row],[GroupByKey]])*OutputTable[RecordedValue]))</f>
        <v>2518</v>
      </c>
    </row>
    <row r="772" spans="1:16" x14ac:dyDescent="0.25">
      <c r="A772" t="s">
        <v>68</v>
      </c>
      <c r="B772" t="s">
        <v>131</v>
      </c>
      <c r="C772">
        <v>46</v>
      </c>
      <c r="D772" t="s">
        <v>113</v>
      </c>
      <c r="E772" t="s">
        <v>107</v>
      </c>
      <c r="F772" t="s">
        <v>80</v>
      </c>
      <c r="G772">
        <v>2429</v>
      </c>
      <c r="H772">
        <v>0</v>
      </c>
      <c r="I772" t="str">
        <f>OutputTable[[#This Row],[ProjectName]]&amp;OutputTable[[#This Row],[Name]]&amp;OutputTable[[#This Row],[Type]]&amp;OutputTable[[#This Row],[Source]]</f>
        <v>PacientesProcess 2 Number OutNumber OutProcess</v>
      </c>
      <c r="J772" cm="1">
        <f t="array" ref="J772">MAX(IF((ProjectInfoTable[ProjectName]=OutputTable[[#This Row],[ProjectName]]),(ProjectInfoTable[ProjectName]=OutputTable[[#This Row],[ProjectName]])*ProjectInfoTable[NumberOfReplications]))</f>
        <v>50</v>
      </c>
      <c r="K772" cm="1">
        <f t="array" ref="K772">IFERROR(AVERAGE(IF((OutputTable[GroupByKey]=OutputTable[[#This Row],[GroupByKey]]),(OutputTable[GroupByKey]=OutputTable[[#This Row],[GroupByKey]])*OutputTable[RecordedValue])),0)</f>
        <v>2400.2800000000002</v>
      </c>
      <c r="L772" cm="1">
        <f t="array" ref="L772">IFERROR(_xlfn.STDEV.S(IF((OutputTable[GroupByKey]=OutputTable[[#This Row],[GroupByKey]]),(OutputTable[GroupByKey]=OutputTable[[#This Row],[GroupByKey]])*OutputTable[RecordedValue])),0)</f>
        <v>46.409024456676619</v>
      </c>
      <c r="M772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72" cm="1">
        <f t="array" ref="O772">MIN(IF((OutputTable[GroupByKey]=OutputTable[[#This Row],[GroupByKey]]),(OutputTable[GroupByKey]=OutputTable[[#This Row],[GroupByKey]])*OutputTable[RecordedValue]))</f>
        <v>2305</v>
      </c>
      <c r="P772" cm="1">
        <f t="array" ref="P772">MAX(IF((OutputTable[GroupByKey]=OutputTable[[#This Row],[GroupByKey]]),(OutputTable[GroupByKey]=OutputTable[[#This Row],[GroupByKey]])*OutputTable[RecordedValue]))</f>
        <v>2504</v>
      </c>
    </row>
    <row r="773" spans="1:16" x14ac:dyDescent="0.25">
      <c r="A773" t="s">
        <v>68</v>
      </c>
      <c r="B773" t="s">
        <v>131</v>
      </c>
      <c r="C773">
        <v>46</v>
      </c>
      <c r="D773" t="s">
        <v>114</v>
      </c>
      <c r="E773" t="s">
        <v>109</v>
      </c>
      <c r="F773" t="s">
        <v>80</v>
      </c>
      <c r="G773">
        <v>339.33171492224398</v>
      </c>
      <c r="H773">
        <v>0</v>
      </c>
      <c r="I773" t="str">
        <f>OutputTable[[#This Row],[ProjectName]]&amp;OutputTable[[#This Row],[Name]]&amp;OutputTable[[#This Row],[Type]]&amp;OutputTable[[#This Row],[Source]]</f>
        <v>PacientesRegistro Accum VA TimeAccum VA TimeProcess</v>
      </c>
      <c r="J773" cm="1">
        <f t="array" ref="J773">MAX(IF((ProjectInfoTable[ProjectName]=OutputTable[[#This Row],[ProjectName]]),(ProjectInfoTable[ProjectName]=OutputTable[[#This Row],[ProjectName]])*ProjectInfoTable[NumberOfReplications]))</f>
        <v>50</v>
      </c>
      <c r="K773" cm="1">
        <f t="array" ref="K773">IFERROR(AVERAGE(IF((OutputTable[GroupByKey]=OutputTable[[#This Row],[GroupByKey]]),(OutputTable[GroupByKey]=OutputTable[[#This Row],[GroupByKey]])*OutputTable[RecordedValue])),0)</f>
        <v>339.53547737062786</v>
      </c>
      <c r="L773" cm="1">
        <f t="array" ref="L773">IFERROR(_xlfn.STDEV.S(IF((OutputTable[GroupByKey]=OutputTable[[#This Row],[GroupByKey]]),(OutputTable[GroupByKey]=OutputTable[[#This Row],[GroupByKey]])*OutputTable[RecordedValue])),0)</f>
        <v>6.9723666109353193</v>
      </c>
      <c r="M773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773" cm="1">
        <f t="array" ref="O773">MIN(IF((OutputTable[GroupByKey]=OutputTable[[#This Row],[GroupByKey]]),(OutputTable[GroupByKey]=OutputTable[[#This Row],[GroupByKey]])*OutputTable[RecordedValue]))</f>
        <v>325.606879158418</v>
      </c>
      <c r="P773" cm="1">
        <f t="array" ref="P773">MAX(IF((OutputTable[GroupByKey]=OutputTable[[#This Row],[GroupByKey]]),(OutputTable[GroupByKey]=OutputTable[[#This Row],[GroupByKey]])*OutputTable[RecordedValue]))</f>
        <v>357.77609013379703</v>
      </c>
    </row>
    <row r="774" spans="1:16" x14ac:dyDescent="0.25">
      <c r="A774" t="s">
        <v>68</v>
      </c>
      <c r="B774" t="s">
        <v>131</v>
      </c>
      <c r="C774">
        <v>46</v>
      </c>
      <c r="D774" t="s">
        <v>115</v>
      </c>
      <c r="E774" t="s">
        <v>111</v>
      </c>
      <c r="F774" t="s">
        <v>80</v>
      </c>
      <c r="G774">
        <v>152.49314823723199</v>
      </c>
      <c r="H774">
        <v>0</v>
      </c>
      <c r="I774" t="str">
        <f>OutputTable[[#This Row],[ProjectName]]&amp;OutputTable[[#This Row],[Name]]&amp;OutputTable[[#This Row],[Type]]&amp;OutputTable[[#This Row],[Source]]</f>
        <v>PacientesRegistro Accum Wait TimeAccum Wait TimeProcess</v>
      </c>
      <c r="J774" cm="1">
        <f t="array" ref="J774">MAX(IF((ProjectInfoTable[ProjectName]=OutputTable[[#This Row],[ProjectName]]),(ProjectInfoTable[ProjectName]=OutputTable[[#This Row],[ProjectName]])*ProjectInfoTable[NumberOfReplications]))</f>
        <v>50</v>
      </c>
      <c r="K774" cm="1">
        <f t="array" ref="K774">IFERROR(AVERAGE(IF((OutputTable[GroupByKey]=OutputTable[[#This Row],[GroupByKey]]),(OutputTable[GroupByKey]=OutputTable[[#This Row],[GroupByKey]])*OutputTable[RecordedValue])),0)</f>
        <v>154.15303898127775</v>
      </c>
      <c r="L774" cm="1">
        <f t="array" ref="L774">IFERROR(_xlfn.STDEV.S(IF((OutputTable[GroupByKey]=OutputTable[[#This Row],[GroupByKey]]),(OutputTable[GroupByKey]=OutputTable[[#This Row],[GroupByKey]])*OutputTable[RecordedValue])),0)</f>
        <v>12.141439184615397</v>
      </c>
      <c r="M774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774" cm="1">
        <f t="array" ref="O774">MIN(IF((OutputTable[GroupByKey]=OutputTable[[#This Row],[GroupByKey]]),(OutputTable[GroupByKey]=OutputTable[[#This Row],[GroupByKey]])*OutputTable[RecordedValue]))</f>
        <v>123.901613974094</v>
      </c>
      <c r="P774" cm="1">
        <f t="array" ref="P774">MAX(IF((OutputTable[GroupByKey]=OutputTable[[#This Row],[GroupByKey]]),(OutputTable[GroupByKey]=OutputTable[[#This Row],[GroupByKey]])*OutputTable[RecordedValue]))</f>
        <v>178.441307284473</v>
      </c>
    </row>
    <row r="775" spans="1:16" x14ac:dyDescent="0.25">
      <c r="A775" t="s">
        <v>68</v>
      </c>
      <c r="B775" t="s">
        <v>131</v>
      </c>
      <c r="C775">
        <v>46</v>
      </c>
      <c r="D775" t="s">
        <v>116</v>
      </c>
      <c r="E775" t="s">
        <v>105</v>
      </c>
      <c r="F775" t="s">
        <v>80</v>
      </c>
      <c r="G775">
        <v>2283</v>
      </c>
      <c r="H775">
        <v>0</v>
      </c>
      <c r="I775" t="str">
        <f>OutputTable[[#This Row],[ProjectName]]&amp;OutputTable[[#This Row],[Name]]&amp;OutputTable[[#This Row],[Type]]&amp;OutputTable[[#This Row],[Source]]</f>
        <v>PacientesRegistro Number InNumber InProcess</v>
      </c>
      <c r="J775" cm="1">
        <f t="array" ref="J775">MAX(IF((ProjectInfoTable[ProjectName]=OutputTable[[#This Row],[ProjectName]]),(ProjectInfoTable[ProjectName]=OutputTable[[#This Row],[ProjectName]])*ProjectInfoTable[NumberOfReplications]))</f>
        <v>50</v>
      </c>
      <c r="K775" cm="1">
        <f t="array" ref="K775">IFERROR(AVERAGE(IF((OutputTable[GroupByKey]=OutputTable[[#This Row],[GroupByKey]]),(OutputTable[GroupByKey]=OutputTable[[#This Row],[GroupByKey]])*OutputTable[RecordedValue])),0)</f>
        <v>2263.2399999999998</v>
      </c>
      <c r="L775" cm="1">
        <f t="array" ref="L775">IFERROR(_xlfn.STDEV.S(IF((OutputTable[GroupByKey]=OutputTable[[#This Row],[GroupByKey]]),(OutputTable[GroupByKey]=OutputTable[[#This Row],[GroupByKey]])*OutputTable[RecordedValue])),0)</f>
        <v>47.331035682472766</v>
      </c>
      <c r="M77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775" cm="1">
        <f t="array" ref="O775">MIN(IF((OutputTable[GroupByKey]=OutputTable[[#This Row],[GroupByKey]]),(OutputTable[GroupByKey]=OutputTable[[#This Row],[GroupByKey]])*OutputTable[RecordedValue]))</f>
        <v>2172</v>
      </c>
      <c r="P775" cm="1">
        <f t="array" ref="P775">MAX(IF((OutputTable[GroupByKey]=OutputTable[[#This Row],[GroupByKey]]),(OutputTable[GroupByKey]=OutputTable[[#This Row],[GroupByKey]])*OutputTable[RecordedValue]))</f>
        <v>2386</v>
      </c>
    </row>
    <row r="776" spans="1:16" x14ac:dyDescent="0.25">
      <c r="A776" t="s">
        <v>68</v>
      </c>
      <c r="B776" t="s">
        <v>131</v>
      </c>
      <c r="C776">
        <v>46</v>
      </c>
      <c r="D776" t="s">
        <v>117</v>
      </c>
      <c r="E776" t="s">
        <v>107</v>
      </c>
      <c r="F776" t="s">
        <v>80</v>
      </c>
      <c r="G776">
        <v>2283</v>
      </c>
      <c r="H776">
        <v>0</v>
      </c>
      <c r="I776" t="str">
        <f>OutputTable[[#This Row],[ProjectName]]&amp;OutputTable[[#This Row],[Name]]&amp;OutputTable[[#This Row],[Type]]&amp;OutputTable[[#This Row],[Source]]</f>
        <v>PacientesRegistro Number OutNumber OutProcess</v>
      </c>
      <c r="J776" cm="1">
        <f t="array" ref="J776">MAX(IF((ProjectInfoTable[ProjectName]=OutputTable[[#This Row],[ProjectName]]),(ProjectInfoTable[ProjectName]=OutputTable[[#This Row],[ProjectName]])*ProjectInfoTable[NumberOfReplications]))</f>
        <v>50</v>
      </c>
      <c r="K776" cm="1">
        <f t="array" ref="K776">IFERROR(AVERAGE(IF((OutputTable[GroupByKey]=OutputTable[[#This Row],[GroupByKey]]),(OutputTable[GroupByKey]=OutputTable[[#This Row],[GroupByKey]])*OutputTable[RecordedValue])),0)</f>
        <v>2262.66</v>
      </c>
      <c r="L776" cm="1">
        <f t="array" ref="L776">IFERROR(_xlfn.STDEV.S(IF((OutputTable[GroupByKey]=OutputTable[[#This Row],[GroupByKey]]),(OutputTable[GroupByKey]=OutputTable[[#This Row],[GroupByKey]])*OutputTable[RecordedValue])),0)</f>
        <v>47.488176831454687</v>
      </c>
      <c r="M776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776" cm="1">
        <f t="array" ref="O776">MIN(IF((OutputTable[GroupByKey]=OutputTable[[#This Row],[GroupByKey]]),(OutputTable[GroupByKey]=OutputTable[[#This Row],[GroupByKey]])*OutputTable[RecordedValue]))</f>
        <v>2171</v>
      </c>
      <c r="P776" cm="1">
        <f t="array" ref="P776">MAX(IF((OutputTable[GroupByKey]=OutputTable[[#This Row],[GroupByKey]]),(OutputTable[GroupByKey]=OutputTable[[#This Row],[GroupByKey]])*OutputTable[RecordedValue]))</f>
        <v>2386</v>
      </c>
    </row>
    <row r="777" spans="1:16" x14ac:dyDescent="0.25">
      <c r="A777" t="s">
        <v>68</v>
      </c>
      <c r="B777" t="s">
        <v>131</v>
      </c>
      <c r="C777">
        <v>46</v>
      </c>
      <c r="D777" t="s">
        <v>118</v>
      </c>
      <c r="E777" t="s">
        <v>107</v>
      </c>
      <c r="F777" t="s">
        <v>119</v>
      </c>
      <c r="G777">
        <v>2429</v>
      </c>
      <c r="H777">
        <v>0</v>
      </c>
      <c r="I777" t="str">
        <f>OutputTable[[#This Row],[ProjectName]]&amp;OutputTable[[#This Row],[Name]]&amp;OutputTable[[#This Row],[Type]]&amp;OutputTable[[#This Row],[Source]]</f>
        <v>PacientesSystem.NumberOutNumber OutSystem</v>
      </c>
      <c r="J777" cm="1">
        <f t="array" ref="J777">MAX(IF((ProjectInfoTable[ProjectName]=OutputTable[[#This Row],[ProjectName]]),(ProjectInfoTable[ProjectName]=OutputTable[[#This Row],[ProjectName]])*ProjectInfoTable[NumberOfReplications]))</f>
        <v>50</v>
      </c>
      <c r="K777" cm="1">
        <f t="array" ref="K777">IFERROR(AVERAGE(IF((OutputTable[GroupByKey]=OutputTable[[#This Row],[GroupByKey]]),(OutputTable[GroupByKey]=OutputTable[[#This Row],[GroupByKey]])*OutputTable[RecordedValue])),0)</f>
        <v>2400.2800000000002</v>
      </c>
      <c r="L777" cm="1">
        <f t="array" ref="L777">IFERROR(_xlfn.STDEV.S(IF((OutputTable[GroupByKey]=OutputTable[[#This Row],[GroupByKey]]),(OutputTable[GroupByKey]=OutputTable[[#This Row],[GroupByKey]])*OutputTable[RecordedValue])),0)</f>
        <v>46.409024456676619</v>
      </c>
      <c r="M777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77" cm="1">
        <f t="array" ref="O777">MIN(IF((OutputTable[GroupByKey]=OutputTable[[#This Row],[GroupByKey]]),(OutputTable[GroupByKey]=OutputTable[[#This Row],[GroupByKey]])*OutputTable[RecordedValue]))</f>
        <v>2305</v>
      </c>
      <c r="P777" cm="1">
        <f t="array" ref="P777">MAX(IF((OutputTable[GroupByKey]=OutputTable[[#This Row],[GroupByKey]]),(OutputTable[GroupByKey]=OutputTable[[#This Row],[GroupByKey]])*OutputTable[RecordedValue]))</f>
        <v>2504</v>
      </c>
    </row>
    <row r="778" spans="1:16" x14ac:dyDescent="0.25">
      <c r="A778" t="s">
        <v>68</v>
      </c>
      <c r="B778" t="s">
        <v>131</v>
      </c>
      <c r="C778">
        <v>46</v>
      </c>
      <c r="D778" t="s">
        <v>120</v>
      </c>
      <c r="E778" t="s">
        <v>121</v>
      </c>
      <c r="F778" t="s">
        <v>99</v>
      </c>
      <c r="G778">
        <v>2429</v>
      </c>
      <c r="H778">
        <v>0</v>
      </c>
      <c r="I778" t="str">
        <f>OutputTable[[#This Row],[ProjectName]]&amp;OutputTable[[#This Row],[Name]]&amp;OutputTable[[#This Row],[Type]]&amp;OutputTable[[#This Row],[Source]]</f>
        <v>PacientesrCamas.NumberSeizedTotal Number SeizedResource</v>
      </c>
      <c r="J778" cm="1">
        <f t="array" ref="J778">MAX(IF((ProjectInfoTable[ProjectName]=OutputTable[[#This Row],[ProjectName]]),(ProjectInfoTable[ProjectName]=OutputTable[[#This Row],[ProjectName]])*ProjectInfoTable[NumberOfReplications]))</f>
        <v>50</v>
      </c>
      <c r="K778" cm="1">
        <f t="array" ref="K778">IFERROR(AVERAGE(IF((OutputTable[GroupByKey]=OutputTable[[#This Row],[GroupByKey]]),(OutputTable[GroupByKey]=OutputTable[[#This Row],[GroupByKey]])*OutputTable[RecordedValue])),0)</f>
        <v>2401.9</v>
      </c>
      <c r="L778" cm="1">
        <f t="array" ref="L778">IFERROR(_xlfn.STDEV.S(IF((OutputTable[GroupByKey]=OutputTable[[#This Row],[GroupByKey]]),(OutputTable[GroupByKey]=OutputTable[[#This Row],[GroupByKey]])*OutputTable[RecordedValue])),0)</f>
        <v>46.417031532903209</v>
      </c>
      <c r="M778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78" cm="1">
        <f t="array" ref="O778">MIN(IF((OutputTable[GroupByKey]=OutputTable[[#This Row],[GroupByKey]]),(OutputTable[GroupByKey]=OutputTable[[#This Row],[GroupByKey]])*OutputTable[RecordedValue]))</f>
        <v>2306</v>
      </c>
      <c r="P778" cm="1">
        <f t="array" ref="P778">MAX(IF((OutputTable[GroupByKey]=OutputTable[[#This Row],[GroupByKey]]),(OutputTable[GroupByKey]=OutputTable[[#This Row],[GroupByKey]])*OutputTable[RecordedValue]))</f>
        <v>2506</v>
      </c>
    </row>
    <row r="779" spans="1:16" x14ac:dyDescent="0.25">
      <c r="A779" t="s">
        <v>68</v>
      </c>
      <c r="B779" t="s">
        <v>131</v>
      </c>
      <c r="C779">
        <v>46</v>
      </c>
      <c r="D779" t="s">
        <v>122</v>
      </c>
      <c r="E779" t="s">
        <v>123</v>
      </c>
      <c r="F779" t="s">
        <v>99</v>
      </c>
      <c r="G779">
        <v>0.55181178454025803</v>
      </c>
      <c r="H779">
        <v>0</v>
      </c>
      <c r="I779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779" cm="1">
        <f t="array" ref="J779">MAX(IF((ProjectInfoTable[ProjectName]=OutputTable[[#This Row],[ProjectName]]),(ProjectInfoTable[ProjectName]=OutputTable[[#This Row],[ProjectName]])*ProjectInfoTable[NumberOfReplications]))</f>
        <v>50</v>
      </c>
      <c r="K779" cm="1">
        <f t="array" ref="K779">IFERROR(AVERAGE(IF((OutputTable[GroupByKey]=OutputTable[[#This Row],[GroupByKey]]),(OutputTable[GroupByKey]=OutputTable[[#This Row],[GroupByKey]])*OutputTable[RecordedValue])),0)</f>
        <v>0.54703961359050601</v>
      </c>
      <c r="L779" cm="1">
        <f t="array" ref="L779">IFERROR(_xlfn.STDEV.S(IF((OutputTable[GroupByKey]=OutputTable[[#This Row],[GroupByKey]]),(OutputTable[GroupByKey]=OutputTable[[#This Row],[GroupByKey]])*OutputTable[RecordedValue])),0)</f>
        <v>1.0221170008030479E-2</v>
      </c>
      <c r="M779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779" cm="1">
        <f t="array" ref="O779">MIN(IF((OutputTable[GroupByKey]=OutputTable[[#This Row],[GroupByKey]]),(OutputTable[GroupByKey]=OutputTable[[#This Row],[GroupByKey]])*OutputTable[RecordedValue]))</f>
        <v>0.52470641844357901</v>
      </c>
      <c r="P779" cm="1">
        <f t="array" ref="P779">MAX(IF((OutputTable[GroupByKey]=OutputTable[[#This Row],[GroupByKey]]),(OutputTable[GroupByKey]=OutputTable[[#This Row],[GroupByKey]])*OutputTable[RecordedValue]))</f>
        <v>0.57005812966092295</v>
      </c>
    </row>
    <row r="780" spans="1:16" x14ac:dyDescent="0.25">
      <c r="A780" t="s">
        <v>68</v>
      </c>
      <c r="B780" t="s">
        <v>131</v>
      </c>
      <c r="C780">
        <v>46</v>
      </c>
      <c r="D780" t="s">
        <v>124</v>
      </c>
      <c r="E780" t="s">
        <v>121</v>
      </c>
      <c r="F780" t="s">
        <v>99</v>
      </c>
      <c r="G780">
        <v>2429</v>
      </c>
      <c r="H780">
        <v>0</v>
      </c>
      <c r="I780" t="str">
        <f>OutputTable[[#This Row],[ProjectName]]&amp;OutputTable[[#This Row],[Name]]&amp;OutputTable[[#This Row],[Type]]&amp;OutputTable[[#This Row],[Source]]</f>
        <v>PacientesrMedico.NumberSeizedTotal Number SeizedResource</v>
      </c>
      <c r="J780" cm="1">
        <f t="array" ref="J780">MAX(IF((ProjectInfoTable[ProjectName]=OutputTable[[#This Row],[ProjectName]]),(ProjectInfoTable[ProjectName]=OutputTable[[#This Row],[ProjectName]])*ProjectInfoTable[NumberOfReplications]))</f>
        <v>50</v>
      </c>
      <c r="K780" cm="1">
        <f t="array" ref="K780">IFERROR(AVERAGE(IF((OutputTable[GroupByKey]=OutputTable[[#This Row],[GroupByKey]]),(OutputTable[GroupByKey]=OutputTable[[#This Row],[GroupByKey]])*OutputTable[RecordedValue])),0)</f>
        <v>2401.9</v>
      </c>
      <c r="L780" cm="1">
        <f t="array" ref="L780">IFERROR(_xlfn.STDEV.S(IF((OutputTable[GroupByKey]=OutputTable[[#This Row],[GroupByKey]]),(OutputTable[GroupByKey]=OutputTable[[#This Row],[GroupByKey]])*OutputTable[RecordedValue])),0)</f>
        <v>46.417031532903209</v>
      </c>
      <c r="M780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80" cm="1">
        <f t="array" ref="O780">MIN(IF((OutputTable[GroupByKey]=OutputTable[[#This Row],[GroupByKey]]),(OutputTable[GroupByKey]=OutputTable[[#This Row],[GroupByKey]])*OutputTable[RecordedValue]))</f>
        <v>2306</v>
      </c>
      <c r="P780" cm="1">
        <f t="array" ref="P780">MAX(IF((OutputTable[GroupByKey]=OutputTable[[#This Row],[GroupByKey]]),(OutputTable[GroupByKey]=OutputTable[[#This Row],[GroupByKey]])*OutputTable[RecordedValue]))</f>
        <v>2506</v>
      </c>
    </row>
    <row r="781" spans="1:16" x14ac:dyDescent="0.25">
      <c r="A781" t="s">
        <v>68</v>
      </c>
      <c r="B781" t="s">
        <v>131</v>
      </c>
      <c r="C781">
        <v>46</v>
      </c>
      <c r="D781" t="s">
        <v>125</v>
      </c>
      <c r="E781" t="s">
        <v>123</v>
      </c>
      <c r="F781" t="s">
        <v>99</v>
      </c>
      <c r="G781">
        <v>0.82771767681038699</v>
      </c>
      <c r="H781">
        <v>0</v>
      </c>
      <c r="I781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781" cm="1">
        <f t="array" ref="J781">MAX(IF((ProjectInfoTable[ProjectName]=OutputTable[[#This Row],[ProjectName]]),(ProjectInfoTable[ProjectName]=OutputTable[[#This Row],[ProjectName]])*ProjectInfoTable[NumberOfReplications]))</f>
        <v>50</v>
      </c>
      <c r="K781" cm="1">
        <f t="array" ref="K781">IFERROR(AVERAGE(IF((OutputTable[GroupByKey]=OutputTable[[#This Row],[GroupByKey]]),(OutputTable[GroupByKey]=OutputTable[[#This Row],[GroupByKey]])*OutputTable[RecordedValue])),0)</f>
        <v>0.82055942038575935</v>
      </c>
      <c r="L781" cm="1">
        <f t="array" ref="L781">IFERROR(_xlfn.STDEV.S(IF((OutputTable[GroupByKey]=OutputTable[[#This Row],[GroupByKey]]),(OutputTable[GroupByKey]=OutputTable[[#This Row],[GroupByKey]])*OutputTable[RecordedValue])),0)</f>
        <v>1.5331755012045719E-2</v>
      </c>
      <c r="M781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781" cm="1">
        <f t="array" ref="O781">MIN(IF((OutputTable[GroupByKey]=OutputTable[[#This Row],[GroupByKey]]),(OutputTable[GroupByKey]=OutputTable[[#This Row],[GroupByKey]])*OutputTable[RecordedValue]))</f>
        <v>0.78705962766536897</v>
      </c>
      <c r="P781" cm="1">
        <f t="array" ref="P781">MAX(IF((OutputTable[GroupByKey]=OutputTable[[#This Row],[GroupByKey]]),(OutputTable[GroupByKey]=OutputTable[[#This Row],[GroupByKey]])*OutputTable[RecordedValue]))</f>
        <v>0.85508719449138504</v>
      </c>
    </row>
    <row r="782" spans="1:16" x14ac:dyDescent="0.25">
      <c r="A782" t="s">
        <v>68</v>
      </c>
      <c r="B782" t="s">
        <v>131</v>
      </c>
      <c r="C782">
        <v>46</v>
      </c>
      <c r="D782" t="s">
        <v>126</v>
      </c>
      <c r="E782" t="s">
        <v>121</v>
      </c>
      <c r="F782" t="s">
        <v>99</v>
      </c>
      <c r="G782">
        <v>2283</v>
      </c>
      <c r="H782">
        <v>0</v>
      </c>
      <c r="I782" t="str">
        <f>OutputTable[[#This Row],[ProjectName]]&amp;OutputTable[[#This Row],[Name]]&amp;OutputTable[[#This Row],[Type]]&amp;OutputTable[[#This Row],[Source]]</f>
        <v>PacientesrRegistradora.NumberSeizedTotal Number SeizedResource</v>
      </c>
      <c r="J782" cm="1">
        <f t="array" ref="J782">MAX(IF((ProjectInfoTable[ProjectName]=OutputTable[[#This Row],[ProjectName]]),(ProjectInfoTable[ProjectName]=OutputTable[[#This Row],[ProjectName]])*ProjectInfoTable[NumberOfReplications]))</f>
        <v>50</v>
      </c>
      <c r="K782" cm="1">
        <f t="array" ref="K782">IFERROR(AVERAGE(IF((OutputTable[GroupByKey]=OutputTable[[#This Row],[GroupByKey]]),(OutputTable[GroupByKey]=OutputTable[[#This Row],[GroupByKey]])*OutputTable[RecordedValue])),0)</f>
        <v>2263.14</v>
      </c>
      <c r="L782" cm="1">
        <f t="array" ref="L782">IFERROR(_xlfn.STDEV.S(IF((OutputTable[GroupByKey]=OutputTable[[#This Row],[GroupByKey]]),(OutputTable[GroupByKey]=OutputTable[[#This Row],[GroupByKey]])*OutputTable[RecordedValue])),0)</f>
        <v>47.386818971575821</v>
      </c>
      <c r="M782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782" cm="1">
        <f t="array" ref="O782">MIN(IF((OutputTable[GroupByKey]=OutputTable[[#This Row],[GroupByKey]]),(OutputTable[GroupByKey]=OutputTable[[#This Row],[GroupByKey]])*OutputTable[RecordedValue]))</f>
        <v>2172</v>
      </c>
      <c r="P782" cm="1">
        <f t="array" ref="P782">MAX(IF((OutputTable[GroupByKey]=OutputTable[[#This Row],[GroupByKey]]),(OutputTable[GroupByKey]=OutputTable[[#This Row],[GroupByKey]])*OutputTable[RecordedValue]))</f>
        <v>2386</v>
      </c>
    </row>
    <row r="783" spans="1:16" x14ac:dyDescent="0.25">
      <c r="A783" t="s">
        <v>68</v>
      </c>
      <c r="B783" t="s">
        <v>131</v>
      </c>
      <c r="C783">
        <v>46</v>
      </c>
      <c r="D783" t="s">
        <v>127</v>
      </c>
      <c r="E783" t="s">
        <v>123</v>
      </c>
      <c r="F783" t="s">
        <v>99</v>
      </c>
      <c r="G783">
        <v>0.47129404850311701</v>
      </c>
      <c r="H783">
        <v>0</v>
      </c>
      <c r="I783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783" cm="1">
        <f t="array" ref="J783">MAX(IF((ProjectInfoTable[ProjectName]=OutputTable[[#This Row],[ProjectName]]),(ProjectInfoTable[ProjectName]=OutputTable[[#This Row],[ProjectName]])*ProjectInfoTable[NumberOfReplications]))</f>
        <v>50</v>
      </c>
      <c r="K783" cm="1">
        <f t="array" ref="K783">IFERROR(AVERAGE(IF((OutputTable[GroupByKey]=OutputTable[[#This Row],[GroupByKey]]),(OutputTable[GroupByKey]=OutputTable[[#This Row],[GroupByKey]])*OutputTable[RecordedValue])),0)</f>
        <v>0.47162762933545666</v>
      </c>
      <c r="L783" cm="1">
        <f t="array" ref="L783">IFERROR(_xlfn.STDEV.S(IF((OutputTable[GroupByKey]=OutputTable[[#This Row],[GroupByKey]]),(OutputTable[GroupByKey]=OutputTable[[#This Row],[GroupByKey]])*OutputTable[RecordedValue])),0)</f>
        <v>9.6615227076777797E-3</v>
      </c>
      <c r="M783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783" cm="1">
        <f t="array" ref="O783">MIN(IF((OutputTable[GroupByKey]=OutputTable[[#This Row],[GroupByKey]]),(OutputTable[GroupByKey]=OutputTable[[#This Row],[GroupByKey]])*OutputTable[RecordedValue]))</f>
        <v>0.452397944183905</v>
      </c>
      <c r="P783" cm="1">
        <f t="array" ref="P783">MAX(IF((OutputTable[GroupByKey]=OutputTable[[#This Row],[GroupByKey]]),(OutputTable[GroupByKey]=OutputTable[[#This Row],[GroupByKey]])*OutputTable[RecordedValue]))</f>
        <v>0.49691123629694001</v>
      </c>
    </row>
    <row r="784" spans="1:16" x14ac:dyDescent="0.25">
      <c r="A784" t="s">
        <v>68</v>
      </c>
      <c r="B784" t="s">
        <v>131</v>
      </c>
      <c r="C784">
        <v>47</v>
      </c>
      <c r="D784" t="s">
        <v>104</v>
      </c>
      <c r="E784" t="s">
        <v>105</v>
      </c>
      <c r="F784" t="s">
        <v>72</v>
      </c>
      <c r="G784">
        <v>2453</v>
      </c>
      <c r="H784">
        <v>0</v>
      </c>
      <c r="I784" t="str">
        <f>OutputTable[[#This Row],[ProjectName]]&amp;OutputTable[[#This Row],[Name]]&amp;OutputTable[[#This Row],[Type]]&amp;OutputTable[[#This Row],[Source]]</f>
        <v>PacientesEntity 1.NumberInNumber InEntity</v>
      </c>
      <c r="J784" cm="1">
        <f t="array" ref="J784">MAX(IF((ProjectInfoTable[ProjectName]=OutputTable[[#This Row],[ProjectName]]),(ProjectInfoTable[ProjectName]=OutputTable[[#This Row],[ProjectName]])*ProjectInfoTable[NumberOfReplications]))</f>
        <v>50</v>
      </c>
      <c r="K784" cm="1">
        <f t="array" ref="K784">IFERROR(AVERAGE(IF((OutputTable[GroupByKey]=OutputTable[[#This Row],[GroupByKey]]),(OutputTable[GroupByKey]=OutputTable[[#This Row],[GroupByKey]])*OutputTable[RecordedValue])),0)</f>
        <v>2404.8200000000002</v>
      </c>
      <c r="L784" cm="1">
        <f t="array" ref="L784">IFERROR(_xlfn.STDEV.S(IF((OutputTable[GroupByKey]=OutputTable[[#This Row],[GroupByKey]]),(OutputTable[GroupByKey]=OutputTable[[#This Row],[GroupByKey]])*OutputTable[RecordedValue])),0)</f>
        <v>46.42953405595474</v>
      </c>
      <c r="M784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784" cm="1">
        <f t="array" ref="O784">MIN(IF((OutputTable[GroupByKey]=OutputTable[[#This Row],[GroupByKey]]),(OutputTable[GroupByKey]=OutputTable[[#This Row],[GroupByKey]])*OutputTable[RecordedValue]))</f>
        <v>2307</v>
      </c>
      <c r="P784" cm="1">
        <f t="array" ref="P784">MAX(IF((OutputTable[GroupByKey]=OutputTable[[#This Row],[GroupByKey]]),(OutputTable[GroupByKey]=OutputTable[[#This Row],[GroupByKey]])*OutputTable[RecordedValue]))</f>
        <v>2518</v>
      </c>
    </row>
    <row r="785" spans="1:16" x14ac:dyDescent="0.25">
      <c r="A785" t="s">
        <v>68</v>
      </c>
      <c r="B785" t="s">
        <v>131</v>
      </c>
      <c r="C785">
        <v>47</v>
      </c>
      <c r="D785" t="s">
        <v>106</v>
      </c>
      <c r="E785" t="s">
        <v>107</v>
      </c>
      <c r="F785" t="s">
        <v>72</v>
      </c>
      <c r="G785">
        <v>2450</v>
      </c>
      <c r="H785">
        <v>0</v>
      </c>
      <c r="I785" t="str">
        <f>OutputTable[[#This Row],[ProjectName]]&amp;OutputTable[[#This Row],[Name]]&amp;OutputTable[[#This Row],[Type]]&amp;OutputTable[[#This Row],[Source]]</f>
        <v>PacientesEntity 1.NumberOutNumber OutEntity</v>
      </c>
      <c r="J785" cm="1">
        <f t="array" ref="J785">MAX(IF((ProjectInfoTable[ProjectName]=OutputTable[[#This Row],[ProjectName]]),(ProjectInfoTable[ProjectName]=OutputTable[[#This Row],[ProjectName]])*ProjectInfoTable[NumberOfReplications]))</f>
        <v>50</v>
      </c>
      <c r="K785" cm="1">
        <f t="array" ref="K785">IFERROR(AVERAGE(IF((OutputTable[GroupByKey]=OutputTable[[#This Row],[GroupByKey]]),(OutputTable[GroupByKey]=OutputTable[[#This Row],[GroupByKey]])*OutputTable[RecordedValue])),0)</f>
        <v>2400.2800000000002</v>
      </c>
      <c r="L785" cm="1">
        <f t="array" ref="L785">IFERROR(_xlfn.STDEV.S(IF((OutputTable[GroupByKey]=OutputTable[[#This Row],[GroupByKey]]),(OutputTable[GroupByKey]=OutputTable[[#This Row],[GroupByKey]])*OutputTable[RecordedValue])),0)</f>
        <v>46.409024456676619</v>
      </c>
      <c r="M78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85" cm="1">
        <f t="array" ref="O785">MIN(IF((OutputTable[GroupByKey]=OutputTable[[#This Row],[GroupByKey]]),(OutputTable[GroupByKey]=OutputTable[[#This Row],[GroupByKey]])*OutputTable[RecordedValue]))</f>
        <v>2305</v>
      </c>
      <c r="P785" cm="1">
        <f t="array" ref="P785">MAX(IF((OutputTable[GroupByKey]=OutputTable[[#This Row],[GroupByKey]]),(OutputTable[GroupByKey]=OutputTable[[#This Row],[GroupByKey]])*OutputTable[RecordedValue]))</f>
        <v>2504</v>
      </c>
    </row>
    <row r="786" spans="1:16" x14ac:dyDescent="0.25">
      <c r="A786" t="s">
        <v>68</v>
      </c>
      <c r="B786" t="s">
        <v>131</v>
      </c>
      <c r="C786">
        <v>47</v>
      </c>
      <c r="D786" t="s">
        <v>108</v>
      </c>
      <c r="E786" t="s">
        <v>109</v>
      </c>
      <c r="F786" t="s">
        <v>80</v>
      </c>
      <c r="G786">
        <v>1193.90512730722</v>
      </c>
      <c r="H786">
        <v>0</v>
      </c>
      <c r="I786" t="str">
        <f>OutputTable[[#This Row],[ProjectName]]&amp;OutputTable[[#This Row],[Name]]&amp;OutputTable[[#This Row],[Type]]&amp;OutputTable[[#This Row],[Source]]</f>
        <v>PacientesProcess 2 Accum VA TimeAccum VA TimeProcess</v>
      </c>
      <c r="J786" cm="1">
        <f t="array" ref="J786">MAX(IF((ProjectInfoTable[ProjectName]=OutputTable[[#This Row],[ProjectName]]),(ProjectInfoTable[ProjectName]=OutputTable[[#This Row],[ProjectName]])*ProjectInfoTable[NumberOfReplications]))</f>
        <v>50</v>
      </c>
      <c r="K786" cm="1">
        <f t="array" ref="K786">IFERROR(AVERAGE(IF((OutputTable[GroupByKey]=OutputTable[[#This Row],[GroupByKey]]),(OutputTable[GroupByKey]=OutputTable[[#This Row],[GroupByKey]])*OutputTable[RecordedValue])),0)</f>
        <v>1181.1234936767919</v>
      </c>
      <c r="L786" cm="1">
        <f t="array" ref="L786">IFERROR(_xlfn.STDEV.S(IF((OutputTable[GroupByKey]=OutputTable[[#This Row],[GroupByKey]]),(OutputTable[GroupByKey]=OutputTable[[#This Row],[GroupByKey]])*OutputTable[RecordedValue])),0)</f>
        <v>22.169313666927575</v>
      </c>
      <c r="M786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786" cm="1">
        <f t="array" ref="O786">MIN(IF((OutputTable[GroupByKey]=OutputTable[[#This Row],[GroupByKey]]),(OutputTable[GroupByKey]=OutputTable[[#This Row],[GroupByKey]])*OutputTable[RecordedValue]))</f>
        <v>1133.24622318414</v>
      </c>
      <c r="P786" cm="1">
        <f t="array" ref="P786">MAX(IF((OutputTable[GroupByKey]=OutputTable[[#This Row],[GroupByKey]]),(OutputTable[GroupByKey]=OutputTable[[#This Row],[GroupByKey]])*OutputTable[RecordedValue]))</f>
        <v>1230.9493287309799</v>
      </c>
    </row>
    <row r="787" spans="1:16" x14ac:dyDescent="0.25">
      <c r="A787" t="s">
        <v>68</v>
      </c>
      <c r="B787" t="s">
        <v>131</v>
      </c>
      <c r="C787">
        <v>47</v>
      </c>
      <c r="D787" t="s">
        <v>110</v>
      </c>
      <c r="E787" t="s">
        <v>111</v>
      </c>
      <c r="F787" t="s">
        <v>80</v>
      </c>
      <c r="G787">
        <v>2382.5494257862802</v>
      </c>
      <c r="H787">
        <v>0</v>
      </c>
      <c r="I787" t="str">
        <f>OutputTable[[#This Row],[ProjectName]]&amp;OutputTable[[#This Row],[Name]]&amp;OutputTable[[#This Row],[Type]]&amp;OutputTable[[#This Row],[Source]]</f>
        <v>PacientesProcess 2 Accum Wait TimeAccum Wait TimeProcess</v>
      </c>
      <c r="J787" cm="1">
        <f t="array" ref="J787">MAX(IF((ProjectInfoTable[ProjectName]=OutputTable[[#This Row],[ProjectName]]),(ProjectInfoTable[ProjectName]=OutputTable[[#This Row],[ProjectName]])*ProjectInfoTable[NumberOfReplications]))</f>
        <v>50</v>
      </c>
      <c r="K787" cm="1">
        <f t="array" ref="K787">IFERROR(AVERAGE(IF((OutputTable[GroupByKey]=OutputTable[[#This Row],[GroupByKey]]),(OutputTable[GroupByKey]=OutputTable[[#This Row],[GroupByKey]])*OutputTable[RecordedValue])),0)</f>
        <v>1938.7515507466894</v>
      </c>
      <c r="L787" cm="1">
        <f t="array" ref="L787">IFERROR(_xlfn.STDEV.S(IF((OutputTable[GroupByKey]=OutputTable[[#This Row],[GroupByKey]]),(OutputTable[GroupByKey]=OutputTable[[#This Row],[GroupByKey]])*OutputTable[RecordedValue])),0)</f>
        <v>534.03396241838232</v>
      </c>
      <c r="M787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787" cm="1">
        <f t="array" ref="O787">MIN(IF((OutputTable[GroupByKey]=OutputTable[[#This Row],[GroupByKey]]),(OutputTable[GroupByKey]=OutputTable[[#This Row],[GroupByKey]])*OutputTable[RecordedValue]))</f>
        <v>1234.7567994731401</v>
      </c>
      <c r="P787" cm="1">
        <f t="array" ref="P787">MAX(IF((OutputTable[GroupByKey]=OutputTable[[#This Row],[GroupByKey]]),(OutputTable[GroupByKey]=OutputTable[[#This Row],[GroupByKey]])*OutputTable[RecordedValue]))</f>
        <v>3269.0858002883801</v>
      </c>
    </row>
    <row r="788" spans="1:16" x14ac:dyDescent="0.25">
      <c r="A788" t="s">
        <v>68</v>
      </c>
      <c r="B788" t="s">
        <v>131</v>
      </c>
      <c r="C788">
        <v>47</v>
      </c>
      <c r="D788" t="s">
        <v>112</v>
      </c>
      <c r="E788" t="s">
        <v>105</v>
      </c>
      <c r="F788" t="s">
        <v>80</v>
      </c>
      <c r="G788">
        <v>2453</v>
      </c>
      <c r="H788">
        <v>0</v>
      </c>
      <c r="I788" t="str">
        <f>OutputTable[[#This Row],[ProjectName]]&amp;OutputTable[[#This Row],[Name]]&amp;OutputTable[[#This Row],[Type]]&amp;OutputTable[[#This Row],[Source]]</f>
        <v>PacientesProcess 2 Number InNumber InProcess</v>
      </c>
      <c r="J788" cm="1">
        <f t="array" ref="J788">MAX(IF((ProjectInfoTable[ProjectName]=OutputTable[[#This Row],[ProjectName]]),(ProjectInfoTable[ProjectName]=OutputTable[[#This Row],[ProjectName]])*ProjectInfoTable[NumberOfReplications]))</f>
        <v>50</v>
      </c>
      <c r="K788" cm="1">
        <f t="array" ref="K788">IFERROR(AVERAGE(IF((OutputTable[GroupByKey]=OutputTable[[#This Row],[GroupByKey]]),(OutputTable[GroupByKey]=OutputTable[[#This Row],[GroupByKey]])*OutputTable[RecordedValue])),0)</f>
        <v>2404.2399999999998</v>
      </c>
      <c r="L788" cm="1">
        <f t="array" ref="L788">IFERROR(_xlfn.STDEV.S(IF((OutputTable[GroupByKey]=OutputTable[[#This Row],[GroupByKey]]),(OutputTable[GroupByKey]=OutputTable[[#This Row],[GroupByKey]])*OutputTable[RecordedValue])),0)</f>
        <v>46.574303154053879</v>
      </c>
      <c r="M788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788" cm="1">
        <f t="array" ref="O788">MIN(IF((OutputTable[GroupByKey]=OutputTable[[#This Row],[GroupByKey]]),(OutputTable[GroupByKey]=OutputTable[[#This Row],[GroupByKey]])*OutputTable[RecordedValue]))</f>
        <v>2306</v>
      </c>
      <c r="P788" cm="1">
        <f t="array" ref="P788">MAX(IF((OutputTable[GroupByKey]=OutputTable[[#This Row],[GroupByKey]]),(OutputTable[GroupByKey]=OutputTable[[#This Row],[GroupByKey]])*OutputTable[RecordedValue]))</f>
        <v>2518</v>
      </c>
    </row>
    <row r="789" spans="1:16" x14ac:dyDescent="0.25">
      <c r="A789" t="s">
        <v>68</v>
      </c>
      <c r="B789" t="s">
        <v>131</v>
      </c>
      <c r="C789">
        <v>47</v>
      </c>
      <c r="D789" t="s">
        <v>113</v>
      </c>
      <c r="E789" t="s">
        <v>107</v>
      </c>
      <c r="F789" t="s">
        <v>80</v>
      </c>
      <c r="G789">
        <v>2450</v>
      </c>
      <c r="H789">
        <v>0</v>
      </c>
      <c r="I789" t="str">
        <f>OutputTable[[#This Row],[ProjectName]]&amp;OutputTable[[#This Row],[Name]]&amp;OutputTable[[#This Row],[Type]]&amp;OutputTable[[#This Row],[Source]]</f>
        <v>PacientesProcess 2 Number OutNumber OutProcess</v>
      </c>
      <c r="J789" cm="1">
        <f t="array" ref="J789">MAX(IF((ProjectInfoTable[ProjectName]=OutputTable[[#This Row],[ProjectName]]),(ProjectInfoTable[ProjectName]=OutputTable[[#This Row],[ProjectName]])*ProjectInfoTable[NumberOfReplications]))</f>
        <v>50</v>
      </c>
      <c r="K789" cm="1">
        <f t="array" ref="K789">IFERROR(AVERAGE(IF((OutputTable[GroupByKey]=OutputTable[[#This Row],[GroupByKey]]),(OutputTable[GroupByKey]=OutputTable[[#This Row],[GroupByKey]])*OutputTable[RecordedValue])),0)</f>
        <v>2400.2800000000002</v>
      </c>
      <c r="L789" cm="1">
        <f t="array" ref="L789">IFERROR(_xlfn.STDEV.S(IF((OutputTable[GroupByKey]=OutputTable[[#This Row],[GroupByKey]]),(OutputTable[GroupByKey]=OutputTable[[#This Row],[GroupByKey]])*OutputTable[RecordedValue])),0)</f>
        <v>46.409024456676619</v>
      </c>
      <c r="M789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89" cm="1">
        <f t="array" ref="O789">MIN(IF((OutputTable[GroupByKey]=OutputTable[[#This Row],[GroupByKey]]),(OutputTable[GroupByKey]=OutputTable[[#This Row],[GroupByKey]])*OutputTable[RecordedValue]))</f>
        <v>2305</v>
      </c>
      <c r="P789" cm="1">
        <f t="array" ref="P789">MAX(IF((OutputTable[GroupByKey]=OutputTable[[#This Row],[GroupByKey]]),(OutputTable[GroupByKey]=OutputTable[[#This Row],[GroupByKey]])*OutputTable[RecordedValue]))</f>
        <v>2504</v>
      </c>
    </row>
    <row r="790" spans="1:16" x14ac:dyDescent="0.25">
      <c r="A790" t="s">
        <v>68</v>
      </c>
      <c r="B790" t="s">
        <v>131</v>
      </c>
      <c r="C790">
        <v>47</v>
      </c>
      <c r="D790" t="s">
        <v>114</v>
      </c>
      <c r="E790" t="s">
        <v>109</v>
      </c>
      <c r="F790" t="s">
        <v>80</v>
      </c>
      <c r="G790">
        <v>347.57127037951801</v>
      </c>
      <c r="H790">
        <v>0</v>
      </c>
      <c r="I790" t="str">
        <f>OutputTable[[#This Row],[ProjectName]]&amp;OutputTable[[#This Row],[Name]]&amp;OutputTable[[#This Row],[Type]]&amp;OutputTable[[#This Row],[Source]]</f>
        <v>PacientesRegistro Accum VA TimeAccum VA TimeProcess</v>
      </c>
      <c r="J790" cm="1">
        <f t="array" ref="J790">MAX(IF((ProjectInfoTable[ProjectName]=OutputTable[[#This Row],[ProjectName]]),(ProjectInfoTable[ProjectName]=OutputTable[[#This Row],[ProjectName]])*ProjectInfoTable[NumberOfReplications]))</f>
        <v>50</v>
      </c>
      <c r="K790" cm="1">
        <f t="array" ref="K790">IFERROR(AVERAGE(IF((OutputTable[GroupByKey]=OutputTable[[#This Row],[GroupByKey]]),(OutputTable[GroupByKey]=OutputTable[[#This Row],[GroupByKey]])*OutputTable[RecordedValue])),0)</f>
        <v>339.53547737062786</v>
      </c>
      <c r="L790" cm="1">
        <f t="array" ref="L790">IFERROR(_xlfn.STDEV.S(IF((OutputTable[GroupByKey]=OutputTable[[#This Row],[GroupByKey]]),(OutputTable[GroupByKey]=OutputTable[[#This Row],[GroupByKey]])*OutputTable[RecordedValue])),0)</f>
        <v>6.9723666109353193</v>
      </c>
      <c r="M790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790" cm="1">
        <f t="array" ref="O790">MIN(IF((OutputTable[GroupByKey]=OutputTable[[#This Row],[GroupByKey]]),(OutputTable[GroupByKey]=OutputTable[[#This Row],[GroupByKey]])*OutputTable[RecordedValue]))</f>
        <v>325.606879158418</v>
      </c>
      <c r="P790" cm="1">
        <f t="array" ref="P790">MAX(IF((OutputTable[GroupByKey]=OutputTable[[#This Row],[GroupByKey]]),(OutputTable[GroupByKey]=OutputTable[[#This Row],[GroupByKey]])*OutputTable[RecordedValue]))</f>
        <v>357.77609013379703</v>
      </c>
    </row>
    <row r="791" spans="1:16" x14ac:dyDescent="0.25">
      <c r="A791" t="s">
        <v>68</v>
      </c>
      <c r="B791" t="s">
        <v>131</v>
      </c>
      <c r="C791">
        <v>47</v>
      </c>
      <c r="D791" t="s">
        <v>115</v>
      </c>
      <c r="E791" t="s">
        <v>111</v>
      </c>
      <c r="F791" t="s">
        <v>80</v>
      </c>
      <c r="G791">
        <v>171.851084301756</v>
      </c>
      <c r="H791">
        <v>0</v>
      </c>
      <c r="I791" t="str">
        <f>OutputTable[[#This Row],[ProjectName]]&amp;OutputTable[[#This Row],[Name]]&amp;OutputTable[[#This Row],[Type]]&amp;OutputTable[[#This Row],[Source]]</f>
        <v>PacientesRegistro Accum Wait TimeAccum Wait TimeProcess</v>
      </c>
      <c r="J791" cm="1">
        <f t="array" ref="J791">MAX(IF((ProjectInfoTable[ProjectName]=OutputTable[[#This Row],[ProjectName]]),(ProjectInfoTable[ProjectName]=OutputTable[[#This Row],[ProjectName]])*ProjectInfoTable[NumberOfReplications]))</f>
        <v>50</v>
      </c>
      <c r="K791" cm="1">
        <f t="array" ref="K791">IFERROR(AVERAGE(IF((OutputTable[GroupByKey]=OutputTable[[#This Row],[GroupByKey]]),(OutputTable[GroupByKey]=OutputTable[[#This Row],[GroupByKey]])*OutputTable[RecordedValue])),0)</f>
        <v>154.15303898127775</v>
      </c>
      <c r="L791" cm="1">
        <f t="array" ref="L791">IFERROR(_xlfn.STDEV.S(IF((OutputTable[GroupByKey]=OutputTable[[#This Row],[GroupByKey]]),(OutputTable[GroupByKey]=OutputTable[[#This Row],[GroupByKey]])*OutputTable[RecordedValue])),0)</f>
        <v>12.141439184615397</v>
      </c>
      <c r="M791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791" cm="1">
        <f t="array" ref="O791">MIN(IF((OutputTable[GroupByKey]=OutputTable[[#This Row],[GroupByKey]]),(OutputTable[GroupByKey]=OutputTable[[#This Row],[GroupByKey]])*OutputTable[RecordedValue]))</f>
        <v>123.901613974094</v>
      </c>
      <c r="P791" cm="1">
        <f t="array" ref="P791">MAX(IF((OutputTable[GroupByKey]=OutputTable[[#This Row],[GroupByKey]]),(OutputTable[GroupByKey]=OutputTable[[#This Row],[GroupByKey]])*OutputTable[RecordedValue]))</f>
        <v>178.441307284473</v>
      </c>
    </row>
    <row r="792" spans="1:16" x14ac:dyDescent="0.25">
      <c r="A792" t="s">
        <v>68</v>
      </c>
      <c r="B792" t="s">
        <v>131</v>
      </c>
      <c r="C792">
        <v>47</v>
      </c>
      <c r="D792" t="s">
        <v>116</v>
      </c>
      <c r="E792" t="s">
        <v>105</v>
      </c>
      <c r="F792" t="s">
        <v>80</v>
      </c>
      <c r="G792">
        <v>2316</v>
      </c>
      <c r="H792">
        <v>0</v>
      </c>
      <c r="I792" t="str">
        <f>OutputTable[[#This Row],[ProjectName]]&amp;OutputTable[[#This Row],[Name]]&amp;OutputTable[[#This Row],[Type]]&amp;OutputTable[[#This Row],[Source]]</f>
        <v>PacientesRegistro Number InNumber InProcess</v>
      </c>
      <c r="J792" cm="1">
        <f t="array" ref="J792">MAX(IF((ProjectInfoTable[ProjectName]=OutputTable[[#This Row],[ProjectName]]),(ProjectInfoTable[ProjectName]=OutputTable[[#This Row],[ProjectName]])*ProjectInfoTable[NumberOfReplications]))</f>
        <v>50</v>
      </c>
      <c r="K792" cm="1">
        <f t="array" ref="K792">IFERROR(AVERAGE(IF((OutputTable[GroupByKey]=OutputTable[[#This Row],[GroupByKey]]),(OutputTable[GroupByKey]=OutputTable[[#This Row],[GroupByKey]])*OutputTable[RecordedValue])),0)</f>
        <v>2263.2399999999998</v>
      </c>
      <c r="L792" cm="1">
        <f t="array" ref="L792">IFERROR(_xlfn.STDEV.S(IF((OutputTable[GroupByKey]=OutputTable[[#This Row],[GroupByKey]]),(OutputTable[GroupByKey]=OutputTable[[#This Row],[GroupByKey]])*OutputTable[RecordedValue])),0)</f>
        <v>47.331035682472766</v>
      </c>
      <c r="M792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792" cm="1">
        <f t="array" ref="O792">MIN(IF((OutputTable[GroupByKey]=OutputTable[[#This Row],[GroupByKey]]),(OutputTable[GroupByKey]=OutputTable[[#This Row],[GroupByKey]])*OutputTable[RecordedValue]))</f>
        <v>2172</v>
      </c>
      <c r="P792" cm="1">
        <f t="array" ref="P792">MAX(IF((OutputTable[GroupByKey]=OutputTable[[#This Row],[GroupByKey]]),(OutputTable[GroupByKey]=OutputTable[[#This Row],[GroupByKey]])*OutputTable[RecordedValue]))</f>
        <v>2386</v>
      </c>
    </row>
    <row r="793" spans="1:16" x14ac:dyDescent="0.25">
      <c r="A793" t="s">
        <v>68</v>
      </c>
      <c r="B793" t="s">
        <v>131</v>
      </c>
      <c r="C793">
        <v>47</v>
      </c>
      <c r="D793" t="s">
        <v>117</v>
      </c>
      <c r="E793" t="s">
        <v>107</v>
      </c>
      <c r="F793" t="s">
        <v>80</v>
      </c>
      <c r="G793">
        <v>2316</v>
      </c>
      <c r="H793">
        <v>0</v>
      </c>
      <c r="I793" t="str">
        <f>OutputTable[[#This Row],[ProjectName]]&amp;OutputTable[[#This Row],[Name]]&amp;OutputTable[[#This Row],[Type]]&amp;OutputTable[[#This Row],[Source]]</f>
        <v>PacientesRegistro Number OutNumber OutProcess</v>
      </c>
      <c r="J793" cm="1">
        <f t="array" ref="J793">MAX(IF((ProjectInfoTable[ProjectName]=OutputTable[[#This Row],[ProjectName]]),(ProjectInfoTable[ProjectName]=OutputTable[[#This Row],[ProjectName]])*ProjectInfoTable[NumberOfReplications]))</f>
        <v>50</v>
      </c>
      <c r="K793" cm="1">
        <f t="array" ref="K793">IFERROR(AVERAGE(IF((OutputTable[GroupByKey]=OutputTable[[#This Row],[GroupByKey]]),(OutputTable[GroupByKey]=OutputTable[[#This Row],[GroupByKey]])*OutputTable[RecordedValue])),0)</f>
        <v>2262.66</v>
      </c>
      <c r="L793" cm="1">
        <f t="array" ref="L793">IFERROR(_xlfn.STDEV.S(IF((OutputTable[GroupByKey]=OutputTable[[#This Row],[GroupByKey]]),(OutputTable[GroupByKey]=OutputTable[[#This Row],[GroupByKey]])*OutputTable[RecordedValue])),0)</f>
        <v>47.488176831454687</v>
      </c>
      <c r="M793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793" cm="1">
        <f t="array" ref="O793">MIN(IF((OutputTable[GroupByKey]=OutputTable[[#This Row],[GroupByKey]]),(OutputTable[GroupByKey]=OutputTable[[#This Row],[GroupByKey]])*OutputTable[RecordedValue]))</f>
        <v>2171</v>
      </c>
      <c r="P793" cm="1">
        <f t="array" ref="P793">MAX(IF((OutputTable[GroupByKey]=OutputTable[[#This Row],[GroupByKey]]),(OutputTable[GroupByKey]=OutputTable[[#This Row],[GroupByKey]])*OutputTable[RecordedValue]))</f>
        <v>2386</v>
      </c>
    </row>
    <row r="794" spans="1:16" x14ac:dyDescent="0.25">
      <c r="A794" t="s">
        <v>68</v>
      </c>
      <c r="B794" t="s">
        <v>131</v>
      </c>
      <c r="C794">
        <v>47</v>
      </c>
      <c r="D794" t="s">
        <v>118</v>
      </c>
      <c r="E794" t="s">
        <v>107</v>
      </c>
      <c r="F794" t="s">
        <v>119</v>
      </c>
      <c r="G794">
        <v>2450</v>
      </c>
      <c r="H794">
        <v>0</v>
      </c>
      <c r="I794" t="str">
        <f>OutputTable[[#This Row],[ProjectName]]&amp;OutputTable[[#This Row],[Name]]&amp;OutputTable[[#This Row],[Type]]&amp;OutputTable[[#This Row],[Source]]</f>
        <v>PacientesSystem.NumberOutNumber OutSystem</v>
      </c>
      <c r="J794" cm="1">
        <f t="array" ref="J794">MAX(IF((ProjectInfoTable[ProjectName]=OutputTable[[#This Row],[ProjectName]]),(ProjectInfoTable[ProjectName]=OutputTable[[#This Row],[ProjectName]])*ProjectInfoTable[NumberOfReplications]))</f>
        <v>50</v>
      </c>
      <c r="K794" cm="1">
        <f t="array" ref="K794">IFERROR(AVERAGE(IF((OutputTable[GroupByKey]=OutputTable[[#This Row],[GroupByKey]]),(OutputTable[GroupByKey]=OutputTable[[#This Row],[GroupByKey]])*OutputTable[RecordedValue])),0)</f>
        <v>2400.2800000000002</v>
      </c>
      <c r="L794" cm="1">
        <f t="array" ref="L794">IFERROR(_xlfn.STDEV.S(IF((OutputTable[GroupByKey]=OutputTable[[#This Row],[GroupByKey]]),(OutputTable[GroupByKey]=OutputTable[[#This Row],[GroupByKey]])*OutputTable[RecordedValue])),0)</f>
        <v>46.409024456676619</v>
      </c>
      <c r="M794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794" cm="1">
        <f t="array" ref="O794">MIN(IF((OutputTable[GroupByKey]=OutputTable[[#This Row],[GroupByKey]]),(OutputTable[GroupByKey]=OutputTable[[#This Row],[GroupByKey]])*OutputTable[RecordedValue]))</f>
        <v>2305</v>
      </c>
      <c r="P794" cm="1">
        <f t="array" ref="P794">MAX(IF((OutputTable[GroupByKey]=OutputTable[[#This Row],[GroupByKey]]),(OutputTable[GroupByKey]=OutputTable[[#This Row],[GroupByKey]])*OutputTable[RecordedValue]))</f>
        <v>2504</v>
      </c>
    </row>
    <row r="795" spans="1:16" x14ac:dyDescent="0.25">
      <c r="A795" t="s">
        <v>68</v>
      </c>
      <c r="B795" t="s">
        <v>131</v>
      </c>
      <c r="C795">
        <v>47</v>
      </c>
      <c r="D795" t="s">
        <v>120</v>
      </c>
      <c r="E795" t="s">
        <v>121</v>
      </c>
      <c r="F795" t="s">
        <v>99</v>
      </c>
      <c r="G795">
        <v>2452</v>
      </c>
      <c r="H795">
        <v>0</v>
      </c>
      <c r="I795" t="str">
        <f>OutputTable[[#This Row],[ProjectName]]&amp;OutputTable[[#This Row],[Name]]&amp;OutputTable[[#This Row],[Type]]&amp;OutputTable[[#This Row],[Source]]</f>
        <v>PacientesrCamas.NumberSeizedTotal Number SeizedResource</v>
      </c>
      <c r="J795" cm="1">
        <f t="array" ref="J795">MAX(IF((ProjectInfoTable[ProjectName]=OutputTable[[#This Row],[ProjectName]]),(ProjectInfoTable[ProjectName]=OutputTable[[#This Row],[ProjectName]])*ProjectInfoTable[NumberOfReplications]))</f>
        <v>50</v>
      </c>
      <c r="K795" cm="1">
        <f t="array" ref="K795">IFERROR(AVERAGE(IF((OutputTable[GroupByKey]=OutputTable[[#This Row],[GroupByKey]]),(OutputTable[GroupByKey]=OutputTable[[#This Row],[GroupByKey]])*OutputTable[RecordedValue])),0)</f>
        <v>2401.9</v>
      </c>
      <c r="L795" cm="1">
        <f t="array" ref="L795">IFERROR(_xlfn.STDEV.S(IF((OutputTable[GroupByKey]=OutputTable[[#This Row],[GroupByKey]]),(OutputTable[GroupByKey]=OutputTable[[#This Row],[GroupByKey]])*OutputTable[RecordedValue])),0)</f>
        <v>46.417031532903209</v>
      </c>
      <c r="M79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95" cm="1">
        <f t="array" ref="O795">MIN(IF((OutputTable[GroupByKey]=OutputTable[[#This Row],[GroupByKey]]),(OutputTable[GroupByKey]=OutputTable[[#This Row],[GroupByKey]])*OutputTable[RecordedValue]))</f>
        <v>2306</v>
      </c>
      <c r="P795" cm="1">
        <f t="array" ref="P795">MAX(IF((OutputTable[GroupByKey]=OutputTable[[#This Row],[GroupByKey]]),(OutputTable[GroupByKey]=OutputTable[[#This Row],[GroupByKey]])*OutputTable[RecordedValue]))</f>
        <v>2506</v>
      </c>
    </row>
    <row r="796" spans="1:16" x14ac:dyDescent="0.25">
      <c r="A796" t="s">
        <v>68</v>
      </c>
      <c r="B796" t="s">
        <v>131</v>
      </c>
      <c r="C796">
        <v>47</v>
      </c>
      <c r="D796" t="s">
        <v>122</v>
      </c>
      <c r="E796" t="s">
        <v>123</v>
      </c>
      <c r="F796" t="s">
        <v>99</v>
      </c>
      <c r="G796">
        <v>0.55285426515053804</v>
      </c>
      <c r="H796">
        <v>0</v>
      </c>
      <c r="I796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796" cm="1">
        <f t="array" ref="J796">MAX(IF((ProjectInfoTable[ProjectName]=OutputTable[[#This Row],[ProjectName]]),(ProjectInfoTable[ProjectName]=OutputTable[[#This Row],[ProjectName]])*ProjectInfoTable[NumberOfReplications]))</f>
        <v>50</v>
      </c>
      <c r="K796" cm="1">
        <f t="array" ref="K796">IFERROR(AVERAGE(IF((OutputTable[GroupByKey]=OutputTable[[#This Row],[GroupByKey]]),(OutputTable[GroupByKey]=OutputTable[[#This Row],[GroupByKey]])*OutputTable[RecordedValue])),0)</f>
        <v>0.54703961359050601</v>
      </c>
      <c r="L796" cm="1">
        <f t="array" ref="L796">IFERROR(_xlfn.STDEV.S(IF((OutputTable[GroupByKey]=OutputTable[[#This Row],[GroupByKey]]),(OutputTable[GroupByKey]=OutputTable[[#This Row],[GroupByKey]])*OutputTable[RecordedValue])),0)</f>
        <v>1.0221170008030479E-2</v>
      </c>
      <c r="M796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796" cm="1">
        <f t="array" ref="O796">MIN(IF((OutputTable[GroupByKey]=OutputTable[[#This Row],[GroupByKey]]),(OutputTable[GroupByKey]=OutputTable[[#This Row],[GroupByKey]])*OutputTable[RecordedValue]))</f>
        <v>0.52470641844357901</v>
      </c>
      <c r="P796" cm="1">
        <f t="array" ref="P796">MAX(IF((OutputTable[GroupByKey]=OutputTable[[#This Row],[GroupByKey]]),(OutputTable[GroupByKey]=OutputTable[[#This Row],[GroupByKey]])*OutputTable[RecordedValue]))</f>
        <v>0.57005812966092295</v>
      </c>
    </row>
    <row r="797" spans="1:16" x14ac:dyDescent="0.25">
      <c r="A797" t="s">
        <v>68</v>
      </c>
      <c r="B797" t="s">
        <v>131</v>
      </c>
      <c r="C797">
        <v>47</v>
      </c>
      <c r="D797" t="s">
        <v>124</v>
      </c>
      <c r="E797" t="s">
        <v>121</v>
      </c>
      <c r="F797" t="s">
        <v>99</v>
      </c>
      <c r="G797">
        <v>2452</v>
      </c>
      <c r="H797">
        <v>0</v>
      </c>
      <c r="I797" t="str">
        <f>OutputTable[[#This Row],[ProjectName]]&amp;OutputTable[[#This Row],[Name]]&amp;OutputTable[[#This Row],[Type]]&amp;OutputTable[[#This Row],[Source]]</f>
        <v>PacientesrMedico.NumberSeizedTotal Number SeizedResource</v>
      </c>
      <c r="J797" cm="1">
        <f t="array" ref="J797">MAX(IF((ProjectInfoTable[ProjectName]=OutputTable[[#This Row],[ProjectName]]),(ProjectInfoTable[ProjectName]=OutputTable[[#This Row],[ProjectName]])*ProjectInfoTable[NumberOfReplications]))</f>
        <v>50</v>
      </c>
      <c r="K797" cm="1">
        <f t="array" ref="K797">IFERROR(AVERAGE(IF((OutputTable[GroupByKey]=OutputTable[[#This Row],[GroupByKey]]),(OutputTable[GroupByKey]=OutputTable[[#This Row],[GroupByKey]])*OutputTable[RecordedValue])),0)</f>
        <v>2401.9</v>
      </c>
      <c r="L797" cm="1">
        <f t="array" ref="L797">IFERROR(_xlfn.STDEV.S(IF((OutputTable[GroupByKey]=OutputTable[[#This Row],[GroupByKey]]),(OutputTable[GroupByKey]=OutputTable[[#This Row],[GroupByKey]])*OutputTable[RecordedValue])),0)</f>
        <v>46.417031532903209</v>
      </c>
      <c r="M797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797" cm="1">
        <f t="array" ref="O797">MIN(IF((OutputTable[GroupByKey]=OutputTable[[#This Row],[GroupByKey]]),(OutputTable[GroupByKey]=OutputTable[[#This Row],[GroupByKey]])*OutputTable[RecordedValue]))</f>
        <v>2306</v>
      </c>
      <c r="P797" cm="1">
        <f t="array" ref="P797">MAX(IF((OutputTable[GroupByKey]=OutputTable[[#This Row],[GroupByKey]]),(OutputTable[GroupByKey]=OutputTable[[#This Row],[GroupByKey]])*OutputTable[RecordedValue]))</f>
        <v>2506</v>
      </c>
    </row>
    <row r="798" spans="1:16" x14ac:dyDescent="0.25">
      <c r="A798" t="s">
        <v>68</v>
      </c>
      <c r="B798" t="s">
        <v>131</v>
      </c>
      <c r="C798">
        <v>47</v>
      </c>
      <c r="D798" t="s">
        <v>125</v>
      </c>
      <c r="E798" t="s">
        <v>123</v>
      </c>
      <c r="F798" t="s">
        <v>99</v>
      </c>
      <c r="G798">
        <v>0.829281397725807</v>
      </c>
      <c r="H798">
        <v>0</v>
      </c>
      <c r="I798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798" cm="1">
        <f t="array" ref="J798">MAX(IF((ProjectInfoTable[ProjectName]=OutputTable[[#This Row],[ProjectName]]),(ProjectInfoTable[ProjectName]=OutputTable[[#This Row],[ProjectName]])*ProjectInfoTable[NumberOfReplications]))</f>
        <v>50</v>
      </c>
      <c r="K798" cm="1">
        <f t="array" ref="K798">IFERROR(AVERAGE(IF((OutputTable[GroupByKey]=OutputTable[[#This Row],[GroupByKey]]),(OutputTable[GroupByKey]=OutputTable[[#This Row],[GroupByKey]])*OutputTable[RecordedValue])),0)</f>
        <v>0.82055942038575935</v>
      </c>
      <c r="L798" cm="1">
        <f t="array" ref="L798">IFERROR(_xlfn.STDEV.S(IF((OutputTable[GroupByKey]=OutputTable[[#This Row],[GroupByKey]]),(OutputTable[GroupByKey]=OutputTable[[#This Row],[GroupByKey]])*OutputTable[RecordedValue])),0)</f>
        <v>1.5331755012045719E-2</v>
      </c>
      <c r="M798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798" cm="1">
        <f t="array" ref="O798">MIN(IF((OutputTable[GroupByKey]=OutputTable[[#This Row],[GroupByKey]]),(OutputTable[GroupByKey]=OutputTable[[#This Row],[GroupByKey]])*OutputTable[RecordedValue]))</f>
        <v>0.78705962766536897</v>
      </c>
      <c r="P798" cm="1">
        <f t="array" ref="P798">MAX(IF((OutputTable[GroupByKey]=OutputTable[[#This Row],[GroupByKey]]),(OutputTable[GroupByKey]=OutputTable[[#This Row],[GroupByKey]])*OutputTable[RecordedValue]))</f>
        <v>0.85508719449138504</v>
      </c>
    </row>
    <row r="799" spans="1:16" x14ac:dyDescent="0.25">
      <c r="A799" t="s">
        <v>68</v>
      </c>
      <c r="B799" t="s">
        <v>131</v>
      </c>
      <c r="C799">
        <v>47</v>
      </c>
      <c r="D799" t="s">
        <v>126</v>
      </c>
      <c r="E799" t="s">
        <v>121</v>
      </c>
      <c r="F799" t="s">
        <v>99</v>
      </c>
      <c r="G799">
        <v>2316</v>
      </c>
      <c r="H799">
        <v>0</v>
      </c>
      <c r="I799" t="str">
        <f>OutputTable[[#This Row],[ProjectName]]&amp;OutputTable[[#This Row],[Name]]&amp;OutputTable[[#This Row],[Type]]&amp;OutputTable[[#This Row],[Source]]</f>
        <v>PacientesrRegistradora.NumberSeizedTotal Number SeizedResource</v>
      </c>
      <c r="J799" cm="1">
        <f t="array" ref="J799">MAX(IF((ProjectInfoTable[ProjectName]=OutputTable[[#This Row],[ProjectName]]),(ProjectInfoTable[ProjectName]=OutputTable[[#This Row],[ProjectName]])*ProjectInfoTable[NumberOfReplications]))</f>
        <v>50</v>
      </c>
      <c r="K799" cm="1">
        <f t="array" ref="K799">IFERROR(AVERAGE(IF((OutputTable[GroupByKey]=OutputTable[[#This Row],[GroupByKey]]),(OutputTable[GroupByKey]=OutputTable[[#This Row],[GroupByKey]])*OutputTable[RecordedValue])),0)</f>
        <v>2263.14</v>
      </c>
      <c r="L799" cm="1">
        <f t="array" ref="L799">IFERROR(_xlfn.STDEV.S(IF((OutputTable[GroupByKey]=OutputTable[[#This Row],[GroupByKey]]),(OutputTable[GroupByKey]=OutputTable[[#This Row],[GroupByKey]])*OutputTable[RecordedValue])),0)</f>
        <v>47.386818971575821</v>
      </c>
      <c r="M799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799" cm="1">
        <f t="array" ref="O799">MIN(IF((OutputTable[GroupByKey]=OutputTable[[#This Row],[GroupByKey]]),(OutputTable[GroupByKey]=OutputTable[[#This Row],[GroupByKey]])*OutputTable[RecordedValue]))</f>
        <v>2172</v>
      </c>
      <c r="P799" cm="1">
        <f t="array" ref="P799">MAX(IF((OutputTable[GroupByKey]=OutputTable[[#This Row],[GroupByKey]]),(OutputTable[GroupByKey]=OutputTable[[#This Row],[GroupByKey]])*OutputTable[RecordedValue]))</f>
        <v>2386</v>
      </c>
    </row>
    <row r="800" spans="1:16" x14ac:dyDescent="0.25">
      <c r="A800" t="s">
        <v>68</v>
      </c>
      <c r="B800" t="s">
        <v>131</v>
      </c>
      <c r="C800">
        <v>47</v>
      </c>
      <c r="D800" t="s">
        <v>127</v>
      </c>
      <c r="E800" t="s">
        <v>123</v>
      </c>
      <c r="F800" t="s">
        <v>99</v>
      </c>
      <c r="G800">
        <v>0.48273787552710801</v>
      </c>
      <c r="H800">
        <v>0</v>
      </c>
      <c r="I800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800" cm="1">
        <f t="array" ref="J800">MAX(IF((ProjectInfoTable[ProjectName]=OutputTable[[#This Row],[ProjectName]]),(ProjectInfoTable[ProjectName]=OutputTable[[#This Row],[ProjectName]])*ProjectInfoTable[NumberOfReplications]))</f>
        <v>50</v>
      </c>
      <c r="K800" cm="1">
        <f t="array" ref="K800">IFERROR(AVERAGE(IF((OutputTable[GroupByKey]=OutputTable[[#This Row],[GroupByKey]]),(OutputTable[GroupByKey]=OutputTable[[#This Row],[GroupByKey]])*OutputTable[RecordedValue])),0)</f>
        <v>0.47162762933545666</v>
      </c>
      <c r="L800" cm="1">
        <f t="array" ref="L800">IFERROR(_xlfn.STDEV.S(IF((OutputTable[GroupByKey]=OutputTable[[#This Row],[GroupByKey]]),(OutputTable[GroupByKey]=OutputTable[[#This Row],[GroupByKey]])*OutputTable[RecordedValue])),0)</f>
        <v>9.6615227076777797E-3</v>
      </c>
      <c r="M800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800" cm="1">
        <f t="array" ref="O800">MIN(IF((OutputTable[GroupByKey]=OutputTable[[#This Row],[GroupByKey]]),(OutputTable[GroupByKey]=OutputTable[[#This Row],[GroupByKey]])*OutputTable[RecordedValue]))</f>
        <v>0.452397944183905</v>
      </c>
      <c r="P800" cm="1">
        <f t="array" ref="P800">MAX(IF((OutputTable[GroupByKey]=OutputTable[[#This Row],[GroupByKey]]),(OutputTable[GroupByKey]=OutputTable[[#This Row],[GroupByKey]])*OutputTable[RecordedValue]))</f>
        <v>0.49691123629694001</v>
      </c>
    </row>
    <row r="801" spans="1:16" x14ac:dyDescent="0.25">
      <c r="A801" t="s">
        <v>68</v>
      </c>
      <c r="B801" t="s">
        <v>131</v>
      </c>
      <c r="C801">
        <v>48</v>
      </c>
      <c r="D801" t="s">
        <v>104</v>
      </c>
      <c r="E801" t="s">
        <v>105</v>
      </c>
      <c r="F801" t="s">
        <v>72</v>
      </c>
      <c r="G801">
        <v>2416</v>
      </c>
      <c r="H801">
        <v>0</v>
      </c>
      <c r="I801" t="str">
        <f>OutputTable[[#This Row],[ProjectName]]&amp;OutputTable[[#This Row],[Name]]&amp;OutputTable[[#This Row],[Type]]&amp;OutputTable[[#This Row],[Source]]</f>
        <v>PacientesEntity 1.NumberInNumber InEntity</v>
      </c>
      <c r="J801" cm="1">
        <f t="array" ref="J801">MAX(IF((ProjectInfoTable[ProjectName]=OutputTable[[#This Row],[ProjectName]]),(ProjectInfoTable[ProjectName]=OutputTable[[#This Row],[ProjectName]])*ProjectInfoTable[NumberOfReplications]))</f>
        <v>50</v>
      </c>
      <c r="K801" cm="1">
        <f t="array" ref="K801">IFERROR(AVERAGE(IF((OutputTable[GroupByKey]=OutputTable[[#This Row],[GroupByKey]]),(OutputTable[GroupByKey]=OutputTable[[#This Row],[GroupByKey]])*OutputTable[RecordedValue])),0)</f>
        <v>2404.8200000000002</v>
      </c>
      <c r="L801" cm="1">
        <f t="array" ref="L801">IFERROR(_xlfn.STDEV.S(IF((OutputTable[GroupByKey]=OutputTable[[#This Row],[GroupByKey]]),(OutputTable[GroupByKey]=OutputTable[[#This Row],[GroupByKey]])*OutputTable[RecordedValue])),0)</f>
        <v>46.42953405595474</v>
      </c>
      <c r="M801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801" cm="1">
        <f t="array" ref="O801">MIN(IF((OutputTable[GroupByKey]=OutputTable[[#This Row],[GroupByKey]]),(OutputTable[GroupByKey]=OutputTable[[#This Row],[GroupByKey]])*OutputTable[RecordedValue]))</f>
        <v>2307</v>
      </c>
      <c r="P801" cm="1">
        <f t="array" ref="P801">MAX(IF((OutputTable[GroupByKey]=OutputTable[[#This Row],[GroupByKey]]),(OutputTable[GroupByKey]=OutputTable[[#This Row],[GroupByKey]])*OutputTable[RecordedValue]))</f>
        <v>2518</v>
      </c>
    </row>
    <row r="802" spans="1:16" x14ac:dyDescent="0.25">
      <c r="A802" t="s">
        <v>68</v>
      </c>
      <c r="B802" t="s">
        <v>131</v>
      </c>
      <c r="C802">
        <v>48</v>
      </c>
      <c r="D802" t="s">
        <v>106</v>
      </c>
      <c r="E802" t="s">
        <v>107</v>
      </c>
      <c r="F802" t="s">
        <v>72</v>
      </c>
      <c r="G802">
        <v>2413</v>
      </c>
      <c r="H802">
        <v>0</v>
      </c>
      <c r="I802" t="str">
        <f>OutputTable[[#This Row],[ProjectName]]&amp;OutputTable[[#This Row],[Name]]&amp;OutputTable[[#This Row],[Type]]&amp;OutputTable[[#This Row],[Source]]</f>
        <v>PacientesEntity 1.NumberOutNumber OutEntity</v>
      </c>
      <c r="J802" cm="1">
        <f t="array" ref="J802">MAX(IF((ProjectInfoTable[ProjectName]=OutputTable[[#This Row],[ProjectName]]),(ProjectInfoTable[ProjectName]=OutputTable[[#This Row],[ProjectName]])*ProjectInfoTable[NumberOfReplications]))</f>
        <v>50</v>
      </c>
      <c r="K802" cm="1">
        <f t="array" ref="K802">IFERROR(AVERAGE(IF((OutputTable[GroupByKey]=OutputTable[[#This Row],[GroupByKey]]),(OutputTable[GroupByKey]=OutputTable[[#This Row],[GroupByKey]])*OutputTable[RecordedValue])),0)</f>
        <v>2400.2800000000002</v>
      </c>
      <c r="L802" cm="1">
        <f t="array" ref="L802">IFERROR(_xlfn.STDEV.S(IF((OutputTable[GroupByKey]=OutputTable[[#This Row],[GroupByKey]]),(OutputTable[GroupByKey]=OutputTable[[#This Row],[GroupByKey]])*OutputTable[RecordedValue])),0)</f>
        <v>46.409024456676619</v>
      </c>
      <c r="M802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02" cm="1">
        <f t="array" ref="O802">MIN(IF((OutputTable[GroupByKey]=OutputTable[[#This Row],[GroupByKey]]),(OutputTable[GroupByKey]=OutputTable[[#This Row],[GroupByKey]])*OutputTable[RecordedValue]))</f>
        <v>2305</v>
      </c>
      <c r="P802" cm="1">
        <f t="array" ref="P802">MAX(IF((OutputTable[GroupByKey]=OutputTable[[#This Row],[GroupByKey]]),(OutputTable[GroupByKey]=OutputTable[[#This Row],[GroupByKey]])*OutputTable[RecordedValue]))</f>
        <v>2504</v>
      </c>
    </row>
    <row r="803" spans="1:16" x14ac:dyDescent="0.25">
      <c r="A803" t="s">
        <v>68</v>
      </c>
      <c r="B803" t="s">
        <v>131</v>
      </c>
      <c r="C803">
        <v>48</v>
      </c>
      <c r="D803" t="s">
        <v>108</v>
      </c>
      <c r="E803" t="s">
        <v>109</v>
      </c>
      <c r="F803" t="s">
        <v>80</v>
      </c>
      <c r="G803">
        <v>1177.4103756453001</v>
      </c>
      <c r="H803">
        <v>0</v>
      </c>
      <c r="I803" t="str">
        <f>OutputTable[[#This Row],[ProjectName]]&amp;OutputTable[[#This Row],[Name]]&amp;OutputTable[[#This Row],[Type]]&amp;OutputTable[[#This Row],[Source]]</f>
        <v>PacientesProcess 2 Accum VA TimeAccum VA TimeProcess</v>
      </c>
      <c r="J803" cm="1">
        <f t="array" ref="J803">MAX(IF((ProjectInfoTable[ProjectName]=OutputTable[[#This Row],[ProjectName]]),(ProjectInfoTable[ProjectName]=OutputTable[[#This Row],[ProjectName]])*ProjectInfoTable[NumberOfReplications]))</f>
        <v>50</v>
      </c>
      <c r="K803" cm="1">
        <f t="array" ref="K803">IFERROR(AVERAGE(IF((OutputTable[GroupByKey]=OutputTable[[#This Row],[GroupByKey]]),(OutputTable[GroupByKey]=OutputTable[[#This Row],[GroupByKey]])*OutputTable[RecordedValue])),0)</f>
        <v>1181.1234936767919</v>
      </c>
      <c r="L803" cm="1">
        <f t="array" ref="L803">IFERROR(_xlfn.STDEV.S(IF((OutputTable[GroupByKey]=OutputTable[[#This Row],[GroupByKey]]),(OutputTable[GroupByKey]=OutputTable[[#This Row],[GroupByKey]])*OutputTable[RecordedValue])),0)</f>
        <v>22.169313666927575</v>
      </c>
      <c r="M803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803" cm="1">
        <f t="array" ref="O803">MIN(IF((OutputTable[GroupByKey]=OutputTable[[#This Row],[GroupByKey]]),(OutputTable[GroupByKey]=OutputTable[[#This Row],[GroupByKey]])*OutputTable[RecordedValue]))</f>
        <v>1133.24622318414</v>
      </c>
      <c r="P803" cm="1">
        <f t="array" ref="P803">MAX(IF((OutputTable[GroupByKey]=OutputTable[[#This Row],[GroupByKey]]),(OutputTable[GroupByKey]=OutputTable[[#This Row],[GroupByKey]])*OutputTable[RecordedValue]))</f>
        <v>1230.9493287309799</v>
      </c>
    </row>
    <row r="804" spans="1:16" x14ac:dyDescent="0.25">
      <c r="A804" t="s">
        <v>68</v>
      </c>
      <c r="B804" t="s">
        <v>131</v>
      </c>
      <c r="C804">
        <v>48</v>
      </c>
      <c r="D804" t="s">
        <v>110</v>
      </c>
      <c r="E804" t="s">
        <v>111</v>
      </c>
      <c r="F804" t="s">
        <v>80</v>
      </c>
      <c r="G804">
        <v>1534.9409857964399</v>
      </c>
      <c r="H804">
        <v>0</v>
      </c>
      <c r="I804" t="str">
        <f>OutputTable[[#This Row],[ProjectName]]&amp;OutputTable[[#This Row],[Name]]&amp;OutputTable[[#This Row],[Type]]&amp;OutputTable[[#This Row],[Source]]</f>
        <v>PacientesProcess 2 Accum Wait TimeAccum Wait TimeProcess</v>
      </c>
      <c r="J804" cm="1">
        <f t="array" ref="J804">MAX(IF((ProjectInfoTable[ProjectName]=OutputTable[[#This Row],[ProjectName]]),(ProjectInfoTable[ProjectName]=OutputTable[[#This Row],[ProjectName]])*ProjectInfoTable[NumberOfReplications]))</f>
        <v>50</v>
      </c>
      <c r="K804" cm="1">
        <f t="array" ref="K804">IFERROR(AVERAGE(IF((OutputTable[GroupByKey]=OutputTable[[#This Row],[GroupByKey]]),(OutputTable[GroupByKey]=OutputTable[[#This Row],[GroupByKey]])*OutputTable[RecordedValue])),0)</f>
        <v>1938.7515507466894</v>
      </c>
      <c r="L804" cm="1">
        <f t="array" ref="L804">IFERROR(_xlfn.STDEV.S(IF((OutputTable[GroupByKey]=OutputTable[[#This Row],[GroupByKey]]),(OutputTable[GroupByKey]=OutputTable[[#This Row],[GroupByKey]])*OutputTable[RecordedValue])),0)</f>
        <v>534.03396241838232</v>
      </c>
      <c r="M804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804" cm="1">
        <f t="array" ref="O804">MIN(IF((OutputTable[GroupByKey]=OutputTable[[#This Row],[GroupByKey]]),(OutputTable[GroupByKey]=OutputTable[[#This Row],[GroupByKey]])*OutputTable[RecordedValue]))</f>
        <v>1234.7567994731401</v>
      </c>
      <c r="P804" cm="1">
        <f t="array" ref="P804">MAX(IF((OutputTable[GroupByKey]=OutputTable[[#This Row],[GroupByKey]]),(OutputTable[GroupByKey]=OutputTable[[#This Row],[GroupByKey]])*OutputTable[RecordedValue]))</f>
        <v>3269.0858002883801</v>
      </c>
    </row>
    <row r="805" spans="1:16" x14ac:dyDescent="0.25">
      <c r="A805" t="s">
        <v>68</v>
      </c>
      <c r="B805" t="s">
        <v>131</v>
      </c>
      <c r="C805">
        <v>48</v>
      </c>
      <c r="D805" t="s">
        <v>112</v>
      </c>
      <c r="E805" t="s">
        <v>105</v>
      </c>
      <c r="F805" t="s">
        <v>80</v>
      </c>
      <c r="G805">
        <v>2416</v>
      </c>
      <c r="H805">
        <v>0</v>
      </c>
      <c r="I805" t="str">
        <f>OutputTable[[#This Row],[ProjectName]]&amp;OutputTable[[#This Row],[Name]]&amp;OutputTable[[#This Row],[Type]]&amp;OutputTable[[#This Row],[Source]]</f>
        <v>PacientesProcess 2 Number InNumber InProcess</v>
      </c>
      <c r="J805" cm="1">
        <f t="array" ref="J805">MAX(IF((ProjectInfoTable[ProjectName]=OutputTable[[#This Row],[ProjectName]]),(ProjectInfoTable[ProjectName]=OutputTable[[#This Row],[ProjectName]])*ProjectInfoTable[NumberOfReplications]))</f>
        <v>50</v>
      </c>
      <c r="K805" cm="1">
        <f t="array" ref="K805">IFERROR(AVERAGE(IF((OutputTable[GroupByKey]=OutputTable[[#This Row],[GroupByKey]]),(OutputTable[GroupByKey]=OutputTable[[#This Row],[GroupByKey]])*OutputTable[RecordedValue])),0)</f>
        <v>2404.2399999999998</v>
      </c>
      <c r="L805" cm="1">
        <f t="array" ref="L805">IFERROR(_xlfn.STDEV.S(IF((OutputTable[GroupByKey]=OutputTable[[#This Row],[GroupByKey]]),(OutputTable[GroupByKey]=OutputTable[[#This Row],[GroupByKey]])*OutputTable[RecordedValue])),0)</f>
        <v>46.574303154053879</v>
      </c>
      <c r="M80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805" cm="1">
        <f t="array" ref="O805">MIN(IF((OutputTable[GroupByKey]=OutputTable[[#This Row],[GroupByKey]]),(OutputTable[GroupByKey]=OutputTable[[#This Row],[GroupByKey]])*OutputTable[RecordedValue]))</f>
        <v>2306</v>
      </c>
      <c r="P805" cm="1">
        <f t="array" ref="P805">MAX(IF((OutputTable[GroupByKey]=OutputTable[[#This Row],[GroupByKey]]),(OutputTable[GroupByKey]=OutputTable[[#This Row],[GroupByKey]])*OutputTable[RecordedValue]))</f>
        <v>2518</v>
      </c>
    </row>
    <row r="806" spans="1:16" x14ac:dyDescent="0.25">
      <c r="A806" t="s">
        <v>68</v>
      </c>
      <c r="B806" t="s">
        <v>131</v>
      </c>
      <c r="C806">
        <v>48</v>
      </c>
      <c r="D806" t="s">
        <v>113</v>
      </c>
      <c r="E806" t="s">
        <v>107</v>
      </c>
      <c r="F806" t="s">
        <v>80</v>
      </c>
      <c r="G806">
        <v>2413</v>
      </c>
      <c r="H806">
        <v>0</v>
      </c>
      <c r="I806" t="str">
        <f>OutputTable[[#This Row],[ProjectName]]&amp;OutputTable[[#This Row],[Name]]&amp;OutputTable[[#This Row],[Type]]&amp;OutputTable[[#This Row],[Source]]</f>
        <v>PacientesProcess 2 Number OutNumber OutProcess</v>
      </c>
      <c r="J806" cm="1">
        <f t="array" ref="J806">MAX(IF((ProjectInfoTable[ProjectName]=OutputTable[[#This Row],[ProjectName]]),(ProjectInfoTable[ProjectName]=OutputTable[[#This Row],[ProjectName]])*ProjectInfoTable[NumberOfReplications]))</f>
        <v>50</v>
      </c>
      <c r="K806" cm="1">
        <f t="array" ref="K806">IFERROR(AVERAGE(IF((OutputTable[GroupByKey]=OutputTable[[#This Row],[GroupByKey]]),(OutputTable[GroupByKey]=OutputTable[[#This Row],[GroupByKey]])*OutputTable[RecordedValue])),0)</f>
        <v>2400.2800000000002</v>
      </c>
      <c r="L806" cm="1">
        <f t="array" ref="L806">IFERROR(_xlfn.STDEV.S(IF((OutputTable[GroupByKey]=OutputTable[[#This Row],[GroupByKey]]),(OutputTable[GroupByKey]=OutputTable[[#This Row],[GroupByKey]])*OutputTable[RecordedValue])),0)</f>
        <v>46.409024456676619</v>
      </c>
      <c r="M806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06" cm="1">
        <f t="array" ref="O806">MIN(IF((OutputTable[GroupByKey]=OutputTable[[#This Row],[GroupByKey]]),(OutputTable[GroupByKey]=OutputTable[[#This Row],[GroupByKey]])*OutputTable[RecordedValue]))</f>
        <v>2305</v>
      </c>
      <c r="P806" cm="1">
        <f t="array" ref="P806">MAX(IF((OutputTable[GroupByKey]=OutputTable[[#This Row],[GroupByKey]]),(OutputTable[GroupByKey]=OutputTable[[#This Row],[GroupByKey]])*OutputTable[RecordedValue]))</f>
        <v>2504</v>
      </c>
    </row>
    <row r="807" spans="1:16" x14ac:dyDescent="0.25">
      <c r="A807" t="s">
        <v>68</v>
      </c>
      <c r="B807" t="s">
        <v>131</v>
      </c>
      <c r="C807">
        <v>48</v>
      </c>
      <c r="D807" t="s">
        <v>114</v>
      </c>
      <c r="E807" t="s">
        <v>109</v>
      </c>
      <c r="F807" t="s">
        <v>80</v>
      </c>
      <c r="G807">
        <v>342.45648414934999</v>
      </c>
      <c r="H807">
        <v>0</v>
      </c>
      <c r="I807" t="str">
        <f>OutputTable[[#This Row],[ProjectName]]&amp;OutputTable[[#This Row],[Name]]&amp;OutputTable[[#This Row],[Type]]&amp;OutputTable[[#This Row],[Source]]</f>
        <v>PacientesRegistro Accum VA TimeAccum VA TimeProcess</v>
      </c>
      <c r="J807" cm="1">
        <f t="array" ref="J807">MAX(IF((ProjectInfoTable[ProjectName]=OutputTable[[#This Row],[ProjectName]]),(ProjectInfoTable[ProjectName]=OutputTable[[#This Row],[ProjectName]])*ProjectInfoTable[NumberOfReplications]))</f>
        <v>50</v>
      </c>
      <c r="K807" cm="1">
        <f t="array" ref="K807">IFERROR(AVERAGE(IF((OutputTable[GroupByKey]=OutputTable[[#This Row],[GroupByKey]]),(OutputTable[GroupByKey]=OutputTable[[#This Row],[GroupByKey]])*OutputTable[RecordedValue])),0)</f>
        <v>339.53547737062786</v>
      </c>
      <c r="L807" cm="1">
        <f t="array" ref="L807">IFERROR(_xlfn.STDEV.S(IF((OutputTable[GroupByKey]=OutputTable[[#This Row],[GroupByKey]]),(OutputTable[GroupByKey]=OutputTable[[#This Row],[GroupByKey]])*OutputTable[RecordedValue])),0)</f>
        <v>6.9723666109353193</v>
      </c>
      <c r="M807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807" cm="1">
        <f t="array" ref="O807">MIN(IF((OutputTable[GroupByKey]=OutputTable[[#This Row],[GroupByKey]]),(OutputTable[GroupByKey]=OutputTable[[#This Row],[GroupByKey]])*OutputTable[RecordedValue]))</f>
        <v>325.606879158418</v>
      </c>
      <c r="P807" cm="1">
        <f t="array" ref="P807">MAX(IF((OutputTable[GroupByKey]=OutputTable[[#This Row],[GroupByKey]]),(OutputTable[GroupByKey]=OutputTable[[#This Row],[GroupByKey]])*OutputTable[RecordedValue]))</f>
        <v>357.77609013379703</v>
      </c>
    </row>
    <row r="808" spans="1:16" x14ac:dyDescent="0.25">
      <c r="A808" t="s">
        <v>68</v>
      </c>
      <c r="B808" t="s">
        <v>131</v>
      </c>
      <c r="C808">
        <v>48</v>
      </c>
      <c r="D808" t="s">
        <v>115</v>
      </c>
      <c r="E808" t="s">
        <v>111</v>
      </c>
      <c r="F808" t="s">
        <v>80</v>
      </c>
      <c r="G808">
        <v>153.162332124355</v>
      </c>
      <c r="H808">
        <v>0</v>
      </c>
      <c r="I808" t="str">
        <f>OutputTable[[#This Row],[ProjectName]]&amp;OutputTable[[#This Row],[Name]]&amp;OutputTable[[#This Row],[Type]]&amp;OutputTable[[#This Row],[Source]]</f>
        <v>PacientesRegistro Accum Wait TimeAccum Wait TimeProcess</v>
      </c>
      <c r="J808" cm="1">
        <f t="array" ref="J808">MAX(IF((ProjectInfoTable[ProjectName]=OutputTable[[#This Row],[ProjectName]]),(ProjectInfoTable[ProjectName]=OutputTable[[#This Row],[ProjectName]])*ProjectInfoTable[NumberOfReplications]))</f>
        <v>50</v>
      </c>
      <c r="K808" cm="1">
        <f t="array" ref="K808">IFERROR(AVERAGE(IF((OutputTable[GroupByKey]=OutputTable[[#This Row],[GroupByKey]]),(OutputTable[GroupByKey]=OutputTable[[#This Row],[GroupByKey]])*OutputTable[RecordedValue])),0)</f>
        <v>154.15303898127775</v>
      </c>
      <c r="L808" cm="1">
        <f t="array" ref="L808">IFERROR(_xlfn.STDEV.S(IF((OutputTable[GroupByKey]=OutputTable[[#This Row],[GroupByKey]]),(OutputTable[GroupByKey]=OutputTable[[#This Row],[GroupByKey]])*OutputTable[RecordedValue])),0)</f>
        <v>12.141439184615397</v>
      </c>
      <c r="M808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808" cm="1">
        <f t="array" ref="O808">MIN(IF((OutputTable[GroupByKey]=OutputTable[[#This Row],[GroupByKey]]),(OutputTable[GroupByKey]=OutputTable[[#This Row],[GroupByKey]])*OutputTable[RecordedValue]))</f>
        <v>123.901613974094</v>
      </c>
      <c r="P808" cm="1">
        <f t="array" ref="P808">MAX(IF((OutputTable[GroupByKey]=OutputTable[[#This Row],[GroupByKey]]),(OutputTable[GroupByKey]=OutputTable[[#This Row],[GroupByKey]])*OutputTable[RecordedValue]))</f>
        <v>178.441307284473</v>
      </c>
    </row>
    <row r="809" spans="1:16" x14ac:dyDescent="0.25">
      <c r="A809" t="s">
        <v>68</v>
      </c>
      <c r="B809" t="s">
        <v>131</v>
      </c>
      <c r="C809">
        <v>48</v>
      </c>
      <c r="D809" t="s">
        <v>116</v>
      </c>
      <c r="E809" t="s">
        <v>105</v>
      </c>
      <c r="F809" t="s">
        <v>80</v>
      </c>
      <c r="G809">
        <v>2275</v>
      </c>
      <c r="H809">
        <v>0</v>
      </c>
      <c r="I809" t="str">
        <f>OutputTable[[#This Row],[ProjectName]]&amp;OutputTable[[#This Row],[Name]]&amp;OutputTable[[#This Row],[Type]]&amp;OutputTable[[#This Row],[Source]]</f>
        <v>PacientesRegistro Number InNumber InProcess</v>
      </c>
      <c r="J809" cm="1">
        <f t="array" ref="J809">MAX(IF((ProjectInfoTable[ProjectName]=OutputTable[[#This Row],[ProjectName]]),(ProjectInfoTable[ProjectName]=OutputTable[[#This Row],[ProjectName]])*ProjectInfoTable[NumberOfReplications]))</f>
        <v>50</v>
      </c>
      <c r="K809" cm="1">
        <f t="array" ref="K809">IFERROR(AVERAGE(IF((OutputTable[GroupByKey]=OutputTable[[#This Row],[GroupByKey]]),(OutputTable[GroupByKey]=OutputTable[[#This Row],[GroupByKey]])*OutputTable[RecordedValue])),0)</f>
        <v>2263.2399999999998</v>
      </c>
      <c r="L809" cm="1">
        <f t="array" ref="L809">IFERROR(_xlfn.STDEV.S(IF((OutputTable[GroupByKey]=OutputTable[[#This Row],[GroupByKey]]),(OutputTable[GroupByKey]=OutputTable[[#This Row],[GroupByKey]])*OutputTable[RecordedValue])),0)</f>
        <v>47.331035682472766</v>
      </c>
      <c r="M809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809" cm="1">
        <f t="array" ref="O809">MIN(IF((OutputTable[GroupByKey]=OutputTable[[#This Row],[GroupByKey]]),(OutputTable[GroupByKey]=OutputTable[[#This Row],[GroupByKey]])*OutputTable[RecordedValue]))</f>
        <v>2172</v>
      </c>
      <c r="P809" cm="1">
        <f t="array" ref="P809">MAX(IF((OutputTable[GroupByKey]=OutputTable[[#This Row],[GroupByKey]]),(OutputTable[GroupByKey]=OutputTable[[#This Row],[GroupByKey]])*OutputTable[RecordedValue]))</f>
        <v>2386</v>
      </c>
    </row>
    <row r="810" spans="1:16" x14ac:dyDescent="0.25">
      <c r="A810" t="s">
        <v>68</v>
      </c>
      <c r="B810" t="s">
        <v>131</v>
      </c>
      <c r="C810">
        <v>48</v>
      </c>
      <c r="D810" t="s">
        <v>117</v>
      </c>
      <c r="E810" t="s">
        <v>107</v>
      </c>
      <c r="F810" t="s">
        <v>80</v>
      </c>
      <c r="G810">
        <v>2275</v>
      </c>
      <c r="H810">
        <v>0</v>
      </c>
      <c r="I810" t="str">
        <f>OutputTable[[#This Row],[ProjectName]]&amp;OutputTable[[#This Row],[Name]]&amp;OutputTable[[#This Row],[Type]]&amp;OutputTable[[#This Row],[Source]]</f>
        <v>PacientesRegistro Number OutNumber OutProcess</v>
      </c>
      <c r="J810" cm="1">
        <f t="array" ref="J810">MAX(IF((ProjectInfoTable[ProjectName]=OutputTable[[#This Row],[ProjectName]]),(ProjectInfoTable[ProjectName]=OutputTable[[#This Row],[ProjectName]])*ProjectInfoTable[NumberOfReplications]))</f>
        <v>50</v>
      </c>
      <c r="K810" cm="1">
        <f t="array" ref="K810">IFERROR(AVERAGE(IF((OutputTable[GroupByKey]=OutputTable[[#This Row],[GroupByKey]]),(OutputTable[GroupByKey]=OutputTable[[#This Row],[GroupByKey]])*OutputTable[RecordedValue])),0)</f>
        <v>2262.66</v>
      </c>
      <c r="L810" cm="1">
        <f t="array" ref="L810">IFERROR(_xlfn.STDEV.S(IF((OutputTable[GroupByKey]=OutputTable[[#This Row],[GroupByKey]]),(OutputTable[GroupByKey]=OutputTable[[#This Row],[GroupByKey]])*OutputTable[RecordedValue])),0)</f>
        <v>47.488176831454687</v>
      </c>
      <c r="M810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810" cm="1">
        <f t="array" ref="O810">MIN(IF((OutputTable[GroupByKey]=OutputTable[[#This Row],[GroupByKey]]),(OutputTable[GroupByKey]=OutputTable[[#This Row],[GroupByKey]])*OutputTable[RecordedValue]))</f>
        <v>2171</v>
      </c>
      <c r="P810" cm="1">
        <f t="array" ref="P810">MAX(IF((OutputTable[GroupByKey]=OutputTable[[#This Row],[GroupByKey]]),(OutputTable[GroupByKey]=OutputTable[[#This Row],[GroupByKey]])*OutputTable[RecordedValue]))</f>
        <v>2386</v>
      </c>
    </row>
    <row r="811" spans="1:16" x14ac:dyDescent="0.25">
      <c r="A811" t="s">
        <v>68</v>
      </c>
      <c r="B811" t="s">
        <v>131</v>
      </c>
      <c r="C811">
        <v>48</v>
      </c>
      <c r="D811" t="s">
        <v>118</v>
      </c>
      <c r="E811" t="s">
        <v>107</v>
      </c>
      <c r="F811" t="s">
        <v>119</v>
      </c>
      <c r="G811">
        <v>2413</v>
      </c>
      <c r="H811">
        <v>0</v>
      </c>
      <c r="I811" t="str">
        <f>OutputTable[[#This Row],[ProjectName]]&amp;OutputTable[[#This Row],[Name]]&amp;OutputTable[[#This Row],[Type]]&amp;OutputTable[[#This Row],[Source]]</f>
        <v>PacientesSystem.NumberOutNumber OutSystem</v>
      </c>
      <c r="J811" cm="1">
        <f t="array" ref="J811">MAX(IF((ProjectInfoTable[ProjectName]=OutputTable[[#This Row],[ProjectName]]),(ProjectInfoTable[ProjectName]=OutputTable[[#This Row],[ProjectName]])*ProjectInfoTable[NumberOfReplications]))</f>
        <v>50</v>
      </c>
      <c r="K811" cm="1">
        <f t="array" ref="K811">IFERROR(AVERAGE(IF((OutputTable[GroupByKey]=OutputTable[[#This Row],[GroupByKey]]),(OutputTable[GroupByKey]=OutputTable[[#This Row],[GroupByKey]])*OutputTable[RecordedValue])),0)</f>
        <v>2400.2800000000002</v>
      </c>
      <c r="L811" cm="1">
        <f t="array" ref="L811">IFERROR(_xlfn.STDEV.S(IF((OutputTable[GroupByKey]=OutputTable[[#This Row],[GroupByKey]]),(OutputTable[GroupByKey]=OutputTable[[#This Row],[GroupByKey]])*OutputTable[RecordedValue])),0)</f>
        <v>46.409024456676619</v>
      </c>
      <c r="M811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11" cm="1">
        <f t="array" ref="O811">MIN(IF((OutputTable[GroupByKey]=OutputTable[[#This Row],[GroupByKey]]),(OutputTable[GroupByKey]=OutputTable[[#This Row],[GroupByKey]])*OutputTable[RecordedValue]))</f>
        <v>2305</v>
      </c>
      <c r="P811" cm="1">
        <f t="array" ref="P811">MAX(IF((OutputTable[GroupByKey]=OutputTable[[#This Row],[GroupByKey]]),(OutputTable[GroupByKey]=OutputTable[[#This Row],[GroupByKey]])*OutputTable[RecordedValue]))</f>
        <v>2504</v>
      </c>
    </row>
    <row r="812" spans="1:16" x14ac:dyDescent="0.25">
      <c r="A812" t="s">
        <v>68</v>
      </c>
      <c r="B812" t="s">
        <v>131</v>
      </c>
      <c r="C812">
        <v>48</v>
      </c>
      <c r="D812" t="s">
        <v>120</v>
      </c>
      <c r="E812" t="s">
        <v>121</v>
      </c>
      <c r="F812" t="s">
        <v>99</v>
      </c>
      <c r="G812">
        <v>2415</v>
      </c>
      <c r="H812">
        <v>0</v>
      </c>
      <c r="I812" t="str">
        <f>OutputTable[[#This Row],[ProjectName]]&amp;OutputTable[[#This Row],[Name]]&amp;OutputTable[[#This Row],[Type]]&amp;OutputTable[[#This Row],[Source]]</f>
        <v>PacientesrCamas.NumberSeizedTotal Number SeizedResource</v>
      </c>
      <c r="J812" cm="1">
        <f t="array" ref="J812">MAX(IF((ProjectInfoTable[ProjectName]=OutputTable[[#This Row],[ProjectName]]),(ProjectInfoTable[ProjectName]=OutputTable[[#This Row],[ProjectName]])*ProjectInfoTable[NumberOfReplications]))</f>
        <v>50</v>
      </c>
      <c r="K812" cm="1">
        <f t="array" ref="K812">IFERROR(AVERAGE(IF((OutputTable[GroupByKey]=OutputTable[[#This Row],[GroupByKey]]),(OutputTable[GroupByKey]=OutputTable[[#This Row],[GroupByKey]])*OutputTable[RecordedValue])),0)</f>
        <v>2401.9</v>
      </c>
      <c r="L812" cm="1">
        <f t="array" ref="L812">IFERROR(_xlfn.STDEV.S(IF((OutputTable[GroupByKey]=OutputTable[[#This Row],[GroupByKey]]),(OutputTable[GroupByKey]=OutputTable[[#This Row],[GroupByKey]])*OutputTable[RecordedValue])),0)</f>
        <v>46.417031532903209</v>
      </c>
      <c r="M812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812" cm="1">
        <f t="array" ref="O812">MIN(IF((OutputTable[GroupByKey]=OutputTable[[#This Row],[GroupByKey]]),(OutputTable[GroupByKey]=OutputTable[[#This Row],[GroupByKey]])*OutputTable[RecordedValue]))</f>
        <v>2306</v>
      </c>
      <c r="P812" cm="1">
        <f t="array" ref="P812">MAX(IF((OutputTable[GroupByKey]=OutputTable[[#This Row],[GroupByKey]]),(OutputTable[GroupByKey]=OutputTable[[#This Row],[GroupByKey]])*OutputTable[RecordedValue]))</f>
        <v>2506</v>
      </c>
    </row>
    <row r="813" spans="1:16" x14ac:dyDescent="0.25">
      <c r="A813" t="s">
        <v>68</v>
      </c>
      <c r="B813" t="s">
        <v>131</v>
      </c>
      <c r="C813">
        <v>48</v>
      </c>
      <c r="D813" t="s">
        <v>122</v>
      </c>
      <c r="E813" t="s">
        <v>123</v>
      </c>
      <c r="F813" t="s">
        <v>99</v>
      </c>
      <c r="G813">
        <v>0.54537828923069498</v>
      </c>
      <c r="H813">
        <v>0</v>
      </c>
      <c r="I813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813" cm="1">
        <f t="array" ref="J813">MAX(IF((ProjectInfoTable[ProjectName]=OutputTable[[#This Row],[ProjectName]]),(ProjectInfoTable[ProjectName]=OutputTable[[#This Row],[ProjectName]])*ProjectInfoTable[NumberOfReplications]))</f>
        <v>50</v>
      </c>
      <c r="K813" cm="1">
        <f t="array" ref="K813">IFERROR(AVERAGE(IF((OutputTable[GroupByKey]=OutputTable[[#This Row],[GroupByKey]]),(OutputTable[GroupByKey]=OutputTable[[#This Row],[GroupByKey]])*OutputTable[RecordedValue])),0)</f>
        <v>0.54703961359050601</v>
      </c>
      <c r="L813" cm="1">
        <f t="array" ref="L813">IFERROR(_xlfn.STDEV.S(IF((OutputTable[GroupByKey]=OutputTable[[#This Row],[GroupByKey]]),(OutputTable[GroupByKey]=OutputTable[[#This Row],[GroupByKey]])*OutputTable[RecordedValue])),0)</f>
        <v>1.0221170008030479E-2</v>
      </c>
      <c r="M813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813" cm="1">
        <f t="array" ref="O813">MIN(IF((OutputTable[GroupByKey]=OutputTable[[#This Row],[GroupByKey]]),(OutputTable[GroupByKey]=OutputTable[[#This Row],[GroupByKey]])*OutputTable[RecordedValue]))</f>
        <v>0.52470641844357901</v>
      </c>
      <c r="P813" cm="1">
        <f t="array" ref="P813">MAX(IF((OutputTable[GroupByKey]=OutputTable[[#This Row],[GroupByKey]]),(OutputTable[GroupByKey]=OutputTable[[#This Row],[GroupByKey]])*OutputTable[RecordedValue]))</f>
        <v>0.57005812966092295</v>
      </c>
    </row>
    <row r="814" spans="1:16" x14ac:dyDescent="0.25">
      <c r="A814" t="s">
        <v>68</v>
      </c>
      <c r="B814" t="s">
        <v>131</v>
      </c>
      <c r="C814">
        <v>48</v>
      </c>
      <c r="D814" t="s">
        <v>124</v>
      </c>
      <c r="E814" t="s">
        <v>121</v>
      </c>
      <c r="F814" t="s">
        <v>99</v>
      </c>
      <c r="G814">
        <v>2415</v>
      </c>
      <c r="H814">
        <v>0</v>
      </c>
      <c r="I814" t="str">
        <f>OutputTable[[#This Row],[ProjectName]]&amp;OutputTable[[#This Row],[Name]]&amp;OutputTable[[#This Row],[Type]]&amp;OutputTable[[#This Row],[Source]]</f>
        <v>PacientesrMedico.NumberSeizedTotal Number SeizedResource</v>
      </c>
      <c r="J814" cm="1">
        <f t="array" ref="J814">MAX(IF((ProjectInfoTable[ProjectName]=OutputTable[[#This Row],[ProjectName]]),(ProjectInfoTable[ProjectName]=OutputTable[[#This Row],[ProjectName]])*ProjectInfoTable[NumberOfReplications]))</f>
        <v>50</v>
      </c>
      <c r="K814" cm="1">
        <f t="array" ref="K814">IFERROR(AVERAGE(IF((OutputTable[GroupByKey]=OutputTable[[#This Row],[GroupByKey]]),(OutputTable[GroupByKey]=OutputTable[[#This Row],[GroupByKey]])*OutputTable[RecordedValue])),0)</f>
        <v>2401.9</v>
      </c>
      <c r="L814" cm="1">
        <f t="array" ref="L814">IFERROR(_xlfn.STDEV.S(IF((OutputTable[GroupByKey]=OutputTable[[#This Row],[GroupByKey]]),(OutputTable[GroupByKey]=OutputTable[[#This Row],[GroupByKey]])*OutputTable[RecordedValue])),0)</f>
        <v>46.417031532903209</v>
      </c>
      <c r="M814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814" cm="1">
        <f t="array" ref="O814">MIN(IF((OutputTable[GroupByKey]=OutputTable[[#This Row],[GroupByKey]]),(OutputTable[GroupByKey]=OutputTable[[#This Row],[GroupByKey]])*OutputTable[RecordedValue]))</f>
        <v>2306</v>
      </c>
      <c r="P814" cm="1">
        <f t="array" ref="P814">MAX(IF((OutputTable[GroupByKey]=OutputTable[[#This Row],[GroupByKey]]),(OutputTable[GroupByKey]=OutputTable[[#This Row],[GroupByKey]])*OutputTable[RecordedValue]))</f>
        <v>2506</v>
      </c>
    </row>
    <row r="815" spans="1:16" x14ac:dyDescent="0.25">
      <c r="A815" t="s">
        <v>68</v>
      </c>
      <c r="B815" t="s">
        <v>131</v>
      </c>
      <c r="C815">
        <v>48</v>
      </c>
      <c r="D815" t="s">
        <v>125</v>
      </c>
      <c r="E815" t="s">
        <v>123</v>
      </c>
      <c r="F815" t="s">
        <v>99</v>
      </c>
      <c r="G815">
        <v>0.81806743384604297</v>
      </c>
      <c r="H815">
        <v>0</v>
      </c>
      <c r="I815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815" cm="1">
        <f t="array" ref="J815">MAX(IF((ProjectInfoTable[ProjectName]=OutputTable[[#This Row],[ProjectName]]),(ProjectInfoTable[ProjectName]=OutputTable[[#This Row],[ProjectName]])*ProjectInfoTable[NumberOfReplications]))</f>
        <v>50</v>
      </c>
      <c r="K815" cm="1">
        <f t="array" ref="K815">IFERROR(AVERAGE(IF((OutputTable[GroupByKey]=OutputTable[[#This Row],[GroupByKey]]),(OutputTable[GroupByKey]=OutputTable[[#This Row],[GroupByKey]])*OutputTable[RecordedValue])),0)</f>
        <v>0.82055942038575935</v>
      </c>
      <c r="L815" cm="1">
        <f t="array" ref="L815">IFERROR(_xlfn.STDEV.S(IF((OutputTable[GroupByKey]=OutputTable[[#This Row],[GroupByKey]]),(OutputTable[GroupByKey]=OutputTable[[#This Row],[GroupByKey]])*OutputTable[RecordedValue])),0)</f>
        <v>1.5331755012045719E-2</v>
      </c>
      <c r="M81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815" cm="1">
        <f t="array" ref="O815">MIN(IF((OutputTable[GroupByKey]=OutputTable[[#This Row],[GroupByKey]]),(OutputTable[GroupByKey]=OutputTable[[#This Row],[GroupByKey]])*OutputTable[RecordedValue]))</f>
        <v>0.78705962766536897</v>
      </c>
      <c r="P815" cm="1">
        <f t="array" ref="P815">MAX(IF((OutputTable[GroupByKey]=OutputTable[[#This Row],[GroupByKey]]),(OutputTable[GroupByKey]=OutputTable[[#This Row],[GroupByKey]])*OutputTable[RecordedValue]))</f>
        <v>0.85508719449138504</v>
      </c>
    </row>
    <row r="816" spans="1:16" x14ac:dyDescent="0.25">
      <c r="A816" t="s">
        <v>68</v>
      </c>
      <c r="B816" t="s">
        <v>131</v>
      </c>
      <c r="C816">
        <v>48</v>
      </c>
      <c r="D816" t="s">
        <v>126</v>
      </c>
      <c r="E816" t="s">
        <v>121</v>
      </c>
      <c r="F816" t="s">
        <v>99</v>
      </c>
      <c r="G816">
        <v>2275</v>
      </c>
      <c r="H816">
        <v>0</v>
      </c>
      <c r="I816" t="str">
        <f>OutputTable[[#This Row],[ProjectName]]&amp;OutputTable[[#This Row],[Name]]&amp;OutputTable[[#This Row],[Type]]&amp;OutputTable[[#This Row],[Source]]</f>
        <v>PacientesrRegistradora.NumberSeizedTotal Number SeizedResource</v>
      </c>
      <c r="J816" cm="1">
        <f t="array" ref="J816">MAX(IF((ProjectInfoTable[ProjectName]=OutputTable[[#This Row],[ProjectName]]),(ProjectInfoTable[ProjectName]=OutputTable[[#This Row],[ProjectName]])*ProjectInfoTable[NumberOfReplications]))</f>
        <v>50</v>
      </c>
      <c r="K816" cm="1">
        <f t="array" ref="K816">IFERROR(AVERAGE(IF((OutputTable[GroupByKey]=OutputTable[[#This Row],[GroupByKey]]),(OutputTable[GroupByKey]=OutputTable[[#This Row],[GroupByKey]])*OutputTable[RecordedValue])),0)</f>
        <v>2263.14</v>
      </c>
      <c r="L816" cm="1">
        <f t="array" ref="L816">IFERROR(_xlfn.STDEV.S(IF((OutputTable[GroupByKey]=OutputTable[[#This Row],[GroupByKey]]),(OutputTable[GroupByKey]=OutputTable[[#This Row],[GroupByKey]])*OutputTable[RecordedValue])),0)</f>
        <v>47.386818971575821</v>
      </c>
      <c r="M816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816" cm="1">
        <f t="array" ref="O816">MIN(IF((OutputTable[GroupByKey]=OutputTable[[#This Row],[GroupByKey]]),(OutputTable[GroupByKey]=OutputTable[[#This Row],[GroupByKey]])*OutputTable[RecordedValue]))</f>
        <v>2172</v>
      </c>
      <c r="P816" cm="1">
        <f t="array" ref="P816">MAX(IF((OutputTable[GroupByKey]=OutputTable[[#This Row],[GroupByKey]]),(OutputTable[GroupByKey]=OutputTable[[#This Row],[GroupByKey]])*OutputTable[RecordedValue]))</f>
        <v>2386</v>
      </c>
    </row>
    <row r="817" spans="1:16" x14ac:dyDescent="0.25">
      <c r="A817" t="s">
        <v>68</v>
      </c>
      <c r="B817" t="s">
        <v>131</v>
      </c>
      <c r="C817">
        <v>48</v>
      </c>
      <c r="D817" t="s">
        <v>127</v>
      </c>
      <c r="E817" t="s">
        <v>123</v>
      </c>
      <c r="F817" t="s">
        <v>99</v>
      </c>
      <c r="G817">
        <v>0.47563400576298598</v>
      </c>
      <c r="H817">
        <v>0</v>
      </c>
      <c r="I817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817" cm="1">
        <f t="array" ref="J817">MAX(IF((ProjectInfoTable[ProjectName]=OutputTable[[#This Row],[ProjectName]]),(ProjectInfoTable[ProjectName]=OutputTable[[#This Row],[ProjectName]])*ProjectInfoTable[NumberOfReplications]))</f>
        <v>50</v>
      </c>
      <c r="K817" cm="1">
        <f t="array" ref="K817">IFERROR(AVERAGE(IF((OutputTable[GroupByKey]=OutputTable[[#This Row],[GroupByKey]]),(OutputTable[GroupByKey]=OutputTable[[#This Row],[GroupByKey]])*OutputTable[RecordedValue])),0)</f>
        <v>0.47162762933545666</v>
      </c>
      <c r="L817" cm="1">
        <f t="array" ref="L817">IFERROR(_xlfn.STDEV.S(IF((OutputTable[GroupByKey]=OutputTable[[#This Row],[GroupByKey]]),(OutputTable[GroupByKey]=OutputTable[[#This Row],[GroupByKey]])*OutputTable[RecordedValue])),0)</f>
        <v>9.6615227076777797E-3</v>
      </c>
      <c r="M817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817" cm="1">
        <f t="array" ref="O817">MIN(IF((OutputTable[GroupByKey]=OutputTable[[#This Row],[GroupByKey]]),(OutputTable[GroupByKey]=OutputTable[[#This Row],[GroupByKey]])*OutputTable[RecordedValue]))</f>
        <v>0.452397944183905</v>
      </c>
      <c r="P817" cm="1">
        <f t="array" ref="P817">MAX(IF((OutputTable[GroupByKey]=OutputTable[[#This Row],[GroupByKey]]),(OutputTable[GroupByKey]=OutputTable[[#This Row],[GroupByKey]])*OutputTable[RecordedValue]))</f>
        <v>0.49691123629694001</v>
      </c>
    </row>
    <row r="818" spans="1:16" x14ac:dyDescent="0.25">
      <c r="A818" t="s">
        <v>68</v>
      </c>
      <c r="B818" t="s">
        <v>131</v>
      </c>
      <c r="C818">
        <v>49</v>
      </c>
      <c r="D818" t="s">
        <v>104</v>
      </c>
      <c r="E818" t="s">
        <v>105</v>
      </c>
      <c r="F818" t="s">
        <v>72</v>
      </c>
      <c r="G818">
        <v>2388</v>
      </c>
      <c r="H818">
        <v>0</v>
      </c>
      <c r="I818" t="str">
        <f>OutputTable[[#This Row],[ProjectName]]&amp;OutputTable[[#This Row],[Name]]&amp;OutputTable[[#This Row],[Type]]&amp;OutputTable[[#This Row],[Source]]</f>
        <v>PacientesEntity 1.NumberInNumber InEntity</v>
      </c>
      <c r="J818" cm="1">
        <f t="array" ref="J818">MAX(IF((ProjectInfoTable[ProjectName]=OutputTable[[#This Row],[ProjectName]]),(ProjectInfoTable[ProjectName]=OutputTable[[#This Row],[ProjectName]])*ProjectInfoTable[NumberOfReplications]))</f>
        <v>50</v>
      </c>
      <c r="K818" cm="1">
        <f t="array" ref="K818">IFERROR(AVERAGE(IF((OutputTable[GroupByKey]=OutputTable[[#This Row],[GroupByKey]]),(OutputTable[GroupByKey]=OutputTable[[#This Row],[GroupByKey]])*OutputTable[RecordedValue])),0)</f>
        <v>2404.8200000000002</v>
      </c>
      <c r="L818" cm="1">
        <f t="array" ref="L818">IFERROR(_xlfn.STDEV.S(IF((OutputTable[GroupByKey]=OutputTable[[#This Row],[GroupByKey]]),(OutputTable[GroupByKey]=OutputTable[[#This Row],[GroupByKey]])*OutputTable[RecordedValue])),0)</f>
        <v>46.42953405595474</v>
      </c>
      <c r="M818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818" cm="1">
        <f t="array" ref="O818">MIN(IF((OutputTable[GroupByKey]=OutputTable[[#This Row],[GroupByKey]]),(OutputTable[GroupByKey]=OutputTable[[#This Row],[GroupByKey]])*OutputTable[RecordedValue]))</f>
        <v>2307</v>
      </c>
      <c r="P818" cm="1">
        <f t="array" ref="P818">MAX(IF((OutputTable[GroupByKey]=OutputTable[[#This Row],[GroupByKey]]),(OutputTable[GroupByKey]=OutputTable[[#This Row],[GroupByKey]])*OutputTable[RecordedValue]))</f>
        <v>2518</v>
      </c>
    </row>
    <row r="819" spans="1:16" x14ac:dyDescent="0.25">
      <c r="A819" t="s">
        <v>68</v>
      </c>
      <c r="B819" t="s">
        <v>131</v>
      </c>
      <c r="C819">
        <v>49</v>
      </c>
      <c r="D819" t="s">
        <v>106</v>
      </c>
      <c r="E819" t="s">
        <v>107</v>
      </c>
      <c r="F819" t="s">
        <v>72</v>
      </c>
      <c r="G819">
        <v>2385</v>
      </c>
      <c r="H819">
        <v>0</v>
      </c>
      <c r="I819" t="str">
        <f>OutputTable[[#This Row],[ProjectName]]&amp;OutputTable[[#This Row],[Name]]&amp;OutputTable[[#This Row],[Type]]&amp;OutputTable[[#This Row],[Source]]</f>
        <v>PacientesEntity 1.NumberOutNumber OutEntity</v>
      </c>
      <c r="J819" cm="1">
        <f t="array" ref="J819">MAX(IF((ProjectInfoTable[ProjectName]=OutputTable[[#This Row],[ProjectName]]),(ProjectInfoTable[ProjectName]=OutputTable[[#This Row],[ProjectName]])*ProjectInfoTable[NumberOfReplications]))</f>
        <v>50</v>
      </c>
      <c r="K819" cm="1">
        <f t="array" ref="K819">IFERROR(AVERAGE(IF((OutputTable[GroupByKey]=OutputTable[[#This Row],[GroupByKey]]),(OutputTable[GroupByKey]=OutputTable[[#This Row],[GroupByKey]])*OutputTable[RecordedValue])),0)</f>
        <v>2400.2800000000002</v>
      </c>
      <c r="L819" cm="1">
        <f t="array" ref="L819">IFERROR(_xlfn.STDEV.S(IF((OutputTable[GroupByKey]=OutputTable[[#This Row],[GroupByKey]]),(OutputTable[GroupByKey]=OutputTable[[#This Row],[GroupByKey]])*OutputTable[RecordedValue])),0)</f>
        <v>46.409024456676619</v>
      </c>
      <c r="M819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19" cm="1">
        <f t="array" ref="O819">MIN(IF((OutputTable[GroupByKey]=OutputTable[[#This Row],[GroupByKey]]),(OutputTable[GroupByKey]=OutputTable[[#This Row],[GroupByKey]])*OutputTable[RecordedValue]))</f>
        <v>2305</v>
      </c>
      <c r="P819" cm="1">
        <f t="array" ref="P819">MAX(IF((OutputTable[GroupByKey]=OutputTable[[#This Row],[GroupByKey]]),(OutputTable[GroupByKey]=OutputTable[[#This Row],[GroupByKey]])*OutputTable[RecordedValue]))</f>
        <v>2504</v>
      </c>
    </row>
    <row r="820" spans="1:16" x14ac:dyDescent="0.25">
      <c r="A820" t="s">
        <v>68</v>
      </c>
      <c r="B820" t="s">
        <v>131</v>
      </c>
      <c r="C820">
        <v>49</v>
      </c>
      <c r="D820" t="s">
        <v>108</v>
      </c>
      <c r="E820" t="s">
        <v>109</v>
      </c>
      <c r="F820" t="s">
        <v>80</v>
      </c>
      <c r="G820">
        <v>1180.13036599669</v>
      </c>
      <c r="H820">
        <v>0</v>
      </c>
      <c r="I820" t="str">
        <f>OutputTable[[#This Row],[ProjectName]]&amp;OutputTable[[#This Row],[Name]]&amp;OutputTable[[#This Row],[Type]]&amp;OutputTable[[#This Row],[Source]]</f>
        <v>PacientesProcess 2 Accum VA TimeAccum VA TimeProcess</v>
      </c>
      <c r="J820" cm="1">
        <f t="array" ref="J820">MAX(IF((ProjectInfoTable[ProjectName]=OutputTable[[#This Row],[ProjectName]]),(ProjectInfoTable[ProjectName]=OutputTable[[#This Row],[ProjectName]])*ProjectInfoTable[NumberOfReplications]))</f>
        <v>50</v>
      </c>
      <c r="K820" cm="1">
        <f t="array" ref="K820">IFERROR(AVERAGE(IF((OutputTable[GroupByKey]=OutputTable[[#This Row],[GroupByKey]]),(OutputTable[GroupByKey]=OutputTable[[#This Row],[GroupByKey]])*OutputTable[RecordedValue])),0)</f>
        <v>1181.1234936767919</v>
      </c>
      <c r="L820" cm="1">
        <f t="array" ref="L820">IFERROR(_xlfn.STDEV.S(IF((OutputTable[GroupByKey]=OutputTable[[#This Row],[GroupByKey]]),(OutputTable[GroupByKey]=OutputTable[[#This Row],[GroupByKey]])*OutputTable[RecordedValue])),0)</f>
        <v>22.169313666927575</v>
      </c>
      <c r="M820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820" cm="1">
        <f t="array" ref="O820">MIN(IF((OutputTable[GroupByKey]=OutputTable[[#This Row],[GroupByKey]]),(OutputTable[GroupByKey]=OutputTable[[#This Row],[GroupByKey]])*OutputTable[RecordedValue]))</f>
        <v>1133.24622318414</v>
      </c>
      <c r="P820" cm="1">
        <f t="array" ref="P820">MAX(IF((OutputTable[GroupByKey]=OutputTable[[#This Row],[GroupByKey]]),(OutputTable[GroupByKey]=OutputTable[[#This Row],[GroupByKey]])*OutputTable[RecordedValue]))</f>
        <v>1230.9493287309799</v>
      </c>
    </row>
    <row r="821" spans="1:16" x14ac:dyDescent="0.25">
      <c r="A821" t="s">
        <v>68</v>
      </c>
      <c r="B821" t="s">
        <v>131</v>
      </c>
      <c r="C821">
        <v>49</v>
      </c>
      <c r="D821" t="s">
        <v>110</v>
      </c>
      <c r="E821" t="s">
        <v>111</v>
      </c>
      <c r="F821" t="s">
        <v>80</v>
      </c>
      <c r="G821">
        <v>1732.07046583695</v>
      </c>
      <c r="H821">
        <v>0</v>
      </c>
      <c r="I821" t="str">
        <f>OutputTable[[#This Row],[ProjectName]]&amp;OutputTable[[#This Row],[Name]]&amp;OutputTable[[#This Row],[Type]]&amp;OutputTable[[#This Row],[Source]]</f>
        <v>PacientesProcess 2 Accum Wait TimeAccum Wait TimeProcess</v>
      </c>
      <c r="J821" cm="1">
        <f t="array" ref="J821">MAX(IF((ProjectInfoTable[ProjectName]=OutputTable[[#This Row],[ProjectName]]),(ProjectInfoTable[ProjectName]=OutputTable[[#This Row],[ProjectName]])*ProjectInfoTable[NumberOfReplications]))</f>
        <v>50</v>
      </c>
      <c r="K821" cm="1">
        <f t="array" ref="K821">IFERROR(AVERAGE(IF((OutputTable[GroupByKey]=OutputTable[[#This Row],[GroupByKey]]),(OutputTable[GroupByKey]=OutputTable[[#This Row],[GroupByKey]])*OutputTable[RecordedValue])),0)</f>
        <v>1938.7515507466894</v>
      </c>
      <c r="L821" cm="1">
        <f t="array" ref="L821">IFERROR(_xlfn.STDEV.S(IF((OutputTable[GroupByKey]=OutputTable[[#This Row],[GroupByKey]]),(OutputTable[GroupByKey]=OutputTable[[#This Row],[GroupByKey]])*OutputTable[RecordedValue])),0)</f>
        <v>534.03396241838232</v>
      </c>
      <c r="M821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821" cm="1">
        <f t="array" ref="O821">MIN(IF((OutputTable[GroupByKey]=OutputTable[[#This Row],[GroupByKey]]),(OutputTable[GroupByKey]=OutputTable[[#This Row],[GroupByKey]])*OutputTable[RecordedValue]))</f>
        <v>1234.7567994731401</v>
      </c>
      <c r="P821" cm="1">
        <f t="array" ref="P821">MAX(IF((OutputTable[GroupByKey]=OutputTable[[#This Row],[GroupByKey]]),(OutputTable[GroupByKey]=OutputTable[[#This Row],[GroupByKey]])*OutputTable[RecordedValue]))</f>
        <v>3269.0858002883801</v>
      </c>
    </row>
    <row r="822" spans="1:16" x14ac:dyDescent="0.25">
      <c r="A822" t="s">
        <v>68</v>
      </c>
      <c r="B822" t="s">
        <v>131</v>
      </c>
      <c r="C822">
        <v>49</v>
      </c>
      <c r="D822" t="s">
        <v>112</v>
      </c>
      <c r="E822" t="s">
        <v>105</v>
      </c>
      <c r="F822" t="s">
        <v>80</v>
      </c>
      <c r="G822">
        <v>2388</v>
      </c>
      <c r="H822">
        <v>0</v>
      </c>
      <c r="I822" t="str">
        <f>OutputTable[[#This Row],[ProjectName]]&amp;OutputTable[[#This Row],[Name]]&amp;OutputTable[[#This Row],[Type]]&amp;OutputTable[[#This Row],[Source]]</f>
        <v>PacientesProcess 2 Number InNumber InProcess</v>
      </c>
      <c r="J822" cm="1">
        <f t="array" ref="J822">MAX(IF((ProjectInfoTable[ProjectName]=OutputTable[[#This Row],[ProjectName]]),(ProjectInfoTable[ProjectName]=OutputTable[[#This Row],[ProjectName]])*ProjectInfoTable[NumberOfReplications]))</f>
        <v>50</v>
      </c>
      <c r="K822" cm="1">
        <f t="array" ref="K822">IFERROR(AVERAGE(IF((OutputTable[GroupByKey]=OutputTable[[#This Row],[GroupByKey]]),(OutputTable[GroupByKey]=OutputTable[[#This Row],[GroupByKey]])*OutputTable[RecordedValue])),0)</f>
        <v>2404.2399999999998</v>
      </c>
      <c r="L822" cm="1">
        <f t="array" ref="L822">IFERROR(_xlfn.STDEV.S(IF((OutputTable[GroupByKey]=OutputTable[[#This Row],[GroupByKey]]),(OutputTable[GroupByKey]=OutputTable[[#This Row],[GroupByKey]])*OutputTable[RecordedValue])),0)</f>
        <v>46.574303154053879</v>
      </c>
      <c r="M822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822" cm="1">
        <f t="array" ref="O822">MIN(IF((OutputTable[GroupByKey]=OutputTable[[#This Row],[GroupByKey]]),(OutputTable[GroupByKey]=OutputTable[[#This Row],[GroupByKey]])*OutputTable[RecordedValue]))</f>
        <v>2306</v>
      </c>
      <c r="P822" cm="1">
        <f t="array" ref="P822">MAX(IF((OutputTable[GroupByKey]=OutputTable[[#This Row],[GroupByKey]]),(OutputTable[GroupByKey]=OutputTable[[#This Row],[GroupByKey]])*OutputTable[RecordedValue]))</f>
        <v>2518</v>
      </c>
    </row>
    <row r="823" spans="1:16" x14ac:dyDescent="0.25">
      <c r="A823" t="s">
        <v>68</v>
      </c>
      <c r="B823" t="s">
        <v>131</v>
      </c>
      <c r="C823">
        <v>49</v>
      </c>
      <c r="D823" t="s">
        <v>113</v>
      </c>
      <c r="E823" t="s">
        <v>107</v>
      </c>
      <c r="F823" t="s">
        <v>80</v>
      </c>
      <c r="G823">
        <v>2385</v>
      </c>
      <c r="H823">
        <v>0</v>
      </c>
      <c r="I823" t="str">
        <f>OutputTable[[#This Row],[ProjectName]]&amp;OutputTable[[#This Row],[Name]]&amp;OutputTable[[#This Row],[Type]]&amp;OutputTable[[#This Row],[Source]]</f>
        <v>PacientesProcess 2 Number OutNumber OutProcess</v>
      </c>
      <c r="J823" cm="1">
        <f t="array" ref="J823">MAX(IF((ProjectInfoTable[ProjectName]=OutputTable[[#This Row],[ProjectName]]),(ProjectInfoTable[ProjectName]=OutputTable[[#This Row],[ProjectName]])*ProjectInfoTable[NumberOfReplications]))</f>
        <v>50</v>
      </c>
      <c r="K823" cm="1">
        <f t="array" ref="K823">IFERROR(AVERAGE(IF((OutputTable[GroupByKey]=OutputTable[[#This Row],[GroupByKey]]),(OutputTable[GroupByKey]=OutputTable[[#This Row],[GroupByKey]])*OutputTable[RecordedValue])),0)</f>
        <v>2400.2800000000002</v>
      </c>
      <c r="L823" cm="1">
        <f t="array" ref="L823">IFERROR(_xlfn.STDEV.S(IF((OutputTable[GroupByKey]=OutputTable[[#This Row],[GroupByKey]]),(OutputTable[GroupByKey]=OutputTable[[#This Row],[GroupByKey]])*OutputTable[RecordedValue])),0)</f>
        <v>46.409024456676619</v>
      </c>
      <c r="M823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23" cm="1">
        <f t="array" ref="O823">MIN(IF((OutputTable[GroupByKey]=OutputTable[[#This Row],[GroupByKey]]),(OutputTable[GroupByKey]=OutputTable[[#This Row],[GroupByKey]])*OutputTable[RecordedValue]))</f>
        <v>2305</v>
      </c>
      <c r="P823" cm="1">
        <f t="array" ref="P823">MAX(IF((OutputTable[GroupByKey]=OutputTable[[#This Row],[GroupByKey]]),(OutputTable[GroupByKey]=OutputTable[[#This Row],[GroupByKey]])*OutputTable[RecordedValue]))</f>
        <v>2504</v>
      </c>
    </row>
    <row r="824" spans="1:16" x14ac:dyDescent="0.25">
      <c r="A824" t="s">
        <v>68</v>
      </c>
      <c r="B824" t="s">
        <v>131</v>
      </c>
      <c r="C824">
        <v>49</v>
      </c>
      <c r="D824" t="s">
        <v>114</v>
      </c>
      <c r="E824" t="s">
        <v>109</v>
      </c>
      <c r="F824" t="s">
        <v>80</v>
      </c>
      <c r="G824">
        <v>333.64025786207498</v>
      </c>
      <c r="H824">
        <v>0</v>
      </c>
      <c r="I824" t="str">
        <f>OutputTable[[#This Row],[ProjectName]]&amp;OutputTable[[#This Row],[Name]]&amp;OutputTable[[#This Row],[Type]]&amp;OutputTable[[#This Row],[Source]]</f>
        <v>PacientesRegistro Accum VA TimeAccum VA TimeProcess</v>
      </c>
      <c r="J824" cm="1">
        <f t="array" ref="J824">MAX(IF((ProjectInfoTable[ProjectName]=OutputTable[[#This Row],[ProjectName]]),(ProjectInfoTable[ProjectName]=OutputTable[[#This Row],[ProjectName]])*ProjectInfoTable[NumberOfReplications]))</f>
        <v>50</v>
      </c>
      <c r="K824" cm="1">
        <f t="array" ref="K824">IFERROR(AVERAGE(IF((OutputTable[GroupByKey]=OutputTable[[#This Row],[GroupByKey]]),(OutputTable[GroupByKey]=OutputTable[[#This Row],[GroupByKey]])*OutputTable[RecordedValue])),0)</f>
        <v>339.53547737062786</v>
      </c>
      <c r="L824" cm="1">
        <f t="array" ref="L824">IFERROR(_xlfn.STDEV.S(IF((OutputTable[GroupByKey]=OutputTable[[#This Row],[GroupByKey]]),(OutputTable[GroupByKey]=OutputTable[[#This Row],[GroupByKey]])*OutputTable[RecordedValue])),0)</f>
        <v>6.9723666109353193</v>
      </c>
      <c r="M824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824" cm="1">
        <f t="array" ref="O824">MIN(IF((OutputTable[GroupByKey]=OutputTable[[#This Row],[GroupByKey]]),(OutputTable[GroupByKey]=OutputTable[[#This Row],[GroupByKey]])*OutputTable[RecordedValue]))</f>
        <v>325.606879158418</v>
      </c>
      <c r="P824" cm="1">
        <f t="array" ref="P824">MAX(IF((OutputTable[GroupByKey]=OutputTable[[#This Row],[GroupByKey]]),(OutputTable[GroupByKey]=OutputTable[[#This Row],[GroupByKey]])*OutputTable[RecordedValue]))</f>
        <v>357.77609013379703</v>
      </c>
    </row>
    <row r="825" spans="1:16" x14ac:dyDescent="0.25">
      <c r="A825" t="s">
        <v>68</v>
      </c>
      <c r="B825" t="s">
        <v>131</v>
      </c>
      <c r="C825">
        <v>49</v>
      </c>
      <c r="D825" t="s">
        <v>115</v>
      </c>
      <c r="E825" t="s">
        <v>111</v>
      </c>
      <c r="F825" t="s">
        <v>80</v>
      </c>
      <c r="G825">
        <v>132.925681803359</v>
      </c>
      <c r="H825">
        <v>0</v>
      </c>
      <c r="I825" t="str">
        <f>OutputTable[[#This Row],[ProjectName]]&amp;OutputTable[[#This Row],[Name]]&amp;OutputTable[[#This Row],[Type]]&amp;OutputTable[[#This Row],[Source]]</f>
        <v>PacientesRegistro Accum Wait TimeAccum Wait TimeProcess</v>
      </c>
      <c r="J825" cm="1">
        <f t="array" ref="J825">MAX(IF((ProjectInfoTable[ProjectName]=OutputTable[[#This Row],[ProjectName]]),(ProjectInfoTable[ProjectName]=OutputTable[[#This Row],[ProjectName]])*ProjectInfoTable[NumberOfReplications]))</f>
        <v>50</v>
      </c>
      <c r="K825" cm="1">
        <f t="array" ref="K825">IFERROR(AVERAGE(IF((OutputTable[GroupByKey]=OutputTable[[#This Row],[GroupByKey]]),(OutputTable[GroupByKey]=OutputTable[[#This Row],[GroupByKey]])*OutputTable[RecordedValue])),0)</f>
        <v>154.15303898127775</v>
      </c>
      <c r="L825" cm="1">
        <f t="array" ref="L825">IFERROR(_xlfn.STDEV.S(IF((OutputTable[GroupByKey]=OutputTable[[#This Row],[GroupByKey]]),(OutputTable[GroupByKey]=OutputTable[[#This Row],[GroupByKey]])*OutputTable[RecordedValue])),0)</f>
        <v>12.141439184615397</v>
      </c>
      <c r="M82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825" cm="1">
        <f t="array" ref="O825">MIN(IF((OutputTable[GroupByKey]=OutputTable[[#This Row],[GroupByKey]]),(OutputTable[GroupByKey]=OutputTable[[#This Row],[GroupByKey]])*OutputTable[RecordedValue]))</f>
        <v>123.901613974094</v>
      </c>
      <c r="P825" cm="1">
        <f t="array" ref="P825">MAX(IF((OutputTable[GroupByKey]=OutputTable[[#This Row],[GroupByKey]]),(OutputTable[GroupByKey]=OutputTable[[#This Row],[GroupByKey]])*OutputTable[RecordedValue]))</f>
        <v>178.441307284473</v>
      </c>
    </row>
    <row r="826" spans="1:16" x14ac:dyDescent="0.25">
      <c r="A826" t="s">
        <v>68</v>
      </c>
      <c r="B826" t="s">
        <v>131</v>
      </c>
      <c r="C826">
        <v>49</v>
      </c>
      <c r="D826" t="s">
        <v>116</v>
      </c>
      <c r="E826" t="s">
        <v>105</v>
      </c>
      <c r="F826" t="s">
        <v>80</v>
      </c>
      <c r="G826">
        <v>2239</v>
      </c>
      <c r="H826">
        <v>0</v>
      </c>
      <c r="I826" t="str">
        <f>OutputTable[[#This Row],[ProjectName]]&amp;OutputTable[[#This Row],[Name]]&amp;OutputTable[[#This Row],[Type]]&amp;OutputTable[[#This Row],[Source]]</f>
        <v>PacientesRegistro Number InNumber InProcess</v>
      </c>
      <c r="J826" cm="1">
        <f t="array" ref="J826">MAX(IF((ProjectInfoTable[ProjectName]=OutputTable[[#This Row],[ProjectName]]),(ProjectInfoTable[ProjectName]=OutputTable[[#This Row],[ProjectName]])*ProjectInfoTable[NumberOfReplications]))</f>
        <v>50</v>
      </c>
      <c r="K826" cm="1">
        <f t="array" ref="K826">IFERROR(AVERAGE(IF((OutputTable[GroupByKey]=OutputTable[[#This Row],[GroupByKey]]),(OutputTable[GroupByKey]=OutputTable[[#This Row],[GroupByKey]])*OutputTable[RecordedValue])),0)</f>
        <v>2263.2399999999998</v>
      </c>
      <c r="L826" cm="1">
        <f t="array" ref="L826">IFERROR(_xlfn.STDEV.S(IF((OutputTable[GroupByKey]=OutputTable[[#This Row],[GroupByKey]]),(OutputTable[GroupByKey]=OutputTable[[#This Row],[GroupByKey]])*OutputTable[RecordedValue])),0)</f>
        <v>47.331035682472766</v>
      </c>
      <c r="M826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826" cm="1">
        <f t="array" ref="O826">MIN(IF((OutputTable[GroupByKey]=OutputTable[[#This Row],[GroupByKey]]),(OutputTable[GroupByKey]=OutputTable[[#This Row],[GroupByKey]])*OutputTable[RecordedValue]))</f>
        <v>2172</v>
      </c>
      <c r="P826" cm="1">
        <f t="array" ref="P826">MAX(IF((OutputTable[GroupByKey]=OutputTable[[#This Row],[GroupByKey]]),(OutputTable[GroupByKey]=OutputTable[[#This Row],[GroupByKey]])*OutputTable[RecordedValue]))</f>
        <v>2386</v>
      </c>
    </row>
    <row r="827" spans="1:16" x14ac:dyDescent="0.25">
      <c r="A827" t="s">
        <v>68</v>
      </c>
      <c r="B827" t="s">
        <v>131</v>
      </c>
      <c r="C827">
        <v>49</v>
      </c>
      <c r="D827" t="s">
        <v>117</v>
      </c>
      <c r="E827" t="s">
        <v>107</v>
      </c>
      <c r="F827" t="s">
        <v>80</v>
      </c>
      <c r="G827">
        <v>2239</v>
      </c>
      <c r="H827">
        <v>0</v>
      </c>
      <c r="I827" t="str">
        <f>OutputTable[[#This Row],[ProjectName]]&amp;OutputTable[[#This Row],[Name]]&amp;OutputTable[[#This Row],[Type]]&amp;OutputTable[[#This Row],[Source]]</f>
        <v>PacientesRegistro Number OutNumber OutProcess</v>
      </c>
      <c r="J827" cm="1">
        <f t="array" ref="J827">MAX(IF((ProjectInfoTable[ProjectName]=OutputTable[[#This Row],[ProjectName]]),(ProjectInfoTable[ProjectName]=OutputTable[[#This Row],[ProjectName]])*ProjectInfoTable[NumberOfReplications]))</f>
        <v>50</v>
      </c>
      <c r="K827" cm="1">
        <f t="array" ref="K827">IFERROR(AVERAGE(IF((OutputTable[GroupByKey]=OutputTable[[#This Row],[GroupByKey]]),(OutputTable[GroupByKey]=OutputTable[[#This Row],[GroupByKey]])*OutputTable[RecordedValue])),0)</f>
        <v>2262.66</v>
      </c>
      <c r="L827" cm="1">
        <f t="array" ref="L827">IFERROR(_xlfn.STDEV.S(IF((OutputTable[GroupByKey]=OutputTable[[#This Row],[GroupByKey]]),(OutputTable[GroupByKey]=OutputTable[[#This Row],[GroupByKey]])*OutputTable[RecordedValue])),0)</f>
        <v>47.488176831454687</v>
      </c>
      <c r="M827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827" cm="1">
        <f t="array" ref="O827">MIN(IF((OutputTable[GroupByKey]=OutputTable[[#This Row],[GroupByKey]]),(OutputTable[GroupByKey]=OutputTable[[#This Row],[GroupByKey]])*OutputTable[RecordedValue]))</f>
        <v>2171</v>
      </c>
      <c r="P827" cm="1">
        <f t="array" ref="P827">MAX(IF((OutputTable[GroupByKey]=OutputTable[[#This Row],[GroupByKey]]),(OutputTable[GroupByKey]=OutputTable[[#This Row],[GroupByKey]])*OutputTable[RecordedValue]))</f>
        <v>2386</v>
      </c>
    </row>
    <row r="828" spans="1:16" x14ac:dyDescent="0.25">
      <c r="A828" t="s">
        <v>68</v>
      </c>
      <c r="B828" t="s">
        <v>131</v>
      </c>
      <c r="C828">
        <v>49</v>
      </c>
      <c r="D828" t="s">
        <v>118</v>
      </c>
      <c r="E828" t="s">
        <v>107</v>
      </c>
      <c r="F828" t="s">
        <v>119</v>
      </c>
      <c r="G828">
        <v>2385</v>
      </c>
      <c r="H828">
        <v>0</v>
      </c>
      <c r="I828" t="str">
        <f>OutputTable[[#This Row],[ProjectName]]&amp;OutputTable[[#This Row],[Name]]&amp;OutputTable[[#This Row],[Type]]&amp;OutputTable[[#This Row],[Source]]</f>
        <v>PacientesSystem.NumberOutNumber OutSystem</v>
      </c>
      <c r="J828" cm="1">
        <f t="array" ref="J828">MAX(IF((ProjectInfoTable[ProjectName]=OutputTable[[#This Row],[ProjectName]]),(ProjectInfoTable[ProjectName]=OutputTable[[#This Row],[ProjectName]])*ProjectInfoTable[NumberOfReplications]))</f>
        <v>50</v>
      </c>
      <c r="K828" cm="1">
        <f t="array" ref="K828">IFERROR(AVERAGE(IF((OutputTable[GroupByKey]=OutputTable[[#This Row],[GroupByKey]]),(OutputTable[GroupByKey]=OutputTable[[#This Row],[GroupByKey]])*OutputTable[RecordedValue])),0)</f>
        <v>2400.2800000000002</v>
      </c>
      <c r="L828" cm="1">
        <f t="array" ref="L828">IFERROR(_xlfn.STDEV.S(IF((OutputTable[GroupByKey]=OutputTable[[#This Row],[GroupByKey]]),(OutputTable[GroupByKey]=OutputTable[[#This Row],[GroupByKey]])*OutputTable[RecordedValue])),0)</f>
        <v>46.409024456676619</v>
      </c>
      <c r="M828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28" cm="1">
        <f t="array" ref="O828">MIN(IF((OutputTable[GroupByKey]=OutputTable[[#This Row],[GroupByKey]]),(OutputTable[GroupByKey]=OutputTable[[#This Row],[GroupByKey]])*OutputTable[RecordedValue]))</f>
        <v>2305</v>
      </c>
      <c r="P828" cm="1">
        <f t="array" ref="P828">MAX(IF((OutputTable[GroupByKey]=OutputTable[[#This Row],[GroupByKey]]),(OutputTable[GroupByKey]=OutputTable[[#This Row],[GroupByKey]])*OutputTable[RecordedValue]))</f>
        <v>2504</v>
      </c>
    </row>
    <row r="829" spans="1:16" x14ac:dyDescent="0.25">
      <c r="A829" t="s">
        <v>68</v>
      </c>
      <c r="B829" t="s">
        <v>131</v>
      </c>
      <c r="C829">
        <v>49</v>
      </c>
      <c r="D829" t="s">
        <v>120</v>
      </c>
      <c r="E829" t="s">
        <v>121</v>
      </c>
      <c r="F829" t="s">
        <v>99</v>
      </c>
      <c r="G829">
        <v>2387</v>
      </c>
      <c r="H829">
        <v>0</v>
      </c>
      <c r="I829" t="str">
        <f>OutputTable[[#This Row],[ProjectName]]&amp;OutputTable[[#This Row],[Name]]&amp;OutputTable[[#This Row],[Type]]&amp;OutputTable[[#This Row],[Source]]</f>
        <v>PacientesrCamas.NumberSeizedTotal Number SeizedResource</v>
      </c>
      <c r="J829" cm="1">
        <f t="array" ref="J829">MAX(IF((ProjectInfoTable[ProjectName]=OutputTable[[#This Row],[ProjectName]]),(ProjectInfoTable[ProjectName]=OutputTable[[#This Row],[ProjectName]])*ProjectInfoTable[NumberOfReplications]))</f>
        <v>50</v>
      </c>
      <c r="K829" cm="1">
        <f t="array" ref="K829">IFERROR(AVERAGE(IF((OutputTable[GroupByKey]=OutputTable[[#This Row],[GroupByKey]]),(OutputTable[GroupByKey]=OutputTable[[#This Row],[GroupByKey]])*OutputTable[RecordedValue])),0)</f>
        <v>2401.9</v>
      </c>
      <c r="L829" cm="1">
        <f t="array" ref="L829">IFERROR(_xlfn.STDEV.S(IF((OutputTable[GroupByKey]=OutputTable[[#This Row],[GroupByKey]]),(OutputTable[GroupByKey]=OutputTable[[#This Row],[GroupByKey]])*OutputTable[RecordedValue])),0)</f>
        <v>46.417031532903209</v>
      </c>
      <c r="M829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829" cm="1">
        <f t="array" ref="O829">MIN(IF((OutputTable[GroupByKey]=OutputTable[[#This Row],[GroupByKey]]),(OutputTable[GroupByKey]=OutputTable[[#This Row],[GroupByKey]])*OutputTable[RecordedValue]))</f>
        <v>2306</v>
      </c>
      <c r="P829" cm="1">
        <f t="array" ref="P829">MAX(IF((OutputTable[GroupByKey]=OutputTable[[#This Row],[GroupByKey]]),(OutputTable[GroupByKey]=OutputTable[[#This Row],[GroupByKey]])*OutputTable[RecordedValue]))</f>
        <v>2506</v>
      </c>
    </row>
    <row r="830" spans="1:16" x14ac:dyDescent="0.25">
      <c r="A830" t="s">
        <v>68</v>
      </c>
      <c r="B830" t="s">
        <v>131</v>
      </c>
      <c r="C830">
        <v>49</v>
      </c>
      <c r="D830" t="s">
        <v>122</v>
      </c>
      <c r="E830" t="s">
        <v>123</v>
      </c>
      <c r="F830" t="s">
        <v>99</v>
      </c>
      <c r="G830">
        <v>0.54657586793108004</v>
      </c>
      <c r="H830">
        <v>0</v>
      </c>
      <c r="I830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830" cm="1">
        <f t="array" ref="J830">MAX(IF((ProjectInfoTable[ProjectName]=OutputTable[[#This Row],[ProjectName]]),(ProjectInfoTable[ProjectName]=OutputTable[[#This Row],[ProjectName]])*ProjectInfoTable[NumberOfReplications]))</f>
        <v>50</v>
      </c>
      <c r="K830" cm="1">
        <f t="array" ref="K830">IFERROR(AVERAGE(IF((OutputTable[GroupByKey]=OutputTable[[#This Row],[GroupByKey]]),(OutputTable[GroupByKey]=OutputTable[[#This Row],[GroupByKey]])*OutputTable[RecordedValue])),0)</f>
        <v>0.54703961359050601</v>
      </c>
      <c r="L830" cm="1">
        <f t="array" ref="L830">IFERROR(_xlfn.STDEV.S(IF((OutputTable[GroupByKey]=OutputTable[[#This Row],[GroupByKey]]),(OutputTable[GroupByKey]=OutputTable[[#This Row],[GroupByKey]])*OutputTable[RecordedValue])),0)</f>
        <v>1.0221170008030479E-2</v>
      </c>
      <c r="M830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830" cm="1">
        <f t="array" ref="O830">MIN(IF((OutputTable[GroupByKey]=OutputTable[[#This Row],[GroupByKey]]),(OutputTable[GroupByKey]=OutputTable[[#This Row],[GroupByKey]])*OutputTable[RecordedValue]))</f>
        <v>0.52470641844357901</v>
      </c>
      <c r="P830" cm="1">
        <f t="array" ref="P830">MAX(IF((OutputTable[GroupByKey]=OutputTable[[#This Row],[GroupByKey]]),(OutputTable[GroupByKey]=OutputTable[[#This Row],[GroupByKey]])*OutputTable[RecordedValue]))</f>
        <v>0.57005812966092295</v>
      </c>
    </row>
    <row r="831" spans="1:16" x14ac:dyDescent="0.25">
      <c r="A831" t="s">
        <v>68</v>
      </c>
      <c r="B831" t="s">
        <v>131</v>
      </c>
      <c r="C831">
        <v>49</v>
      </c>
      <c r="D831" t="s">
        <v>124</v>
      </c>
      <c r="E831" t="s">
        <v>121</v>
      </c>
      <c r="F831" t="s">
        <v>99</v>
      </c>
      <c r="G831">
        <v>2387</v>
      </c>
      <c r="H831">
        <v>0</v>
      </c>
      <c r="I831" t="str">
        <f>OutputTable[[#This Row],[ProjectName]]&amp;OutputTable[[#This Row],[Name]]&amp;OutputTable[[#This Row],[Type]]&amp;OutputTable[[#This Row],[Source]]</f>
        <v>PacientesrMedico.NumberSeizedTotal Number SeizedResource</v>
      </c>
      <c r="J831" cm="1">
        <f t="array" ref="J831">MAX(IF((ProjectInfoTable[ProjectName]=OutputTable[[#This Row],[ProjectName]]),(ProjectInfoTable[ProjectName]=OutputTable[[#This Row],[ProjectName]])*ProjectInfoTable[NumberOfReplications]))</f>
        <v>50</v>
      </c>
      <c r="K831" cm="1">
        <f t="array" ref="K831">IFERROR(AVERAGE(IF((OutputTable[GroupByKey]=OutputTable[[#This Row],[GroupByKey]]),(OutputTable[GroupByKey]=OutputTable[[#This Row],[GroupByKey]])*OutputTable[RecordedValue])),0)</f>
        <v>2401.9</v>
      </c>
      <c r="L831" cm="1">
        <f t="array" ref="L831">IFERROR(_xlfn.STDEV.S(IF((OutputTable[GroupByKey]=OutputTable[[#This Row],[GroupByKey]]),(OutputTable[GroupByKey]=OutputTable[[#This Row],[GroupByKey]])*OutputTable[RecordedValue])),0)</f>
        <v>46.417031532903209</v>
      </c>
      <c r="M831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831" cm="1">
        <f t="array" ref="O831">MIN(IF((OutputTable[GroupByKey]=OutputTable[[#This Row],[GroupByKey]]),(OutputTable[GroupByKey]=OutputTable[[#This Row],[GroupByKey]])*OutputTable[RecordedValue]))</f>
        <v>2306</v>
      </c>
      <c r="P831" cm="1">
        <f t="array" ref="P831">MAX(IF((OutputTable[GroupByKey]=OutputTable[[#This Row],[GroupByKey]]),(OutputTable[GroupByKey]=OutputTable[[#This Row],[GroupByKey]])*OutputTable[RecordedValue]))</f>
        <v>2506</v>
      </c>
    </row>
    <row r="832" spans="1:16" x14ac:dyDescent="0.25">
      <c r="A832" t="s">
        <v>68</v>
      </c>
      <c r="B832" t="s">
        <v>131</v>
      </c>
      <c r="C832">
        <v>49</v>
      </c>
      <c r="D832" t="s">
        <v>125</v>
      </c>
      <c r="E832" t="s">
        <v>123</v>
      </c>
      <c r="F832" t="s">
        <v>99</v>
      </c>
      <c r="G832">
        <v>0.819863801896619</v>
      </c>
      <c r="H832">
        <v>0</v>
      </c>
      <c r="I832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832" cm="1">
        <f t="array" ref="J832">MAX(IF((ProjectInfoTable[ProjectName]=OutputTable[[#This Row],[ProjectName]]),(ProjectInfoTable[ProjectName]=OutputTable[[#This Row],[ProjectName]])*ProjectInfoTable[NumberOfReplications]))</f>
        <v>50</v>
      </c>
      <c r="K832" cm="1">
        <f t="array" ref="K832">IFERROR(AVERAGE(IF((OutputTable[GroupByKey]=OutputTable[[#This Row],[GroupByKey]]),(OutputTable[GroupByKey]=OutputTable[[#This Row],[GroupByKey]])*OutputTable[RecordedValue])),0)</f>
        <v>0.82055942038575935</v>
      </c>
      <c r="L832" cm="1">
        <f t="array" ref="L832">IFERROR(_xlfn.STDEV.S(IF((OutputTable[GroupByKey]=OutputTable[[#This Row],[GroupByKey]]),(OutputTable[GroupByKey]=OutputTable[[#This Row],[GroupByKey]])*OutputTable[RecordedValue])),0)</f>
        <v>1.5331755012045719E-2</v>
      </c>
      <c r="M832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832" cm="1">
        <f t="array" ref="O832">MIN(IF((OutputTable[GroupByKey]=OutputTable[[#This Row],[GroupByKey]]),(OutputTable[GroupByKey]=OutputTable[[#This Row],[GroupByKey]])*OutputTable[RecordedValue]))</f>
        <v>0.78705962766536897</v>
      </c>
      <c r="P832" cm="1">
        <f t="array" ref="P832">MAX(IF((OutputTable[GroupByKey]=OutputTable[[#This Row],[GroupByKey]]),(OutputTable[GroupByKey]=OutputTable[[#This Row],[GroupByKey]])*OutputTable[RecordedValue]))</f>
        <v>0.85508719449138504</v>
      </c>
    </row>
    <row r="833" spans="1:16" x14ac:dyDescent="0.25">
      <c r="A833" t="s">
        <v>68</v>
      </c>
      <c r="B833" t="s">
        <v>131</v>
      </c>
      <c r="C833">
        <v>49</v>
      </c>
      <c r="D833" t="s">
        <v>126</v>
      </c>
      <c r="E833" t="s">
        <v>121</v>
      </c>
      <c r="F833" t="s">
        <v>99</v>
      </c>
      <c r="G833">
        <v>2239</v>
      </c>
      <c r="H833">
        <v>0</v>
      </c>
      <c r="I833" t="str">
        <f>OutputTable[[#This Row],[ProjectName]]&amp;OutputTable[[#This Row],[Name]]&amp;OutputTable[[#This Row],[Type]]&amp;OutputTable[[#This Row],[Source]]</f>
        <v>PacientesrRegistradora.NumberSeizedTotal Number SeizedResource</v>
      </c>
      <c r="J833" cm="1">
        <f t="array" ref="J833">MAX(IF((ProjectInfoTable[ProjectName]=OutputTable[[#This Row],[ProjectName]]),(ProjectInfoTable[ProjectName]=OutputTable[[#This Row],[ProjectName]])*ProjectInfoTable[NumberOfReplications]))</f>
        <v>50</v>
      </c>
      <c r="K833" cm="1">
        <f t="array" ref="K833">IFERROR(AVERAGE(IF((OutputTable[GroupByKey]=OutputTable[[#This Row],[GroupByKey]]),(OutputTable[GroupByKey]=OutputTable[[#This Row],[GroupByKey]])*OutputTable[RecordedValue])),0)</f>
        <v>2263.14</v>
      </c>
      <c r="L833" cm="1">
        <f t="array" ref="L833">IFERROR(_xlfn.STDEV.S(IF((OutputTable[GroupByKey]=OutputTable[[#This Row],[GroupByKey]]),(OutputTable[GroupByKey]=OutputTable[[#This Row],[GroupByKey]])*OutputTable[RecordedValue])),0)</f>
        <v>47.386818971575821</v>
      </c>
      <c r="M833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833" cm="1">
        <f t="array" ref="O833">MIN(IF((OutputTable[GroupByKey]=OutputTable[[#This Row],[GroupByKey]]),(OutputTable[GroupByKey]=OutputTable[[#This Row],[GroupByKey]])*OutputTable[RecordedValue]))</f>
        <v>2172</v>
      </c>
      <c r="P833" cm="1">
        <f t="array" ref="P833">MAX(IF((OutputTable[GroupByKey]=OutputTable[[#This Row],[GroupByKey]]),(OutputTable[GroupByKey]=OutputTable[[#This Row],[GroupByKey]])*OutputTable[RecordedValue]))</f>
        <v>2386</v>
      </c>
    </row>
    <row r="834" spans="1:16" x14ac:dyDescent="0.25">
      <c r="A834" t="s">
        <v>68</v>
      </c>
      <c r="B834" t="s">
        <v>131</v>
      </c>
      <c r="C834">
        <v>49</v>
      </c>
      <c r="D834" t="s">
        <v>127</v>
      </c>
      <c r="E834" t="s">
        <v>123</v>
      </c>
      <c r="F834" t="s">
        <v>99</v>
      </c>
      <c r="G834">
        <v>0.46338924703065998</v>
      </c>
      <c r="H834">
        <v>0</v>
      </c>
      <c r="I834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834" cm="1">
        <f t="array" ref="J834">MAX(IF((ProjectInfoTable[ProjectName]=OutputTable[[#This Row],[ProjectName]]),(ProjectInfoTable[ProjectName]=OutputTable[[#This Row],[ProjectName]])*ProjectInfoTable[NumberOfReplications]))</f>
        <v>50</v>
      </c>
      <c r="K834" cm="1">
        <f t="array" ref="K834">IFERROR(AVERAGE(IF((OutputTable[GroupByKey]=OutputTable[[#This Row],[GroupByKey]]),(OutputTable[GroupByKey]=OutputTable[[#This Row],[GroupByKey]])*OutputTable[RecordedValue])),0)</f>
        <v>0.47162762933545666</v>
      </c>
      <c r="L834" cm="1">
        <f t="array" ref="L834">IFERROR(_xlfn.STDEV.S(IF((OutputTable[GroupByKey]=OutputTable[[#This Row],[GroupByKey]]),(OutputTable[GroupByKey]=OutputTable[[#This Row],[GroupByKey]])*OutputTable[RecordedValue])),0)</f>
        <v>9.6615227076777797E-3</v>
      </c>
      <c r="M834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834" cm="1">
        <f t="array" ref="O834">MIN(IF((OutputTable[GroupByKey]=OutputTable[[#This Row],[GroupByKey]]),(OutputTable[GroupByKey]=OutputTable[[#This Row],[GroupByKey]])*OutputTable[RecordedValue]))</f>
        <v>0.452397944183905</v>
      </c>
      <c r="P834" cm="1">
        <f t="array" ref="P834">MAX(IF((OutputTable[GroupByKey]=OutputTable[[#This Row],[GroupByKey]]),(OutputTable[GroupByKey]=OutputTable[[#This Row],[GroupByKey]])*OutputTable[RecordedValue]))</f>
        <v>0.49691123629694001</v>
      </c>
    </row>
    <row r="835" spans="1:16" x14ac:dyDescent="0.25">
      <c r="A835" t="s">
        <v>68</v>
      </c>
      <c r="B835" t="s">
        <v>131</v>
      </c>
      <c r="C835">
        <v>50</v>
      </c>
      <c r="D835" t="s">
        <v>104</v>
      </c>
      <c r="E835" t="s">
        <v>105</v>
      </c>
      <c r="F835" t="s">
        <v>72</v>
      </c>
      <c r="G835">
        <v>2433</v>
      </c>
      <c r="H835">
        <v>0</v>
      </c>
      <c r="I835" t="str">
        <f>OutputTable[[#This Row],[ProjectName]]&amp;OutputTable[[#This Row],[Name]]&amp;OutputTable[[#This Row],[Type]]&amp;OutputTable[[#This Row],[Source]]</f>
        <v>PacientesEntity 1.NumberInNumber InEntity</v>
      </c>
      <c r="J835" cm="1">
        <f t="array" ref="J835">MAX(IF((ProjectInfoTable[ProjectName]=OutputTable[[#This Row],[ProjectName]]),(ProjectInfoTable[ProjectName]=OutputTable[[#This Row],[ProjectName]])*ProjectInfoTable[NumberOfReplications]))</f>
        <v>50</v>
      </c>
      <c r="K835" cm="1">
        <f t="array" ref="K835">IFERROR(AVERAGE(IF((OutputTable[GroupByKey]=OutputTable[[#This Row],[GroupByKey]]),(OutputTable[GroupByKey]=OutputTable[[#This Row],[GroupByKey]])*OutputTable[RecordedValue])),0)</f>
        <v>2404.8200000000002</v>
      </c>
      <c r="L835" cm="1">
        <f t="array" ref="L835">IFERROR(_xlfn.STDEV.S(IF((OutputTable[GroupByKey]=OutputTable[[#This Row],[GroupByKey]]),(OutputTable[GroupByKey]=OutputTable[[#This Row],[GroupByKey]])*OutputTable[RecordedValue])),0)</f>
        <v>46.42953405595474</v>
      </c>
      <c r="M83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13.195127580834233</v>
      </c>
      <c r="O835" cm="1">
        <f t="array" ref="O835">MIN(IF((OutputTable[GroupByKey]=OutputTable[[#This Row],[GroupByKey]]),(OutputTable[GroupByKey]=OutputTable[[#This Row],[GroupByKey]])*OutputTable[RecordedValue]))</f>
        <v>2307</v>
      </c>
      <c r="P835" cm="1">
        <f t="array" ref="P835">MAX(IF((OutputTable[GroupByKey]=OutputTable[[#This Row],[GroupByKey]]),(OutputTable[GroupByKey]=OutputTable[[#This Row],[GroupByKey]])*OutputTable[RecordedValue]))</f>
        <v>2518</v>
      </c>
    </row>
    <row r="836" spans="1:16" x14ac:dyDescent="0.25">
      <c r="A836" t="s">
        <v>68</v>
      </c>
      <c r="B836" t="s">
        <v>131</v>
      </c>
      <c r="C836">
        <v>50</v>
      </c>
      <c r="D836" t="s">
        <v>106</v>
      </c>
      <c r="E836" t="s">
        <v>107</v>
      </c>
      <c r="F836" t="s">
        <v>72</v>
      </c>
      <c r="G836">
        <v>2431</v>
      </c>
      <c r="H836">
        <v>0</v>
      </c>
      <c r="I836" t="str">
        <f>OutputTable[[#This Row],[ProjectName]]&amp;OutputTable[[#This Row],[Name]]&amp;OutputTable[[#This Row],[Type]]&amp;OutputTable[[#This Row],[Source]]</f>
        <v>PacientesEntity 1.NumberOutNumber OutEntity</v>
      </c>
      <c r="J836" cm="1">
        <f t="array" ref="J836">MAX(IF((ProjectInfoTable[ProjectName]=OutputTable[[#This Row],[ProjectName]]),(ProjectInfoTable[ProjectName]=OutputTable[[#This Row],[ProjectName]])*ProjectInfoTable[NumberOfReplications]))</f>
        <v>50</v>
      </c>
      <c r="K836" cm="1">
        <f t="array" ref="K836">IFERROR(AVERAGE(IF((OutputTable[GroupByKey]=OutputTable[[#This Row],[GroupByKey]]),(OutputTable[GroupByKey]=OutputTable[[#This Row],[GroupByKey]])*OutputTable[RecordedValue])),0)</f>
        <v>2400.2800000000002</v>
      </c>
      <c r="L836" cm="1">
        <f t="array" ref="L836">IFERROR(_xlfn.STDEV.S(IF((OutputTable[GroupByKey]=OutputTable[[#This Row],[GroupByKey]]),(OutputTable[GroupByKey]=OutputTable[[#This Row],[GroupByKey]])*OutputTable[RecordedValue])),0)</f>
        <v>46.409024456676619</v>
      </c>
      <c r="M836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36" cm="1">
        <f t="array" ref="O836">MIN(IF((OutputTable[GroupByKey]=OutputTable[[#This Row],[GroupByKey]]),(OutputTable[GroupByKey]=OutputTable[[#This Row],[GroupByKey]])*OutputTable[RecordedValue]))</f>
        <v>2305</v>
      </c>
      <c r="P836" cm="1">
        <f t="array" ref="P836">MAX(IF((OutputTable[GroupByKey]=OutputTable[[#This Row],[GroupByKey]]),(OutputTable[GroupByKey]=OutputTable[[#This Row],[GroupByKey]])*OutputTable[RecordedValue]))</f>
        <v>2504</v>
      </c>
    </row>
    <row r="837" spans="1:16" x14ac:dyDescent="0.25">
      <c r="A837" t="s">
        <v>68</v>
      </c>
      <c r="B837" t="s">
        <v>131</v>
      </c>
      <c r="C837">
        <v>50</v>
      </c>
      <c r="D837" t="s">
        <v>108</v>
      </c>
      <c r="E837" t="s">
        <v>109</v>
      </c>
      <c r="F837" t="s">
        <v>80</v>
      </c>
      <c r="G837">
        <v>1189.0989246159399</v>
      </c>
      <c r="H837">
        <v>0</v>
      </c>
      <c r="I837" t="str">
        <f>OutputTable[[#This Row],[ProjectName]]&amp;OutputTable[[#This Row],[Name]]&amp;OutputTable[[#This Row],[Type]]&amp;OutputTable[[#This Row],[Source]]</f>
        <v>PacientesProcess 2 Accum VA TimeAccum VA TimeProcess</v>
      </c>
      <c r="J837" cm="1">
        <f t="array" ref="J837">MAX(IF((ProjectInfoTable[ProjectName]=OutputTable[[#This Row],[ProjectName]]),(ProjectInfoTable[ProjectName]=OutputTable[[#This Row],[ProjectName]])*ProjectInfoTable[NumberOfReplications]))</f>
        <v>50</v>
      </c>
      <c r="K837" cm="1">
        <f t="array" ref="K837">IFERROR(AVERAGE(IF((OutputTable[GroupByKey]=OutputTable[[#This Row],[GroupByKey]]),(OutputTable[GroupByKey]=OutputTable[[#This Row],[GroupByKey]])*OutputTable[RecordedValue])),0)</f>
        <v>1181.1234936767919</v>
      </c>
      <c r="L837" cm="1">
        <f t="array" ref="L837">IFERROR(_xlfn.STDEV.S(IF((OutputTable[GroupByKey]=OutputTable[[#This Row],[GroupByKey]]),(OutputTable[GroupByKey]=OutputTable[[#This Row],[GroupByKey]])*OutputTable[RecordedValue])),0)</f>
        <v>22.169313666927575</v>
      </c>
      <c r="M837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6.3004492326393233</v>
      </c>
      <c r="O837" cm="1">
        <f t="array" ref="O837">MIN(IF((OutputTable[GroupByKey]=OutputTable[[#This Row],[GroupByKey]]),(OutputTable[GroupByKey]=OutputTable[[#This Row],[GroupByKey]])*OutputTable[RecordedValue]))</f>
        <v>1133.24622318414</v>
      </c>
      <c r="P837" cm="1">
        <f t="array" ref="P837">MAX(IF((OutputTable[GroupByKey]=OutputTable[[#This Row],[GroupByKey]]),(OutputTable[GroupByKey]=OutputTable[[#This Row],[GroupByKey]])*OutputTable[RecordedValue]))</f>
        <v>1230.9493287309799</v>
      </c>
    </row>
    <row r="838" spans="1:16" x14ac:dyDescent="0.25">
      <c r="A838" t="s">
        <v>68</v>
      </c>
      <c r="B838" t="s">
        <v>131</v>
      </c>
      <c r="C838">
        <v>50</v>
      </c>
      <c r="D838" t="s">
        <v>110</v>
      </c>
      <c r="E838" t="s">
        <v>111</v>
      </c>
      <c r="F838" t="s">
        <v>80</v>
      </c>
      <c r="G838">
        <v>2609.2568054213998</v>
      </c>
      <c r="H838">
        <v>0</v>
      </c>
      <c r="I838" t="str">
        <f>OutputTable[[#This Row],[ProjectName]]&amp;OutputTable[[#This Row],[Name]]&amp;OutputTable[[#This Row],[Type]]&amp;OutputTable[[#This Row],[Source]]</f>
        <v>PacientesProcess 2 Accum Wait TimeAccum Wait TimeProcess</v>
      </c>
      <c r="J838" cm="1">
        <f t="array" ref="J838">MAX(IF((ProjectInfoTable[ProjectName]=OutputTable[[#This Row],[ProjectName]]),(ProjectInfoTable[ProjectName]=OutputTable[[#This Row],[ProjectName]])*ProjectInfoTable[NumberOfReplications]))</f>
        <v>50</v>
      </c>
      <c r="K838" cm="1">
        <f t="array" ref="K838">IFERROR(AVERAGE(IF((OutputTable[GroupByKey]=OutputTable[[#This Row],[GroupByKey]]),(OutputTable[GroupByKey]=OutputTable[[#This Row],[GroupByKey]])*OutputTable[RecordedValue])),0)</f>
        <v>1938.7515507466894</v>
      </c>
      <c r="L838" cm="1">
        <f t="array" ref="L838">IFERROR(_xlfn.STDEV.S(IF((OutputTable[GroupByKey]=OutputTable[[#This Row],[GroupByKey]]),(OutputTable[GroupByKey]=OutputTable[[#This Row],[GroupByKey]])*OutputTable[RecordedValue])),0)</f>
        <v>534.03396241838232</v>
      </c>
      <c r="M838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151.77077284722898</v>
      </c>
      <c r="O838" cm="1">
        <f t="array" ref="O838">MIN(IF((OutputTable[GroupByKey]=OutputTable[[#This Row],[GroupByKey]]),(OutputTable[GroupByKey]=OutputTable[[#This Row],[GroupByKey]])*OutputTable[RecordedValue]))</f>
        <v>1234.7567994731401</v>
      </c>
      <c r="P838" cm="1">
        <f t="array" ref="P838">MAX(IF((OutputTable[GroupByKey]=OutputTable[[#This Row],[GroupByKey]]),(OutputTable[GroupByKey]=OutputTable[[#This Row],[GroupByKey]])*OutputTable[RecordedValue]))</f>
        <v>3269.0858002883801</v>
      </c>
    </row>
    <row r="839" spans="1:16" x14ac:dyDescent="0.25">
      <c r="A839" t="s">
        <v>68</v>
      </c>
      <c r="B839" t="s">
        <v>131</v>
      </c>
      <c r="C839">
        <v>50</v>
      </c>
      <c r="D839" t="s">
        <v>112</v>
      </c>
      <c r="E839" t="s">
        <v>105</v>
      </c>
      <c r="F839" t="s">
        <v>80</v>
      </c>
      <c r="G839">
        <v>2433</v>
      </c>
      <c r="H839">
        <v>0</v>
      </c>
      <c r="I839" t="str">
        <f>OutputTable[[#This Row],[ProjectName]]&amp;OutputTable[[#This Row],[Name]]&amp;OutputTable[[#This Row],[Type]]&amp;OutputTable[[#This Row],[Source]]</f>
        <v>PacientesProcess 2 Number InNumber InProcess</v>
      </c>
      <c r="J839" cm="1">
        <f t="array" ref="J839">MAX(IF((ProjectInfoTable[ProjectName]=OutputTable[[#This Row],[ProjectName]]),(ProjectInfoTable[ProjectName]=OutputTable[[#This Row],[ProjectName]])*ProjectInfoTable[NumberOfReplications]))</f>
        <v>50</v>
      </c>
      <c r="K839" cm="1">
        <f t="array" ref="K839">IFERROR(AVERAGE(IF((OutputTable[GroupByKey]=OutputTable[[#This Row],[GroupByKey]]),(OutputTable[GroupByKey]=OutputTable[[#This Row],[GroupByKey]])*OutputTable[RecordedValue])),0)</f>
        <v>2404.2399999999998</v>
      </c>
      <c r="L839" cm="1">
        <f t="array" ref="L839">IFERROR(_xlfn.STDEV.S(IF((OutputTable[GroupByKey]=OutputTable[[#This Row],[GroupByKey]]),(OutputTable[GroupByKey]=OutputTable[[#This Row],[GroupByKey]])*OutputTable[RecordedValue])),0)</f>
        <v>46.574303154053879</v>
      </c>
      <c r="M839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13.236270503286962</v>
      </c>
      <c r="O839" cm="1">
        <f t="array" ref="O839">MIN(IF((OutputTable[GroupByKey]=OutputTable[[#This Row],[GroupByKey]]),(OutputTable[GroupByKey]=OutputTable[[#This Row],[GroupByKey]])*OutputTable[RecordedValue]))</f>
        <v>2306</v>
      </c>
      <c r="P839" cm="1">
        <f t="array" ref="P839">MAX(IF((OutputTable[GroupByKey]=OutputTable[[#This Row],[GroupByKey]]),(OutputTable[GroupByKey]=OutputTable[[#This Row],[GroupByKey]])*OutputTable[RecordedValue]))</f>
        <v>2518</v>
      </c>
    </row>
    <row r="840" spans="1:16" x14ac:dyDescent="0.25">
      <c r="A840" t="s">
        <v>68</v>
      </c>
      <c r="B840" t="s">
        <v>131</v>
      </c>
      <c r="C840">
        <v>50</v>
      </c>
      <c r="D840" t="s">
        <v>113</v>
      </c>
      <c r="E840" t="s">
        <v>107</v>
      </c>
      <c r="F840" t="s">
        <v>80</v>
      </c>
      <c r="G840">
        <v>2431</v>
      </c>
      <c r="H840">
        <v>0</v>
      </c>
      <c r="I840" t="str">
        <f>OutputTable[[#This Row],[ProjectName]]&amp;OutputTable[[#This Row],[Name]]&amp;OutputTable[[#This Row],[Type]]&amp;OutputTable[[#This Row],[Source]]</f>
        <v>PacientesProcess 2 Number OutNumber OutProcess</v>
      </c>
      <c r="J840" cm="1">
        <f t="array" ref="J840">MAX(IF((ProjectInfoTable[ProjectName]=OutputTable[[#This Row],[ProjectName]]),(ProjectInfoTable[ProjectName]=OutputTable[[#This Row],[ProjectName]])*ProjectInfoTable[NumberOfReplications]))</f>
        <v>50</v>
      </c>
      <c r="K840" cm="1">
        <f t="array" ref="K840">IFERROR(AVERAGE(IF((OutputTable[GroupByKey]=OutputTable[[#This Row],[GroupByKey]]),(OutputTable[GroupByKey]=OutputTable[[#This Row],[GroupByKey]])*OutputTable[RecordedValue])),0)</f>
        <v>2400.2800000000002</v>
      </c>
      <c r="L840" cm="1">
        <f t="array" ref="L840">IFERROR(_xlfn.STDEV.S(IF((OutputTable[GroupByKey]=OutputTable[[#This Row],[GroupByKey]]),(OutputTable[GroupByKey]=OutputTable[[#This Row],[GroupByKey]])*OutputTable[RecordedValue])),0)</f>
        <v>46.409024456676619</v>
      </c>
      <c r="M840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40" cm="1">
        <f t="array" ref="O840">MIN(IF((OutputTable[GroupByKey]=OutputTable[[#This Row],[GroupByKey]]),(OutputTable[GroupByKey]=OutputTable[[#This Row],[GroupByKey]])*OutputTable[RecordedValue]))</f>
        <v>2305</v>
      </c>
      <c r="P840" cm="1">
        <f t="array" ref="P840">MAX(IF((OutputTable[GroupByKey]=OutputTable[[#This Row],[GroupByKey]]),(OutputTable[GroupByKey]=OutputTable[[#This Row],[GroupByKey]])*OutputTable[RecordedValue]))</f>
        <v>2504</v>
      </c>
    </row>
    <row r="841" spans="1:16" x14ac:dyDescent="0.25">
      <c r="A841" t="s">
        <v>68</v>
      </c>
      <c r="B841" t="s">
        <v>131</v>
      </c>
      <c r="C841">
        <v>50</v>
      </c>
      <c r="D841" t="s">
        <v>114</v>
      </c>
      <c r="E841" t="s">
        <v>109</v>
      </c>
      <c r="F841" t="s">
        <v>80</v>
      </c>
      <c r="G841">
        <v>343.22668523811097</v>
      </c>
      <c r="H841">
        <v>0</v>
      </c>
      <c r="I841" t="str">
        <f>OutputTable[[#This Row],[ProjectName]]&amp;OutputTable[[#This Row],[Name]]&amp;OutputTable[[#This Row],[Type]]&amp;OutputTable[[#This Row],[Source]]</f>
        <v>PacientesRegistro Accum VA TimeAccum VA TimeProcess</v>
      </c>
      <c r="J841" cm="1">
        <f t="array" ref="J841">MAX(IF((ProjectInfoTable[ProjectName]=OutputTable[[#This Row],[ProjectName]]),(ProjectInfoTable[ProjectName]=OutputTable[[#This Row],[ProjectName]])*ProjectInfoTable[NumberOfReplications]))</f>
        <v>50</v>
      </c>
      <c r="K841" cm="1">
        <f t="array" ref="K841">IFERROR(AVERAGE(IF((OutputTable[GroupByKey]=OutputTable[[#This Row],[GroupByKey]]),(OutputTable[GroupByKey]=OutputTable[[#This Row],[GroupByKey]])*OutputTable[RecordedValue])),0)</f>
        <v>339.53547737062786</v>
      </c>
      <c r="L841" cm="1">
        <f t="array" ref="L841">IFERROR(_xlfn.STDEV.S(IF((OutputTable[GroupByKey]=OutputTable[[#This Row],[GroupByKey]]),(OutputTable[GroupByKey]=OutputTable[[#This Row],[GroupByKey]])*OutputTable[RecordedValue])),0)</f>
        <v>6.9723666109353193</v>
      </c>
      <c r="M841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1.9815246661912362</v>
      </c>
      <c r="O841" cm="1">
        <f t="array" ref="O841">MIN(IF((OutputTable[GroupByKey]=OutputTable[[#This Row],[GroupByKey]]),(OutputTable[GroupByKey]=OutputTable[[#This Row],[GroupByKey]])*OutputTable[RecordedValue]))</f>
        <v>325.606879158418</v>
      </c>
      <c r="P841" cm="1">
        <f t="array" ref="P841">MAX(IF((OutputTable[GroupByKey]=OutputTable[[#This Row],[GroupByKey]]),(OutputTable[GroupByKey]=OutputTable[[#This Row],[GroupByKey]])*OutputTable[RecordedValue]))</f>
        <v>357.77609013379703</v>
      </c>
    </row>
    <row r="842" spans="1:16" x14ac:dyDescent="0.25">
      <c r="A842" t="s">
        <v>68</v>
      </c>
      <c r="B842" t="s">
        <v>131</v>
      </c>
      <c r="C842">
        <v>50</v>
      </c>
      <c r="D842" t="s">
        <v>115</v>
      </c>
      <c r="E842" t="s">
        <v>111</v>
      </c>
      <c r="F842" t="s">
        <v>80</v>
      </c>
      <c r="G842">
        <v>159.14016551789501</v>
      </c>
      <c r="H842">
        <v>0</v>
      </c>
      <c r="I842" t="str">
        <f>OutputTable[[#This Row],[ProjectName]]&amp;OutputTable[[#This Row],[Name]]&amp;OutputTable[[#This Row],[Type]]&amp;OutputTable[[#This Row],[Source]]</f>
        <v>PacientesRegistro Accum Wait TimeAccum Wait TimeProcess</v>
      </c>
      <c r="J842" cm="1">
        <f t="array" ref="J842">MAX(IF((ProjectInfoTable[ProjectName]=OutputTable[[#This Row],[ProjectName]]),(ProjectInfoTable[ProjectName]=OutputTable[[#This Row],[ProjectName]])*ProjectInfoTable[NumberOfReplications]))</f>
        <v>50</v>
      </c>
      <c r="K842" cm="1">
        <f t="array" ref="K842">IFERROR(AVERAGE(IF((OutputTable[GroupByKey]=OutputTable[[#This Row],[GroupByKey]]),(OutputTable[GroupByKey]=OutputTable[[#This Row],[GroupByKey]])*OutputTable[RecordedValue])),0)</f>
        <v>154.15303898127775</v>
      </c>
      <c r="L842" cm="1">
        <f t="array" ref="L842">IFERROR(_xlfn.STDEV.S(IF((OutputTable[GroupByKey]=OutputTable[[#This Row],[GroupByKey]]),(OutputTable[GroupByKey]=OutputTable[[#This Row],[GroupByKey]])*OutputTable[RecordedValue])),0)</f>
        <v>12.141439184615397</v>
      </c>
      <c r="M842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3.4505588374603331</v>
      </c>
      <c r="O842" cm="1">
        <f t="array" ref="O842">MIN(IF((OutputTable[GroupByKey]=OutputTable[[#This Row],[GroupByKey]]),(OutputTable[GroupByKey]=OutputTable[[#This Row],[GroupByKey]])*OutputTable[RecordedValue]))</f>
        <v>123.901613974094</v>
      </c>
      <c r="P842" cm="1">
        <f t="array" ref="P842">MAX(IF((OutputTable[GroupByKey]=OutputTable[[#This Row],[GroupByKey]]),(OutputTable[GroupByKey]=OutputTable[[#This Row],[GroupByKey]])*OutputTable[RecordedValue]))</f>
        <v>178.441307284473</v>
      </c>
    </row>
    <row r="843" spans="1:16" x14ac:dyDescent="0.25">
      <c r="A843" t="s">
        <v>68</v>
      </c>
      <c r="B843" t="s">
        <v>131</v>
      </c>
      <c r="C843">
        <v>50</v>
      </c>
      <c r="D843" t="s">
        <v>116</v>
      </c>
      <c r="E843" t="s">
        <v>105</v>
      </c>
      <c r="F843" t="s">
        <v>80</v>
      </c>
      <c r="G843">
        <v>2292</v>
      </c>
      <c r="H843">
        <v>0</v>
      </c>
      <c r="I843" t="str">
        <f>OutputTable[[#This Row],[ProjectName]]&amp;OutputTable[[#This Row],[Name]]&amp;OutputTable[[#This Row],[Type]]&amp;OutputTable[[#This Row],[Source]]</f>
        <v>PacientesRegistro Number InNumber InProcess</v>
      </c>
      <c r="J843" cm="1">
        <f t="array" ref="J843">MAX(IF((ProjectInfoTable[ProjectName]=OutputTable[[#This Row],[ProjectName]]),(ProjectInfoTable[ProjectName]=OutputTable[[#This Row],[ProjectName]])*ProjectInfoTable[NumberOfReplications]))</f>
        <v>50</v>
      </c>
      <c r="K843" cm="1">
        <f t="array" ref="K843">IFERROR(AVERAGE(IF((OutputTable[GroupByKey]=OutputTable[[#This Row],[GroupByKey]]),(OutputTable[GroupByKey]=OutputTable[[#This Row],[GroupByKey]])*OutputTable[RecordedValue])),0)</f>
        <v>2263.2399999999998</v>
      </c>
      <c r="L843" cm="1">
        <f t="array" ref="L843">IFERROR(_xlfn.STDEV.S(IF((OutputTable[GroupByKey]=OutputTable[[#This Row],[GroupByKey]]),(OutputTable[GroupByKey]=OutputTable[[#This Row],[GroupByKey]])*OutputTable[RecordedValue])),0)</f>
        <v>47.331035682472766</v>
      </c>
      <c r="M843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13.451331508314944</v>
      </c>
      <c r="O843" cm="1">
        <f t="array" ref="O843">MIN(IF((OutputTable[GroupByKey]=OutputTable[[#This Row],[GroupByKey]]),(OutputTable[GroupByKey]=OutputTable[[#This Row],[GroupByKey]])*OutputTable[RecordedValue]))</f>
        <v>2172</v>
      </c>
      <c r="P843" cm="1">
        <f t="array" ref="P843">MAX(IF((OutputTable[GroupByKey]=OutputTable[[#This Row],[GroupByKey]]),(OutputTable[GroupByKey]=OutputTable[[#This Row],[GroupByKey]])*OutputTable[RecordedValue]))</f>
        <v>2386</v>
      </c>
    </row>
    <row r="844" spans="1:16" x14ac:dyDescent="0.25">
      <c r="A844" t="s">
        <v>68</v>
      </c>
      <c r="B844" t="s">
        <v>131</v>
      </c>
      <c r="C844">
        <v>50</v>
      </c>
      <c r="D844" t="s">
        <v>117</v>
      </c>
      <c r="E844" t="s">
        <v>107</v>
      </c>
      <c r="F844" t="s">
        <v>80</v>
      </c>
      <c r="G844">
        <v>2292</v>
      </c>
      <c r="H844">
        <v>0</v>
      </c>
      <c r="I844" t="str">
        <f>OutputTable[[#This Row],[ProjectName]]&amp;OutputTable[[#This Row],[Name]]&amp;OutputTable[[#This Row],[Type]]&amp;OutputTable[[#This Row],[Source]]</f>
        <v>PacientesRegistro Number OutNumber OutProcess</v>
      </c>
      <c r="J844" cm="1">
        <f t="array" ref="J844">MAX(IF((ProjectInfoTable[ProjectName]=OutputTable[[#This Row],[ProjectName]]),(ProjectInfoTable[ProjectName]=OutputTable[[#This Row],[ProjectName]])*ProjectInfoTable[NumberOfReplications]))</f>
        <v>50</v>
      </c>
      <c r="K844" cm="1">
        <f t="array" ref="K844">IFERROR(AVERAGE(IF((OutputTable[GroupByKey]=OutputTable[[#This Row],[GroupByKey]]),(OutputTable[GroupByKey]=OutputTable[[#This Row],[GroupByKey]])*OutputTable[RecordedValue])),0)</f>
        <v>2262.66</v>
      </c>
      <c r="L844" cm="1">
        <f t="array" ref="L844">IFERROR(_xlfn.STDEV.S(IF((OutputTable[GroupByKey]=OutputTable[[#This Row],[GroupByKey]]),(OutputTable[GroupByKey]=OutputTable[[#This Row],[GroupByKey]])*OutputTable[RecordedValue])),0)</f>
        <v>47.488176831454687</v>
      </c>
      <c r="M844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13.495990528724592</v>
      </c>
      <c r="O844" cm="1">
        <f t="array" ref="O844">MIN(IF((OutputTable[GroupByKey]=OutputTable[[#This Row],[GroupByKey]]),(OutputTable[GroupByKey]=OutputTable[[#This Row],[GroupByKey]])*OutputTable[RecordedValue]))</f>
        <v>2171</v>
      </c>
      <c r="P844" cm="1">
        <f t="array" ref="P844">MAX(IF((OutputTable[GroupByKey]=OutputTable[[#This Row],[GroupByKey]]),(OutputTable[GroupByKey]=OutputTable[[#This Row],[GroupByKey]])*OutputTable[RecordedValue]))</f>
        <v>2386</v>
      </c>
    </row>
    <row r="845" spans="1:16" x14ac:dyDescent="0.25">
      <c r="A845" t="s">
        <v>68</v>
      </c>
      <c r="B845" t="s">
        <v>131</v>
      </c>
      <c r="C845">
        <v>50</v>
      </c>
      <c r="D845" t="s">
        <v>118</v>
      </c>
      <c r="E845" t="s">
        <v>107</v>
      </c>
      <c r="F845" t="s">
        <v>119</v>
      </c>
      <c r="G845">
        <v>2431</v>
      </c>
      <c r="H845">
        <v>0</v>
      </c>
      <c r="I845" t="str">
        <f>OutputTable[[#This Row],[ProjectName]]&amp;OutputTable[[#This Row],[Name]]&amp;OutputTable[[#This Row],[Type]]&amp;OutputTable[[#This Row],[Source]]</f>
        <v>PacientesSystem.NumberOutNumber OutSystem</v>
      </c>
      <c r="J845" cm="1">
        <f t="array" ref="J845">MAX(IF((ProjectInfoTable[ProjectName]=OutputTable[[#This Row],[ProjectName]]),(ProjectInfoTable[ProjectName]=OutputTable[[#This Row],[ProjectName]])*ProjectInfoTable[NumberOfReplications]))</f>
        <v>50</v>
      </c>
      <c r="K845" cm="1">
        <f t="array" ref="K845">IFERROR(AVERAGE(IF((OutputTable[GroupByKey]=OutputTable[[#This Row],[GroupByKey]]),(OutputTable[GroupByKey]=OutputTable[[#This Row],[GroupByKey]])*OutputTable[RecordedValue])),0)</f>
        <v>2400.2800000000002</v>
      </c>
      <c r="L845" cm="1">
        <f t="array" ref="L845">IFERROR(_xlfn.STDEV.S(IF((OutputTable[GroupByKey]=OutputTable[[#This Row],[GroupByKey]]),(OutputTable[GroupByKey]=OutputTable[[#This Row],[GroupByKey]])*OutputTable[RecordedValue])),0)</f>
        <v>46.409024456676619</v>
      </c>
      <c r="M84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13.189298817211915</v>
      </c>
      <c r="O845" cm="1">
        <f t="array" ref="O845">MIN(IF((OutputTable[GroupByKey]=OutputTable[[#This Row],[GroupByKey]]),(OutputTable[GroupByKey]=OutputTable[[#This Row],[GroupByKey]])*OutputTable[RecordedValue]))</f>
        <v>2305</v>
      </c>
      <c r="P845" cm="1">
        <f t="array" ref="P845">MAX(IF((OutputTable[GroupByKey]=OutputTable[[#This Row],[GroupByKey]]),(OutputTable[GroupByKey]=OutputTable[[#This Row],[GroupByKey]])*OutputTable[RecordedValue]))</f>
        <v>2504</v>
      </c>
    </row>
    <row r="846" spans="1:16" x14ac:dyDescent="0.25">
      <c r="A846" t="s">
        <v>68</v>
      </c>
      <c r="B846" t="s">
        <v>131</v>
      </c>
      <c r="C846">
        <v>50</v>
      </c>
      <c r="D846" t="s">
        <v>120</v>
      </c>
      <c r="E846" t="s">
        <v>121</v>
      </c>
      <c r="F846" t="s">
        <v>99</v>
      </c>
      <c r="G846">
        <v>2433</v>
      </c>
      <c r="H846">
        <v>0</v>
      </c>
      <c r="I846" t="str">
        <f>OutputTable[[#This Row],[ProjectName]]&amp;OutputTable[[#This Row],[Name]]&amp;OutputTable[[#This Row],[Type]]&amp;OutputTable[[#This Row],[Source]]</f>
        <v>PacientesrCamas.NumberSeizedTotal Number SeizedResource</v>
      </c>
      <c r="J846" cm="1">
        <f t="array" ref="J846">MAX(IF((ProjectInfoTable[ProjectName]=OutputTable[[#This Row],[ProjectName]]),(ProjectInfoTable[ProjectName]=OutputTable[[#This Row],[ProjectName]])*ProjectInfoTable[NumberOfReplications]))</f>
        <v>50</v>
      </c>
      <c r="K846" cm="1">
        <f t="array" ref="K846">IFERROR(AVERAGE(IF((OutputTable[GroupByKey]=OutputTable[[#This Row],[GroupByKey]]),(OutputTable[GroupByKey]=OutputTable[[#This Row],[GroupByKey]])*OutputTable[RecordedValue])),0)</f>
        <v>2401.9</v>
      </c>
      <c r="L846" cm="1">
        <f t="array" ref="L846">IFERROR(_xlfn.STDEV.S(IF((OutputTable[GroupByKey]=OutputTable[[#This Row],[GroupByKey]]),(OutputTable[GroupByKey]=OutputTable[[#This Row],[GroupByKey]])*OutputTable[RecordedValue])),0)</f>
        <v>46.417031532903209</v>
      </c>
      <c r="M846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846" cm="1">
        <f t="array" ref="O846">MIN(IF((OutputTable[GroupByKey]=OutputTable[[#This Row],[GroupByKey]]),(OutputTable[GroupByKey]=OutputTable[[#This Row],[GroupByKey]])*OutputTable[RecordedValue]))</f>
        <v>2306</v>
      </c>
      <c r="P846" cm="1">
        <f t="array" ref="P846">MAX(IF((OutputTable[GroupByKey]=OutputTable[[#This Row],[GroupByKey]]),(OutputTable[GroupByKey]=OutputTable[[#This Row],[GroupByKey]])*OutputTable[RecordedValue]))</f>
        <v>2506</v>
      </c>
    </row>
    <row r="847" spans="1:16" x14ac:dyDescent="0.25">
      <c r="A847" t="s">
        <v>68</v>
      </c>
      <c r="B847" t="s">
        <v>131</v>
      </c>
      <c r="C847">
        <v>50</v>
      </c>
      <c r="D847" t="s">
        <v>122</v>
      </c>
      <c r="E847" t="s">
        <v>123</v>
      </c>
      <c r="F847" t="s">
        <v>99</v>
      </c>
      <c r="G847">
        <v>0.55060118191558205</v>
      </c>
      <c r="H847">
        <v>0</v>
      </c>
      <c r="I847" t="str">
        <f>OutputTable[[#This Row],[ProjectName]]&amp;OutputTable[[#This Row],[Name]]&amp;OutputTable[[#This Row],[Type]]&amp;OutputTable[[#This Row],[Source]]</f>
        <v>PacientesrCamas.ScheduledUtilizationScheduled UtilizationResource</v>
      </c>
      <c r="J847" cm="1">
        <f t="array" ref="J847">MAX(IF((ProjectInfoTable[ProjectName]=OutputTable[[#This Row],[ProjectName]]),(ProjectInfoTable[ProjectName]=OutputTable[[#This Row],[ProjectName]])*ProjectInfoTable[NumberOfReplications]))</f>
        <v>50</v>
      </c>
      <c r="K847" cm="1">
        <f t="array" ref="K847">IFERROR(AVERAGE(IF((OutputTable[GroupByKey]=OutputTable[[#This Row],[GroupByKey]]),(OutputTable[GroupByKey]=OutputTable[[#This Row],[GroupByKey]])*OutputTable[RecordedValue])),0)</f>
        <v>0.54703961359050601</v>
      </c>
      <c r="L847" cm="1">
        <f t="array" ref="L847">IFERROR(_xlfn.STDEV.S(IF((OutputTable[GroupByKey]=OutputTable[[#This Row],[GroupByKey]]),(OutputTable[GroupByKey]=OutputTable[[#This Row],[GroupByKey]])*OutputTable[RecordedValue])),0)</f>
        <v>1.0221170008030479E-2</v>
      </c>
      <c r="M847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2.9048243757695252E-3</v>
      </c>
      <c r="O847" cm="1">
        <f t="array" ref="O847">MIN(IF((OutputTable[GroupByKey]=OutputTable[[#This Row],[GroupByKey]]),(OutputTable[GroupByKey]=OutputTable[[#This Row],[GroupByKey]])*OutputTable[RecordedValue]))</f>
        <v>0.52470641844357901</v>
      </c>
      <c r="P847" cm="1">
        <f t="array" ref="P847">MAX(IF((OutputTable[GroupByKey]=OutputTable[[#This Row],[GroupByKey]]),(OutputTable[GroupByKey]=OutputTable[[#This Row],[GroupByKey]])*OutputTable[RecordedValue]))</f>
        <v>0.57005812966092295</v>
      </c>
    </row>
    <row r="848" spans="1:16" x14ac:dyDescent="0.25">
      <c r="A848" t="s">
        <v>68</v>
      </c>
      <c r="B848" t="s">
        <v>131</v>
      </c>
      <c r="C848">
        <v>50</v>
      </c>
      <c r="D848" t="s">
        <v>124</v>
      </c>
      <c r="E848" t="s">
        <v>121</v>
      </c>
      <c r="F848" t="s">
        <v>99</v>
      </c>
      <c r="G848">
        <v>2433</v>
      </c>
      <c r="H848">
        <v>0</v>
      </c>
      <c r="I848" t="str">
        <f>OutputTable[[#This Row],[ProjectName]]&amp;OutputTable[[#This Row],[Name]]&amp;OutputTable[[#This Row],[Type]]&amp;OutputTable[[#This Row],[Source]]</f>
        <v>PacientesrMedico.NumberSeizedTotal Number SeizedResource</v>
      </c>
      <c r="J848" cm="1">
        <f t="array" ref="J848">MAX(IF((ProjectInfoTable[ProjectName]=OutputTable[[#This Row],[ProjectName]]),(ProjectInfoTable[ProjectName]=OutputTable[[#This Row],[ProjectName]])*ProjectInfoTable[NumberOfReplications]))</f>
        <v>50</v>
      </c>
      <c r="K848" cm="1">
        <f t="array" ref="K848">IFERROR(AVERAGE(IF((OutputTable[GroupByKey]=OutputTable[[#This Row],[GroupByKey]]),(OutputTable[GroupByKey]=OutputTable[[#This Row],[GroupByKey]])*OutputTable[RecordedValue])),0)</f>
        <v>2401.9</v>
      </c>
      <c r="L848" cm="1">
        <f t="array" ref="L848">IFERROR(_xlfn.STDEV.S(IF((OutputTable[GroupByKey]=OutputTable[[#This Row],[GroupByKey]]),(OutputTable[GroupByKey]=OutputTable[[#This Row],[GroupByKey]])*OutputTable[RecordedValue])),0)</f>
        <v>46.417031532903209</v>
      </c>
      <c r="M848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13.191574403097228</v>
      </c>
      <c r="O848" cm="1">
        <f t="array" ref="O848">MIN(IF((OutputTable[GroupByKey]=OutputTable[[#This Row],[GroupByKey]]),(OutputTable[GroupByKey]=OutputTable[[#This Row],[GroupByKey]])*OutputTable[RecordedValue]))</f>
        <v>2306</v>
      </c>
      <c r="P848" cm="1">
        <f t="array" ref="P848">MAX(IF((OutputTable[GroupByKey]=OutputTable[[#This Row],[GroupByKey]]),(OutputTable[GroupByKey]=OutputTable[[#This Row],[GroupByKey]])*OutputTable[RecordedValue]))</f>
        <v>2506</v>
      </c>
    </row>
    <row r="849" spans="1:16" x14ac:dyDescent="0.25">
      <c r="A849" t="s">
        <v>68</v>
      </c>
      <c r="B849" t="s">
        <v>131</v>
      </c>
      <c r="C849">
        <v>50</v>
      </c>
      <c r="D849" t="s">
        <v>125</v>
      </c>
      <c r="E849" t="s">
        <v>123</v>
      </c>
      <c r="F849" t="s">
        <v>99</v>
      </c>
      <c r="G849">
        <v>0.82590177287337396</v>
      </c>
      <c r="H849">
        <v>0</v>
      </c>
      <c r="I849" t="str">
        <f>OutputTable[[#This Row],[ProjectName]]&amp;OutputTable[[#This Row],[Name]]&amp;OutputTable[[#This Row],[Type]]&amp;OutputTable[[#This Row],[Source]]</f>
        <v>PacientesrMedico.ScheduledUtilizationScheduled UtilizationResource</v>
      </c>
      <c r="J849" cm="1">
        <f t="array" ref="J849">MAX(IF((ProjectInfoTable[ProjectName]=OutputTable[[#This Row],[ProjectName]]),(ProjectInfoTable[ProjectName]=OutputTable[[#This Row],[ProjectName]])*ProjectInfoTable[NumberOfReplications]))</f>
        <v>50</v>
      </c>
      <c r="K849" cm="1">
        <f t="array" ref="K849">IFERROR(AVERAGE(IF((OutputTable[GroupByKey]=OutputTable[[#This Row],[GroupByKey]]),(OutputTable[GroupByKey]=OutputTable[[#This Row],[GroupByKey]])*OutputTable[RecordedValue])),0)</f>
        <v>0.82055942038575935</v>
      </c>
      <c r="L849" cm="1">
        <f t="array" ref="L849">IFERROR(_xlfn.STDEV.S(IF((OutputTable[GroupByKey]=OutputTable[[#This Row],[GroupByKey]]),(OutputTable[GroupByKey]=OutputTable[[#This Row],[GroupByKey]])*OutputTable[RecordedValue])),0)</f>
        <v>1.5331755012045719E-2</v>
      </c>
      <c r="M849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4.3572365636542886E-3</v>
      </c>
      <c r="O849" cm="1">
        <f t="array" ref="O849">MIN(IF((OutputTable[GroupByKey]=OutputTable[[#This Row],[GroupByKey]]),(OutputTable[GroupByKey]=OutputTable[[#This Row],[GroupByKey]])*OutputTable[RecordedValue]))</f>
        <v>0.78705962766536897</v>
      </c>
      <c r="P849" cm="1">
        <f t="array" ref="P849">MAX(IF((OutputTable[GroupByKey]=OutputTable[[#This Row],[GroupByKey]]),(OutputTable[GroupByKey]=OutputTable[[#This Row],[GroupByKey]])*OutputTable[RecordedValue]))</f>
        <v>0.85508719449138504</v>
      </c>
    </row>
    <row r="850" spans="1:16" x14ac:dyDescent="0.25">
      <c r="A850" t="s">
        <v>68</v>
      </c>
      <c r="B850" t="s">
        <v>131</v>
      </c>
      <c r="C850">
        <v>50</v>
      </c>
      <c r="D850" t="s">
        <v>126</v>
      </c>
      <c r="E850" t="s">
        <v>121</v>
      </c>
      <c r="F850" t="s">
        <v>99</v>
      </c>
      <c r="G850">
        <v>2292</v>
      </c>
      <c r="H850">
        <v>0</v>
      </c>
      <c r="I850" t="str">
        <f>OutputTable[[#This Row],[ProjectName]]&amp;OutputTable[[#This Row],[Name]]&amp;OutputTable[[#This Row],[Type]]&amp;OutputTable[[#This Row],[Source]]</f>
        <v>PacientesrRegistradora.NumberSeizedTotal Number SeizedResource</v>
      </c>
      <c r="J850" cm="1">
        <f t="array" ref="J850">MAX(IF((ProjectInfoTable[ProjectName]=OutputTable[[#This Row],[ProjectName]]),(ProjectInfoTable[ProjectName]=OutputTable[[#This Row],[ProjectName]])*ProjectInfoTable[NumberOfReplications]))</f>
        <v>50</v>
      </c>
      <c r="K850" cm="1">
        <f t="array" ref="K850">IFERROR(AVERAGE(IF((OutputTable[GroupByKey]=OutputTable[[#This Row],[GroupByKey]]),(OutputTable[GroupByKey]=OutputTable[[#This Row],[GroupByKey]])*OutputTable[RecordedValue])),0)</f>
        <v>2263.14</v>
      </c>
      <c r="L850" cm="1">
        <f t="array" ref="L850">IFERROR(_xlfn.STDEV.S(IF((OutputTable[GroupByKey]=OutputTable[[#This Row],[GroupByKey]]),(OutputTable[GroupByKey]=OutputTable[[#This Row],[GroupByKey]])*OutputTable[RecordedValue])),0)</f>
        <v>47.386818971575821</v>
      </c>
      <c r="M850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13.467184943667242</v>
      </c>
      <c r="O850" cm="1">
        <f t="array" ref="O850">MIN(IF((OutputTable[GroupByKey]=OutputTable[[#This Row],[GroupByKey]]),(OutputTable[GroupByKey]=OutputTable[[#This Row],[GroupByKey]])*OutputTable[RecordedValue]))</f>
        <v>2172</v>
      </c>
      <c r="P850" cm="1">
        <f t="array" ref="P850">MAX(IF((OutputTable[GroupByKey]=OutputTable[[#This Row],[GroupByKey]]),(OutputTable[GroupByKey]=OutputTable[[#This Row],[GroupByKey]])*OutputTable[RecordedValue]))</f>
        <v>2386</v>
      </c>
    </row>
    <row r="851" spans="1:16" x14ac:dyDescent="0.25">
      <c r="A851" t="s">
        <v>68</v>
      </c>
      <c r="B851" t="s">
        <v>131</v>
      </c>
      <c r="C851">
        <v>50</v>
      </c>
      <c r="D851" t="s">
        <v>127</v>
      </c>
      <c r="E851" t="s">
        <v>123</v>
      </c>
      <c r="F851" t="s">
        <v>99</v>
      </c>
      <c r="G851">
        <v>0.47670372949737699</v>
      </c>
      <c r="H851">
        <v>0</v>
      </c>
      <c r="I851" t="str">
        <f>OutputTable[[#This Row],[ProjectName]]&amp;OutputTable[[#This Row],[Name]]&amp;OutputTable[[#This Row],[Type]]&amp;OutputTable[[#This Row],[Source]]</f>
        <v>PacientesrRegistradora.ScheduledUtilizationScheduled UtilizationResource</v>
      </c>
      <c r="J851" cm="1">
        <f t="array" ref="J851">MAX(IF((ProjectInfoTable[ProjectName]=OutputTable[[#This Row],[ProjectName]]),(ProjectInfoTable[ProjectName]=OutputTable[[#This Row],[ProjectName]])*ProjectInfoTable[NumberOfReplications]))</f>
        <v>50</v>
      </c>
      <c r="K851" cm="1">
        <f t="array" ref="K851">IFERROR(AVERAGE(IF((OutputTable[GroupByKey]=OutputTable[[#This Row],[GroupByKey]]),(OutputTable[GroupByKey]=OutputTable[[#This Row],[GroupByKey]])*OutputTable[RecordedValue])),0)</f>
        <v>0.47162762933545666</v>
      </c>
      <c r="L851" cm="1">
        <f t="array" ref="L851">IFERROR(_xlfn.STDEV.S(IF((OutputTable[GroupByKey]=OutputTable[[#This Row],[GroupByKey]]),(OutputTable[GroupByKey]=OutputTable[[#This Row],[GroupByKey]])*OutputTable[RecordedValue])),0)</f>
        <v>9.6615227076777797E-3</v>
      </c>
      <c r="M851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2.7457743728226142E-3</v>
      </c>
      <c r="O851" cm="1">
        <f t="array" ref="O851">MIN(IF((OutputTable[GroupByKey]=OutputTable[[#This Row],[GroupByKey]]),(OutputTable[GroupByKey]=OutputTable[[#This Row],[GroupByKey]])*OutputTable[RecordedValue]))</f>
        <v>0.452397944183905</v>
      </c>
      <c r="P851" cm="1">
        <f t="array" ref="P851">MAX(IF((OutputTable[GroupByKey]=OutputTable[[#This Row],[GroupByKey]]),(OutputTable[GroupByKey]=OutputTable[[#This Row],[GroupByKey]])*OutputTable[RecordedValue]))</f>
        <v>0.49691123629694001</v>
      </c>
    </row>
  </sheetData>
  <phoneticPr fontId="2" type="noConversion"/>
  <conditionalFormatting sqref="I2:P851">
    <cfRule type="expression" dxfId="17" priority="2">
      <formula>MOD(ROW(),2)=0</formula>
    </cfRule>
  </conditionalFormatting>
  <conditionalFormatting sqref="N2:N851">
    <cfRule type="expression" dxfId="16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5" priority="3">
      <formula>MOD(ROW(),2)=0</formula>
    </cfRule>
  </conditionalFormatting>
  <conditionalFormatting sqref="H2">
    <cfRule type="expression" dxfId="14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Nestor Andres Tabares David</cp:lastModifiedBy>
  <cp:lastPrinted>2022-03-22T10:33:10Z</cp:lastPrinted>
  <dcterms:created xsi:type="dcterms:W3CDTF">2020-06-29T21:30:31Z</dcterms:created>
  <dcterms:modified xsi:type="dcterms:W3CDTF">2025-05-22T05:34:45Z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